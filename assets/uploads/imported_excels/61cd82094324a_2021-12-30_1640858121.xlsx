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615" yWindow="30" windowWidth="12180" windowHeight="12075" tabRatio="579" firstSheet="1" activeTab="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  <sheet name="Sheet3" sheetId="84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D3" i="2"/>
  <c r="D29"/>
  <c r="L5" i="79"/>
  <c r="B32" i="5"/>
  <c r="G22" l="1"/>
  <c r="G23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G21"/>
  <c r="L25" i="1"/>
  <c r="J20" i="76"/>
  <c r="AW21" i="7"/>
  <c r="D19" i="73"/>
  <c r="P19" i="1"/>
  <c r="E12" i="2" l="1"/>
  <c r="E9"/>
  <c r="E10"/>
  <c r="E11"/>
  <c r="AA12" i="76"/>
  <c r="Y10"/>
  <c r="Z10"/>
  <c r="AA10"/>
  <c r="Y11"/>
  <c r="Z11"/>
  <c r="AA11"/>
  <c r="Z9"/>
  <c r="AA9"/>
  <c r="Y9"/>
  <c r="V10"/>
  <c r="W10"/>
  <c r="V11"/>
  <c r="W11"/>
  <c r="W9"/>
  <c r="V26" s="1"/>
  <c r="V9"/>
  <c r="AF34" i="3" l="1"/>
  <c r="F37" i="5"/>
  <c r="C15" i="77" l="1"/>
  <c r="C16"/>
  <c r="C17"/>
  <c r="C18"/>
  <c r="C19"/>
  <c r="C20"/>
  <c r="C14"/>
  <c r="V49" i="74" l="1"/>
  <c r="W49"/>
  <c r="V50"/>
  <c r="W50"/>
  <c r="V51"/>
  <c r="W51"/>
  <c r="V52"/>
  <c r="W52"/>
  <c r="V53"/>
  <c r="W53"/>
  <c r="V54"/>
  <c r="W54"/>
  <c r="V55"/>
  <c r="W55"/>
  <c r="V56"/>
  <c r="W56"/>
  <c r="V57"/>
  <c r="W57"/>
  <c r="V58"/>
  <c r="W58"/>
  <c r="V59"/>
  <c r="W59"/>
  <c r="V60"/>
  <c r="W60"/>
  <c r="V61"/>
  <c r="W61"/>
  <c r="V62"/>
  <c r="W62"/>
  <c r="V63"/>
  <c r="W63"/>
  <c r="V64"/>
  <c r="W64"/>
  <c r="V65"/>
  <c r="W65"/>
  <c r="V66"/>
  <c r="W66"/>
  <c r="V67"/>
  <c r="W67"/>
  <c r="V68"/>
  <c r="W68"/>
  <c r="V69"/>
  <c r="W69"/>
  <c r="V70"/>
  <c r="W70"/>
  <c r="V71"/>
  <c r="W71"/>
  <c r="V72"/>
  <c r="W72"/>
  <c r="V73"/>
  <c r="W73"/>
  <c r="V74"/>
  <c r="W74"/>
  <c r="V75"/>
  <c r="W75"/>
  <c r="V76"/>
  <c r="W76"/>
  <c r="V77"/>
  <c r="W77"/>
  <c r="V78"/>
  <c r="W78"/>
  <c r="W48"/>
  <c r="V48"/>
  <c r="R49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R75"/>
  <c r="S75"/>
  <c r="R76"/>
  <c r="S76"/>
  <c r="R77"/>
  <c r="S77"/>
  <c r="S48"/>
  <c r="R48"/>
  <c r="AA13" i="76"/>
  <c r="AC13"/>
  <c r="AA14"/>
  <c r="AB14"/>
  <c r="AC14"/>
  <c r="AA15"/>
  <c r="AB15"/>
  <c r="AC15"/>
  <c r="AA16"/>
  <c r="AA17"/>
  <c r="AC17"/>
  <c r="W13"/>
  <c r="C3"/>
  <c r="D3"/>
  <c r="E3"/>
  <c r="F3"/>
  <c r="F4" s="1"/>
  <c r="G3"/>
  <c r="H3"/>
  <c r="H4" s="1"/>
  <c r="H5" s="1"/>
  <c r="H6" s="1"/>
  <c r="H7" s="1"/>
  <c r="H8" s="1"/>
  <c r="H13" s="1"/>
  <c r="H14" s="1"/>
  <c r="H15" s="1"/>
  <c r="I3"/>
  <c r="J3"/>
  <c r="J4" s="1"/>
  <c r="J5" s="1"/>
  <c r="J6" s="1"/>
  <c r="J7" s="1"/>
  <c r="J8" s="1"/>
  <c r="J10" s="1"/>
  <c r="J11" s="1"/>
  <c r="J12" s="1"/>
  <c r="J13" s="1"/>
  <c r="J14" s="1"/>
  <c r="J15" s="1"/>
  <c r="J16" s="1"/>
  <c r="K3"/>
  <c r="L3"/>
  <c r="M3"/>
  <c r="N3"/>
  <c r="S3"/>
  <c r="B3"/>
  <c r="B4" s="1"/>
  <c r="B5" s="1"/>
  <c r="B6" s="1"/>
  <c r="B7" s="1"/>
  <c r="B8" s="1"/>
  <c r="B13" s="1"/>
  <c r="B14" s="1"/>
  <c r="B15" s="1"/>
  <c r="B18" s="1"/>
  <c r="B20" s="1"/>
  <c r="B21" s="1"/>
  <c r="B22" s="1"/>
  <c r="B23" s="1"/>
  <c r="B24" s="1"/>
  <c r="B27" s="1"/>
  <c r="B28" s="1"/>
  <c r="B29" s="1"/>
  <c r="B31" s="1"/>
  <c r="B33" s="1"/>
  <c r="B34" s="1"/>
  <c r="A3"/>
  <c r="AT37" i="7"/>
  <c r="AX5"/>
  <c r="AY5"/>
  <c r="AZ5"/>
  <c r="BA5"/>
  <c r="BB5"/>
  <c r="BC5"/>
  <c r="BD5"/>
  <c r="BE5"/>
  <c r="BF5"/>
  <c r="BG5"/>
  <c r="BH5"/>
  <c r="BI5"/>
  <c r="AW5"/>
  <c r="AS5"/>
  <c r="AQ5"/>
  <c r="AR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X3" i="3"/>
  <c r="X4"/>
  <c r="X5"/>
  <c r="X6"/>
  <c r="X7"/>
  <c r="X8"/>
  <c r="X9"/>
  <c r="X10"/>
  <c r="X11"/>
  <c r="X12"/>
  <c r="X13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X33"/>
  <c r="C2"/>
  <c r="G2"/>
  <c r="H2"/>
  <c r="I2"/>
  <c r="O2"/>
  <c r="R2"/>
  <c r="R5" s="1"/>
  <c r="R6" s="1"/>
  <c r="R12" s="1"/>
  <c r="R13" s="1"/>
  <c r="R18" s="1"/>
  <c r="R19" s="1"/>
  <c r="R20" s="1"/>
  <c r="R23" s="1"/>
  <c r="R26" s="1"/>
  <c r="R27" s="1"/>
  <c r="R28" s="1"/>
  <c r="R30" s="1"/>
  <c r="R32" s="1"/>
  <c r="R33" s="1"/>
  <c r="S2"/>
  <c r="U2"/>
  <c r="V2"/>
  <c r="W2"/>
  <c r="X2"/>
  <c r="Y2"/>
  <c r="AD2"/>
  <c r="AI2"/>
  <c r="AJ2"/>
  <c r="B2"/>
  <c r="B5" s="1"/>
  <c r="B6" s="1"/>
  <c r="B12" s="1"/>
  <c r="B13" s="1"/>
  <c r="B19" s="1"/>
  <c r="B20" s="1"/>
  <c r="A2"/>
  <c r="C5" i="79"/>
  <c r="D5"/>
  <c r="E5"/>
  <c r="F5"/>
  <c r="G5"/>
  <c r="H5"/>
  <c r="H7" s="1"/>
  <c r="H8" s="1"/>
  <c r="H9" s="1"/>
  <c r="H11" s="1"/>
  <c r="H12" s="1"/>
  <c r="H13" s="1"/>
  <c r="H15" s="1"/>
  <c r="H16" s="1"/>
  <c r="H18" s="1"/>
  <c r="H21" s="1"/>
  <c r="H22" s="1"/>
  <c r="H23" s="1"/>
  <c r="H24" s="1"/>
  <c r="H26" s="1"/>
  <c r="H27" s="1"/>
  <c r="H28" s="1"/>
  <c r="H29" s="1"/>
  <c r="H30" s="1"/>
  <c r="H31" s="1"/>
  <c r="H34" s="1"/>
  <c r="H35" s="1"/>
  <c r="H36" s="1"/>
  <c r="B5"/>
  <c r="A5"/>
  <c r="AT5" i="5"/>
  <c r="AT6" s="1"/>
  <c r="AT8" s="1"/>
  <c r="AT9" s="1"/>
  <c r="AT10" s="1"/>
  <c r="AT11" s="1"/>
  <c r="AT13" s="1"/>
  <c r="AT15" s="1"/>
  <c r="AT16" s="1"/>
  <c r="AT18" s="1"/>
  <c r="AT20" s="1"/>
  <c r="AT21" s="1"/>
  <c r="AT22" s="1"/>
  <c r="AT23" s="1"/>
  <c r="AT24" s="1"/>
  <c r="AT25" s="1"/>
  <c r="AT27" s="1"/>
  <c r="AT28" s="1"/>
  <c r="AT29" s="1"/>
  <c r="AT30" s="1"/>
  <c r="AT31" s="1"/>
  <c r="AT32" s="1"/>
  <c r="AT34" s="1"/>
  <c r="AT35" s="1"/>
  <c r="AT36" s="1"/>
  <c r="AU5"/>
  <c r="AV5"/>
  <c r="AV8" s="1"/>
  <c r="AV9" s="1"/>
  <c r="AV10" s="1"/>
  <c r="AV11" s="1"/>
  <c r="AV13" s="1"/>
  <c r="AV15" s="1"/>
  <c r="AV16" s="1"/>
  <c r="AV21" s="1"/>
  <c r="AV22" s="1"/>
  <c r="AV23" s="1"/>
  <c r="AV25" s="1"/>
  <c r="AV28" s="1"/>
  <c r="AV29" s="1"/>
  <c r="AV30" s="1"/>
  <c r="AV31" s="1"/>
  <c r="AV32" s="1"/>
  <c r="AV34" s="1"/>
  <c r="AV35" s="1"/>
  <c r="AV36" s="1"/>
  <c r="AW5"/>
  <c r="AX5"/>
  <c r="AX8" s="1"/>
  <c r="AX9" s="1"/>
  <c r="AX15" s="1"/>
  <c r="AX16" s="1"/>
  <c r="AX22" s="1"/>
  <c r="AX23" s="1"/>
  <c r="AX29" s="1"/>
  <c r="AX30" s="1"/>
  <c r="AX31" s="1"/>
  <c r="AX34" s="1"/>
  <c r="AX35" s="1"/>
  <c r="AX36" s="1"/>
  <c r="AZ5"/>
  <c r="BA5"/>
  <c r="BC5"/>
  <c r="BD5"/>
  <c r="AR5"/>
  <c r="F5" i="76" l="1"/>
  <c r="F6" s="1"/>
  <c r="F7" s="1"/>
  <c r="F8" s="1"/>
  <c r="F13" s="1"/>
  <c r="F14" s="1"/>
  <c r="F15" s="1"/>
  <c r="B26" i="3"/>
  <c r="B27" s="1"/>
  <c r="B28" s="1"/>
  <c r="B32" s="1"/>
  <c r="B33" s="1"/>
  <c r="C24"/>
  <c r="J18" i="76"/>
  <c r="J21" s="1"/>
  <c r="J22" s="1"/>
  <c r="J23" s="1"/>
  <c r="J24" s="1"/>
  <c r="J25" s="1"/>
  <c r="J27" s="1"/>
  <c r="J28" s="1"/>
  <c r="J29" s="1"/>
  <c r="J31" s="1"/>
  <c r="J33" s="1"/>
  <c r="J34" s="1"/>
  <c r="W26" s="1"/>
  <c r="AA26" s="1"/>
  <c r="H18"/>
  <c r="H20" s="1"/>
  <c r="H21" s="1"/>
  <c r="H22" s="1"/>
  <c r="H23" s="1"/>
  <c r="H24" s="1"/>
  <c r="H27" s="1"/>
  <c r="H28" s="1"/>
  <c r="H29" s="1"/>
  <c r="H31" s="1"/>
  <c r="H33" s="1"/>
  <c r="H34" s="1"/>
  <c r="W27" s="1"/>
  <c r="F5" i="5"/>
  <c r="G5"/>
  <c r="G6" s="1"/>
  <c r="G8" s="1"/>
  <c r="G9" s="1"/>
  <c r="G10" s="1"/>
  <c r="G11" s="1"/>
  <c r="G12" s="1"/>
  <c r="G13" s="1"/>
  <c r="G15" s="1"/>
  <c r="G16" s="1"/>
  <c r="G18" s="1"/>
  <c r="G19" s="1"/>
  <c r="G20" s="1"/>
  <c r="H5"/>
  <c r="K5"/>
  <c r="L5"/>
  <c r="R5"/>
  <c r="S5"/>
  <c r="T5"/>
  <c r="U5"/>
  <c r="X6"/>
  <c r="X7" s="1"/>
  <c r="X8" s="1"/>
  <c r="X9" s="1"/>
  <c r="X10" s="1"/>
  <c r="X11" s="1"/>
  <c r="X12" s="1"/>
  <c r="X13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J5"/>
  <c r="AK5"/>
  <c r="AM5"/>
  <c r="AN5"/>
  <c r="AO5"/>
  <c r="AP5"/>
  <c r="A5"/>
  <c r="C4" i="1"/>
  <c r="C7" s="1"/>
  <c r="C8" s="1"/>
  <c r="C14" s="1"/>
  <c r="C15" s="1"/>
  <c r="C21" s="1"/>
  <c r="C22" s="1"/>
  <c r="C28" s="1"/>
  <c r="C29" s="1"/>
  <c r="C30" s="1"/>
  <c r="C34" s="1"/>
  <c r="C35" s="1"/>
  <c r="D4"/>
  <c r="E4"/>
  <c r="F4"/>
  <c r="F6" s="1"/>
  <c r="F7" s="1"/>
  <c r="F8" s="1"/>
  <c r="F14" s="1"/>
  <c r="F15" s="1"/>
  <c r="F20" s="1"/>
  <c r="F21" s="1"/>
  <c r="F22" s="1"/>
  <c r="F28" s="1"/>
  <c r="F29" s="1"/>
  <c r="F30" s="1"/>
  <c r="F33" s="1"/>
  <c r="F34" s="1"/>
  <c r="F35" s="1"/>
  <c r="G4"/>
  <c r="H4"/>
  <c r="H6" s="1"/>
  <c r="H7" s="1"/>
  <c r="H8" s="1"/>
  <c r="H14" s="1"/>
  <c r="H15" s="1"/>
  <c r="H20" s="1"/>
  <c r="H21" s="1"/>
  <c r="H22" s="1"/>
  <c r="H28" s="1"/>
  <c r="H29" s="1"/>
  <c r="H30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8" s="1"/>
  <c r="K19" s="1"/>
  <c r="K20" s="1"/>
  <c r="K21" s="1"/>
  <c r="K22" s="1"/>
  <c r="K24" s="1"/>
  <c r="K26" s="1"/>
  <c r="K27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8" s="1"/>
  <c r="M19" s="1"/>
  <c r="M20" s="1"/>
  <c r="M21" s="1"/>
  <c r="M22" s="1"/>
  <c r="M24" s="1"/>
  <c r="M26" s="1"/>
  <c r="M28" s="1"/>
  <c r="M29" s="1"/>
  <c r="M30" s="1"/>
  <c r="M31" s="1"/>
  <c r="M32" s="1"/>
  <c r="M33" s="1"/>
  <c r="M34" s="1"/>
  <c r="M35" s="1"/>
  <c r="N4"/>
  <c r="O4"/>
  <c r="P4"/>
  <c r="P5" s="1"/>
  <c r="P6" s="1"/>
  <c r="P7" s="1"/>
  <c r="P8" s="1"/>
  <c r="P9" s="1"/>
  <c r="P10" s="1"/>
  <c r="P11" s="1"/>
  <c r="P12" s="1"/>
  <c r="P13" s="1"/>
  <c r="P14" s="1"/>
  <c r="P15" s="1"/>
  <c r="P16" s="1"/>
  <c r="P18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6" s="1"/>
  <c r="Q7" s="1"/>
  <c r="Q8" s="1"/>
  <c r="Q9" s="1"/>
  <c r="Q10" s="1"/>
  <c r="Q11" s="1"/>
  <c r="Q12" s="1"/>
  <c r="Q13" s="1"/>
  <c r="Q14" s="1"/>
  <c r="Q15" s="1"/>
  <c r="Q16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L4"/>
  <c r="AV4"/>
  <c r="AW4"/>
  <c r="B4"/>
  <c r="B7" s="1"/>
  <c r="B8" s="1"/>
  <c r="B14" s="1"/>
  <c r="B15" s="1"/>
  <c r="B21" s="1"/>
  <c r="B22" s="1"/>
  <c r="B28" s="1"/>
  <c r="B29" s="1"/>
  <c r="B30" s="1"/>
  <c r="B34" s="1"/>
  <c r="B35" s="1"/>
  <c r="E3" i="2"/>
  <c r="F3"/>
  <c r="F6" s="1"/>
  <c r="F7" s="1"/>
  <c r="F13" s="1"/>
  <c r="F14" s="1"/>
  <c r="F20" s="1"/>
  <c r="F21" s="1"/>
  <c r="F27" s="1"/>
  <c r="F28" s="1"/>
  <c r="F29" s="1"/>
  <c r="F33" s="1"/>
  <c r="G3"/>
  <c r="H3"/>
  <c r="H6" s="1"/>
  <c r="H7" s="1"/>
  <c r="H13" s="1"/>
  <c r="H14" s="1"/>
  <c r="H20" s="1"/>
  <c r="H21" s="1"/>
  <c r="H27" s="1"/>
  <c r="H28" s="1"/>
  <c r="H29" s="1"/>
  <c r="H33" s="1"/>
  <c r="H34" s="1"/>
  <c r="I3"/>
  <c r="J3"/>
  <c r="J6" s="1"/>
  <c r="J7" s="1"/>
  <c r="J13" s="1"/>
  <c r="J14" s="1"/>
  <c r="J20" s="1"/>
  <c r="J21" s="1"/>
  <c r="J27" s="1"/>
  <c r="J28" s="1"/>
  <c r="J29" s="1"/>
  <c r="J33" s="1"/>
  <c r="J34" s="1"/>
  <c r="K3"/>
  <c r="L3"/>
  <c r="L6" s="1"/>
  <c r="L7" s="1"/>
  <c r="L13" s="1"/>
  <c r="L14" s="1"/>
  <c r="L20" s="1"/>
  <c r="L21" s="1"/>
  <c r="L27" s="1"/>
  <c r="L28" s="1"/>
  <c r="L29" s="1"/>
  <c r="L33" s="1"/>
  <c r="L34" s="1"/>
  <c r="M3"/>
  <c r="N3"/>
  <c r="O3"/>
  <c r="P3"/>
  <c r="P6" s="1"/>
  <c r="P7" s="1"/>
  <c r="P13" s="1"/>
  <c r="P14" s="1"/>
  <c r="P20" s="1"/>
  <c r="P21" s="1"/>
  <c r="P27" s="1"/>
  <c r="P28" s="1"/>
  <c r="P29" s="1"/>
  <c r="P33" s="1"/>
  <c r="P34" s="1"/>
  <c r="Q3"/>
  <c r="R3"/>
  <c r="W3"/>
  <c r="W6" s="1"/>
  <c r="W7" s="1"/>
  <c r="W13" s="1"/>
  <c r="W14" s="1"/>
  <c r="W19" s="1"/>
  <c r="W20" s="1"/>
  <c r="W21" s="1"/>
  <c r="W23" s="1"/>
  <c r="W24" s="1"/>
  <c r="W25" s="1"/>
  <c r="W26" s="1"/>
  <c r="W27" s="1"/>
  <c r="W28" s="1"/>
  <c r="W29" s="1"/>
  <c r="W31" s="1"/>
  <c r="W32" s="1"/>
  <c r="W33" s="1"/>
  <c r="W34" s="1"/>
  <c r="X3"/>
  <c r="Y3"/>
  <c r="Y6" s="1"/>
  <c r="Y7" s="1"/>
  <c r="Y13" s="1"/>
  <c r="Y14" s="1"/>
  <c r="Y19" s="1"/>
  <c r="Y20" s="1"/>
  <c r="Y21" s="1"/>
  <c r="Y23" s="1"/>
  <c r="Y24" s="1"/>
  <c r="Y25" s="1"/>
  <c r="Y26" s="1"/>
  <c r="Y27" s="1"/>
  <c r="Y28" s="1"/>
  <c r="Y29" s="1"/>
  <c r="Y31" s="1"/>
  <c r="Y32" s="1"/>
  <c r="Y33" s="1"/>
  <c r="Y34" s="1"/>
  <c r="Z3"/>
  <c r="AA3"/>
  <c r="AB3"/>
  <c r="D6"/>
  <c r="C3"/>
  <c r="D7" l="1"/>
  <c r="E6"/>
  <c r="F18" i="76"/>
  <c r="F20" s="1"/>
  <c r="F21" s="1"/>
  <c r="F22" s="1"/>
  <c r="F23" s="1"/>
  <c r="F24" s="1"/>
  <c r="F25" s="1"/>
  <c r="F27" s="1"/>
  <c r="F28" s="1"/>
  <c r="F29" s="1"/>
  <c r="F31" s="1"/>
  <c r="F32" s="1"/>
  <c r="F33" s="1"/>
  <c r="F34" s="1"/>
  <c r="W28" s="1"/>
  <c r="Y9" i="3"/>
  <c r="Y10"/>
  <c r="Y11"/>
  <c r="Y12"/>
  <c r="Y13"/>
  <c r="Y14"/>
  <c r="Y15"/>
  <c r="Y16"/>
  <c r="Y17"/>
  <c r="Y18"/>
  <c r="Y19"/>
  <c r="D13" i="2" l="1"/>
  <c r="E8"/>
  <c r="E7"/>
  <c r="Q20"/>
  <c r="Q19"/>
  <c r="E13" l="1"/>
  <c r="D14"/>
  <c r="E14" s="1"/>
  <c r="E15"/>
  <c r="D15" i="73"/>
  <c r="H12" i="77"/>
  <c r="E16" i="2" l="1"/>
  <c r="BA7" i="5"/>
  <c r="E17" i="2" l="1"/>
  <c r="I8" i="77"/>
  <c r="E18" i="2" l="1"/>
  <c r="N49" i="74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V27" i="76"/>
  <c r="V28"/>
  <c r="AC34"/>
  <c r="AS37" i="7"/>
  <c r="AU37" s="1"/>
  <c r="AU5"/>
  <c r="AT5"/>
  <c r="T6" i="5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T34" s="1"/>
  <c r="T35" s="1"/>
  <c r="T36" s="1"/>
  <c r="I34" i="2"/>
  <c r="F34"/>
  <c r="D20" l="1"/>
  <c r="E19"/>
  <c r="K4" i="76"/>
  <c r="AB26"/>
  <c r="AA28"/>
  <c r="AB28" s="1"/>
  <c r="AE28" s="1"/>
  <c r="AF28" s="1"/>
  <c r="D21" i="2" l="1"/>
  <c r="E20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A11" i="5"/>
  <c r="E21" i="2" l="1"/>
  <c r="F36" i="73"/>
  <c r="W30" i="76" s="1"/>
  <c r="E22" i="2" l="1"/>
  <c r="AH38" i="1"/>
  <c r="AH37"/>
  <c r="AK38" i="5"/>
  <c r="F39"/>
  <c r="B39"/>
  <c r="P34" i="3"/>
  <c r="E23" i="2" l="1"/>
  <c r="K77" i="74"/>
  <c r="K76"/>
  <c r="J77"/>
  <c r="J76"/>
  <c r="J75"/>
  <c r="E24" i="2" l="1"/>
  <c r="J49" i="74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K75"/>
  <c r="K48"/>
  <c r="J48"/>
  <c r="AA27" i="76"/>
  <c r="BA36" i="5"/>
  <c r="AA4" i="2"/>
  <c r="AA6" s="1"/>
  <c r="AA7" s="1"/>
  <c r="AA8" s="1"/>
  <c r="AA9" s="1"/>
  <c r="AA11" s="1"/>
  <c r="AA12" s="1"/>
  <c r="AA13" s="1"/>
  <c r="AA14" s="1"/>
  <c r="AA15" s="1"/>
  <c r="AA16" s="1"/>
  <c r="AA17" s="1"/>
  <c r="AA18" s="1"/>
  <c r="AA19" s="1"/>
  <c r="AA20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E25" l="1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D27" i="2" l="1"/>
  <c r="E26"/>
  <c r="V30" i="1"/>
  <c r="Y25" i="5"/>
  <c r="G17" i="2"/>
  <c r="Z17"/>
  <c r="AB17"/>
  <c r="I17"/>
  <c r="Q17"/>
  <c r="N16"/>
  <c r="R16" s="1"/>
  <c r="K17"/>
  <c r="M17"/>
  <c r="X17"/>
  <c r="U30" i="1"/>
  <c r="D28" i="2" l="1"/>
  <c r="E27"/>
  <c r="Y26" i="5"/>
  <c r="K18" i="2"/>
  <c r="M18"/>
  <c r="I18"/>
  <c r="Z18"/>
  <c r="X18"/>
  <c r="Q18"/>
  <c r="AB18"/>
  <c r="G18"/>
  <c r="N17"/>
  <c r="R17" s="1"/>
  <c r="E28" l="1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R19" s="1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B3" i="2"/>
  <c r="A3"/>
  <c r="E30" l="1"/>
  <c r="Y29" i="5"/>
  <c r="K21" i="2"/>
  <c r="N20"/>
  <c r="R20" s="1"/>
  <c r="G21"/>
  <c r="M21"/>
  <c r="AB21"/>
  <c r="Q21"/>
  <c r="I21"/>
  <c r="Z21"/>
  <c r="X21"/>
  <c r="Q6"/>
  <c r="Q9"/>
  <c r="K6" i="5"/>
  <c r="I36" i="79"/>
  <c r="C27" i="3"/>
  <c r="C26"/>
  <c r="S26"/>
  <c r="E31" i="2" l="1"/>
  <c r="Y30" i="5"/>
  <c r="AB22" i="2"/>
  <c r="G22"/>
  <c r="Z22"/>
  <c r="Q22"/>
  <c r="X22"/>
  <c r="K22"/>
  <c r="N21"/>
  <c r="R21" s="1"/>
  <c r="I22"/>
  <c r="M22"/>
  <c r="Q7"/>
  <c r="Q8"/>
  <c r="AD7" i="3" s="1"/>
  <c r="Q10" i="2"/>
  <c r="I5"/>
  <c r="D33" l="1"/>
  <c r="E32"/>
  <c r="Y31" i="5"/>
  <c r="N22" i="2"/>
  <c r="R22" s="1"/>
  <c r="G23"/>
  <c r="X23"/>
  <c r="AB23"/>
  <c r="Q23"/>
  <c r="M23"/>
  <c r="I23"/>
  <c r="K23"/>
  <c r="Z23"/>
  <c r="Q11"/>
  <c r="I7" i="77"/>
  <c r="I12" s="1"/>
  <c r="D34" i="2" l="1"/>
  <c r="E34" s="1"/>
  <c r="E33"/>
  <c r="Y32" i="5"/>
  <c r="N23" i="2"/>
  <c r="R23" s="1"/>
  <c r="K24"/>
  <c r="Z24"/>
  <c r="Q24"/>
  <c r="I24"/>
  <c r="X24"/>
  <c r="M24"/>
  <c r="AB24"/>
  <c r="G24"/>
  <c r="Q12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AU6" i="5"/>
  <c r="Y33" l="1"/>
  <c r="AU7"/>
  <c r="AZ7" s="1"/>
  <c r="AZ6"/>
  <c r="AA30" i="1"/>
  <c r="G25" i="2"/>
  <c r="AB25"/>
  <c r="X25"/>
  <c r="K25"/>
  <c r="Q25"/>
  <c r="N24"/>
  <c r="R24" s="1"/>
  <c r="M25"/>
  <c r="I25"/>
  <c r="Z25"/>
  <c r="Y30" i="1"/>
  <c r="AB30" s="1"/>
  <c r="Q13" i="2"/>
  <c r="Y34" i="5" l="1"/>
  <c r="N25" i="2"/>
  <c r="R25" s="1"/>
  <c r="Z26"/>
  <c r="M26"/>
  <c r="K26"/>
  <c r="X26"/>
  <c r="G26"/>
  <c r="Q26"/>
  <c r="I26"/>
  <c r="AB26"/>
  <c r="Q14"/>
  <c r="Y36" i="5" l="1"/>
  <c r="Y35"/>
  <c r="N26" i="2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A35" i="73"/>
  <c r="D35"/>
  <c r="AM36" i="5" s="1"/>
  <c r="G35" i="73"/>
  <c r="K35"/>
  <c r="A34" i="76"/>
  <c r="G34"/>
  <c r="I34"/>
  <c r="M34" s="1"/>
  <c r="M35" s="1"/>
  <c r="K34"/>
  <c r="N34" s="1"/>
  <c r="N35" s="1"/>
  <c r="C34"/>
  <c r="C8" i="77"/>
  <c r="A36" i="7"/>
  <c r="AW36"/>
  <c r="G32" i="81" s="1"/>
  <c r="BB36" i="7"/>
  <c r="C33" i="3"/>
  <c r="A33"/>
  <c r="AJ33"/>
  <c r="H36" i="5"/>
  <c r="A36"/>
  <c r="AR36" s="1"/>
  <c r="AN36"/>
  <c r="AP36"/>
  <c r="Y35" i="1"/>
  <c r="AA35"/>
  <c r="O32" i="81"/>
  <c r="A13" i="1"/>
  <c r="I30" i="2" l="1"/>
  <c r="M30"/>
  <c r="X30"/>
  <c r="K30"/>
  <c r="Q30"/>
  <c r="Z30"/>
  <c r="G30"/>
  <c r="AB30"/>
  <c r="N29"/>
  <c r="R29" s="1"/>
  <c r="J32" i="82"/>
  <c r="K36" i="5"/>
  <c r="AJ35" i="1"/>
  <c r="S35"/>
  <c r="T35" s="1"/>
  <c r="G35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Z36" i="7"/>
  <c r="AB35" i="1"/>
  <c r="B6" i="7"/>
  <c r="AZ36"/>
  <c r="BA36"/>
  <c r="D34" i="76"/>
  <c r="E34" s="1"/>
  <c r="L34"/>
  <c r="L35" s="1"/>
  <c r="F33" i="3"/>
  <c r="S33"/>
  <c r="U33" s="1"/>
  <c r="L32" i="82"/>
  <c r="J35" i="1" l="1"/>
  <c r="N30" i="2"/>
  <c r="R30" s="1"/>
  <c r="AB31"/>
  <c r="X31"/>
  <c r="Q31"/>
  <c r="M31"/>
  <c r="G31"/>
  <c r="Z31"/>
  <c r="K31"/>
  <c r="I31"/>
  <c r="R35" i="1"/>
  <c r="AB36" i="7"/>
  <c r="D35" i="1"/>
  <c r="E35" s="1"/>
  <c r="B7" i="7"/>
  <c r="I4" i="2"/>
  <c r="G4"/>
  <c r="AA36" i="5" l="1"/>
  <c r="AJ36"/>
  <c r="K32" i="82" s="1"/>
  <c r="N31" i="2"/>
  <c r="R31" s="1"/>
  <c r="I32"/>
  <c r="Q32"/>
  <c r="Z32"/>
  <c r="AB32"/>
  <c r="K32"/>
  <c r="G32"/>
  <c r="M32"/>
  <c r="X32"/>
  <c r="AD36" i="7"/>
  <c r="B8"/>
  <c r="G5" i="2"/>
  <c r="N32" l="1"/>
  <c r="R32" s="1"/>
  <c r="AB33"/>
  <c r="AB34"/>
  <c r="Z34"/>
  <c r="Z33"/>
  <c r="Q33"/>
  <c r="Q34"/>
  <c r="I33"/>
  <c r="G32" i="82"/>
  <c r="X34" i="2"/>
  <c r="X33"/>
  <c r="K34"/>
  <c r="F32" i="82" s="1"/>
  <c r="K33" i="2"/>
  <c r="M33"/>
  <c r="M34"/>
  <c r="G33"/>
  <c r="G34"/>
  <c r="AF36" i="7"/>
  <c r="B9"/>
  <c r="N33" i="2" l="1"/>
  <c r="R33" s="1"/>
  <c r="N34"/>
  <c r="R34" s="1"/>
  <c r="E32" i="82"/>
  <c r="I32"/>
  <c r="AH36" i="7"/>
  <c r="B10"/>
  <c r="AJ36" l="1"/>
  <c r="B11"/>
  <c r="F38" i="5"/>
  <c r="AL36" i="7" l="1"/>
  <c r="B12"/>
  <c r="B13" l="1"/>
  <c r="B14" l="1"/>
  <c r="A19" i="76"/>
  <c r="B15" i="7" l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U36" i="5"/>
  <c r="H7" i="3" l="1"/>
  <c r="H8" s="1"/>
  <c r="H9" s="1"/>
  <c r="H10" s="1"/>
  <c r="H11" s="1"/>
  <c r="H13" s="1"/>
  <c r="N35" i="1"/>
  <c r="L35"/>
  <c r="U35" s="1"/>
  <c r="B16" i="7"/>
  <c r="H14" i="3" l="1"/>
  <c r="H15" s="1"/>
  <c r="H16" s="1"/>
  <c r="H17" s="1"/>
  <c r="H18" s="1"/>
  <c r="H19" s="1"/>
  <c r="V35" i="1"/>
  <c r="AL35"/>
  <c r="B17" i="7"/>
  <c r="H20" i="3" l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B18" i="7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AD33" i="3"/>
  <c r="B22" i="7"/>
  <c r="A14" i="5"/>
  <c r="H14" i="82" l="1"/>
  <c r="AI33" i="3"/>
  <c r="B23" i="7"/>
  <c r="H15" i="82" l="1"/>
  <c r="B24" i="7"/>
  <c r="B25" l="1"/>
  <c r="H17" i="82"/>
  <c r="AT38" i="7"/>
  <c r="B26" l="1"/>
  <c r="H18" i="82"/>
  <c r="B27" i="7" l="1"/>
  <c r="H19" i="82"/>
  <c r="B28" i="7" l="1"/>
  <c r="H20" i="82"/>
  <c r="B29" i="7" l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B32" i="7" l="1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H28" i="82" l="1"/>
  <c r="F36" i="7"/>
  <c r="K43" i="74"/>
  <c r="J43"/>
  <c r="G43"/>
  <c r="F43"/>
  <c r="H29" i="82" l="1"/>
  <c r="H36" i="7"/>
  <c r="S3" i="3"/>
  <c r="H30" i="82" l="1"/>
  <c r="H32"/>
  <c r="J36" i="7"/>
  <c r="H31" i="82" l="1"/>
  <c r="S34" i="76"/>
  <c r="E32" i="81"/>
  <c r="L36" i="7"/>
  <c r="N36" l="1"/>
  <c r="A25" i="3"/>
  <c r="P36" i="7" l="1"/>
  <c r="A23" i="3"/>
  <c r="A23" i="1"/>
  <c r="R36" i="7" l="1"/>
  <c r="T36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S23" i="3"/>
  <c r="U23" s="1"/>
  <c r="K29" i="76"/>
  <c r="F30" i="82"/>
  <c r="G30"/>
  <c r="I18" i="76"/>
  <c r="G31"/>
  <c r="C31"/>
  <c r="BA34" i="7"/>
  <c r="BA35"/>
  <c r="BA34" i="5"/>
  <c r="AJ34"/>
  <c r="K30" i="82" s="1"/>
  <c r="AA34" i="5"/>
  <c r="J30" i="82"/>
  <c r="H34" i="5"/>
  <c r="Y33" i="1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E31"/>
  <c r="E30"/>
  <c r="C23" i="3"/>
  <c r="K31" i="76"/>
  <c r="N31" s="1"/>
  <c r="S25" i="3"/>
  <c r="U25" s="1"/>
  <c r="C25"/>
  <c r="I34" i="79"/>
  <c r="Y34" i="1"/>
  <c r="AB34" s="1"/>
  <c r="F31" i="82"/>
  <c r="G31"/>
  <c r="K32" i="76"/>
  <c r="N32" s="1"/>
  <c r="I31"/>
  <c r="M31" s="1"/>
  <c r="L31"/>
  <c r="G32"/>
  <c r="C32"/>
  <c r="BA35" i="5"/>
  <c r="BD36" s="1"/>
  <c r="AJ35"/>
  <c r="K31" i="82" s="1"/>
  <c r="AA35" i="5"/>
  <c r="H35"/>
  <c r="S34" i="1"/>
  <c r="T34" s="1"/>
  <c r="U33"/>
  <c r="R34"/>
  <c r="L34"/>
  <c r="I34"/>
  <c r="G34"/>
  <c r="J33"/>
  <c r="AL33"/>
  <c r="D34"/>
  <c r="E34" s="1"/>
  <c r="Z34" i="7"/>
  <c r="D31"/>
  <c r="I31" i="82" l="1"/>
  <c r="BD35" i="5"/>
  <c r="D31" i="76"/>
  <c r="E31" s="1"/>
  <c r="E23" i="3"/>
  <c r="F23" s="1"/>
  <c r="S32"/>
  <c r="U32" s="1"/>
  <c r="S31"/>
  <c r="U31" s="1"/>
  <c r="C32"/>
  <c r="F32" s="1"/>
  <c r="C31"/>
  <c r="J31" i="82"/>
  <c r="E30" i="81"/>
  <c r="S32" i="76"/>
  <c r="K33"/>
  <c r="N33" s="1"/>
  <c r="I32"/>
  <c r="M32" s="1"/>
  <c r="L32"/>
  <c r="G33"/>
  <c r="C33"/>
  <c r="U34" i="1"/>
  <c r="J34"/>
  <c r="AL34"/>
  <c r="Z35" i="7"/>
  <c r="AB34"/>
  <c r="D32"/>
  <c r="F31"/>
  <c r="AD32" i="3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3" i="73"/>
  <c r="AM24" i="5" s="1"/>
  <c r="AP24"/>
  <c r="AN24"/>
  <c r="N43" i="74" l="1"/>
  <c r="S43"/>
  <c r="AB14" s="1"/>
  <c r="R43"/>
  <c r="AA14" s="1"/>
  <c r="W43"/>
  <c r="V43"/>
  <c r="O43"/>
  <c r="I23" i="3"/>
  <c r="N33" i="1"/>
  <c r="AJ35" i="7"/>
  <c r="N32"/>
  <c r="H35"/>
  <c r="L33"/>
  <c r="J34"/>
  <c r="P31"/>
  <c r="AL34"/>
  <c r="I22" i="76"/>
  <c r="G22"/>
  <c r="C22"/>
  <c r="C21" i="3"/>
  <c r="BA24" i="5"/>
  <c r="AA24"/>
  <c r="AJ24"/>
  <c r="H24"/>
  <c r="N23" i="1"/>
  <c r="L23"/>
  <c r="I23"/>
  <c r="G23"/>
  <c r="V33" l="1"/>
  <c r="I25" i="3"/>
  <c r="R31" i="7"/>
  <c r="N34" i="1"/>
  <c r="J23"/>
  <c r="J35" i="7"/>
  <c r="AL35"/>
  <c r="L34"/>
  <c r="P32"/>
  <c r="N33"/>
  <c r="D23" i="1"/>
  <c r="E23" s="1"/>
  <c r="I22"/>
  <c r="V34" l="1"/>
  <c r="I32" i="3"/>
  <c r="I31"/>
  <c r="L35" i="7"/>
  <c r="R32"/>
  <c r="P33"/>
  <c r="N34"/>
  <c r="R33" l="1"/>
  <c r="P34"/>
  <c r="N35"/>
  <c r="U24" i="5"/>
  <c r="R23" i="1"/>
  <c r="V23" s="1"/>
  <c r="S23"/>
  <c r="AL23" s="1"/>
  <c r="AA23"/>
  <c r="Y23"/>
  <c r="I24"/>
  <c r="P35" i="7" l="1"/>
  <c r="R34"/>
  <c r="AB23" i="1"/>
  <c r="T23"/>
  <c r="U23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AJ6" i="5"/>
  <c r="J2" i="82"/>
  <c r="U6" i="5"/>
  <c r="H6"/>
  <c r="D5" i="75"/>
  <c r="E5" s="1"/>
  <c r="Y5" i="1"/>
  <c r="R5"/>
  <c r="G5"/>
  <c r="AB4" i="2"/>
  <c r="Z4"/>
  <c r="K4"/>
  <c r="I2" i="82"/>
  <c r="I13" i="76"/>
  <c r="M13" s="1"/>
  <c r="AJ14" i="5"/>
  <c r="K10" i="82" s="1"/>
  <c r="H8" i="5"/>
  <c r="H10"/>
  <c r="AA6" i="1"/>
  <c r="Y6"/>
  <c r="Y15"/>
  <c r="AB15" s="1"/>
  <c r="R13"/>
  <c r="S10"/>
  <c r="B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F7" s="1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J2" i="63"/>
  <c r="K30" i="73"/>
  <c r="AB5" i="2"/>
  <c r="H7" i="5"/>
  <c r="AA6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G8"/>
  <c r="X7" i="2"/>
  <c r="AJ10" i="5"/>
  <c r="K6" i="82" s="1"/>
  <c r="AA10" i="5"/>
  <c r="R10" i="1"/>
  <c r="Z10" i="7"/>
  <c r="Z9" i="2"/>
  <c r="M8"/>
  <c r="E6" i="82" s="1"/>
  <c r="I8" i="1"/>
  <c r="G9"/>
  <c r="X8" i="2"/>
  <c r="AA11" i="5"/>
  <c r="AJ11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V10" i="1" l="1"/>
  <c r="V9"/>
  <c r="V7"/>
  <c r="V14"/>
  <c r="V11"/>
  <c r="V6"/>
  <c r="D4" i="76"/>
  <c r="E4" s="1"/>
  <c r="U13" i="1"/>
  <c r="A35" i="76"/>
  <c r="G36" i="73"/>
  <c r="D5" i="76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U4" i="3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AA34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D6" i="3"/>
  <c r="E8" i="63"/>
  <c r="AD8" i="3"/>
  <c r="I8" i="65"/>
  <c r="L28" i="82"/>
  <c r="X50" i="74"/>
  <c r="R81"/>
  <c r="S81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D37" i="73" l="1"/>
  <c r="G35" i="76"/>
  <c r="C35"/>
  <c r="I35"/>
  <c r="K35"/>
  <c r="AO36" i="7"/>
  <c r="AN36" s="1"/>
  <c r="Y36"/>
  <c r="T15" i="1"/>
  <c r="B81" i="74"/>
  <c r="C81"/>
  <c r="D6" i="75"/>
  <c r="E6" s="1"/>
  <c r="D13" i="76"/>
  <c r="E13" s="1"/>
  <c r="U13" i="3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E17"/>
  <c r="O28" i="81"/>
  <c r="V81" i="74"/>
  <c r="O7" i="2"/>
  <c r="J81" i="74"/>
  <c r="B15" i="77" s="1"/>
  <c r="E15" s="1"/>
  <c r="AI4" i="3"/>
  <c r="D6" i="65" s="1"/>
  <c r="F81" i="74"/>
  <c r="C6" i="3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G81" i="74"/>
  <c r="K81"/>
  <c r="B14" i="77" s="1"/>
  <c r="E14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O4" i="2"/>
  <c r="W3" i="7"/>
  <c r="AO3" s="1"/>
  <c r="H17" i="5"/>
  <c r="F13" i="3"/>
  <c r="C14"/>
  <c r="BD15" i="5"/>
  <c r="Y16"/>
  <c r="AA16" i="1"/>
  <c r="Y16"/>
  <c r="AB16" s="1"/>
  <c r="G14" i="2"/>
  <c r="I12" i="82" s="1"/>
  <c r="N81" i="74"/>
  <c r="L13" i="76"/>
  <c r="S15" i="3"/>
  <c r="BA16" i="5"/>
  <c r="BD16" s="1"/>
  <c r="AA15"/>
  <c r="AJ15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AR36"/>
  <c r="U15" i="3"/>
  <c r="G36" i="76"/>
  <c r="AD28" s="1"/>
  <c r="X36" i="7"/>
  <c r="T16" i="1"/>
  <c r="I36" i="76"/>
  <c r="AD27" s="1"/>
  <c r="K36"/>
  <c r="AD26" s="1"/>
  <c r="D7" i="75"/>
  <c r="E7" s="1"/>
  <c r="J5" i="65"/>
  <c r="X34" i="7"/>
  <c r="X35"/>
  <c r="J12" i="82"/>
  <c r="I5" i="3"/>
  <c r="I27" i="79"/>
  <c r="O28"/>
  <c r="F5" i="3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K11" i="82"/>
  <c r="AA16" i="5"/>
  <c r="AJ16"/>
  <c r="K12" i="82" s="1"/>
  <c r="U17" i="5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Q36" l="1"/>
  <c r="AR42"/>
  <c r="AS35"/>
  <c r="AS36"/>
  <c r="AX36" s="1"/>
  <c r="T17" i="1"/>
  <c r="D14" i="65"/>
  <c r="J13" i="82"/>
  <c r="I6" i="3"/>
  <c r="O29" i="79"/>
  <c r="I28"/>
  <c r="F6" i="3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AJ17"/>
  <c r="AA17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Y36" l="1"/>
  <c r="BJ36"/>
  <c r="AO6"/>
  <c r="W7" i="1"/>
  <c r="I16" i="82"/>
  <c r="Q34" i="76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8" i="3"/>
  <c r="I30" i="79"/>
  <c r="O31"/>
  <c r="AL7" i="7"/>
  <c r="AM7" s="1"/>
  <c r="AO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AA19" i="5"/>
  <c r="AJ19"/>
  <c r="U20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AN7" i="7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AA20"/>
  <c r="AJ20"/>
  <c r="K16" i="82" s="1"/>
  <c r="K15"/>
  <c r="U21" i="5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O35" i="79"/>
  <c r="O34"/>
  <c r="T21" i="1"/>
  <c r="J17" i="82"/>
  <c r="S17" i="76"/>
  <c r="F10" i="3"/>
  <c r="I10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F19" i="3"/>
  <c r="C20"/>
  <c r="Y22" i="5"/>
  <c r="Y22" i="1"/>
  <c r="AB22" s="1"/>
  <c r="S21" i="3"/>
  <c r="BA22" i="5"/>
  <c r="BD22" s="1"/>
  <c r="AA21"/>
  <c r="AJ21"/>
  <c r="U22"/>
  <c r="R21" i="1"/>
  <c r="V21" s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F20" i="3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AA22"/>
  <c r="AJ22"/>
  <c r="K18" i="82" s="1"/>
  <c r="K17"/>
  <c r="U23" i="5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S19" i="76"/>
  <c r="I12" i="3"/>
  <c r="AN16" i="7"/>
  <c r="AU20" i="5"/>
  <c r="AZ20" s="1"/>
  <c r="BC20" s="1"/>
  <c r="X14" i="7"/>
  <c r="B13" i="65"/>
  <c r="W13" i="1"/>
  <c r="Y7" i="7"/>
  <c r="AR7" s="1"/>
  <c r="H25" i="5"/>
  <c r="C22" i="3"/>
  <c r="E22" s="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AR43" s="1"/>
  <c r="AR44" s="1"/>
  <c r="X7"/>
  <c r="Y13"/>
  <c r="AR13" s="1"/>
  <c r="Y10"/>
  <c r="AR10" s="1"/>
  <c r="H26" i="5"/>
  <c r="Y25" i="1"/>
  <c r="AB25" s="1"/>
  <c r="AO18" i="7"/>
  <c r="Y15"/>
  <c r="S24" i="3"/>
  <c r="U24" s="1"/>
  <c r="BA25" i="5"/>
  <c r="BD25" s="1"/>
  <c r="K20" i="82"/>
  <c r="U25" i="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AR15"/>
  <c r="BC15" s="1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AA25"/>
  <c r="AJ25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K21" i="82"/>
  <c r="AS8" i="7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AJ26"/>
  <c r="K22" i="82" s="1"/>
  <c r="AA26" i="5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AA27"/>
  <c r="AJ27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K23" i="82"/>
  <c r="I26"/>
  <c r="F26" i="3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AA28"/>
  <c r="AJ28"/>
  <c r="K24" i="82" s="1"/>
  <c r="U29" i="5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F27" i="3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AA29"/>
  <c r="AJ29"/>
  <c r="K25" i="82" s="1"/>
  <c r="U30" i="5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K26" i="82"/>
  <c r="I29"/>
  <c r="U30" i="3"/>
  <c r="D28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AJ31"/>
  <c r="K27" i="82" s="1"/>
  <c r="AA31" i="5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U29" i="5"/>
  <c r="AZ28"/>
  <c r="BC28" s="1"/>
  <c r="B22" i="65"/>
  <c r="Y22" i="7"/>
  <c r="AR22" s="1"/>
  <c r="Y37" i="5"/>
  <c r="X21" i="7"/>
  <c r="BA33" i="5"/>
  <c r="AA32"/>
  <c r="AJ32"/>
  <c r="K28" i="82" s="1"/>
  <c r="U33" i="5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BD34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AU35" i="5"/>
  <c r="AZ34"/>
  <c r="I28" i="3"/>
  <c r="X26" i="7"/>
  <c r="AN30"/>
  <c r="AZ33" i="5"/>
  <c r="B16" i="77"/>
  <c r="E16" s="1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Z35" i="5" l="1"/>
  <c r="BC35" s="1"/>
  <c r="AU36"/>
  <c r="AZ36" s="1"/>
  <c r="AS27" i="7"/>
  <c r="BC33" i="5"/>
  <c r="BC34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V36" i="1"/>
  <c r="V37" s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S34" s="1"/>
  <c r="B34" i="65"/>
  <c r="X33" i="7"/>
  <c r="AS33" l="1"/>
  <c r="AS40" s="1"/>
  <c r="AQ34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6" i="5" l="1"/>
  <c r="BC7"/>
  <c r="BC8"/>
  <c r="Y3" i="3" l="1"/>
  <c r="Y4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T7" s="1"/>
  <c r="F5" i="81" s="1"/>
  <c r="S8" i="76"/>
  <c r="S12"/>
  <c r="S11"/>
  <c r="R7" i="2"/>
  <c r="C6" i="63"/>
  <c r="D6" s="1"/>
  <c r="J13" i="65"/>
  <c r="J11"/>
  <c r="J14"/>
  <c r="E3" i="81"/>
  <c r="S9" i="76"/>
  <c r="S13"/>
  <c r="T13" s="1"/>
  <c r="F11" i="81" s="1"/>
  <c r="S6" i="76"/>
  <c r="T6" s="1"/>
  <c r="F4" i="81" s="1"/>
  <c r="S10" i="76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T14" s="1"/>
  <c r="F12" i="81" s="1"/>
  <c r="H12" i="82"/>
  <c r="J15" i="65" l="1"/>
  <c r="AD9" i="76" l="1"/>
  <c r="AV10" i="7" l="1"/>
  <c r="AV11" l="1"/>
  <c r="H6" i="81"/>
  <c r="AV12" i="7" l="1"/>
  <c r="H7" i="81"/>
  <c r="H8" l="1"/>
  <c r="AV13" i="7"/>
  <c r="H9" i="81" l="1"/>
  <c r="AV14" i="7"/>
  <c r="AV15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H17" l="1"/>
  <c r="AV22" i="7"/>
  <c r="H18" i="81" l="1"/>
  <c r="AV23" i="7"/>
  <c r="H19" i="81" l="1"/>
  <c r="AV24" i="7"/>
  <c r="AV25" l="1"/>
  <c r="H20" i="81"/>
  <c r="AV26" i="7" l="1"/>
  <c r="H21" i="81"/>
  <c r="AV27" i="7" l="1"/>
  <c r="H22" i="81"/>
  <c r="AV28" i="7" l="1"/>
  <c r="H23" i="81"/>
  <c r="H24" l="1"/>
  <c r="AV29" i="7"/>
  <c r="H25" i="81" l="1"/>
  <c r="AV30" i="7"/>
  <c r="H26" i="81" l="1"/>
  <c r="AV31" i="7"/>
  <c r="H27" i="81" l="1"/>
  <c r="AV32" i="7"/>
  <c r="H28" i="81" l="1"/>
  <c r="AV33" i="7"/>
  <c r="AV34" l="1"/>
  <c r="H29" i="81"/>
  <c r="AV35" i="7" l="1"/>
  <c r="H30" i="81"/>
  <c r="AV36" i="7" l="1"/>
  <c r="H32" i="81" s="1"/>
  <c r="H31"/>
  <c r="AC10" i="76" l="1"/>
  <c r="AC27" s="1"/>
  <c r="AC11"/>
  <c r="AC28" s="1"/>
  <c r="AC9"/>
  <c r="AC26" s="1"/>
  <c r="AC5" i="5"/>
  <c r="AC6" s="1"/>
  <c r="AC7" s="1"/>
  <c r="AE5"/>
  <c r="AE6" s="1"/>
  <c r="AG5"/>
  <c r="AG6" s="1"/>
  <c r="AC4" i="1"/>
  <c r="AC5" s="1"/>
  <c r="AE4"/>
  <c r="AE5" s="1"/>
  <c r="S3" i="2"/>
  <c r="S4" s="1"/>
  <c r="U3"/>
  <c r="U4" s="1"/>
  <c r="AC3"/>
  <c r="AC4" s="1"/>
  <c r="AC29" i="76" l="1"/>
  <c r="O30" s="1"/>
  <c r="P30" s="1"/>
  <c r="S5" i="2"/>
  <c r="T4"/>
  <c r="AD7" i="5"/>
  <c r="AC8"/>
  <c r="AF6"/>
  <c r="AE7"/>
  <c r="O14" i="76"/>
  <c r="P14" s="1"/>
  <c r="O31"/>
  <c r="P31" s="1"/>
  <c r="O12"/>
  <c r="P12" s="1"/>
  <c r="O11"/>
  <c r="P11" s="1"/>
  <c r="O20"/>
  <c r="P20" s="1"/>
  <c r="O19"/>
  <c r="P19" s="1"/>
  <c r="O25"/>
  <c r="P25" s="1"/>
  <c r="O23"/>
  <c r="P23" s="1"/>
  <c r="U5" i="2"/>
  <c r="V4"/>
  <c r="AD5" i="1"/>
  <c r="AC6"/>
  <c r="AH6" i="5"/>
  <c r="AG7"/>
  <c r="AD4" i="2"/>
  <c r="AC5"/>
  <c r="AE6" i="1"/>
  <c r="AF5"/>
  <c r="AH5" s="1"/>
  <c r="AC12" i="76"/>
  <c r="O27" l="1"/>
  <c r="P27" s="1"/>
  <c r="O17"/>
  <c r="P17" s="1"/>
  <c r="O24"/>
  <c r="P24" s="1"/>
  <c r="O21"/>
  <c r="P21" s="1"/>
  <c r="O18"/>
  <c r="P18" s="1"/>
  <c r="O5"/>
  <c r="P5" s="1"/>
  <c r="O13"/>
  <c r="P13" s="1"/>
  <c r="O6"/>
  <c r="P6" s="1"/>
  <c r="AB30"/>
  <c r="D10" i="77" s="1"/>
  <c r="E10" s="1"/>
  <c r="O29" i="76"/>
  <c r="P29" s="1"/>
  <c r="O4"/>
  <c r="P4" s="1"/>
  <c r="O26"/>
  <c r="P26" s="1"/>
  <c r="AC33"/>
  <c r="O34"/>
  <c r="O35" s="1"/>
  <c r="O7"/>
  <c r="P7" s="1"/>
  <c r="O15"/>
  <c r="P15" s="1"/>
  <c r="O22"/>
  <c r="P22" s="1"/>
  <c r="O32"/>
  <c r="P32" s="1"/>
  <c r="O28"/>
  <c r="P28" s="1"/>
  <c r="O33"/>
  <c r="P33" s="1"/>
  <c r="O9"/>
  <c r="P9" s="1"/>
  <c r="O10"/>
  <c r="P10" s="1"/>
  <c r="O8"/>
  <c r="P8" s="1"/>
  <c r="O16"/>
  <c r="P16" s="1"/>
  <c r="AF4" i="2"/>
  <c r="T5"/>
  <c r="S6"/>
  <c r="AI5" i="1"/>
  <c r="C5" i="65"/>
  <c r="E5" s="1"/>
  <c r="AD8" i="5"/>
  <c r="AC9"/>
  <c r="A2" i="63"/>
  <c r="AE4" i="2"/>
  <c r="AG4" s="1"/>
  <c r="AI6" i="5"/>
  <c r="P34" i="76"/>
  <c r="R34" s="1"/>
  <c r="T34" s="1"/>
  <c r="F32" i="81" s="1"/>
  <c r="AD6" i="1"/>
  <c r="AC7"/>
  <c r="AF7" i="5"/>
  <c r="AE8"/>
  <c r="AM5" i="1"/>
  <c r="F6" i="75" s="1"/>
  <c r="G6" s="1"/>
  <c r="AG5" i="1"/>
  <c r="AH7" i="5"/>
  <c r="AG8"/>
  <c r="AC6" i="2"/>
  <c r="AD5"/>
  <c r="H5" i="65"/>
  <c r="B2" i="63"/>
  <c r="AF6" i="1"/>
  <c r="AH6" s="1"/>
  <c r="AE7"/>
  <c r="V5" i="2"/>
  <c r="U6"/>
  <c r="AB9" i="76"/>
  <c r="AC16"/>
  <c r="AB11"/>
  <c r="AE11" s="1"/>
  <c r="AF11" s="1"/>
  <c r="AB36" l="1"/>
  <c r="AB38" s="1"/>
  <c r="AB33"/>
  <c r="AB34" s="1"/>
  <c r="AI7" i="5"/>
  <c r="G10" i="77"/>
  <c r="F10"/>
  <c r="AE9" i="5"/>
  <c r="AF8"/>
  <c r="AI6" i="1"/>
  <c r="AW7" i="7" s="1"/>
  <c r="C6" i="65"/>
  <c r="E6" s="1"/>
  <c r="AF7" i="1"/>
  <c r="AH7" s="1"/>
  <c r="AE8"/>
  <c r="AD7"/>
  <c r="AC8"/>
  <c r="AF5" i="2"/>
  <c r="AW6" i="7"/>
  <c r="AG6" i="1"/>
  <c r="AM6"/>
  <c r="F7" i="75" s="1"/>
  <c r="G7" s="1"/>
  <c r="U7" i="2"/>
  <c r="V6"/>
  <c r="AG9" i="5"/>
  <c r="AH8"/>
  <c r="AD9"/>
  <c r="AC10"/>
  <c r="AE5" i="2"/>
  <c r="A3" i="63"/>
  <c r="T6" i="2"/>
  <c r="S7"/>
  <c r="AD6"/>
  <c r="AC7"/>
  <c r="AF6" l="1"/>
  <c r="H7" i="65" s="1"/>
  <c r="V7" i="2"/>
  <c r="U8"/>
  <c r="AG10" i="5"/>
  <c r="AH9"/>
  <c r="AF9"/>
  <c r="AE10"/>
  <c r="AE6" i="2"/>
  <c r="AG6" s="1"/>
  <c r="A4" i="63"/>
  <c r="AG7" i="1"/>
  <c r="AM7"/>
  <c r="F8" i="75" s="1"/>
  <c r="G8" s="1"/>
  <c r="S8" i="2"/>
  <c r="T7"/>
  <c r="AD8" i="1"/>
  <c r="AC9"/>
  <c r="AD7" i="2"/>
  <c r="AC8"/>
  <c r="H6" i="65"/>
  <c r="B3" i="63"/>
  <c r="AJ5" i="1"/>
  <c r="AK5" s="1"/>
  <c r="G2" i="81"/>
  <c r="AX6" i="7"/>
  <c r="C7" i="65"/>
  <c r="E7" s="1"/>
  <c r="AI7" i="1"/>
  <c r="AW8" i="7" s="1"/>
  <c r="AI8" i="5"/>
  <c r="G3" i="81"/>
  <c r="AJ6" i="1"/>
  <c r="AK6" s="1"/>
  <c r="AX7" i="7"/>
  <c r="AD10" i="5"/>
  <c r="AC11"/>
  <c r="AE9" i="1"/>
  <c r="AF8"/>
  <c r="AH8" s="1"/>
  <c r="AG5" i="2"/>
  <c r="B4" i="63" l="1"/>
  <c r="AI8" i="1"/>
  <c r="AW9" i="7" s="1"/>
  <c r="C8" i="65"/>
  <c r="E8" s="1"/>
  <c r="AF7" i="2"/>
  <c r="AE10" i="1"/>
  <c r="AF9"/>
  <c r="AH9" s="1"/>
  <c r="AD8" i="2"/>
  <c r="AC9"/>
  <c r="T8"/>
  <c r="S9"/>
  <c r="Q5" i="76"/>
  <c r="R5" s="1"/>
  <c r="T5" s="1"/>
  <c r="F3" i="81" s="1"/>
  <c r="AY7" i="7"/>
  <c r="BJ7"/>
  <c r="AY6"/>
  <c r="Q4" i="76"/>
  <c r="R4" s="1"/>
  <c r="T4" s="1"/>
  <c r="F2" i="81" s="1"/>
  <c r="BJ6" i="7"/>
  <c r="AM8" i="1"/>
  <c r="F9" i="75" s="1"/>
  <c r="G9" s="1"/>
  <c r="AG8" i="1"/>
  <c r="AI9" i="5"/>
  <c r="AX8" i="7"/>
  <c r="AJ7" i="1"/>
  <c r="AK7" s="1"/>
  <c r="G4" i="81"/>
  <c r="V8" i="2"/>
  <c r="AF8" s="1"/>
  <c r="U9"/>
  <c r="AH10" i="5"/>
  <c r="AG11"/>
  <c r="A5" i="63"/>
  <c r="AE7" i="2"/>
  <c r="AG7" s="1"/>
  <c r="AD11" i="5"/>
  <c r="AC12"/>
  <c r="AD9" i="1"/>
  <c r="AC10"/>
  <c r="AE11" i="5"/>
  <c r="AF10"/>
  <c r="B6" i="63" l="1"/>
  <c r="H9" i="65"/>
  <c r="AM9" i="1"/>
  <c r="F10" i="75" s="1"/>
  <c r="G10" s="1"/>
  <c r="AG9" i="1"/>
  <c r="T9" i="2"/>
  <c r="S10"/>
  <c r="AF11" i="5"/>
  <c r="AE12"/>
  <c r="B5" i="63"/>
  <c r="H8" i="65"/>
  <c r="AY8" i="7"/>
  <c r="BJ8"/>
  <c r="Q6" i="76"/>
  <c r="R6" s="1"/>
  <c r="AI9" i="1"/>
  <c r="AW10" i="7" s="1"/>
  <c r="C9" i="65"/>
  <c r="E9" s="1"/>
  <c r="AE8" i="2"/>
  <c r="AG8" s="1"/>
  <c r="A6" i="63"/>
  <c r="AG12" i="5"/>
  <c r="AH11"/>
  <c r="AI10"/>
  <c r="G5" i="81"/>
  <c r="AJ8" i="1"/>
  <c r="AK8" s="1"/>
  <c r="AX9" i="7"/>
  <c r="AD10" i="1"/>
  <c r="AC11"/>
  <c r="V9" i="2"/>
  <c r="U10"/>
  <c r="AF10" i="1"/>
  <c r="AH10" s="1"/>
  <c r="AI10" s="1"/>
  <c r="AE11"/>
  <c r="AC13" i="5"/>
  <c r="AD12"/>
  <c r="AD9" i="2"/>
  <c r="AC10"/>
  <c r="AM10" i="1" l="1"/>
  <c r="F11" i="75" s="1"/>
  <c r="G11" s="1"/>
  <c r="AG10" i="1"/>
  <c r="Q7" i="76"/>
  <c r="R7" s="1"/>
  <c r="BJ9" i="7"/>
  <c r="AY9"/>
  <c r="AF9" i="2"/>
  <c r="AD10"/>
  <c r="AC11"/>
  <c r="AD11" i="1"/>
  <c r="AC12"/>
  <c r="U11" i="2"/>
  <c r="V10"/>
  <c r="AF11" i="1"/>
  <c r="AH11" s="1"/>
  <c r="AI11" s="1"/>
  <c r="AE12"/>
  <c r="T10" i="2"/>
  <c r="S11"/>
  <c r="AG13" i="5"/>
  <c r="AH12"/>
  <c r="C10" i="65"/>
  <c r="E10" s="1"/>
  <c r="A7" i="63"/>
  <c r="AE9" i="2"/>
  <c r="G6" i="81"/>
  <c r="AX10" i="7"/>
  <c r="AJ9" i="1"/>
  <c r="AK9" s="1"/>
  <c r="AD13" i="5"/>
  <c r="AC14"/>
  <c r="AI11"/>
  <c r="AE13"/>
  <c r="AF12"/>
  <c r="AF10" i="2" l="1"/>
  <c r="AC12"/>
  <c r="AD11"/>
  <c r="T11"/>
  <c r="S12"/>
  <c r="AG14" i="5"/>
  <c r="AH13"/>
  <c r="AM11" i="1"/>
  <c r="F12" i="75" s="1"/>
  <c r="G12" s="1"/>
  <c r="AG11" i="1"/>
  <c r="H11" i="65"/>
  <c r="B8" i="63"/>
  <c r="AY10" i="7"/>
  <c r="BJ10"/>
  <c r="Q8" i="76"/>
  <c r="R8" s="1"/>
  <c r="T8" s="1"/>
  <c r="F6" i="81" s="1"/>
  <c r="AD12" i="1"/>
  <c r="AC13"/>
  <c r="AW12" i="7"/>
  <c r="AJ11" i="1" s="1"/>
  <c r="C11" i="65"/>
  <c r="E11" s="1"/>
  <c r="AF12" i="1"/>
  <c r="AH12" s="1"/>
  <c r="AE13"/>
  <c r="B7" i="63"/>
  <c r="H10" i="65"/>
  <c r="V11" i="2"/>
  <c r="U12"/>
  <c r="AD14" i="5"/>
  <c r="AC15"/>
  <c r="AW11" i="7"/>
  <c r="AE14" i="5"/>
  <c r="AF13"/>
  <c r="A8" i="63"/>
  <c r="AE10" i="2"/>
  <c r="AG10" s="1"/>
  <c r="AI12" i="5"/>
  <c r="AG9" i="2"/>
  <c r="AI13" i="5" l="1"/>
  <c r="AC16"/>
  <c r="AD15"/>
  <c r="AD12" i="2"/>
  <c r="AC13"/>
  <c r="AE14" i="1"/>
  <c r="AF13"/>
  <c r="AH13" s="1"/>
  <c r="AE11" i="2"/>
  <c r="A9" i="63"/>
  <c r="G7" i="81"/>
  <c r="AJ10" i="1"/>
  <c r="AK10" s="1"/>
  <c r="AX11" i="7"/>
  <c r="AF14" i="5"/>
  <c r="AE15"/>
  <c r="T12" i="2"/>
  <c r="S13"/>
  <c r="AG15" i="5"/>
  <c r="AH14"/>
  <c r="AM12" i="1"/>
  <c r="F13" i="75" s="1"/>
  <c r="G13" s="1"/>
  <c r="AG12" i="1"/>
  <c r="AF11" i="2"/>
  <c r="V12"/>
  <c r="U13"/>
  <c r="AD13" i="1"/>
  <c r="AC14"/>
  <c r="C12" i="65"/>
  <c r="E12" s="1"/>
  <c r="AI12" i="1"/>
  <c r="AW13" i="7" s="1"/>
  <c r="AK11" i="1"/>
  <c r="G8" i="81"/>
  <c r="AX12" i="7"/>
  <c r="AB10" i="76"/>
  <c r="AG11" i="2" l="1"/>
  <c r="AD16" i="5"/>
  <c r="AC17"/>
  <c r="AD13" i="2"/>
  <c r="AC14"/>
  <c r="AE12"/>
  <c r="A10" i="63"/>
  <c r="AX13" i="7"/>
  <c r="G9" i="81"/>
  <c r="AJ12" i="1"/>
  <c r="AK12" s="1"/>
  <c r="Q9" i="76"/>
  <c r="R9" s="1"/>
  <c r="T9" s="1"/>
  <c r="F7" i="81" s="1"/>
  <c r="BJ11" i="7"/>
  <c r="AY11"/>
  <c r="B9" i="63"/>
  <c r="H12" i="65"/>
  <c r="BJ12" i="7"/>
  <c r="AY12"/>
  <c r="Q10" i="76"/>
  <c r="R10" s="1"/>
  <c r="T10" s="1"/>
  <c r="F8" i="81" s="1"/>
  <c r="AM13" i="1"/>
  <c r="F14" i="75" s="1"/>
  <c r="G14" s="1"/>
  <c r="AG13" i="1"/>
  <c r="T13" i="2"/>
  <c r="S14"/>
  <c r="AF12"/>
  <c r="AF15" i="5"/>
  <c r="AE16"/>
  <c r="AF14" i="1"/>
  <c r="AH14" s="1"/>
  <c r="AE15"/>
  <c r="V13" i="2"/>
  <c r="U14"/>
  <c r="AI13" i="1"/>
  <c r="AW14" i="7" s="1"/>
  <c r="C13" i="65"/>
  <c r="E13" s="1"/>
  <c r="AD14" i="1"/>
  <c r="AC15"/>
  <c r="AG16" i="5"/>
  <c r="AH15"/>
  <c r="AI14"/>
  <c r="AB12" i="76"/>
  <c r="AG12" i="2" l="1"/>
  <c r="AD15" i="1"/>
  <c r="AC16"/>
  <c r="AF16" i="5"/>
  <c r="AE17"/>
  <c r="AH16"/>
  <c r="AG17"/>
  <c r="AI14" i="1"/>
  <c r="AW15" i="7" s="1"/>
  <c r="C14" i="65"/>
  <c r="E14" s="1"/>
  <c r="AD17" i="5"/>
  <c r="AC18"/>
  <c r="AF15" i="1"/>
  <c r="AH15" s="1"/>
  <c r="AE16"/>
  <c r="AC15" i="2"/>
  <c r="AD14"/>
  <c r="Q11" i="76"/>
  <c r="R11" s="1"/>
  <c r="T11" s="1"/>
  <c r="F9" i="81" s="1"/>
  <c r="AY13" i="7"/>
  <c r="BJ13"/>
  <c r="AF13" i="2"/>
  <c r="U15"/>
  <c r="V14"/>
  <c r="A11" i="63"/>
  <c r="AE13" i="2"/>
  <c r="AG13" s="1"/>
  <c r="AX14" i="7"/>
  <c r="G10" i="81"/>
  <c r="AJ13" i="1"/>
  <c r="AK13" s="1"/>
  <c r="S15" i="2"/>
  <c r="T14"/>
  <c r="B10" i="63"/>
  <c r="H13" i="65"/>
  <c r="AM14" i="1"/>
  <c r="F15" i="75" s="1"/>
  <c r="G15" s="1"/>
  <c r="AG14" i="1"/>
  <c r="AI15" i="5"/>
  <c r="AB13" i="76"/>
  <c r="AB19" s="1"/>
  <c r="AF14" i="2" l="1"/>
  <c r="AI16" i="5"/>
  <c r="AG15" i="1"/>
  <c r="AM15"/>
  <c r="F16" i="75" s="1"/>
  <c r="G16" s="1"/>
  <c r="H14" i="65"/>
  <c r="B11" i="63"/>
  <c r="AD16" i="1"/>
  <c r="AC17"/>
  <c r="V15" i="2"/>
  <c r="U16"/>
  <c r="AF16" i="1"/>
  <c r="AH16" s="1"/>
  <c r="AE17"/>
  <c r="AD15" i="2"/>
  <c r="AC16"/>
  <c r="AG18" i="5"/>
  <c r="AH17"/>
  <c r="AD18"/>
  <c r="AC19"/>
  <c r="AI15" i="1"/>
  <c r="AW16" i="7" s="1"/>
  <c r="C15" i="65"/>
  <c r="E15" s="1"/>
  <c r="B12" i="63"/>
  <c r="H15" i="65"/>
  <c r="AE18" i="5"/>
  <c r="AF17"/>
  <c r="AI17" s="1"/>
  <c r="Q12" i="76"/>
  <c r="R12" s="1"/>
  <c r="T12" s="1"/>
  <c r="F10" i="81" s="1"/>
  <c r="BJ14" i="7"/>
  <c r="AY14"/>
  <c r="AX15"/>
  <c r="AJ14" i="1"/>
  <c r="AK14" s="1"/>
  <c r="G11" i="81"/>
  <c r="T15" i="2"/>
  <c r="S16"/>
  <c r="A12" i="63"/>
  <c r="AE14" i="2"/>
  <c r="AG14" s="1"/>
  <c r="AB16" i="76"/>
  <c r="AI16" i="1" l="1"/>
  <c r="AW17" i="7" s="1"/>
  <c r="C16" i="65"/>
  <c r="E16" s="1"/>
  <c r="Q13" i="76"/>
  <c r="R13" s="1"/>
  <c r="BJ15" i="7"/>
  <c r="AY15"/>
  <c r="AF17" i="1"/>
  <c r="AH17" s="1"/>
  <c r="AE18"/>
  <c r="AG16"/>
  <c r="AM16"/>
  <c r="F17" i="75" s="1"/>
  <c r="G17" s="1"/>
  <c r="A13" i="63"/>
  <c r="AE15" i="2"/>
  <c r="AG15" s="1"/>
  <c r="T16"/>
  <c r="S17"/>
  <c r="AF15"/>
  <c r="G12" i="81"/>
  <c r="AJ15" i="1"/>
  <c r="AK15" s="1"/>
  <c r="AX16" i="7"/>
  <c r="AD16" i="2"/>
  <c r="AC17"/>
  <c r="AE19" i="5"/>
  <c r="AF18"/>
  <c r="AH18"/>
  <c r="AG19"/>
  <c r="AC18" i="1"/>
  <c r="AD17"/>
  <c r="AD19" i="5"/>
  <c r="AC20"/>
  <c r="V16" i="2"/>
  <c r="U17"/>
  <c r="AB17" i="76"/>
  <c r="AI18" i="5" l="1"/>
  <c r="AJ16" i="1"/>
  <c r="AK16" s="1"/>
  <c r="G13" i="81"/>
  <c r="AX17" i="7"/>
  <c r="AF19" i="5"/>
  <c r="AE20"/>
  <c r="AE16" i="2"/>
  <c r="A14" i="63"/>
  <c r="AF16" i="2"/>
  <c r="BJ16" i="7"/>
  <c r="AY16"/>
  <c r="Q14" i="76"/>
  <c r="R14" s="1"/>
  <c r="AD20" i="5"/>
  <c r="AC21"/>
  <c r="T17" i="2"/>
  <c r="S18"/>
  <c r="H16" i="65"/>
  <c r="B13" i="63"/>
  <c r="C17" i="65"/>
  <c r="E17" s="1"/>
  <c r="AI17" i="1"/>
  <c r="AW18" i="7" s="1"/>
  <c r="AD17" i="2"/>
  <c r="AC18"/>
  <c r="AH19" i="5"/>
  <c r="AG20"/>
  <c r="AF18" i="1"/>
  <c r="AH18" s="1"/>
  <c r="AE19"/>
  <c r="AG17"/>
  <c r="AM17"/>
  <c r="F18" i="75" s="1"/>
  <c r="G18" s="1"/>
  <c r="V17" i="2"/>
  <c r="AF17" s="1"/>
  <c r="U18"/>
  <c r="AD18" i="1"/>
  <c r="AC19"/>
  <c r="AG16" i="2" l="1"/>
  <c r="AI19" i="5"/>
  <c r="AJ17" i="1"/>
  <c r="AK17" s="1"/>
  <c r="G14" i="81"/>
  <c r="AX18" i="7"/>
  <c r="Q15" i="76"/>
  <c r="R15" s="1"/>
  <c r="T15" s="1"/>
  <c r="F13" i="81" s="1"/>
  <c r="AY17" i="7"/>
  <c r="BJ17"/>
  <c r="B15" i="63"/>
  <c r="H18" i="65"/>
  <c r="AD18" i="2"/>
  <c r="AC19"/>
  <c r="AF20" i="5"/>
  <c r="AE21"/>
  <c r="AM18" i="1"/>
  <c r="F19" i="75" s="1"/>
  <c r="G19" s="1"/>
  <c r="AG18" i="1"/>
  <c r="AD19"/>
  <c r="AC20"/>
  <c r="AG21" i="5"/>
  <c r="AH20"/>
  <c r="S19" i="2"/>
  <c r="T18"/>
  <c r="AF19" i="1"/>
  <c r="AH19" s="1"/>
  <c r="AE20"/>
  <c r="U19" i="2"/>
  <c r="V18"/>
  <c r="AD21" i="5"/>
  <c r="AC22"/>
  <c r="A15" i="63"/>
  <c r="AE17" i="2"/>
  <c r="AG17" s="1"/>
  <c r="C18" i="65"/>
  <c r="E18" s="1"/>
  <c r="AI18" i="1"/>
  <c r="AW19" i="7" s="1"/>
  <c r="H17" i="65"/>
  <c r="B14" i="63"/>
  <c r="AC23" i="5" l="1"/>
  <c r="AD22"/>
  <c r="S20" i="2"/>
  <c r="T19"/>
  <c r="AH21" i="5"/>
  <c r="AG22"/>
  <c r="Q16" i="76"/>
  <c r="R16" s="1"/>
  <c r="T16" s="1"/>
  <c r="F14" i="81" s="1"/>
  <c r="BJ18" i="7"/>
  <c r="AY18"/>
  <c r="A16" i="63"/>
  <c r="AE18" i="2"/>
  <c r="AG18" s="1"/>
  <c r="AE22" i="5"/>
  <c r="AF21"/>
  <c r="AI21" s="1"/>
  <c r="AJ18" i="1"/>
  <c r="AK18" s="1"/>
  <c r="G15" i="81"/>
  <c r="AX19" i="7"/>
  <c r="V19" i="2"/>
  <c r="U20"/>
  <c r="AM19" i="1"/>
  <c r="F20" i="75" s="1"/>
  <c r="G20" s="1"/>
  <c r="AG19" i="1"/>
  <c r="AD19" i="2"/>
  <c r="AC20"/>
  <c r="AI19" i="1"/>
  <c r="AW20" i="7" s="1"/>
  <c r="C19" i="65"/>
  <c r="E19" s="1"/>
  <c r="AE21" i="1"/>
  <c r="AF20"/>
  <c r="AH20" s="1"/>
  <c r="AC21"/>
  <c r="AD20"/>
  <c r="AI20" i="5"/>
  <c r="AF18" i="2"/>
  <c r="AF19" l="1"/>
  <c r="B17" i="63" s="1"/>
  <c r="AE22" i="1"/>
  <c r="AF21"/>
  <c r="AH21" s="1"/>
  <c r="AC22"/>
  <c r="AD21"/>
  <c r="AC24" i="5"/>
  <c r="AD23"/>
  <c r="AE23"/>
  <c r="AF22"/>
  <c r="A17" i="63"/>
  <c r="AE19" i="2"/>
  <c r="AG19" s="1"/>
  <c r="AH22" i="5"/>
  <c r="AG23"/>
  <c r="V20" i="2"/>
  <c r="U21"/>
  <c r="AM20" i="1"/>
  <c r="F21" i="75" s="1"/>
  <c r="G21" s="1"/>
  <c r="AG20" i="1"/>
  <c r="AJ19"/>
  <c r="AK19" s="1"/>
  <c r="G16" i="81"/>
  <c r="AX20" i="7"/>
  <c r="AI20" i="1"/>
  <c r="C20" i="65"/>
  <c r="E20" s="1"/>
  <c r="T20" i="2"/>
  <c r="S21"/>
  <c r="H19" i="65"/>
  <c r="B16" i="63"/>
  <c r="AD20" i="2"/>
  <c r="AC21"/>
  <c r="Q17" i="76"/>
  <c r="R17" s="1"/>
  <c r="T17" s="1"/>
  <c r="F15" i="81" s="1"/>
  <c r="BJ19" i="7"/>
  <c r="AY19"/>
  <c r="B5" i="5"/>
  <c r="B6" s="1"/>
  <c r="H20" i="65" l="1"/>
  <c r="AI22" i="5"/>
  <c r="AF23"/>
  <c r="AE24"/>
  <c r="AF22" i="1"/>
  <c r="AH22" s="1"/>
  <c r="AE23"/>
  <c r="C6" i="5"/>
  <c r="B7"/>
  <c r="S22" i="2"/>
  <c r="T21"/>
  <c r="AY20" i="7"/>
  <c r="BJ20"/>
  <c r="Q18" i="76"/>
  <c r="R18" s="1"/>
  <c r="T18" s="1"/>
  <c r="F16" i="81" s="1"/>
  <c r="AD22" i="1"/>
  <c r="AC23"/>
  <c r="AJ20"/>
  <c r="AK20" s="1"/>
  <c r="AX21" i="7"/>
  <c r="G17" i="81"/>
  <c r="AH23" i="5"/>
  <c r="AG24"/>
  <c r="AG21" i="1"/>
  <c r="AM21"/>
  <c r="F22" i="75" s="1"/>
  <c r="G22" s="1"/>
  <c r="AD24" i="5"/>
  <c r="AC25"/>
  <c r="AF20" i="2"/>
  <c r="C21" i="65"/>
  <c r="E21" s="1"/>
  <c r="AI21" i="1"/>
  <c r="AW22" i="7" s="1"/>
  <c r="AC22" i="2"/>
  <c r="AD21"/>
  <c r="A18" i="63"/>
  <c r="AE20" i="2"/>
  <c r="AG20" s="1"/>
  <c r="U22"/>
  <c r="V21"/>
  <c r="AI23" i="5" l="1"/>
  <c r="G18" i="81"/>
  <c r="AJ21" i="1"/>
  <c r="AK21" s="1"/>
  <c r="AX22" i="7"/>
  <c r="AE25" i="5"/>
  <c r="AF24"/>
  <c r="C22" i="65"/>
  <c r="E22" s="1"/>
  <c r="AI22" i="1"/>
  <c r="AW23" i="7" s="1"/>
  <c r="AF23" i="1"/>
  <c r="AH23" s="1"/>
  <c r="AE24"/>
  <c r="V22" i="2"/>
  <c r="U23"/>
  <c r="C7" i="5"/>
  <c r="B8"/>
  <c r="AG25"/>
  <c r="AH24"/>
  <c r="AG22" i="1"/>
  <c r="AM22"/>
  <c r="F23" i="75" s="1"/>
  <c r="G23" s="1"/>
  <c r="G3" i="63"/>
  <c r="I6" i="5"/>
  <c r="D6"/>
  <c r="E6"/>
  <c r="AD25"/>
  <c r="AC26"/>
  <c r="H21" i="65"/>
  <c r="B18" i="63"/>
  <c r="BJ21" i="7"/>
  <c r="Q19" i="76"/>
  <c r="R19" s="1"/>
  <c r="T19" s="1"/>
  <c r="F17" i="81" s="1"/>
  <c r="AY21" i="7"/>
  <c r="S23" i="2"/>
  <c r="T22"/>
  <c r="AF21"/>
  <c r="AD22"/>
  <c r="AC23"/>
  <c r="AC24" i="1"/>
  <c r="AD23"/>
  <c r="A19" i="63"/>
  <c r="AE21" i="2"/>
  <c r="AG21" s="1"/>
  <c r="AS5" i="5"/>
  <c r="AS6" s="1"/>
  <c r="AI24" l="1"/>
  <c r="AF24" i="1"/>
  <c r="AH24" s="1"/>
  <c r="AE25"/>
  <c r="AD23" i="2"/>
  <c r="AC24"/>
  <c r="AF22"/>
  <c r="J6" i="5"/>
  <c r="L2" i="81" s="1"/>
  <c r="K2"/>
  <c r="AS7" i="5"/>
  <c r="AY6"/>
  <c r="AE26"/>
  <c r="AF25"/>
  <c r="T23" i="2"/>
  <c r="S24"/>
  <c r="AH25" i="5"/>
  <c r="AG26"/>
  <c r="AD24" i="1"/>
  <c r="AC25"/>
  <c r="U24" i="2"/>
  <c r="V23"/>
  <c r="AG23" i="1"/>
  <c r="AM23"/>
  <c r="F24" i="75" s="1"/>
  <c r="G24" s="1"/>
  <c r="E7" i="5"/>
  <c r="G4" i="63"/>
  <c r="D7" i="5"/>
  <c r="I7"/>
  <c r="C8"/>
  <c r="B9"/>
  <c r="A20" i="63"/>
  <c r="AE22" i="2"/>
  <c r="AG22" s="1"/>
  <c r="G19" i="81"/>
  <c r="AX23" i="7"/>
  <c r="AJ22" i="1"/>
  <c r="AK22" s="1"/>
  <c r="Q20" i="76"/>
  <c r="R20" s="1"/>
  <c r="T20" s="1"/>
  <c r="F18" i="81" s="1"/>
  <c r="BJ22" i="7"/>
  <c r="AY22"/>
  <c r="H22" i="65"/>
  <c r="B19" i="63"/>
  <c r="AD26" i="5"/>
  <c r="AC27"/>
  <c r="C23" i="65"/>
  <c r="E23" s="1"/>
  <c r="AI23" i="1"/>
  <c r="AW24" i="7" s="1"/>
  <c r="AY5" i="5"/>
  <c r="BB6" l="1"/>
  <c r="BE6" s="1"/>
  <c r="BF6" s="1"/>
  <c r="BG6" s="1"/>
  <c r="G6" i="65" s="1"/>
  <c r="AI25" i="5"/>
  <c r="AY23" i="7"/>
  <c r="BJ23"/>
  <c r="Q21" i="76"/>
  <c r="R21" s="1"/>
  <c r="T21" s="1"/>
  <c r="F19" i="81" s="1"/>
  <c r="AH26" i="5"/>
  <c r="AG27"/>
  <c r="AF25" i="1"/>
  <c r="AH25" s="1"/>
  <c r="AE26"/>
  <c r="J7" i="5"/>
  <c r="L3" i="81" s="1"/>
  <c r="K3"/>
  <c r="U25" i="2"/>
  <c r="V24"/>
  <c r="G20" i="81"/>
  <c r="AJ23" i="1"/>
  <c r="AK23" s="1"/>
  <c r="AX24" i="7"/>
  <c r="AF26" i="5"/>
  <c r="AI26" s="1"/>
  <c r="AE27"/>
  <c r="AD24" i="2"/>
  <c r="AC25"/>
  <c r="C9" i="5"/>
  <c r="B10"/>
  <c r="I8"/>
  <c r="D8"/>
  <c r="E8"/>
  <c r="G5" i="63"/>
  <c r="H23" i="65"/>
  <c r="B20" i="63"/>
  <c r="T24" i="2"/>
  <c r="S25"/>
  <c r="AF23"/>
  <c r="C24" i="65"/>
  <c r="E24" s="1"/>
  <c r="AI24" i="1"/>
  <c r="AW25" i="7" s="1"/>
  <c r="AG24" i="1"/>
  <c r="AM24"/>
  <c r="F25" i="75" s="1"/>
  <c r="G25" s="1"/>
  <c r="AY7" i="5"/>
  <c r="BB7" s="1"/>
  <c r="BE7" s="1"/>
  <c r="I3" i="63" s="1"/>
  <c r="AS8" i="5"/>
  <c r="AC28"/>
  <c r="AD27"/>
  <c r="AC26" i="1"/>
  <c r="AD25"/>
  <c r="A21" i="63"/>
  <c r="AE23" i="2"/>
  <c r="AG23" s="1"/>
  <c r="BF7" i="5" l="1"/>
  <c r="BG7" s="1"/>
  <c r="G7" i="65" s="1"/>
  <c r="AD26" i="1"/>
  <c r="AC27"/>
  <c r="AJ24"/>
  <c r="AK24" s="1"/>
  <c r="G21" i="81"/>
  <c r="AX25" i="7"/>
  <c r="B11" i="5"/>
  <c r="C10"/>
  <c r="AH27"/>
  <c r="AG28"/>
  <c r="AM25" i="1"/>
  <c r="F26" i="75" s="1"/>
  <c r="G26" s="1"/>
  <c r="AG25" i="1"/>
  <c r="AD25" i="2"/>
  <c r="AC26"/>
  <c r="V25"/>
  <c r="U26"/>
  <c r="A22" i="63"/>
  <c r="AE24" i="2"/>
  <c r="AG24" s="1"/>
  <c r="D9" i="5"/>
  <c r="G6" i="63"/>
  <c r="I9" i="5"/>
  <c r="E9"/>
  <c r="AY8"/>
  <c r="BB8" s="1"/>
  <c r="BE8" s="1"/>
  <c r="I4" i="63" s="1"/>
  <c r="AS9" i="5"/>
  <c r="B21" i="63"/>
  <c r="H24" i="65"/>
  <c r="J8" i="5"/>
  <c r="L4" i="81" s="1"/>
  <c r="K4"/>
  <c r="C25" i="65"/>
  <c r="E25" s="1"/>
  <c r="AI25" i="1"/>
  <c r="AW26" i="7" s="1"/>
  <c r="AF27" i="5"/>
  <c r="AE28"/>
  <c r="T25" i="2"/>
  <c r="S26"/>
  <c r="AD28" i="5"/>
  <c r="AC29"/>
  <c r="AY24" i="7"/>
  <c r="Q22" i="76"/>
  <c r="R22" s="1"/>
  <c r="T22" s="1"/>
  <c r="F20" i="81" s="1"/>
  <c r="BJ24" i="7"/>
  <c r="AE27" i="1"/>
  <c r="AF26"/>
  <c r="AH26" s="1"/>
  <c r="AF24" i="2"/>
  <c r="M5" i="5"/>
  <c r="M6" s="1"/>
  <c r="O5"/>
  <c r="O6" s="1"/>
  <c r="BF8" l="1"/>
  <c r="BG8" s="1"/>
  <c r="G8" i="65" s="1"/>
  <c r="AI27" i="5"/>
  <c r="AF27" i="1"/>
  <c r="AH27" s="1"/>
  <c r="AE28"/>
  <c r="AF28" i="5"/>
  <c r="AE29"/>
  <c r="AG29"/>
  <c r="AH28"/>
  <c r="AM26" i="1"/>
  <c r="F27" i="75" s="1"/>
  <c r="G27" s="1"/>
  <c r="AG26" i="1"/>
  <c r="AC28"/>
  <c r="AD27"/>
  <c r="B22" i="63"/>
  <c r="H25" i="65"/>
  <c r="T26" i="2"/>
  <c r="S27"/>
  <c r="P6" i="5"/>
  <c r="O7"/>
  <c r="K5" i="81"/>
  <c r="J9" i="5"/>
  <c r="L5" i="81" s="1"/>
  <c r="N6" i="5"/>
  <c r="M7"/>
  <c r="AD29"/>
  <c r="AC30"/>
  <c r="AD26" i="2"/>
  <c r="AC27"/>
  <c r="AY25" i="7"/>
  <c r="Q23" i="76"/>
  <c r="R23" s="1"/>
  <c r="T23" s="1"/>
  <c r="F21" i="81" s="1"/>
  <c r="BJ25" i="7"/>
  <c r="B12" i="5"/>
  <c r="C11"/>
  <c r="AF25" i="2"/>
  <c r="C26" i="65"/>
  <c r="E26" s="1"/>
  <c r="AI26" i="1"/>
  <c r="AW27" i="7" s="1"/>
  <c r="G22" i="81"/>
  <c r="AX26" i="7"/>
  <c r="AJ25" i="1"/>
  <c r="AK25" s="1"/>
  <c r="AS10" i="5"/>
  <c r="AY9"/>
  <c r="BB9" s="1"/>
  <c r="BE9" s="1"/>
  <c r="I5" i="63" s="1"/>
  <c r="V26" i="2"/>
  <c r="AF26" s="1"/>
  <c r="U27"/>
  <c r="E10" i="5"/>
  <c r="I10"/>
  <c r="D10"/>
  <c r="G7" i="63"/>
  <c r="AE25" i="2"/>
  <c r="AG25" s="1"/>
  <c r="A23" i="63"/>
  <c r="V5" i="5"/>
  <c r="V6" s="1"/>
  <c r="AF5"/>
  <c r="AH5"/>
  <c r="BF9" l="1"/>
  <c r="BG9" s="1"/>
  <c r="G9" i="65" s="1"/>
  <c r="Q6" i="5"/>
  <c r="M2" i="81" s="1"/>
  <c r="AI28" i="5"/>
  <c r="V27" i="2"/>
  <c r="U28"/>
  <c r="B24" i="63"/>
  <c r="H27" i="65"/>
  <c r="AJ26" i="1"/>
  <c r="AK26" s="1"/>
  <c r="AX27" i="7"/>
  <c r="G23" i="81"/>
  <c r="AC28" i="2"/>
  <c r="AD27"/>
  <c r="AD28" i="1"/>
  <c r="AC29"/>
  <c r="C27" i="65"/>
  <c r="E27" s="1"/>
  <c r="AI27" i="1"/>
  <c r="AW28" i="7" s="1"/>
  <c r="AG27" i="1"/>
  <c r="AM27"/>
  <c r="F28" i="75" s="1"/>
  <c r="G28" s="1"/>
  <c r="AE30" i="5"/>
  <c r="AF29"/>
  <c r="AH29"/>
  <c r="AG30"/>
  <c r="AD30"/>
  <c r="AC31"/>
  <c r="B23" i="63"/>
  <c r="H26" i="65"/>
  <c r="P7" i="5"/>
  <c r="O8"/>
  <c r="AF28" i="1"/>
  <c r="AH28" s="1"/>
  <c r="AE29"/>
  <c r="J10" i="5"/>
  <c r="L6" i="81" s="1"/>
  <c r="K6"/>
  <c r="A24" i="63"/>
  <c r="AE26" i="2"/>
  <c r="AG26" s="1"/>
  <c r="Q24" i="76"/>
  <c r="R24" s="1"/>
  <c r="T24" s="1"/>
  <c r="F22" i="81" s="1"/>
  <c r="AY26" i="7"/>
  <c r="BJ26"/>
  <c r="W6" i="5"/>
  <c r="AL6" s="1"/>
  <c r="V7"/>
  <c r="AY10"/>
  <c r="BB10" s="1"/>
  <c r="BE10" s="1"/>
  <c r="I6" i="63" s="1"/>
  <c r="AS11" i="5"/>
  <c r="B13"/>
  <c r="C12"/>
  <c r="M8"/>
  <c r="N7"/>
  <c r="E11"/>
  <c r="G8" i="63"/>
  <c r="D11" i="5"/>
  <c r="I11"/>
  <c r="S28" i="2"/>
  <c r="T27"/>
  <c r="W5" i="5"/>
  <c r="AI5"/>
  <c r="Q7" l="1"/>
  <c r="M3" i="81" s="1"/>
  <c r="AI29" i="5"/>
  <c r="AF27" i="2"/>
  <c r="H28" i="65" s="1"/>
  <c r="K7" i="81"/>
  <c r="J11" i="5"/>
  <c r="L7" i="81" s="1"/>
  <c r="AS12" i="5"/>
  <c r="AY11"/>
  <c r="BB11" s="1"/>
  <c r="BE11" s="1"/>
  <c r="I7" i="63" s="1"/>
  <c r="D12" i="5"/>
  <c r="I12"/>
  <c r="E12"/>
  <c r="G9" i="63"/>
  <c r="AD29" i="1"/>
  <c r="AC30"/>
  <c r="U29" i="2"/>
  <c r="V28"/>
  <c r="C28" i="65"/>
  <c r="E28" s="1"/>
  <c r="AI28" i="1"/>
  <c r="AW29" i="7" s="1"/>
  <c r="A25" i="63"/>
  <c r="AE27" i="2"/>
  <c r="AG27" s="1"/>
  <c r="N8" i="5"/>
  <c r="M9"/>
  <c r="AE30" i="1"/>
  <c r="AF29"/>
  <c r="AH29" s="1"/>
  <c r="AH30" i="5"/>
  <c r="AG31"/>
  <c r="BJ27" i="7"/>
  <c r="Q25" i="76"/>
  <c r="R25" s="1"/>
  <c r="T25" s="1"/>
  <c r="F23" i="81" s="1"/>
  <c r="AY27" i="7"/>
  <c r="AM28" i="1"/>
  <c r="F29" i="75" s="1"/>
  <c r="G29" s="1"/>
  <c r="AG28" i="1"/>
  <c r="C13" i="5"/>
  <c r="B14"/>
  <c r="P8"/>
  <c r="O9"/>
  <c r="S29" i="2"/>
  <c r="T28"/>
  <c r="AD31" i="5"/>
  <c r="AC32"/>
  <c r="AX28" i="7"/>
  <c r="G24" i="81"/>
  <c r="AJ27" i="1"/>
  <c r="AK27" s="1"/>
  <c r="V8" i="5"/>
  <c r="W7"/>
  <c r="AL7" s="1"/>
  <c r="AE31"/>
  <c r="AF30"/>
  <c r="AD28" i="2"/>
  <c r="AC29"/>
  <c r="BF10" i="5"/>
  <c r="BG10" s="1"/>
  <c r="G10" i="65" s="1"/>
  <c r="AI30" i="5" l="1"/>
  <c r="Q8"/>
  <c r="M4" i="81" s="1"/>
  <c r="B25" i="63"/>
  <c r="BF11" i="5"/>
  <c r="BG11" s="1"/>
  <c r="G11" i="65" s="1"/>
  <c r="AD32" i="5"/>
  <c r="AC33"/>
  <c r="AD29" i="2"/>
  <c r="AC30"/>
  <c r="K8" i="81"/>
  <c r="J12" i="5"/>
  <c r="L8" i="81" s="1"/>
  <c r="P9" i="5"/>
  <c r="O10"/>
  <c r="W8"/>
  <c r="AL8" s="1"/>
  <c r="V9"/>
  <c r="T29" i="2"/>
  <c r="S30"/>
  <c r="N9" i="5"/>
  <c r="M10"/>
  <c r="AD30" i="1"/>
  <c r="AC31"/>
  <c r="AS13" i="5"/>
  <c r="AY12"/>
  <c r="BB12" s="1"/>
  <c r="BE12" s="1"/>
  <c r="I8" i="63" s="1"/>
  <c r="AX29" i="7"/>
  <c r="AJ28" i="1"/>
  <c r="AK28" s="1"/>
  <c r="G25" i="81"/>
  <c r="C14" i="5"/>
  <c r="B15"/>
  <c r="AF30" i="1"/>
  <c r="AH30" s="1"/>
  <c r="AE31"/>
  <c r="V29" i="2"/>
  <c r="U30"/>
  <c r="E13" i="5"/>
  <c r="G10" i="63"/>
  <c r="D13" i="5"/>
  <c r="I13"/>
  <c r="AH31"/>
  <c r="AG32"/>
  <c r="BJ28" i="7"/>
  <c r="AY28"/>
  <c r="Q26" i="76"/>
  <c r="R26" s="1"/>
  <c r="T26" s="1"/>
  <c r="F24" i="81" s="1"/>
  <c r="AM29" i="1"/>
  <c r="F30" i="75" s="1"/>
  <c r="G30" s="1"/>
  <c r="AG29" i="1"/>
  <c r="A26" i="63"/>
  <c r="AE28" i="2"/>
  <c r="AG28" s="1"/>
  <c r="AF31" i="5"/>
  <c r="AE32"/>
  <c r="C29" i="65"/>
  <c r="E29" s="1"/>
  <c r="AI29" i="1"/>
  <c r="AW30" i="7" s="1"/>
  <c r="AF28" i="2"/>
  <c r="AL5" i="5"/>
  <c r="AD3" i="2"/>
  <c r="Q9" i="5" l="1"/>
  <c r="M5" i="81" s="1"/>
  <c r="AG30" i="1"/>
  <c r="AM30"/>
  <c r="F31" i="75" s="1"/>
  <c r="G31" s="1"/>
  <c r="AD33" i="5"/>
  <c r="AC34"/>
  <c r="AF31" i="1"/>
  <c r="AH31" s="1"/>
  <c r="AE32"/>
  <c r="AE33" i="5"/>
  <c r="AF32"/>
  <c r="AI31"/>
  <c r="J13"/>
  <c r="L9" i="81" s="1"/>
  <c r="K9"/>
  <c r="C30" i="65"/>
  <c r="E30" s="1"/>
  <c r="AI30" i="1"/>
  <c r="AW31" i="7" s="1"/>
  <c r="C15" i="5"/>
  <c r="B16"/>
  <c r="AD31" i="1"/>
  <c r="AC32"/>
  <c r="W9" i="5"/>
  <c r="AL9" s="1"/>
  <c r="V10"/>
  <c r="U31" i="2"/>
  <c r="V30"/>
  <c r="BF12" i="5"/>
  <c r="BG12" s="1"/>
  <c r="G12" i="65" s="1"/>
  <c r="O11" i="5"/>
  <c r="P10"/>
  <c r="AH32"/>
  <c r="AG33"/>
  <c r="AY13"/>
  <c r="BB13" s="1"/>
  <c r="BE13" s="1"/>
  <c r="I9" i="63" s="1"/>
  <c r="AS14" i="5"/>
  <c r="AD30" i="2"/>
  <c r="AC31"/>
  <c r="AY29" i="7"/>
  <c r="BJ29"/>
  <c r="Q27" i="76"/>
  <c r="R27" s="1"/>
  <c r="T27" s="1"/>
  <c r="F25" i="81" s="1"/>
  <c r="AE29" i="2"/>
  <c r="AG29" s="1"/>
  <c r="A27" i="63"/>
  <c r="AJ29" i="1"/>
  <c r="AK29" s="1"/>
  <c r="G26" i="81"/>
  <c r="AX30" i="7"/>
  <c r="T30" i="2"/>
  <c r="S31"/>
  <c r="B26" i="63"/>
  <c r="H29" i="65"/>
  <c r="E14" i="5"/>
  <c r="G11" i="63"/>
  <c r="D14" i="5"/>
  <c r="I14"/>
  <c r="N10"/>
  <c r="M11"/>
  <c r="AF29" i="2"/>
  <c r="BF13" i="5" l="1"/>
  <c r="BG13" s="1"/>
  <c r="G13" i="65" s="1"/>
  <c r="AM31" i="1"/>
  <c r="F32" i="75" s="1"/>
  <c r="G32" s="1"/>
  <c r="AG31" i="1"/>
  <c r="B27" i="63"/>
  <c r="H30" i="65"/>
  <c r="AC35" i="5"/>
  <c r="AD34"/>
  <c r="N11"/>
  <c r="M12"/>
  <c r="AD32" i="1"/>
  <c r="AC33"/>
  <c r="P11" i="5"/>
  <c r="Q11" s="1"/>
  <c r="M7" i="81" s="1"/>
  <c r="O12" i="5"/>
  <c r="AS15"/>
  <c r="AY14"/>
  <c r="BB14" s="1"/>
  <c r="BE14" s="1"/>
  <c r="I10" i="63" s="1"/>
  <c r="AE33" i="1"/>
  <c r="AF32"/>
  <c r="AH32" s="1"/>
  <c r="A28" i="63"/>
  <c r="AE30" i="2"/>
  <c r="AI31" i="1"/>
  <c r="AW32" i="7" s="1"/>
  <c r="C31" i="65"/>
  <c r="E31" s="1"/>
  <c r="V31" i="2"/>
  <c r="U32"/>
  <c r="D15" i="5"/>
  <c r="E15"/>
  <c r="I15"/>
  <c r="G12" i="63"/>
  <c r="AE34" i="5"/>
  <c r="AF33"/>
  <c r="Q10"/>
  <c r="AF30" i="2"/>
  <c r="S32"/>
  <c r="T31"/>
  <c r="AH33" i="5"/>
  <c r="AG34"/>
  <c r="V11"/>
  <c r="W10"/>
  <c r="AL10" s="1"/>
  <c r="AJ30" i="1"/>
  <c r="AK30" s="1"/>
  <c r="G27" i="81"/>
  <c r="AX31" i="7"/>
  <c r="K10" i="81"/>
  <c r="J14" i="5"/>
  <c r="L10" i="81" s="1"/>
  <c r="BF14" i="5"/>
  <c r="BG14" s="1"/>
  <c r="G14" i="65" s="1"/>
  <c r="AY30" i="7"/>
  <c r="Q28" i="76"/>
  <c r="R28" s="1"/>
  <c r="T28" s="1"/>
  <c r="F26" i="81" s="1"/>
  <c r="BJ30" i="7"/>
  <c r="AD31" i="2"/>
  <c r="AC32"/>
  <c r="C16" i="5"/>
  <c r="B17"/>
  <c r="AI32"/>
  <c r="AG30" i="2" l="1"/>
  <c r="AF31"/>
  <c r="B29" i="63" s="1"/>
  <c r="AC34" i="1"/>
  <c r="AD33"/>
  <c r="AX32" i="7"/>
  <c r="AJ31" i="1"/>
  <c r="AK31" s="1"/>
  <c r="G28" i="81"/>
  <c r="B18" i="5"/>
  <c r="C17"/>
  <c r="J15"/>
  <c r="L11" i="81" s="1"/>
  <c r="K11"/>
  <c r="AG32" i="1"/>
  <c r="AM32"/>
  <c r="F33" i="75" s="1"/>
  <c r="G33" s="1"/>
  <c r="AH34" i="5"/>
  <c r="AG35"/>
  <c r="W11"/>
  <c r="AL11" s="1"/>
  <c r="V12"/>
  <c r="M6" i="81"/>
  <c r="AS16" i="5"/>
  <c r="AY15"/>
  <c r="BB15" s="1"/>
  <c r="BE15" s="1"/>
  <c r="I11" i="63" s="1"/>
  <c r="BJ31" i="7"/>
  <c r="Q29" i="76"/>
  <c r="R29" s="1"/>
  <c r="T29" s="1"/>
  <c r="F27" i="81" s="1"/>
  <c r="AY31" i="7"/>
  <c r="T32" i="2"/>
  <c r="AE32" s="1"/>
  <c r="AG32" s="1"/>
  <c r="S33"/>
  <c r="AF33" i="1"/>
  <c r="AH33" s="1"/>
  <c r="AI33" s="1"/>
  <c r="AW34" i="7" s="1"/>
  <c r="AE34" i="1"/>
  <c r="AF34" i="5"/>
  <c r="AI34" s="1"/>
  <c r="AE35"/>
  <c r="P12"/>
  <c r="O13"/>
  <c r="AC36"/>
  <c r="AD36" s="1"/>
  <c r="AD35"/>
  <c r="H31" i="65"/>
  <c r="B28" i="63"/>
  <c r="V32" i="2"/>
  <c r="U33"/>
  <c r="AD32"/>
  <c r="AC33"/>
  <c r="G13" i="63"/>
  <c r="I16" i="5"/>
  <c r="E16"/>
  <c r="D16"/>
  <c r="A29" i="63"/>
  <c r="AE31" i="2"/>
  <c r="AG31" s="1"/>
  <c r="C32" i="65"/>
  <c r="E32" s="1"/>
  <c r="AI32" i="1"/>
  <c r="AW33" i="7" s="1"/>
  <c r="N12" i="5"/>
  <c r="M13"/>
  <c r="AI33"/>
  <c r="AF32" i="2" l="1"/>
  <c r="H32" i="65"/>
  <c r="BF15" i="5"/>
  <c r="BG15" s="1"/>
  <c r="G15" i="65" s="1"/>
  <c r="AD33" i="2"/>
  <c r="AC34"/>
  <c r="AD34" s="1"/>
  <c r="T33"/>
  <c r="AE33" s="1"/>
  <c r="AG33" s="1"/>
  <c r="S34"/>
  <c r="T34" s="1"/>
  <c r="AE34" s="1"/>
  <c r="AG34" s="1"/>
  <c r="AD34" i="1"/>
  <c r="AC35"/>
  <c r="AD35" s="1"/>
  <c r="AF34"/>
  <c r="AH34" s="1"/>
  <c r="AI34" s="1"/>
  <c r="AW35" i="7" s="1"/>
  <c r="AE35" i="1"/>
  <c r="AF35" s="1"/>
  <c r="AH35" s="1"/>
  <c r="AY16" i="5"/>
  <c r="BB16" s="1"/>
  <c r="BE16" s="1"/>
  <c r="I12" i="63" s="1"/>
  <c r="AS17" i="5"/>
  <c r="G30" i="81"/>
  <c r="AJ33" i="1"/>
  <c r="AK33" s="1"/>
  <c r="AX34" i="7"/>
  <c r="N13" i="5"/>
  <c r="M14"/>
  <c r="AY32" i="7"/>
  <c r="Q30" i="76"/>
  <c r="R30" s="1"/>
  <c r="T30" s="1"/>
  <c r="F28" i="81" s="1"/>
  <c r="BJ32" i="7"/>
  <c r="AG36" i="5"/>
  <c r="AH36" s="1"/>
  <c r="AH35"/>
  <c r="C18"/>
  <c r="B19"/>
  <c r="V33" i="2"/>
  <c r="U34"/>
  <c r="V34" s="1"/>
  <c r="P13" i="5"/>
  <c r="O14"/>
  <c r="D17"/>
  <c r="I17"/>
  <c r="G14" i="63"/>
  <c r="E17" i="5"/>
  <c r="Q12"/>
  <c r="M8" i="81" s="1"/>
  <c r="AJ32" i="1"/>
  <c r="AK32" s="1"/>
  <c r="AX33" i="7"/>
  <c r="G29" i="81"/>
  <c r="AM33" i="1"/>
  <c r="AG33"/>
  <c r="J16" i="5"/>
  <c r="L12" i="81" s="1"/>
  <c r="K12"/>
  <c r="AF35" i="5"/>
  <c r="AE36"/>
  <c r="AF36" s="1"/>
  <c r="V13"/>
  <c r="W12"/>
  <c r="AL12" s="1"/>
  <c r="AI36" l="1"/>
  <c r="Q13"/>
  <c r="M9" i="81" s="1"/>
  <c r="Q31" i="76"/>
  <c r="R31" s="1"/>
  <c r="T31" s="1"/>
  <c r="F29" i="81" s="1"/>
  <c r="AY33" i="7"/>
  <c r="BJ33"/>
  <c r="O15" i="5"/>
  <c r="P14"/>
  <c r="AM35" i="1"/>
  <c r="AG35"/>
  <c r="W13" i="5"/>
  <c r="AL13" s="1"/>
  <c r="V14"/>
  <c r="Q32" i="76"/>
  <c r="R32" s="1"/>
  <c r="T32" s="1"/>
  <c r="F30" i="81" s="1"/>
  <c r="AY34" i="7"/>
  <c r="BJ34"/>
  <c r="G31" i="81"/>
  <c r="AX35" i="7"/>
  <c r="AJ34" i="1"/>
  <c r="AK34" s="1"/>
  <c r="AF33" i="2"/>
  <c r="AY17" i="5"/>
  <c r="BB17" s="1"/>
  <c r="BE17" s="1"/>
  <c r="I13" i="63" s="1"/>
  <c r="AS18" i="5"/>
  <c r="J17"/>
  <c r="L13" i="81" s="1"/>
  <c r="K13"/>
  <c r="D18" i="5"/>
  <c r="E18"/>
  <c r="G15" i="63"/>
  <c r="I18" i="5"/>
  <c r="AM34" i="1"/>
  <c r="AM36" s="1"/>
  <c r="AG34"/>
  <c r="C19" i="5"/>
  <c r="B20"/>
  <c r="N14"/>
  <c r="M15"/>
  <c r="AI35" i="1"/>
  <c r="AH36"/>
  <c r="BF16" i="5"/>
  <c r="BG16" s="1"/>
  <c r="G16" i="65" s="1"/>
  <c r="AI35" i="5"/>
  <c r="AF34" i="2"/>
  <c r="T3"/>
  <c r="V3"/>
  <c r="Q14" i="5" l="1"/>
  <c r="M10" i="81" s="1"/>
  <c r="J18" i="5"/>
  <c r="L14" i="81" s="1"/>
  <c r="K14"/>
  <c r="V15" i="5"/>
  <c r="W14"/>
  <c r="AL14" s="1"/>
  <c r="AS19"/>
  <c r="AY18"/>
  <c r="BB18" s="1"/>
  <c r="BE18" s="1"/>
  <c r="I14" i="63" s="1"/>
  <c r="AY35" i="7"/>
  <c r="AY37" s="1"/>
  <c r="BJ35"/>
  <c r="Q33" i="76"/>
  <c r="R33" s="1"/>
  <c r="T33" s="1"/>
  <c r="F31" i="81" s="1"/>
  <c r="AX37" i="7"/>
  <c r="AX42" s="1"/>
  <c r="D19" i="5"/>
  <c r="I19"/>
  <c r="G16" i="63"/>
  <c r="E19" i="5"/>
  <c r="O16"/>
  <c r="P15"/>
  <c r="B21"/>
  <c r="C20"/>
  <c r="N15"/>
  <c r="M16"/>
  <c r="AK35" i="1"/>
  <c r="AI37"/>
  <c r="BF17" i="5"/>
  <c r="BG17" s="1"/>
  <c r="G17" i="65" s="1"/>
  <c r="AE3" i="2"/>
  <c r="AF3"/>
  <c r="C5" i="5"/>
  <c r="G2" i="63" s="1"/>
  <c r="I2" s="1"/>
  <c r="AD5" i="5"/>
  <c r="Q15" l="1"/>
  <c r="M11" i="81" s="1"/>
  <c r="BF18" i="5"/>
  <c r="BG18" s="1"/>
  <c r="G18" i="65" s="1"/>
  <c r="E20" i="5"/>
  <c r="I20"/>
  <c r="G17" i="63"/>
  <c r="D20" i="5"/>
  <c r="W15"/>
  <c r="AL15" s="1"/>
  <c r="V16"/>
  <c r="N16"/>
  <c r="M17"/>
  <c r="K15" i="81"/>
  <c r="J19" i="5"/>
  <c r="L15" i="81" s="1"/>
  <c r="AS20" i="5"/>
  <c r="AY19"/>
  <c r="BB19" s="1"/>
  <c r="BE19" s="1"/>
  <c r="I15" i="63" s="1"/>
  <c r="L2" i="3"/>
  <c r="L3" s="1"/>
  <c r="C21" i="5"/>
  <c r="B22"/>
  <c r="O17"/>
  <c r="P16"/>
  <c r="Q16" s="1"/>
  <c r="M12" i="81" s="1"/>
  <c r="AG3" i="2"/>
  <c r="E5" i="5"/>
  <c r="D5"/>
  <c r="I5"/>
  <c r="BF19" l="1"/>
  <c r="BG19" s="1"/>
  <c r="G19" i="65" s="1"/>
  <c r="J2" i="3"/>
  <c r="J3" s="1"/>
  <c r="P17" i="5"/>
  <c r="O18"/>
  <c r="J20"/>
  <c r="L16" i="81" s="1"/>
  <c r="K16"/>
  <c r="C22" i="5"/>
  <c r="B23"/>
  <c r="AS21"/>
  <c r="AY20"/>
  <c r="BB20" s="1"/>
  <c r="BE20" s="1"/>
  <c r="I16" i="63" s="1"/>
  <c r="M3" i="3"/>
  <c r="L4"/>
  <c r="W16" i="5"/>
  <c r="AL16" s="1"/>
  <c r="V17"/>
  <c r="G18" i="63"/>
  <c r="I21" i="5"/>
  <c r="E21"/>
  <c r="D21"/>
  <c r="N17"/>
  <c r="M18"/>
  <c r="J5"/>
  <c r="Q17" l="1"/>
  <c r="M13" i="81" s="1"/>
  <c r="AY21" i="5"/>
  <c r="BB21" s="1"/>
  <c r="BE21" s="1"/>
  <c r="I17" i="63" s="1"/>
  <c r="AS22" i="5"/>
  <c r="J4" i="3"/>
  <c r="K3"/>
  <c r="J21" i="5"/>
  <c r="L17" i="81" s="1"/>
  <c r="K17"/>
  <c r="C23" i="5"/>
  <c r="B24"/>
  <c r="BF20"/>
  <c r="BG20" s="1"/>
  <c r="G20" i="65" s="1"/>
  <c r="D22" i="5"/>
  <c r="E22"/>
  <c r="I22"/>
  <c r="G19" i="63"/>
  <c r="P18" i="5"/>
  <c r="O19"/>
  <c r="N18"/>
  <c r="M19"/>
  <c r="M4" i="3"/>
  <c r="L5"/>
  <c r="W17" i="5"/>
  <c r="AL17" s="1"/>
  <c r="V18"/>
  <c r="Q18" l="1"/>
  <c r="M14" i="81" s="1"/>
  <c r="K4" i="3"/>
  <c r="J5"/>
  <c r="P19" i="5"/>
  <c r="O20"/>
  <c r="W18"/>
  <c r="AL18" s="1"/>
  <c r="V19"/>
  <c r="G20" i="63"/>
  <c r="I23" i="5"/>
  <c r="D23"/>
  <c r="E23"/>
  <c r="C24"/>
  <c r="B25"/>
  <c r="AY22"/>
  <c r="BB22" s="1"/>
  <c r="BE22" s="1"/>
  <c r="I18" i="63" s="1"/>
  <c r="AS23" i="5"/>
  <c r="Z3" i="3"/>
  <c r="N3"/>
  <c r="N19" i="5"/>
  <c r="M20"/>
  <c r="J22"/>
  <c r="L18" i="81" s="1"/>
  <c r="K18"/>
  <c r="L6" i="3"/>
  <c r="M5"/>
  <c r="BF21" i="5"/>
  <c r="BG21" s="1"/>
  <c r="G21" i="65" s="1"/>
  <c r="Q19" i="5" l="1"/>
  <c r="M15" i="81" s="1"/>
  <c r="C25" i="5"/>
  <c r="B26"/>
  <c r="K5" i="3"/>
  <c r="J6"/>
  <c r="W19" i="5"/>
  <c r="AL19" s="1"/>
  <c r="V20"/>
  <c r="K19" i="81"/>
  <c r="J23" i="5"/>
  <c r="L19" i="81" s="1"/>
  <c r="Z4" i="3"/>
  <c r="N4"/>
  <c r="AY23" i="5"/>
  <c r="BB23" s="1"/>
  <c r="BE23" s="1"/>
  <c r="I19" i="63" s="1"/>
  <c r="AS24" i="5"/>
  <c r="L7" i="3"/>
  <c r="M6"/>
  <c r="F3" i="63"/>
  <c r="AL3" i="3"/>
  <c r="H5" i="75"/>
  <c r="AE3" i="3"/>
  <c r="AF3" s="1"/>
  <c r="AK3"/>
  <c r="P20" i="5"/>
  <c r="O21"/>
  <c r="N20"/>
  <c r="M21"/>
  <c r="I24"/>
  <c r="D24"/>
  <c r="E24"/>
  <c r="G21" i="63"/>
  <c r="BF22" i="5"/>
  <c r="BG22" s="1"/>
  <c r="G22" i="65" s="1"/>
  <c r="Q20" i="5" l="1"/>
  <c r="M16" i="81" s="1"/>
  <c r="BF23" i="5"/>
  <c r="BG23" s="1"/>
  <c r="G23" i="65" s="1"/>
  <c r="P21" i="5"/>
  <c r="O22"/>
  <c r="G22" i="63"/>
  <c r="I25" i="5"/>
  <c r="E25"/>
  <c r="D25"/>
  <c r="C26"/>
  <c r="B27"/>
  <c r="N21"/>
  <c r="M22"/>
  <c r="N5" i="3"/>
  <c r="AB5" s="1"/>
  <c r="Z5"/>
  <c r="J24" i="5"/>
  <c r="L20" i="81" s="1"/>
  <c r="K20"/>
  <c r="AY24" i="5"/>
  <c r="BB24" s="1"/>
  <c r="BE24" s="1"/>
  <c r="I20" i="63" s="1"/>
  <c r="AS25" i="5"/>
  <c r="F4" i="63"/>
  <c r="AE4" i="3"/>
  <c r="AF4" s="1"/>
  <c r="AK4"/>
  <c r="AL4"/>
  <c r="K6"/>
  <c r="J7"/>
  <c r="AG3"/>
  <c r="BK6" i="7"/>
  <c r="L8" i="3"/>
  <c r="M7"/>
  <c r="W20" i="5"/>
  <c r="AL20" s="1"/>
  <c r="V21"/>
  <c r="BF24" l="1"/>
  <c r="BG24" s="1"/>
  <c r="G24" i="65" s="1"/>
  <c r="V22" i="5"/>
  <c r="W21"/>
  <c r="AL21" s="1"/>
  <c r="AY25"/>
  <c r="BB25" s="1"/>
  <c r="BE25" s="1"/>
  <c r="I21" i="63" s="1"/>
  <c r="AS26" i="5"/>
  <c r="O23"/>
  <c r="P22"/>
  <c r="N6" i="3"/>
  <c r="AB6" s="1"/>
  <c r="Z6"/>
  <c r="D26" i="5"/>
  <c r="E26"/>
  <c r="I26"/>
  <c r="G23" i="63"/>
  <c r="K7" i="3"/>
  <c r="J8"/>
  <c r="M8"/>
  <c r="L9"/>
  <c r="C27" i="5"/>
  <c r="B28"/>
  <c r="N22"/>
  <c r="M23"/>
  <c r="AG4" i="3"/>
  <c r="BK7" i="7"/>
  <c r="F5" i="63"/>
  <c r="AL5" i="3"/>
  <c r="AK5"/>
  <c r="AC5"/>
  <c r="AE5"/>
  <c r="AF5" s="1"/>
  <c r="J25" i="5"/>
  <c r="L21" i="81" s="1"/>
  <c r="K21"/>
  <c r="Q21" i="5"/>
  <c r="M17" i="81" s="1"/>
  <c r="Q22" i="5" l="1"/>
  <c r="M18" i="81" s="1"/>
  <c r="K22"/>
  <c r="J26" i="5"/>
  <c r="L22" i="81" s="1"/>
  <c r="Z7" i="3"/>
  <c r="N7"/>
  <c r="V23" i="5"/>
  <c r="W22"/>
  <c r="AL22" s="1"/>
  <c r="M9" i="3"/>
  <c r="L10"/>
  <c r="AS27" i="5"/>
  <c r="AY26"/>
  <c r="BB26" s="1"/>
  <c r="BE26" s="1"/>
  <c r="I22" i="63" s="1"/>
  <c r="E27" i="5"/>
  <c r="I27"/>
  <c r="D27"/>
  <c r="G24" i="63"/>
  <c r="O24" i="5"/>
  <c r="P23"/>
  <c r="C28"/>
  <c r="B29"/>
  <c r="BK8" i="7"/>
  <c r="AG5" i="3"/>
  <c r="AH5" s="1"/>
  <c r="K8"/>
  <c r="J9"/>
  <c r="M24" i="5"/>
  <c r="N23"/>
  <c r="AK6" i="3"/>
  <c r="F6" i="63"/>
  <c r="AL6" i="3"/>
  <c r="AC6"/>
  <c r="AE6"/>
  <c r="AF6" s="1"/>
  <c r="BF25" i="5"/>
  <c r="BG25" s="1"/>
  <c r="G25" i="65" s="1"/>
  <c r="Q23" i="5" l="1"/>
  <c r="M19" i="81" s="1"/>
  <c r="BF26" i="5"/>
  <c r="BG26" s="1"/>
  <c r="G26" i="65" s="1"/>
  <c r="J10" i="3"/>
  <c r="K9"/>
  <c r="BK9" i="7"/>
  <c r="AG6" i="3"/>
  <c r="AH6" s="1"/>
  <c r="E28" i="5"/>
  <c r="I28"/>
  <c r="D28"/>
  <c r="G25" i="63"/>
  <c r="M25" i="5"/>
  <c r="N24"/>
  <c r="AY27"/>
  <c r="BB27" s="1"/>
  <c r="BE27" s="1"/>
  <c r="I23" i="63" s="1"/>
  <c r="AS28" i="5"/>
  <c r="C29"/>
  <c r="B30"/>
  <c r="K23" i="81"/>
  <c r="J27" i="5"/>
  <c r="L23" i="81" s="1"/>
  <c r="P24" i="5"/>
  <c r="O25"/>
  <c r="M10" i="3"/>
  <c r="L11"/>
  <c r="AK7"/>
  <c r="AE7"/>
  <c r="AF7" s="1"/>
  <c r="F7" i="63"/>
  <c r="AL7" i="3"/>
  <c r="Z8"/>
  <c r="N8"/>
  <c r="V24" i="5"/>
  <c r="W23"/>
  <c r="AL23" s="1"/>
  <c r="BF27" l="1"/>
  <c r="BG27" s="1"/>
  <c r="G27" i="65" s="1"/>
  <c r="V25" i="5"/>
  <c r="W24"/>
  <c r="AL24" s="1"/>
  <c r="P25"/>
  <c r="O26"/>
  <c r="BK10" i="7"/>
  <c r="AG7" i="3"/>
  <c r="Z9"/>
  <c r="N9"/>
  <c r="AL8"/>
  <c r="F8" i="63"/>
  <c r="AE8" i="3"/>
  <c r="AF8" s="1"/>
  <c r="AK8"/>
  <c r="AY28" i="5"/>
  <c r="BB28" s="1"/>
  <c r="BE28" s="1"/>
  <c r="I24" i="63" s="1"/>
  <c r="AS29" i="5"/>
  <c r="Q24"/>
  <c r="M20" i="81" s="1"/>
  <c r="K10" i="3"/>
  <c r="J11"/>
  <c r="M26" i="5"/>
  <c r="N25"/>
  <c r="D29"/>
  <c r="G26" i="63"/>
  <c r="I29" i="5"/>
  <c r="E29"/>
  <c r="M11" i="3"/>
  <c r="L12"/>
  <c r="B31" i="5"/>
  <c r="C30"/>
  <c r="J28"/>
  <c r="L24" i="81" s="1"/>
  <c r="K24"/>
  <c r="Q25" i="5" l="1"/>
  <c r="M21" i="81" s="1"/>
  <c r="BF28" i="5"/>
  <c r="BG28" s="1"/>
  <c r="G28" i="65" s="1"/>
  <c r="W25" i="5"/>
  <c r="AL25" s="1"/>
  <c r="V26"/>
  <c r="K11" i="3"/>
  <c r="J12"/>
  <c r="P26" i="5"/>
  <c r="O27"/>
  <c r="AL9" i="3"/>
  <c r="AK9"/>
  <c r="F9" i="63"/>
  <c r="AE9" i="3"/>
  <c r="AF9" s="1"/>
  <c r="J29" i="5"/>
  <c r="L25" i="81" s="1"/>
  <c r="K25"/>
  <c r="N10" i="3"/>
  <c r="AB10" s="1"/>
  <c r="Z10"/>
  <c r="AG8"/>
  <c r="BK11" i="7"/>
  <c r="M12" i="3"/>
  <c r="L13"/>
  <c r="C31" i="5"/>
  <c r="M27"/>
  <c r="N26"/>
  <c r="G27" i="63"/>
  <c r="D30" i="5"/>
  <c r="E30"/>
  <c r="I30"/>
  <c r="AS30"/>
  <c r="AY29"/>
  <c r="BB29" s="1"/>
  <c r="BE29" s="1"/>
  <c r="I25" i="63" s="1"/>
  <c r="N27" i="5" l="1"/>
  <c r="M28"/>
  <c r="K26" i="81"/>
  <c r="J30" i="5"/>
  <c r="L26" i="81" s="1"/>
  <c r="N11" i="3"/>
  <c r="Z11"/>
  <c r="M13"/>
  <c r="L14"/>
  <c r="AY30" i="5"/>
  <c r="BB30" s="1"/>
  <c r="BE30" s="1"/>
  <c r="I26" i="63" s="1"/>
  <c r="AS31" i="5"/>
  <c r="I31"/>
  <c r="D31"/>
  <c r="G28" i="63"/>
  <c r="E31" i="5"/>
  <c r="P27"/>
  <c r="O28"/>
  <c r="Q26"/>
  <c r="M22" i="81" s="1"/>
  <c r="AL10" i="3"/>
  <c r="AE10"/>
  <c r="AF10" s="1"/>
  <c r="F10" i="63"/>
  <c r="AK10" i="3"/>
  <c r="V27" i="5"/>
  <c r="W26"/>
  <c r="AL26" s="1"/>
  <c r="AG9" i="3"/>
  <c r="BK12" i="7"/>
  <c r="K12" i="3"/>
  <c r="J13"/>
  <c r="C32" i="5"/>
  <c r="B33"/>
  <c r="BF29"/>
  <c r="BG29" s="1"/>
  <c r="G29" i="65" s="1"/>
  <c r="P28" i="5" l="1"/>
  <c r="O29"/>
  <c r="W27"/>
  <c r="AL27" s="1"/>
  <c r="V28"/>
  <c r="N28"/>
  <c r="M29"/>
  <c r="AG10" i="3"/>
  <c r="BK13" i="7"/>
  <c r="N12" i="3"/>
  <c r="AB12" s="1"/>
  <c r="Z12"/>
  <c r="K13"/>
  <c r="J14"/>
  <c r="AK11"/>
  <c r="F11" i="63"/>
  <c r="AE11" i="3"/>
  <c r="AF11" s="1"/>
  <c r="AL11"/>
  <c r="BF30" i="5"/>
  <c r="BG30" s="1"/>
  <c r="G30" i="65" s="1"/>
  <c r="B34" i="5"/>
  <c r="C33"/>
  <c r="M14" i="3"/>
  <c r="L15"/>
  <c r="AY31" i="5"/>
  <c r="BB31" s="1"/>
  <c r="BE31" s="1"/>
  <c r="I27" i="63" s="1"/>
  <c r="AS32" i="5"/>
  <c r="J31"/>
  <c r="L27" i="81" s="1"/>
  <c r="K27"/>
  <c r="I32" i="5"/>
  <c r="D32"/>
  <c r="G29" i="63"/>
  <c r="E32" i="5"/>
  <c r="Q27"/>
  <c r="M23" i="81" s="1"/>
  <c r="BF31" i="5" l="1"/>
  <c r="BG31" s="1"/>
  <c r="G31" i="65" s="1"/>
  <c r="Q28" i="5"/>
  <c r="M24" i="81" s="1"/>
  <c r="Z13" i="3"/>
  <c r="N13"/>
  <c r="AB13" s="1"/>
  <c r="AY32" i="5"/>
  <c r="BB32" s="1"/>
  <c r="BE32" s="1"/>
  <c r="I28" i="63" s="1"/>
  <c r="AS33" i="5"/>
  <c r="AC12" i="3"/>
  <c r="AK12"/>
  <c r="AL12"/>
  <c r="F12" i="63"/>
  <c r="AE12" i="3"/>
  <c r="AF12" s="1"/>
  <c r="J15"/>
  <c r="K14"/>
  <c r="AG11"/>
  <c r="BK14" i="7"/>
  <c r="P29" i="5"/>
  <c r="O30"/>
  <c r="C34"/>
  <c r="B35"/>
  <c r="W28"/>
  <c r="AL28" s="1"/>
  <c r="V29"/>
  <c r="K28" i="81"/>
  <c r="J32" i="5"/>
  <c r="L28" i="81" s="1"/>
  <c r="I33" i="5"/>
  <c r="E33"/>
  <c r="E38" s="1"/>
  <c r="G30" i="63"/>
  <c r="I30" s="1"/>
  <c r="D33" i="5"/>
  <c r="N29"/>
  <c r="M30"/>
  <c r="M15" i="3"/>
  <c r="L16"/>
  <c r="F13" i="63" l="1"/>
  <c r="AE13" i="3"/>
  <c r="AF13" s="1"/>
  <c r="AK13"/>
  <c r="AC13"/>
  <c r="AL13"/>
  <c r="AG12"/>
  <c r="AH12" s="1"/>
  <c r="BK15" i="7"/>
  <c r="W29" i="5"/>
  <c r="AL29" s="1"/>
  <c r="V30"/>
  <c r="AY33"/>
  <c r="BB33" s="1"/>
  <c r="BE33" s="1"/>
  <c r="I29" i="63" s="1"/>
  <c r="AS34" i="5"/>
  <c r="K15" i="3"/>
  <c r="J16"/>
  <c r="C35" i="5"/>
  <c r="B36"/>
  <c r="C36" s="1"/>
  <c r="N14" i="3"/>
  <c r="Z14"/>
  <c r="N30" i="5"/>
  <c r="M31"/>
  <c r="L17" i="3"/>
  <c r="M16"/>
  <c r="BF32" i="5"/>
  <c r="BG32" s="1"/>
  <c r="G32" i="65" s="1"/>
  <c r="Q29" i="5"/>
  <c r="M25" i="81" s="1"/>
  <c r="E34" i="5"/>
  <c r="I34"/>
  <c r="D34"/>
  <c r="J33"/>
  <c r="L29" i="81" s="1"/>
  <c r="K29"/>
  <c r="P30" i="5"/>
  <c r="O31"/>
  <c r="O32" l="1"/>
  <c r="P31"/>
  <c r="J34"/>
  <c r="L30" i="81" s="1"/>
  <c r="K30"/>
  <c r="N15" i="3"/>
  <c r="Z15"/>
  <c r="D36" i="5"/>
  <c r="E36"/>
  <c r="I36"/>
  <c r="C37"/>
  <c r="AG13" i="3"/>
  <c r="AH13" s="1"/>
  <c r="BK16" i="7"/>
  <c r="K16" i="3"/>
  <c r="J17"/>
  <c r="V31" i="5"/>
  <c r="W30"/>
  <c r="AL30" s="1"/>
  <c r="AK14" i="3"/>
  <c r="AE14"/>
  <c r="AF14" s="1"/>
  <c r="F14" i="63"/>
  <c r="AL14" i="3"/>
  <c r="AS35" i="5"/>
  <c r="AY34"/>
  <c r="BB34" s="1"/>
  <c r="BE34" s="1"/>
  <c r="BF34" s="1"/>
  <c r="BG34" s="1"/>
  <c r="N31"/>
  <c r="M32"/>
  <c r="M17" i="3"/>
  <c r="L18"/>
  <c r="E35" i="5"/>
  <c r="D35"/>
  <c r="D39" s="1"/>
  <c r="I35"/>
  <c r="BF33"/>
  <c r="BG33" s="1"/>
  <c r="G33" i="65" s="1"/>
  <c r="Q30" i="5"/>
  <c r="M26" i="81" s="1"/>
  <c r="P5" i="5"/>
  <c r="N5"/>
  <c r="W31" l="1"/>
  <c r="AL31" s="1"/>
  <c r="V32"/>
  <c r="P32"/>
  <c r="O33"/>
  <c r="N32"/>
  <c r="M33"/>
  <c r="AL15" i="3"/>
  <c r="F15" i="63"/>
  <c r="AE15" i="3"/>
  <c r="AF15" s="1"/>
  <c r="AK15"/>
  <c r="Q31" i="5"/>
  <c r="M27" i="81" s="1"/>
  <c r="M18" i="3"/>
  <c r="L19"/>
  <c r="N16"/>
  <c r="Z16"/>
  <c r="D37" i="5"/>
  <c r="J36"/>
  <c r="L32" i="81" s="1"/>
  <c r="K32"/>
  <c r="I37" i="5"/>
  <c r="C38"/>
  <c r="B6" i="77"/>
  <c r="AG14" i="3"/>
  <c r="BK17" i="7"/>
  <c r="K17" i="3"/>
  <c r="J18"/>
  <c r="J35" i="5"/>
  <c r="L31" i="81" s="1"/>
  <c r="K31"/>
  <c r="AY35" i="5"/>
  <c r="BB35" s="1"/>
  <c r="BE35" s="1"/>
  <c r="BF35" s="1"/>
  <c r="BG35" s="1"/>
  <c r="AS36"/>
  <c r="AY36" s="1"/>
  <c r="Q5"/>
  <c r="Q32" l="1"/>
  <c r="M28" i="81" s="1"/>
  <c r="AG15" i="3"/>
  <c r="BK18" i="7"/>
  <c r="AJ39" i="5"/>
  <c r="AM39" s="1"/>
  <c r="H39"/>
  <c r="L20" i="3"/>
  <c r="M19"/>
  <c r="N33" i="5"/>
  <c r="M34"/>
  <c r="W32"/>
  <c r="AL32" s="1"/>
  <c r="V33"/>
  <c r="K18" i="3"/>
  <c r="J19"/>
  <c r="O34" i="5"/>
  <c r="P33"/>
  <c r="D6" i="77"/>
  <c r="E6" s="1"/>
  <c r="G6"/>
  <c r="G12" s="1"/>
  <c r="Z17" i="3"/>
  <c r="N17"/>
  <c r="G39" i="5"/>
  <c r="I38"/>
  <c r="F16" i="63"/>
  <c r="AK16" i="3"/>
  <c r="AE16"/>
  <c r="AF16" s="1"/>
  <c r="AL16"/>
  <c r="BB36" i="5"/>
  <c r="BE36" s="1"/>
  <c r="BF36" s="1"/>
  <c r="BG36" s="1"/>
  <c r="Q33" l="1"/>
  <c r="M29" i="81" s="1"/>
  <c r="K39" i="5"/>
  <c r="AL17" i="3"/>
  <c r="F17" i="63"/>
  <c r="AE17" i="3"/>
  <c r="AF17" s="1"/>
  <c r="AK17"/>
  <c r="K19"/>
  <c r="J20"/>
  <c r="I14" i="77"/>
  <c r="H14"/>
  <c r="W33" i="5"/>
  <c r="AL33" s="1"/>
  <c r="V34"/>
  <c r="AG16" i="3"/>
  <c r="BK19" i="7"/>
  <c r="N18" i="3"/>
  <c r="Z18"/>
  <c r="L21"/>
  <c r="M20"/>
  <c r="P34" i="5"/>
  <c r="O35"/>
  <c r="E12" i="77"/>
  <c r="F6"/>
  <c r="F12" s="1"/>
  <c r="M35" i="5"/>
  <c r="N34"/>
  <c r="M21" i="3" l="1"/>
  <c r="L22"/>
  <c r="AG17"/>
  <c r="BK20" i="7"/>
  <c r="P35" i="5"/>
  <c r="O36"/>
  <c r="P36" s="1"/>
  <c r="V35"/>
  <c r="W34"/>
  <c r="AL34" s="1"/>
  <c r="AK18" i="3"/>
  <c r="F18" i="63"/>
  <c r="AL18" i="3"/>
  <c r="AE18"/>
  <c r="AF18" s="1"/>
  <c r="Z19"/>
  <c r="N19"/>
  <c r="AB19" s="1"/>
  <c r="K20"/>
  <c r="J21"/>
  <c r="N35" i="5"/>
  <c r="M36"/>
  <c r="N36" s="1"/>
  <c r="Q34"/>
  <c r="M30" i="81" s="1"/>
  <c r="N20" i="3" l="1"/>
  <c r="AB20" s="1"/>
  <c r="Z20"/>
  <c r="M22"/>
  <c r="AA22" s="1"/>
  <c r="L23"/>
  <c r="K21"/>
  <c r="J22"/>
  <c r="AG18"/>
  <c r="BK21" i="7"/>
  <c r="AC19" i="3"/>
  <c r="AK19"/>
  <c r="AL19"/>
  <c r="AE19"/>
  <c r="AF19" s="1"/>
  <c r="F19" i="63"/>
  <c r="W35" i="5"/>
  <c r="AL35" s="1"/>
  <c r="V36"/>
  <c r="W36" s="1"/>
  <c r="AL36" s="1"/>
  <c r="AL37" s="1"/>
  <c r="Q35"/>
  <c r="M31" i="81" s="1"/>
  <c r="Q36" i="5"/>
  <c r="AC20" i="3" l="1"/>
  <c r="AL20"/>
  <c r="AK20"/>
  <c r="F20" i="63"/>
  <c r="AE20" i="3"/>
  <c r="AF20" s="1"/>
  <c r="M32" i="81"/>
  <c r="Q37" i="5"/>
  <c r="O38" s="1"/>
  <c r="L24" i="3"/>
  <c r="M23"/>
  <c r="AA23" s="1"/>
  <c r="Z21"/>
  <c r="N21"/>
  <c r="AG19"/>
  <c r="AH19" s="1"/>
  <c r="BK22" i="7"/>
  <c r="K22" i="3"/>
  <c r="J23"/>
  <c r="M24" l="1"/>
  <c r="L25"/>
  <c r="AL21"/>
  <c r="AK21"/>
  <c r="AE21"/>
  <c r="AF21" s="1"/>
  <c r="F21" i="63"/>
  <c r="AG20" i="3"/>
  <c r="AH20" s="1"/>
  <c r="BK23" i="7"/>
  <c r="Z22" i="3"/>
  <c r="N22"/>
  <c r="AB22" s="1"/>
  <c r="J24"/>
  <c r="K23"/>
  <c r="AC22" l="1"/>
  <c r="AK22"/>
  <c r="AE22"/>
  <c r="AF22" s="1"/>
  <c r="F22" i="63"/>
  <c r="AL22" i="3"/>
  <c r="M25"/>
  <c r="L26"/>
  <c r="K24"/>
  <c r="J25"/>
  <c r="N23"/>
  <c r="AB23" s="1"/>
  <c r="Z23"/>
  <c r="AG21"/>
  <c r="BK24" i="7"/>
  <c r="AG22" i="3" l="1"/>
  <c r="AH22" s="1"/>
  <c r="BK25" i="7"/>
  <c r="Z24" i="3"/>
  <c r="N24"/>
  <c r="K25"/>
  <c r="J26"/>
  <c r="AC23"/>
  <c r="F23" i="63"/>
  <c r="AK23" i="3"/>
  <c r="AE23"/>
  <c r="AF23" s="1"/>
  <c r="AL23"/>
  <c r="M26"/>
  <c r="L27"/>
  <c r="AG23" l="1"/>
  <c r="AH23" s="1"/>
  <c r="BK26" i="7"/>
  <c r="AE24" i="3"/>
  <c r="AF24" s="1"/>
  <c r="F24" i="63"/>
  <c r="AK24" i="3"/>
  <c r="AL24"/>
  <c r="N25"/>
  <c r="Z25"/>
  <c r="M27"/>
  <c r="L28"/>
  <c r="K26"/>
  <c r="J27"/>
  <c r="M28" l="1"/>
  <c r="L29"/>
  <c r="N26"/>
  <c r="AB26" s="1"/>
  <c r="Z26"/>
  <c r="AL25"/>
  <c r="AE25"/>
  <c r="AF25" s="1"/>
  <c r="AK25"/>
  <c r="F25" i="63"/>
  <c r="AG24" i="3"/>
  <c r="BK27" i="7"/>
  <c r="K27" i="3"/>
  <c r="J28"/>
  <c r="AL26" l="1"/>
  <c r="AK26"/>
  <c r="AC26"/>
  <c r="AE26"/>
  <c r="AF26" s="1"/>
  <c r="F26" i="63"/>
  <c r="M29" i="3"/>
  <c r="L30"/>
  <c r="N27"/>
  <c r="AB27" s="1"/>
  <c r="Z27"/>
  <c r="K28"/>
  <c r="J29"/>
  <c r="AG25"/>
  <c r="BK28" i="7"/>
  <c r="K29" i="3" l="1"/>
  <c r="J30"/>
  <c r="AL27"/>
  <c r="AC27"/>
  <c r="AE27"/>
  <c r="AF27" s="1"/>
  <c r="F27" i="63"/>
  <c r="AK27" i="3"/>
  <c r="N28"/>
  <c r="AB28" s="1"/>
  <c r="Z28"/>
  <c r="AG26"/>
  <c r="AH26" s="1"/>
  <c r="BK29" i="7"/>
  <c r="M30" i="3"/>
  <c r="L31"/>
  <c r="Z29" l="1"/>
  <c r="N29"/>
  <c r="K30"/>
  <c r="J31"/>
  <c r="AG27"/>
  <c r="AH27" s="1"/>
  <c r="BK30" i="7"/>
  <c r="AC28" i="3"/>
  <c r="F28" i="63"/>
  <c r="AK28" i="3"/>
  <c r="AL28"/>
  <c r="AE28"/>
  <c r="AF28" s="1"/>
  <c r="M31"/>
  <c r="L32"/>
  <c r="AD4" i="1"/>
  <c r="Z30" i="3" l="1"/>
  <c r="N30"/>
  <c r="K31"/>
  <c r="J32"/>
  <c r="AK29"/>
  <c r="AL29"/>
  <c r="AE29"/>
  <c r="AF29" s="1"/>
  <c r="F29" i="63"/>
  <c r="AG28" i="3"/>
  <c r="AH28" s="1"/>
  <c r="BK31" i="7"/>
  <c r="L33" i="3"/>
  <c r="M33" s="1"/>
  <c r="M32"/>
  <c r="AG4" i="1"/>
  <c r="AF4"/>
  <c r="AG29" i="3" l="1"/>
  <c r="BK32" i="7"/>
  <c r="Z31" i="3"/>
  <c r="N31"/>
  <c r="AE30"/>
  <c r="AF30" s="1"/>
  <c r="AK30"/>
  <c r="F30" i="63"/>
  <c r="AL30" i="3"/>
  <c r="K32"/>
  <c r="J33"/>
  <c r="K33" s="1"/>
  <c r="AH4" i="1"/>
  <c r="AM4"/>
  <c r="F5" i="75" s="1"/>
  <c r="G5" s="1"/>
  <c r="AG30" i="3" l="1"/>
  <c r="BK33" i="7"/>
  <c r="AL31" i="3"/>
  <c r="AK31"/>
  <c r="AE31"/>
  <c r="AF31" s="1"/>
  <c r="Z32"/>
  <c r="N32"/>
  <c r="AB32" s="1"/>
  <c r="N33"/>
  <c r="AB33" s="1"/>
  <c r="Z33"/>
  <c r="K35"/>
  <c r="U34" s="1"/>
  <c r="AK33" l="1"/>
  <c r="AE33"/>
  <c r="AF33" s="1"/>
  <c r="AC33"/>
  <c r="AL33"/>
  <c r="Z34"/>
  <c r="B18" i="77" s="1"/>
  <c r="AG31" i="3"/>
  <c r="BK34" i="7"/>
  <c r="AC32" i="3"/>
  <c r="AL32"/>
  <c r="AK32"/>
  <c r="AE32"/>
  <c r="AF32" s="1"/>
  <c r="AG33" l="1"/>
  <c r="AH33" s="1"/>
  <c r="BK36" i="7"/>
  <c r="F18" i="77"/>
  <c r="E18"/>
  <c r="W32" i="76"/>
  <c r="X32" s="1"/>
  <c r="Y32" s="1"/>
  <c r="AG32" i="3"/>
  <c r="AH32" s="1"/>
  <c r="BK35" i="7"/>
  <c r="AL34" i="3"/>
  <c r="B19" i="77" s="1"/>
  <c r="B20" s="1"/>
  <c r="AI4" i="1" l="1"/>
  <c r="AJ4" l="1"/>
  <c r="AK4" l="1"/>
  <c r="AD11" i="76" l="1"/>
  <c r="AD10"/>
  <c r="D2" i="3" l="1"/>
  <c r="D3" s="1"/>
  <c r="E2" l="1"/>
  <c r="F2"/>
  <c r="E3"/>
  <c r="D4"/>
  <c r="F3" l="1"/>
  <c r="AB3" s="1"/>
  <c r="AA3"/>
  <c r="AC3" s="1"/>
  <c r="AH3" s="1"/>
  <c r="E4"/>
  <c r="D5"/>
  <c r="F4" l="1"/>
  <c r="AB4" s="1"/>
  <c r="AA4"/>
  <c r="AC4" s="1"/>
  <c r="AH4" s="1"/>
  <c r="E5"/>
  <c r="AA5" s="1"/>
  <c r="D6"/>
  <c r="E6" l="1"/>
  <c r="AA6" s="1"/>
  <c r="D7"/>
  <c r="E7" l="1"/>
  <c r="D8"/>
  <c r="F7" l="1"/>
  <c r="AB7" s="1"/>
  <c r="AA7"/>
  <c r="AC7" s="1"/>
  <c r="AH7" s="1"/>
  <c r="E8"/>
  <c r="D9"/>
  <c r="F8" l="1"/>
  <c r="AB8" s="1"/>
  <c r="AA8"/>
  <c r="AC8" s="1"/>
  <c r="AH8" s="1"/>
  <c r="E9"/>
  <c r="D10"/>
  <c r="AA9" l="1"/>
  <c r="AC9" s="1"/>
  <c r="AH9" s="1"/>
  <c r="F9"/>
  <c r="AB9" s="1"/>
  <c r="D11"/>
  <c r="E10"/>
  <c r="AA10" s="1"/>
  <c r="AC10" s="1"/>
  <c r="AH10" s="1"/>
  <c r="D12" l="1"/>
  <c r="E11"/>
  <c r="AA11" l="1"/>
  <c r="AC11" s="1"/>
  <c r="AH11" s="1"/>
  <c r="F11"/>
  <c r="AB11" s="1"/>
  <c r="D13"/>
  <c r="E12"/>
  <c r="AA12" s="1"/>
  <c r="D14" l="1"/>
  <c r="D15" s="1"/>
  <c r="E13"/>
  <c r="AA13" s="1"/>
  <c r="E14" l="1"/>
  <c r="Q3" i="76"/>
  <c r="AA14" i="3" l="1"/>
  <c r="AC14" s="1"/>
  <c r="AH14" s="1"/>
  <c r="F14"/>
  <c r="AB14" s="1"/>
  <c r="D16"/>
  <c r="E15"/>
  <c r="AA15" l="1"/>
  <c r="AC15" s="1"/>
  <c r="AH15" s="1"/>
  <c r="F15"/>
  <c r="AB15" s="1"/>
  <c r="D17"/>
  <c r="E16"/>
  <c r="AA16" l="1"/>
  <c r="AC16" s="1"/>
  <c r="AH16" s="1"/>
  <c r="F16"/>
  <c r="AB16" s="1"/>
  <c r="D18"/>
  <c r="E17"/>
  <c r="AA17" l="1"/>
  <c r="AC17" s="1"/>
  <c r="AH17" s="1"/>
  <c r="F17"/>
  <c r="AB17" s="1"/>
  <c r="D19"/>
  <c r="E18"/>
  <c r="AA18" l="1"/>
  <c r="AC18" s="1"/>
  <c r="AH18" s="1"/>
  <c r="F18"/>
  <c r="AB18" s="1"/>
  <c r="D20"/>
  <c r="E19"/>
  <c r="AA19" s="1"/>
  <c r="E20" l="1"/>
  <c r="AA20" s="1"/>
  <c r="D21"/>
  <c r="E21" l="1"/>
  <c r="D22"/>
  <c r="D23" s="1"/>
  <c r="D24" s="1"/>
  <c r="AA21" l="1"/>
  <c r="AC21" s="1"/>
  <c r="AH21" s="1"/>
  <c r="F21"/>
  <c r="AB21" s="1"/>
  <c r="D25"/>
  <c r="E24"/>
  <c r="AA24" l="1"/>
  <c r="AC24" s="1"/>
  <c r="AH24" s="1"/>
  <c r="F24"/>
  <c r="AB24" s="1"/>
  <c r="D26"/>
  <c r="E25"/>
  <c r="AA25" l="1"/>
  <c r="AC25" s="1"/>
  <c r="AH25" s="1"/>
  <c r="F25"/>
  <c r="AB25" s="1"/>
  <c r="E26"/>
  <c r="AA26" s="1"/>
  <c r="D27"/>
  <c r="E27" l="1"/>
  <c r="AA27" s="1"/>
  <c r="D28"/>
  <c r="E28" l="1"/>
  <c r="AA28" s="1"/>
  <c r="D29"/>
  <c r="D30" l="1"/>
  <c r="E29"/>
  <c r="AA29" l="1"/>
  <c r="AC29" s="1"/>
  <c r="AH29" s="1"/>
  <c r="F29"/>
  <c r="AB29" s="1"/>
  <c r="D31"/>
  <c r="E30"/>
  <c r="AA30" l="1"/>
  <c r="AC30" s="1"/>
  <c r="AH30" s="1"/>
  <c r="F30"/>
  <c r="AB30" s="1"/>
  <c r="D32"/>
  <c r="E31"/>
  <c r="AA31" l="1"/>
  <c r="AC31" s="1"/>
  <c r="AH31" s="1"/>
  <c r="F31"/>
  <c r="AB31" s="1"/>
  <c r="D33"/>
  <c r="E33" s="1"/>
  <c r="AA33" s="1"/>
  <c r="E32"/>
  <c r="AA32" s="1"/>
  <c r="AR4" i="1" l="1"/>
  <c r="AR5" s="1"/>
  <c r="AP4"/>
  <c r="AP5" s="1"/>
  <c r="AN4"/>
  <c r="AN5" s="1"/>
  <c r="AS5" l="1"/>
  <c r="AR6"/>
  <c r="AQ5"/>
  <c r="AP6"/>
  <c r="AO5"/>
  <c r="AN6"/>
  <c r="AS6" l="1"/>
  <c r="AR7"/>
  <c r="AQ6"/>
  <c r="AP7"/>
  <c r="AT5"/>
  <c r="AO6"/>
  <c r="AN7"/>
  <c r="AQ7" l="1"/>
  <c r="AP8"/>
  <c r="AS7"/>
  <c r="AR8"/>
  <c r="AO7"/>
  <c r="AN8"/>
  <c r="AT6"/>
  <c r="AU6" s="1"/>
  <c r="I3" i="81" s="1"/>
  <c r="AQ8" i="1" l="1"/>
  <c r="AP9"/>
  <c r="AR9"/>
  <c r="AS8"/>
  <c r="AT7"/>
  <c r="AO8"/>
  <c r="AN9"/>
  <c r="P2" i="3"/>
  <c r="P3" s="1"/>
  <c r="AQ9" i="1" l="1"/>
  <c r="AP10"/>
  <c r="AU7"/>
  <c r="I4" i="81" s="1"/>
  <c r="AO9" i="1"/>
  <c r="AN10"/>
  <c r="AT8"/>
  <c r="AU8" s="1"/>
  <c r="I5" i="81" s="1"/>
  <c r="AR10" i="1"/>
  <c r="AS9"/>
  <c r="P4" i="3"/>
  <c r="Q3"/>
  <c r="P5" l="1"/>
  <c r="Q4"/>
  <c r="AQ10" i="1"/>
  <c r="AP11"/>
  <c r="AT9"/>
  <c r="AU9" s="1"/>
  <c r="I6" i="81" s="1"/>
  <c r="AO10" i="1"/>
  <c r="AN11"/>
  <c r="AS10"/>
  <c r="AR11"/>
  <c r="P6" i="3" l="1"/>
  <c r="Q5"/>
  <c r="AS11" i="1"/>
  <c r="AR12"/>
  <c r="AQ11"/>
  <c r="AP12"/>
  <c r="AT10"/>
  <c r="AU10" s="1"/>
  <c r="I7" i="81" s="1"/>
  <c r="AO11" i="1"/>
  <c r="AN12"/>
  <c r="AS12" l="1"/>
  <c r="AR13"/>
  <c r="AO12"/>
  <c r="AN13"/>
  <c r="P7" i="3"/>
  <c r="Q6"/>
  <c r="AQ12" i="1"/>
  <c r="AP13"/>
  <c r="AT11"/>
  <c r="AU11" s="1"/>
  <c r="I8" i="81" s="1"/>
  <c r="AS13" i="1" l="1"/>
  <c r="AR14"/>
  <c r="AO13"/>
  <c r="AN14"/>
  <c r="P8" i="3"/>
  <c r="Q7"/>
  <c r="AQ13" i="1"/>
  <c r="AP14"/>
  <c r="AT12"/>
  <c r="AU12" s="1"/>
  <c r="I9" i="81" s="1"/>
  <c r="AS14" i="1" l="1"/>
  <c r="AR15"/>
  <c r="AO14"/>
  <c r="AN15"/>
  <c r="P9" i="3"/>
  <c r="Q8"/>
  <c r="AT13" i="1"/>
  <c r="AU13" s="1"/>
  <c r="I10" i="81" s="1"/>
  <c r="AQ14" i="1"/>
  <c r="AP15"/>
  <c r="AQ15" l="1"/>
  <c r="AP16"/>
  <c r="AS15"/>
  <c r="AR16"/>
  <c r="AO15"/>
  <c r="AN16"/>
  <c r="AT14"/>
  <c r="AU14" s="1"/>
  <c r="I11" i="81" s="1"/>
  <c r="P10" i="3"/>
  <c r="Q9"/>
  <c r="AQ16" i="1" l="1"/>
  <c r="AP17"/>
  <c r="AS16"/>
  <c r="AR17"/>
  <c r="AO16"/>
  <c r="AN17"/>
  <c r="AT15"/>
  <c r="AU15" s="1"/>
  <c r="I12" i="81" s="1"/>
  <c r="P11" i="3"/>
  <c r="Q10"/>
  <c r="AQ17" i="1" l="1"/>
  <c r="AP18"/>
  <c r="AO17"/>
  <c r="AN18"/>
  <c r="AR18"/>
  <c r="AS17"/>
  <c r="P12" i="3"/>
  <c r="Q11"/>
  <c r="AT16" i="1"/>
  <c r="AU16" s="1"/>
  <c r="I13" i="81" s="1"/>
  <c r="AQ18" i="1" l="1"/>
  <c r="AP19"/>
  <c r="AT17"/>
  <c r="AU17" s="1"/>
  <c r="I14" i="81" s="1"/>
  <c r="AO18" i="1"/>
  <c r="AN19"/>
  <c r="AS18"/>
  <c r="AR19"/>
  <c r="P13" i="3"/>
  <c r="Q12"/>
  <c r="AO19" i="1" l="1"/>
  <c r="AN20"/>
  <c r="AS19"/>
  <c r="AR20"/>
  <c r="AT18"/>
  <c r="AU18" s="1"/>
  <c r="I15" i="81" s="1"/>
  <c r="AQ19" i="1"/>
  <c r="AP20"/>
  <c r="P14" i="3"/>
  <c r="Q13"/>
  <c r="AT19" i="1" l="1"/>
  <c r="AU19"/>
  <c r="I16" i="81" s="1"/>
  <c r="AO20" i="1"/>
  <c r="AN21"/>
  <c r="AS20"/>
  <c r="AR21"/>
  <c r="AQ20"/>
  <c r="AP21"/>
  <c r="P15" i="3"/>
  <c r="Q14"/>
  <c r="Q18"/>
  <c r="AT20" i="1" l="1"/>
  <c r="AU20" s="1"/>
  <c r="I17" i="81" s="1"/>
  <c r="AS21" i="1"/>
  <c r="AR22"/>
  <c r="AP22"/>
  <c r="AQ21"/>
  <c r="P16" i="3"/>
  <c r="Q15"/>
  <c r="AO21" i="1"/>
  <c r="AN22"/>
  <c r="AS22" l="1"/>
  <c r="AR23"/>
  <c r="AQ22"/>
  <c r="AP23"/>
  <c r="P17" i="3"/>
  <c r="Q16"/>
  <c r="AT21" i="1"/>
  <c r="AU21" s="1"/>
  <c r="I18" i="81" s="1"/>
  <c r="AO22" i="1"/>
  <c r="AN23"/>
  <c r="AT22" l="1"/>
  <c r="AU22" s="1"/>
  <c r="I19" i="81" s="1"/>
  <c r="AS23" i="1"/>
  <c r="AR24"/>
  <c r="AO23"/>
  <c r="AN24"/>
  <c r="AQ23"/>
  <c r="AP24"/>
  <c r="P18" i="3"/>
  <c r="P19" s="1"/>
  <c r="Q17"/>
  <c r="AO24" i="1" l="1"/>
  <c r="AN25"/>
  <c r="P20" i="3"/>
  <c r="Q19"/>
  <c r="AT23" i="1"/>
  <c r="AU23" s="1"/>
  <c r="I20" i="81" s="1"/>
  <c r="AS24" i="1"/>
  <c r="AR25"/>
  <c r="AQ24"/>
  <c r="AP25"/>
  <c r="AT24" l="1"/>
  <c r="AU24" s="1"/>
  <c r="I21" i="81" s="1"/>
  <c r="P21" i="3"/>
  <c r="Q20"/>
  <c r="AS25" i="1"/>
  <c r="AR26"/>
  <c r="AQ25"/>
  <c r="AP26"/>
  <c r="AO25"/>
  <c r="AN26"/>
  <c r="P22" i="3" l="1"/>
  <c r="Q21"/>
  <c r="AQ26" i="1"/>
  <c r="AP27"/>
  <c r="AT25"/>
  <c r="AU25" s="1"/>
  <c r="I22" i="81" s="1"/>
  <c r="AS26" i="1"/>
  <c r="AR27"/>
  <c r="AO26"/>
  <c r="AN27"/>
  <c r="AO27" l="1"/>
  <c r="AN28"/>
  <c r="P23" i="3"/>
  <c r="Q22"/>
  <c r="AS27" i="1"/>
  <c r="AR28"/>
  <c r="AQ27"/>
  <c r="AP28"/>
  <c r="AT26"/>
  <c r="AU26" s="1"/>
  <c r="I23" i="81" s="1"/>
  <c r="AT27" i="1" l="1"/>
  <c r="AU27" s="1"/>
  <c r="I24" i="81" s="1"/>
  <c r="AO28" i="1"/>
  <c r="AN29"/>
  <c r="P24" i="3"/>
  <c r="Q23"/>
  <c r="AS28" i="1"/>
  <c r="AR29"/>
  <c r="AQ28"/>
  <c r="AP29"/>
  <c r="AT28" l="1"/>
  <c r="AU28" s="1"/>
  <c r="I25" i="81" s="1"/>
  <c r="AO29" i="1"/>
  <c r="AN30"/>
  <c r="P25" i="3"/>
  <c r="Q24"/>
  <c r="AS29" i="1"/>
  <c r="AR30"/>
  <c r="AQ29"/>
  <c r="AP30"/>
  <c r="AT29" l="1"/>
  <c r="AU29" s="1"/>
  <c r="I26" i="81" s="1"/>
  <c r="AO30" i="1"/>
  <c r="AN31"/>
  <c r="P26" i="3"/>
  <c r="Q25"/>
  <c r="AS30" i="1"/>
  <c r="AR31"/>
  <c r="AQ30"/>
  <c r="AP31"/>
  <c r="AQ31" l="1"/>
  <c r="AP32"/>
  <c r="P27" i="3"/>
  <c r="Q26"/>
  <c r="AO31" i="1"/>
  <c r="AN32"/>
  <c r="AS31"/>
  <c r="AR32"/>
  <c r="AT30"/>
  <c r="AU30" s="1"/>
  <c r="I27" i="81" s="1"/>
  <c r="P28" i="3" l="1"/>
  <c r="Q27"/>
  <c r="AT31" i="1"/>
  <c r="AU31" s="1"/>
  <c r="I28" i="81" s="1"/>
  <c r="AQ32" i="1"/>
  <c r="AP33"/>
  <c r="AO32"/>
  <c r="AN33"/>
  <c r="AS32"/>
  <c r="AR33"/>
  <c r="AQ33" l="1"/>
  <c r="AP34"/>
  <c r="AN34"/>
  <c r="AO33"/>
  <c r="AS33"/>
  <c r="AR34"/>
  <c r="P29" i="3"/>
  <c r="Q28"/>
  <c r="AT32" i="1"/>
  <c r="AU32" s="1"/>
  <c r="I29" i="81" s="1"/>
  <c r="AT33" i="1" l="1"/>
  <c r="AS34"/>
  <c r="AR35"/>
  <c r="AS35" s="1"/>
  <c r="P30" i="3"/>
  <c r="Q29"/>
  <c r="AQ34" i="1"/>
  <c r="AP35"/>
  <c r="AQ35" s="1"/>
  <c r="AO34"/>
  <c r="AN35"/>
  <c r="AO35" s="1"/>
  <c r="AO4"/>
  <c r="Q2" i="3"/>
  <c r="K2"/>
  <c r="AS4" i="1"/>
  <c r="AQ4"/>
  <c r="AT35" l="1"/>
  <c r="P31" i="3"/>
  <c r="Q30"/>
  <c r="AU33" i="1"/>
  <c r="I30" i="81" s="1"/>
  <c r="AT34" i="1"/>
  <c r="AU35" s="1"/>
  <c r="I32" i="81" s="1"/>
  <c r="AT4" i="1"/>
  <c r="AU5" s="1"/>
  <c r="Z2" i="3"/>
  <c r="F2" i="63" s="1"/>
  <c r="N2" i="3"/>
  <c r="AU34" i="1" l="1"/>
  <c r="I31" i="81" s="1"/>
  <c r="I2"/>
  <c r="P32" i="3"/>
  <c r="Q31"/>
  <c r="AB2"/>
  <c r="W15" i="76"/>
  <c r="AK2" i="3"/>
  <c r="AU4" i="1"/>
  <c r="AE2" i="3"/>
  <c r="AU36" i="1" l="1"/>
  <c r="AU38" s="1"/>
  <c r="P33" i="3"/>
  <c r="Q33" s="1"/>
  <c r="Q32"/>
  <c r="X15" i="76"/>
  <c r="AF2" i="3"/>
  <c r="AG2" l="1"/>
  <c r="Y15" i="76"/>
  <c r="M2" i="3" l="1"/>
  <c r="AA2" l="1"/>
  <c r="AC2" l="1"/>
  <c r="AH2" l="1"/>
  <c r="O3" i="76" l="1"/>
  <c r="P3"/>
  <c r="R3" l="1"/>
  <c r="T3" l="1"/>
  <c r="AX4" i="1" l="1"/>
  <c r="AX5" s="1"/>
  <c r="J2" i="81" l="1"/>
  <c r="AX6" i="1"/>
  <c r="BB5" i="5"/>
  <c r="J3" i="81" l="1"/>
  <c r="AX7" i="1"/>
  <c r="BE5" i="5"/>
  <c r="J4" i="81" l="1"/>
  <c r="AX8" i="1"/>
  <c r="BF5" i="5"/>
  <c r="J5" i="81" l="1"/>
  <c r="AX9" i="1"/>
  <c r="BG5" i="5"/>
  <c r="G5" i="65" s="1"/>
  <c r="J6" i="81" l="1"/>
  <c r="AX10" i="1"/>
  <c r="J7" i="81" l="1"/>
  <c r="AX11" i="1"/>
  <c r="AX12" l="1"/>
  <c r="J8" i="81"/>
  <c r="J9" l="1"/>
  <c r="AX13" i="1"/>
  <c r="AX14" l="1"/>
  <c r="J10" i="81"/>
  <c r="AX15" i="1" l="1"/>
  <c r="J11" i="81"/>
  <c r="T2" i="3"/>
  <c r="T3" s="1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J12" i="81" l="1"/>
  <c r="AX16" i="1"/>
  <c r="AX17" l="1"/>
  <c r="J13" i="81"/>
  <c r="J14" l="1"/>
  <c r="AX18" i="1"/>
  <c r="J15" i="81" l="1"/>
  <c r="AX19" i="1"/>
  <c r="J16" i="81" l="1"/>
  <c r="AX20" i="1"/>
  <c r="AX21" l="1"/>
  <c r="J17" i="81"/>
  <c r="J18" l="1"/>
  <c r="AX22" i="1"/>
  <c r="J19" i="81" l="1"/>
  <c r="AX23" i="1"/>
  <c r="AX24" l="1"/>
  <c r="J20" i="81"/>
  <c r="AX25" i="1" l="1"/>
  <c r="J21" i="81"/>
  <c r="J22" l="1"/>
  <c r="AX26" i="1"/>
  <c r="J23" i="81" l="1"/>
  <c r="AX27" i="1"/>
  <c r="AX28" l="1"/>
  <c r="J24" i="81"/>
  <c r="AX29" i="1" l="1"/>
  <c r="J25" i="81"/>
  <c r="AX30" i="1" l="1"/>
  <c r="J26" i="81"/>
  <c r="J27" l="1"/>
  <c r="AX31" i="1"/>
  <c r="AX32" l="1"/>
  <c r="J28" i="81"/>
  <c r="AX33" i="1" l="1"/>
  <c r="J29" i="81"/>
  <c r="J30" l="1"/>
  <c r="AX34" i="1"/>
  <c r="J31" i="81" l="1"/>
  <c r="AX35" i="1"/>
  <c r="J32" i="81" s="1"/>
  <c r="AV5" i="7" l="1"/>
  <c r="AV6" s="1"/>
  <c r="H2" i="81" l="1"/>
  <c r="AV7" i="7"/>
  <c r="H3" i="81" l="1"/>
  <c r="AV8" i="7"/>
  <c r="AV9" l="1"/>
  <c r="H5" i="81" s="1"/>
  <c r="H4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<sst xmlns="http://schemas.openxmlformats.org/spreadsheetml/2006/main" count="669" uniqueCount="417">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</sst>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33" fillId="24" borderId="1" xfId="0" applyNumberFormat="1" applyFont="1" applyFill="1" applyBorder="1"/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176" fontId="0" fillId="0" borderId="0" xfId="4" applyNumberFormat="1" applyFont="1"/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71" xfId="0" applyBorder="1" applyAlignment="1"/>
    <xf numFmtId="0" fontId="0" fillId="0" borderId="15" xfId="0" applyBorder="1" applyAlignment="1">
      <alignment horizontal="righ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right" vertical="center"/>
    </xf>
    <xf numFmtId="172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4" xfId="0" applyBorder="1" applyAlignment="1"/>
    <xf numFmtId="180" fontId="0" fillId="0" borderId="11" xfId="0" applyNumberFormat="1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right"/>
    </xf>
    <xf numFmtId="0" fontId="0" fillId="0" borderId="74" xfId="0" applyBorder="1" applyAlignment="1">
      <alignment horizontal="right"/>
    </xf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4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6695</c:v>
                </c:pt>
                <c:pt idx="1">
                  <c:v>6332</c:v>
                </c:pt>
                <c:pt idx="2">
                  <c:v>5540</c:v>
                </c:pt>
                <c:pt idx="3">
                  <c:v>0</c:v>
                </c:pt>
                <c:pt idx="4">
                  <c:v>0</c:v>
                </c:pt>
                <c:pt idx="5">
                  <c:v>6729</c:v>
                </c:pt>
                <c:pt idx="6">
                  <c:v>4979</c:v>
                </c:pt>
                <c:pt idx="7">
                  <c:v>5333</c:v>
                </c:pt>
                <c:pt idx="8">
                  <c:v>5724</c:v>
                </c:pt>
                <c:pt idx="9">
                  <c:v>4995</c:v>
                </c:pt>
                <c:pt idx="10">
                  <c:v>0</c:v>
                </c:pt>
                <c:pt idx="11">
                  <c:v>0</c:v>
                </c:pt>
                <c:pt idx="12">
                  <c:v>6833</c:v>
                </c:pt>
                <c:pt idx="13">
                  <c:v>5512.2000000001863</c:v>
                </c:pt>
                <c:pt idx="14">
                  <c:v>5313.7999999998137</c:v>
                </c:pt>
                <c:pt idx="15">
                  <c:v>5643</c:v>
                </c:pt>
                <c:pt idx="16">
                  <c:v>9545</c:v>
                </c:pt>
                <c:pt idx="17">
                  <c:v>0</c:v>
                </c:pt>
                <c:pt idx="18">
                  <c:v>0</c:v>
                </c:pt>
                <c:pt idx="19">
                  <c:v>6388</c:v>
                </c:pt>
                <c:pt idx="20">
                  <c:v>5544</c:v>
                </c:pt>
                <c:pt idx="21">
                  <c:v>4191</c:v>
                </c:pt>
                <c:pt idx="22">
                  <c:v>8533</c:v>
                </c:pt>
                <c:pt idx="23">
                  <c:v>5011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5277</c:v>
                </c:pt>
                <c:pt idx="28">
                  <c:v>4790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06501632"/>
        <c:axId val="106503168"/>
      </c:lineChart>
      <c:catAx>
        <c:axId val="106501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03168"/>
        <c:crosses val="autoZero"/>
        <c:auto val="1"/>
        <c:lblAlgn val="ctr"/>
        <c:lblOffset val="100"/>
      </c:catAx>
      <c:valAx>
        <c:axId val="1065031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01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959</c:v>
                </c:pt>
                <c:pt idx="7">
                  <c:v>108</c:v>
                </c:pt>
                <c:pt idx="8">
                  <c:v>212</c:v>
                </c:pt>
                <c:pt idx="9">
                  <c:v>108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640</c:v>
                </c:pt>
                <c:pt idx="15">
                  <c:v>0</c:v>
                </c:pt>
                <c:pt idx="16">
                  <c:v>597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714</c:v>
                </c:pt>
                <c:pt idx="23">
                  <c:v>130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78</c:v>
                </c:pt>
                <c:pt idx="28">
                  <c:v>0</c:v>
                </c:pt>
                <c:pt idx="29">
                  <c:v>400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59102080"/>
        <c:axId val="161358592"/>
      </c:lineChart>
      <c:catAx>
        <c:axId val="159102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58592"/>
        <c:crosses val="autoZero"/>
        <c:auto val="1"/>
        <c:lblAlgn val="ctr"/>
        <c:lblOffset val="100"/>
      </c:catAx>
      <c:valAx>
        <c:axId val="161358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02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2139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229036416"/>
        <c:axId val="37838848"/>
      </c:lineChart>
      <c:catAx>
        <c:axId val="229036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838848"/>
        <c:crosses val="autoZero"/>
        <c:auto val="1"/>
        <c:lblAlgn val="ctr"/>
        <c:lblOffset val="100"/>
      </c:catAx>
      <c:valAx>
        <c:axId val="3783884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9036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37851136"/>
        <c:axId val="37852672"/>
      </c:lineChart>
      <c:catAx>
        <c:axId val="37851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852672"/>
        <c:crosses val="autoZero"/>
        <c:auto val="1"/>
        <c:lblAlgn val="ctr"/>
        <c:lblOffset val="100"/>
      </c:catAx>
      <c:valAx>
        <c:axId val="378526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851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004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220.33333333333334</c:v>
                </c:pt>
                <c:pt idx="1">
                  <c:v>223.33333333333334</c:v>
                </c:pt>
                <c:pt idx="2">
                  <c:v>0</c:v>
                </c:pt>
                <c:pt idx="3">
                  <c:v>0</c:v>
                </c:pt>
                <c:pt idx="4">
                  <c:v>379</c:v>
                </c:pt>
                <c:pt idx="5">
                  <c:v>246</c:v>
                </c:pt>
                <c:pt idx="6">
                  <c:v>192</c:v>
                </c:pt>
                <c:pt idx="7">
                  <c:v>171</c:v>
                </c:pt>
                <c:pt idx="8">
                  <c:v>218</c:v>
                </c:pt>
                <c:pt idx="9">
                  <c:v>0</c:v>
                </c:pt>
                <c:pt idx="10">
                  <c:v>0</c:v>
                </c:pt>
                <c:pt idx="11">
                  <c:v>237</c:v>
                </c:pt>
                <c:pt idx="12">
                  <c:v>296.5</c:v>
                </c:pt>
                <c:pt idx="13">
                  <c:v>253</c:v>
                </c:pt>
                <c:pt idx="14">
                  <c:v>363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197.5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94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38213120"/>
        <c:axId val="38214656"/>
      </c:lineChart>
      <c:catAx>
        <c:axId val="38213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214656"/>
        <c:crosses val="autoZero"/>
        <c:auto val="1"/>
        <c:lblAlgn val="ctr"/>
        <c:lblOffset val="100"/>
      </c:catAx>
      <c:valAx>
        <c:axId val="382146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213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03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</c:v>
                </c:pt>
                <c:pt idx="27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38256000"/>
        <c:axId val="66491520"/>
      </c:lineChart>
      <c:catAx>
        <c:axId val="38256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6491520"/>
        <c:crosses val="autoZero"/>
        <c:auto val="1"/>
        <c:lblAlgn val="ctr"/>
        <c:lblOffset val="100"/>
      </c:catAx>
      <c:valAx>
        <c:axId val="66491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25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66507904"/>
        <c:axId val="66509440"/>
      </c:lineChart>
      <c:catAx>
        <c:axId val="66507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6509440"/>
        <c:crosses val="autoZero"/>
        <c:auto val="1"/>
        <c:lblAlgn val="ctr"/>
        <c:lblOffset val="100"/>
      </c:catAx>
      <c:valAx>
        <c:axId val="66509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6507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160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170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78326400"/>
        <c:axId val="78332288"/>
      </c:lineChart>
      <c:catAx>
        <c:axId val="78326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332288"/>
        <c:crosses val="autoZero"/>
        <c:auto val="1"/>
        <c:lblAlgn val="ctr"/>
        <c:lblOffset val="100"/>
      </c:catAx>
      <c:valAx>
        <c:axId val="78332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326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18.5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19</c:v>
                </c:pt>
                <c:pt idx="6">
                  <c:v>19.5</c:v>
                </c:pt>
                <c:pt idx="7">
                  <c:v>16.5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18.5</c:v>
                </c:pt>
                <c:pt idx="12">
                  <c:v>20</c:v>
                </c:pt>
                <c:pt idx="13">
                  <c:v>19</c:v>
                </c:pt>
                <c:pt idx="14">
                  <c:v>18</c:v>
                </c:pt>
                <c:pt idx="15">
                  <c:v>15.5</c:v>
                </c:pt>
                <c:pt idx="16">
                  <c:v>0</c:v>
                </c:pt>
                <c:pt idx="17">
                  <c:v>0</c:v>
                </c:pt>
                <c:pt idx="18">
                  <c:v>16.5</c:v>
                </c:pt>
                <c:pt idx="19">
                  <c:v>13</c:v>
                </c:pt>
                <c:pt idx="20">
                  <c:v>16</c:v>
                </c:pt>
                <c:pt idx="21">
                  <c:v>14.5</c:v>
                </c:pt>
                <c:pt idx="22">
                  <c:v>13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15.5</c:v>
                </c:pt>
                <c:pt idx="27">
                  <c:v>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78348672"/>
        <c:axId val="78350208"/>
      </c:lineChart>
      <c:catAx>
        <c:axId val="78348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350208"/>
        <c:crosses val="autoZero"/>
        <c:auto val="1"/>
        <c:lblAlgn val="ctr"/>
        <c:lblOffset val="100"/>
      </c:catAx>
      <c:valAx>
        <c:axId val="783502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348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3133"/>
          <c:w val="0.1272403315177600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78366592"/>
        <c:axId val="78368128"/>
      </c:lineChart>
      <c:catAx>
        <c:axId val="78366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368128"/>
        <c:crosses val="autoZero"/>
        <c:auto val="1"/>
        <c:lblAlgn val="ctr"/>
        <c:lblOffset val="100"/>
      </c:catAx>
      <c:valAx>
        <c:axId val="78368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366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9</c:v>
                </c:pt>
                <c:pt idx="9">
                  <c:v>0</c:v>
                </c:pt>
                <c:pt idx="10">
                  <c:v>0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10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  <c:pt idx="18">
                  <c:v>12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10</c:v>
                </c:pt>
                <c:pt idx="27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78380416"/>
        <c:axId val="81618048"/>
      </c:lineChart>
      <c:catAx>
        <c:axId val="78380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618048"/>
        <c:crosses val="autoZero"/>
        <c:auto val="1"/>
        <c:lblAlgn val="ctr"/>
        <c:lblOffset val="100"/>
      </c:catAx>
      <c:valAx>
        <c:axId val="816180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380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959</c:v>
                </c:pt>
                <c:pt idx="7">
                  <c:v>108</c:v>
                </c:pt>
                <c:pt idx="8">
                  <c:v>212</c:v>
                </c:pt>
                <c:pt idx="9">
                  <c:v>108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640</c:v>
                </c:pt>
                <c:pt idx="15">
                  <c:v>0</c:v>
                </c:pt>
                <c:pt idx="16">
                  <c:v>597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714</c:v>
                </c:pt>
                <c:pt idx="23">
                  <c:v>130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78</c:v>
                </c:pt>
                <c:pt idx="28">
                  <c:v>0</c:v>
                </c:pt>
                <c:pt idx="29">
                  <c:v>400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84796928"/>
        <c:axId val="84798464"/>
      </c:lineChart>
      <c:catAx>
        <c:axId val="84796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98464"/>
        <c:crosses val="autoZero"/>
        <c:auto val="1"/>
        <c:lblAlgn val="ctr"/>
        <c:lblOffset val="100"/>
      </c:catAx>
      <c:valAx>
        <c:axId val="84798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96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517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193</c:v>
                </c:pt>
                <c:pt idx="6">
                  <c:v>110</c:v>
                </c:pt>
                <c:pt idx="7">
                  <c:v>119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118</c:v>
                </c:pt>
                <c:pt idx="13">
                  <c:v>169</c:v>
                </c:pt>
                <c:pt idx="14">
                  <c:v>117</c:v>
                </c:pt>
                <c:pt idx="15">
                  <c:v>112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285</c:v>
                </c:pt>
                <c:pt idx="20">
                  <c:v>199</c:v>
                </c:pt>
                <c:pt idx="21">
                  <c:v>120</c:v>
                </c:pt>
                <c:pt idx="22">
                  <c:v>298</c:v>
                </c:pt>
                <c:pt idx="23">
                  <c:v>218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199</c:v>
                </c:pt>
                <c:pt idx="28">
                  <c:v>314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88739200"/>
        <c:axId val="88745088"/>
      </c:lineChart>
      <c:catAx>
        <c:axId val="88739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745088"/>
        <c:crosses val="autoZero"/>
        <c:auto val="1"/>
        <c:lblAlgn val="ctr"/>
        <c:lblOffset val="100"/>
      </c:catAx>
      <c:valAx>
        <c:axId val="88745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739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3133"/>
          <c:w val="0.1354168853893758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88773760"/>
        <c:axId val="88775296"/>
      </c:lineChart>
      <c:catAx>
        <c:axId val="88773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775296"/>
        <c:crosses val="autoZero"/>
        <c:auto val="1"/>
        <c:lblAlgn val="ctr"/>
        <c:lblOffset val="100"/>
      </c:catAx>
      <c:valAx>
        <c:axId val="887752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773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3133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6695</c:v>
                </c:pt>
                <c:pt idx="1">
                  <c:v>6332</c:v>
                </c:pt>
                <c:pt idx="2">
                  <c:v>5540</c:v>
                </c:pt>
                <c:pt idx="3">
                  <c:v>0</c:v>
                </c:pt>
                <c:pt idx="4">
                  <c:v>0</c:v>
                </c:pt>
                <c:pt idx="5">
                  <c:v>6729</c:v>
                </c:pt>
                <c:pt idx="6">
                  <c:v>4979</c:v>
                </c:pt>
                <c:pt idx="7">
                  <c:v>5333</c:v>
                </c:pt>
                <c:pt idx="8">
                  <c:v>5724</c:v>
                </c:pt>
                <c:pt idx="9">
                  <c:v>4995</c:v>
                </c:pt>
                <c:pt idx="10">
                  <c:v>0</c:v>
                </c:pt>
                <c:pt idx="11">
                  <c:v>0</c:v>
                </c:pt>
                <c:pt idx="12">
                  <c:v>6833</c:v>
                </c:pt>
                <c:pt idx="13">
                  <c:v>5512.2000000001863</c:v>
                </c:pt>
                <c:pt idx="14">
                  <c:v>5313.7999999998137</c:v>
                </c:pt>
                <c:pt idx="15">
                  <c:v>5643</c:v>
                </c:pt>
                <c:pt idx="16">
                  <c:v>9545</c:v>
                </c:pt>
                <c:pt idx="17">
                  <c:v>0</c:v>
                </c:pt>
                <c:pt idx="18">
                  <c:v>0</c:v>
                </c:pt>
                <c:pt idx="19">
                  <c:v>6388</c:v>
                </c:pt>
                <c:pt idx="20">
                  <c:v>5544</c:v>
                </c:pt>
                <c:pt idx="21">
                  <c:v>4191</c:v>
                </c:pt>
                <c:pt idx="22">
                  <c:v>8533</c:v>
                </c:pt>
                <c:pt idx="23">
                  <c:v>5011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5277</c:v>
                </c:pt>
                <c:pt idx="28">
                  <c:v>4790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89000960"/>
        <c:axId val="89010944"/>
      </c:lineChart>
      <c:catAx>
        <c:axId val="89000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010944"/>
        <c:crosses val="autoZero"/>
        <c:auto val="1"/>
        <c:lblAlgn val="ctr"/>
        <c:lblOffset val="100"/>
      </c:catAx>
      <c:valAx>
        <c:axId val="890109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000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959</c:v>
                </c:pt>
                <c:pt idx="7">
                  <c:v>108</c:v>
                </c:pt>
                <c:pt idx="8">
                  <c:v>212</c:v>
                </c:pt>
                <c:pt idx="9">
                  <c:v>108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640</c:v>
                </c:pt>
                <c:pt idx="15">
                  <c:v>0</c:v>
                </c:pt>
                <c:pt idx="16">
                  <c:v>597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714</c:v>
                </c:pt>
                <c:pt idx="23">
                  <c:v>130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78</c:v>
                </c:pt>
                <c:pt idx="28">
                  <c:v>0</c:v>
                </c:pt>
                <c:pt idx="29">
                  <c:v>400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89027328"/>
        <c:axId val="89028864"/>
      </c:lineChart>
      <c:catAx>
        <c:axId val="89027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028864"/>
        <c:crosses val="autoZero"/>
        <c:auto val="1"/>
        <c:lblAlgn val="ctr"/>
        <c:lblOffset val="100"/>
      </c:catAx>
      <c:valAx>
        <c:axId val="89028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027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3133"/>
          <c:w val="0.1354168853893758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9</c:v>
                </c:pt>
                <c:pt idx="9">
                  <c:v>0</c:v>
                </c:pt>
                <c:pt idx="10">
                  <c:v>0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10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  <c:pt idx="18">
                  <c:v>12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10</c:v>
                </c:pt>
                <c:pt idx="27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89061632"/>
        <c:axId val="89202688"/>
      </c:lineChart>
      <c:catAx>
        <c:axId val="89061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202688"/>
        <c:crosses val="autoZero"/>
        <c:auto val="1"/>
        <c:lblAlgn val="ctr"/>
        <c:lblOffset val="100"/>
      </c:catAx>
      <c:valAx>
        <c:axId val="892026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061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2179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-2313.4193548386975</c:v>
                </c:pt>
                <c:pt idx="1">
                  <c:v>-1910.0645161290449</c:v>
                </c:pt>
                <c:pt idx="2">
                  <c:v>0</c:v>
                </c:pt>
                <c:pt idx="3">
                  <c:v>0</c:v>
                </c:pt>
                <c:pt idx="4">
                  <c:v>-326.32258064516645</c:v>
                </c:pt>
                <c:pt idx="5">
                  <c:v>-1796.7419354838494</c:v>
                </c:pt>
                <c:pt idx="6">
                  <c:v>-2803.4193548387411</c:v>
                </c:pt>
                <c:pt idx="7">
                  <c:v>-2006.7419354838494</c:v>
                </c:pt>
                <c:pt idx="8">
                  <c:v>-2146.7419354838785</c:v>
                </c:pt>
                <c:pt idx="9">
                  <c:v>0</c:v>
                </c:pt>
                <c:pt idx="10">
                  <c:v>0</c:v>
                </c:pt>
                <c:pt idx="11">
                  <c:v>-1603.3870967741896</c:v>
                </c:pt>
                <c:pt idx="12">
                  <c:v>-2076.7419354838567</c:v>
                </c:pt>
                <c:pt idx="13">
                  <c:v>-493</c:v>
                </c:pt>
                <c:pt idx="14">
                  <c:v>-2076.741935483893</c:v>
                </c:pt>
                <c:pt idx="15">
                  <c:v>-2523.4193548386902</c:v>
                </c:pt>
                <c:pt idx="16">
                  <c:v>0</c:v>
                </c:pt>
                <c:pt idx="17">
                  <c:v>0</c:v>
                </c:pt>
                <c:pt idx="18">
                  <c:v>-3303.4516129032345</c:v>
                </c:pt>
                <c:pt idx="19">
                  <c:v>-1980.0645161290449</c:v>
                </c:pt>
                <c:pt idx="20">
                  <c:v>-799.67741935483355</c:v>
                </c:pt>
                <c:pt idx="21">
                  <c:v>-1556.5483870967728</c:v>
                </c:pt>
                <c:pt idx="22">
                  <c:v>-1840.0645161290158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-1840.0645161290449</c:v>
                </c:pt>
                <c:pt idx="27">
                  <c:v>-2146.7419354838785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89231360"/>
        <c:axId val="89232896"/>
      </c:lineChart>
      <c:catAx>
        <c:axId val="89231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232896"/>
        <c:crosses val="autoZero"/>
        <c:auto val="1"/>
        <c:lblAlgn val="ctr"/>
        <c:lblOffset val="100"/>
      </c:catAx>
      <c:valAx>
        <c:axId val="892328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231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</c:v>
                </c:pt>
                <c:pt idx="27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89245568"/>
        <c:axId val="89247104"/>
      </c:lineChart>
      <c:catAx>
        <c:axId val="89245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247104"/>
        <c:crosses val="autoZero"/>
        <c:auto val="1"/>
        <c:lblAlgn val="ctr"/>
        <c:lblOffset val="100"/>
      </c:catAx>
      <c:valAx>
        <c:axId val="89247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245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62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89271680"/>
        <c:axId val="89281664"/>
      </c:lineChart>
      <c:catAx>
        <c:axId val="89271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281664"/>
        <c:crosses val="autoZero"/>
        <c:auto val="1"/>
        <c:lblAlgn val="ctr"/>
        <c:lblOffset val="100"/>
      </c:catAx>
      <c:valAx>
        <c:axId val="8928166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271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89302144"/>
        <c:axId val="89303680"/>
      </c:lineChart>
      <c:catAx>
        <c:axId val="89302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303680"/>
        <c:crosses val="autoZero"/>
        <c:auto val="1"/>
        <c:lblAlgn val="ctr"/>
        <c:lblOffset val="100"/>
      </c:catAx>
      <c:valAx>
        <c:axId val="893036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302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89320064"/>
        <c:axId val="91697536"/>
      </c:lineChart>
      <c:catAx>
        <c:axId val="89320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97536"/>
        <c:crosses val="autoZero"/>
        <c:auto val="1"/>
        <c:lblAlgn val="ctr"/>
        <c:lblOffset val="100"/>
      </c:catAx>
      <c:valAx>
        <c:axId val="91697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320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5725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160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170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91730304"/>
        <c:axId val="91731840"/>
      </c:lineChart>
      <c:catAx>
        <c:axId val="91730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31840"/>
        <c:crosses val="autoZero"/>
        <c:auto val="1"/>
        <c:lblAlgn val="ctr"/>
        <c:lblOffset val="100"/>
      </c:catAx>
      <c:valAx>
        <c:axId val="91731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30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3133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18.5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19</c:v>
                </c:pt>
                <c:pt idx="6">
                  <c:v>19.5</c:v>
                </c:pt>
                <c:pt idx="7">
                  <c:v>16.5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18.5</c:v>
                </c:pt>
                <c:pt idx="12">
                  <c:v>20</c:v>
                </c:pt>
                <c:pt idx="13">
                  <c:v>19</c:v>
                </c:pt>
                <c:pt idx="14">
                  <c:v>18</c:v>
                </c:pt>
                <c:pt idx="15">
                  <c:v>15.5</c:v>
                </c:pt>
                <c:pt idx="16">
                  <c:v>0</c:v>
                </c:pt>
                <c:pt idx="17">
                  <c:v>0</c:v>
                </c:pt>
                <c:pt idx="18">
                  <c:v>16.5</c:v>
                </c:pt>
                <c:pt idx="19">
                  <c:v>13</c:v>
                </c:pt>
                <c:pt idx="20">
                  <c:v>16</c:v>
                </c:pt>
                <c:pt idx="21">
                  <c:v>14.5</c:v>
                </c:pt>
                <c:pt idx="22">
                  <c:v>13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15.5</c:v>
                </c:pt>
                <c:pt idx="27">
                  <c:v>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91744128"/>
        <c:axId val="91745664"/>
      </c:lineChart>
      <c:catAx>
        <c:axId val="91744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45664"/>
        <c:crosses val="autoZero"/>
        <c:auto val="1"/>
        <c:lblAlgn val="ctr"/>
        <c:lblOffset val="100"/>
      </c:catAx>
      <c:valAx>
        <c:axId val="91745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44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0043"/>
          <c:w val="0.1234311819809428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92308224"/>
        <c:axId val="92309760"/>
      </c:lineChart>
      <c:catAx>
        <c:axId val="9230822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09760"/>
        <c:crosses val="autoZero"/>
        <c:auto val="1"/>
        <c:lblAlgn val="ctr"/>
        <c:lblOffset val="100"/>
      </c:catAx>
      <c:valAx>
        <c:axId val="9230976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08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155"/>
          <c:w val="0.1569039853282410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220.33333333333334</c:v>
                </c:pt>
                <c:pt idx="1">
                  <c:v>223.33333333333334</c:v>
                </c:pt>
                <c:pt idx="2">
                  <c:v>0</c:v>
                </c:pt>
                <c:pt idx="3">
                  <c:v>0</c:v>
                </c:pt>
                <c:pt idx="4">
                  <c:v>379</c:v>
                </c:pt>
                <c:pt idx="5">
                  <c:v>246</c:v>
                </c:pt>
                <c:pt idx="6">
                  <c:v>192</c:v>
                </c:pt>
                <c:pt idx="7">
                  <c:v>171</c:v>
                </c:pt>
                <c:pt idx="8">
                  <c:v>218</c:v>
                </c:pt>
                <c:pt idx="9">
                  <c:v>0</c:v>
                </c:pt>
                <c:pt idx="10">
                  <c:v>0</c:v>
                </c:pt>
                <c:pt idx="11">
                  <c:v>237</c:v>
                </c:pt>
                <c:pt idx="12">
                  <c:v>296.5</c:v>
                </c:pt>
                <c:pt idx="13">
                  <c:v>253</c:v>
                </c:pt>
                <c:pt idx="14">
                  <c:v>363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197.5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94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92485504"/>
        <c:axId val="92487040"/>
      </c:lineChart>
      <c:catAx>
        <c:axId val="92485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87040"/>
        <c:crosses val="autoZero"/>
        <c:auto val="1"/>
        <c:lblAlgn val="ctr"/>
        <c:lblOffset val="100"/>
      </c:catAx>
      <c:valAx>
        <c:axId val="924870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85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681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18.5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19</c:v>
                </c:pt>
                <c:pt idx="6">
                  <c:v>19.5</c:v>
                </c:pt>
                <c:pt idx="7">
                  <c:v>16.5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18.5</c:v>
                </c:pt>
                <c:pt idx="12">
                  <c:v>20</c:v>
                </c:pt>
                <c:pt idx="13">
                  <c:v>19</c:v>
                </c:pt>
                <c:pt idx="14">
                  <c:v>18</c:v>
                </c:pt>
                <c:pt idx="15">
                  <c:v>15.5</c:v>
                </c:pt>
                <c:pt idx="16">
                  <c:v>0</c:v>
                </c:pt>
                <c:pt idx="17">
                  <c:v>0</c:v>
                </c:pt>
                <c:pt idx="18">
                  <c:v>16.5</c:v>
                </c:pt>
                <c:pt idx="19">
                  <c:v>13</c:v>
                </c:pt>
                <c:pt idx="20">
                  <c:v>16</c:v>
                </c:pt>
                <c:pt idx="21">
                  <c:v>14.5</c:v>
                </c:pt>
                <c:pt idx="22">
                  <c:v>13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15.5</c:v>
                </c:pt>
                <c:pt idx="27">
                  <c:v>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94605312"/>
        <c:axId val="94606848"/>
      </c:lineChart>
      <c:catAx>
        <c:axId val="94605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606848"/>
        <c:crosses val="autoZero"/>
        <c:auto val="1"/>
        <c:lblAlgn val="ctr"/>
        <c:lblOffset val="100"/>
      </c:catAx>
      <c:valAx>
        <c:axId val="94606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605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2705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10541824"/>
        <c:axId val="110547712"/>
      </c:lineChart>
      <c:catAx>
        <c:axId val="11054182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547712"/>
        <c:crosses val="autoZero"/>
        <c:auto val="1"/>
        <c:lblAlgn val="ctr"/>
        <c:lblOffset val="100"/>
      </c:catAx>
      <c:valAx>
        <c:axId val="11054771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541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155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OCT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44530</v>
          </cell>
          <cell r="D33">
            <v>69398</v>
          </cell>
          <cell r="E33">
            <v>2255</v>
          </cell>
          <cell r="F33">
            <v>4103940</v>
          </cell>
          <cell r="G33">
            <v>322</v>
          </cell>
          <cell r="H33">
            <v>17989982</v>
          </cell>
          <cell r="I33">
            <v>582</v>
          </cell>
          <cell r="J33">
            <v>29621430</v>
          </cell>
          <cell r="K33">
            <v>2298</v>
          </cell>
          <cell r="L33">
            <v>24473990</v>
          </cell>
          <cell r="M33">
            <v>1238</v>
          </cell>
          <cell r="N33">
            <v>6695</v>
          </cell>
          <cell r="O33">
            <v>0</v>
          </cell>
          <cell r="P33">
            <v>18659.785</v>
          </cell>
          <cell r="Q33">
            <v>6585.9999999993306</v>
          </cell>
          <cell r="R33">
            <v>109.00000000066939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33457</v>
          </cell>
          <cell r="X33">
            <v>3</v>
          </cell>
          <cell r="Y33">
            <v>990507</v>
          </cell>
          <cell r="Z33">
            <v>859</v>
          </cell>
          <cell r="AA33">
            <v>36796</v>
          </cell>
          <cell r="AB33">
            <v>0</v>
          </cell>
          <cell r="AC33">
            <v>1170505</v>
          </cell>
          <cell r="AD33">
            <v>0</v>
          </cell>
          <cell r="AE33">
            <v>3</v>
          </cell>
          <cell r="AF33">
            <v>859</v>
          </cell>
          <cell r="AG33">
            <v>286.33333333333331</v>
          </cell>
        </row>
      </sheetData>
      <sheetData sheetId="3">
        <row r="34">
          <cell r="B34">
            <v>218</v>
          </cell>
          <cell r="C34">
            <v>224</v>
          </cell>
          <cell r="D34">
            <v>8</v>
          </cell>
          <cell r="E34">
            <v>67.040000000000006</v>
          </cell>
          <cell r="F34">
            <v>1921</v>
          </cell>
          <cell r="G34">
            <v>0</v>
          </cell>
          <cell r="H34">
            <v>19436</v>
          </cell>
          <cell r="I34">
            <v>0</v>
          </cell>
          <cell r="J34">
            <v>0</v>
          </cell>
          <cell r="K34">
            <v>2367</v>
          </cell>
          <cell r="L34">
            <v>0</v>
          </cell>
          <cell r="M34">
            <v>174784</v>
          </cell>
          <cell r="N34">
            <v>0</v>
          </cell>
          <cell r="O34">
            <v>1869</v>
          </cell>
          <cell r="P34">
            <v>2137</v>
          </cell>
          <cell r="Q34">
            <v>179335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2480</v>
          </cell>
          <cell r="Y34">
            <v>0</v>
          </cell>
          <cell r="Z34">
            <v>139172.20000000001</v>
          </cell>
          <cell r="AA34">
            <v>0</v>
          </cell>
          <cell r="AB34">
            <v>0</v>
          </cell>
          <cell r="AC34">
            <v>1943</v>
          </cell>
          <cell r="AD34">
            <v>0</v>
          </cell>
          <cell r="AE34">
            <v>366210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A35">
            <v>44530</v>
          </cell>
          <cell r="AR35">
            <v>44530</v>
          </cell>
        </row>
        <row r="36">
          <cell r="B36">
            <v>109443</v>
          </cell>
          <cell r="C36">
            <v>0</v>
          </cell>
          <cell r="D36">
            <v>0</v>
          </cell>
          <cell r="E36">
            <v>250</v>
          </cell>
          <cell r="F36">
            <v>0</v>
          </cell>
          <cell r="G36">
            <v>625978</v>
          </cell>
          <cell r="H36">
            <v>0</v>
          </cell>
          <cell r="I36">
            <v>0</v>
          </cell>
          <cell r="J36">
            <v>0</v>
          </cell>
          <cell r="K36">
            <v>6953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5180</v>
          </cell>
          <cell r="U36">
            <v>0</v>
          </cell>
          <cell r="V36">
            <v>477</v>
          </cell>
          <cell r="W36">
            <v>0</v>
          </cell>
          <cell r="Y36">
            <v>0</v>
          </cell>
          <cell r="Z36">
            <v>99258</v>
          </cell>
          <cell r="AA36">
            <v>0</v>
          </cell>
          <cell r="AB36">
            <v>248</v>
          </cell>
          <cell r="AC36">
            <v>789</v>
          </cell>
          <cell r="AD36">
            <v>0</v>
          </cell>
          <cell r="AE36">
            <v>239.1</v>
          </cell>
          <cell r="AF36">
            <v>0</v>
          </cell>
          <cell r="AG36">
            <v>2217.83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S36">
            <v>0.9</v>
          </cell>
          <cell r="AT36">
            <v>94</v>
          </cell>
          <cell r="AU36">
            <v>1.1000000000000001</v>
          </cell>
          <cell r="AV36">
            <v>139</v>
          </cell>
          <cell r="AW36">
            <v>2.9</v>
          </cell>
          <cell r="AX36">
            <v>101</v>
          </cell>
          <cell r="AY36">
            <v>84.600000000000009</v>
          </cell>
          <cell r="AZ36">
            <v>152.9</v>
          </cell>
          <cell r="BA36">
            <v>292.89999999999998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</row>
      </sheetData>
      <sheetData sheetId="5">
        <row r="32">
          <cell r="A32">
            <v>44530</v>
          </cell>
          <cell r="B32">
            <v>11198</v>
          </cell>
          <cell r="C32">
            <v>9</v>
          </cell>
          <cell r="D32">
            <v>562516</v>
          </cell>
          <cell r="E32">
            <v>2250</v>
          </cell>
          <cell r="F32">
            <v>250</v>
          </cell>
          <cell r="G32">
            <v>0</v>
          </cell>
          <cell r="H32">
            <v>11218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O32">
            <v>0</v>
          </cell>
          <cell r="P32">
            <v>10873</v>
          </cell>
          <cell r="Q32" t="str">
            <v>ok</v>
          </cell>
          <cell r="R32">
            <v>13312</v>
          </cell>
          <cell r="S32">
            <v>1</v>
          </cell>
          <cell r="T32">
            <v>267496</v>
          </cell>
          <cell r="U32">
            <v>250</v>
          </cell>
          <cell r="V32">
            <v>250</v>
          </cell>
          <cell r="W32">
            <v>0</v>
          </cell>
          <cell r="X32">
            <v>13429</v>
          </cell>
          <cell r="Y32" t="str">
            <v>ok</v>
          </cell>
          <cell r="Z32">
            <v>10</v>
          </cell>
          <cell r="AA32">
            <v>2500</v>
          </cell>
          <cell r="AB32">
            <v>500</v>
          </cell>
          <cell r="AC32">
            <v>250</v>
          </cell>
          <cell r="AD32">
            <v>6585.9999999993306</v>
          </cell>
          <cell r="AE32">
            <v>658.59999999993306</v>
          </cell>
          <cell r="AF32">
            <v>0.41162499999995816</v>
          </cell>
          <cell r="AG32">
            <v>131.71999999998661</v>
          </cell>
          <cell r="AH32">
            <v>118.28000000001339</v>
          </cell>
          <cell r="AI32">
            <v>1695.1308016875917</v>
          </cell>
          <cell r="AJ32">
            <v>0.25738396624472576</v>
          </cell>
          <cell r="AK32">
            <v>169.51308016875916</v>
          </cell>
        </row>
      </sheetData>
      <sheetData sheetId="6">
        <row r="35">
          <cell r="A35">
            <v>44530</v>
          </cell>
          <cell r="AV35">
            <v>0.71</v>
          </cell>
        </row>
        <row r="36">
          <cell r="B36">
            <v>218</v>
          </cell>
          <cell r="C36">
            <v>4690.5161290322576</v>
          </cell>
          <cell r="D36">
            <v>218</v>
          </cell>
          <cell r="E36">
            <v>4690.5161290322576</v>
          </cell>
          <cell r="F36">
            <v>218</v>
          </cell>
          <cell r="G36">
            <v>4690.5161290322576</v>
          </cell>
          <cell r="H36">
            <v>218</v>
          </cell>
          <cell r="I36">
            <v>4690.5161290322576</v>
          </cell>
          <cell r="J36">
            <v>218</v>
          </cell>
          <cell r="K36">
            <v>4690.5161290322576</v>
          </cell>
          <cell r="L36">
            <v>218</v>
          </cell>
          <cell r="M36">
            <v>4690.5161290322576</v>
          </cell>
          <cell r="N36">
            <v>218</v>
          </cell>
          <cell r="O36">
            <v>4690.5161290322576</v>
          </cell>
          <cell r="P36">
            <v>218</v>
          </cell>
          <cell r="Q36">
            <v>4690.5161290322576</v>
          </cell>
          <cell r="R36">
            <v>218</v>
          </cell>
          <cell r="S36">
            <v>4690.5161290322576</v>
          </cell>
          <cell r="T36">
            <v>218</v>
          </cell>
          <cell r="U36">
            <v>4690.5161290322576</v>
          </cell>
          <cell r="V36">
            <v>218</v>
          </cell>
          <cell r="W36">
            <v>4690.5161290322576</v>
          </cell>
          <cell r="X36">
            <v>0.70322580645161281</v>
          </cell>
          <cell r="Y36">
            <v>51595.677419354834</v>
          </cell>
          <cell r="Z36">
            <v>224</v>
          </cell>
          <cell r="AA36">
            <v>2240</v>
          </cell>
          <cell r="AB36">
            <v>224</v>
          </cell>
          <cell r="AC36">
            <v>2240</v>
          </cell>
          <cell r="AD36">
            <v>224</v>
          </cell>
          <cell r="AE36">
            <v>2240</v>
          </cell>
          <cell r="AF36">
            <v>224</v>
          </cell>
          <cell r="AG36">
            <v>2240</v>
          </cell>
          <cell r="AH36">
            <v>224</v>
          </cell>
          <cell r="AI36">
            <v>2240</v>
          </cell>
          <cell r="AJ36">
            <v>224</v>
          </cell>
          <cell r="AK36">
            <v>2240</v>
          </cell>
          <cell r="AL36">
            <v>224</v>
          </cell>
          <cell r="AM36">
            <v>2240</v>
          </cell>
          <cell r="AN36">
            <v>0.8</v>
          </cell>
          <cell r="AO36">
            <v>15680</v>
          </cell>
          <cell r="AQ36">
            <v>0.7236278091788193</v>
          </cell>
          <cell r="AR36">
            <v>67275.677419354834</v>
          </cell>
          <cell r="AS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23</v>
          </cell>
        </row>
      </sheetData>
      <sheetData sheetId="7">
        <row r="26">
          <cell r="V26">
            <v>399615</v>
          </cell>
          <cell r="W26">
            <v>399616</v>
          </cell>
          <cell r="Y26">
            <v>80</v>
          </cell>
          <cell r="Z26">
            <v>1</v>
          </cell>
          <cell r="AA26">
            <v>1</v>
          </cell>
          <cell r="AB26">
            <v>80</v>
          </cell>
          <cell r="AC26">
            <v>1033333</v>
          </cell>
          <cell r="AD26" t="e">
            <v>#VALUE!</v>
          </cell>
        </row>
        <row r="27">
          <cell r="V27">
            <v>540744</v>
          </cell>
          <cell r="W27">
            <v>543471</v>
          </cell>
          <cell r="Y27">
            <v>112</v>
          </cell>
          <cell r="Z27">
            <v>1</v>
          </cell>
          <cell r="AA27">
            <v>2727</v>
          </cell>
          <cell r="AB27">
            <v>305424</v>
          </cell>
          <cell r="AC27">
            <v>6200000</v>
          </cell>
          <cell r="AD27">
            <v>0.90118968935888966</v>
          </cell>
        </row>
        <row r="28">
          <cell r="V28">
            <v>159573</v>
          </cell>
          <cell r="W28">
            <v>159873</v>
          </cell>
          <cell r="Y28">
            <v>320</v>
          </cell>
          <cell r="Z28">
            <v>1</v>
          </cell>
          <cell r="AA28">
            <v>300</v>
          </cell>
          <cell r="AB28">
            <v>96000</v>
          </cell>
          <cell r="AC28">
            <v>1000</v>
          </cell>
          <cell r="AD28">
            <v>9.9140779907468599E-2</v>
          </cell>
        </row>
        <row r="29">
          <cell r="AA29">
            <v>3028</v>
          </cell>
          <cell r="AB29">
            <v>401504</v>
          </cell>
          <cell r="AC29">
            <v>7234333</v>
          </cell>
        </row>
        <row r="30">
          <cell r="AA30">
            <v>0</v>
          </cell>
          <cell r="AB30">
            <v>7635837</v>
          </cell>
          <cell r="AC30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</row>
        <row r="32">
          <cell r="W32">
            <v>222</v>
          </cell>
          <cell r="X32">
            <v>27.75</v>
          </cell>
          <cell r="Y32">
            <v>27.75</v>
          </cell>
          <cell r="AA32">
            <v>0</v>
          </cell>
          <cell r="AB32">
            <v>0</v>
          </cell>
          <cell r="AC32">
            <v>0</v>
          </cell>
        </row>
        <row r="33">
          <cell r="A33">
            <v>44530</v>
          </cell>
          <cell r="B33">
            <v>1102959</v>
          </cell>
          <cell r="C33">
            <v>0</v>
          </cell>
          <cell r="D33">
            <v>0</v>
          </cell>
          <cell r="E33">
            <v>1102959</v>
          </cell>
          <cell r="F33">
            <v>159873</v>
          </cell>
          <cell r="G33">
            <v>0</v>
          </cell>
          <cell r="H33">
            <v>543471</v>
          </cell>
          <cell r="I33">
            <v>0</v>
          </cell>
          <cell r="J33">
            <v>399616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1537.5322064516081</v>
          </cell>
          <cell r="R33">
            <v>1697.4953463078823</v>
          </cell>
          <cell r="S33">
            <v>6695</v>
          </cell>
          <cell r="T33">
            <v>0.25354672835069192</v>
          </cell>
          <cell r="AA33">
            <v>0.11</v>
          </cell>
          <cell r="AB33">
            <v>839942.07</v>
          </cell>
          <cell r="AC33">
            <v>7234333</v>
          </cell>
        </row>
        <row r="34">
          <cell r="AA34">
            <v>0</v>
          </cell>
          <cell r="AB34">
            <v>8475779.0700000003</v>
          </cell>
          <cell r="AC34">
            <v>0</v>
          </cell>
        </row>
      </sheetData>
      <sheetData sheetId="8"/>
      <sheetData sheetId="9">
        <row r="5">
          <cell r="B5">
            <v>30</v>
          </cell>
          <cell r="C5">
            <v>23</v>
          </cell>
        </row>
        <row r="6">
          <cell r="B6">
            <v>25</v>
          </cell>
          <cell r="C6">
            <v>22</v>
          </cell>
        </row>
        <row r="7">
          <cell r="B7">
            <v>25</v>
          </cell>
          <cell r="C7">
            <v>20</v>
          </cell>
        </row>
        <row r="8">
          <cell r="B8">
            <v>25</v>
          </cell>
          <cell r="C8">
            <v>20</v>
          </cell>
        </row>
        <row r="9">
          <cell r="B9">
            <v>0</v>
          </cell>
          <cell r="C9">
            <v>0</v>
          </cell>
        </row>
        <row r="10">
          <cell r="B10">
            <v>0</v>
          </cell>
          <cell r="C10">
            <v>0</v>
          </cell>
        </row>
        <row r="11">
          <cell r="B11">
            <v>26</v>
          </cell>
          <cell r="C11">
            <v>20</v>
          </cell>
        </row>
        <row r="12">
          <cell r="B12">
            <v>26</v>
          </cell>
          <cell r="C12">
            <v>19</v>
          </cell>
        </row>
        <row r="13">
          <cell r="B13">
            <v>28</v>
          </cell>
          <cell r="C13">
            <v>20</v>
          </cell>
        </row>
        <row r="14">
          <cell r="B14">
            <v>26</v>
          </cell>
          <cell r="C14">
            <v>19</v>
          </cell>
        </row>
        <row r="15">
          <cell r="B15">
            <v>24</v>
          </cell>
          <cell r="C15">
            <v>13</v>
          </cell>
        </row>
        <row r="16">
          <cell r="B16">
            <v>0</v>
          </cell>
          <cell r="C16">
            <v>0</v>
          </cell>
        </row>
        <row r="17">
          <cell r="B17">
            <v>0</v>
          </cell>
          <cell r="C17">
            <v>0</v>
          </cell>
        </row>
        <row r="18">
          <cell r="B18">
            <v>25</v>
          </cell>
          <cell r="C18">
            <v>20</v>
          </cell>
        </row>
        <row r="19">
          <cell r="B19">
            <v>27</v>
          </cell>
          <cell r="C19">
            <v>21</v>
          </cell>
          <cell r="F19">
            <v>0</v>
          </cell>
        </row>
        <row r="20">
          <cell r="B20">
            <v>24</v>
          </cell>
          <cell r="C20">
            <v>19</v>
          </cell>
        </row>
        <row r="21">
          <cell r="B21">
            <v>26</v>
          </cell>
          <cell r="C21">
            <v>19</v>
          </cell>
        </row>
        <row r="22">
          <cell r="B22">
            <v>23</v>
          </cell>
          <cell r="C22">
            <v>18</v>
          </cell>
        </row>
        <row r="23">
          <cell r="B23">
            <v>0</v>
          </cell>
          <cell r="C23">
            <v>0</v>
          </cell>
        </row>
        <row r="24">
          <cell r="B24">
            <v>0</v>
          </cell>
          <cell r="C24">
            <v>0</v>
          </cell>
        </row>
        <row r="25">
          <cell r="B25">
            <v>0</v>
          </cell>
          <cell r="C25">
            <v>0</v>
          </cell>
        </row>
        <row r="26">
          <cell r="B26">
            <v>24</v>
          </cell>
          <cell r="C26">
            <v>17</v>
          </cell>
        </row>
        <row r="27">
          <cell r="B27">
            <v>23</v>
          </cell>
          <cell r="C27">
            <v>16</v>
          </cell>
        </row>
        <row r="28">
          <cell r="B28">
            <v>23</v>
          </cell>
          <cell r="C28">
            <v>17</v>
          </cell>
        </row>
        <row r="29">
          <cell r="B29">
            <v>22</v>
          </cell>
          <cell r="C29">
            <v>18</v>
          </cell>
        </row>
        <row r="30">
          <cell r="B30">
            <v>0</v>
          </cell>
          <cell r="C30">
            <v>0</v>
          </cell>
        </row>
        <row r="31">
          <cell r="B31">
            <v>0</v>
          </cell>
          <cell r="C31">
            <v>0</v>
          </cell>
        </row>
        <row r="32">
          <cell r="B32">
            <v>25</v>
          </cell>
          <cell r="C32">
            <v>18</v>
          </cell>
        </row>
        <row r="33">
          <cell r="B33">
            <v>25</v>
          </cell>
          <cell r="C33">
            <v>18</v>
          </cell>
        </row>
        <row r="34">
          <cell r="B34">
            <v>28</v>
          </cell>
          <cell r="C34">
            <v>19</v>
          </cell>
        </row>
      </sheetData>
      <sheetData sheetId="10"/>
      <sheetData sheetId="11"/>
      <sheetData sheetId="12"/>
      <sheetData sheetId="13">
        <row r="35">
          <cell r="A35">
            <v>44530</v>
          </cell>
          <cell r="B35">
            <v>2.8</v>
          </cell>
          <cell r="C35">
            <v>8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6953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AT36">
            <v>0</v>
          </cell>
          <cell r="AU36">
            <v>0</v>
          </cell>
        </row>
      </sheetData>
      <sheetData sheetId="7"/>
      <sheetData sheetId="8"/>
      <sheetData sheetId="9"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28</v>
          </cell>
          <cell r="C7">
            <v>24</v>
          </cell>
        </row>
        <row r="8">
          <cell r="B8">
            <v>28</v>
          </cell>
          <cell r="C8">
            <v>23</v>
          </cell>
        </row>
        <row r="9">
          <cell r="B9">
            <v>28</v>
          </cell>
          <cell r="C9">
            <v>23</v>
          </cell>
        </row>
        <row r="10">
          <cell r="B10">
            <v>28</v>
          </cell>
          <cell r="C10">
            <v>23</v>
          </cell>
        </row>
        <row r="11">
          <cell r="B11">
            <v>28</v>
          </cell>
          <cell r="C11">
            <v>22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29</v>
          </cell>
          <cell r="C14">
            <v>23</v>
          </cell>
        </row>
        <row r="15">
          <cell r="B15">
            <v>27</v>
          </cell>
          <cell r="C15">
            <v>23</v>
          </cell>
        </row>
        <row r="16">
          <cell r="B16">
            <v>28</v>
          </cell>
          <cell r="C16">
            <v>22</v>
          </cell>
        </row>
        <row r="17">
          <cell r="B17">
            <v>0</v>
          </cell>
          <cell r="C17">
            <v>0</v>
          </cell>
        </row>
        <row r="18">
          <cell r="B18">
            <v>0</v>
          </cell>
          <cell r="C18">
            <v>0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0</v>
          </cell>
          <cell r="C21">
            <v>0</v>
          </cell>
        </row>
        <row r="22">
          <cell r="B22">
            <v>26</v>
          </cell>
          <cell r="C22">
            <v>22</v>
          </cell>
        </row>
        <row r="23">
          <cell r="B23">
            <v>26</v>
          </cell>
          <cell r="C23">
            <v>22</v>
          </cell>
        </row>
        <row r="24">
          <cell r="B24">
            <v>26</v>
          </cell>
          <cell r="C24">
            <v>21</v>
          </cell>
        </row>
        <row r="25">
          <cell r="B25">
            <v>27</v>
          </cell>
          <cell r="C25">
            <v>21</v>
          </cell>
        </row>
        <row r="26">
          <cell r="B26">
            <v>0</v>
          </cell>
          <cell r="C26">
            <v>0</v>
          </cell>
        </row>
        <row r="27">
          <cell r="B27">
            <v>0</v>
          </cell>
          <cell r="C27">
            <v>0</v>
          </cell>
        </row>
        <row r="28">
          <cell r="B28">
            <v>26</v>
          </cell>
          <cell r="C28">
            <v>21</v>
          </cell>
        </row>
        <row r="29">
          <cell r="B29">
            <v>25</v>
          </cell>
          <cell r="C29">
            <v>21</v>
          </cell>
        </row>
        <row r="30">
          <cell r="B30">
            <v>26</v>
          </cell>
          <cell r="C30">
            <v>21</v>
          </cell>
        </row>
        <row r="31">
          <cell r="B31">
            <v>26</v>
          </cell>
          <cell r="C31">
            <v>21</v>
          </cell>
        </row>
        <row r="32">
          <cell r="B32">
            <v>28</v>
          </cell>
          <cell r="C32">
            <v>20</v>
          </cell>
        </row>
        <row r="33">
          <cell r="B33">
            <v>0</v>
          </cell>
          <cell r="C33">
            <v>0</v>
          </cell>
        </row>
        <row r="34">
          <cell r="B34">
            <v>0</v>
          </cell>
          <cell r="C34">
            <v>0</v>
          </cell>
        </row>
        <row r="35">
          <cell r="B35">
            <v>28</v>
          </cell>
          <cell r="C35">
            <v>21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</sheetData>
      <sheetData sheetId="8"/>
      <sheetData sheetId="9">
        <row r="35">
          <cell r="B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J48">
            <v>30</v>
          </cell>
          <cell r="K48">
            <v>26</v>
          </cell>
        </row>
        <row r="49">
          <cell r="J49">
            <v>31</v>
          </cell>
          <cell r="K49">
            <v>26</v>
          </cell>
        </row>
        <row r="50">
          <cell r="J50">
            <v>0</v>
          </cell>
          <cell r="K50">
            <v>0</v>
          </cell>
        </row>
        <row r="51">
          <cell r="J51">
            <v>0</v>
          </cell>
          <cell r="K51">
            <v>0</v>
          </cell>
        </row>
        <row r="52">
          <cell r="J52">
            <v>31</v>
          </cell>
          <cell r="K52">
            <v>26</v>
          </cell>
        </row>
        <row r="53">
          <cell r="J53">
            <v>30</v>
          </cell>
          <cell r="K53">
            <v>26</v>
          </cell>
        </row>
        <row r="54">
          <cell r="J54">
            <v>31</v>
          </cell>
          <cell r="K54">
            <v>26</v>
          </cell>
        </row>
        <row r="55">
          <cell r="J55">
            <v>29</v>
          </cell>
          <cell r="K55">
            <v>25</v>
          </cell>
        </row>
        <row r="56">
          <cell r="J56">
            <v>29</v>
          </cell>
          <cell r="K56">
            <v>25</v>
          </cell>
        </row>
        <row r="57">
          <cell r="J57">
            <v>0</v>
          </cell>
          <cell r="K57">
            <v>0</v>
          </cell>
        </row>
        <row r="58">
          <cell r="J58">
            <v>0</v>
          </cell>
          <cell r="K58">
            <v>0</v>
          </cell>
        </row>
        <row r="59">
          <cell r="J59">
            <v>0</v>
          </cell>
          <cell r="K59">
            <v>0</v>
          </cell>
        </row>
        <row r="60">
          <cell r="J60">
            <v>29</v>
          </cell>
          <cell r="K60">
            <v>25</v>
          </cell>
        </row>
        <row r="61">
          <cell r="J61">
            <v>30</v>
          </cell>
          <cell r="K61">
            <v>25</v>
          </cell>
        </row>
        <row r="62">
          <cell r="J62">
            <v>29</v>
          </cell>
          <cell r="K62">
            <v>24</v>
          </cell>
        </row>
        <row r="63">
          <cell r="J63">
            <v>30</v>
          </cell>
          <cell r="K63">
            <v>26</v>
          </cell>
        </row>
        <row r="64">
          <cell r="J64">
            <v>28</v>
          </cell>
          <cell r="K64">
            <v>23</v>
          </cell>
        </row>
        <row r="65">
          <cell r="J65">
            <v>0</v>
          </cell>
          <cell r="K65">
            <v>0</v>
          </cell>
        </row>
        <row r="66">
          <cell r="J66">
            <v>29</v>
          </cell>
          <cell r="K66">
            <v>24</v>
          </cell>
        </row>
        <row r="67">
          <cell r="J67">
            <v>29</v>
          </cell>
          <cell r="K67">
            <v>25</v>
          </cell>
        </row>
        <row r="68">
          <cell r="J68">
            <v>30</v>
          </cell>
          <cell r="K68">
            <v>25</v>
          </cell>
        </row>
        <row r="69">
          <cell r="J69">
            <v>31</v>
          </cell>
          <cell r="K69">
            <v>25</v>
          </cell>
        </row>
        <row r="70">
          <cell r="J70">
            <v>0</v>
          </cell>
          <cell r="K70">
            <v>0</v>
          </cell>
        </row>
        <row r="71">
          <cell r="J71">
            <v>0</v>
          </cell>
          <cell r="K71">
            <v>0</v>
          </cell>
        </row>
        <row r="72">
          <cell r="J72">
            <v>0</v>
          </cell>
          <cell r="K72">
            <v>0</v>
          </cell>
        </row>
        <row r="73">
          <cell r="J73">
            <v>28</v>
          </cell>
          <cell r="K73">
            <v>23</v>
          </cell>
        </row>
        <row r="74">
          <cell r="J74">
            <v>0</v>
          </cell>
          <cell r="K74">
            <v>0</v>
          </cell>
        </row>
        <row r="75">
          <cell r="J75">
            <v>28</v>
          </cell>
          <cell r="K75">
            <v>24</v>
          </cell>
        </row>
        <row r="76">
          <cell r="J76">
            <v>28</v>
          </cell>
          <cell r="K76">
            <v>25</v>
          </cell>
        </row>
        <row r="77">
          <cell r="J77">
            <v>28</v>
          </cell>
          <cell r="K77">
            <v>24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246.49999999999986</v>
          </cell>
        </row>
        <row r="15">
          <cell r="B15">
            <v>-1.8000000000000007</v>
          </cell>
        </row>
        <row r="16">
          <cell r="B16">
            <v>16.903225806451612</v>
          </cell>
        </row>
        <row r="17">
          <cell r="B17">
            <v>0</v>
          </cell>
        </row>
        <row r="18">
          <cell r="B18">
            <v>112</v>
          </cell>
        </row>
        <row r="19">
          <cell r="B19">
            <v>3.6129032258064515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G12" sqref="G1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81" t="s">
        <v>338</v>
      </c>
      <c r="B1" s="581" t="s">
        <v>198</v>
      </c>
      <c r="C1" s="581" t="s">
        <v>339</v>
      </c>
      <c r="D1" s="581" t="s">
        <v>340</v>
      </c>
      <c r="E1" s="582" t="s">
        <v>350</v>
      </c>
      <c r="F1" s="582" t="s">
        <v>351</v>
      </c>
      <c r="G1" s="582" t="s">
        <v>411</v>
      </c>
      <c r="H1" s="582" t="s">
        <v>352</v>
      </c>
      <c r="I1" s="582" t="s">
        <v>353</v>
      </c>
      <c r="J1" s="582" t="s">
        <v>354</v>
      </c>
      <c r="K1" s="582" t="s">
        <v>355</v>
      </c>
      <c r="L1" s="582" t="s">
        <v>356</v>
      </c>
      <c r="M1" s="583" t="s">
        <v>397</v>
      </c>
      <c r="N1" s="468" t="s">
        <v>398</v>
      </c>
      <c r="O1" s="582" t="s">
        <v>341</v>
      </c>
    </row>
    <row r="2" spans="1:15">
      <c r="A2" t="s">
        <v>342</v>
      </c>
      <c r="B2">
        <v>1</v>
      </c>
      <c r="C2">
        <v>12</v>
      </c>
      <c r="D2">
        <v>2021</v>
      </c>
      <c r="E2" s="203">
        <f>ELEC!N4</f>
        <v>6332</v>
      </c>
      <c r="F2" s="315">
        <f>SUM('EDl log'!T4)</f>
        <v>0.24813550830236586</v>
      </c>
      <c r="G2" s="203">
        <f>-tanks!AW6</f>
        <v>0</v>
      </c>
      <c r="H2" s="315">
        <f>SUM(tanks!AV6)</f>
        <v>0.71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12</v>
      </c>
      <c r="D3">
        <v>2021</v>
      </c>
      <c r="E3" s="203">
        <f>ELEC!N5</f>
        <v>5540</v>
      </c>
      <c r="F3" s="315">
        <f>SUM('EDl log'!T5)</f>
        <v>0.23903249793693063</v>
      </c>
      <c r="G3" s="203">
        <f>-tanks!AW7</f>
        <v>0</v>
      </c>
      <c r="H3" s="315">
        <f>SUM(tanks!AV7)</f>
        <v>0.71</v>
      </c>
      <c r="I3" s="10">
        <f>('B5'!AU6)*0.51</f>
        <v>0</v>
      </c>
      <c r="J3" s="296">
        <f>'B5'!AX6/0.51</f>
        <v>1.5686274509803921</v>
      </c>
      <c r="K3" s="203">
        <f>WATER!I7</f>
        <v>160</v>
      </c>
      <c r="L3" s="316">
        <f>SUM(WATER!J7)</f>
        <v>1.5120967741935485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12</v>
      </c>
      <c r="D4">
        <v>2021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SUM(tanks!AV8)</f>
        <v>0.71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12</v>
      </c>
      <c r="D5">
        <v>2021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SUM(tanks!AV9)</f>
        <v>0.71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12</v>
      </c>
      <c r="D6">
        <v>2021</v>
      </c>
      <c r="E6" s="203">
        <f>ELEC!N8</f>
        <v>6729</v>
      </c>
      <c r="F6" s="315">
        <f>SUM('EDl log'!T8)</f>
        <v>3.5135947179460704E-2</v>
      </c>
      <c r="G6" s="203">
        <f>-tanks!AW10</f>
        <v>193</v>
      </c>
      <c r="H6" s="315">
        <f>SUM(tanks!AV10)</f>
        <v>0.63400000000000001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12</v>
      </c>
      <c r="D7">
        <v>2021</v>
      </c>
      <c r="E7" s="203">
        <f>ELEC!N9</f>
        <v>4979</v>
      </c>
      <c r="F7" s="315">
        <f>SUM('EDl log'!T9)</f>
        <v>0.25551462261167107</v>
      </c>
      <c r="G7" s="203">
        <f>-tanks!AW11</f>
        <v>110</v>
      </c>
      <c r="H7" s="315">
        <f>SUM(tanks!AV11)</f>
        <v>0.63400000000000001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12</v>
      </c>
      <c r="D8">
        <v>2021</v>
      </c>
      <c r="E8" s="203">
        <f>ELEC!N10</f>
        <v>5333</v>
      </c>
      <c r="F8" s="315">
        <f>SUM('EDl log'!T10)</f>
        <v>0.33870023888560086</v>
      </c>
      <c r="G8" s="203">
        <f>-tanks!AW12</f>
        <v>119</v>
      </c>
      <c r="H8" s="315">
        <f>SUM(tanks!AV12)</f>
        <v>0.63400000000000001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12</v>
      </c>
      <c r="D9">
        <v>2021</v>
      </c>
      <c r="E9" s="203">
        <f>ELEC!N11</f>
        <v>5724</v>
      </c>
      <c r="F9" s="315">
        <f>SUM('EDl log'!T11)</f>
        <v>0.24599688649347504</v>
      </c>
      <c r="G9" s="203">
        <f>-tanks!AW13</f>
        <v>0</v>
      </c>
      <c r="H9" s="315">
        <f>SUM(tanks!AV13)</f>
        <v>0.63400000000000001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12</v>
      </c>
      <c r="D10">
        <v>2021</v>
      </c>
      <c r="E10" s="203">
        <f>ELEC!N12</f>
        <v>4995</v>
      </c>
      <c r="F10" s="315">
        <f>SUM('EDl log'!T12)</f>
        <v>0.29572966349701857</v>
      </c>
      <c r="G10" s="203">
        <f>-tanks!AW14</f>
        <v>0</v>
      </c>
      <c r="H10" s="315">
        <f>SUM(tanks!AV14)</f>
        <v>0.63400000000000001</v>
      </c>
      <c r="I10" s="10">
        <f>('B5'!AU13)*0.51</f>
        <v>0</v>
      </c>
      <c r="J10" s="296">
        <f>'B5'!AX13/0.51</f>
        <v>1.5686274509803921</v>
      </c>
      <c r="K10" s="203">
        <f>WATER!I14</f>
        <v>170</v>
      </c>
      <c r="L10" s="316">
        <f>SUM(WATER!J14)</f>
        <v>1.4231499051233396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12</v>
      </c>
      <c r="D11">
        <v>2021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SUM(tanks!AV15)</f>
        <v>0.63400000000000001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12</v>
      </c>
      <c r="D12">
        <v>2021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SUM(tanks!AV16)</f>
        <v>0.63400000000000001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12</v>
      </c>
      <c r="D13">
        <v>2021</v>
      </c>
      <c r="E13" s="203">
        <f>ELEC!N15</f>
        <v>6833</v>
      </c>
      <c r="F13" s="315">
        <f>SUM('EDl log'!T15)</f>
        <v>0.15574876168163113</v>
      </c>
      <c r="G13" s="203">
        <f>-tanks!AW17</f>
        <v>118</v>
      </c>
      <c r="H13" s="315">
        <f>SUM(tanks!AV17)</f>
        <v>0.63400000000000001</v>
      </c>
      <c r="I13" s="10">
        <f>('B5'!AU16)*0.51</f>
        <v>0</v>
      </c>
      <c r="J13" s="296">
        <f>'B5'!AX16/0.51</f>
        <v>1.5686274509803921</v>
      </c>
      <c r="K13" s="203">
        <f>WATER!I17</f>
        <v>2</v>
      </c>
      <c r="L13" s="316">
        <f>SUM(WATER!J17)</f>
        <v>120.96774193548387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12</v>
      </c>
      <c r="D14">
        <v>2021</v>
      </c>
      <c r="E14" s="203">
        <f>ELEC!N16</f>
        <v>5512.2000000001863</v>
      </c>
      <c r="F14" s="315">
        <f>SUM('EDl log'!T16)</f>
        <v>0.23998005126275074</v>
      </c>
      <c r="G14" s="203">
        <f>-tanks!AW18</f>
        <v>169</v>
      </c>
      <c r="H14" s="315">
        <f>SUM(tanks!AV18)</f>
        <v>0.63400000000000001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12</v>
      </c>
      <c r="D15">
        <v>2021</v>
      </c>
      <c r="E15" s="203">
        <f>ELEC!N17</f>
        <v>5313.7999999998137</v>
      </c>
      <c r="F15" s="315">
        <f>SUM('EDl log'!T17)</f>
        <v>8.2413421949579943E-2</v>
      </c>
      <c r="G15" s="203">
        <f>-tanks!AW19</f>
        <v>117</v>
      </c>
      <c r="H15" s="315">
        <f>SUM(tanks!AV19)</f>
        <v>0.60699999999999998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12</v>
      </c>
      <c r="D16">
        <v>2021</v>
      </c>
      <c r="E16" s="203">
        <f>ELEC!N18</f>
        <v>5643</v>
      </c>
      <c r="F16" s="315">
        <f>SUM('EDl log'!T18)</f>
        <v>0.24060185868697528</v>
      </c>
      <c r="G16" s="203">
        <f>-tanks!AW20</f>
        <v>112</v>
      </c>
      <c r="H16" s="315">
        <f>SUM(tanks!AV20)</f>
        <v>0.60699999999999998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12</v>
      </c>
      <c r="D17">
        <v>2021</v>
      </c>
      <c r="E17" s="203">
        <f>ELEC!N19</f>
        <v>9545</v>
      </c>
      <c r="F17" s="315">
        <f>SUM('EDl log'!T19)</f>
        <v>0.18189770942008265</v>
      </c>
      <c r="G17" s="203">
        <f>-tanks!AW21</f>
        <v>0</v>
      </c>
      <c r="H17" s="315">
        <f>SUM(tanks!AV21)</f>
        <v>0.60699999999999998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12</v>
      </c>
      <c r="D18">
        <v>2021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SUM(tanks!AV22)</f>
        <v>0.60699999999999998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12</v>
      </c>
      <c r="D19">
        <v>2021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SUM(tanks!AV23)</f>
        <v>0.60699999999999998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12</v>
      </c>
      <c r="D20">
        <v>2021</v>
      </c>
      <c r="E20" s="203">
        <f>ELEC!N22</f>
        <v>6388</v>
      </c>
      <c r="F20" s="315">
        <f>SUM('EDl log'!T22)</f>
        <v>0.31353319326402523</v>
      </c>
      <c r="G20" s="203">
        <f>-tanks!AW24</f>
        <v>285</v>
      </c>
      <c r="H20" s="315">
        <f>SUM(tanks!AV24)</f>
        <v>0.60699999999999998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12</v>
      </c>
      <c r="D21">
        <v>2021</v>
      </c>
      <c r="E21" s="203">
        <f>ELEC!N23</f>
        <v>5544</v>
      </c>
      <c r="F21" s="315">
        <f>SUM('EDl log'!T23)</f>
        <v>0.22461395897738018</v>
      </c>
      <c r="G21" s="203">
        <f>-tanks!AW25</f>
        <v>199</v>
      </c>
      <c r="H21" s="315">
        <f>SUM(tanks!AV25)</f>
        <v>0.60699999999999998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12</v>
      </c>
      <c r="D22">
        <v>2021</v>
      </c>
      <c r="E22" s="203">
        <f>ELEC!N24</f>
        <v>4191</v>
      </c>
      <c r="F22" s="315">
        <f>SUM('EDl log'!T24)</f>
        <v>0.13622895217623116</v>
      </c>
      <c r="G22" s="203">
        <f>-tanks!AW26</f>
        <v>120</v>
      </c>
      <c r="H22" s="315">
        <f>SUM(tanks!AV26)</f>
        <v>0.60399999999999998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12</v>
      </c>
      <c r="D23">
        <v>2021</v>
      </c>
      <c r="E23" s="203">
        <f>ELEC!N25</f>
        <v>8533</v>
      </c>
      <c r="F23" s="315">
        <f>SUM('EDl log'!T25)</f>
        <v>0.11466026658147678</v>
      </c>
      <c r="G23" s="203">
        <f>-tanks!AW27</f>
        <v>298</v>
      </c>
      <c r="H23" s="315">
        <f>SUM(tanks!AV27)</f>
        <v>0.60399999999999998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12</v>
      </c>
      <c r="D24">
        <v>2021</v>
      </c>
      <c r="E24" s="203">
        <f>ELEC!N26</f>
        <v>5011</v>
      </c>
      <c r="F24" s="315">
        <f>SUM('EDl log'!T26)</f>
        <v>0.231060939319255</v>
      </c>
      <c r="G24" s="203">
        <f>-tanks!AW28</f>
        <v>218</v>
      </c>
      <c r="H24" s="315">
        <f>SUM(tanks!AV28)</f>
        <v>0.60399999999999998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12</v>
      </c>
      <c r="D25">
        <v>2021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SUM(tanks!AV29)</f>
        <v>0.60399999999999998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12</v>
      </c>
      <c r="D26">
        <v>2021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SUM(tanks!AV30)</f>
        <v>0.60399999999999998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12</v>
      </c>
      <c r="D27">
        <v>2021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SUM(tanks!AV31)</f>
        <v>0.60399999999999998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12</v>
      </c>
      <c r="D28">
        <v>2021</v>
      </c>
      <c r="E28" s="203">
        <f>ELEC!N30</f>
        <v>5277</v>
      </c>
      <c r="F28" s="315">
        <f>SUM('EDl log'!T30)</f>
        <v>0.22056828092123218</v>
      </c>
      <c r="G28" s="203">
        <f>-tanks!AW32</f>
        <v>199</v>
      </c>
      <c r="H28" s="315">
        <f>SUM(tanks!AV32)</f>
        <v>0.60399999999999998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12</v>
      </c>
      <c r="D29">
        <v>2021</v>
      </c>
      <c r="E29" s="203">
        <f>ELEC!N31</f>
        <v>4790</v>
      </c>
      <c r="F29" s="315">
        <f>SUM('EDl log'!T31)</f>
        <v>0.26657605189365191</v>
      </c>
      <c r="G29" s="203">
        <f>-tanks!AW33</f>
        <v>314</v>
      </c>
      <c r="H29" s="315">
        <f>SUM(tanks!AV33)</f>
        <v>0.60399999999999998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12</v>
      </c>
      <c r="D30">
        <v>2021</v>
      </c>
      <c r="E30" s="203">
        <f>ELEC!N32</f>
        <v>5103</v>
      </c>
      <c r="F30" s="315">
        <f>SUM('EDl log'!T32)</f>
        <v>0.2849533890440854</v>
      </c>
      <c r="G30" s="203">
        <f>-tanks!AW34</f>
        <v>0</v>
      </c>
      <c r="H30" s="315">
        <f>SUM(tanks!AV34)</f>
        <v>0.60399999999999998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12</v>
      </c>
      <c r="D31">
        <v>2021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SUM(tanks!AV35)</f>
        <v>0.60399999999999998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12</v>
      </c>
      <c r="D32">
        <v>2021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SUM(tanks!AV36)</f>
        <v>0.60399999999999998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H16" sqref="H16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12</v>
      </c>
      <c r="D2">
        <v>2021</v>
      </c>
      <c r="E2" s="203">
        <f>ELEC!M4</f>
        <v>1200</v>
      </c>
      <c r="F2" s="203">
        <f>ELEC!K4</f>
        <v>2064</v>
      </c>
      <c r="G2" s="203">
        <f>ELEC!I4</f>
        <v>576</v>
      </c>
      <c r="H2" s="203">
        <f>ELEC!E4</f>
        <v>2190</v>
      </c>
      <c r="I2" s="203">
        <f>ELEC!G4</f>
        <v>302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12</v>
      </c>
      <c r="D3">
        <v>2021</v>
      </c>
      <c r="E3" s="203">
        <f>ELEC!M5</f>
        <v>1092</v>
      </c>
      <c r="F3" s="203">
        <f>ELEC!K5</f>
        <v>1712</v>
      </c>
      <c r="G3" s="203">
        <f>ELEC!I5</f>
        <v>536</v>
      </c>
      <c r="H3" s="203">
        <f>ELEC!E5</f>
        <v>1922</v>
      </c>
      <c r="I3" s="203">
        <f>ELEC!G5</f>
        <v>278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12</v>
      </c>
      <c r="D4">
        <v>2021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12</v>
      </c>
      <c r="D5">
        <v>2021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12</v>
      </c>
      <c r="D6">
        <v>2021</v>
      </c>
      <c r="E6" s="203">
        <f>ELEC!M8</f>
        <v>1268</v>
      </c>
      <c r="F6" s="203">
        <f>ELEC!K8</f>
        <v>2160</v>
      </c>
      <c r="G6" s="203">
        <f>ELEC!I8</f>
        <v>620</v>
      </c>
      <c r="H6" s="203">
        <f>ELEC!E8</f>
        <v>2372</v>
      </c>
      <c r="I6" s="203">
        <f>ELEC!G8</f>
        <v>309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12</v>
      </c>
      <c r="D7">
        <v>2021</v>
      </c>
      <c r="E7" s="203">
        <f>ELEC!M9</f>
        <v>960</v>
      </c>
      <c r="F7" s="203">
        <f>ELEC!K9</f>
        <v>1500</v>
      </c>
      <c r="G7" s="203">
        <f>ELEC!I9</f>
        <v>452</v>
      </c>
      <c r="H7" s="203">
        <f>ELEC!E9</f>
        <v>1810</v>
      </c>
      <c r="I7" s="203">
        <f>ELEC!G9</f>
        <v>257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12</v>
      </c>
      <c r="D8">
        <v>2021</v>
      </c>
      <c r="E8" s="203">
        <f>ELEC!M10</f>
        <v>1022</v>
      </c>
      <c r="F8" s="203">
        <f>ELEC!K10</f>
        <v>1574</v>
      </c>
      <c r="G8" s="203">
        <f>ELEC!I10</f>
        <v>484</v>
      </c>
      <c r="H8" s="203">
        <f>ELEC!E10</f>
        <v>1991</v>
      </c>
      <c r="I8" s="203">
        <f>ELEC!G10</f>
        <v>262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12</v>
      </c>
      <c r="D9">
        <v>2021</v>
      </c>
      <c r="E9" s="203">
        <f>ELEC!M11</f>
        <v>970</v>
      </c>
      <c r="F9" s="203">
        <f>ELEC!K11</f>
        <v>1650</v>
      </c>
      <c r="G9" s="203">
        <f>ELEC!I11</f>
        <v>558</v>
      </c>
      <c r="H9" s="203">
        <f>ELEC!E11</f>
        <v>2244</v>
      </c>
      <c r="I9" s="203">
        <f>ELEC!G11</f>
        <v>302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12</v>
      </c>
      <c r="D10">
        <v>2021</v>
      </c>
      <c r="E10" s="203">
        <f>ELEC!M12</f>
        <v>916</v>
      </c>
      <c r="F10" s="203">
        <f>ELEC!K12</f>
        <v>1332</v>
      </c>
      <c r="G10" s="203">
        <f>ELEC!I12</f>
        <v>486</v>
      </c>
      <c r="H10" s="203">
        <f>ELEC!E12</f>
        <v>2009</v>
      </c>
      <c r="I10" s="203">
        <f>ELEC!G12</f>
        <v>252</v>
      </c>
      <c r="J10" s="203">
        <f>WATER!Y14</f>
        <v>146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12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12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12</v>
      </c>
      <c r="D13">
        <v>2021</v>
      </c>
      <c r="E13" s="203">
        <f>ELEC!M15</f>
        <v>1248</v>
      </c>
      <c r="F13" s="203">
        <f>ELEC!K15</f>
        <v>2454</v>
      </c>
      <c r="G13" s="203">
        <f>ELEC!I15</f>
        <v>596</v>
      </c>
      <c r="H13" s="203">
        <f>ELEC!E15</f>
        <v>2210</v>
      </c>
      <c r="I13" s="203">
        <f>ELEC!G15</f>
        <v>325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12</v>
      </c>
      <c r="D14">
        <v>2021</v>
      </c>
      <c r="E14" s="203">
        <f>ELEC!M16</f>
        <v>1040</v>
      </c>
      <c r="F14" s="203">
        <f>ELEC!K16</f>
        <v>1578</v>
      </c>
      <c r="G14" s="203">
        <f>ELEC!I16</f>
        <v>508</v>
      </c>
      <c r="H14" s="203">
        <f>ELEC!E16</f>
        <v>2104</v>
      </c>
      <c r="I14" s="203">
        <f>ELEC!G16</f>
        <v>282.20000000018626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12</v>
      </c>
      <c r="D15">
        <v>2021</v>
      </c>
      <c r="E15" s="203">
        <f>ELEC!M17</f>
        <v>1040</v>
      </c>
      <c r="F15" s="203">
        <f>ELEC!K17</f>
        <v>1600</v>
      </c>
      <c r="G15" s="203">
        <f>ELEC!I17</f>
        <v>524</v>
      </c>
      <c r="H15" s="203">
        <f>ELEC!E17</f>
        <v>1880</v>
      </c>
      <c r="I15" s="203">
        <f>ELEC!G17</f>
        <v>269.79999999981374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12</v>
      </c>
      <c r="D16">
        <v>2021</v>
      </c>
      <c r="E16" s="203">
        <f>ELEC!M18</f>
        <v>1028</v>
      </c>
      <c r="F16" s="203">
        <f>ELEC!K18</f>
        <v>1696</v>
      </c>
      <c r="G16" s="203">
        <f>ELEC!I18</f>
        <v>516</v>
      </c>
      <c r="H16" s="203">
        <f>ELEC!E18</f>
        <v>2144</v>
      </c>
      <c r="I16" s="203">
        <f>ELEC!G18</f>
        <v>259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12</v>
      </c>
      <c r="D17">
        <v>2021</v>
      </c>
      <c r="E17" s="203">
        <f>ELEC!M19</f>
        <v>2236</v>
      </c>
      <c r="F17" s="203">
        <f>ELEC!K19</f>
        <v>2866</v>
      </c>
      <c r="G17" s="203">
        <f>ELEC!I19</f>
        <v>940</v>
      </c>
      <c r="H17" s="203">
        <f>ELEC!E19</f>
        <v>3000</v>
      </c>
      <c r="I17" s="203">
        <f>ELEC!G19</f>
        <v>503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12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12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12</v>
      </c>
      <c r="D20">
        <v>2021</v>
      </c>
      <c r="E20" s="203">
        <f>ELEC!M22</f>
        <v>1096</v>
      </c>
      <c r="F20" s="203">
        <f>ELEC!K22</f>
        <v>1510</v>
      </c>
      <c r="G20" s="203">
        <f>ELEC!I22</f>
        <v>504</v>
      </c>
      <c r="H20" s="203">
        <f>ELEC!E22</f>
        <v>3011</v>
      </c>
      <c r="I20" s="203">
        <f>ELEC!G22</f>
        <v>267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12</v>
      </c>
      <c r="D21">
        <v>2021</v>
      </c>
      <c r="E21" s="203">
        <f>ELEC!M23</f>
        <v>1248</v>
      </c>
      <c r="F21" s="203">
        <f>ELEC!K23</f>
        <v>1692</v>
      </c>
      <c r="G21" s="203">
        <f>ELEC!I23</f>
        <v>536</v>
      </c>
      <c r="H21" s="203">
        <f>ELEC!E23</f>
        <v>1781</v>
      </c>
      <c r="I21" s="203">
        <f>ELEC!G23</f>
        <v>287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12</v>
      </c>
      <c r="D22">
        <v>2021</v>
      </c>
      <c r="E22" s="203">
        <f>ELEC!M24</f>
        <v>1312</v>
      </c>
      <c r="F22" s="203">
        <f>ELEC!K24</f>
        <v>1748</v>
      </c>
      <c r="G22" s="203">
        <f>ELEC!I24</f>
        <v>548</v>
      </c>
      <c r="H22" s="203">
        <f>ELEC!E24</f>
        <v>301</v>
      </c>
      <c r="I22" s="203">
        <f>ELEC!G24</f>
        <v>282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12</v>
      </c>
      <c r="D23">
        <v>2021</v>
      </c>
      <c r="E23" s="203">
        <f>ELEC!M25</f>
        <v>1202</v>
      </c>
      <c r="F23" s="203">
        <f>ELEC!K25</f>
        <v>1696</v>
      </c>
      <c r="G23" s="203">
        <f>ELEC!I25</f>
        <v>570</v>
      </c>
      <c r="H23" s="203">
        <f>ELEC!E25</f>
        <v>4772</v>
      </c>
      <c r="I23" s="203">
        <f>ELEC!G25</f>
        <v>293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12</v>
      </c>
      <c r="D24">
        <v>2021</v>
      </c>
      <c r="E24" s="203">
        <f>ELEC!M26</f>
        <v>968</v>
      </c>
      <c r="F24" s="203">
        <f>ELEC!K26</f>
        <v>1246</v>
      </c>
      <c r="G24" s="203">
        <f>ELEC!I26</f>
        <v>412</v>
      </c>
      <c r="H24" s="203">
        <f>ELEC!E26</f>
        <v>2149</v>
      </c>
      <c r="I24" s="203">
        <f>ELEC!G26</f>
        <v>236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12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12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12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12</v>
      </c>
      <c r="D28">
        <v>2021</v>
      </c>
      <c r="E28" s="203">
        <f>ELEC!M30</f>
        <v>836</v>
      </c>
      <c r="F28" s="203">
        <f>ELEC!K30</f>
        <v>1400</v>
      </c>
      <c r="G28" s="203">
        <f>ELEC!I30</f>
        <v>538</v>
      </c>
      <c r="H28" s="203">
        <f>ELEC!E30</f>
        <v>2272</v>
      </c>
      <c r="I28" s="203">
        <f>ELEC!G30</f>
        <v>231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12</v>
      </c>
      <c r="D29">
        <v>2021</v>
      </c>
      <c r="E29" s="203">
        <f>ELEC!M31</f>
        <v>1090</v>
      </c>
      <c r="F29" s="203">
        <f>ELEC!K31</f>
        <v>1330</v>
      </c>
      <c r="G29" s="203">
        <f>ELEC!I31</f>
        <v>516</v>
      </c>
      <c r="H29" s="203">
        <f>ELEC!E31</f>
        <v>1610</v>
      </c>
      <c r="I29" s="203">
        <f>ELEC!G31</f>
        <v>244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12</v>
      </c>
      <c r="D30">
        <v>2021</v>
      </c>
      <c r="E30" s="203">
        <f>ELEC!M32</f>
        <v>1361</v>
      </c>
      <c r="F30" s="203">
        <f>ELEC!K32</f>
        <v>785</v>
      </c>
      <c r="G30" s="203">
        <f>ELEC!I32</f>
        <v>400</v>
      </c>
      <c r="H30" s="203">
        <f>ELEC!E32</f>
        <v>2350</v>
      </c>
      <c r="I30" s="203">
        <f>ELEC!G32</f>
        <v>207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12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v>31</v>
      </c>
      <c r="C32">
        <v>12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abSelected="1" zoomScale="70" zoomScaleNormal="70" zoomScaleSheetLayoutView="100" workbookViewId="0">
      <pane ySplit="2" topLeftCell="A3" activePane="bottomLeft" state="frozen"/>
      <selection activeCell="C1" sqref="C1"/>
      <selection pane="bottomLeft" activeCell="T26" sqref="T26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[2]ELEC!$C$33</f>
        <v>44530</v>
      </c>
      <c r="D3" s="600">
        <f>[2]ELEC!D33</f>
        <v>69398</v>
      </c>
      <c r="E3" s="600">
        <f>[2]ELEC!E33</f>
        <v>2255</v>
      </c>
      <c r="F3" s="600">
        <f>[2]ELEC!F33</f>
        <v>4103940</v>
      </c>
      <c r="G3" s="600">
        <f>[2]ELEC!G33</f>
        <v>322</v>
      </c>
      <c r="H3" s="600">
        <f>[2]ELEC!H33</f>
        <v>17989982</v>
      </c>
      <c r="I3" s="600">
        <f>[2]ELEC!I33</f>
        <v>582</v>
      </c>
      <c r="J3" s="600">
        <f>[2]ELEC!J33</f>
        <v>29621430</v>
      </c>
      <c r="K3" s="600">
        <f>[2]ELEC!K33</f>
        <v>2298</v>
      </c>
      <c r="L3" s="600">
        <f>[2]ELEC!L33</f>
        <v>24473990</v>
      </c>
      <c r="M3" s="600">
        <f>[2]ELEC!M33</f>
        <v>1238</v>
      </c>
      <c r="N3" s="600">
        <f>[2]ELEC!N33</f>
        <v>6695</v>
      </c>
      <c r="O3" s="600">
        <f>[2]ELEC!O33</f>
        <v>0</v>
      </c>
      <c r="P3" s="600">
        <f>[2]ELEC!P33</f>
        <v>18659.785</v>
      </c>
      <c r="Q3" s="600">
        <f>[2]ELEC!Q33</f>
        <v>6585.9999999993306</v>
      </c>
      <c r="R3" s="600">
        <f>[2]ELEC!R33</f>
        <v>109.00000000066939</v>
      </c>
      <c r="S3" s="600">
        <f>[2]ELEC!S33</f>
        <v>10175</v>
      </c>
      <c r="T3" s="600">
        <f>[2]ELEC!T33</f>
        <v>0</v>
      </c>
      <c r="U3" s="600">
        <f>[2]ELEC!U33</f>
        <v>429166</v>
      </c>
      <c r="V3" s="600">
        <f>[2]ELEC!V33</f>
        <v>0</v>
      </c>
      <c r="W3" s="600">
        <f>[2]ELEC!W33</f>
        <v>33457</v>
      </c>
      <c r="X3" s="600">
        <f>[2]ELEC!X33</f>
        <v>3</v>
      </c>
      <c r="Y3" s="600">
        <f>[2]ELEC!Y33</f>
        <v>990507</v>
      </c>
      <c r="Z3" s="600">
        <f>[2]ELEC!Z33</f>
        <v>859</v>
      </c>
      <c r="AA3" s="600">
        <f>[2]ELEC!AA33</f>
        <v>36796</v>
      </c>
      <c r="AB3" s="600">
        <f>[2]ELEC!AB33</f>
        <v>0</v>
      </c>
      <c r="AC3" s="600">
        <f>[2]ELEC!AC33</f>
        <v>1170505</v>
      </c>
      <c r="AD3" s="600">
        <f>[2]ELEC!AD33</f>
        <v>0</v>
      </c>
      <c r="AE3" s="600">
        <f>[2]ELEC!AE33</f>
        <v>3</v>
      </c>
      <c r="AF3" s="600">
        <f>[2]ELEC!AF33</f>
        <v>859</v>
      </c>
      <c r="AG3" s="600">
        <f>[2]ELEC!AG33</f>
        <v>286.33333333333331</v>
      </c>
      <c r="AJ3" s="546"/>
      <c r="AK3" s="547"/>
      <c r="AL3" s="547"/>
      <c r="AM3" s="547"/>
      <c r="AN3" s="547"/>
    </row>
    <row r="4" spans="1:40">
      <c r="A4" s="436">
        <f>'General information '!F5</f>
        <v>0</v>
      </c>
      <c r="B4" s="430">
        <f>SUM(230*A4)</f>
        <v>0</v>
      </c>
      <c r="C4" s="437">
        <v>44531</v>
      </c>
      <c r="D4" s="601">
        <v>71588</v>
      </c>
      <c r="E4" s="585">
        <f>D4-D3</f>
        <v>2190</v>
      </c>
      <c r="F4" s="573">
        <v>4104242</v>
      </c>
      <c r="G4" s="586">
        <f>F4-F3</f>
        <v>302</v>
      </c>
      <c r="H4" s="426">
        <v>17990558</v>
      </c>
      <c r="I4" s="586">
        <f>H4-H3</f>
        <v>576</v>
      </c>
      <c r="J4" s="426">
        <v>29623494</v>
      </c>
      <c r="K4" s="586">
        <f>J4-J3</f>
        <v>2064</v>
      </c>
      <c r="L4" s="426">
        <v>24475190</v>
      </c>
      <c r="M4" s="586">
        <f>L4-L3</f>
        <v>1200</v>
      </c>
      <c r="N4" s="427">
        <f>M4+K4+I4+G4+E4</f>
        <v>6332</v>
      </c>
      <c r="O4" s="438">
        <f t="shared" ref="O4:O10" si="0">IF(B4&gt;0,N4/B4,0)</f>
        <v>0</v>
      </c>
      <c r="P4" s="564">
        <v>18665.984</v>
      </c>
      <c r="Q4" s="446">
        <f t="shared" ref="Q4:Q34" si="1">(P4-P3)*1000</f>
        <v>6199.0000000005239</v>
      </c>
      <c r="R4" s="548">
        <f>+N4-Q4</f>
        <v>132.99999999947613</v>
      </c>
      <c r="S4" s="426">
        <f>S3</f>
        <v>10175</v>
      </c>
      <c r="T4" s="440">
        <f t="shared" ref="T4:T31" si="2">S4-S3</f>
        <v>0</v>
      </c>
      <c r="U4" s="426">
        <f>U3</f>
        <v>429166</v>
      </c>
      <c r="V4" s="439">
        <f>U4-U3</f>
        <v>0</v>
      </c>
      <c r="W4" s="426">
        <v>33460</v>
      </c>
      <c r="X4" s="439">
        <f t="shared" ref="X4:X9" si="3">W4-W3</f>
        <v>3</v>
      </c>
      <c r="Y4" s="426">
        <v>991168</v>
      </c>
      <c r="Z4" s="439">
        <f>Y4-Y3</f>
        <v>661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3</v>
      </c>
      <c r="AF4" s="451">
        <f t="shared" ref="AF4:AF31" si="4">V4+Z4+AD4</f>
        <v>661</v>
      </c>
      <c r="AG4" s="443">
        <f t="shared" ref="AG4:AG10" si="5">IF(AE4&gt;0,AF4/AE4,0)</f>
        <v>220.33333333333334</v>
      </c>
      <c r="AJ4" s="546"/>
      <c r="AK4" s="547"/>
      <c r="AL4" s="547"/>
      <c r="AM4" s="547"/>
      <c r="AN4" s="547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44532</v>
      </c>
      <c r="D5" s="601">
        <v>73510</v>
      </c>
      <c r="E5" s="585">
        <f t="shared" ref="E5:E34" si="7">D5-D4</f>
        <v>1922</v>
      </c>
      <c r="F5" s="573">
        <v>4104520</v>
      </c>
      <c r="G5" s="449">
        <f>F5-F4</f>
        <v>278</v>
      </c>
      <c r="H5" s="426">
        <v>17991094</v>
      </c>
      <c r="I5" s="449">
        <f>H5-H4</f>
        <v>536</v>
      </c>
      <c r="J5" s="426">
        <v>29625206</v>
      </c>
      <c r="K5" s="449">
        <f>J5-J4</f>
        <v>1712</v>
      </c>
      <c r="L5" s="426">
        <v>24476282</v>
      </c>
      <c r="M5" s="449">
        <f>L5-L4</f>
        <v>1092</v>
      </c>
      <c r="N5" s="297">
        <f>M5+K5+I5+G5+E5</f>
        <v>5540</v>
      </c>
      <c r="O5" s="445">
        <f t="shared" si="0"/>
        <v>0</v>
      </c>
      <c r="P5" s="564">
        <v>18671.347000000002</v>
      </c>
      <c r="Q5" s="446">
        <f t="shared" si="1"/>
        <v>5363.0000000011933</v>
      </c>
      <c r="R5" s="428">
        <f>N5-Q5</f>
        <v>176.99999999880674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v>33463</v>
      </c>
      <c r="X5" s="428">
        <f t="shared" si="3"/>
        <v>3</v>
      </c>
      <c r="Y5" s="426">
        <v>991838</v>
      </c>
      <c r="Z5" s="428">
        <f>Y5-Y4</f>
        <v>670</v>
      </c>
      <c r="AA5" s="426">
        <v>36796</v>
      </c>
      <c r="AB5" s="448">
        <f>AA5-AA4</f>
        <v>0</v>
      </c>
      <c r="AC5" s="426">
        <f t="shared" ref="AC5:AC34" si="10">AC4</f>
        <v>1170505</v>
      </c>
      <c r="AD5" s="449">
        <f>AC5-AC4</f>
        <v>0</v>
      </c>
      <c r="AE5" s="450">
        <f t="shared" ref="AE5:AE31" si="11">AB5+X5+T5</f>
        <v>3</v>
      </c>
      <c r="AF5" s="451">
        <f t="shared" si="4"/>
        <v>670</v>
      </c>
      <c r="AG5" s="443">
        <f t="shared" si="5"/>
        <v>223.33333333333334</v>
      </c>
      <c r="AJ5" s="546"/>
      <c r="AK5" s="547"/>
      <c r="AL5" s="547"/>
      <c r="AM5" s="547"/>
      <c r="AN5" s="547"/>
    </row>
    <row r="6" spans="1:40">
      <c r="A6" s="436">
        <f>'General information '!F7</f>
        <v>0</v>
      </c>
      <c r="B6" s="430">
        <f>SUM(230*A6)</f>
        <v>0</v>
      </c>
      <c r="C6" s="437">
        <v>44533</v>
      </c>
      <c r="D6" s="601">
        <f t="shared" ref="D6:D34" si="12">D5</f>
        <v>73510</v>
      </c>
      <c r="E6" s="585">
        <f t="shared" si="7"/>
        <v>0</v>
      </c>
      <c r="F6" s="573">
        <f t="shared" ref="F6:F33" si="13">F5</f>
        <v>4104520</v>
      </c>
      <c r="G6" s="449">
        <f t="shared" ref="G6:G33" si="14">F6-F5</f>
        <v>0</v>
      </c>
      <c r="H6" s="426">
        <f t="shared" ref="H6:H34" si="15">H5</f>
        <v>17991094</v>
      </c>
      <c r="I6" s="449">
        <f t="shared" ref="I6:I34" si="16">H6-H5</f>
        <v>0</v>
      </c>
      <c r="J6" s="426">
        <f t="shared" ref="J6:J34" si="17">J5</f>
        <v>29625206</v>
      </c>
      <c r="K6" s="449">
        <f t="shared" ref="K6:K33" si="18">J6-J5</f>
        <v>0</v>
      </c>
      <c r="L6" s="426">
        <f t="shared" ref="L6:L34" si="19">L5</f>
        <v>24476282</v>
      </c>
      <c r="M6" s="449">
        <f t="shared" ref="M6:M33" si="20">L6-L5</f>
        <v>0</v>
      </c>
      <c r="N6" s="297">
        <f t="shared" ref="N6:N33" si="21">M6+K6+I6+G6+E6</f>
        <v>0</v>
      </c>
      <c r="O6" s="445">
        <f t="shared" si="0"/>
        <v>0</v>
      </c>
      <c r="P6" s="564">
        <f t="shared" ref="P6:P34" si="22">P5</f>
        <v>18671.347000000002</v>
      </c>
      <c r="Q6" s="446">
        <f t="shared" si="1"/>
        <v>0</v>
      </c>
      <c r="R6" s="428">
        <f>N6-Q6</f>
        <v>0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1" si="23">U6-U5</f>
        <v>0</v>
      </c>
      <c r="W6" s="426">
        <f t="shared" ref="W6:W33" si="24">W5</f>
        <v>33463</v>
      </c>
      <c r="X6" s="428">
        <f t="shared" si="3"/>
        <v>0</v>
      </c>
      <c r="Y6" s="426">
        <f t="shared" ref="Y6:Y34" si="25">Y5</f>
        <v>991838</v>
      </c>
      <c r="Z6" s="428">
        <f>Y6-Y5</f>
        <v>0</v>
      </c>
      <c r="AA6" s="426">
        <f t="shared" ref="AA6:AA34" si="26">AA5</f>
        <v>36796</v>
      </c>
      <c r="AB6" s="428">
        <f t="shared" ref="AB6:AB31" si="27">AA6-AA5</f>
        <v>0</v>
      </c>
      <c r="AC6" s="426">
        <f t="shared" si="10"/>
        <v>1170505</v>
      </c>
      <c r="AD6" s="428">
        <f t="shared" ref="AD6:AD17" si="28">AC6-AC5</f>
        <v>0</v>
      </c>
      <c r="AE6" s="450">
        <f t="shared" si="11"/>
        <v>0</v>
      </c>
      <c r="AF6" s="451">
        <f t="shared" si="4"/>
        <v>0</v>
      </c>
      <c r="AG6" s="443">
        <f t="shared" si="5"/>
        <v>0</v>
      </c>
      <c r="AJ6" s="546"/>
      <c r="AK6" s="547"/>
      <c r="AL6" s="547"/>
      <c r="AM6" s="547"/>
      <c r="AN6" s="547"/>
    </row>
    <row r="7" spans="1:40">
      <c r="A7" s="436">
        <f>'General information '!F8</f>
        <v>0</v>
      </c>
      <c r="B7" s="430">
        <f t="shared" si="6"/>
        <v>0</v>
      </c>
      <c r="C7" s="437">
        <v>44534</v>
      </c>
      <c r="D7" s="601">
        <f t="shared" si="12"/>
        <v>73510</v>
      </c>
      <c r="E7" s="585">
        <f t="shared" si="7"/>
        <v>0</v>
      </c>
      <c r="F7" s="573">
        <f t="shared" si="13"/>
        <v>4104520</v>
      </c>
      <c r="G7" s="449">
        <f t="shared" si="14"/>
        <v>0</v>
      </c>
      <c r="H7" s="426">
        <f t="shared" si="15"/>
        <v>17991094</v>
      </c>
      <c r="I7" s="449">
        <f t="shared" si="16"/>
        <v>0</v>
      </c>
      <c r="J7" s="426">
        <f t="shared" si="17"/>
        <v>29625206</v>
      </c>
      <c r="K7" s="449">
        <f t="shared" si="18"/>
        <v>0</v>
      </c>
      <c r="L7" s="426">
        <f t="shared" si="19"/>
        <v>24476282</v>
      </c>
      <c r="M7" s="449">
        <f t="shared" si="20"/>
        <v>0</v>
      </c>
      <c r="N7" s="297">
        <f t="shared" si="21"/>
        <v>0</v>
      </c>
      <c r="O7" s="445">
        <f t="shared" si="0"/>
        <v>0</v>
      </c>
      <c r="P7" s="564">
        <f t="shared" si="22"/>
        <v>18671.347000000002</v>
      </c>
      <c r="Q7" s="446">
        <f t="shared" si="1"/>
        <v>0</v>
      </c>
      <c r="R7" s="428">
        <f t="shared" ref="R7:R18" si="29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3"/>
        <v>0</v>
      </c>
      <c r="W7" s="426">
        <f t="shared" si="24"/>
        <v>33463</v>
      </c>
      <c r="X7" s="428">
        <f t="shared" si="3"/>
        <v>0</v>
      </c>
      <c r="Y7" s="426">
        <f t="shared" si="25"/>
        <v>991838</v>
      </c>
      <c r="Z7" s="428">
        <f t="shared" ref="Z7:Z31" si="30">Y7-Y6</f>
        <v>0</v>
      </c>
      <c r="AA7" s="426">
        <f t="shared" si="26"/>
        <v>36796</v>
      </c>
      <c r="AB7" s="428">
        <f t="shared" si="27"/>
        <v>0</v>
      </c>
      <c r="AC7" s="426">
        <f t="shared" si="10"/>
        <v>1170505</v>
      </c>
      <c r="AD7" s="428">
        <f t="shared" si="28"/>
        <v>0</v>
      </c>
      <c r="AE7" s="450">
        <f t="shared" si="11"/>
        <v>0</v>
      </c>
      <c r="AF7" s="451">
        <f t="shared" si="4"/>
        <v>0</v>
      </c>
      <c r="AG7" s="443">
        <f t="shared" si="5"/>
        <v>0</v>
      </c>
      <c r="AJ7" s="546"/>
      <c r="AK7" s="547"/>
      <c r="AL7" s="547"/>
      <c r="AM7" s="547"/>
      <c r="AN7" s="547"/>
    </row>
    <row r="8" spans="1:40">
      <c r="A8" s="436">
        <f>'General information '!F9</f>
        <v>0</v>
      </c>
      <c r="B8" s="430">
        <f t="shared" si="6"/>
        <v>0</v>
      </c>
      <c r="C8" s="437">
        <v>44535</v>
      </c>
      <c r="D8" s="601">
        <v>75882</v>
      </c>
      <c r="E8" s="585">
        <f t="shared" si="7"/>
        <v>2372</v>
      </c>
      <c r="F8" s="573">
        <v>4104829</v>
      </c>
      <c r="G8" s="449">
        <f t="shared" si="14"/>
        <v>309</v>
      </c>
      <c r="H8" s="426">
        <v>17991714</v>
      </c>
      <c r="I8" s="449">
        <f t="shared" si="16"/>
        <v>620</v>
      </c>
      <c r="J8" s="426">
        <v>29627366</v>
      </c>
      <c r="K8" s="449">
        <f t="shared" si="18"/>
        <v>2160</v>
      </c>
      <c r="L8" s="426">
        <v>24477550</v>
      </c>
      <c r="M8" s="449">
        <f t="shared" si="20"/>
        <v>1268</v>
      </c>
      <c r="N8" s="297">
        <f t="shared" si="21"/>
        <v>6729</v>
      </c>
      <c r="O8" s="445">
        <f t="shared" si="0"/>
        <v>0</v>
      </c>
      <c r="P8" s="564">
        <v>18677.892</v>
      </c>
      <c r="Q8" s="446">
        <f t="shared" si="1"/>
        <v>6544.9999999982538</v>
      </c>
      <c r="R8" s="428">
        <f t="shared" si="29"/>
        <v>184.00000000174623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3"/>
        <v>0</v>
      </c>
      <c r="W8" s="426">
        <v>33464</v>
      </c>
      <c r="X8" s="428">
        <f t="shared" si="3"/>
        <v>1</v>
      </c>
      <c r="Y8" s="426">
        <v>992217</v>
      </c>
      <c r="Z8" s="428">
        <f t="shared" si="30"/>
        <v>379</v>
      </c>
      <c r="AA8" s="426">
        <f t="shared" si="26"/>
        <v>36796</v>
      </c>
      <c r="AB8" s="428">
        <f t="shared" si="27"/>
        <v>0</v>
      </c>
      <c r="AC8" s="426">
        <f t="shared" si="10"/>
        <v>1170505</v>
      </c>
      <c r="AD8" s="428">
        <f t="shared" si="28"/>
        <v>0</v>
      </c>
      <c r="AE8" s="450">
        <f t="shared" si="11"/>
        <v>1</v>
      </c>
      <c r="AF8" s="451">
        <f t="shared" si="4"/>
        <v>379</v>
      </c>
      <c r="AG8" s="443">
        <f t="shared" si="5"/>
        <v>379</v>
      </c>
      <c r="AJ8" s="546"/>
      <c r="AK8" s="547"/>
      <c r="AL8" s="547"/>
      <c r="AM8" s="547"/>
      <c r="AN8" s="547"/>
    </row>
    <row r="9" spans="1:40">
      <c r="A9" s="436">
        <f>'General information '!F10</f>
        <v>0</v>
      </c>
      <c r="B9" s="430">
        <f t="shared" si="6"/>
        <v>0</v>
      </c>
      <c r="C9" s="437">
        <v>44536</v>
      </c>
      <c r="D9" s="601">
        <v>77692</v>
      </c>
      <c r="E9" s="585">
        <f t="shared" si="7"/>
        <v>1810</v>
      </c>
      <c r="F9" s="573">
        <v>4105086</v>
      </c>
      <c r="G9" s="449">
        <f t="shared" si="14"/>
        <v>257</v>
      </c>
      <c r="H9" s="426">
        <v>17992166</v>
      </c>
      <c r="I9" s="449">
        <f t="shared" si="16"/>
        <v>452</v>
      </c>
      <c r="J9" s="426">
        <v>29628866</v>
      </c>
      <c r="K9" s="449">
        <f t="shared" si="18"/>
        <v>1500</v>
      </c>
      <c r="L9" s="426">
        <v>24478510</v>
      </c>
      <c r="M9" s="449">
        <f t="shared" si="20"/>
        <v>960</v>
      </c>
      <c r="N9" s="297">
        <f t="shared" si="21"/>
        <v>4979</v>
      </c>
      <c r="O9" s="445">
        <f t="shared" si="0"/>
        <v>0</v>
      </c>
      <c r="P9" s="564">
        <v>18682.821</v>
      </c>
      <c r="Q9" s="446">
        <f t="shared" si="1"/>
        <v>4929.0000000000873</v>
      </c>
      <c r="R9" s="428">
        <f t="shared" si="29"/>
        <v>49.999999999912689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3"/>
        <v>0</v>
      </c>
      <c r="W9" s="426">
        <v>33466</v>
      </c>
      <c r="X9" s="428">
        <f t="shared" si="3"/>
        <v>2</v>
      </c>
      <c r="Y9" s="426">
        <v>992709</v>
      </c>
      <c r="Z9" s="428">
        <f t="shared" si="30"/>
        <v>492</v>
      </c>
      <c r="AA9" s="426">
        <f t="shared" si="26"/>
        <v>36796</v>
      </c>
      <c r="AB9" s="428">
        <f t="shared" si="27"/>
        <v>0</v>
      </c>
      <c r="AC9" s="426">
        <f t="shared" si="10"/>
        <v>1170505</v>
      </c>
      <c r="AD9" s="428">
        <f t="shared" si="28"/>
        <v>0</v>
      </c>
      <c r="AE9" s="450">
        <f t="shared" si="11"/>
        <v>2</v>
      </c>
      <c r="AF9" s="451">
        <f t="shared" si="4"/>
        <v>492</v>
      </c>
      <c r="AG9" s="443">
        <f t="shared" si="5"/>
        <v>246</v>
      </c>
      <c r="AJ9" s="546"/>
      <c r="AK9" s="547"/>
      <c r="AL9" s="547"/>
      <c r="AM9" s="547"/>
      <c r="AN9" s="547"/>
    </row>
    <row r="10" spans="1:40">
      <c r="A10" s="436">
        <f>'General information '!F11</f>
        <v>0</v>
      </c>
      <c r="B10" s="430">
        <f t="shared" si="6"/>
        <v>0</v>
      </c>
      <c r="C10" s="437">
        <v>44537</v>
      </c>
      <c r="D10" s="601">
        <v>79683</v>
      </c>
      <c r="E10" s="585">
        <f t="shared" si="7"/>
        <v>1991</v>
      </c>
      <c r="F10" s="573">
        <v>4105348</v>
      </c>
      <c r="G10" s="449">
        <f t="shared" si="14"/>
        <v>262</v>
      </c>
      <c r="H10" s="426">
        <v>17992650</v>
      </c>
      <c r="I10" s="449">
        <f t="shared" si="16"/>
        <v>484</v>
      </c>
      <c r="J10" s="426">
        <v>29630440</v>
      </c>
      <c r="K10" s="449">
        <f t="shared" si="18"/>
        <v>1574</v>
      </c>
      <c r="L10" s="426">
        <v>24479532</v>
      </c>
      <c r="M10" s="449">
        <f t="shared" si="20"/>
        <v>1022</v>
      </c>
      <c r="N10" s="297">
        <f t="shared" si="21"/>
        <v>5333</v>
      </c>
      <c r="O10" s="445">
        <f t="shared" si="0"/>
        <v>0</v>
      </c>
      <c r="P10" s="564">
        <v>18688.064999999999</v>
      </c>
      <c r="Q10" s="446">
        <f t="shared" si="1"/>
        <v>5243.9999999987776</v>
      </c>
      <c r="R10" s="428">
        <f t="shared" si="29"/>
        <v>89.000000001222361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3"/>
        <v>0</v>
      </c>
      <c r="W10" s="426">
        <v>33468</v>
      </c>
      <c r="X10" s="428">
        <f t="shared" ref="X10:X31" si="31">W10-W9</f>
        <v>2</v>
      </c>
      <c r="Y10" s="426">
        <v>993093</v>
      </c>
      <c r="Z10" s="428">
        <f t="shared" si="30"/>
        <v>384</v>
      </c>
      <c r="AA10" s="426">
        <v>36796</v>
      </c>
      <c r="AB10" s="428">
        <f t="shared" si="27"/>
        <v>0</v>
      </c>
      <c r="AC10" s="426">
        <f t="shared" si="10"/>
        <v>1170505</v>
      </c>
      <c r="AD10" s="428">
        <f t="shared" si="28"/>
        <v>0</v>
      </c>
      <c r="AE10" s="450">
        <f t="shared" si="11"/>
        <v>2</v>
      </c>
      <c r="AF10" s="451">
        <f t="shared" si="4"/>
        <v>384</v>
      </c>
      <c r="AG10" s="443">
        <f t="shared" si="5"/>
        <v>192</v>
      </c>
      <c r="AJ10" s="546"/>
      <c r="AK10" s="547"/>
      <c r="AL10" s="547"/>
      <c r="AM10" s="547"/>
      <c r="AN10" s="547"/>
    </row>
    <row r="11" spans="1:40">
      <c r="A11" s="436">
        <f>'General information '!F12</f>
        <v>0</v>
      </c>
      <c r="B11" s="430">
        <f t="shared" si="6"/>
        <v>0</v>
      </c>
      <c r="C11" s="437">
        <v>44538</v>
      </c>
      <c r="D11" s="601">
        <v>81927</v>
      </c>
      <c r="E11" s="585">
        <f t="shared" si="7"/>
        <v>2244</v>
      </c>
      <c r="F11" s="573">
        <v>4105650</v>
      </c>
      <c r="G11" s="449">
        <f t="shared" si="14"/>
        <v>302</v>
      </c>
      <c r="H11" s="426">
        <v>17993208</v>
      </c>
      <c r="I11" s="449">
        <f t="shared" si="16"/>
        <v>558</v>
      </c>
      <c r="J11" s="426">
        <v>29632090</v>
      </c>
      <c r="K11" s="449">
        <f t="shared" si="18"/>
        <v>1650</v>
      </c>
      <c r="L11" s="426">
        <v>24480502</v>
      </c>
      <c r="M11" s="449">
        <f t="shared" si="20"/>
        <v>970</v>
      </c>
      <c r="N11" s="297">
        <f t="shared" si="21"/>
        <v>5724</v>
      </c>
      <c r="O11" s="445">
        <f t="shared" ref="O11:O31" si="32">IF(B11&gt;0,N11/B11,0)</f>
        <v>0</v>
      </c>
      <c r="P11" s="564">
        <v>18694.027999999998</v>
      </c>
      <c r="Q11" s="446">
        <f t="shared" si="1"/>
        <v>5962.9999999997381</v>
      </c>
      <c r="R11" s="428">
        <f t="shared" si="29"/>
        <v>-238.99999999973807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3"/>
        <v>0</v>
      </c>
      <c r="W11" s="426">
        <v>33469</v>
      </c>
      <c r="X11" s="428">
        <f t="shared" si="31"/>
        <v>1</v>
      </c>
      <c r="Y11" s="426">
        <v>993264</v>
      </c>
      <c r="Z11" s="428">
        <f t="shared" si="30"/>
        <v>171</v>
      </c>
      <c r="AA11" s="426">
        <f t="shared" si="26"/>
        <v>36796</v>
      </c>
      <c r="AB11" s="428">
        <f t="shared" si="27"/>
        <v>0</v>
      </c>
      <c r="AC11" s="426">
        <f t="shared" si="10"/>
        <v>1170505</v>
      </c>
      <c r="AD11" s="428">
        <f t="shared" si="28"/>
        <v>0</v>
      </c>
      <c r="AE11" s="450">
        <f t="shared" si="11"/>
        <v>1</v>
      </c>
      <c r="AF11" s="451">
        <f t="shared" si="4"/>
        <v>171</v>
      </c>
      <c r="AG11" s="443">
        <f t="shared" ref="AG11:AG31" si="33">IF(AE11&gt;0,AF11/AE11,0)</f>
        <v>171</v>
      </c>
      <c r="AJ11" s="546"/>
      <c r="AK11" s="547"/>
      <c r="AL11" s="547"/>
      <c r="AM11" s="547"/>
      <c r="AN11" s="547"/>
    </row>
    <row r="12" spans="1:40">
      <c r="A12" s="436">
        <f>'General information '!F13</f>
        <v>0</v>
      </c>
      <c r="B12" s="430">
        <f>SUM(230*A12)</f>
        <v>0</v>
      </c>
      <c r="C12" s="437">
        <v>44539</v>
      </c>
      <c r="D12" s="601">
        <v>83936</v>
      </c>
      <c r="E12" s="585">
        <f>D12-D11</f>
        <v>2009</v>
      </c>
      <c r="F12" s="573">
        <v>4105902</v>
      </c>
      <c r="G12" s="449">
        <f t="shared" si="14"/>
        <v>252</v>
      </c>
      <c r="H12" s="426">
        <v>17993694</v>
      </c>
      <c r="I12" s="449">
        <f t="shared" si="16"/>
        <v>486</v>
      </c>
      <c r="J12" s="426">
        <v>29633422</v>
      </c>
      <c r="K12" s="449">
        <f t="shared" si="18"/>
        <v>1332</v>
      </c>
      <c r="L12" s="426">
        <v>24481418</v>
      </c>
      <c r="M12" s="449">
        <f t="shared" si="20"/>
        <v>916</v>
      </c>
      <c r="N12" s="297">
        <f>M12+K12+I12+G12+E12</f>
        <v>4995</v>
      </c>
      <c r="O12" s="445">
        <f t="shared" si="32"/>
        <v>0</v>
      </c>
      <c r="P12" s="564">
        <v>18698.864000000001</v>
      </c>
      <c r="Q12" s="446">
        <f t="shared" si="1"/>
        <v>4836.0000000029686</v>
      </c>
      <c r="R12" s="428">
        <f t="shared" si="29"/>
        <v>158.99999999703141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3"/>
        <v>0</v>
      </c>
      <c r="W12" s="426">
        <v>33470</v>
      </c>
      <c r="X12" s="428">
        <f t="shared" si="31"/>
        <v>1</v>
      </c>
      <c r="Y12" s="426">
        <v>993482</v>
      </c>
      <c r="Z12" s="428">
        <f t="shared" si="30"/>
        <v>218</v>
      </c>
      <c r="AA12" s="426">
        <f t="shared" si="26"/>
        <v>36796</v>
      </c>
      <c r="AB12" s="428">
        <f t="shared" si="27"/>
        <v>0</v>
      </c>
      <c r="AC12" s="426">
        <f t="shared" si="10"/>
        <v>1170505</v>
      </c>
      <c r="AD12" s="428">
        <f t="shared" si="28"/>
        <v>0</v>
      </c>
      <c r="AE12" s="450">
        <f t="shared" si="11"/>
        <v>1</v>
      </c>
      <c r="AF12" s="451">
        <f t="shared" si="4"/>
        <v>218</v>
      </c>
      <c r="AG12" s="443">
        <f t="shared" si="33"/>
        <v>218</v>
      </c>
      <c r="AJ12" s="546"/>
      <c r="AK12" s="547"/>
      <c r="AL12" s="547"/>
      <c r="AM12" s="547"/>
      <c r="AN12" s="547"/>
    </row>
    <row r="13" spans="1:40">
      <c r="A13" s="436">
        <f>'General information '!F14</f>
        <v>0</v>
      </c>
      <c r="B13" s="430">
        <f t="shared" si="6"/>
        <v>0</v>
      </c>
      <c r="C13" s="437">
        <v>44540</v>
      </c>
      <c r="D13" s="601">
        <f t="shared" si="12"/>
        <v>83936</v>
      </c>
      <c r="E13" s="585">
        <f t="shared" si="7"/>
        <v>0</v>
      </c>
      <c r="F13" s="573">
        <f t="shared" si="13"/>
        <v>4105902</v>
      </c>
      <c r="G13" s="449">
        <f t="shared" si="14"/>
        <v>0</v>
      </c>
      <c r="H13" s="426">
        <f t="shared" si="15"/>
        <v>17993694</v>
      </c>
      <c r="I13" s="449">
        <f t="shared" si="16"/>
        <v>0</v>
      </c>
      <c r="J13" s="426">
        <f t="shared" si="17"/>
        <v>29633422</v>
      </c>
      <c r="K13" s="449">
        <f t="shared" si="18"/>
        <v>0</v>
      </c>
      <c r="L13" s="426">
        <f t="shared" si="19"/>
        <v>24481418</v>
      </c>
      <c r="M13" s="449">
        <f t="shared" si="20"/>
        <v>0</v>
      </c>
      <c r="N13" s="297">
        <f>M13+K13+I13+G13+E13</f>
        <v>0</v>
      </c>
      <c r="O13" s="445">
        <f t="shared" si="32"/>
        <v>0</v>
      </c>
      <c r="P13" s="564">
        <f t="shared" si="22"/>
        <v>18698.864000000001</v>
      </c>
      <c r="Q13" s="446">
        <f t="shared" si="1"/>
        <v>0</v>
      </c>
      <c r="R13" s="428">
        <f t="shared" si="29"/>
        <v>0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3"/>
        <v>0</v>
      </c>
      <c r="W13" s="426">
        <f t="shared" si="24"/>
        <v>33470</v>
      </c>
      <c r="X13" s="428">
        <f t="shared" si="31"/>
        <v>0</v>
      </c>
      <c r="Y13" s="426">
        <f t="shared" si="25"/>
        <v>993482</v>
      </c>
      <c r="Z13" s="428">
        <f t="shared" si="30"/>
        <v>0</v>
      </c>
      <c r="AA13" s="426">
        <f t="shared" si="26"/>
        <v>36796</v>
      </c>
      <c r="AB13" s="428">
        <f t="shared" si="27"/>
        <v>0</v>
      </c>
      <c r="AC13" s="426">
        <f t="shared" si="10"/>
        <v>1170505</v>
      </c>
      <c r="AD13" s="428">
        <f t="shared" si="28"/>
        <v>0</v>
      </c>
      <c r="AE13" s="450">
        <f t="shared" si="11"/>
        <v>0</v>
      </c>
      <c r="AF13" s="451">
        <f t="shared" si="4"/>
        <v>0</v>
      </c>
      <c r="AG13" s="443">
        <f t="shared" si="33"/>
        <v>0</v>
      </c>
      <c r="AJ13" s="546"/>
      <c r="AK13" s="547"/>
      <c r="AL13" s="547"/>
      <c r="AM13" s="547"/>
      <c r="AN13" s="547"/>
    </row>
    <row r="14" spans="1:40">
      <c r="A14" s="436">
        <f>'General information '!F15</f>
        <v>0</v>
      </c>
      <c r="B14" s="430">
        <f t="shared" si="6"/>
        <v>0</v>
      </c>
      <c r="C14" s="437">
        <v>44541</v>
      </c>
      <c r="D14" s="601">
        <f t="shared" si="12"/>
        <v>83936</v>
      </c>
      <c r="E14" s="585">
        <f t="shared" si="7"/>
        <v>0</v>
      </c>
      <c r="F14" s="573">
        <f t="shared" si="13"/>
        <v>4105902</v>
      </c>
      <c r="G14" s="449">
        <f t="shared" si="14"/>
        <v>0</v>
      </c>
      <c r="H14" s="426">
        <f t="shared" si="15"/>
        <v>17993694</v>
      </c>
      <c r="I14" s="449">
        <f t="shared" si="16"/>
        <v>0</v>
      </c>
      <c r="J14" s="426">
        <f t="shared" si="17"/>
        <v>29633422</v>
      </c>
      <c r="K14" s="449">
        <f t="shared" si="18"/>
        <v>0</v>
      </c>
      <c r="L14" s="426">
        <f t="shared" si="19"/>
        <v>24481418</v>
      </c>
      <c r="M14" s="449">
        <f t="shared" si="20"/>
        <v>0</v>
      </c>
      <c r="N14" s="297">
        <f t="shared" si="21"/>
        <v>0</v>
      </c>
      <c r="O14" s="445">
        <f t="shared" si="32"/>
        <v>0</v>
      </c>
      <c r="P14" s="564">
        <f t="shared" si="22"/>
        <v>18698.864000000001</v>
      </c>
      <c r="Q14" s="446">
        <f t="shared" si="1"/>
        <v>0</v>
      </c>
      <c r="R14" s="428">
        <f t="shared" si="29"/>
        <v>0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3"/>
        <v>0</v>
      </c>
      <c r="W14" s="426">
        <f t="shared" si="24"/>
        <v>33470</v>
      </c>
      <c r="X14" s="428">
        <f t="shared" si="31"/>
        <v>0</v>
      </c>
      <c r="Y14" s="426">
        <f t="shared" si="25"/>
        <v>993482</v>
      </c>
      <c r="Z14" s="428">
        <f t="shared" si="30"/>
        <v>0</v>
      </c>
      <c r="AA14" s="426">
        <f t="shared" si="26"/>
        <v>36796</v>
      </c>
      <c r="AB14" s="428">
        <f t="shared" si="27"/>
        <v>0</v>
      </c>
      <c r="AC14" s="426">
        <f t="shared" si="10"/>
        <v>1170505</v>
      </c>
      <c r="AD14" s="428">
        <f t="shared" si="28"/>
        <v>0</v>
      </c>
      <c r="AE14" s="450">
        <f t="shared" si="11"/>
        <v>0</v>
      </c>
      <c r="AF14" s="451">
        <f t="shared" si="4"/>
        <v>0</v>
      </c>
      <c r="AG14" s="443">
        <f t="shared" si="33"/>
        <v>0</v>
      </c>
      <c r="AJ14" s="546"/>
      <c r="AK14" s="547"/>
      <c r="AL14" s="547"/>
      <c r="AM14" s="547"/>
      <c r="AN14" s="547"/>
    </row>
    <row r="15" spans="1:40">
      <c r="A15" s="436">
        <f>'General information '!F16</f>
        <v>0</v>
      </c>
      <c r="B15" s="430">
        <f t="shared" si="6"/>
        <v>0</v>
      </c>
      <c r="C15" s="437">
        <v>44542</v>
      </c>
      <c r="D15" s="601">
        <v>86146</v>
      </c>
      <c r="E15" s="585">
        <f t="shared" si="7"/>
        <v>2210</v>
      </c>
      <c r="F15" s="573">
        <v>4106227</v>
      </c>
      <c r="G15" s="449">
        <f t="shared" si="14"/>
        <v>325</v>
      </c>
      <c r="H15" s="426">
        <v>17994290</v>
      </c>
      <c r="I15" s="449">
        <f t="shared" si="16"/>
        <v>596</v>
      </c>
      <c r="J15" s="426">
        <v>29635876</v>
      </c>
      <c r="K15" s="449">
        <f t="shared" si="18"/>
        <v>2454</v>
      </c>
      <c r="L15" s="426">
        <v>24482666</v>
      </c>
      <c r="M15" s="449">
        <f t="shared" si="20"/>
        <v>1248</v>
      </c>
      <c r="N15" s="297">
        <f t="shared" si="21"/>
        <v>6833</v>
      </c>
      <c r="O15" s="445">
        <f t="shared" si="32"/>
        <v>0</v>
      </c>
      <c r="P15" s="564">
        <v>18705.585999999999</v>
      </c>
      <c r="Q15" s="446">
        <f t="shared" si="1"/>
        <v>6721.9999999979336</v>
      </c>
      <c r="R15" s="428">
        <f t="shared" si="29"/>
        <v>111.00000000206637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3"/>
        <v>0</v>
      </c>
      <c r="W15" s="426">
        <v>33472</v>
      </c>
      <c r="X15" s="428">
        <f t="shared" si="31"/>
        <v>2</v>
      </c>
      <c r="Y15" s="426">
        <v>993956</v>
      </c>
      <c r="Z15" s="428">
        <f t="shared" si="30"/>
        <v>474</v>
      </c>
      <c r="AA15" s="426">
        <f t="shared" si="26"/>
        <v>36796</v>
      </c>
      <c r="AB15" s="428">
        <f t="shared" si="27"/>
        <v>0</v>
      </c>
      <c r="AC15" s="426">
        <f t="shared" si="10"/>
        <v>1170505</v>
      </c>
      <c r="AD15" s="428">
        <f t="shared" si="28"/>
        <v>0</v>
      </c>
      <c r="AE15" s="450">
        <f t="shared" si="11"/>
        <v>2</v>
      </c>
      <c r="AF15" s="451">
        <f t="shared" si="4"/>
        <v>474</v>
      </c>
      <c r="AG15" s="443">
        <f t="shared" si="33"/>
        <v>237</v>
      </c>
      <c r="AJ15" s="546"/>
      <c r="AK15" s="547"/>
      <c r="AL15" s="547"/>
      <c r="AM15" s="547"/>
      <c r="AN15" s="547"/>
    </row>
    <row r="16" spans="1:40">
      <c r="A16" s="436">
        <f>'General information '!F17</f>
        <v>0</v>
      </c>
      <c r="B16" s="430">
        <f t="shared" si="6"/>
        <v>0</v>
      </c>
      <c r="C16" s="437">
        <v>44543</v>
      </c>
      <c r="D16" s="601">
        <v>88250</v>
      </c>
      <c r="E16" s="585">
        <f t="shared" si="7"/>
        <v>2104</v>
      </c>
      <c r="F16" s="573">
        <v>4106509.2</v>
      </c>
      <c r="G16" s="449">
        <f t="shared" si="14"/>
        <v>282.20000000018626</v>
      </c>
      <c r="H16" s="426">
        <v>17994798</v>
      </c>
      <c r="I16" s="449">
        <f t="shared" si="16"/>
        <v>508</v>
      </c>
      <c r="J16" s="426">
        <v>29637454</v>
      </c>
      <c r="K16" s="449">
        <f t="shared" si="18"/>
        <v>1578</v>
      </c>
      <c r="L16" s="426">
        <v>24483706</v>
      </c>
      <c r="M16" s="449">
        <f t="shared" si="20"/>
        <v>1040</v>
      </c>
      <c r="N16" s="297">
        <f t="shared" si="21"/>
        <v>5512.2000000001863</v>
      </c>
      <c r="O16" s="445">
        <f t="shared" si="32"/>
        <v>0</v>
      </c>
      <c r="P16" s="564">
        <v>18710.710999999999</v>
      </c>
      <c r="Q16" s="446">
        <f t="shared" si="1"/>
        <v>5125</v>
      </c>
      <c r="R16" s="428">
        <f t="shared" si="29"/>
        <v>387.20000000018626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3"/>
        <v>0</v>
      </c>
      <c r="W16" s="426">
        <v>33474</v>
      </c>
      <c r="X16" s="428">
        <f t="shared" si="31"/>
        <v>2</v>
      </c>
      <c r="Y16" s="426">
        <v>994549</v>
      </c>
      <c r="Z16" s="428">
        <f t="shared" si="30"/>
        <v>593</v>
      </c>
      <c r="AA16" s="426">
        <f t="shared" si="26"/>
        <v>36796</v>
      </c>
      <c r="AB16" s="428">
        <f t="shared" si="27"/>
        <v>0</v>
      </c>
      <c r="AC16" s="426">
        <f t="shared" si="10"/>
        <v>1170505</v>
      </c>
      <c r="AD16" s="428">
        <f t="shared" si="28"/>
        <v>0</v>
      </c>
      <c r="AE16" s="450">
        <f t="shared" si="11"/>
        <v>2</v>
      </c>
      <c r="AF16" s="451">
        <f t="shared" si="4"/>
        <v>593</v>
      </c>
      <c r="AG16" s="443">
        <f t="shared" si="33"/>
        <v>296.5</v>
      </c>
      <c r="AJ16" s="546"/>
      <c r="AK16" s="547"/>
      <c r="AL16" s="547"/>
      <c r="AM16" s="547"/>
      <c r="AN16" s="547"/>
    </row>
    <row r="17" spans="1:40">
      <c r="A17" s="436">
        <f>'General information '!F18</f>
        <v>0</v>
      </c>
      <c r="B17" s="430">
        <f t="shared" si="6"/>
        <v>0</v>
      </c>
      <c r="C17" s="437">
        <v>44544</v>
      </c>
      <c r="D17" s="601">
        <v>90130</v>
      </c>
      <c r="E17" s="585">
        <f t="shared" si="7"/>
        <v>1880</v>
      </c>
      <c r="F17" s="573">
        <v>4106779</v>
      </c>
      <c r="G17" s="449">
        <f t="shared" si="14"/>
        <v>269.79999999981374</v>
      </c>
      <c r="H17" s="426">
        <v>17995322</v>
      </c>
      <c r="I17" s="449">
        <f t="shared" si="16"/>
        <v>524</v>
      </c>
      <c r="J17" s="426">
        <v>29639054</v>
      </c>
      <c r="K17" s="449">
        <f t="shared" si="18"/>
        <v>1600</v>
      </c>
      <c r="L17" s="426">
        <v>24484746</v>
      </c>
      <c r="M17" s="449">
        <f t="shared" si="20"/>
        <v>1040</v>
      </c>
      <c r="N17" s="297">
        <f t="shared" si="21"/>
        <v>5313.7999999998137</v>
      </c>
      <c r="O17" s="445">
        <f t="shared" si="32"/>
        <v>0</v>
      </c>
      <c r="P17" s="564">
        <v>18715.857</v>
      </c>
      <c r="Q17" s="446">
        <f t="shared" si="1"/>
        <v>5146.0000000006403</v>
      </c>
      <c r="R17" s="428">
        <f t="shared" si="29"/>
        <v>167.79999999917345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3"/>
        <v>0</v>
      </c>
      <c r="W17" s="426">
        <v>33475</v>
      </c>
      <c r="X17" s="428">
        <f>W17-W16</f>
        <v>1</v>
      </c>
      <c r="Y17" s="426">
        <v>994802</v>
      </c>
      <c r="Z17" s="428">
        <f>Y17-Y16</f>
        <v>253</v>
      </c>
      <c r="AA17" s="426">
        <f t="shared" si="26"/>
        <v>36796</v>
      </c>
      <c r="AB17" s="428">
        <f>AA17-AA16</f>
        <v>0</v>
      </c>
      <c r="AC17" s="426">
        <f t="shared" si="10"/>
        <v>1170505</v>
      </c>
      <c r="AD17" s="428">
        <f t="shared" si="28"/>
        <v>0</v>
      </c>
      <c r="AE17" s="450">
        <f t="shared" si="11"/>
        <v>1</v>
      </c>
      <c r="AF17" s="451">
        <f t="shared" si="4"/>
        <v>253</v>
      </c>
      <c r="AG17" s="443">
        <f t="shared" si="33"/>
        <v>253</v>
      </c>
      <c r="AJ17" s="546"/>
      <c r="AK17" s="547"/>
      <c r="AL17" s="547"/>
      <c r="AM17" s="547"/>
      <c r="AN17" s="547"/>
    </row>
    <row r="18" spans="1:40">
      <c r="A18" s="436">
        <f>'General information '!F19</f>
        <v>0</v>
      </c>
      <c r="B18" s="430">
        <f t="shared" si="6"/>
        <v>0</v>
      </c>
      <c r="C18" s="437">
        <v>44545</v>
      </c>
      <c r="D18" s="601">
        <v>92274</v>
      </c>
      <c r="E18" s="585">
        <f t="shared" si="7"/>
        <v>2144</v>
      </c>
      <c r="F18" s="573">
        <v>4107038</v>
      </c>
      <c r="G18" s="449">
        <f t="shared" si="14"/>
        <v>259</v>
      </c>
      <c r="H18" s="426">
        <v>17995838</v>
      </c>
      <c r="I18" s="449">
        <f t="shared" si="16"/>
        <v>516</v>
      </c>
      <c r="J18" s="426">
        <v>29640750</v>
      </c>
      <c r="K18" s="449">
        <f t="shared" si="18"/>
        <v>1696</v>
      </c>
      <c r="L18" s="426">
        <v>24485774</v>
      </c>
      <c r="M18" s="449">
        <f t="shared" si="20"/>
        <v>1028</v>
      </c>
      <c r="N18" s="297">
        <f>M18+K18+I18+G18+E18</f>
        <v>5643</v>
      </c>
      <c r="O18" s="445">
        <f t="shared" si="32"/>
        <v>0</v>
      </c>
      <c r="P18" s="564">
        <v>18721.030999999999</v>
      </c>
      <c r="Q18" s="446">
        <f t="shared" si="1"/>
        <v>5173.9999999990687</v>
      </c>
      <c r="R18" s="428">
        <f t="shared" si="29"/>
        <v>469.00000000093132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3"/>
        <v>0</v>
      </c>
      <c r="W18" s="426">
        <v>33476</v>
      </c>
      <c r="X18" s="428">
        <f t="shared" si="31"/>
        <v>1</v>
      </c>
      <c r="Y18" s="426">
        <v>995165</v>
      </c>
      <c r="Z18" s="428">
        <f t="shared" si="30"/>
        <v>363</v>
      </c>
      <c r="AA18" s="426">
        <f t="shared" si="26"/>
        <v>36796</v>
      </c>
      <c r="AB18" s="428">
        <f t="shared" si="27"/>
        <v>0</v>
      </c>
      <c r="AC18" s="426">
        <f t="shared" si="10"/>
        <v>1170505</v>
      </c>
      <c r="AD18" s="428">
        <f t="shared" ref="AD18:AD31" si="34">AC18-AC17</f>
        <v>0</v>
      </c>
      <c r="AE18" s="450">
        <f t="shared" si="11"/>
        <v>1</v>
      </c>
      <c r="AF18" s="451">
        <f t="shared" si="4"/>
        <v>363</v>
      </c>
      <c r="AG18" s="443">
        <f t="shared" si="33"/>
        <v>363</v>
      </c>
      <c r="AJ18" s="546"/>
      <c r="AK18" s="547"/>
      <c r="AL18" s="547"/>
      <c r="AM18" s="547"/>
      <c r="AN18" s="547"/>
    </row>
    <row r="19" spans="1:40">
      <c r="A19" s="436">
        <f>'General information '!F20</f>
        <v>0</v>
      </c>
      <c r="B19" s="430">
        <f t="shared" si="6"/>
        <v>0</v>
      </c>
      <c r="C19" s="437">
        <v>44546</v>
      </c>
      <c r="D19" s="601">
        <v>95274</v>
      </c>
      <c r="E19" s="585">
        <f t="shared" si="7"/>
        <v>3000</v>
      </c>
      <c r="F19" s="573">
        <v>4107541</v>
      </c>
      <c r="G19" s="449">
        <f t="shared" si="14"/>
        <v>503</v>
      </c>
      <c r="H19" s="426">
        <v>17996778</v>
      </c>
      <c r="I19" s="449">
        <f t="shared" si="16"/>
        <v>940</v>
      </c>
      <c r="J19" s="426">
        <v>29643616</v>
      </c>
      <c r="K19" s="449">
        <f t="shared" si="18"/>
        <v>2866</v>
      </c>
      <c r="L19" s="426">
        <v>24488010</v>
      </c>
      <c r="M19" s="449">
        <f t="shared" si="20"/>
        <v>2236</v>
      </c>
      <c r="N19" s="297">
        <f t="shared" si="21"/>
        <v>9545</v>
      </c>
      <c r="O19" s="445">
        <f t="shared" si="32"/>
        <v>0</v>
      </c>
      <c r="P19" s="564">
        <v>18730.953000000001</v>
      </c>
      <c r="Q19" s="446">
        <f>(P19-P18)*1000</f>
        <v>9922.0000000022992</v>
      </c>
      <c r="R19" s="606">
        <f>N19-Q19</f>
        <v>-377.0000000022992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3"/>
        <v>0</v>
      </c>
      <c r="W19" s="426">
        <f t="shared" si="24"/>
        <v>33476</v>
      </c>
      <c r="X19" s="428">
        <f t="shared" si="31"/>
        <v>0</v>
      </c>
      <c r="Y19" s="426">
        <f t="shared" si="25"/>
        <v>995165</v>
      </c>
      <c r="Z19" s="428">
        <f t="shared" si="30"/>
        <v>0</v>
      </c>
      <c r="AA19" s="426">
        <f t="shared" si="26"/>
        <v>36796</v>
      </c>
      <c r="AB19" s="428">
        <f t="shared" si="27"/>
        <v>0</v>
      </c>
      <c r="AC19" s="426">
        <f t="shared" si="10"/>
        <v>1170505</v>
      </c>
      <c r="AD19" s="428">
        <f t="shared" si="34"/>
        <v>0</v>
      </c>
      <c r="AE19" s="450">
        <f t="shared" si="11"/>
        <v>0</v>
      </c>
      <c r="AF19" s="451">
        <f t="shared" si="4"/>
        <v>0</v>
      </c>
      <c r="AG19" s="443">
        <f t="shared" si="33"/>
        <v>0</v>
      </c>
      <c r="AJ19" s="546"/>
      <c r="AK19" s="547"/>
      <c r="AL19" s="547"/>
      <c r="AM19" s="547"/>
      <c r="AN19" s="547"/>
    </row>
    <row r="20" spans="1:40">
      <c r="A20" s="436">
        <f>'General information '!F21</f>
        <v>0</v>
      </c>
      <c r="B20" s="430">
        <f t="shared" si="6"/>
        <v>0</v>
      </c>
      <c r="C20" s="437">
        <v>44547</v>
      </c>
      <c r="D20" s="601">
        <f t="shared" si="12"/>
        <v>95274</v>
      </c>
      <c r="E20" s="585">
        <f t="shared" si="7"/>
        <v>0</v>
      </c>
      <c r="F20" s="573">
        <f t="shared" si="13"/>
        <v>4107541</v>
      </c>
      <c r="G20" s="449">
        <f t="shared" si="14"/>
        <v>0</v>
      </c>
      <c r="H20" s="426">
        <f t="shared" si="15"/>
        <v>17996778</v>
      </c>
      <c r="I20" s="449">
        <f t="shared" si="16"/>
        <v>0</v>
      </c>
      <c r="J20" s="426">
        <f t="shared" si="17"/>
        <v>29643616</v>
      </c>
      <c r="K20" s="449">
        <f t="shared" si="18"/>
        <v>0</v>
      </c>
      <c r="L20" s="426">
        <f t="shared" si="19"/>
        <v>24488010</v>
      </c>
      <c r="M20" s="449">
        <f t="shared" si="20"/>
        <v>0</v>
      </c>
      <c r="N20" s="297">
        <f t="shared" si="21"/>
        <v>0</v>
      </c>
      <c r="O20" s="445">
        <f t="shared" si="32"/>
        <v>0</v>
      </c>
      <c r="P20" s="564">
        <f t="shared" si="22"/>
        <v>18730.953000000001</v>
      </c>
      <c r="Q20" s="446">
        <f>(P20-P19)*1000</f>
        <v>0</v>
      </c>
      <c r="R20" s="606">
        <f>N20-Q20</f>
        <v>0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3"/>
        <v>0</v>
      </c>
      <c r="W20" s="426">
        <f t="shared" si="24"/>
        <v>33476</v>
      </c>
      <c r="X20" s="428">
        <f t="shared" si="31"/>
        <v>0</v>
      </c>
      <c r="Y20" s="426">
        <f t="shared" si="25"/>
        <v>995165</v>
      </c>
      <c r="Z20" s="428">
        <f t="shared" si="30"/>
        <v>0</v>
      </c>
      <c r="AA20" s="426">
        <f t="shared" si="26"/>
        <v>36796</v>
      </c>
      <c r="AB20" s="428">
        <f t="shared" si="27"/>
        <v>0</v>
      </c>
      <c r="AC20" s="426">
        <f t="shared" si="10"/>
        <v>1170505</v>
      </c>
      <c r="AD20" s="428">
        <f t="shared" si="34"/>
        <v>0</v>
      </c>
      <c r="AE20" s="450">
        <f t="shared" si="11"/>
        <v>0</v>
      </c>
      <c r="AF20" s="451">
        <f t="shared" si="4"/>
        <v>0</v>
      </c>
      <c r="AG20" s="443">
        <f t="shared" si="33"/>
        <v>0</v>
      </c>
      <c r="AJ20" s="546"/>
      <c r="AK20" s="547"/>
      <c r="AL20" s="547"/>
      <c r="AM20" s="547"/>
      <c r="AN20" s="547"/>
    </row>
    <row r="21" spans="1:40">
      <c r="A21" s="436">
        <f>'General information '!F22</f>
        <v>0</v>
      </c>
      <c r="B21" s="430">
        <f t="shared" si="6"/>
        <v>0</v>
      </c>
      <c r="C21" s="437">
        <v>44548</v>
      </c>
      <c r="D21" s="601">
        <f t="shared" si="12"/>
        <v>95274</v>
      </c>
      <c r="E21" s="585">
        <f t="shared" si="7"/>
        <v>0</v>
      </c>
      <c r="F21" s="573">
        <f t="shared" si="13"/>
        <v>4107541</v>
      </c>
      <c r="G21" s="449">
        <f t="shared" si="14"/>
        <v>0</v>
      </c>
      <c r="H21" s="426">
        <f t="shared" si="15"/>
        <v>17996778</v>
      </c>
      <c r="I21" s="449">
        <f t="shared" si="16"/>
        <v>0</v>
      </c>
      <c r="J21" s="426">
        <f t="shared" si="17"/>
        <v>29643616</v>
      </c>
      <c r="K21" s="449">
        <f t="shared" si="18"/>
        <v>0</v>
      </c>
      <c r="L21" s="426">
        <f t="shared" si="19"/>
        <v>24488010</v>
      </c>
      <c r="M21" s="449">
        <f t="shared" si="20"/>
        <v>0</v>
      </c>
      <c r="N21" s="297">
        <f t="shared" si="21"/>
        <v>0</v>
      </c>
      <c r="O21" s="445">
        <f t="shared" si="32"/>
        <v>0</v>
      </c>
      <c r="P21" s="564">
        <f t="shared" si="22"/>
        <v>18730.953000000001</v>
      </c>
      <c r="Q21" s="446">
        <f t="shared" si="1"/>
        <v>0</v>
      </c>
      <c r="R21" s="606">
        <f t="shared" ref="R21:R34" si="35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3"/>
        <v>0</v>
      </c>
      <c r="W21" s="426">
        <f t="shared" si="24"/>
        <v>33476</v>
      </c>
      <c r="X21" s="428">
        <f t="shared" si="31"/>
        <v>0</v>
      </c>
      <c r="Y21" s="426">
        <f t="shared" si="25"/>
        <v>995165</v>
      </c>
      <c r="Z21" s="428">
        <f t="shared" si="30"/>
        <v>0</v>
      </c>
      <c r="AA21" s="426">
        <v>36796</v>
      </c>
      <c r="AB21" s="428">
        <f t="shared" si="27"/>
        <v>0</v>
      </c>
      <c r="AC21" s="426">
        <f t="shared" si="10"/>
        <v>1170505</v>
      </c>
      <c r="AD21" s="428">
        <f t="shared" si="34"/>
        <v>0</v>
      </c>
      <c r="AE21" s="450">
        <f t="shared" si="11"/>
        <v>0</v>
      </c>
      <c r="AF21" s="451">
        <f t="shared" si="4"/>
        <v>0</v>
      </c>
      <c r="AG21" s="443">
        <f t="shared" si="33"/>
        <v>0</v>
      </c>
      <c r="AJ21" s="546"/>
      <c r="AK21" s="547"/>
      <c r="AL21" s="547"/>
      <c r="AM21" s="547"/>
      <c r="AN21" s="547"/>
    </row>
    <row r="22" spans="1:40">
      <c r="A22" s="436">
        <f>'General information '!F23</f>
        <v>0</v>
      </c>
      <c r="B22" s="430">
        <f t="shared" si="6"/>
        <v>0</v>
      </c>
      <c r="C22" s="437">
        <v>44549</v>
      </c>
      <c r="D22" s="601">
        <v>98285</v>
      </c>
      <c r="E22" s="585">
        <f t="shared" si="7"/>
        <v>3011</v>
      </c>
      <c r="F22" s="573">
        <v>4107808</v>
      </c>
      <c r="G22" s="449">
        <f t="shared" si="14"/>
        <v>267</v>
      </c>
      <c r="H22" s="426">
        <v>17997282</v>
      </c>
      <c r="I22" s="449">
        <f t="shared" si="16"/>
        <v>504</v>
      </c>
      <c r="J22" s="426">
        <v>29645126</v>
      </c>
      <c r="K22" s="449">
        <f t="shared" si="18"/>
        <v>1510</v>
      </c>
      <c r="L22" s="426">
        <v>24489106</v>
      </c>
      <c r="M22" s="449">
        <f t="shared" si="20"/>
        <v>1096</v>
      </c>
      <c r="N22" s="297">
        <f t="shared" si="21"/>
        <v>6388</v>
      </c>
      <c r="O22" s="445">
        <f t="shared" si="32"/>
        <v>0</v>
      </c>
      <c r="P22" s="564">
        <v>18736.311000000002</v>
      </c>
      <c r="Q22" s="446">
        <f t="shared" si="1"/>
        <v>5358.0000000001746</v>
      </c>
      <c r="R22" s="606">
        <f t="shared" si="35"/>
        <v>1029.9999999998254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3"/>
        <v>0</v>
      </c>
      <c r="W22" s="426">
        <v>33478</v>
      </c>
      <c r="X22" s="428">
        <f t="shared" si="31"/>
        <v>2</v>
      </c>
      <c r="Y22" s="426">
        <v>995560</v>
      </c>
      <c r="Z22" s="428">
        <f t="shared" si="30"/>
        <v>395</v>
      </c>
      <c r="AA22" s="426">
        <f t="shared" si="26"/>
        <v>36796</v>
      </c>
      <c r="AB22" s="428">
        <f t="shared" si="27"/>
        <v>0</v>
      </c>
      <c r="AC22" s="426">
        <f t="shared" si="10"/>
        <v>1170505</v>
      </c>
      <c r="AD22" s="449">
        <f>AC22-AC21</f>
        <v>0</v>
      </c>
      <c r="AE22" s="450">
        <f t="shared" si="11"/>
        <v>2</v>
      </c>
      <c r="AF22" s="451">
        <f t="shared" si="4"/>
        <v>395</v>
      </c>
      <c r="AG22" s="443">
        <f t="shared" si="33"/>
        <v>197.5</v>
      </c>
      <c r="AJ22" s="546"/>
      <c r="AK22" s="547"/>
      <c r="AL22" s="547"/>
      <c r="AM22" s="547"/>
      <c r="AN22" s="547"/>
    </row>
    <row r="23" spans="1:40">
      <c r="A23" s="436">
        <f>'General information '!F24</f>
        <v>0</v>
      </c>
      <c r="B23" s="430">
        <f t="shared" si="6"/>
        <v>0</v>
      </c>
      <c r="C23" s="437">
        <v>44550</v>
      </c>
      <c r="D23" s="601">
        <v>100066</v>
      </c>
      <c r="E23" s="585">
        <f t="shared" si="7"/>
        <v>1781</v>
      </c>
      <c r="F23" s="573">
        <v>4108095</v>
      </c>
      <c r="G23" s="449">
        <f t="shared" si="14"/>
        <v>287</v>
      </c>
      <c r="H23" s="426">
        <v>17997818</v>
      </c>
      <c r="I23" s="449">
        <f t="shared" si="16"/>
        <v>536</v>
      </c>
      <c r="J23" s="426">
        <v>29646818</v>
      </c>
      <c r="K23" s="449">
        <f t="shared" si="18"/>
        <v>1692</v>
      </c>
      <c r="L23" s="426">
        <v>24490354</v>
      </c>
      <c r="M23" s="449">
        <f t="shared" si="20"/>
        <v>1248</v>
      </c>
      <c r="N23" s="297">
        <f t="shared" si="21"/>
        <v>5544</v>
      </c>
      <c r="O23" s="445">
        <f t="shared" si="32"/>
        <v>0</v>
      </c>
      <c r="P23" s="564">
        <v>18742.012999999999</v>
      </c>
      <c r="Q23" s="446">
        <f t="shared" si="1"/>
        <v>5701.9999999974971</v>
      </c>
      <c r="R23" s="606">
        <f t="shared" si="35"/>
        <v>-157.99999999749707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3"/>
        <v>0</v>
      </c>
      <c r="W23" s="426">
        <f t="shared" si="24"/>
        <v>33478</v>
      </c>
      <c r="X23" s="428">
        <f t="shared" si="31"/>
        <v>0</v>
      </c>
      <c r="Y23" s="426">
        <f t="shared" si="25"/>
        <v>995560</v>
      </c>
      <c r="Z23" s="428">
        <f t="shared" si="30"/>
        <v>0</v>
      </c>
      <c r="AA23" s="426">
        <f t="shared" si="26"/>
        <v>36796</v>
      </c>
      <c r="AB23" s="428">
        <f t="shared" si="27"/>
        <v>0</v>
      </c>
      <c r="AC23" s="426">
        <f t="shared" si="10"/>
        <v>1170505</v>
      </c>
      <c r="AD23" s="428">
        <f t="shared" si="34"/>
        <v>0</v>
      </c>
      <c r="AE23" s="450">
        <f t="shared" si="11"/>
        <v>0</v>
      </c>
      <c r="AF23" s="451">
        <f t="shared" si="4"/>
        <v>0</v>
      </c>
      <c r="AG23" s="443">
        <f t="shared" si="33"/>
        <v>0</v>
      </c>
      <c r="AJ23" s="546"/>
      <c r="AK23" s="547"/>
      <c r="AL23" s="547"/>
      <c r="AM23" s="547"/>
      <c r="AN23" s="547"/>
    </row>
    <row r="24" spans="1:40">
      <c r="A24" s="436">
        <f>'General information '!F25</f>
        <v>0</v>
      </c>
      <c r="B24" s="430">
        <f t="shared" si="6"/>
        <v>0</v>
      </c>
      <c r="C24" s="437">
        <v>44551</v>
      </c>
      <c r="D24" s="601">
        <v>100367</v>
      </c>
      <c r="E24" s="585">
        <f t="shared" si="7"/>
        <v>301</v>
      </c>
      <c r="F24" s="573">
        <v>4108377</v>
      </c>
      <c r="G24" s="449">
        <f t="shared" si="14"/>
        <v>282</v>
      </c>
      <c r="H24" s="426">
        <v>17998366</v>
      </c>
      <c r="I24" s="622">
        <f t="shared" si="16"/>
        <v>548</v>
      </c>
      <c r="J24" s="426">
        <v>29648566</v>
      </c>
      <c r="K24" s="449">
        <f t="shared" si="18"/>
        <v>1748</v>
      </c>
      <c r="L24" s="426">
        <v>24491666</v>
      </c>
      <c r="M24" s="449">
        <f t="shared" si="20"/>
        <v>1312</v>
      </c>
      <c r="N24" s="297">
        <f t="shared" si="21"/>
        <v>4191</v>
      </c>
      <c r="O24" s="445">
        <f t="shared" si="32"/>
        <v>0</v>
      </c>
      <c r="P24" s="564">
        <v>18748.414000000001</v>
      </c>
      <c r="Q24" s="446">
        <f t="shared" si="1"/>
        <v>6401.0000000016589</v>
      </c>
      <c r="R24" s="606">
        <f t="shared" si="35"/>
        <v>-2210.0000000016589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3"/>
        <v>0</v>
      </c>
      <c r="W24" s="426">
        <f t="shared" si="24"/>
        <v>33478</v>
      </c>
      <c r="X24" s="428">
        <f t="shared" si="31"/>
        <v>0</v>
      </c>
      <c r="Y24" s="426">
        <f t="shared" si="25"/>
        <v>995560</v>
      </c>
      <c r="Z24" s="428">
        <f t="shared" si="30"/>
        <v>0</v>
      </c>
      <c r="AA24" s="426">
        <f t="shared" si="26"/>
        <v>36796</v>
      </c>
      <c r="AB24" s="428">
        <f t="shared" si="27"/>
        <v>0</v>
      </c>
      <c r="AC24" s="426">
        <f t="shared" si="10"/>
        <v>1170505</v>
      </c>
      <c r="AD24" s="428">
        <f t="shared" si="34"/>
        <v>0</v>
      </c>
      <c r="AE24" s="450">
        <f t="shared" si="11"/>
        <v>0</v>
      </c>
      <c r="AF24" s="451">
        <f t="shared" si="4"/>
        <v>0</v>
      </c>
      <c r="AG24" s="443">
        <f t="shared" si="33"/>
        <v>0</v>
      </c>
      <c r="AJ24" s="546"/>
      <c r="AK24" s="547"/>
      <c r="AL24" s="547"/>
      <c r="AM24" s="547"/>
      <c r="AN24" s="547"/>
    </row>
    <row r="25" spans="1:40">
      <c r="A25" s="436">
        <f>'General information '!F26</f>
        <v>0</v>
      </c>
      <c r="B25" s="430">
        <f t="shared" si="6"/>
        <v>0</v>
      </c>
      <c r="C25" s="437">
        <v>44552</v>
      </c>
      <c r="D25" s="601">
        <v>105139</v>
      </c>
      <c r="E25" s="585">
        <f t="shared" si="7"/>
        <v>4772</v>
      </c>
      <c r="F25" s="573">
        <v>4108670</v>
      </c>
      <c r="G25" s="449">
        <f t="shared" si="14"/>
        <v>293</v>
      </c>
      <c r="H25" s="426">
        <v>17998936</v>
      </c>
      <c r="I25" s="449">
        <f t="shared" si="16"/>
        <v>570</v>
      </c>
      <c r="J25" s="426">
        <v>29650262</v>
      </c>
      <c r="K25" s="449">
        <f t="shared" si="18"/>
        <v>1696</v>
      </c>
      <c r="L25" s="426">
        <v>24492868</v>
      </c>
      <c r="M25" s="449">
        <f t="shared" si="20"/>
        <v>1202</v>
      </c>
      <c r="N25" s="297">
        <f t="shared" si="21"/>
        <v>8533</v>
      </c>
      <c r="O25" s="445">
        <f t="shared" si="32"/>
        <v>0</v>
      </c>
      <c r="P25" s="564">
        <v>18754.099999999999</v>
      </c>
      <c r="Q25" s="446">
        <f t="shared" si="1"/>
        <v>5685.9999999978754</v>
      </c>
      <c r="R25" s="606">
        <f t="shared" si="35"/>
        <v>2847.0000000021246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3"/>
        <v>0</v>
      </c>
      <c r="W25" s="426">
        <f t="shared" si="24"/>
        <v>33478</v>
      </c>
      <c r="X25" s="428">
        <f t="shared" si="31"/>
        <v>0</v>
      </c>
      <c r="Y25" s="426">
        <f t="shared" si="25"/>
        <v>995560</v>
      </c>
      <c r="Z25" s="428">
        <f t="shared" si="30"/>
        <v>0</v>
      </c>
      <c r="AA25" s="426">
        <f t="shared" si="26"/>
        <v>36796</v>
      </c>
      <c r="AB25" s="428">
        <f t="shared" si="27"/>
        <v>0</v>
      </c>
      <c r="AC25" s="426">
        <f t="shared" si="10"/>
        <v>1170505</v>
      </c>
      <c r="AD25" s="428">
        <f t="shared" si="34"/>
        <v>0</v>
      </c>
      <c r="AE25" s="450">
        <f t="shared" si="11"/>
        <v>0</v>
      </c>
      <c r="AF25" s="451">
        <f t="shared" si="4"/>
        <v>0</v>
      </c>
      <c r="AG25" s="443">
        <f t="shared" si="33"/>
        <v>0</v>
      </c>
      <c r="AJ25" s="546"/>
      <c r="AK25" s="547"/>
      <c r="AL25" s="547"/>
      <c r="AM25" s="547"/>
      <c r="AN25" s="547"/>
    </row>
    <row r="26" spans="1:40">
      <c r="A26" s="436">
        <f>'General information '!F27</f>
        <v>0</v>
      </c>
      <c r="B26" s="430">
        <f t="shared" si="6"/>
        <v>0</v>
      </c>
      <c r="C26" s="437">
        <v>44553</v>
      </c>
      <c r="D26" s="601">
        <v>107288</v>
      </c>
      <c r="E26" s="585">
        <f t="shared" si="7"/>
        <v>2149</v>
      </c>
      <c r="F26" s="573">
        <v>4108906</v>
      </c>
      <c r="G26" s="449">
        <f t="shared" si="14"/>
        <v>236</v>
      </c>
      <c r="H26" s="426">
        <v>17999348</v>
      </c>
      <c r="I26" s="449">
        <f t="shared" si="16"/>
        <v>412</v>
      </c>
      <c r="J26" s="426">
        <v>29651508</v>
      </c>
      <c r="K26" s="449">
        <f t="shared" si="18"/>
        <v>1246</v>
      </c>
      <c r="L26" s="426">
        <v>24493836</v>
      </c>
      <c r="M26" s="449">
        <f t="shared" si="20"/>
        <v>968</v>
      </c>
      <c r="N26" s="297">
        <f t="shared" si="21"/>
        <v>5011</v>
      </c>
      <c r="O26" s="445">
        <f t="shared" si="32"/>
        <v>0</v>
      </c>
      <c r="P26" s="564">
        <v>18758.488000000001</v>
      </c>
      <c r="Q26" s="446">
        <f t="shared" si="1"/>
        <v>4388.0000000026484</v>
      </c>
      <c r="R26" s="606">
        <f t="shared" si="35"/>
        <v>622.99999999735155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3"/>
        <v>0</v>
      </c>
      <c r="W26" s="426">
        <f t="shared" si="24"/>
        <v>33478</v>
      </c>
      <c r="X26" s="428">
        <f t="shared" si="31"/>
        <v>0</v>
      </c>
      <c r="Y26" s="426">
        <f t="shared" si="25"/>
        <v>995560</v>
      </c>
      <c r="Z26" s="428">
        <f t="shared" si="30"/>
        <v>0</v>
      </c>
      <c r="AA26" s="426">
        <f t="shared" si="26"/>
        <v>36796</v>
      </c>
      <c r="AB26" s="428">
        <f t="shared" si="27"/>
        <v>0</v>
      </c>
      <c r="AC26" s="426">
        <f t="shared" si="10"/>
        <v>1170505</v>
      </c>
      <c r="AD26" s="428">
        <f t="shared" si="34"/>
        <v>0</v>
      </c>
      <c r="AE26" s="450">
        <f t="shared" si="11"/>
        <v>0</v>
      </c>
      <c r="AF26" s="451">
        <f t="shared" si="4"/>
        <v>0</v>
      </c>
      <c r="AG26" s="443">
        <f t="shared" si="33"/>
        <v>0</v>
      </c>
      <c r="AJ26" s="546"/>
      <c r="AK26" s="547"/>
      <c r="AL26" s="547"/>
      <c r="AM26" s="547"/>
      <c r="AN26" s="547"/>
    </row>
    <row r="27" spans="1:40">
      <c r="A27" s="436">
        <f>'General information '!F28</f>
        <v>0</v>
      </c>
      <c r="B27" s="430">
        <f t="shared" si="6"/>
        <v>0</v>
      </c>
      <c r="C27" s="437">
        <v>44554</v>
      </c>
      <c r="D27" s="601">
        <f t="shared" si="12"/>
        <v>107288</v>
      </c>
      <c r="E27" s="585">
        <f t="shared" si="7"/>
        <v>0</v>
      </c>
      <c r="F27" s="573">
        <f t="shared" si="13"/>
        <v>4108906</v>
      </c>
      <c r="G27" s="449">
        <f t="shared" si="14"/>
        <v>0</v>
      </c>
      <c r="H27" s="426">
        <f t="shared" si="15"/>
        <v>17999348</v>
      </c>
      <c r="I27" s="449">
        <f t="shared" si="16"/>
        <v>0</v>
      </c>
      <c r="J27" s="426">
        <f t="shared" si="17"/>
        <v>29651508</v>
      </c>
      <c r="K27" s="449">
        <f t="shared" si="18"/>
        <v>0</v>
      </c>
      <c r="L27" s="426">
        <f t="shared" si="19"/>
        <v>24493836</v>
      </c>
      <c r="M27" s="449">
        <f t="shared" si="20"/>
        <v>0</v>
      </c>
      <c r="N27" s="297">
        <f t="shared" si="21"/>
        <v>0</v>
      </c>
      <c r="O27" s="445">
        <f t="shared" si="32"/>
        <v>0</v>
      </c>
      <c r="P27" s="564">
        <f t="shared" si="22"/>
        <v>18758.488000000001</v>
      </c>
      <c r="Q27" s="446">
        <f t="shared" si="1"/>
        <v>0</v>
      </c>
      <c r="R27" s="606">
        <f t="shared" si="35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3"/>
        <v>0</v>
      </c>
      <c r="W27" s="426">
        <f t="shared" si="24"/>
        <v>33478</v>
      </c>
      <c r="X27" s="428">
        <f t="shared" si="31"/>
        <v>0</v>
      </c>
      <c r="Y27" s="426">
        <f t="shared" si="25"/>
        <v>995560</v>
      </c>
      <c r="Z27" s="428">
        <f t="shared" si="30"/>
        <v>0</v>
      </c>
      <c r="AA27" s="426">
        <f t="shared" si="26"/>
        <v>36796</v>
      </c>
      <c r="AB27" s="428">
        <f t="shared" si="27"/>
        <v>0</v>
      </c>
      <c r="AC27" s="426">
        <f t="shared" si="10"/>
        <v>1170505</v>
      </c>
      <c r="AD27" s="428">
        <f t="shared" si="34"/>
        <v>0</v>
      </c>
      <c r="AE27" s="450">
        <f t="shared" si="11"/>
        <v>0</v>
      </c>
      <c r="AF27" s="451">
        <f t="shared" si="4"/>
        <v>0</v>
      </c>
      <c r="AG27" s="443">
        <f t="shared" si="33"/>
        <v>0</v>
      </c>
      <c r="AJ27" s="546"/>
      <c r="AK27" s="547"/>
      <c r="AL27" s="547"/>
      <c r="AM27" s="547"/>
      <c r="AN27" s="547"/>
    </row>
    <row r="28" spans="1:40">
      <c r="A28" s="436">
        <f>'General information '!F29</f>
        <v>0</v>
      </c>
      <c r="B28" s="430">
        <f t="shared" si="6"/>
        <v>0</v>
      </c>
      <c r="C28" s="437">
        <v>44555</v>
      </c>
      <c r="D28" s="601">
        <f t="shared" si="12"/>
        <v>107288</v>
      </c>
      <c r="E28" s="585">
        <f t="shared" si="7"/>
        <v>0</v>
      </c>
      <c r="F28" s="573">
        <f t="shared" si="13"/>
        <v>4108906</v>
      </c>
      <c r="G28" s="449">
        <f>F28-F27</f>
        <v>0</v>
      </c>
      <c r="H28" s="426">
        <f t="shared" si="15"/>
        <v>17999348</v>
      </c>
      <c r="I28" s="449">
        <f t="shared" si="16"/>
        <v>0</v>
      </c>
      <c r="J28" s="426">
        <f t="shared" si="17"/>
        <v>29651508</v>
      </c>
      <c r="K28" s="449">
        <f t="shared" si="18"/>
        <v>0</v>
      </c>
      <c r="L28" s="426">
        <f t="shared" si="19"/>
        <v>24493836</v>
      </c>
      <c r="M28" s="449">
        <f t="shared" si="20"/>
        <v>0</v>
      </c>
      <c r="N28" s="297">
        <f t="shared" si="21"/>
        <v>0</v>
      </c>
      <c r="O28" s="445">
        <f t="shared" si="32"/>
        <v>0</v>
      </c>
      <c r="P28" s="564">
        <f t="shared" si="22"/>
        <v>18758.488000000001</v>
      </c>
      <c r="Q28" s="446">
        <f t="shared" si="1"/>
        <v>0</v>
      </c>
      <c r="R28" s="606">
        <f t="shared" si="35"/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3"/>
        <v>0</v>
      </c>
      <c r="W28" s="426">
        <f t="shared" si="24"/>
        <v>33478</v>
      </c>
      <c r="X28" s="428">
        <f t="shared" si="31"/>
        <v>0</v>
      </c>
      <c r="Y28" s="426">
        <f t="shared" si="25"/>
        <v>995560</v>
      </c>
      <c r="Z28" s="428">
        <f t="shared" si="30"/>
        <v>0</v>
      </c>
      <c r="AA28" s="426">
        <f t="shared" si="26"/>
        <v>36796</v>
      </c>
      <c r="AB28" s="428">
        <f t="shared" si="27"/>
        <v>0</v>
      </c>
      <c r="AC28" s="426">
        <f t="shared" si="10"/>
        <v>1170505</v>
      </c>
      <c r="AD28" s="428">
        <f t="shared" si="34"/>
        <v>0</v>
      </c>
      <c r="AE28" s="450">
        <f t="shared" si="11"/>
        <v>0</v>
      </c>
      <c r="AF28" s="451">
        <f t="shared" si="4"/>
        <v>0</v>
      </c>
      <c r="AG28" s="443">
        <f t="shared" si="33"/>
        <v>0</v>
      </c>
      <c r="AJ28" s="546"/>
      <c r="AK28" s="547"/>
      <c r="AL28" s="547"/>
      <c r="AM28" s="547"/>
      <c r="AN28" s="547"/>
    </row>
    <row r="29" spans="1:40">
      <c r="A29" s="436">
        <f>'General information '!F30</f>
        <v>0</v>
      </c>
      <c r="B29" s="430">
        <f t="shared" si="6"/>
        <v>0</v>
      </c>
      <c r="C29" s="437">
        <v>44556</v>
      </c>
      <c r="D29" s="601">
        <f t="shared" si="12"/>
        <v>107288</v>
      </c>
      <c r="E29" s="585">
        <f t="shared" si="7"/>
        <v>0</v>
      </c>
      <c r="F29" s="573">
        <f t="shared" si="13"/>
        <v>4108906</v>
      </c>
      <c r="G29" s="449">
        <f t="shared" ref="G29" si="36">F29-F28</f>
        <v>0</v>
      </c>
      <c r="H29" s="426">
        <f t="shared" si="15"/>
        <v>17999348</v>
      </c>
      <c r="I29" s="449">
        <f t="shared" ref="I29" si="37">H29-H28</f>
        <v>0</v>
      </c>
      <c r="J29" s="426">
        <f t="shared" si="17"/>
        <v>29651508</v>
      </c>
      <c r="K29" s="449">
        <f t="shared" ref="K29" si="38">J29-J28</f>
        <v>0</v>
      </c>
      <c r="L29" s="426">
        <f t="shared" si="19"/>
        <v>24493836</v>
      </c>
      <c r="M29" s="449">
        <f t="shared" ref="M29" si="39">L29-L28</f>
        <v>0</v>
      </c>
      <c r="N29" s="297">
        <f t="shared" ref="N29" si="40">M29+K29+I29+G29+E29</f>
        <v>0</v>
      </c>
      <c r="O29" s="445">
        <f t="shared" ref="O29" si="41">IF(B29&gt;0,N29/B29,0)</f>
        <v>0</v>
      </c>
      <c r="P29" s="564">
        <f t="shared" si="22"/>
        <v>18758.488000000001</v>
      </c>
      <c r="Q29" s="446">
        <f t="shared" ref="Q29" si="42">(P29-P28)*1000</f>
        <v>0</v>
      </c>
      <c r="R29" s="606">
        <f t="shared" si="35"/>
        <v>0</v>
      </c>
      <c r="S29" s="426">
        <f t="shared" si="8"/>
        <v>10175</v>
      </c>
      <c r="T29" s="447">
        <f t="shared" ref="T29" si="43">S29-S28</f>
        <v>0</v>
      </c>
      <c r="U29" s="426">
        <f t="shared" si="9"/>
        <v>429166</v>
      </c>
      <c r="V29" s="428">
        <f t="shared" ref="V29" si="44">U29-U28</f>
        <v>0</v>
      </c>
      <c r="W29" s="426">
        <f t="shared" si="24"/>
        <v>33478</v>
      </c>
      <c r="X29" s="428">
        <f t="shared" ref="X29" si="45">W29-W28</f>
        <v>0</v>
      </c>
      <c r="Y29" s="426">
        <f t="shared" si="25"/>
        <v>995560</v>
      </c>
      <c r="Z29" s="428">
        <f t="shared" ref="Z29" si="46">Y29-Y28</f>
        <v>0</v>
      </c>
      <c r="AA29" s="426">
        <f t="shared" si="26"/>
        <v>36796</v>
      </c>
      <c r="AB29" s="428">
        <f t="shared" ref="AB29" si="47">AA29-AA28</f>
        <v>0</v>
      </c>
      <c r="AC29" s="426">
        <f t="shared" si="10"/>
        <v>1170505</v>
      </c>
      <c r="AD29" s="428">
        <f t="shared" ref="AD29" si="48">AC29-AC28</f>
        <v>0</v>
      </c>
      <c r="AE29" s="450">
        <f t="shared" ref="AE29" si="49">AB29+X29+T29</f>
        <v>0</v>
      </c>
      <c r="AF29" s="451">
        <f t="shared" ref="AF29" si="50">V29+Z29+AD29</f>
        <v>0</v>
      </c>
      <c r="AG29" s="443">
        <f t="shared" si="33"/>
        <v>0</v>
      </c>
      <c r="AJ29" s="546"/>
      <c r="AK29" s="547"/>
      <c r="AL29" s="547"/>
      <c r="AM29" s="547"/>
      <c r="AN29" s="547"/>
    </row>
    <row r="30" spans="1:40">
      <c r="A30" s="436">
        <f>'General information '!F31</f>
        <v>0</v>
      </c>
      <c r="B30" s="430">
        <f>SUM(230*A30)</f>
        <v>0</v>
      </c>
      <c r="C30" s="437">
        <v>44557</v>
      </c>
      <c r="D30" s="601">
        <v>109560</v>
      </c>
      <c r="E30" s="585">
        <f t="shared" si="7"/>
        <v>2272</v>
      </c>
      <c r="F30" s="573">
        <v>4109137</v>
      </c>
      <c r="G30" s="449">
        <f t="shared" si="14"/>
        <v>231</v>
      </c>
      <c r="H30" s="426">
        <v>17999886</v>
      </c>
      <c r="I30" s="449">
        <f t="shared" si="16"/>
        <v>538</v>
      </c>
      <c r="J30" s="426">
        <v>29652908</v>
      </c>
      <c r="K30" s="449">
        <f t="shared" si="18"/>
        <v>1400</v>
      </c>
      <c r="L30" s="426">
        <v>24494672</v>
      </c>
      <c r="M30" s="449">
        <f t="shared" si="20"/>
        <v>836</v>
      </c>
      <c r="N30" s="297">
        <f t="shared" si="21"/>
        <v>5277</v>
      </c>
      <c r="O30" s="445">
        <f t="shared" si="32"/>
        <v>0</v>
      </c>
      <c r="P30" s="564">
        <v>18763.629000000001</v>
      </c>
      <c r="Q30" s="446">
        <f t="shared" si="1"/>
        <v>5140.9999999996217</v>
      </c>
      <c r="R30" s="606">
        <f t="shared" si="35"/>
        <v>136.00000000037835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3"/>
        <v>0</v>
      </c>
      <c r="W30" s="426">
        <v>33479</v>
      </c>
      <c r="X30" s="428">
        <f t="shared" si="31"/>
        <v>1</v>
      </c>
      <c r="Y30" s="426">
        <v>995654</v>
      </c>
      <c r="Z30" s="428">
        <f t="shared" si="30"/>
        <v>94</v>
      </c>
      <c r="AA30" s="426">
        <f t="shared" si="26"/>
        <v>36796</v>
      </c>
      <c r="AB30" s="428">
        <f t="shared" si="27"/>
        <v>0</v>
      </c>
      <c r="AC30" s="426">
        <f t="shared" si="10"/>
        <v>1170505</v>
      </c>
      <c r="AD30" s="428">
        <f t="shared" si="34"/>
        <v>0</v>
      </c>
      <c r="AE30" s="450">
        <f t="shared" si="11"/>
        <v>1</v>
      </c>
      <c r="AF30" s="451">
        <f t="shared" si="4"/>
        <v>94</v>
      </c>
      <c r="AG30" s="443">
        <f t="shared" si="33"/>
        <v>94</v>
      </c>
      <c r="AJ30" s="546"/>
      <c r="AK30" s="547"/>
      <c r="AL30" s="547"/>
      <c r="AM30" s="547"/>
      <c r="AN30" s="547"/>
    </row>
    <row r="31" spans="1:40">
      <c r="A31" s="436">
        <f>'General information '!F32</f>
        <v>0</v>
      </c>
      <c r="B31" s="430">
        <f t="shared" si="6"/>
        <v>0</v>
      </c>
      <c r="C31" s="437">
        <v>44558</v>
      </c>
      <c r="D31" s="601">
        <v>111170</v>
      </c>
      <c r="E31" s="585">
        <f t="shared" si="7"/>
        <v>1610</v>
      </c>
      <c r="F31" s="573">
        <v>4109381</v>
      </c>
      <c r="G31" s="449">
        <f t="shared" si="14"/>
        <v>244</v>
      </c>
      <c r="H31" s="426">
        <v>18000402</v>
      </c>
      <c r="I31" s="449">
        <f t="shared" si="16"/>
        <v>516</v>
      </c>
      <c r="J31" s="426">
        <v>29654238</v>
      </c>
      <c r="K31" s="449">
        <f t="shared" si="18"/>
        <v>1330</v>
      </c>
      <c r="L31" s="426">
        <v>24495762</v>
      </c>
      <c r="M31" s="449">
        <f t="shared" si="20"/>
        <v>1090</v>
      </c>
      <c r="N31" s="297">
        <f t="shared" si="21"/>
        <v>4790</v>
      </c>
      <c r="O31" s="445">
        <f t="shared" si="32"/>
        <v>0</v>
      </c>
      <c r="P31" s="564">
        <v>18768.923999999999</v>
      </c>
      <c r="Q31" s="446">
        <f t="shared" si="1"/>
        <v>5294.9999999982538</v>
      </c>
      <c r="R31" s="606">
        <f t="shared" si="35"/>
        <v>-504.99999999825377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28">
        <f t="shared" si="23"/>
        <v>0</v>
      </c>
      <c r="W31" s="426">
        <f t="shared" si="24"/>
        <v>33479</v>
      </c>
      <c r="X31" s="448">
        <f t="shared" si="31"/>
        <v>0</v>
      </c>
      <c r="Y31" s="426">
        <f t="shared" si="25"/>
        <v>995654</v>
      </c>
      <c r="Z31" s="428">
        <f t="shared" si="30"/>
        <v>0</v>
      </c>
      <c r="AA31" s="426">
        <f t="shared" si="26"/>
        <v>36796</v>
      </c>
      <c r="AB31" s="428">
        <f t="shared" si="27"/>
        <v>0</v>
      </c>
      <c r="AC31" s="426">
        <f t="shared" si="10"/>
        <v>1170505</v>
      </c>
      <c r="AD31" s="428">
        <f t="shared" si="34"/>
        <v>0</v>
      </c>
      <c r="AE31" s="450">
        <f t="shared" si="11"/>
        <v>0</v>
      </c>
      <c r="AF31" s="451">
        <f t="shared" si="4"/>
        <v>0</v>
      </c>
      <c r="AG31" s="443">
        <f t="shared" si="33"/>
        <v>0</v>
      </c>
      <c r="AJ31" s="546"/>
      <c r="AK31" s="547"/>
      <c r="AL31" s="547"/>
      <c r="AM31" s="547"/>
      <c r="AN31" s="547"/>
    </row>
    <row r="32" spans="1:40">
      <c r="A32" s="436">
        <f>'General information '!F33</f>
        <v>0</v>
      </c>
      <c r="B32" s="430">
        <f>SUM(230*A32)</f>
        <v>0</v>
      </c>
      <c r="C32" s="437">
        <v>44559</v>
      </c>
      <c r="D32" s="601">
        <v>113520</v>
      </c>
      <c r="E32" s="585">
        <f t="shared" si="7"/>
        <v>2350</v>
      </c>
      <c r="F32" s="573">
        <v>4109588</v>
      </c>
      <c r="G32" s="449">
        <f t="shared" si="14"/>
        <v>207</v>
      </c>
      <c r="H32" s="426">
        <v>18000802</v>
      </c>
      <c r="I32" s="449">
        <f t="shared" si="16"/>
        <v>400</v>
      </c>
      <c r="J32" s="426">
        <v>29655023</v>
      </c>
      <c r="K32" s="449">
        <f t="shared" si="18"/>
        <v>785</v>
      </c>
      <c r="L32" s="426">
        <v>24497123</v>
      </c>
      <c r="M32" s="449">
        <f t="shared" si="20"/>
        <v>1361</v>
      </c>
      <c r="N32" s="297">
        <f t="shared" si="21"/>
        <v>5103</v>
      </c>
      <c r="O32" s="445">
        <f>IF(B32&gt;0,N32/B32,0)</f>
        <v>0</v>
      </c>
      <c r="P32" s="564">
        <v>18774.755000000001</v>
      </c>
      <c r="Q32" s="446">
        <f t="shared" si="1"/>
        <v>5831.00000000195</v>
      </c>
      <c r="R32" s="606">
        <f t="shared" si="35"/>
        <v>-728.00000000194996</v>
      </c>
      <c r="S32" s="426">
        <f t="shared" si="8"/>
        <v>10175</v>
      </c>
      <c r="T32" s="447">
        <f>S32-S31</f>
        <v>0</v>
      </c>
      <c r="U32" s="426">
        <f t="shared" si="9"/>
        <v>429166</v>
      </c>
      <c r="V32" s="428">
        <f>U32-U31</f>
        <v>0</v>
      </c>
      <c r="W32" s="426">
        <f t="shared" si="24"/>
        <v>33479</v>
      </c>
      <c r="X32" s="448">
        <f>W32-W31</f>
        <v>0</v>
      </c>
      <c r="Y32" s="426">
        <f t="shared" si="25"/>
        <v>995654</v>
      </c>
      <c r="Z32" s="428">
        <f>Y32-Y31</f>
        <v>0</v>
      </c>
      <c r="AA32" s="426">
        <f t="shared" si="26"/>
        <v>36796</v>
      </c>
      <c r="AB32" s="428">
        <f>AA32-AA31</f>
        <v>0</v>
      </c>
      <c r="AC32" s="426">
        <f t="shared" si="10"/>
        <v>1170505</v>
      </c>
      <c r="AD32" s="428">
        <f>AC32-AC31</f>
        <v>0</v>
      </c>
      <c r="AE32" s="450">
        <f>AB32+X32+T32</f>
        <v>0</v>
      </c>
      <c r="AF32" s="451">
        <f>V32+Z32+AD32</f>
        <v>0</v>
      </c>
      <c r="AG32" s="443">
        <f>IF(AE32&gt;0,AF32/AE32,0)</f>
        <v>0</v>
      </c>
      <c r="AJ32" s="546"/>
      <c r="AK32" s="547"/>
      <c r="AL32" s="547"/>
      <c r="AM32" s="547"/>
      <c r="AN32" s="547"/>
    </row>
    <row r="33" spans="1:40">
      <c r="A33" s="436">
        <f>'General information '!F34</f>
        <v>0</v>
      </c>
      <c r="B33" s="430">
        <f>SUM(230*A33)</f>
        <v>0</v>
      </c>
      <c r="C33" s="437">
        <v>44560</v>
      </c>
      <c r="D33" s="601">
        <f t="shared" si="12"/>
        <v>113520</v>
      </c>
      <c r="E33" s="585">
        <f t="shared" si="7"/>
        <v>0</v>
      </c>
      <c r="F33" s="573">
        <f t="shared" si="13"/>
        <v>4109588</v>
      </c>
      <c r="G33" s="449">
        <f t="shared" si="14"/>
        <v>0</v>
      </c>
      <c r="H33" s="426">
        <f t="shared" si="15"/>
        <v>18000802</v>
      </c>
      <c r="I33" s="449">
        <f t="shared" si="16"/>
        <v>0</v>
      </c>
      <c r="J33" s="426">
        <f t="shared" si="17"/>
        <v>29655023</v>
      </c>
      <c r="K33" s="449">
        <f t="shared" si="18"/>
        <v>0</v>
      </c>
      <c r="L33" s="426">
        <f t="shared" si="19"/>
        <v>24497123</v>
      </c>
      <c r="M33" s="449">
        <f t="shared" si="20"/>
        <v>0</v>
      </c>
      <c r="N33" s="297">
        <f t="shared" si="21"/>
        <v>0</v>
      </c>
      <c r="O33" s="445">
        <f>IF(B33&gt;0,N33/B33,0)</f>
        <v>0</v>
      </c>
      <c r="P33" s="564">
        <f t="shared" si="22"/>
        <v>18774.755000000001</v>
      </c>
      <c r="Q33" s="446">
        <f t="shared" si="1"/>
        <v>0</v>
      </c>
      <c r="R33" s="606">
        <f t="shared" si="35"/>
        <v>0</v>
      </c>
      <c r="S33" s="426">
        <f t="shared" si="8"/>
        <v>10175</v>
      </c>
      <c r="T33" s="447">
        <f>S33-S32</f>
        <v>0</v>
      </c>
      <c r="U33" s="426">
        <f t="shared" si="9"/>
        <v>429166</v>
      </c>
      <c r="V33" s="428">
        <f>U33-U32</f>
        <v>0</v>
      </c>
      <c r="W33" s="426">
        <f t="shared" si="24"/>
        <v>33479</v>
      </c>
      <c r="X33" s="448">
        <f>W33-W32</f>
        <v>0</v>
      </c>
      <c r="Y33" s="426">
        <f t="shared" si="25"/>
        <v>995654</v>
      </c>
      <c r="Z33" s="428">
        <f>Y33-Y32</f>
        <v>0</v>
      </c>
      <c r="AA33" s="426">
        <f t="shared" si="26"/>
        <v>36796</v>
      </c>
      <c r="AB33" s="428">
        <f>AA33-AA32</f>
        <v>0</v>
      </c>
      <c r="AC33" s="426">
        <f t="shared" si="10"/>
        <v>1170505</v>
      </c>
      <c r="AD33" s="428">
        <f>AC33-AC32</f>
        <v>0</v>
      </c>
      <c r="AE33" s="450">
        <f>AB33+X33+T33</f>
        <v>0</v>
      </c>
      <c r="AF33" s="451">
        <f>V33+Z33+AD33</f>
        <v>0</v>
      </c>
      <c r="AG33" s="443">
        <f>IF(AE33&gt;0,AF33/AE33,0)</f>
        <v>0</v>
      </c>
      <c r="AJ33" s="546"/>
      <c r="AK33" s="547"/>
      <c r="AL33" s="547"/>
      <c r="AM33" s="547"/>
      <c r="AN33" s="547"/>
    </row>
    <row r="34" spans="1:40">
      <c r="A34" s="436">
        <f>'General information '!F35</f>
        <v>0</v>
      </c>
      <c r="B34" s="430">
        <f>SUM(230*A34)</f>
        <v>0</v>
      </c>
      <c r="C34" s="437">
        <v>44561</v>
      </c>
      <c r="D34" s="601">
        <f t="shared" si="12"/>
        <v>113520</v>
      </c>
      <c r="E34" s="585">
        <f t="shared" si="7"/>
        <v>0</v>
      </c>
      <c r="F34" s="573">
        <f t="shared" ref="F34" si="51">F33</f>
        <v>4109588</v>
      </c>
      <c r="G34" s="449">
        <f t="shared" ref="G34" si="52">F34-F33</f>
        <v>0</v>
      </c>
      <c r="H34" s="426">
        <f t="shared" si="15"/>
        <v>18000802</v>
      </c>
      <c r="I34" s="449">
        <f t="shared" si="16"/>
        <v>0</v>
      </c>
      <c r="J34" s="426">
        <f t="shared" si="17"/>
        <v>29655023</v>
      </c>
      <c r="K34" s="449">
        <f t="shared" ref="K34" si="53">J34-J33</f>
        <v>0</v>
      </c>
      <c r="L34" s="426">
        <f t="shared" si="19"/>
        <v>24497123</v>
      </c>
      <c r="M34" s="449">
        <f t="shared" ref="M34" si="54">L34-L33</f>
        <v>0</v>
      </c>
      <c r="N34" s="297">
        <f t="shared" ref="N34" si="55">M34+K34+I34+G34+E34</f>
        <v>0</v>
      </c>
      <c r="O34" s="445">
        <f>IF(B34&gt;0,N34/B34,0)</f>
        <v>0</v>
      </c>
      <c r="P34" s="564">
        <f t="shared" si="22"/>
        <v>18774.755000000001</v>
      </c>
      <c r="Q34" s="446">
        <f t="shared" si="1"/>
        <v>0</v>
      </c>
      <c r="R34" s="606">
        <f t="shared" si="35"/>
        <v>0</v>
      </c>
      <c r="S34" s="426">
        <f t="shared" si="8"/>
        <v>10175</v>
      </c>
      <c r="T34" s="447">
        <f>S34-S33</f>
        <v>0</v>
      </c>
      <c r="U34" s="426">
        <f t="shared" si="9"/>
        <v>429166</v>
      </c>
      <c r="V34" s="428">
        <f>U34-U33</f>
        <v>0</v>
      </c>
      <c r="W34" s="426">
        <f>W33</f>
        <v>33479</v>
      </c>
      <c r="X34" s="448">
        <f>W34-W33</f>
        <v>0</v>
      </c>
      <c r="Y34" s="426">
        <f t="shared" si="25"/>
        <v>995654</v>
      </c>
      <c r="Z34" s="428">
        <f>Y34-Y33</f>
        <v>0</v>
      </c>
      <c r="AA34" s="426">
        <f t="shared" si="26"/>
        <v>36796</v>
      </c>
      <c r="AB34" s="428">
        <f>AA34-AA33</f>
        <v>0</v>
      </c>
      <c r="AC34" s="426">
        <f t="shared" si="10"/>
        <v>1170505</v>
      </c>
      <c r="AD34" s="428">
        <f>AC34-AC33</f>
        <v>0</v>
      </c>
      <c r="AE34" s="450">
        <f>AB34+X34+T34</f>
        <v>0</v>
      </c>
      <c r="AF34" s="451">
        <f>V34+Z34+AD34</f>
        <v>0</v>
      </c>
      <c r="AG34" s="443">
        <f>IF(AE34&gt;0,AF34/AE34,0)</f>
        <v>0</v>
      </c>
      <c r="AJ34" s="546"/>
      <c r="AK34" s="547"/>
      <c r="AL34" s="547"/>
      <c r="AM34" s="547"/>
      <c r="AN34" s="547"/>
    </row>
    <row r="35" spans="1:40" s="563" customFormat="1">
      <c r="A35" s="553"/>
      <c r="B35" s="554"/>
      <c r="C35" s="555"/>
      <c r="D35" s="556"/>
      <c r="E35" s="556"/>
      <c r="F35" s="556"/>
      <c r="G35" s="557"/>
      <c r="H35" s="556"/>
      <c r="I35" s="557"/>
      <c r="J35" s="556"/>
      <c r="K35" s="557"/>
      <c r="L35" s="556"/>
      <c r="M35" s="557"/>
      <c r="N35" s="558"/>
      <c r="O35" s="559"/>
      <c r="P35" s="560"/>
      <c r="Q35" s="552"/>
      <c r="R35" s="552"/>
      <c r="S35" s="556"/>
      <c r="T35" s="561"/>
      <c r="U35" s="556"/>
      <c r="V35" s="552"/>
      <c r="W35" s="556"/>
      <c r="X35" s="552"/>
      <c r="Y35" s="556"/>
      <c r="Z35" s="552"/>
      <c r="AA35" s="556"/>
      <c r="AB35" s="552"/>
      <c r="AC35" s="556"/>
      <c r="AD35" s="552"/>
      <c r="AE35" s="552"/>
      <c r="AF35" s="552"/>
      <c r="AG35" s="562"/>
      <c r="AK35" s="552"/>
      <c r="AL35" s="552"/>
      <c r="AM35" s="552"/>
      <c r="AN35" s="552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R1" zoomScale="90" zoomScaleNormal="90" workbookViewId="0">
      <pane ySplit="1" topLeftCell="A11" activePane="bottomLeft" state="frozen"/>
      <selection activeCell="K1" sqref="K1"/>
      <selection pane="bottomLeft" activeCell="AV33" sqref="AV33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4" t="s">
        <v>2</v>
      </c>
      <c r="G1" s="635"/>
      <c r="H1" s="635"/>
      <c r="I1" s="636"/>
      <c r="J1" s="271">
        <f>J36</f>
        <v>73.401960784313715</v>
      </c>
      <c r="K1" s="637" t="s">
        <v>4</v>
      </c>
      <c r="L1" s="638"/>
      <c r="M1" s="638"/>
      <c r="N1" s="638"/>
      <c r="O1" s="639"/>
      <c r="P1" s="628" t="s">
        <v>6</v>
      </c>
      <c r="Q1" s="629"/>
      <c r="R1" s="629"/>
      <c r="S1" s="629"/>
      <c r="T1" s="630"/>
      <c r="U1" s="381"/>
      <c r="V1" s="27" t="s">
        <v>104</v>
      </c>
      <c r="W1" s="382"/>
      <c r="X1" s="628" t="s">
        <v>8</v>
      </c>
      <c r="Y1" s="629"/>
      <c r="Z1" s="629"/>
      <c r="AA1" s="629"/>
      <c r="AB1" s="629"/>
      <c r="AC1" s="631" t="s">
        <v>10</v>
      </c>
      <c r="AD1" s="632"/>
      <c r="AE1" s="632"/>
      <c r="AF1" s="633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6"/>
      <c r="R2" s="627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ELEC!C3</f>
        <v>44530</v>
      </c>
      <c r="B4" s="379">
        <f>[2]B5!B34</f>
        <v>218</v>
      </c>
      <c r="C4" s="379">
        <f>[2]B5!C34</f>
        <v>224</v>
      </c>
      <c r="D4" s="379">
        <f>[2]B5!D34</f>
        <v>8</v>
      </c>
      <c r="E4" s="379">
        <f>[2]B5!E34</f>
        <v>67.040000000000006</v>
      </c>
      <c r="F4" s="379">
        <f>[2]B5!F34</f>
        <v>1921</v>
      </c>
      <c r="G4" s="379">
        <f>[2]B5!G34</f>
        <v>0</v>
      </c>
      <c r="H4" s="379">
        <f>[2]B5!H34</f>
        <v>19436</v>
      </c>
      <c r="I4" s="379">
        <f>[2]B5!I34</f>
        <v>0</v>
      </c>
      <c r="J4" s="379">
        <f>[2]B5!J34</f>
        <v>0</v>
      </c>
      <c r="K4" s="379">
        <f>[2]B5!K34</f>
        <v>2367</v>
      </c>
      <c r="L4" s="379">
        <f>[2]B5!L34</f>
        <v>0</v>
      </c>
      <c r="M4" s="379">
        <f>[2]B5!M34</f>
        <v>174784</v>
      </c>
      <c r="N4" s="379">
        <f>[2]B5!N34</f>
        <v>0</v>
      </c>
      <c r="O4" s="379">
        <f>[2]B5!O34</f>
        <v>1869</v>
      </c>
      <c r="P4" s="379">
        <f>[2]B5!P34</f>
        <v>2137</v>
      </c>
      <c r="Q4" s="379">
        <f>[2]B5!Q34</f>
        <v>179335</v>
      </c>
      <c r="R4" s="379">
        <f>[2]B5!R34</f>
        <v>0</v>
      </c>
      <c r="S4" s="379">
        <f>[2]B5!S34</f>
        <v>0</v>
      </c>
      <c r="T4" s="379">
        <f>[2]B5!T34</f>
        <v>0</v>
      </c>
      <c r="U4" s="379">
        <f>[2]B5!U34</f>
        <v>0</v>
      </c>
      <c r="V4" s="379">
        <f>[2]B5!V34</f>
        <v>0</v>
      </c>
      <c r="W4" s="379">
        <f>[2]B5!W34</f>
        <v>0</v>
      </c>
      <c r="X4" s="379">
        <f>[2]B5!X34</f>
        <v>2480</v>
      </c>
      <c r="Y4" s="379">
        <f>[2]B5!Y34</f>
        <v>0</v>
      </c>
      <c r="Z4" s="379">
        <f>[2]B5!Z34</f>
        <v>139172.20000000001</v>
      </c>
      <c r="AA4" s="379">
        <f>[2]B5!AA34</f>
        <v>0</v>
      </c>
      <c r="AB4" s="379">
        <f>[2]B5!AB34</f>
        <v>0</v>
      </c>
      <c r="AC4" s="379">
        <f>[2]B5!AC34</f>
        <v>1943</v>
      </c>
      <c r="AD4" s="379">
        <f>[2]B5!AD34</f>
        <v>0</v>
      </c>
      <c r="AE4" s="379">
        <f>[2]B5!AE34</f>
        <v>366210</v>
      </c>
      <c r="AF4" s="379">
        <f>[2]B5!AF34</f>
        <v>0</v>
      </c>
      <c r="AG4" s="379">
        <f>[2]B5!AG34</f>
        <v>0</v>
      </c>
      <c r="AH4" s="379">
        <f>[2]B5!AH34</f>
        <v>0</v>
      </c>
      <c r="AI4" s="379">
        <f>[2]B5!AI34</f>
        <v>0</v>
      </c>
      <c r="AJ4" s="379">
        <f>[2]B5!AJ34</f>
        <v>0</v>
      </c>
      <c r="AK4" s="379">
        <f>[2]B5!AK34</f>
        <v>0</v>
      </c>
      <c r="AL4" s="379">
        <f>[2]B5!AL34</f>
        <v>0</v>
      </c>
      <c r="AM4" s="379">
        <f>[2]B5!AM34</f>
        <v>0</v>
      </c>
      <c r="AN4" s="379">
        <f>[2]B5!AN34</f>
        <v>65</v>
      </c>
      <c r="AO4" s="379">
        <f>[2]B5!AO34</f>
        <v>1950</v>
      </c>
      <c r="AP4" s="379">
        <f>[2]B5!AP34</f>
        <v>55</v>
      </c>
      <c r="AQ4" s="379">
        <f>[2]B5!AQ34</f>
        <v>1650.0000000000002</v>
      </c>
      <c r="AR4" s="379">
        <f>[2]B5!AR34</f>
        <v>61</v>
      </c>
      <c r="AS4" s="379">
        <f>[2]B5!AS34</f>
        <v>1830</v>
      </c>
      <c r="AT4" s="379">
        <f>[2]B5!AT34</f>
        <v>5430</v>
      </c>
      <c r="AU4" s="379">
        <f>[2]B5!AU34</f>
        <v>0</v>
      </c>
      <c r="AV4" s="379">
        <f>[2]B5!AV34</f>
        <v>0</v>
      </c>
      <c r="AW4" s="379">
        <f>[2]B5!AW34</f>
        <v>0</v>
      </c>
      <c r="AX4" s="379">
        <f>[2]B5!AX34</f>
        <v>0.8</v>
      </c>
    </row>
    <row r="5" spans="1:52">
      <c r="A5" s="63">
        <f>ELEC!C4</f>
        <v>44531</v>
      </c>
      <c r="B5" s="537">
        <v>210</v>
      </c>
      <c r="C5" s="537">
        <v>218</v>
      </c>
      <c r="D5" s="45">
        <f>C4-C5</f>
        <v>6</v>
      </c>
      <c r="E5" s="45">
        <f>D5*8.38</f>
        <v>50.28</v>
      </c>
      <c r="F5" s="537">
        <v>1924</v>
      </c>
      <c r="G5" s="52">
        <f t="shared" ref="G5:G32" si="0">F5-F4</f>
        <v>3</v>
      </c>
      <c r="H5" s="537">
        <v>19613</v>
      </c>
      <c r="I5" s="380">
        <f t="shared" ref="I5:I32" si="1">SUM(H5-H4)</f>
        <v>177</v>
      </c>
      <c r="J5" s="66">
        <v>1</v>
      </c>
      <c r="K5" s="537">
        <f>K4</f>
        <v>2367</v>
      </c>
      <c r="L5" s="52">
        <f>K5-K4</f>
        <v>0</v>
      </c>
      <c r="M5" s="537">
        <f>M4</f>
        <v>174784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2137</v>
      </c>
      <c r="Q5" s="537">
        <f>Q4</f>
        <v>179335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3</v>
      </c>
      <c r="V5" s="62">
        <v>0</v>
      </c>
      <c r="W5" s="384">
        <f>SUM(V5/U5)</f>
        <v>0</v>
      </c>
      <c r="X5" s="537">
        <f>X4</f>
        <v>2480</v>
      </c>
      <c r="Y5" s="52">
        <f>X5-X4</f>
        <v>0</v>
      </c>
      <c r="Z5" s="537">
        <f>Z4</f>
        <v>139172.20000000001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3</v>
      </c>
      <c r="AM5" s="303">
        <f>Y5+AD5</f>
        <v>0</v>
      </c>
      <c r="AN5" s="537">
        <f t="shared" ref="AN5:AN33" si="9">AN4</f>
        <v>65</v>
      </c>
      <c r="AO5" s="305">
        <f>(AN5/100)*3000</f>
        <v>1950</v>
      </c>
      <c r="AP5" s="537">
        <f t="shared" ref="AP5:AP33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44532</v>
      </c>
      <c r="B6" s="537">
        <v>204</v>
      </c>
      <c r="C6" s="537">
        <v>211</v>
      </c>
      <c r="D6" s="45">
        <f>C5-C6</f>
        <v>7</v>
      </c>
      <c r="E6" s="45">
        <f t="shared" ref="E6:E32" si="12">D6*8.38</f>
        <v>58.660000000000004</v>
      </c>
      <c r="F6" s="537">
        <f t="shared" ref="F6:F35" si="13">F5</f>
        <v>1924</v>
      </c>
      <c r="G6" s="52">
        <f t="shared" si="0"/>
        <v>0</v>
      </c>
      <c r="H6" s="537">
        <f t="shared" ref="H6:H35" si="14">H5</f>
        <v>19613</v>
      </c>
      <c r="I6" s="380">
        <f t="shared" si="1"/>
        <v>0</v>
      </c>
      <c r="J6" s="66">
        <f t="shared" ref="J6:J32" si="15">IF(G6&gt;0,I6/G6,0)</f>
        <v>0</v>
      </c>
      <c r="K6" s="537">
        <f t="shared" ref="K6:K35" si="16">K5</f>
        <v>2367</v>
      </c>
      <c r="L6" s="52">
        <f t="shared" ref="L6:L32" si="17">K6-K5</f>
        <v>0</v>
      </c>
      <c r="M6" s="537">
        <f t="shared" ref="M6:M35" si="18">M5</f>
        <v>174784</v>
      </c>
      <c r="N6" s="380">
        <f t="shared" si="2"/>
        <v>0</v>
      </c>
      <c r="O6" s="64">
        <f t="shared" si="3"/>
        <v>1869</v>
      </c>
      <c r="P6" s="537">
        <f t="shared" si="3"/>
        <v>2137</v>
      </c>
      <c r="Q6" s="537">
        <f t="shared" si="3"/>
        <v>179335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9">SUM(G6+L6+S6)</f>
        <v>0</v>
      </c>
      <c r="V6" s="62">
        <f t="shared" ref="V6:V35" si="20">R6+N6+I6:I6</f>
        <v>0</v>
      </c>
      <c r="W6" s="384" t="e">
        <f t="shared" ref="W6:W16" si="21">SUM(V6/U6)</f>
        <v>#DIV/0!</v>
      </c>
      <c r="X6" s="537">
        <f t="shared" ref="X6:X35" si="22">X5</f>
        <v>2480</v>
      </c>
      <c r="Y6" s="52">
        <f t="shared" ref="Y6:Y32" si="23">X6-X5</f>
        <v>0</v>
      </c>
      <c r="Z6" s="537">
        <f t="shared" ref="Z6:Z35" si="24">Z5</f>
        <v>139172.20000000001</v>
      </c>
      <c r="AA6" s="65">
        <f t="shared" si="6"/>
        <v>0</v>
      </c>
      <c r="AB6" s="273">
        <f>SUM(Y6*$AB$2)</f>
        <v>0</v>
      </c>
      <c r="AC6" s="537">
        <f t="shared" ref="AC6:AC35" si="25">AC5</f>
        <v>1943</v>
      </c>
      <c r="AD6" s="45">
        <f t="shared" si="7"/>
        <v>0</v>
      </c>
      <c r="AE6" s="537">
        <f t="shared" ref="AE6:AE35" si="26">AE5</f>
        <v>366210</v>
      </c>
      <c r="AF6" s="293">
        <f t="shared" ref="AF6:AF32" si="27">AE6-AE5</f>
        <v>0</v>
      </c>
      <c r="AG6" s="209">
        <f>IF(AD6&gt;0,AF6/AD6,0)</f>
        <v>0</v>
      </c>
      <c r="AH6" s="62">
        <f>AF6+AA6</f>
        <v>0</v>
      </c>
      <c r="AI6" s="303">
        <f t="shared" ref="AI6:AI32" si="28">SUM(AH6+V6)</f>
        <v>0</v>
      </c>
      <c r="AJ6" s="303">
        <f>-tanks!AW7</f>
        <v>0</v>
      </c>
      <c r="AK6" s="303">
        <f t="shared" ref="AK6:AK32" si="29">SUM(AJ6-AI6)</f>
        <v>0</v>
      </c>
      <c r="AL6" s="303">
        <f t="shared" si="8"/>
        <v>0</v>
      </c>
      <c r="AM6" s="303">
        <f t="shared" ref="AM6:AM32" si="30">Y6+AD6</f>
        <v>0</v>
      </c>
      <c r="AN6" s="537">
        <f t="shared" si="9"/>
        <v>65</v>
      </c>
      <c r="AO6" s="305">
        <f t="shared" ref="AO6:AO26" si="31">(AN6/100)*3000</f>
        <v>1950</v>
      </c>
      <c r="AP6" s="537">
        <f t="shared" si="10"/>
        <v>55</v>
      </c>
      <c r="AQ6" s="305">
        <f t="shared" ref="AQ6:AQ24" si="32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4" si="33">IF(AV6&gt;0,AW6,AX5)</f>
        <v>0.8</v>
      </c>
    </row>
    <row r="7" spans="1:52">
      <c r="A7" s="63">
        <f>ELEC!C6</f>
        <v>44533</v>
      </c>
      <c r="B7" s="537">
        <f t="shared" ref="B7:B35" si="34">B6</f>
        <v>204</v>
      </c>
      <c r="C7" s="537">
        <f t="shared" ref="C7:C35" si="35">C6</f>
        <v>211</v>
      </c>
      <c r="D7" s="45">
        <f t="shared" ref="D7:D19" si="36">C6-C7</f>
        <v>0</v>
      </c>
      <c r="E7" s="45">
        <f t="shared" si="12"/>
        <v>0</v>
      </c>
      <c r="F7" s="537">
        <f t="shared" si="13"/>
        <v>1924</v>
      </c>
      <c r="G7" s="52">
        <f t="shared" si="0"/>
        <v>0</v>
      </c>
      <c r="H7" s="537">
        <f t="shared" si="14"/>
        <v>19613</v>
      </c>
      <c r="I7" s="380">
        <f t="shared" si="1"/>
        <v>0</v>
      </c>
      <c r="J7" s="66">
        <f t="shared" si="15"/>
        <v>0</v>
      </c>
      <c r="K7" s="537">
        <f t="shared" si="16"/>
        <v>2367</v>
      </c>
      <c r="L7" s="52">
        <f t="shared" si="17"/>
        <v>0</v>
      </c>
      <c r="M7" s="537">
        <f t="shared" si="18"/>
        <v>174784</v>
      </c>
      <c r="N7" s="380">
        <f t="shared" si="2"/>
        <v>0</v>
      </c>
      <c r="O7" s="64">
        <f t="shared" si="3"/>
        <v>1869</v>
      </c>
      <c r="P7" s="537">
        <f t="shared" si="3"/>
        <v>2137</v>
      </c>
      <c r="Q7" s="537">
        <f t="shared" si="3"/>
        <v>179335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19"/>
        <v>0</v>
      </c>
      <c r="V7" s="62">
        <f t="shared" si="20"/>
        <v>0</v>
      </c>
      <c r="W7" s="384" t="e">
        <f t="shared" si="21"/>
        <v>#DIV/0!</v>
      </c>
      <c r="X7" s="537">
        <f t="shared" si="22"/>
        <v>2480</v>
      </c>
      <c r="Y7" s="52">
        <f t="shared" si="23"/>
        <v>0</v>
      </c>
      <c r="Z7" s="537">
        <f t="shared" si="24"/>
        <v>139172.20000000001</v>
      </c>
      <c r="AA7" s="65">
        <f t="shared" si="6"/>
        <v>0</v>
      </c>
      <c r="AB7" s="273">
        <f t="shared" ref="AB7:AB17" si="38">SUM(Y7*$AB$2)</f>
        <v>0</v>
      </c>
      <c r="AC7" s="537">
        <f t="shared" si="25"/>
        <v>1943</v>
      </c>
      <c r="AD7" s="45">
        <f t="shared" si="7"/>
        <v>0</v>
      </c>
      <c r="AE7" s="537">
        <f t="shared" si="26"/>
        <v>366210</v>
      </c>
      <c r="AF7" s="293">
        <f t="shared" si="27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8"/>
        <v>0</v>
      </c>
      <c r="AJ7" s="303">
        <f>-tanks!AW8</f>
        <v>0</v>
      </c>
      <c r="AK7" s="303">
        <f t="shared" si="29"/>
        <v>0</v>
      </c>
      <c r="AL7" s="303">
        <f t="shared" si="8"/>
        <v>0</v>
      </c>
      <c r="AM7" s="303">
        <f t="shared" si="30"/>
        <v>0</v>
      </c>
      <c r="AN7" s="537">
        <f t="shared" si="9"/>
        <v>65</v>
      </c>
      <c r="AO7" s="305">
        <f t="shared" si="31"/>
        <v>1950</v>
      </c>
      <c r="AP7" s="537">
        <f t="shared" si="10"/>
        <v>55</v>
      </c>
      <c r="AQ7" s="305">
        <f t="shared" si="32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3"/>
        <v>0.8</v>
      </c>
      <c r="AZ7" s="42" t="s">
        <v>407</v>
      </c>
    </row>
    <row r="8" spans="1:52">
      <c r="A8" s="63">
        <f>ELEC!C7</f>
        <v>44534</v>
      </c>
      <c r="B8" s="537">
        <f t="shared" si="34"/>
        <v>204</v>
      </c>
      <c r="C8" s="537">
        <f t="shared" si="35"/>
        <v>211</v>
      </c>
      <c r="D8" s="45">
        <f t="shared" si="36"/>
        <v>0</v>
      </c>
      <c r="E8" s="45">
        <f t="shared" si="12"/>
        <v>0</v>
      </c>
      <c r="F8" s="537">
        <f t="shared" si="13"/>
        <v>1924</v>
      </c>
      <c r="G8" s="52">
        <f t="shared" si="0"/>
        <v>0</v>
      </c>
      <c r="H8" s="537">
        <f t="shared" si="14"/>
        <v>19613</v>
      </c>
      <c r="I8" s="380">
        <f t="shared" si="1"/>
        <v>0</v>
      </c>
      <c r="J8" s="66">
        <f t="shared" si="15"/>
        <v>0</v>
      </c>
      <c r="K8" s="537">
        <f t="shared" si="16"/>
        <v>2367</v>
      </c>
      <c r="L8" s="52">
        <f t="shared" si="17"/>
        <v>0</v>
      </c>
      <c r="M8" s="537">
        <f t="shared" si="18"/>
        <v>174784</v>
      </c>
      <c r="N8" s="380">
        <f t="shared" si="2"/>
        <v>0</v>
      </c>
      <c r="O8" s="64">
        <f t="shared" si="3"/>
        <v>1869</v>
      </c>
      <c r="P8" s="537">
        <f t="shared" si="3"/>
        <v>2137</v>
      </c>
      <c r="Q8" s="537">
        <f t="shared" si="3"/>
        <v>179335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19"/>
        <v>0</v>
      </c>
      <c r="V8" s="62">
        <v>0</v>
      </c>
      <c r="W8" s="384" t="e">
        <f t="shared" si="21"/>
        <v>#DIV/0!</v>
      </c>
      <c r="X8" s="537">
        <f t="shared" si="22"/>
        <v>2480</v>
      </c>
      <c r="Y8" s="52">
        <f t="shared" si="23"/>
        <v>0</v>
      </c>
      <c r="Z8" s="537">
        <f t="shared" si="24"/>
        <v>139172.20000000001</v>
      </c>
      <c r="AA8" s="65">
        <f t="shared" si="6"/>
        <v>0</v>
      </c>
      <c r="AB8" s="273">
        <f t="shared" si="38"/>
        <v>0</v>
      </c>
      <c r="AC8" s="537">
        <f t="shared" si="25"/>
        <v>1943</v>
      </c>
      <c r="AD8" s="45">
        <f t="shared" si="7"/>
        <v>0</v>
      </c>
      <c r="AE8" s="537">
        <f t="shared" si="26"/>
        <v>366210</v>
      </c>
      <c r="AF8" s="293">
        <f t="shared" si="27"/>
        <v>0</v>
      </c>
      <c r="AG8" s="209">
        <f t="shared" si="39"/>
        <v>0</v>
      </c>
      <c r="AH8" s="62">
        <f t="shared" si="40"/>
        <v>0</v>
      </c>
      <c r="AI8" s="303">
        <f t="shared" si="28"/>
        <v>0</v>
      </c>
      <c r="AJ8" s="303">
        <f>-tanks!AW9</f>
        <v>0</v>
      </c>
      <c r="AK8" s="303">
        <f t="shared" si="29"/>
        <v>0</v>
      </c>
      <c r="AL8" s="303">
        <f t="shared" si="8"/>
        <v>0</v>
      </c>
      <c r="AM8" s="303">
        <f t="shared" si="30"/>
        <v>0</v>
      </c>
      <c r="AN8" s="537">
        <f t="shared" si="9"/>
        <v>65</v>
      </c>
      <c r="AO8" s="305">
        <f t="shared" si="31"/>
        <v>1950</v>
      </c>
      <c r="AP8" s="537">
        <f t="shared" si="10"/>
        <v>55</v>
      </c>
      <c r="AQ8" s="305">
        <f t="shared" si="32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3"/>
        <v>0.8</v>
      </c>
    </row>
    <row r="9" spans="1:52" ht="15.75" customHeight="1">
      <c r="A9" s="63">
        <f>ELEC!C8</f>
        <v>44535</v>
      </c>
      <c r="B9" s="537">
        <v>236</v>
      </c>
      <c r="C9" s="537">
        <v>241</v>
      </c>
      <c r="D9" s="45">
        <f t="shared" si="36"/>
        <v>-30</v>
      </c>
      <c r="E9" s="45">
        <f t="shared" si="12"/>
        <v>-251.40000000000003</v>
      </c>
      <c r="F9" s="537">
        <v>1926</v>
      </c>
      <c r="G9" s="52">
        <f t="shared" si="0"/>
        <v>2</v>
      </c>
      <c r="H9" s="537">
        <v>19806</v>
      </c>
      <c r="I9" s="380">
        <f t="shared" si="1"/>
        <v>193</v>
      </c>
      <c r="J9" s="66">
        <f t="shared" si="15"/>
        <v>96.5</v>
      </c>
      <c r="K9" s="537">
        <f t="shared" si="16"/>
        <v>2367</v>
      </c>
      <c r="L9" s="52">
        <f t="shared" si="17"/>
        <v>0</v>
      </c>
      <c r="M9" s="537">
        <f t="shared" si="18"/>
        <v>174784</v>
      </c>
      <c r="N9" s="380">
        <f t="shared" si="2"/>
        <v>0</v>
      </c>
      <c r="O9" s="64">
        <f t="shared" si="3"/>
        <v>1869</v>
      </c>
      <c r="P9" s="537">
        <f t="shared" si="3"/>
        <v>2137</v>
      </c>
      <c r="Q9" s="537">
        <f t="shared" si="3"/>
        <v>179335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19"/>
        <v>2</v>
      </c>
      <c r="V9" s="62">
        <f t="shared" si="20"/>
        <v>193</v>
      </c>
      <c r="W9" s="384">
        <f t="shared" si="21"/>
        <v>96.5</v>
      </c>
      <c r="X9" s="537">
        <f t="shared" si="22"/>
        <v>2480</v>
      </c>
      <c r="Y9" s="52">
        <f t="shared" si="23"/>
        <v>0</v>
      </c>
      <c r="Z9" s="537">
        <f t="shared" si="24"/>
        <v>139172.20000000001</v>
      </c>
      <c r="AA9" s="65">
        <f t="shared" si="6"/>
        <v>0</v>
      </c>
      <c r="AB9" s="273">
        <f t="shared" si="38"/>
        <v>0</v>
      </c>
      <c r="AC9" s="537">
        <f t="shared" si="25"/>
        <v>1943</v>
      </c>
      <c r="AD9" s="45">
        <f t="shared" si="7"/>
        <v>0</v>
      </c>
      <c r="AE9" s="537">
        <f t="shared" si="26"/>
        <v>366210</v>
      </c>
      <c r="AF9" s="293">
        <f t="shared" si="27"/>
        <v>0</v>
      </c>
      <c r="AG9" s="209">
        <f t="shared" si="39"/>
        <v>0</v>
      </c>
      <c r="AH9" s="62">
        <f t="shared" si="40"/>
        <v>0</v>
      </c>
      <c r="AI9" s="303">
        <f t="shared" si="28"/>
        <v>193</v>
      </c>
      <c r="AJ9" s="303">
        <f>-tanks!AW10</f>
        <v>193</v>
      </c>
      <c r="AK9" s="303">
        <f t="shared" si="29"/>
        <v>0</v>
      </c>
      <c r="AL9" s="303">
        <f t="shared" si="8"/>
        <v>2</v>
      </c>
      <c r="AM9" s="303">
        <f t="shared" si="30"/>
        <v>0</v>
      </c>
      <c r="AN9" s="537">
        <f t="shared" si="9"/>
        <v>65</v>
      </c>
      <c r="AO9" s="305">
        <f t="shared" si="31"/>
        <v>1950</v>
      </c>
      <c r="AP9" s="537">
        <f t="shared" si="10"/>
        <v>55</v>
      </c>
      <c r="AQ9" s="305">
        <f t="shared" si="32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3"/>
        <v>0.8</v>
      </c>
    </row>
    <row r="10" spans="1:52">
      <c r="A10" s="63">
        <f>ELEC!C9</f>
        <v>44536</v>
      </c>
      <c r="B10" s="537">
        <v>229</v>
      </c>
      <c r="C10" s="537">
        <v>239</v>
      </c>
      <c r="D10" s="45">
        <f t="shared" si="36"/>
        <v>2</v>
      </c>
      <c r="E10" s="45">
        <f t="shared" si="12"/>
        <v>16.760000000000002</v>
      </c>
      <c r="F10" s="537">
        <v>1928</v>
      </c>
      <c r="G10" s="52">
        <f t="shared" si="0"/>
        <v>2</v>
      </c>
      <c r="H10" s="537">
        <v>19916</v>
      </c>
      <c r="I10" s="380">
        <f t="shared" si="1"/>
        <v>110</v>
      </c>
      <c r="J10" s="66">
        <f t="shared" si="15"/>
        <v>55</v>
      </c>
      <c r="K10" s="537">
        <f t="shared" si="16"/>
        <v>2367</v>
      </c>
      <c r="L10" s="52">
        <f t="shared" si="17"/>
        <v>0</v>
      </c>
      <c r="M10" s="537">
        <f t="shared" si="18"/>
        <v>174784</v>
      </c>
      <c r="N10" s="380">
        <f t="shared" si="2"/>
        <v>0</v>
      </c>
      <c r="O10" s="64">
        <f t="shared" si="3"/>
        <v>1869</v>
      </c>
      <c r="P10" s="537">
        <f t="shared" si="3"/>
        <v>2137</v>
      </c>
      <c r="Q10" s="537">
        <f t="shared" si="3"/>
        <v>179335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19"/>
        <v>2</v>
      </c>
      <c r="V10" s="62">
        <f t="shared" si="20"/>
        <v>110</v>
      </c>
      <c r="W10" s="384">
        <f t="shared" si="21"/>
        <v>55</v>
      </c>
      <c r="X10" s="537">
        <f t="shared" si="22"/>
        <v>2480</v>
      </c>
      <c r="Y10" s="52">
        <f t="shared" si="23"/>
        <v>0</v>
      </c>
      <c r="Z10" s="537">
        <f t="shared" si="24"/>
        <v>139172.20000000001</v>
      </c>
      <c r="AA10" s="65">
        <f t="shared" si="6"/>
        <v>0</v>
      </c>
      <c r="AB10" s="273">
        <f t="shared" si="38"/>
        <v>0</v>
      </c>
      <c r="AC10" s="537">
        <f t="shared" si="25"/>
        <v>1943</v>
      </c>
      <c r="AD10" s="45">
        <f t="shared" si="7"/>
        <v>0</v>
      </c>
      <c r="AE10" s="537">
        <f t="shared" si="26"/>
        <v>366210</v>
      </c>
      <c r="AF10" s="293">
        <f t="shared" si="27"/>
        <v>0</v>
      </c>
      <c r="AG10" s="209">
        <f t="shared" si="39"/>
        <v>0</v>
      </c>
      <c r="AH10" s="62">
        <f t="shared" si="40"/>
        <v>0</v>
      </c>
      <c r="AI10" s="303">
        <f>SUM(AH10+V10)</f>
        <v>110</v>
      </c>
      <c r="AJ10" s="303">
        <f>-tanks!AW11</f>
        <v>110</v>
      </c>
      <c r="AK10" s="303">
        <f t="shared" si="29"/>
        <v>0</v>
      </c>
      <c r="AL10" s="303">
        <f t="shared" si="8"/>
        <v>2</v>
      </c>
      <c r="AM10" s="303">
        <f t="shared" si="30"/>
        <v>0</v>
      </c>
      <c r="AN10" s="537">
        <f t="shared" si="9"/>
        <v>65</v>
      </c>
      <c r="AO10" s="305">
        <f t="shared" si="31"/>
        <v>1950</v>
      </c>
      <c r="AP10" s="537">
        <f t="shared" si="10"/>
        <v>55</v>
      </c>
      <c r="AQ10" s="305">
        <f t="shared" si="32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3"/>
        <v>0.8</v>
      </c>
    </row>
    <row r="11" spans="1:52">
      <c r="A11" s="63">
        <f>ELEC!C10</f>
        <v>44537</v>
      </c>
      <c r="B11" s="537">
        <v>221</v>
      </c>
      <c r="C11" s="537">
        <v>226</v>
      </c>
      <c r="D11" s="45">
        <f t="shared" si="36"/>
        <v>13</v>
      </c>
      <c r="E11" s="45">
        <f t="shared" si="12"/>
        <v>108.94000000000001</v>
      </c>
      <c r="F11" s="537">
        <v>1929</v>
      </c>
      <c r="G11" s="52">
        <f t="shared" si="0"/>
        <v>1</v>
      </c>
      <c r="H11" s="537">
        <v>20035</v>
      </c>
      <c r="I11" s="380">
        <f t="shared" si="1"/>
        <v>119</v>
      </c>
      <c r="J11" s="66">
        <f t="shared" si="15"/>
        <v>119</v>
      </c>
      <c r="K11" s="537">
        <f t="shared" si="16"/>
        <v>2367</v>
      </c>
      <c r="L11" s="52">
        <f t="shared" si="17"/>
        <v>0</v>
      </c>
      <c r="M11" s="537">
        <f t="shared" si="18"/>
        <v>174784</v>
      </c>
      <c r="N11" s="380">
        <f t="shared" si="2"/>
        <v>0</v>
      </c>
      <c r="O11" s="64">
        <f t="shared" si="3"/>
        <v>1869</v>
      </c>
      <c r="P11" s="537">
        <f t="shared" si="3"/>
        <v>2137</v>
      </c>
      <c r="Q11" s="537">
        <f t="shared" si="3"/>
        <v>179335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19"/>
        <v>1</v>
      </c>
      <c r="V11" s="62">
        <f t="shared" si="20"/>
        <v>119</v>
      </c>
      <c r="W11" s="384">
        <f t="shared" si="21"/>
        <v>119</v>
      </c>
      <c r="X11" s="537">
        <f t="shared" si="22"/>
        <v>2480</v>
      </c>
      <c r="Y11" s="52">
        <f t="shared" si="23"/>
        <v>0</v>
      </c>
      <c r="Z11" s="537">
        <f t="shared" si="24"/>
        <v>139172.20000000001</v>
      </c>
      <c r="AA11" s="65">
        <f t="shared" si="6"/>
        <v>0</v>
      </c>
      <c r="AB11" s="273">
        <f t="shared" si="38"/>
        <v>0</v>
      </c>
      <c r="AC11" s="537">
        <f t="shared" si="25"/>
        <v>1943</v>
      </c>
      <c r="AD11" s="45">
        <f t="shared" si="7"/>
        <v>0</v>
      </c>
      <c r="AE11" s="537">
        <f t="shared" si="26"/>
        <v>366210</v>
      </c>
      <c r="AF11" s="293">
        <f t="shared" si="27"/>
        <v>0</v>
      </c>
      <c r="AG11" s="209">
        <f t="shared" si="39"/>
        <v>0</v>
      </c>
      <c r="AH11" s="62">
        <f>AF11+AA11</f>
        <v>0</v>
      </c>
      <c r="AI11" s="303">
        <f>SUM(AH11+V11)</f>
        <v>119</v>
      </c>
      <c r="AJ11" s="303">
        <f>-tanks!AW12</f>
        <v>119</v>
      </c>
      <c r="AK11" s="303">
        <f t="shared" si="29"/>
        <v>0</v>
      </c>
      <c r="AL11" s="303">
        <f t="shared" si="8"/>
        <v>1</v>
      </c>
      <c r="AM11" s="303">
        <f t="shared" si="30"/>
        <v>0</v>
      </c>
      <c r="AN11" s="537">
        <f t="shared" si="9"/>
        <v>65</v>
      </c>
      <c r="AO11" s="305">
        <f t="shared" si="31"/>
        <v>1950</v>
      </c>
      <c r="AP11" s="537">
        <f t="shared" si="10"/>
        <v>55</v>
      </c>
      <c r="AQ11" s="305">
        <f t="shared" si="32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3"/>
        <v>0.8</v>
      </c>
    </row>
    <row r="12" spans="1:52">
      <c r="A12" s="63">
        <f>ELEC!C11</f>
        <v>44538</v>
      </c>
      <c r="B12" s="537">
        <v>214</v>
      </c>
      <c r="C12" s="537">
        <v>221</v>
      </c>
      <c r="D12" s="45">
        <f t="shared" si="36"/>
        <v>5</v>
      </c>
      <c r="E12" s="45">
        <f t="shared" si="12"/>
        <v>41.900000000000006</v>
      </c>
      <c r="F12" s="537">
        <v>1930</v>
      </c>
      <c r="G12" s="52">
        <f t="shared" si="0"/>
        <v>1</v>
      </c>
      <c r="H12" s="537">
        <v>20124</v>
      </c>
      <c r="I12" s="380">
        <f t="shared" si="1"/>
        <v>89</v>
      </c>
      <c r="J12" s="66">
        <f t="shared" si="15"/>
        <v>89</v>
      </c>
      <c r="K12" s="537">
        <f t="shared" si="16"/>
        <v>2367</v>
      </c>
      <c r="L12" s="52">
        <f t="shared" si="17"/>
        <v>0</v>
      </c>
      <c r="M12" s="537">
        <f t="shared" si="18"/>
        <v>174784</v>
      </c>
      <c r="N12" s="380">
        <f t="shared" si="2"/>
        <v>0</v>
      </c>
      <c r="O12" s="64">
        <f t="shared" si="3"/>
        <v>1869</v>
      </c>
      <c r="P12" s="537">
        <f t="shared" si="3"/>
        <v>2137</v>
      </c>
      <c r="Q12" s="537">
        <f t="shared" si="3"/>
        <v>179335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9"/>
        <v>1</v>
      </c>
      <c r="V12" s="62">
        <v>0</v>
      </c>
      <c r="W12" s="384">
        <f t="shared" si="21"/>
        <v>0</v>
      </c>
      <c r="X12" s="537">
        <f t="shared" si="22"/>
        <v>2480</v>
      </c>
      <c r="Y12" s="52">
        <f t="shared" si="23"/>
        <v>0</v>
      </c>
      <c r="Z12" s="537">
        <f t="shared" si="24"/>
        <v>139172.20000000001</v>
      </c>
      <c r="AA12" s="65">
        <f t="shared" si="6"/>
        <v>0</v>
      </c>
      <c r="AB12" s="273">
        <f t="shared" si="38"/>
        <v>0</v>
      </c>
      <c r="AC12" s="537">
        <f t="shared" si="25"/>
        <v>1943</v>
      </c>
      <c r="AD12" s="45">
        <f t="shared" si="7"/>
        <v>0</v>
      </c>
      <c r="AE12" s="537">
        <f t="shared" si="26"/>
        <v>366210</v>
      </c>
      <c r="AF12" s="293">
        <f t="shared" si="27"/>
        <v>0</v>
      </c>
      <c r="AG12" s="209">
        <f t="shared" si="39"/>
        <v>0</v>
      </c>
      <c r="AH12" s="62">
        <f t="shared" si="40"/>
        <v>0</v>
      </c>
      <c r="AI12" s="303">
        <f t="shared" si="28"/>
        <v>0</v>
      </c>
      <c r="AJ12" s="303">
        <f>-tanks!AW13</f>
        <v>0</v>
      </c>
      <c r="AK12" s="303">
        <f t="shared" si="29"/>
        <v>0</v>
      </c>
      <c r="AL12" s="303">
        <f t="shared" si="8"/>
        <v>1</v>
      </c>
      <c r="AM12" s="303">
        <f t="shared" si="30"/>
        <v>0</v>
      </c>
      <c r="AN12" s="537">
        <f t="shared" si="9"/>
        <v>65</v>
      </c>
      <c r="AO12" s="305">
        <f t="shared" si="31"/>
        <v>1950</v>
      </c>
      <c r="AP12" s="537">
        <f t="shared" si="10"/>
        <v>55</v>
      </c>
      <c r="AQ12" s="305">
        <f t="shared" si="32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3"/>
        <v>0.8</v>
      </c>
    </row>
    <row r="13" spans="1:52">
      <c r="A13" s="63">
        <f>ELEC!C12</f>
        <v>44539</v>
      </c>
      <c r="B13" s="537">
        <v>207</v>
      </c>
      <c r="C13" s="537">
        <v>214</v>
      </c>
      <c r="D13" s="45">
        <f t="shared" si="36"/>
        <v>7</v>
      </c>
      <c r="E13" s="45">
        <f t="shared" si="12"/>
        <v>58.660000000000004</v>
      </c>
      <c r="F13" s="537">
        <v>1931</v>
      </c>
      <c r="G13" s="52">
        <f t="shared" si="0"/>
        <v>1</v>
      </c>
      <c r="H13" s="537">
        <v>20194</v>
      </c>
      <c r="I13" s="380">
        <f t="shared" si="1"/>
        <v>70</v>
      </c>
      <c r="J13" s="66">
        <f t="shared" si="15"/>
        <v>70</v>
      </c>
      <c r="K13" s="537">
        <f t="shared" si="16"/>
        <v>2367</v>
      </c>
      <c r="L13" s="52">
        <f t="shared" si="17"/>
        <v>0</v>
      </c>
      <c r="M13" s="537">
        <f t="shared" si="18"/>
        <v>174784</v>
      </c>
      <c r="N13" s="380">
        <f t="shared" si="2"/>
        <v>0</v>
      </c>
      <c r="O13" s="64">
        <f t="shared" si="3"/>
        <v>1869</v>
      </c>
      <c r="P13" s="537">
        <f t="shared" si="3"/>
        <v>2137</v>
      </c>
      <c r="Q13" s="537">
        <f t="shared" si="3"/>
        <v>179335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9"/>
        <v>1</v>
      </c>
      <c r="V13" s="62">
        <v>0</v>
      </c>
      <c r="W13" s="384">
        <f t="shared" si="21"/>
        <v>0</v>
      </c>
      <c r="X13" s="537">
        <f t="shared" si="22"/>
        <v>2480</v>
      </c>
      <c r="Y13" s="52">
        <f t="shared" si="23"/>
        <v>0</v>
      </c>
      <c r="Z13" s="537">
        <f t="shared" si="24"/>
        <v>139172.20000000001</v>
      </c>
      <c r="AA13" s="273">
        <f t="shared" si="6"/>
        <v>0</v>
      </c>
      <c r="AB13" s="273">
        <f t="shared" si="38"/>
        <v>0</v>
      </c>
      <c r="AC13" s="537">
        <f t="shared" si="25"/>
        <v>1943</v>
      </c>
      <c r="AD13" s="45">
        <f t="shared" si="7"/>
        <v>0</v>
      </c>
      <c r="AE13" s="537">
        <f t="shared" si="26"/>
        <v>366210</v>
      </c>
      <c r="AF13" s="293">
        <f t="shared" si="27"/>
        <v>0</v>
      </c>
      <c r="AG13" s="209">
        <f t="shared" si="39"/>
        <v>0</v>
      </c>
      <c r="AH13" s="62">
        <f t="shared" si="40"/>
        <v>0</v>
      </c>
      <c r="AI13" s="303">
        <f t="shared" si="28"/>
        <v>0</v>
      </c>
      <c r="AJ13" s="303">
        <f>-tanks!AW14</f>
        <v>0</v>
      </c>
      <c r="AK13" s="303">
        <f t="shared" si="29"/>
        <v>0</v>
      </c>
      <c r="AL13" s="303">
        <f t="shared" si="8"/>
        <v>1</v>
      </c>
      <c r="AM13" s="303">
        <f t="shared" si="30"/>
        <v>0</v>
      </c>
      <c r="AN13" s="537">
        <f t="shared" si="9"/>
        <v>65</v>
      </c>
      <c r="AO13" s="305">
        <f t="shared" si="31"/>
        <v>1950</v>
      </c>
      <c r="AP13" s="537">
        <f t="shared" si="10"/>
        <v>55</v>
      </c>
      <c r="AQ13" s="305">
        <f t="shared" si="32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3"/>
        <v>0.8</v>
      </c>
    </row>
    <row r="14" spans="1:52">
      <c r="A14" s="63">
        <f>ELEC!C13</f>
        <v>44540</v>
      </c>
      <c r="B14" s="537">
        <f t="shared" si="34"/>
        <v>207</v>
      </c>
      <c r="C14" s="537">
        <f t="shared" si="35"/>
        <v>214</v>
      </c>
      <c r="D14" s="45">
        <f t="shared" si="36"/>
        <v>0</v>
      </c>
      <c r="E14" s="45">
        <f t="shared" si="12"/>
        <v>0</v>
      </c>
      <c r="F14" s="537">
        <f t="shared" si="13"/>
        <v>1931</v>
      </c>
      <c r="G14" s="52">
        <f t="shared" si="0"/>
        <v>0</v>
      </c>
      <c r="H14" s="537">
        <f t="shared" si="14"/>
        <v>20194</v>
      </c>
      <c r="I14" s="380">
        <f t="shared" si="1"/>
        <v>0</v>
      </c>
      <c r="J14" s="66">
        <f t="shared" si="15"/>
        <v>0</v>
      </c>
      <c r="K14" s="537">
        <f t="shared" si="16"/>
        <v>2367</v>
      </c>
      <c r="L14" s="52">
        <f t="shared" si="17"/>
        <v>0</v>
      </c>
      <c r="M14" s="537">
        <f t="shared" si="18"/>
        <v>174784</v>
      </c>
      <c r="N14" s="380">
        <f t="shared" si="2"/>
        <v>0</v>
      </c>
      <c r="O14" s="64">
        <f t="shared" si="3"/>
        <v>1869</v>
      </c>
      <c r="P14" s="537">
        <f t="shared" si="3"/>
        <v>2137</v>
      </c>
      <c r="Q14" s="537">
        <f t="shared" si="3"/>
        <v>179335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19"/>
        <v>0</v>
      </c>
      <c r="V14" s="62">
        <f t="shared" si="20"/>
        <v>0</v>
      </c>
      <c r="W14" s="384" t="e">
        <f t="shared" si="21"/>
        <v>#DIV/0!</v>
      </c>
      <c r="X14" s="537">
        <f t="shared" si="22"/>
        <v>2480</v>
      </c>
      <c r="Y14" s="52">
        <f t="shared" si="23"/>
        <v>0</v>
      </c>
      <c r="Z14" s="537">
        <f t="shared" si="24"/>
        <v>139172.20000000001</v>
      </c>
      <c r="AA14" s="65">
        <f t="shared" si="6"/>
        <v>0</v>
      </c>
      <c r="AB14" s="273">
        <f t="shared" si="38"/>
        <v>0</v>
      </c>
      <c r="AC14" s="537">
        <f t="shared" si="25"/>
        <v>1943</v>
      </c>
      <c r="AD14" s="45">
        <f t="shared" si="7"/>
        <v>0</v>
      </c>
      <c r="AE14" s="537">
        <f t="shared" si="26"/>
        <v>366210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9"/>
        <v>0</v>
      </c>
      <c r="AL14" s="303">
        <f t="shared" si="8"/>
        <v>0</v>
      </c>
      <c r="AM14" s="303">
        <f t="shared" si="30"/>
        <v>0</v>
      </c>
      <c r="AN14" s="537">
        <f t="shared" si="9"/>
        <v>65</v>
      </c>
      <c r="AO14" s="305">
        <f t="shared" si="31"/>
        <v>1950</v>
      </c>
      <c r="AP14" s="537">
        <f t="shared" si="10"/>
        <v>55</v>
      </c>
      <c r="AQ14" s="305">
        <f t="shared" si="32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3"/>
        <v>0.8</v>
      </c>
    </row>
    <row r="15" spans="1:52" ht="15" customHeight="1">
      <c r="A15" s="63">
        <f>ELEC!C14</f>
        <v>44541</v>
      </c>
      <c r="B15" s="537">
        <f t="shared" si="34"/>
        <v>207</v>
      </c>
      <c r="C15" s="537">
        <f t="shared" si="35"/>
        <v>214</v>
      </c>
      <c r="D15" s="45">
        <f t="shared" si="36"/>
        <v>0</v>
      </c>
      <c r="E15" s="45">
        <f t="shared" si="12"/>
        <v>0</v>
      </c>
      <c r="F15" s="537">
        <f t="shared" si="13"/>
        <v>1931</v>
      </c>
      <c r="G15" s="52">
        <f t="shared" si="0"/>
        <v>0</v>
      </c>
      <c r="H15" s="537">
        <f t="shared" si="14"/>
        <v>20194</v>
      </c>
      <c r="I15" s="380">
        <f t="shared" si="1"/>
        <v>0</v>
      </c>
      <c r="J15" s="66">
        <f t="shared" si="15"/>
        <v>0</v>
      </c>
      <c r="K15" s="537">
        <f t="shared" si="16"/>
        <v>2367</v>
      </c>
      <c r="L15" s="52">
        <f t="shared" si="17"/>
        <v>0</v>
      </c>
      <c r="M15" s="537">
        <f t="shared" si="18"/>
        <v>174784</v>
      </c>
      <c r="N15" s="380">
        <f t="shared" si="2"/>
        <v>0</v>
      </c>
      <c r="O15" s="64">
        <f t="shared" si="3"/>
        <v>1869</v>
      </c>
      <c r="P15" s="537">
        <f t="shared" si="3"/>
        <v>2137</v>
      </c>
      <c r="Q15" s="537">
        <f t="shared" si="3"/>
        <v>179335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19"/>
        <v>0</v>
      </c>
      <c r="V15" s="62">
        <f t="shared" si="20"/>
        <v>0</v>
      </c>
      <c r="W15" s="384" t="e">
        <f t="shared" si="21"/>
        <v>#DIV/0!</v>
      </c>
      <c r="X15" s="537">
        <f t="shared" si="22"/>
        <v>2480</v>
      </c>
      <c r="Y15" s="52">
        <f t="shared" si="23"/>
        <v>0</v>
      </c>
      <c r="Z15" s="537">
        <f t="shared" si="24"/>
        <v>139172.20000000001</v>
      </c>
      <c r="AA15" s="65">
        <f t="shared" si="6"/>
        <v>0</v>
      </c>
      <c r="AB15" s="273">
        <f t="shared" si="38"/>
        <v>0</v>
      </c>
      <c r="AC15" s="537">
        <f t="shared" si="25"/>
        <v>1943</v>
      </c>
      <c r="AD15" s="45">
        <f t="shared" si="7"/>
        <v>0</v>
      </c>
      <c r="AE15" s="537">
        <f t="shared" si="26"/>
        <v>366210</v>
      </c>
      <c r="AF15" s="293">
        <f t="shared" si="27"/>
        <v>0</v>
      </c>
      <c r="AG15" s="209">
        <f t="shared" si="39"/>
        <v>0</v>
      </c>
      <c r="AH15" s="62">
        <f t="shared" si="40"/>
        <v>0</v>
      </c>
      <c r="AI15" s="303">
        <f t="shared" si="28"/>
        <v>0</v>
      </c>
      <c r="AJ15" s="303">
        <f>-tanks!AW16</f>
        <v>0</v>
      </c>
      <c r="AK15" s="303">
        <f t="shared" si="29"/>
        <v>0</v>
      </c>
      <c r="AL15" s="303">
        <f t="shared" si="8"/>
        <v>0</v>
      </c>
      <c r="AM15" s="303">
        <f t="shared" si="30"/>
        <v>0</v>
      </c>
      <c r="AN15" s="537">
        <f t="shared" si="9"/>
        <v>65</v>
      </c>
      <c r="AO15" s="305">
        <f t="shared" si="31"/>
        <v>1950</v>
      </c>
      <c r="AP15" s="537">
        <f t="shared" si="10"/>
        <v>55</v>
      </c>
      <c r="AQ15" s="305">
        <f t="shared" si="32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3"/>
        <v>0.8</v>
      </c>
    </row>
    <row r="16" spans="1:52">
      <c r="A16" s="63">
        <f>ELEC!C15</f>
        <v>44542</v>
      </c>
      <c r="B16" s="537">
        <v>202</v>
      </c>
      <c r="C16" s="537">
        <v>208</v>
      </c>
      <c r="D16" s="45">
        <f t="shared" si="36"/>
        <v>6</v>
      </c>
      <c r="E16" s="45">
        <f t="shared" si="12"/>
        <v>50.28</v>
      </c>
      <c r="F16" s="537">
        <v>1933</v>
      </c>
      <c r="G16" s="52">
        <f t="shared" si="0"/>
        <v>2</v>
      </c>
      <c r="H16" s="537">
        <v>20312</v>
      </c>
      <c r="I16" s="380">
        <f t="shared" si="1"/>
        <v>118</v>
      </c>
      <c r="J16" s="66">
        <f t="shared" si="15"/>
        <v>59</v>
      </c>
      <c r="K16" s="537">
        <f t="shared" si="16"/>
        <v>2367</v>
      </c>
      <c r="L16" s="52">
        <f t="shared" si="17"/>
        <v>0</v>
      </c>
      <c r="M16" s="537">
        <f t="shared" si="18"/>
        <v>174784</v>
      </c>
      <c r="N16" s="380">
        <f t="shared" si="2"/>
        <v>0</v>
      </c>
      <c r="O16" s="64">
        <f t="shared" si="3"/>
        <v>1869</v>
      </c>
      <c r="P16" s="537">
        <f t="shared" si="3"/>
        <v>2137</v>
      </c>
      <c r="Q16" s="537">
        <f t="shared" si="3"/>
        <v>179335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19"/>
        <v>2</v>
      </c>
      <c r="V16" s="62">
        <f t="shared" si="20"/>
        <v>118</v>
      </c>
      <c r="W16" s="384">
        <f t="shared" si="21"/>
        <v>59</v>
      </c>
      <c r="X16" s="537">
        <f t="shared" si="22"/>
        <v>2480</v>
      </c>
      <c r="Y16" s="52">
        <f t="shared" si="23"/>
        <v>0</v>
      </c>
      <c r="Z16" s="537">
        <f t="shared" si="24"/>
        <v>139172.20000000001</v>
      </c>
      <c r="AA16" s="65">
        <f t="shared" si="6"/>
        <v>0</v>
      </c>
      <c r="AB16" s="273">
        <f t="shared" si="38"/>
        <v>0</v>
      </c>
      <c r="AC16" s="537">
        <f t="shared" si="25"/>
        <v>1943</v>
      </c>
      <c r="AD16" s="45">
        <f t="shared" si="7"/>
        <v>0</v>
      </c>
      <c r="AE16" s="537">
        <f t="shared" si="26"/>
        <v>366210</v>
      </c>
      <c r="AF16" s="293">
        <f t="shared" si="27"/>
        <v>0</v>
      </c>
      <c r="AG16" s="209">
        <f t="shared" si="39"/>
        <v>0</v>
      </c>
      <c r="AH16" s="62">
        <f t="shared" si="40"/>
        <v>0</v>
      </c>
      <c r="AI16" s="303">
        <f t="shared" si="28"/>
        <v>118</v>
      </c>
      <c r="AJ16" s="303">
        <f>-tanks!AW17</f>
        <v>118</v>
      </c>
      <c r="AK16" s="303">
        <f t="shared" si="29"/>
        <v>0</v>
      </c>
      <c r="AL16" s="303">
        <f t="shared" si="8"/>
        <v>2</v>
      </c>
      <c r="AM16" s="303">
        <f t="shared" si="30"/>
        <v>0</v>
      </c>
      <c r="AN16" s="537">
        <f t="shared" si="9"/>
        <v>65</v>
      </c>
      <c r="AO16" s="305">
        <f t="shared" si="31"/>
        <v>1950</v>
      </c>
      <c r="AP16" s="537">
        <f t="shared" si="10"/>
        <v>55</v>
      </c>
      <c r="AQ16" s="305">
        <f t="shared" si="32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3"/>
        <v>0.8</v>
      </c>
    </row>
    <row r="17" spans="1:50">
      <c r="A17" s="63">
        <f>ELEC!C16</f>
        <v>44543</v>
      </c>
      <c r="B17" s="537">
        <v>195</v>
      </c>
      <c r="C17" s="537">
        <v>202</v>
      </c>
      <c r="D17" s="45">
        <f t="shared" si="36"/>
        <v>6</v>
      </c>
      <c r="E17" s="45">
        <f t="shared" si="12"/>
        <v>50.28</v>
      </c>
      <c r="F17" s="537">
        <v>1934</v>
      </c>
      <c r="G17" s="52">
        <f t="shared" si="0"/>
        <v>1</v>
      </c>
      <c r="H17" s="537">
        <v>20372</v>
      </c>
      <c r="I17" s="380">
        <f t="shared" si="1"/>
        <v>60</v>
      </c>
      <c r="J17" s="66">
        <f t="shared" si="15"/>
        <v>60</v>
      </c>
      <c r="K17" s="537">
        <v>2368</v>
      </c>
      <c r="L17" s="52">
        <f t="shared" si="17"/>
        <v>1</v>
      </c>
      <c r="M17" s="537">
        <v>174856</v>
      </c>
      <c r="N17" s="380">
        <f t="shared" si="2"/>
        <v>72</v>
      </c>
      <c r="O17" s="64">
        <f t="shared" si="3"/>
        <v>1869</v>
      </c>
      <c r="P17" s="537">
        <v>2138</v>
      </c>
      <c r="Q17" s="537">
        <v>179372</v>
      </c>
      <c r="R17" s="379">
        <f t="shared" si="44"/>
        <v>37</v>
      </c>
      <c r="S17" s="52">
        <f t="shared" si="5"/>
        <v>1</v>
      </c>
      <c r="T17" s="67">
        <f t="shared" si="37"/>
        <v>0</v>
      </c>
      <c r="U17" s="386">
        <f t="shared" si="19"/>
        <v>3</v>
      </c>
      <c r="V17" s="62">
        <f t="shared" si="20"/>
        <v>169</v>
      </c>
      <c r="W17" s="384"/>
      <c r="X17" s="537">
        <f t="shared" si="22"/>
        <v>2480</v>
      </c>
      <c r="Y17" s="52">
        <f t="shared" si="23"/>
        <v>0</v>
      </c>
      <c r="Z17" s="537">
        <f t="shared" si="24"/>
        <v>139172.20000000001</v>
      </c>
      <c r="AA17" s="65">
        <f t="shared" si="6"/>
        <v>0</v>
      </c>
      <c r="AB17" s="273">
        <f t="shared" si="38"/>
        <v>0</v>
      </c>
      <c r="AC17" s="537">
        <f t="shared" si="25"/>
        <v>1943</v>
      </c>
      <c r="AD17" s="45">
        <f t="shared" si="7"/>
        <v>0</v>
      </c>
      <c r="AE17" s="537">
        <f t="shared" si="26"/>
        <v>366210</v>
      </c>
      <c r="AF17" s="293">
        <f t="shared" si="27"/>
        <v>0</v>
      </c>
      <c r="AG17" s="209">
        <f t="shared" si="39"/>
        <v>0</v>
      </c>
      <c r="AH17" s="62">
        <f t="shared" si="40"/>
        <v>0</v>
      </c>
      <c r="AI17" s="303">
        <f t="shared" si="28"/>
        <v>169</v>
      </c>
      <c r="AJ17" s="303">
        <f>-tanks!AW18</f>
        <v>169</v>
      </c>
      <c r="AK17" s="303">
        <f t="shared" si="29"/>
        <v>0</v>
      </c>
      <c r="AL17" s="303">
        <f t="shared" si="8"/>
        <v>3</v>
      </c>
      <c r="AM17" s="303">
        <f t="shared" si="30"/>
        <v>0</v>
      </c>
      <c r="AN17" s="537">
        <f t="shared" si="9"/>
        <v>65</v>
      </c>
      <c r="AO17" s="305">
        <f t="shared" si="31"/>
        <v>1950</v>
      </c>
      <c r="AP17" s="537">
        <f t="shared" si="10"/>
        <v>55</v>
      </c>
      <c r="AQ17" s="305">
        <f t="shared" si="32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3"/>
        <v>0.8</v>
      </c>
    </row>
    <row r="18" spans="1:50">
      <c r="A18" s="63">
        <f>ELEC!C17</f>
        <v>44544</v>
      </c>
      <c r="B18" s="537">
        <v>226</v>
      </c>
      <c r="C18" s="537">
        <v>233</v>
      </c>
      <c r="D18" s="45">
        <f t="shared" si="36"/>
        <v>-31</v>
      </c>
      <c r="E18" s="45">
        <f t="shared" si="12"/>
        <v>-259.78000000000003</v>
      </c>
      <c r="F18" s="537">
        <v>1935</v>
      </c>
      <c r="G18" s="52">
        <f t="shared" si="0"/>
        <v>1</v>
      </c>
      <c r="H18" s="537">
        <v>20451</v>
      </c>
      <c r="I18" s="380">
        <f t="shared" si="1"/>
        <v>79</v>
      </c>
      <c r="J18" s="66">
        <f t="shared" si="15"/>
        <v>79</v>
      </c>
      <c r="K18" s="537">
        <f t="shared" si="16"/>
        <v>2368</v>
      </c>
      <c r="L18" s="52">
        <f t="shared" si="17"/>
        <v>0</v>
      </c>
      <c r="M18" s="537">
        <f t="shared" si="18"/>
        <v>174856</v>
      </c>
      <c r="N18" s="380">
        <f t="shared" si="2"/>
        <v>0</v>
      </c>
      <c r="O18" s="64">
        <v>1869</v>
      </c>
      <c r="P18" s="537">
        <f t="shared" ref="P18:P35" si="45">P17</f>
        <v>2138</v>
      </c>
      <c r="Q18" s="537">
        <v>179410</v>
      </c>
      <c r="R18" s="379">
        <f t="shared" si="44"/>
        <v>38</v>
      </c>
      <c r="S18" s="52">
        <f t="shared" si="5"/>
        <v>0</v>
      </c>
      <c r="T18" s="67">
        <f t="shared" si="37"/>
        <v>0</v>
      </c>
      <c r="U18" s="386">
        <f t="shared" si="19"/>
        <v>1</v>
      </c>
      <c r="V18" s="62">
        <f t="shared" si="20"/>
        <v>117</v>
      </c>
      <c r="W18" s="384"/>
      <c r="X18" s="537">
        <f t="shared" si="22"/>
        <v>2480</v>
      </c>
      <c r="Y18" s="52">
        <f t="shared" si="23"/>
        <v>0</v>
      </c>
      <c r="Z18" s="537">
        <f t="shared" si="24"/>
        <v>139172.20000000001</v>
      </c>
      <c r="AA18" s="65">
        <f t="shared" si="6"/>
        <v>0</v>
      </c>
      <c r="AB18" s="273">
        <f t="shared" ref="AB18:AB23" si="46">SUM(Y18*$AB$2)</f>
        <v>0</v>
      </c>
      <c r="AC18" s="537">
        <f t="shared" si="25"/>
        <v>1943</v>
      </c>
      <c r="AD18" s="45">
        <f t="shared" si="7"/>
        <v>0</v>
      </c>
      <c r="AE18" s="537">
        <f t="shared" si="26"/>
        <v>366210</v>
      </c>
      <c r="AF18" s="293">
        <f t="shared" si="27"/>
        <v>0</v>
      </c>
      <c r="AG18" s="209">
        <f t="shared" si="39"/>
        <v>0</v>
      </c>
      <c r="AH18" s="62">
        <f t="shared" si="40"/>
        <v>0</v>
      </c>
      <c r="AI18" s="303">
        <f t="shared" si="28"/>
        <v>117</v>
      </c>
      <c r="AJ18" s="303">
        <f>-tanks!AW19</f>
        <v>117</v>
      </c>
      <c r="AK18" s="303">
        <f t="shared" si="29"/>
        <v>0</v>
      </c>
      <c r="AL18" s="303">
        <f t="shared" si="8"/>
        <v>1</v>
      </c>
      <c r="AM18" s="303">
        <f t="shared" si="30"/>
        <v>0</v>
      </c>
      <c r="AN18" s="537">
        <f t="shared" si="9"/>
        <v>65</v>
      </c>
      <c r="AO18" s="305">
        <f t="shared" si="31"/>
        <v>1950</v>
      </c>
      <c r="AP18" s="537">
        <f t="shared" si="10"/>
        <v>55</v>
      </c>
      <c r="AQ18" s="305">
        <f t="shared" si="32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3"/>
        <v>0.8</v>
      </c>
    </row>
    <row r="19" spans="1:50">
      <c r="A19" s="63">
        <f>ELEC!C18</f>
        <v>44545</v>
      </c>
      <c r="B19" s="537">
        <v>219</v>
      </c>
      <c r="C19" s="537">
        <v>227</v>
      </c>
      <c r="D19" s="45">
        <f t="shared" si="36"/>
        <v>6</v>
      </c>
      <c r="E19" s="45">
        <f t="shared" si="12"/>
        <v>50.28</v>
      </c>
      <c r="F19" s="537">
        <v>1936</v>
      </c>
      <c r="G19" s="52">
        <f t="shared" si="0"/>
        <v>1</v>
      </c>
      <c r="H19" s="537">
        <v>20563</v>
      </c>
      <c r="I19" s="380">
        <f t="shared" si="1"/>
        <v>112</v>
      </c>
      <c r="J19" s="66">
        <f t="shared" si="15"/>
        <v>112</v>
      </c>
      <c r="K19" s="537">
        <f t="shared" si="16"/>
        <v>2368</v>
      </c>
      <c r="L19" s="52">
        <f t="shared" si="17"/>
        <v>0</v>
      </c>
      <c r="M19" s="537">
        <f t="shared" si="18"/>
        <v>174856</v>
      </c>
      <c r="N19" s="380">
        <f t="shared" si="2"/>
        <v>0</v>
      </c>
      <c r="O19" s="64">
        <f t="shared" ref="O19:O35" si="47">O18</f>
        <v>1869</v>
      </c>
      <c r="P19" s="537">
        <f>P18</f>
        <v>2138</v>
      </c>
      <c r="Q19" s="537">
        <v>179410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9"/>
        <v>1</v>
      </c>
      <c r="V19" s="62">
        <f t="shared" si="20"/>
        <v>112</v>
      </c>
      <c r="W19" s="384"/>
      <c r="X19" s="537">
        <f t="shared" si="22"/>
        <v>2480</v>
      </c>
      <c r="Y19" s="52">
        <f t="shared" si="23"/>
        <v>0</v>
      </c>
      <c r="Z19" s="537">
        <f t="shared" si="24"/>
        <v>139172.20000000001</v>
      </c>
      <c r="AA19" s="65">
        <f t="shared" si="6"/>
        <v>0</v>
      </c>
      <c r="AB19" s="273">
        <f t="shared" si="46"/>
        <v>0</v>
      </c>
      <c r="AC19" s="537">
        <f t="shared" si="25"/>
        <v>1943</v>
      </c>
      <c r="AD19" s="45">
        <f t="shared" si="7"/>
        <v>0</v>
      </c>
      <c r="AE19" s="537">
        <f t="shared" si="26"/>
        <v>366210</v>
      </c>
      <c r="AF19" s="293">
        <f t="shared" si="27"/>
        <v>0</v>
      </c>
      <c r="AG19" s="209">
        <f t="shared" si="39"/>
        <v>0</v>
      </c>
      <c r="AH19" s="62">
        <f t="shared" si="40"/>
        <v>0</v>
      </c>
      <c r="AI19" s="303">
        <f t="shared" si="28"/>
        <v>112</v>
      </c>
      <c r="AJ19" s="303">
        <f>-tanks!AW20</f>
        <v>112</v>
      </c>
      <c r="AK19" s="303">
        <f t="shared" si="29"/>
        <v>0</v>
      </c>
      <c r="AL19" s="303">
        <f t="shared" si="8"/>
        <v>1</v>
      </c>
      <c r="AM19" s="303">
        <f t="shared" si="30"/>
        <v>0</v>
      </c>
      <c r="AN19" s="537">
        <f t="shared" si="9"/>
        <v>65</v>
      </c>
      <c r="AO19" s="305">
        <f t="shared" si="31"/>
        <v>1950</v>
      </c>
      <c r="AP19" s="537">
        <f t="shared" si="10"/>
        <v>55</v>
      </c>
      <c r="AQ19" s="305">
        <f t="shared" si="32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3"/>
        <v>0.8</v>
      </c>
    </row>
    <row r="20" spans="1:50">
      <c r="A20" s="63">
        <f>ELEC!C19</f>
        <v>44546</v>
      </c>
      <c r="B20" s="537">
        <v>211</v>
      </c>
      <c r="C20" s="537">
        <v>218</v>
      </c>
      <c r="D20" s="45">
        <f>C19-C20</f>
        <v>9</v>
      </c>
      <c r="E20" s="45">
        <f t="shared" si="12"/>
        <v>75.42</v>
      </c>
      <c r="F20" s="537">
        <f t="shared" si="13"/>
        <v>1936</v>
      </c>
      <c r="G20" s="52">
        <f t="shared" si="0"/>
        <v>0</v>
      </c>
      <c r="H20" s="537">
        <f t="shared" si="14"/>
        <v>20563</v>
      </c>
      <c r="I20" s="380">
        <f t="shared" si="1"/>
        <v>0</v>
      </c>
      <c r="J20" s="66">
        <f t="shared" si="15"/>
        <v>0</v>
      </c>
      <c r="K20" s="537">
        <f t="shared" si="16"/>
        <v>2368</v>
      </c>
      <c r="L20" s="52">
        <f t="shared" si="17"/>
        <v>0</v>
      </c>
      <c r="M20" s="537">
        <f t="shared" si="18"/>
        <v>174856</v>
      </c>
      <c r="N20" s="380">
        <f t="shared" si="2"/>
        <v>0</v>
      </c>
      <c r="O20" s="64">
        <f t="shared" si="47"/>
        <v>1869</v>
      </c>
      <c r="P20" s="537">
        <f t="shared" si="45"/>
        <v>2138</v>
      </c>
      <c r="Q20" s="537">
        <f t="shared" ref="Q20:Q35" si="48">Q19</f>
        <v>179410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9"/>
        <v>0</v>
      </c>
      <c r="V20" s="62">
        <f t="shared" si="20"/>
        <v>0</v>
      </c>
      <c r="W20" s="384"/>
      <c r="X20" s="537">
        <f t="shared" si="22"/>
        <v>2480</v>
      </c>
      <c r="Y20" s="52">
        <f t="shared" si="23"/>
        <v>0</v>
      </c>
      <c r="Z20" s="537">
        <f t="shared" si="24"/>
        <v>139172.20000000001</v>
      </c>
      <c r="AA20" s="65">
        <f t="shared" si="6"/>
        <v>0</v>
      </c>
      <c r="AB20" s="273">
        <f t="shared" si="46"/>
        <v>0</v>
      </c>
      <c r="AC20" s="537">
        <f t="shared" si="25"/>
        <v>1943</v>
      </c>
      <c r="AD20" s="45">
        <f t="shared" si="7"/>
        <v>0</v>
      </c>
      <c r="AE20" s="537">
        <f t="shared" si="26"/>
        <v>366210</v>
      </c>
      <c r="AF20" s="293">
        <f t="shared" si="27"/>
        <v>0</v>
      </c>
      <c r="AG20" s="209">
        <f t="shared" si="39"/>
        <v>0</v>
      </c>
      <c r="AH20" s="62">
        <f t="shared" si="40"/>
        <v>0</v>
      </c>
      <c r="AI20" s="303">
        <f t="shared" si="28"/>
        <v>0</v>
      </c>
      <c r="AJ20" s="303">
        <f>-tanks!AW21</f>
        <v>0</v>
      </c>
      <c r="AK20" s="303">
        <f t="shared" si="29"/>
        <v>0</v>
      </c>
      <c r="AL20" s="303">
        <f t="shared" si="8"/>
        <v>0</v>
      </c>
      <c r="AM20" s="303">
        <f t="shared" si="30"/>
        <v>0</v>
      </c>
      <c r="AN20" s="537">
        <f t="shared" si="9"/>
        <v>65</v>
      </c>
      <c r="AO20" s="305">
        <f t="shared" si="31"/>
        <v>1950</v>
      </c>
      <c r="AP20" s="537">
        <f t="shared" si="10"/>
        <v>55</v>
      </c>
      <c r="AQ20" s="305">
        <f t="shared" si="32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3"/>
        <v>0.8</v>
      </c>
    </row>
    <row r="21" spans="1:50">
      <c r="A21" s="63">
        <f>ELEC!C20</f>
        <v>44547</v>
      </c>
      <c r="B21" s="537">
        <f t="shared" si="34"/>
        <v>211</v>
      </c>
      <c r="C21" s="537">
        <f t="shared" si="35"/>
        <v>218</v>
      </c>
      <c r="D21" s="45">
        <f t="shared" ref="D21:D32" si="49">C20-C21</f>
        <v>0</v>
      </c>
      <c r="E21" s="45">
        <f t="shared" si="12"/>
        <v>0</v>
      </c>
      <c r="F21" s="537">
        <f t="shared" si="13"/>
        <v>1936</v>
      </c>
      <c r="G21" s="52">
        <f t="shared" si="0"/>
        <v>0</v>
      </c>
      <c r="H21" s="537">
        <f t="shared" si="14"/>
        <v>20563</v>
      </c>
      <c r="I21" s="380">
        <f t="shared" si="1"/>
        <v>0</v>
      </c>
      <c r="J21" s="66">
        <f t="shared" si="15"/>
        <v>0</v>
      </c>
      <c r="K21" s="537">
        <f t="shared" si="16"/>
        <v>2368</v>
      </c>
      <c r="L21" s="52">
        <f t="shared" si="17"/>
        <v>0</v>
      </c>
      <c r="M21" s="537">
        <f t="shared" si="18"/>
        <v>174856</v>
      </c>
      <c r="N21" s="380">
        <f t="shared" si="2"/>
        <v>0</v>
      </c>
      <c r="O21" s="64">
        <f t="shared" si="47"/>
        <v>1869</v>
      </c>
      <c r="P21" s="537">
        <f t="shared" si="45"/>
        <v>2138</v>
      </c>
      <c r="Q21" s="537">
        <f t="shared" si="48"/>
        <v>179410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19"/>
        <v>0</v>
      </c>
      <c r="V21" s="62">
        <f t="shared" si="20"/>
        <v>0</v>
      </c>
      <c r="W21" s="384"/>
      <c r="X21" s="537">
        <f t="shared" si="22"/>
        <v>2480</v>
      </c>
      <c r="Y21" s="52">
        <f t="shared" si="23"/>
        <v>0</v>
      </c>
      <c r="Z21" s="537">
        <f t="shared" si="24"/>
        <v>139172.20000000001</v>
      </c>
      <c r="AA21" s="65">
        <f t="shared" si="6"/>
        <v>0</v>
      </c>
      <c r="AB21" s="273">
        <f t="shared" si="46"/>
        <v>0</v>
      </c>
      <c r="AC21" s="537">
        <f t="shared" si="25"/>
        <v>1943</v>
      </c>
      <c r="AD21" s="45">
        <f t="shared" si="7"/>
        <v>0</v>
      </c>
      <c r="AE21" s="537">
        <f t="shared" si="26"/>
        <v>366210</v>
      </c>
      <c r="AF21" s="293">
        <f t="shared" si="27"/>
        <v>0</v>
      </c>
      <c r="AG21" s="209">
        <f t="shared" si="39"/>
        <v>0</v>
      </c>
      <c r="AH21" s="62">
        <f t="shared" si="40"/>
        <v>0</v>
      </c>
      <c r="AI21" s="303">
        <f t="shared" si="28"/>
        <v>0</v>
      </c>
      <c r="AJ21" s="303">
        <f>-tanks!AW22</f>
        <v>0</v>
      </c>
      <c r="AK21" s="303">
        <f t="shared" si="29"/>
        <v>0</v>
      </c>
      <c r="AL21" s="303">
        <f t="shared" si="8"/>
        <v>0</v>
      </c>
      <c r="AM21" s="303">
        <f t="shared" si="30"/>
        <v>0</v>
      </c>
      <c r="AN21" s="537">
        <f t="shared" si="9"/>
        <v>65</v>
      </c>
      <c r="AO21" s="305">
        <f t="shared" si="31"/>
        <v>1950</v>
      </c>
      <c r="AP21" s="537">
        <f t="shared" si="10"/>
        <v>55</v>
      </c>
      <c r="AQ21" s="305">
        <f t="shared" si="32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3"/>
        <v>0.8</v>
      </c>
    </row>
    <row r="22" spans="1:50" ht="16.5" customHeight="1">
      <c r="A22" s="63">
        <f>ELEC!C21</f>
        <v>44548</v>
      </c>
      <c r="B22" s="537">
        <f t="shared" si="34"/>
        <v>211</v>
      </c>
      <c r="C22" s="537">
        <f t="shared" si="35"/>
        <v>218</v>
      </c>
      <c r="D22" s="45">
        <f t="shared" si="49"/>
        <v>0</v>
      </c>
      <c r="E22" s="45">
        <f t="shared" si="12"/>
        <v>0</v>
      </c>
      <c r="F22" s="537">
        <f t="shared" si="13"/>
        <v>1936</v>
      </c>
      <c r="G22" s="52">
        <f t="shared" si="0"/>
        <v>0</v>
      </c>
      <c r="H22" s="537">
        <f t="shared" si="14"/>
        <v>20563</v>
      </c>
      <c r="I22" s="380">
        <f t="shared" si="1"/>
        <v>0</v>
      </c>
      <c r="J22" s="66">
        <f t="shared" si="15"/>
        <v>0</v>
      </c>
      <c r="K22" s="537">
        <f t="shared" si="16"/>
        <v>2368</v>
      </c>
      <c r="L22" s="52">
        <f t="shared" si="17"/>
        <v>0</v>
      </c>
      <c r="M22" s="537">
        <f t="shared" si="18"/>
        <v>174856</v>
      </c>
      <c r="N22" s="380">
        <f t="shared" si="2"/>
        <v>0</v>
      </c>
      <c r="O22" s="64">
        <f t="shared" si="47"/>
        <v>1869</v>
      </c>
      <c r="P22" s="537">
        <f t="shared" si="45"/>
        <v>2138</v>
      </c>
      <c r="Q22" s="537">
        <f t="shared" si="48"/>
        <v>179410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19"/>
        <v>0</v>
      </c>
      <c r="V22" s="62">
        <f t="shared" si="20"/>
        <v>0</v>
      </c>
      <c r="W22" s="384"/>
      <c r="X22" s="537">
        <f t="shared" si="22"/>
        <v>2480</v>
      </c>
      <c r="Y22" s="52">
        <f t="shared" si="23"/>
        <v>0</v>
      </c>
      <c r="Z22" s="537">
        <f t="shared" si="24"/>
        <v>139172.20000000001</v>
      </c>
      <c r="AA22" s="65">
        <f t="shared" si="6"/>
        <v>0</v>
      </c>
      <c r="AB22" s="273">
        <f t="shared" si="46"/>
        <v>0</v>
      </c>
      <c r="AC22" s="537">
        <f t="shared" si="25"/>
        <v>1943</v>
      </c>
      <c r="AD22" s="45">
        <f t="shared" si="7"/>
        <v>0</v>
      </c>
      <c r="AE22" s="537">
        <f t="shared" si="26"/>
        <v>366210</v>
      </c>
      <c r="AF22" s="293">
        <f t="shared" si="27"/>
        <v>0</v>
      </c>
      <c r="AG22" s="209">
        <f t="shared" si="39"/>
        <v>0</v>
      </c>
      <c r="AH22" s="62">
        <f t="shared" si="40"/>
        <v>0</v>
      </c>
      <c r="AI22" s="303">
        <f t="shared" si="28"/>
        <v>0</v>
      </c>
      <c r="AJ22" s="303">
        <f>-tanks!AW23</f>
        <v>0</v>
      </c>
      <c r="AK22" s="303">
        <f t="shared" si="29"/>
        <v>0</v>
      </c>
      <c r="AL22" s="303">
        <f t="shared" si="8"/>
        <v>0</v>
      </c>
      <c r="AM22" s="303">
        <f t="shared" si="30"/>
        <v>0</v>
      </c>
      <c r="AN22" s="537">
        <f t="shared" si="9"/>
        <v>65</v>
      </c>
      <c r="AO22" s="305">
        <f t="shared" si="31"/>
        <v>1950</v>
      </c>
      <c r="AP22" s="537">
        <f t="shared" si="10"/>
        <v>55</v>
      </c>
      <c r="AQ22" s="305">
        <f t="shared" si="32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3"/>
        <v>0.8</v>
      </c>
    </row>
    <row r="23" spans="1:50">
      <c r="A23" s="63">
        <f>ELEC!C22</f>
        <v>44549</v>
      </c>
      <c r="B23" s="537">
        <v>200</v>
      </c>
      <c r="C23" s="537">
        <v>208</v>
      </c>
      <c r="D23" s="45">
        <f t="shared" si="49"/>
        <v>10</v>
      </c>
      <c r="E23" s="45">
        <f t="shared" si="12"/>
        <v>83.800000000000011</v>
      </c>
      <c r="F23" s="537">
        <v>1938</v>
      </c>
      <c r="G23" s="52">
        <f t="shared" si="0"/>
        <v>2</v>
      </c>
      <c r="H23" s="537">
        <v>20666</v>
      </c>
      <c r="I23" s="380">
        <f t="shared" si="1"/>
        <v>103</v>
      </c>
      <c r="J23" s="66">
        <f t="shared" si="15"/>
        <v>51.5</v>
      </c>
      <c r="K23" s="537">
        <v>2370</v>
      </c>
      <c r="L23" s="52">
        <f t="shared" si="17"/>
        <v>2</v>
      </c>
      <c r="M23" s="537">
        <v>175038</v>
      </c>
      <c r="N23" s="380">
        <f t="shared" si="2"/>
        <v>182</v>
      </c>
      <c r="O23" s="64">
        <f t="shared" si="47"/>
        <v>1869</v>
      </c>
      <c r="P23" s="537">
        <f t="shared" si="45"/>
        <v>2138</v>
      </c>
      <c r="Q23" s="537">
        <f t="shared" si="48"/>
        <v>179410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9"/>
        <v>4</v>
      </c>
      <c r="V23" s="62">
        <f t="shared" si="20"/>
        <v>285</v>
      </c>
      <c r="W23" s="384"/>
      <c r="X23" s="537">
        <f t="shared" si="22"/>
        <v>2480</v>
      </c>
      <c r="Y23" s="52">
        <f t="shared" si="23"/>
        <v>0</v>
      </c>
      <c r="Z23" s="537">
        <f t="shared" si="24"/>
        <v>139172.20000000001</v>
      </c>
      <c r="AA23" s="65">
        <f t="shared" si="6"/>
        <v>0</v>
      </c>
      <c r="AB23" s="273">
        <f t="shared" si="46"/>
        <v>0</v>
      </c>
      <c r="AC23" s="537">
        <f t="shared" si="25"/>
        <v>1943</v>
      </c>
      <c r="AD23" s="45">
        <f t="shared" si="7"/>
        <v>0</v>
      </c>
      <c r="AE23" s="537">
        <f t="shared" si="26"/>
        <v>366210</v>
      </c>
      <c r="AF23" s="293">
        <f t="shared" si="27"/>
        <v>0</v>
      </c>
      <c r="AG23" s="209">
        <f t="shared" si="39"/>
        <v>0</v>
      </c>
      <c r="AH23" s="62">
        <f t="shared" si="40"/>
        <v>0</v>
      </c>
      <c r="AI23" s="303">
        <f>SUM(AH23+V23)</f>
        <v>285</v>
      </c>
      <c r="AJ23" s="303">
        <f>-tanks!AW24</f>
        <v>285</v>
      </c>
      <c r="AK23" s="303">
        <f>SUM(AJ23-AI23)</f>
        <v>0</v>
      </c>
      <c r="AL23" s="303">
        <f>S23+L23+G23</f>
        <v>4</v>
      </c>
      <c r="AM23" s="303">
        <f>Y23+AD23</f>
        <v>0</v>
      </c>
      <c r="AN23" s="537">
        <f t="shared" si="9"/>
        <v>65</v>
      </c>
      <c r="AO23" s="305">
        <f t="shared" si="31"/>
        <v>1950</v>
      </c>
      <c r="AP23" s="537">
        <f t="shared" si="10"/>
        <v>55</v>
      </c>
      <c r="AQ23" s="305">
        <f t="shared" si="32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3"/>
        <v>0.8</v>
      </c>
    </row>
    <row r="24" spans="1:50">
      <c r="A24" s="63">
        <f>ELEC!C23</f>
        <v>44550</v>
      </c>
      <c r="B24" s="537">
        <v>194</v>
      </c>
      <c r="C24" s="537">
        <v>200</v>
      </c>
      <c r="D24" s="45">
        <f t="shared" si="49"/>
        <v>8</v>
      </c>
      <c r="E24" s="45">
        <f t="shared" si="12"/>
        <v>67.040000000000006</v>
      </c>
      <c r="F24" s="537">
        <v>1940</v>
      </c>
      <c r="G24" s="52">
        <f t="shared" si="0"/>
        <v>2</v>
      </c>
      <c r="H24" s="537">
        <v>20865</v>
      </c>
      <c r="I24" s="380">
        <f t="shared" si="1"/>
        <v>199</v>
      </c>
      <c r="J24" s="66">
        <f t="shared" si="15"/>
        <v>99.5</v>
      </c>
      <c r="K24" s="537">
        <f t="shared" si="16"/>
        <v>2370</v>
      </c>
      <c r="L24" s="52">
        <f t="shared" si="17"/>
        <v>0</v>
      </c>
      <c r="M24" s="537">
        <f t="shared" si="18"/>
        <v>175038</v>
      </c>
      <c r="N24" s="380">
        <f t="shared" si="2"/>
        <v>0</v>
      </c>
      <c r="O24" s="64">
        <f t="shared" si="47"/>
        <v>1869</v>
      </c>
      <c r="P24" s="537">
        <f t="shared" si="45"/>
        <v>2138</v>
      </c>
      <c r="Q24" s="537">
        <f t="shared" si="48"/>
        <v>179410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9"/>
        <v>2</v>
      </c>
      <c r="V24" s="62">
        <f t="shared" si="20"/>
        <v>199</v>
      </c>
      <c r="W24" s="384"/>
      <c r="X24" s="537">
        <f t="shared" si="22"/>
        <v>2480</v>
      </c>
      <c r="Y24" s="52">
        <f t="shared" si="23"/>
        <v>0</v>
      </c>
      <c r="Z24" s="537">
        <f t="shared" si="24"/>
        <v>139172.20000000001</v>
      </c>
      <c r="AA24" s="65">
        <f t="shared" si="6"/>
        <v>0</v>
      </c>
      <c r="AB24" s="273">
        <f t="shared" ref="AB24:AB32" si="50">SUM(Y24*$AB$2)</f>
        <v>0</v>
      </c>
      <c r="AC24" s="537">
        <f t="shared" si="25"/>
        <v>1943</v>
      </c>
      <c r="AD24" s="45">
        <f t="shared" si="7"/>
        <v>0</v>
      </c>
      <c r="AE24" s="537">
        <f t="shared" si="26"/>
        <v>366210</v>
      </c>
      <c r="AF24" s="293">
        <f t="shared" si="27"/>
        <v>0</v>
      </c>
      <c r="AG24" s="209">
        <f t="shared" si="39"/>
        <v>0</v>
      </c>
      <c r="AH24" s="62">
        <f t="shared" si="40"/>
        <v>0</v>
      </c>
      <c r="AI24" s="303">
        <f t="shared" si="28"/>
        <v>199</v>
      </c>
      <c r="AJ24" s="303">
        <f>-tanks!AW25</f>
        <v>199</v>
      </c>
      <c r="AK24" s="303">
        <f t="shared" si="29"/>
        <v>0</v>
      </c>
      <c r="AL24" s="303">
        <f t="shared" si="8"/>
        <v>2</v>
      </c>
      <c r="AM24" s="303">
        <f t="shared" si="30"/>
        <v>0</v>
      </c>
      <c r="AN24" s="537">
        <f t="shared" si="9"/>
        <v>65</v>
      </c>
      <c r="AO24" s="305">
        <f t="shared" si="31"/>
        <v>1950</v>
      </c>
      <c r="AP24" s="537">
        <f t="shared" si="10"/>
        <v>55</v>
      </c>
      <c r="AQ24" s="305">
        <f t="shared" si="32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3"/>
        <v>0.8</v>
      </c>
    </row>
    <row r="25" spans="1:50" ht="13.5" customHeight="1">
      <c r="A25" s="63">
        <f>ELEC!C24</f>
        <v>44551</v>
      </c>
      <c r="B25" s="537">
        <v>224</v>
      </c>
      <c r="C25" s="537">
        <v>230</v>
      </c>
      <c r="D25" s="45">
        <f t="shared" si="49"/>
        <v>-30</v>
      </c>
      <c r="E25" s="45">
        <f t="shared" si="12"/>
        <v>-251.40000000000003</v>
      </c>
      <c r="F25" s="537">
        <v>1941</v>
      </c>
      <c r="G25" s="52">
        <f t="shared" si="0"/>
        <v>1</v>
      </c>
      <c r="H25" s="537">
        <v>20894</v>
      </c>
      <c r="I25" s="380">
        <f t="shared" si="1"/>
        <v>29</v>
      </c>
      <c r="J25" s="66">
        <f t="shared" si="15"/>
        <v>29</v>
      </c>
      <c r="K25" s="537">
        <v>2371</v>
      </c>
      <c r="L25" s="52">
        <f t="shared" si="17"/>
        <v>1</v>
      </c>
      <c r="M25" s="537">
        <v>175129</v>
      </c>
      <c r="N25" s="380">
        <f t="shared" si="2"/>
        <v>91</v>
      </c>
      <c r="O25" s="64">
        <f t="shared" si="47"/>
        <v>1869</v>
      </c>
      <c r="P25" s="537">
        <f t="shared" si="45"/>
        <v>2138</v>
      </c>
      <c r="Q25" s="537">
        <f t="shared" si="48"/>
        <v>179410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9"/>
        <v>2</v>
      </c>
      <c r="V25" s="62">
        <f t="shared" si="20"/>
        <v>120</v>
      </c>
      <c r="W25" s="384"/>
      <c r="X25" s="537">
        <f t="shared" si="22"/>
        <v>2480</v>
      </c>
      <c r="Y25" s="52">
        <f t="shared" si="23"/>
        <v>0</v>
      </c>
      <c r="Z25" s="537">
        <f t="shared" si="24"/>
        <v>139172.20000000001</v>
      </c>
      <c r="AA25" s="65">
        <f t="shared" si="6"/>
        <v>0</v>
      </c>
      <c r="AB25" s="273">
        <f t="shared" si="50"/>
        <v>0</v>
      </c>
      <c r="AC25" s="537">
        <f t="shared" si="25"/>
        <v>1943</v>
      </c>
      <c r="AD25" s="45">
        <f t="shared" si="7"/>
        <v>0</v>
      </c>
      <c r="AE25" s="537">
        <f t="shared" si="26"/>
        <v>366210</v>
      </c>
      <c r="AF25" s="293">
        <f t="shared" si="27"/>
        <v>0</v>
      </c>
      <c r="AG25" s="209">
        <f t="shared" si="39"/>
        <v>0</v>
      </c>
      <c r="AH25" s="62">
        <f t="shared" si="40"/>
        <v>0</v>
      </c>
      <c r="AI25" s="303">
        <f t="shared" si="28"/>
        <v>120</v>
      </c>
      <c r="AJ25" s="303">
        <f>-tanks!AW26</f>
        <v>120</v>
      </c>
      <c r="AK25" s="303">
        <f t="shared" si="29"/>
        <v>0</v>
      </c>
      <c r="AL25" s="303">
        <f t="shared" si="8"/>
        <v>2</v>
      </c>
      <c r="AM25" s="303">
        <f t="shared" si="30"/>
        <v>0</v>
      </c>
      <c r="AN25" s="537">
        <f t="shared" si="9"/>
        <v>65</v>
      </c>
      <c r="AO25" s="305">
        <f t="shared" si="31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3"/>
        <v>0.8</v>
      </c>
    </row>
    <row r="26" spans="1:50" ht="14.25" customHeight="1">
      <c r="A26" s="63">
        <f>ELEC!C25</f>
        <v>44552</v>
      </c>
      <c r="B26" s="537">
        <v>235</v>
      </c>
      <c r="C26" s="537">
        <v>242</v>
      </c>
      <c r="D26" s="45">
        <f t="shared" si="49"/>
        <v>-12</v>
      </c>
      <c r="E26" s="45">
        <f t="shared" si="12"/>
        <v>-100.56</v>
      </c>
      <c r="F26" s="537">
        <v>1945</v>
      </c>
      <c r="G26" s="52">
        <f t="shared" si="0"/>
        <v>4</v>
      </c>
      <c r="H26" s="537">
        <v>21192</v>
      </c>
      <c r="I26" s="380">
        <f t="shared" si="1"/>
        <v>298</v>
      </c>
      <c r="J26" s="66">
        <f t="shared" si="15"/>
        <v>74.5</v>
      </c>
      <c r="K26" s="537">
        <f t="shared" si="16"/>
        <v>2371</v>
      </c>
      <c r="L26" s="52">
        <f t="shared" si="17"/>
        <v>0</v>
      </c>
      <c r="M26" s="537">
        <f t="shared" si="18"/>
        <v>175129</v>
      </c>
      <c r="N26" s="380">
        <f t="shared" si="2"/>
        <v>0</v>
      </c>
      <c r="O26" s="64">
        <f t="shared" si="47"/>
        <v>1869</v>
      </c>
      <c r="P26" s="537">
        <f t="shared" si="45"/>
        <v>2138</v>
      </c>
      <c r="Q26" s="537">
        <f t="shared" si="48"/>
        <v>179410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9"/>
        <v>4</v>
      </c>
      <c r="V26" s="62">
        <f t="shared" si="20"/>
        <v>298</v>
      </c>
      <c r="W26" s="384"/>
      <c r="X26" s="537">
        <f t="shared" si="22"/>
        <v>2480</v>
      </c>
      <c r="Y26" s="52">
        <f t="shared" si="23"/>
        <v>0</v>
      </c>
      <c r="Z26" s="537">
        <f t="shared" si="24"/>
        <v>139172.20000000001</v>
      </c>
      <c r="AA26" s="65">
        <f t="shared" si="6"/>
        <v>0</v>
      </c>
      <c r="AB26" s="273">
        <f t="shared" si="50"/>
        <v>0</v>
      </c>
      <c r="AC26" s="537">
        <f t="shared" si="25"/>
        <v>1943</v>
      </c>
      <c r="AD26" s="45">
        <f t="shared" si="7"/>
        <v>0</v>
      </c>
      <c r="AE26" s="537">
        <f t="shared" si="26"/>
        <v>366210</v>
      </c>
      <c r="AF26" s="293">
        <f t="shared" si="27"/>
        <v>0</v>
      </c>
      <c r="AG26" s="209">
        <f t="shared" si="39"/>
        <v>0</v>
      </c>
      <c r="AH26" s="62">
        <f t="shared" si="40"/>
        <v>0</v>
      </c>
      <c r="AI26" s="303">
        <f t="shared" si="28"/>
        <v>298</v>
      </c>
      <c r="AJ26" s="303">
        <f>-tanks!AW27</f>
        <v>298</v>
      </c>
      <c r="AK26" s="303">
        <f t="shared" si="29"/>
        <v>0</v>
      </c>
      <c r="AL26" s="303">
        <f t="shared" si="8"/>
        <v>4</v>
      </c>
      <c r="AM26" s="303">
        <f t="shared" si="30"/>
        <v>0</v>
      </c>
      <c r="AN26" s="537">
        <f t="shared" si="9"/>
        <v>65</v>
      </c>
      <c r="AO26" s="305">
        <f t="shared" si="31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3"/>
        <v>0.8</v>
      </c>
    </row>
    <row r="27" spans="1:50">
      <c r="A27" s="63">
        <f>ELEC!C26</f>
        <v>44553</v>
      </c>
      <c r="B27" s="537">
        <v>229</v>
      </c>
      <c r="C27" s="537">
        <v>236</v>
      </c>
      <c r="D27" s="45">
        <f t="shared" si="49"/>
        <v>6</v>
      </c>
      <c r="E27" s="45">
        <f t="shared" si="12"/>
        <v>50.28</v>
      </c>
      <c r="F27" s="537">
        <v>1947</v>
      </c>
      <c r="G27" s="52">
        <f t="shared" si="0"/>
        <v>2</v>
      </c>
      <c r="H27" s="537">
        <v>21408</v>
      </c>
      <c r="I27" s="380">
        <f t="shared" si="1"/>
        <v>216</v>
      </c>
      <c r="J27" s="66">
        <f t="shared" si="15"/>
        <v>108</v>
      </c>
      <c r="K27" s="537">
        <f t="shared" si="16"/>
        <v>2371</v>
      </c>
      <c r="L27" s="52">
        <f t="shared" si="17"/>
        <v>0</v>
      </c>
      <c r="M27" s="537">
        <v>175131</v>
      </c>
      <c r="N27" s="380">
        <f t="shared" si="2"/>
        <v>2</v>
      </c>
      <c r="O27" s="64">
        <f t="shared" si="47"/>
        <v>1869</v>
      </c>
      <c r="P27" s="537">
        <f t="shared" si="45"/>
        <v>2138</v>
      </c>
      <c r="Q27" s="537">
        <f t="shared" si="48"/>
        <v>179410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9"/>
        <v>2</v>
      </c>
      <c r="V27" s="62">
        <f t="shared" si="20"/>
        <v>218</v>
      </c>
      <c r="W27" s="384"/>
      <c r="X27" s="537">
        <f t="shared" si="22"/>
        <v>2480</v>
      </c>
      <c r="Y27" s="52">
        <f t="shared" si="23"/>
        <v>0</v>
      </c>
      <c r="Z27" s="537">
        <f t="shared" si="24"/>
        <v>139172.20000000001</v>
      </c>
      <c r="AA27" s="65">
        <f t="shared" si="6"/>
        <v>0</v>
      </c>
      <c r="AB27" s="273">
        <f t="shared" si="50"/>
        <v>0</v>
      </c>
      <c r="AC27" s="537">
        <f t="shared" si="25"/>
        <v>1943</v>
      </c>
      <c r="AD27" s="45">
        <f t="shared" si="7"/>
        <v>0</v>
      </c>
      <c r="AE27" s="537">
        <f t="shared" si="26"/>
        <v>366210</v>
      </c>
      <c r="AF27" s="293">
        <f t="shared" si="27"/>
        <v>0</v>
      </c>
      <c r="AG27" s="209">
        <f t="shared" si="39"/>
        <v>0</v>
      </c>
      <c r="AH27" s="62">
        <f t="shared" si="40"/>
        <v>0</v>
      </c>
      <c r="AI27" s="303">
        <f t="shared" si="28"/>
        <v>218</v>
      </c>
      <c r="AJ27" s="303">
        <f>-tanks!AW28</f>
        <v>218</v>
      </c>
      <c r="AK27" s="303">
        <f t="shared" si="29"/>
        <v>0</v>
      </c>
      <c r="AL27" s="303">
        <f t="shared" si="8"/>
        <v>2</v>
      </c>
      <c r="AM27" s="303">
        <f t="shared" si="30"/>
        <v>0</v>
      </c>
      <c r="AN27" s="537">
        <f t="shared" si="9"/>
        <v>65</v>
      </c>
      <c r="AO27" s="305">
        <f t="shared" ref="AO27:AO34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3"/>
        <v>0.8</v>
      </c>
    </row>
    <row r="28" spans="1:50">
      <c r="A28" s="63">
        <f>ELEC!C27</f>
        <v>44554</v>
      </c>
      <c r="B28" s="537">
        <f t="shared" si="34"/>
        <v>229</v>
      </c>
      <c r="C28" s="537">
        <f t="shared" si="35"/>
        <v>236</v>
      </c>
      <c r="D28" s="45">
        <f t="shared" si="49"/>
        <v>0</v>
      </c>
      <c r="E28" s="45">
        <f t="shared" si="12"/>
        <v>0</v>
      </c>
      <c r="F28" s="537">
        <f t="shared" si="13"/>
        <v>1947</v>
      </c>
      <c r="G28" s="52">
        <f t="shared" si="0"/>
        <v>0</v>
      </c>
      <c r="H28" s="537">
        <f t="shared" si="14"/>
        <v>21408</v>
      </c>
      <c r="I28" s="380">
        <f t="shared" si="1"/>
        <v>0</v>
      </c>
      <c r="J28" s="66">
        <f t="shared" si="15"/>
        <v>0</v>
      </c>
      <c r="K28" s="537">
        <f t="shared" si="16"/>
        <v>2371</v>
      </c>
      <c r="L28" s="52">
        <f t="shared" si="17"/>
        <v>0</v>
      </c>
      <c r="M28" s="537">
        <f t="shared" si="18"/>
        <v>175131</v>
      </c>
      <c r="N28" s="380">
        <f t="shared" si="2"/>
        <v>0</v>
      </c>
      <c r="O28" s="64">
        <f t="shared" si="47"/>
        <v>1869</v>
      </c>
      <c r="P28" s="537">
        <f t="shared" si="45"/>
        <v>2138</v>
      </c>
      <c r="Q28" s="537">
        <f t="shared" si="48"/>
        <v>179410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9"/>
        <v>0</v>
      </c>
      <c r="V28" s="62">
        <f t="shared" si="20"/>
        <v>0</v>
      </c>
      <c r="W28" s="384"/>
      <c r="X28" s="537">
        <f t="shared" si="22"/>
        <v>2480</v>
      </c>
      <c r="Y28" s="52">
        <f t="shared" si="23"/>
        <v>0</v>
      </c>
      <c r="Z28" s="537">
        <f t="shared" si="24"/>
        <v>139172.20000000001</v>
      </c>
      <c r="AA28" s="65">
        <f t="shared" si="6"/>
        <v>0</v>
      </c>
      <c r="AB28" s="273">
        <f t="shared" si="50"/>
        <v>0</v>
      </c>
      <c r="AC28" s="537">
        <f t="shared" si="25"/>
        <v>1943</v>
      </c>
      <c r="AD28" s="45">
        <f t="shared" si="7"/>
        <v>0</v>
      </c>
      <c r="AE28" s="537">
        <f t="shared" si="26"/>
        <v>366210</v>
      </c>
      <c r="AF28" s="293">
        <f t="shared" si="27"/>
        <v>0</v>
      </c>
      <c r="AG28" s="209">
        <f t="shared" si="39"/>
        <v>0</v>
      </c>
      <c r="AH28" s="62">
        <f t="shared" si="40"/>
        <v>0</v>
      </c>
      <c r="AI28" s="303">
        <f t="shared" si="28"/>
        <v>0</v>
      </c>
      <c r="AJ28" s="303">
        <f>-tanks!AW29</f>
        <v>0</v>
      </c>
      <c r="AK28" s="303">
        <f t="shared" si="29"/>
        <v>0</v>
      </c>
      <c r="AL28" s="303">
        <f t="shared" si="8"/>
        <v>0</v>
      </c>
      <c r="AM28" s="303">
        <f t="shared" si="30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3"/>
        <v>0.8</v>
      </c>
    </row>
    <row r="29" spans="1:50">
      <c r="A29" s="63">
        <f>ELEC!C28</f>
        <v>44555</v>
      </c>
      <c r="B29" s="537">
        <f t="shared" si="34"/>
        <v>229</v>
      </c>
      <c r="C29" s="537">
        <f t="shared" si="35"/>
        <v>236</v>
      </c>
      <c r="D29" s="45">
        <f t="shared" si="49"/>
        <v>0</v>
      </c>
      <c r="E29" s="45">
        <f t="shared" si="12"/>
        <v>0</v>
      </c>
      <c r="F29" s="537">
        <f t="shared" si="13"/>
        <v>1947</v>
      </c>
      <c r="G29" s="52">
        <f t="shared" si="0"/>
        <v>0</v>
      </c>
      <c r="H29" s="537">
        <f t="shared" si="14"/>
        <v>21408</v>
      </c>
      <c r="I29" s="380">
        <f t="shared" si="1"/>
        <v>0</v>
      </c>
      <c r="J29" s="66">
        <f t="shared" si="15"/>
        <v>0</v>
      </c>
      <c r="K29" s="537">
        <f t="shared" si="16"/>
        <v>2371</v>
      </c>
      <c r="L29" s="52">
        <f t="shared" si="17"/>
        <v>0</v>
      </c>
      <c r="M29" s="537">
        <f t="shared" si="18"/>
        <v>175131</v>
      </c>
      <c r="N29" s="380">
        <f t="shared" si="2"/>
        <v>0</v>
      </c>
      <c r="O29" s="64">
        <f t="shared" si="47"/>
        <v>1869</v>
      </c>
      <c r="P29" s="537">
        <f t="shared" si="45"/>
        <v>2138</v>
      </c>
      <c r="Q29" s="537">
        <f t="shared" si="48"/>
        <v>179410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9"/>
        <v>0</v>
      </c>
      <c r="V29" s="62">
        <f t="shared" si="20"/>
        <v>0</v>
      </c>
      <c r="W29" s="384"/>
      <c r="X29" s="537">
        <f t="shared" si="22"/>
        <v>2480</v>
      </c>
      <c r="Y29" s="52">
        <f t="shared" si="23"/>
        <v>0</v>
      </c>
      <c r="Z29" s="537">
        <f t="shared" si="24"/>
        <v>139172.20000000001</v>
      </c>
      <c r="AA29" s="65">
        <f t="shared" si="6"/>
        <v>0</v>
      </c>
      <c r="AB29" s="273">
        <f t="shared" si="50"/>
        <v>0</v>
      </c>
      <c r="AC29" s="537">
        <f t="shared" si="25"/>
        <v>1943</v>
      </c>
      <c r="AD29" s="45">
        <f t="shared" si="7"/>
        <v>0</v>
      </c>
      <c r="AE29" s="537">
        <f t="shared" si="26"/>
        <v>366210</v>
      </c>
      <c r="AF29" s="293">
        <f t="shared" si="27"/>
        <v>0</v>
      </c>
      <c r="AG29" s="209">
        <f t="shared" si="39"/>
        <v>0</v>
      </c>
      <c r="AH29" s="62">
        <f t="shared" si="40"/>
        <v>0</v>
      </c>
      <c r="AI29" s="303">
        <f t="shared" si="28"/>
        <v>0</v>
      </c>
      <c r="AJ29" s="303">
        <f>-tanks!AW30</f>
        <v>0</v>
      </c>
      <c r="AK29" s="303">
        <f t="shared" si="29"/>
        <v>0</v>
      </c>
      <c r="AL29" s="303">
        <f t="shared" si="8"/>
        <v>0</v>
      </c>
      <c r="AM29" s="303">
        <f t="shared" si="30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3"/>
        <v>0.8</v>
      </c>
    </row>
    <row r="30" spans="1:50">
      <c r="A30" s="63">
        <f>ELEC!C29</f>
        <v>44556</v>
      </c>
      <c r="B30" s="537">
        <f t="shared" si="34"/>
        <v>229</v>
      </c>
      <c r="C30" s="537">
        <f t="shared" si="35"/>
        <v>236</v>
      </c>
      <c r="D30" s="45">
        <f t="shared" ref="D30" si="54">C29-C30</f>
        <v>0</v>
      </c>
      <c r="E30" s="45">
        <f t="shared" ref="E30" si="55">D30*8.38</f>
        <v>0</v>
      </c>
      <c r="F30" s="537">
        <f t="shared" si="13"/>
        <v>1947</v>
      </c>
      <c r="G30" s="52">
        <f t="shared" ref="G30" si="56">F30-F29</f>
        <v>0</v>
      </c>
      <c r="H30" s="537">
        <f t="shared" si="14"/>
        <v>21408</v>
      </c>
      <c r="I30" s="380">
        <f t="shared" ref="I30" si="57">SUM(H30-H29)</f>
        <v>0</v>
      </c>
      <c r="J30" s="66">
        <f t="shared" ref="J30" si="58">IF(G30&gt;0,I30/G30,0)</f>
        <v>0</v>
      </c>
      <c r="K30" s="537">
        <f t="shared" si="16"/>
        <v>2371</v>
      </c>
      <c r="L30" s="52">
        <f t="shared" ref="L30" si="59">K30-K29</f>
        <v>0</v>
      </c>
      <c r="M30" s="537">
        <f t="shared" si="18"/>
        <v>175131</v>
      </c>
      <c r="N30" s="380">
        <f t="shared" ref="N30" si="60">M30-M29</f>
        <v>0</v>
      </c>
      <c r="O30" s="64">
        <f t="shared" si="47"/>
        <v>1869</v>
      </c>
      <c r="P30" s="537">
        <f t="shared" si="45"/>
        <v>2138</v>
      </c>
      <c r="Q30" s="537">
        <f t="shared" si="48"/>
        <v>179410</v>
      </c>
      <c r="R30" s="379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86">
        <f t="shared" ref="U30" si="64">SUM(G30+L30+S30)</f>
        <v>0</v>
      </c>
      <c r="V30" s="62">
        <f t="shared" si="20"/>
        <v>0</v>
      </c>
      <c r="W30" s="384"/>
      <c r="X30" s="537">
        <f t="shared" si="22"/>
        <v>2480</v>
      </c>
      <c r="Y30" s="52">
        <f t="shared" ref="Y30" si="65">X30-X29</f>
        <v>0</v>
      </c>
      <c r="Z30" s="537">
        <f t="shared" si="24"/>
        <v>139172.20000000001</v>
      </c>
      <c r="AA30" s="65">
        <f t="shared" ref="AA30" si="66">Z30-Z29</f>
        <v>0</v>
      </c>
      <c r="AB30" s="273">
        <f t="shared" ref="AB30" si="67">SUM(Y30*$AB$2)</f>
        <v>0</v>
      </c>
      <c r="AC30" s="537">
        <f t="shared" si="25"/>
        <v>1943</v>
      </c>
      <c r="AD30" s="259">
        <f t="shared" ref="AD30" si="68">AC30-AC29</f>
        <v>0</v>
      </c>
      <c r="AE30" s="537">
        <f t="shared" si="26"/>
        <v>366210</v>
      </c>
      <c r="AF30" s="293">
        <f t="shared" ref="AF30" si="69">AE30-AE29</f>
        <v>0</v>
      </c>
      <c r="AG30" s="209">
        <f t="shared" si="39"/>
        <v>0</v>
      </c>
      <c r="AH30" s="62">
        <f t="shared" si="40"/>
        <v>0</v>
      </c>
      <c r="AI30" s="303">
        <f t="shared" si="28"/>
        <v>0</v>
      </c>
      <c r="AJ30" s="303">
        <f>-tanks!AW31</f>
        <v>0</v>
      </c>
      <c r="AK30" s="303">
        <f t="shared" si="29"/>
        <v>0</v>
      </c>
      <c r="AL30" s="303">
        <f t="shared" si="8"/>
        <v>0</v>
      </c>
      <c r="AM30" s="303">
        <f t="shared" si="30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3"/>
        <v>0.8</v>
      </c>
    </row>
    <row r="31" spans="1:50">
      <c r="A31" s="63">
        <f>ELEC!C30</f>
        <v>44557</v>
      </c>
      <c r="B31" s="537">
        <v>223</v>
      </c>
      <c r="C31" s="537">
        <v>230</v>
      </c>
      <c r="D31" s="45">
        <f t="shared" si="49"/>
        <v>6</v>
      </c>
      <c r="E31" s="45">
        <f t="shared" si="12"/>
        <v>50.28</v>
      </c>
      <c r="F31" s="537">
        <v>1950</v>
      </c>
      <c r="G31" s="52">
        <f t="shared" si="0"/>
        <v>3</v>
      </c>
      <c r="H31" s="537">
        <v>21607</v>
      </c>
      <c r="I31" s="380">
        <f t="shared" si="1"/>
        <v>199</v>
      </c>
      <c r="J31" s="66">
        <f t="shared" si="15"/>
        <v>66.333333333333329</v>
      </c>
      <c r="K31" s="537">
        <f t="shared" si="16"/>
        <v>2371</v>
      </c>
      <c r="L31" s="52">
        <f t="shared" si="17"/>
        <v>0</v>
      </c>
      <c r="M31" s="537">
        <f t="shared" si="18"/>
        <v>175131</v>
      </c>
      <c r="N31" s="380">
        <f t="shared" si="2"/>
        <v>0</v>
      </c>
      <c r="O31" s="64">
        <f t="shared" si="47"/>
        <v>1869</v>
      </c>
      <c r="P31" s="537">
        <f t="shared" si="45"/>
        <v>2138</v>
      </c>
      <c r="Q31" s="537">
        <f t="shared" si="48"/>
        <v>179410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9"/>
        <v>3</v>
      </c>
      <c r="V31" s="62">
        <f t="shared" si="20"/>
        <v>199</v>
      </c>
      <c r="W31" s="384"/>
      <c r="X31" s="537">
        <f t="shared" si="22"/>
        <v>2480</v>
      </c>
      <c r="Y31" s="52">
        <f t="shared" si="23"/>
        <v>0</v>
      </c>
      <c r="Z31" s="537">
        <f t="shared" si="24"/>
        <v>139172.20000000001</v>
      </c>
      <c r="AA31" s="65">
        <f t="shared" si="6"/>
        <v>0</v>
      </c>
      <c r="AB31" s="273">
        <f t="shared" si="50"/>
        <v>0</v>
      </c>
      <c r="AC31" s="537">
        <f t="shared" si="25"/>
        <v>1943</v>
      </c>
      <c r="AD31" s="259">
        <f t="shared" si="7"/>
        <v>0</v>
      </c>
      <c r="AE31" s="537">
        <f t="shared" si="26"/>
        <v>366210</v>
      </c>
      <c r="AF31" s="293">
        <f t="shared" si="27"/>
        <v>0</v>
      </c>
      <c r="AG31" s="209">
        <f t="shared" si="39"/>
        <v>0</v>
      </c>
      <c r="AH31" s="62">
        <f t="shared" si="40"/>
        <v>0</v>
      </c>
      <c r="AI31" s="303">
        <f t="shared" si="28"/>
        <v>199</v>
      </c>
      <c r="AJ31" s="303">
        <f>-tanks!AW32</f>
        <v>199</v>
      </c>
      <c r="AK31" s="303">
        <f t="shared" si="29"/>
        <v>0</v>
      </c>
      <c r="AL31" s="303">
        <f t="shared" si="8"/>
        <v>3</v>
      </c>
      <c r="AM31" s="303">
        <f t="shared" si="30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3"/>
        <v>0.8</v>
      </c>
    </row>
    <row r="32" spans="1:50">
      <c r="A32" s="63">
        <f>ELEC!C31</f>
        <v>44558</v>
      </c>
      <c r="B32" s="537">
        <v>216</v>
      </c>
      <c r="C32" s="537">
        <v>223</v>
      </c>
      <c r="D32" s="45">
        <f t="shared" si="49"/>
        <v>7</v>
      </c>
      <c r="E32" s="45">
        <f t="shared" si="12"/>
        <v>58.660000000000004</v>
      </c>
      <c r="F32" s="537">
        <v>1954</v>
      </c>
      <c r="G32" s="52">
        <f t="shared" si="0"/>
        <v>4</v>
      </c>
      <c r="H32" s="537">
        <v>21921</v>
      </c>
      <c r="I32" s="380">
        <f t="shared" si="1"/>
        <v>314</v>
      </c>
      <c r="J32" s="66">
        <f t="shared" si="15"/>
        <v>78.5</v>
      </c>
      <c r="K32" s="537">
        <f t="shared" si="16"/>
        <v>2371</v>
      </c>
      <c r="L32" s="52">
        <f t="shared" si="17"/>
        <v>0</v>
      </c>
      <c r="M32" s="537">
        <f t="shared" si="18"/>
        <v>175131</v>
      </c>
      <c r="N32" s="380">
        <f t="shared" si="2"/>
        <v>0</v>
      </c>
      <c r="O32" s="64">
        <f t="shared" si="47"/>
        <v>1869</v>
      </c>
      <c r="P32" s="537">
        <f t="shared" si="45"/>
        <v>2138</v>
      </c>
      <c r="Q32" s="537">
        <f t="shared" si="48"/>
        <v>179410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9"/>
        <v>4</v>
      </c>
      <c r="V32" s="62">
        <f t="shared" si="20"/>
        <v>314</v>
      </c>
      <c r="W32" s="384"/>
      <c r="X32" s="537">
        <f t="shared" si="22"/>
        <v>2480</v>
      </c>
      <c r="Y32" s="52">
        <f t="shared" si="23"/>
        <v>0</v>
      </c>
      <c r="Z32" s="537">
        <f t="shared" si="24"/>
        <v>139172.20000000001</v>
      </c>
      <c r="AA32" s="65">
        <f t="shared" si="6"/>
        <v>0</v>
      </c>
      <c r="AB32" s="273">
        <f t="shared" si="50"/>
        <v>0</v>
      </c>
      <c r="AC32" s="537">
        <f t="shared" si="25"/>
        <v>1943</v>
      </c>
      <c r="AD32" s="259">
        <f t="shared" si="7"/>
        <v>0</v>
      </c>
      <c r="AE32" s="537">
        <f t="shared" si="26"/>
        <v>366210</v>
      </c>
      <c r="AF32" s="293">
        <f t="shared" si="27"/>
        <v>0</v>
      </c>
      <c r="AG32" s="209">
        <f t="shared" si="39"/>
        <v>0</v>
      </c>
      <c r="AH32" s="62">
        <f t="shared" si="40"/>
        <v>0</v>
      </c>
      <c r="AI32" s="303">
        <f t="shared" si="28"/>
        <v>314</v>
      </c>
      <c r="AJ32" s="303">
        <f>-tanks!AW33</f>
        <v>314</v>
      </c>
      <c r="AK32" s="303">
        <f t="shared" si="29"/>
        <v>0</v>
      </c>
      <c r="AL32" s="303">
        <f t="shared" si="8"/>
        <v>4</v>
      </c>
      <c r="AM32" s="303">
        <f t="shared" si="30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3"/>
        <v>0.8</v>
      </c>
    </row>
    <row r="33" spans="1:50">
      <c r="A33" s="63">
        <f>ELEC!C32</f>
        <v>44559</v>
      </c>
      <c r="B33" s="537">
        <v>209</v>
      </c>
      <c r="C33" s="537">
        <v>217</v>
      </c>
      <c r="D33" s="45">
        <f>C32-C33</f>
        <v>6</v>
      </c>
      <c r="E33" s="45">
        <f>D33*8.38</f>
        <v>50.28</v>
      </c>
      <c r="F33" s="537">
        <f t="shared" si="13"/>
        <v>1954</v>
      </c>
      <c r="G33" s="52">
        <f>F33-F32</f>
        <v>0</v>
      </c>
      <c r="H33" s="537">
        <f t="shared" si="14"/>
        <v>21921</v>
      </c>
      <c r="I33" s="380">
        <f>SUM(H33-H32)</f>
        <v>0</v>
      </c>
      <c r="J33" s="66">
        <f>IF(G33&gt;0,I33/G33,0)</f>
        <v>0</v>
      </c>
      <c r="K33" s="537">
        <f t="shared" si="16"/>
        <v>2371</v>
      </c>
      <c r="L33" s="52">
        <f>K33-K32</f>
        <v>0</v>
      </c>
      <c r="M33" s="537">
        <f t="shared" si="18"/>
        <v>175131</v>
      </c>
      <c r="N33" s="380">
        <f>M33-M32</f>
        <v>0</v>
      </c>
      <c r="O33" s="64">
        <f t="shared" si="47"/>
        <v>1869</v>
      </c>
      <c r="P33" s="537">
        <f t="shared" si="45"/>
        <v>2138</v>
      </c>
      <c r="Q33" s="537">
        <f t="shared" si="48"/>
        <v>179410</v>
      </c>
      <c r="R33" s="379">
        <f>Q33-Q32</f>
        <v>0</v>
      </c>
      <c r="S33" s="52">
        <f>SUM(P33-P32)</f>
        <v>0</v>
      </c>
      <c r="T33" s="67">
        <f>SUM(S33*$T$2)</f>
        <v>0</v>
      </c>
      <c r="U33" s="386">
        <f>SUM(G33+L33+S33)</f>
        <v>0</v>
      </c>
      <c r="V33" s="62">
        <f t="shared" si="20"/>
        <v>0</v>
      </c>
      <c r="W33" s="384"/>
      <c r="X33" s="537">
        <f t="shared" si="22"/>
        <v>2480</v>
      </c>
      <c r="Y33" s="52">
        <f>X33-X32</f>
        <v>0</v>
      </c>
      <c r="Z33" s="537">
        <f t="shared" si="24"/>
        <v>139172.20000000001</v>
      </c>
      <c r="AA33" s="65">
        <f>Z33-Z32</f>
        <v>0</v>
      </c>
      <c r="AB33" s="273">
        <f>SUM(Y33*$AB$2)</f>
        <v>0</v>
      </c>
      <c r="AC33" s="537">
        <f t="shared" si="25"/>
        <v>1943</v>
      </c>
      <c r="AD33" s="259">
        <f>AC33-AC32</f>
        <v>0</v>
      </c>
      <c r="AE33" s="537">
        <f t="shared" si="26"/>
        <v>366210</v>
      </c>
      <c r="AF33" s="293">
        <f>AE33-AE32</f>
        <v>0</v>
      </c>
      <c r="AG33" s="209">
        <f>IF(AD33&gt;0,AF33/AD33,0)</f>
        <v>0</v>
      </c>
      <c r="AH33" s="62">
        <f>AF33+AA33</f>
        <v>0</v>
      </c>
      <c r="AI33" s="303">
        <f>SUM(AH33+V33)</f>
        <v>0</v>
      </c>
      <c r="AJ33" s="303">
        <f>-tanks!AW34</f>
        <v>0</v>
      </c>
      <c r="AK33" s="303">
        <f>SUM(AJ33-AI33)</f>
        <v>0</v>
      </c>
      <c r="AL33" s="303">
        <f>S33+L33+G33</f>
        <v>0</v>
      </c>
      <c r="AM33" s="303">
        <f>Y33+AD33</f>
        <v>0</v>
      </c>
      <c r="AN33" s="537">
        <f t="shared" si="9"/>
        <v>65</v>
      </c>
      <c r="AO33" s="305">
        <f t="shared" si="53"/>
        <v>1950</v>
      </c>
      <c r="AP33" s="537">
        <f t="shared" si="10"/>
        <v>55</v>
      </c>
      <c r="AQ33" s="305">
        <f>(AP33/100)*3000</f>
        <v>1650.0000000000002</v>
      </c>
      <c r="AR33" s="537">
        <f t="shared" si="11"/>
        <v>61</v>
      </c>
      <c r="AS33" s="305">
        <f>(AR33/100)*3000</f>
        <v>1830</v>
      </c>
      <c r="AT33" s="305">
        <f>SUM(AO33+AQ33+AS33)</f>
        <v>5430</v>
      </c>
      <c r="AU33" s="305">
        <f>AT32-AT33+AV33</f>
        <v>0</v>
      </c>
      <c r="AV33" s="259"/>
      <c r="AW33" s="259"/>
      <c r="AX33" s="298">
        <f t="shared" si="33"/>
        <v>0.8</v>
      </c>
    </row>
    <row r="34" spans="1:50">
      <c r="A34" s="63">
        <f>ELEC!C33</f>
        <v>44560</v>
      </c>
      <c r="B34" s="537">
        <f t="shared" si="34"/>
        <v>209</v>
      </c>
      <c r="C34" s="537">
        <f t="shared" si="35"/>
        <v>217</v>
      </c>
      <c r="D34" s="45">
        <f>C33-C34</f>
        <v>0</v>
      </c>
      <c r="E34" s="45">
        <f>D34*8.38</f>
        <v>0</v>
      </c>
      <c r="F34" s="537">
        <f t="shared" si="13"/>
        <v>1954</v>
      </c>
      <c r="G34" s="52">
        <f>F34-F33</f>
        <v>0</v>
      </c>
      <c r="H34" s="537">
        <f t="shared" si="14"/>
        <v>21921</v>
      </c>
      <c r="I34" s="380">
        <f>SUM(H34-H33)</f>
        <v>0</v>
      </c>
      <c r="J34" s="66">
        <f>IF(G34&gt;0,I34/G34,0)</f>
        <v>0</v>
      </c>
      <c r="K34" s="537">
        <f t="shared" si="16"/>
        <v>2371</v>
      </c>
      <c r="L34" s="52">
        <f>K34-K33</f>
        <v>0</v>
      </c>
      <c r="M34" s="537">
        <f t="shared" si="18"/>
        <v>175131</v>
      </c>
      <c r="N34" s="380">
        <f>M34-M33</f>
        <v>0</v>
      </c>
      <c r="O34" s="64">
        <f t="shared" si="47"/>
        <v>1869</v>
      </c>
      <c r="P34" s="537">
        <f t="shared" si="45"/>
        <v>2138</v>
      </c>
      <c r="Q34" s="537">
        <f t="shared" si="48"/>
        <v>179410</v>
      </c>
      <c r="R34" s="379">
        <f>Q34-Q33</f>
        <v>0</v>
      </c>
      <c r="S34" s="52">
        <f>SUM(P34-P33)</f>
        <v>0</v>
      </c>
      <c r="T34" s="67">
        <f>SUM(S34*$T$2)</f>
        <v>0</v>
      </c>
      <c r="U34" s="386">
        <f>SUM(G34+L34+S34)</f>
        <v>0</v>
      </c>
      <c r="V34" s="62">
        <f t="shared" si="20"/>
        <v>0</v>
      </c>
      <c r="W34" s="384"/>
      <c r="X34" s="537">
        <f t="shared" si="22"/>
        <v>2480</v>
      </c>
      <c r="Y34" s="52">
        <f>X34-X33</f>
        <v>0</v>
      </c>
      <c r="Z34" s="537">
        <f t="shared" si="24"/>
        <v>139172.20000000001</v>
      </c>
      <c r="AA34" s="65">
        <f>Z34-Z33</f>
        <v>0</v>
      </c>
      <c r="AB34" s="273">
        <f>SUM(Y34*$AB$2)</f>
        <v>0</v>
      </c>
      <c r="AC34" s="537">
        <f t="shared" si="25"/>
        <v>1943</v>
      </c>
      <c r="AD34" s="259">
        <f>AC34-AC33</f>
        <v>0</v>
      </c>
      <c r="AE34" s="537">
        <f t="shared" si="26"/>
        <v>366210</v>
      </c>
      <c r="AF34" s="293">
        <f>AE34-AE33</f>
        <v>0</v>
      </c>
      <c r="AG34" s="209">
        <f>IF(AD34&gt;0,AF34/AD34,0)</f>
        <v>0</v>
      </c>
      <c r="AH34" s="62">
        <f>AF34+AA34</f>
        <v>0</v>
      </c>
      <c r="AI34" s="303">
        <f>SUM(AH34+V34)</f>
        <v>0</v>
      </c>
      <c r="AJ34" s="303">
        <f>-tanks!AW35</f>
        <v>0</v>
      </c>
      <c r="AK34" s="303">
        <f>SUM(AJ34-AI34)</f>
        <v>0</v>
      </c>
      <c r="AL34" s="303">
        <f>S34+L34+G34</f>
        <v>0</v>
      </c>
      <c r="AM34" s="303">
        <f>Y34+AD34</f>
        <v>0</v>
      </c>
      <c r="AN34" s="537">
        <f t="shared" ref="AN34:AP35" si="70">AN33</f>
        <v>65</v>
      </c>
      <c r="AO34" s="305">
        <f t="shared" si="53"/>
        <v>1950</v>
      </c>
      <c r="AP34" s="537">
        <f t="shared" si="70"/>
        <v>55</v>
      </c>
      <c r="AQ34" s="305">
        <f>(AP34/100)*3000</f>
        <v>1650.0000000000002</v>
      </c>
      <c r="AR34" s="537">
        <f t="shared" si="11"/>
        <v>61</v>
      </c>
      <c r="AS34" s="305">
        <f>(AR34/100)*3000</f>
        <v>1830</v>
      </c>
      <c r="AT34" s="305">
        <f>SUM(AO34+AQ34+AS34)</f>
        <v>5430</v>
      </c>
      <c r="AU34" s="305">
        <f>AT33-AT34+AV34</f>
        <v>0</v>
      </c>
      <c r="AV34" s="259"/>
      <c r="AW34" s="259"/>
      <c r="AX34" s="298">
        <f t="shared" si="33"/>
        <v>0.8</v>
      </c>
    </row>
    <row r="35" spans="1:50">
      <c r="A35" s="63">
        <f>ELEC!C34</f>
        <v>44561</v>
      </c>
      <c r="B35" s="537">
        <f t="shared" si="34"/>
        <v>209</v>
      </c>
      <c r="C35" s="537">
        <f t="shared" si="35"/>
        <v>217</v>
      </c>
      <c r="D35" s="45">
        <f>C34-C35</f>
        <v>0</v>
      </c>
      <c r="E35" s="45">
        <f>D35*8.38</f>
        <v>0</v>
      </c>
      <c r="F35" s="537">
        <f t="shared" si="13"/>
        <v>1954</v>
      </c>
      <c r="G35" s="52">
        <f>F35-F34</f>
        <v>0</v>
      </c>
      <c r="H35" s="537">
        <f t="shared" si="14"/>
        <v>21921</v>
      </c>
      <c r="I35" s="380">
        <f>SUM(H35-H34)</f>
        <v>0</v>
      </c>
      <c r="J35" s="66">
        <f>IF(G35&gt;0,I35/G35,0)</f>
        <v>0</v>
      </c>
      <c r="K35" s="537">
        <f t="shared" si="16"/>
        <v>2371</v>
      </c>
      <c r="L35" s="52">
        <f>K35-K34</f>
        <v>0</v>
      </c>
      <c r="M35" s="537">
        <f t="shared" si="18"/>
        <v>175131</v>
      </c>
      <c r="N35" s="380">
        <f>M35-M34</f>
        <v>0</v>
      </c>
      <c r="O35" s="64">
        <f t="shared" si="47"/>
        <v>1869</v>
      </c>
      <c r="P35" s="537">
        <f t="shared" si="45"/>
        <v>2138</v>
      </c>
      <c r="Q35" s="537">
        <f t="shared" si="48"/>
        <v>179410</v>
      </c>
      <c r="R35" s="379">
        <f>Q35-Q34</f>
        <v>0</v>
      </c>
      <c r="S35" s="52">
        <f>SUM(P35-P34)</f>
        <v>0</v>
      </c>
      <c r="T35" s="67">
        <f>SUM(S35*$T$2)</f>
        <v>0</v>
      </c>
      <c r="U35" s="386">
        <f>SUM(G35+L35+S35)</f>
        <v>0</v>
      </c>
      <c r="V35" s="62">
        <f t="shared" si="20"/>
        <v>0</v>
      </c>
      <c r="W35" s="384"/>
      <c r="X35" s="537">
        <f t="shared" si="22"/>
        <v>2480</v>
      </c>
      <c r="Y35" s="52">
        <f>X35-X34</f>
        <v>0</v>
      </c>
      <c r="Z35" s="537">
        <f t="shared" si="24"/>
        <v>139172.20000000001</v>
      </c>
      <c r="AA35" s="65">
        <f>Z35-Z34</f>
        <v>0</v>
      </c>
      <c r="AB35" s="273">
        <f>SUM(Y35*$AB$2)</f>
        <v>0</v>
      </c>
      <c r="AC35" s="537">
        <f t="shared" si="25"/>
        <v>1943</v>
      </c>
      <c r="AD35" s="259">
        <f>AC35-AC34</f>
        <v>0</v>
      </c>
      <c r="AE35" s="537">
        <f t="shared" si="26"/>
        <v>366210</v>
      </c>
      <c r="AF35" s="293">
        <f>AE35-AE34</f>
        <v>0</v>
      </c>
      <c r="AG35" s="209">
        <f>IF(AD35&gt;0,AF35/AD35,0)</f>
        <v>0</v>
      </c>
      <c r="AH35" s="62">
        <f>AF35+AA35</f>
        <v>0</v>
      </c>
      <c r="AI35" s="303">
        <f>SUM(AH35+V35)</f>
        <v>0</v>
      </c>
      <c r="AJ35" s="303">
        <f>-tanks!AW36</f>
        <v>0</v>
      </c>
      <c r="AK35" s="303">
        <f>SUM(AJ35-AI35)</f>
        <v>0</v>
      </c>
      <c r="AL35" s="303">
        <f>S35+L35+G35</f>
        <v>0</v>
      </c>
      <c r="AM35" s="303">
        <f>Y35+AD35</f>
        <v>0</v>
      </c>
      <c r="AN35" s="537">
        <f t="shared" si="70"/>
        <v>65</v>
      </c>
      <c r="AO35" s="305">
        <f t="shared" ref="AO35" si="71">(AN35/100)*3000</f>
        <v>1950</v>
      </c>
      <c r="AP35" s="537">
        <f t="shared" si="70"/>
        <v>55</v>
      </c>
      <c r="AQ35" s="305">
        <f>(AP35/100)*3000</f>
        <v>1650.0000000000002</v>
      </c>
      <c r="AR35" s="537">
        <f t="shared" si="11"/>
        <v>61</v>
      </c>
      <c r="AS35" s="305">
        <f>(AR35/100)*3000</f>
        <v>1830</v>
      </c>
      <c r="AT35" s="305">
        <f>SUM(AO35+AQ35+AS35)</f>
        <v>5430</v>
      </c>
      <c r="AU35" s="305">
        <f>AT34-AT35+AV35</f>
        <v>0</v>
      </c>
      <c r="AV35" s="259"/>
      <c r="AW35" s="259"/>
      <c r="AX35" s="298">
        <f t="shared" ref="AX35" si="72">IF(AV35&gt;0,AW35,AX34)</f>
        <v>0.8</v>
      </c>
    </row>
    <row r="36" spans="1:50">
      <c r="J36" s="272">
        <f>SUM(J5:J32)/(COUNT(J5:J32)-COUNTIF(J5:J32,0))</f>
        <v>73.401960784313715</v>
      </c>
      <c r="U36" s="70">
        <f>SUM(U5:U35)</f>
        <v>38</v>
      </c>
      <c r="V36" s="62">
        <f>SUM(V5:V35)</f>
        <v>2571</v>
      </c>
      <c r="AE36" s="71" t="s">
        <v>379</v>
      </c>
      <c r="AG36" s="329"/>
      <c r="AH36" s="62">
        <f>SUM(AH5:AH35)</f>
        <v>0</v>
      </c>
      <c r="AL36" s="62">
        <f>SUM(AL5:AL35)</f>
        <v>38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67.65789473684211</v>
      </c>
      <c r="AH37" s="62">
        <f>AF37+AA37</f>
        <v>0</v>
      </c>
      <c r="AI37" s="306">
        <f>SUM(AI5:AI35)</f>
        <v>2571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zoomScale="90" zoomScaleNormal="90" workbookViewId="0">
      <pane ySplit="3" topLeftCell="A19" activePane="bottomLeft" state="frozen"/>
      <selection pane="bottomLeft" activeCell="AY33" sqref="AY33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8142030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3" t="s">
        <v>95</v>
      </c>
      <c r="AS2" s="644"/>
      <c r="AT2" s="644"/>
      <c r="AU2" s="644"/>
      <c r="AV2" s="645"/>
      <c r="AW2" s="643" t="s">
        <v>96</v>
      </c>
      <c r="AX2" s="644"/>
      <c r="AY2" s="645"/>
      <c r="AZ2" s="643" t="s">
        <v>98</v>
      </c>
      <c r="BA2" s="644"/>
      <c r="BB2" s="645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40" t="s">
        <v>126</v>
      </c>
      <c r="AO3" s="641"/>
      <c r="AP3" s="642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44530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250</v>
      </c>
      <c r="F5" s="393">
        <f>[2]WATER!F36</f>
        <v>0</v>
      </c>
      <c r="G5" s="393">
        <f>[2]WATER!G36</f>
        <v>625978</v>
      </c>
      <c r="H5" s="393">
        <f>[2]WATER!H36</f>
        <v>0</v>
      </c>
      <c r="I5" s="393">
        <f>[2]WATER!I36</f>
        <v>0</v>
      </c>
      <c r="J5" s="393">
        <f>[2]WATER!J36</f>
        <v>0</v>
      </c>
      <c r="K5" s="393">
        <f>[2]WATER!K36</f>
        <v>6953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5180</v>
      </c>
      <c r="U5" s="393">
        <f>[2]WATER!U36</f>
        <v>0</v>
      </c>
      <c r="V5" s="393">
        <f>[2]WATER!V36</f>
        <v>477</v>
      </c>
      <c r="W5" s="393">
        <f>[2]WATER!W36</f>
        <v>0</v>
      </c>
      <c r="X5" s="393">
        <v>154335</v>
      </c>
      <c r="Y5" s="393">
        <f>[2]WATER!Y36</f>
        <v>0</v>
      </c>
      <c r="Z5" s="393">
        <f>[2]WATER!Z36</f>
        <v>99258</v>
      </c>
      <c r="AA5" s="393">
        <f>[2]WATER!AA36</f>
        <v>0</v>
      </c>
      <c r="AB5" s="393">
        <f>[2]WATER!AB36</f>
        <v>248</v>
      </c>
      <c r="AC5" s="393">
        <f>[2]WATER!AC36</f>
        <v>789</v>
      </c>
      <c r="AD5" s="393">
        <f>[2]WATER!AD36</f>
        <v>0</v>
      </c>
      <c r="AE5" s="393">
        <f>[2]WATER!AE36</f>
        <v>239.1</v>
      </c>
      <c r="AF5" s="393">
        <f>[2]WATER!AF36</f>
        <v>0</v>
      </c>
      <c r="AG5" s="393">
        <f>[2]WATER!AG36</f>
        <v>2217.83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0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4">
        <f>[2]WATER!$AR$35</f>
        <v>44530</v>
      </c>
      <c r="AS5" s="393">
        <f>[2]WATER!AS36</f>
        <v>0.9</v>
      </c>
      <c r="AT5" s="393">
        <f>[2]WATER!AT36</f>
        <v>94</v>
      </c>
      <c r="AU5" s="393">
        <f>[2]WATER!AU36</f>
        <v>1.1000000000000001</v>
      </c>
      <c r="AV5" s="393">
        <f>[2]WATER!AV36</f>
        <v>139</v>
      </c>
      <c r="AW5" s="393">
        <f>[2]WATER!AW36</f>
        <v>2.9</v>
      </c>
      <c r="AX5" s="393">
        <f>[2]WATER!AX36</f>
        <v>101</v>
      </c>
      <c r="AY5" s="393">
        <f>[2]WATER!AY36</f>
        <v>84.600000000000009</v>
      </c>
      <c r="AZ5" s="393">
        <f>[2]WATER!AZ36</f>
        <v>152.9</v>
      </c>
      <c r="BA5" s="393">
        <f>[2]WATER!BA36</f>
        <v>292.89999999999998</v>
      </c>
      <c r="BB5" s="393">
        <f>[2]WATER!BB36</f>
        <v>0</v>
      </c>
      <c r="BC5" s="393">
        <f>[2]WATER!BC36</f>
        <v>0</v>
      </c>
      <c r="BD5" s="393">
        <f>[2]WATER!BD36</f>
        <v>0</v>
      </c>
      <c r="BE5" s="393">
        <f>[2]WATER!BE36</f>
        <v>0</v>
      </c>
      <c r="BF5" s="393">
        <f>[2]WATER!BF36</f>
        <v>0</v>
      </c>
      <c r="BG5" s="393">
        <f>[2]WATER!BG36</f>
        <v>0</v>
      </c>
    </row>
    <row r="6" spans="1:65" ht="15.75" thickBot="1">
      <c r="A6" s="6">
        <f>ELEC!C4</f>
        <v>44531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625978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6954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5180</v>
      </c>
      <c r="U6" s="5">
        <f t="shared" ref="U6:U33" si="3">SUM(T6-T5)</f>
        <v>0</v>
      </c>
      <c r="V6" s="5">
        <f>V5</f>
        <v>477</v>
      </c>
      <c r="W6" s="309">
        <f>+V6-V5</f>
        <v>0</v>
      </c>
      <c r="X6" s="5">
        <f>X5</f>
        <v>154335</v>
      </c>
      <c r="Y6" s="309">
        <f>SUM(X6-X5)</f>
        <v>0</v>
      </c>
      <c r="Z6" s="5">
        <f>Z5</f>
        <v>99258</v>
      </c>
      <c r="AA6" s="83">
        <f>Z6-Z5</f>
        <v>0</v>
      </c>
      <c r="AB6" s="5">
        <f>AB5</f>
        <v>248</v>
      </c>
      <c r="AC6" s="5">
        <f>AC5</f>
        <v>789</v>
      </c>
      <c r="AD6" s="83">
        <v>0</v>
      </c>
      <c r="AE6" s="5">
        <f>AE5</f>
        <v>239.1</v>
      </c>
      <c r="AF6" s="83">
        <f>AE6-AE5</f>
        <v>0</v>
      </c>
      <c r="AG6" s="5">
        <f>AG5</f>
        <v>2217.83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18.5</v>
      </c>
      <c r="AN6" s="84">
        <f>'General information '!H5</f>
        <v>0</v>
      </c>
      <c r="AO6" s="84"/>
      <c r="AP6" s="84">
        <f>'General information '!J5</f>
        <v>0</v>
      </c>
      <c r="AQ6" s="81"/>
      <c r="AR6" s="266">
        <f>A6</f>
        <v>44531</v>
      </c>
      <c r="AS6" s="407">
        <f>AS5</f>
        <v>0.9</v>
      </c>
      <c r="AT6" s="201">
        <f>AT5</f>
        <v>94</v>
      </c>
      <c r="AU6" s="408">
        <f>AU5</f>
        <v>1.1000000000000001</v>
      </c>
      <c r="AV6" s="201">
        <v>137</v>
      </c>
      <c r="AW6" s="5">
        <v>2.9</v>
      </c>
      <c r="AX6" s="201">
        <v>100</v>
      </c>
      <c r="AY6" s="409">
        <f>AS6*AT6</f>
        <v>84.600000000000009</v>
      </c>
      <c r="AZ6" s="409">
        <f>AU6*AV6</f>
        <v>150.70000000000002</v>
      </c>
      <c r="BA6" s="409">
        <f>AW6*AX6</f>
        <v>290</v>
      </c>
      <c r="BB6" s="21">
        <f>AY6-AY5</f>
        <v>0</v>
      </c>
      <c r="BC6" s="21">
        <f>AZ6-AZ5</f>
        <v>-2.1999999999999886</v>
      </c>
      <c r="BD6" s="21">
        <f>BA6-BA5</f>
        <v>-2.8999999999999773</v>
      </c>
      <c r="BE6" s="24">
        <f>SUM(BB6:BD6)</f>
        <v>-5.0999999999999659</v>
      </c>
      <c r="BF6" s="96">
        <f t="shared" ref="BF6:BF33" si="4">SUM(I6-BE6)</f>
        <v>5.0999999999999659</v>
      </c>
      <c r="BG6" s="82">
        <f t="shared" ref="BG6:BG33" si="5">SUM(I6-BF6)</f>
        <v>-5.0999999999999659</v>
      </c>
      <c r="BI6" s="17"/>
      <c r="BJ6" s="17"/>
      <c r="BK6" s="17"/>
      <c r="BL6" s="17"/>
      <c r="BM6" s="17"/>
    </row>
    <row r="7" spans="1:65" ht="15.75" thickBot="1">
      <c r="A7" s="6">
        <f>ELEC!C5</f>
        <v>44532</v>
      </c>
      <c r="B7" s="5">
        <f t="shared" ref="B7:B36" si="6">B6</f>
        <v>109443</v>
      </c>
      <c r="C7" s="5">
        <f t="shared" ref="C7:C33" si="7">B7-B6</f>
        <v>0</v>
      </c>
      <c r="D7" s="402">
        <f t="shared" ref="D7:D33" si="8">C7/27</f>
        <v>0</v>
      </c>
      <c r="E7" s="318">
        <f>SUM((C7*$E$4)+(7500/'EDl log'!$A$37))</f>
        <v>241.93548387096774</v>
      </c>
      <c r="F7" s="401"/>
      <c r="G7" s="5">
        <v>626138</v>
      </c>
      <c r="H7" s="5">
        <f t="shared" ref="H7:H33" si="9">G7-G6</f>
        <v>160</v>
      </c>
      <c r="I7" s="5">
        <f t="shared" ref="I7:I33" si="10">C7+H7</f>
        <v>160</v>
      </c>
      <c r="J7" s="319">
        <f t="shared" si="0"/>
        <v>1.5120967741935485</v>
      </c>
      <c r="K7" s="5">
        <f>'Swimming Pool quality check '!H7</f>
        <v>6954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5180</v>
      </c>
      <c r="U7" s="5">
        <f t="shared" si="3"/>
        <v>0</v>
      </c>
      <c r="V7" s="5">
        <f t="shared" ref="V7:V36" si="14">V6</f>
        <v>477</v>
      </c>
      <c r="W7" s="309">
        <f t="shared" ref="W7:W33" si="15">+V7-V6</f>
        <v>0</v>
      </c>
      <c r="X7" s="5">
        <f t="shared" ref="X7:X36" si="16">X6</f>
        <v>154335</v>
      </c>
      <c r="Y7" s="309">
        <f>SUM(X7-X6)</f>
        <v>0</v>
      </c>
      <c r="Z7" s="5">
        <f t="shared" ref="Z7:Z36" si="17">Z6</f>
        <v>99258</v>
      </c>
      <c r="AA7" s="83">
        <f t="shared" ref="AA7:AA33" si="18">Z7-Z6</f>
        <v>0</v>
      </c>
      <c r="AB7" s="5">
        <f t="shared" ref="AB7:AB36" si="19">AB6</f>
        <v>248</v>
      </c>
      <c r="AC7" s="5">
        <f t="shared" ref="AC7:AC36" si="20">AC6</f>
        <v>789</v>
      </c>
      <c r="AD7" s="83">
        <f>AC7-AC6</f>
        <v>0</v>
      </c>
      <c r="AE7" s="5">
        <f t="shared" ref="AE7:AE36" si="21">AE6</f>
        <v>239.1</v>
      </c>
      <c r="AF7" s="83">
        <f t="shared" ref="AF7:AF32" si="22">AE7-AE6</f>
        <v>0</v>
      </c>
      <c r="AG7" s="5">
        <f t="shared" ref="AG7:AG36" si="23">AG6</f>
        <v>2217.83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18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44532</v>
      </c>
      <c r="AS7" s="407">
        <f t="shared" ref="AS7:AT21" si="29">AS6</f>
        <v>0.9</v>
      </c>
      <c r="AT7" s="201">
        <v>186</v>
      </c>
      <c r="AU7" s="408">
        <f>AU6</f>
        <v>1.1000000000000001</v>
      </c>
      <c r="AV7" s="201">
        <v>135</v>
      </c>
      <c r="AW7" s="5">
        <v>2.9</v>
      </c>
      <c r="AX7" s="201">
        <v>98</v>
      </c>
      <c r="AY7" s="409">
        <f>AS7*AT7</f>
        <v>167.4</v>
      </c>
      <c r="AZ7" s="409">
        <f>AU7*AV7</f>
        <v>148.5</v>
      </c>
      <c r="BA7" s="409">
        <f>AW7*AX7</f>
        <v>284.2</v>
      </c>
      <c r="BB7" s="21">
        <f>AY7-AY6</f>
        <v>82.8</v>
      </c>
      <c r="BC7" s="21">
        <f t="shared" ref="BC7:BD21" si="30">AZ7-AZ6</f>
        <v>-2.2000000000000171</v>
      </c>
      <c r="BD7" s="21">
        <f t="shared" si="30"/>
        <v>-5.8000000000000114</v>
      </c>
      <c r="BE7" s="24">
        <f t="shared" ref="BE7:BE33" si="31">SUM(BB7:BD7)</f>
        <v>74.799999999999969</v>
      </c>
      <c r="BF7" s="96">
        <f t="shared" si="4"/>
        <v>85.200000000000031</v>
      </c>
      <c r="BG7" s="82">
        <f t="shared" si="5"/>
        <v>74.799999999999969</v>
      </c>
      <c r="BI7" s="86"/>
      <c r="BJ7" s="17"/>
      <c r="BK7" s="17"/>
      <c r="BL7" s="17"/>
      <c r="BM7" s="17"/>
    </row>
    <row r="8" spans="1:65" ht="15.75" thickBot="1">
      <c r="A8" s="6">
        <f>ELEC!C6</f>
        <v>44533</v>
      </c>
      <c r="B8" s="5">
        <f t="shared" si="6"/>
        <v>109443</v>
      </c>
      <c r="C8" s="5">
        <f>B8-B7</f>
        <v>0</v>
      </c>
      <c r="D8" s="402">
        <f t="shared" si="8"/>
        <v>0</v>
      </c>
      <c r="E8" s="318">
        <f>SUM((C8*$E$4)+(7500/'EDl log'!$A$37))</f>
        <v>241.93548387096774</v>
      </c>
      <c r="F8" s="401"/>
      <c r="G8" s="5">
        <f t="shared" ref="G8:G20" si="32">G7</f>
        <v>626138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6954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5180</v>
      </c>
      <c r="U8" s="5">
        <f t="shared" si="3"/>
        <v>0</v>
      </c>
      <c r="V8" s="5">
        <f t="shared" si="14"/>
        <v>477</v>
      </c>
      <c r="W8" s="309">
        <f t="shared" si="15"/>
        <v>0</v>
      </c>
      <c r="X8" s="5">
        <f t="shared" si="16"/>
        <v>154335</v>
      </c>
      <c r="Y8" s="309">
        <f>SUM(X8-X7)</f>
        <v>0</v>
      </c>
      <c r="Z8" s="5">
        <f t="shared" si="17"/>
        <v>99258</v>
      </c>
      <c r="AA8" s="83">
        <f t="shared" si="18"/>
        <v>0</v>
      </c>
      <c r="AB8" s="5">
        <f t="shared" si="19"/>
        <v>248</v>
      </c>
      <c r="AC8" s="5">
        <f t="shared" si="20"/>
        <v>789</v>
      </c>
      <c r="AD8" s="83">
        <f t="shared" ref="AD8:AD33" si="33">AC8-AC7</f>
        <v>0</v>
      </c>
      <c r="AE8" s="5">
        <f t="shared" si="21"/>
        <v>239.1</v>
      </c>
      <c r="AF8" s="83">
        <f t="shared" si="22"/>
        <v>0</v>
      </c>
      <c r="AG8" s="5">
        <f t="shared" si="23"/>
        <v>2217.83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4">SUM(Y8-L8)</f>
        <v>0</v>
      </c>
      <c r="AL8" s="312">
        <f t="shared" si="27"/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44533</v>
      </c>
      <c r="AS8" s="407">
        <f t="shared" si="29"/>
        <v>0.9</v>
      </c>
      <c r="AT8" s="201">
        <f t="shared" si="29"/>
        <v>186</v>
      </c>
      <c r="AU8" s="408">
        <v>1.1000000000000001</v>
      </c>
      <c r="AV8" s="201">
        <f t="shared" ref="AV8:AV36" si="35">AV7</f>
        <v>135</v>
      </c>
      <c r="AW8" s="5">
        <v>2.9</v>
      </c>
      <c r="AX8" s="201">
        <f t="shared" ref="AX8:AX36" si="36">AX7</f>
        <v>98</v>
      </c>
      <c r="AY8" s="409">
        <f t="shared" ref="AY8:AY35" si="37">AS8*AT8</f>
        <v>167.4</v>
      </c>
      <c r="AZ8" s="409">
        <f t="shared" ref="AZ8:AZ33" si="38">AU8*AV8</f>
        <v>148.5</v>
      </c>
      <c r="BA8" s="409">
        <f t="shared" ref="BA8:BA33" si="39">AW8*AX8</f>
        <v>284.2</v>
      </c>
      <c r="BB8" s="21">
        <f t="shared" ref="BB8:BB19" si="40">AY8-AY7</f>
        <v>0</v>
      </c>
      <c r="BC8" s="21">
        <f t="shared" si="30"/>
        <v>0</v>
      </c>
      <c r="BD8" s="21">
        <f t="shared" si="30"/>
        <v>0</v>
      </c>
      <c r="BE8" s="24">
        <f t="shared" si="31"/>
        <v>0</v>
      </c>
      <c r="BF8" s="96">
        <f t="shared" si="4"/>
        <v>0</v>
      </c>
      <c r="BG8" s="82">
        <f t="shared" si="5"/>
        <v>0</v>
      </c>
      <c r="BI8" s="86"/>
      <c r="BJ8" s="17"/>
      <c r="BK8" s="17"/>
    </row>
    <row r="9" spans="1:65" ht="15.75" thickBot="1">
      <c r="A9" s="6">
        <f>ELEC!C7</f>
        <v>44534</v>
      </c>
      <c r="B9" s="5">
        <f t="shared" si="6"/>
        <v>109443</v>
      </c>
      <c r="C9" s="5">
        <f t="shared" si="7"/>
        <v>0</v>
      </c>
      <c r="D9" s="402">
        <f t="shared" si="8"/>
        <v>0</v>
      </c>
      <c r="E9" s="318">
        <f>SUM((C9*$E$4)+(7500/'EDl log'!$A$37))</f>
        <v>241.93548387096774</v>
      </c>
      <c r="F9" s="401"/>
      <c r="G9" s="5">
        <f t="shared" si="32"/>
        <v>626138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6954</v>
      </c>
      <c r="L9" s="83">
        <f t="shared" ref="L9:L33" si="41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5180</v>
      </c>
      <c r="U9" s="5">
        <f t="shared" si="3"/>
        <v>0</v>
      </c>
      <c r="V9" s="5">
        <f t="shared" si="14"/>
        <v>477</v>
      </c>
      <c r="W9" s="309">
        <f t="shared" si="15"/>
        <v>0</v>
      </c>
      <c r="X9" s="5">
        <f t="shared" si="16"/>
        <v>154335</v>
      </c>
      <c r="Y9" s="309">
        <f t="shared" ref="Y9:Y36" si="42">SUM(X9-X8)</f>
        <v>0</v>
      </c>
      <c r="Z9" s="5">
        <f t="shared" si="17"/>
        <v>99258</v>
      </c>
      <c r="AA9" s="83">
        <f t="shared" si="18"/>
        <v>0</v>
      </c>
      <c r="AB9" s="5">
        <f t="shared" si="19"/>
        <v>248</v>
      </c>
      <c r="AC9" s="5">
        <f t="shared" si="20"/>
        <v>789</v>
      </c>
      <c r="AD9" s="83">
        <f t="shared" si="33"/>
        <v>0</v>
      </c>
      <c r="AE9" s="5">
        <f t="shared" si="21"/>
        <v>239.1</v>
      </c>
      <c r="AF9" s="83">
        <f t="shared" si="22"/>
        <v>0</v>
      </c>
      <c r="AG9" s="5">
        <f t="shared" si="23"/>
        <v>2217.83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4"/>
        <v>0</v>
      </c>
      <c r="AL9" s="312">
        <f t="shared" si="27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44534</v>
      </c>
      <c r="AS9" s="407">
        <f t="shared" si="29"/>
        <v>0.9</v>
      </c>
      <c r="AT9" s="201">
        <f t="shared" si="29"/>
        <v>186</v>
      </c>
      <c r="AU9" s="408">
        <f t="shared" ref="AU9:AU33" si="43">AU8</f>
        <v>1.1000000000000001</v>
      </c>
      <c r="AV9" s="201">
        <f t="shared" si="35"/>
        <v>135</v>
      </c>
      <c r="AW9" s="5">
        <v>2.9</v>
      </c>
      <c r="AX9" s="201">
        <f t="shared" si="36"/>
        <v>98</v>
      </c>
      <c r="AY9" s="409">
        <f t="shared" si="37"/>
        <v>167.4</v>
      </c>
      <c r="AZ9" s="409">
        <f t="shared" si="38"/>
        <v>148.5</v>
      </c>
      <c r="BA9" s="409">
        <f t="shared" si="39"/>
        <v>284.2</v>
      </c>
      <c r="BB9" s="21">
        <f t="shared" si="40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0">
        <f t="shared" si="4"/>
        <v>0</v>
      </c>
      <c r="BG9" s="82">
        <f t="shared" si="5"/>
        <v>0</v>
      </c>
    </row>
    <row r="10" spans="1:65" ht="15.75" thickBot="1">
      <c r="A10" s="6">
        <f>ELEC!C8</f>
        <v>44535</v>
      </c>
      <c r="B10" s="5">
        <f t="shared" si="6"/>
        <v>109443</v>
      </c>
      <c r="C10" s="5">
        <f t="shared" si="7"/>
        <v>0</v>
      </c>
      <c r="D10" s="402">
        <f t="shared" si="8"/>
        <v>0</v>
      </c>
      <c r="E10" s="318">
        <f>SUM((C10*$E$4)+(7500/'EDl log'!$A$37))</f>
        <v>241.93548387096774</v>
      </c>
      <c r="F10" s="401"/>
      <c r="G10" s="5">
        <f t="shared" si="32"/>
        <v>626138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>'Swimming Pool quality check '!H10</f>
        <v>6960</v>
      </c>
      <c r="L10" s="83">
        <f>K10-K9</f>
        <v>6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5180</v>
      </c>
      <c r="U10" s="5">
        <f t="shared" si="3"/>
        <v>0</v>
      </c>
      <c r="V10" s="5">
        <f t="shared" si="14"/>
        <v>477</v>
      </c>
      <c r="W10" s="309">
        <f t="shared" si="15"/>
        <v>0</v>
      </c>
      <c r="X10" s="5">
        <f t="shared" si="16"/>
        <v>154335</v>
      </c>
      <c r="Y10" s="309">
        <f t="shared" si="42"/>
        <v>0</v>
      </c>
      <c r="Z10" s="5">
        <f t="shared" si="17"/>
        <v>99258</v>
      </c>
      <c r="AA10" s="83">
        <f t="shared" si="18"/>
        <v>0</v>
      </c>
      <c r="AB10" s="5">
        <f t="shared" si="19"/>
        <v>248</v>
      </c>
      <c r="AC10" s="5">
        <f t="shared" si="20"/>
        <v>789</v>
      </c>
      <c r="AD10" s="83">
        <f t="shared" si="33"/>
        <v>0</v>
      </c>
      <c r="AE10" s="5">
        <f t="shared" si="21"/>
        <v>239.1</v>
      </c>
      <c r="AF10" s="83">
        <f t="shared" si="22"/>
        <v>0</v>
      </c>
      <c r="AG10" s="5">
        <f t="shared" si="23"/>
        <v>2217.83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-6</v>
      </c>
      <c r="AL10" s="312">
        <f t="shared" si="27"/>
        <v>0</v>
      </c>
      <c r="AM10" s="312">
        <f>'General information '!D9</f>
        <v>20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44535</v>
      </c>
      <c r="AS10" s="407">
        <f t="shared" si="29"/>
        <v>0.9</v>
      </c>
      <c r="AT10" s="201">
        <f t="shared" si="29"/>
        <v>186</v>
      </c>
      <c r="AU10" s="408">
        <f t="shared" si="43"/>
        <v>1.1000000000000001</v>
      </c>
      <c r="AV10" s="201">
        <f t="shared" si="35"/>
        <v>135</v>
      </c>
      <c r="AW10" s="5">
        <v>2.9</v>
      </c>
      <c r="AX10" s="201">
        <v>97</v>
      </c>
      <c r="AY10" s="409">
        <f t="shared" si="37"/>
        <v>167.4</v>
      </c>
      <c r="AZ10" s="409">
        <f t="shared" si="38"/>
        <v>148.5</v>
      </c>
      <c r="BA10" s="409">
        <f t="shared" si="39"/>
        <v>281.3</v>
      </c>
      <c r="BB10" s="21">
        <f t="shared" si="40"/>
        <v>0</v>
      </c>
      <c r="BC10" s="21">
        <f t="shared" si="30"/>
        <v>0</v>
      </c>
      <c r="BD10" s="21">
        <f t="shared" si="30"/>
        <v>-2.8999999999999773</v>
      </c>
      <c r="BE10" s="24">
        <f t="shared" si="31"/>
        <v>-2.8999999999999773</v>
      </c>
      <c r="BF10" s="96">
        <f t="shared" si="4"/>
        <v>2.8999999999999773</v>
      </c>
      <c r="BG10" s="82">
        <f t="shared" si="5"/>
        <v>-2.8999999999999773</v>
      </c>
    </row>
    <row r="11" spans="1:65" ht="15.75" thickBot="1">
      <c r="A11" s="6">
        <f>ELEC!C9</f>
        <v>44536</v>
      </c>
      <c r="B11" s="5">
        <f t="shared" si="6"/>
        <v>109443</v>
      </c>
      <c r="C11" s="5">
        <f t="shared" si="7"/>
        <v>0</v>
      </c>
      <c r="D11" s="402">
        <f t="shared" si="8"/>
        <v>0</v>
      </c>
      <c r="E11" s="318">
        <f>SUM((C11*$E$4)+(7500/'EDl log'!$A$37))</f>
        <v>241.93548387096774</v>
      </c>
      <c r="F11" s="401"/>
      <c r="G11" s="5">
        <f t="shared" si="32"/>
        <v>626138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6960</v>
      </c>
      <c r="L11" s="83">
        <f t="shared" si="41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5180</v>
      </c>
      <c r="U11" s="5">
        <f t="shared" si="3"/>
        <v>0</v>
      </c>
      <c r="V11" s="5">
        <f t="shared" si="14"/>
        <v>477</v>
      </c>
      <c r="W11" s="309">
        <f t="shared" si="15"/>
        <v>0</v>
      </c>
      <c r="X11" s="5">
        <f t="shared" si="16"/>
        <v>154335</v>
      </c>
      <c r="Y11" s="309">
        <f t="shared" si="42"/>
        <v>0</v>
      </c>
      <c r="Z11" s="5">
        <f t="shared" si="17"/>
        <v>99258</v>
      </c>
      <c r="AA11" s="83">
        <f t="shared" si="18"/>
        <v>0</v>
      </c>
      <c r="AB11" s="5">
        <f t="shared" si="19"/>
        <v>248</v>
      </c>
      <c r="AC11" s="5">
        <f t="shared" si="20"/>
        <v>789</v>
      </c>
      <c r="AD11" s="83">
        <f t="shared" si="33"/>
        <v>0</v>
      </c>
      <c r="AE11" s="5">
        <f t="shared" si="21"/>
        <v>239.1</v>
      </c>
      <c r="AF11" s="83">
        <f t="shared" si="22"/>
        <v>0</v>
      </c>
      <c r="AG11" s="5">
        <f t="shared" si="23"/>
        <v>2217.83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4"/>
        <v>0</v>
      </c>
      <c r="AL11" s="312">
        <f t="shared" si="27"/>
        <v>0</v>
      </c>
      <c r="AM11" s="312">
        <f>'General information '!D10</f>
        <v>19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44536</v>
      </c>
      <c r="AS11" s="407">
        <f t="shared" si="29"/>
        <v>0.9</v>
      </c>
      <c r="AT11" s="201">
        <f t="shared" si="29"/>
        <v>186</v>
      </c>
      <c r="AU11" s="408">
        <f t="shared" si="43"/>
        <v>1.1000000000000001</v>
      </c>
      <c r="AV11" s="201">
        <f t="shared" si="35"/>
        <v>135</v>
      </c>
      <c r="AW11" s="5">
        <v>2.9</v>
      </c>
      <c r="AX11" s="201">
        <v>96</v>
      </c>
      <c r="AY11" s="409">
        <f t="shared" si="37"/>
        <v>167.4</v>
      </c>
      <c r="AZ11" s="409">
        <f t="shared" si="38"/>
        <v>148.5</v>
      </c>
      <c r="BA11" s="409">
        <f t="shared" si="39"/>
        <v>278.39999999999998</v>
      </c>
      <c r="BB11" s="21">
        <f t="shared" si="40"/>
        <v>0</v>
      </c>
      <c r="BC11" s="21">
        <f t="shared" si="30"/>
        <v>0</v>
      </c>
      <c r="BD11" s="21">
        <f t="shared" si="30"/>
        <v>-2.9000000000000341</v>
      </c>
      <c r="BE11" s="24">
        <f t="shared" si="31"/>
        <v>-2.9000000000000341</v>
      </c>
      <c r="BF11" s="96">
        <f t="shared" si="4"/>
        <v>2.9000000000000341</v>
      </c>
      <c r="BG11" s="82">
        <f t="shared" si="5"/>
        <v>-2.9000000000000341</v>
      </c>
    </row>
    <row r="12" spans="1:65" ht="15.75" thickBot="1">
      <c r="A12" s="6">
        <f>ELEC!C10</f>
        <v>44537</v>
      </c>
      <c r="B12" s="5">
        <f t="shared" si="6"/>
        <v>109443</v>
      </c>
      <c r="C12" s="5">
        <f>B12-B11</f>
        <v>0</v>
      </c>
      <c r="D12" s="402">
        <f t="shared" si="8"/>
        <v>0</v>
      </c>
      <c r="E12" s="318">
        <f>SUM((C12*$E$4)+(7500/'EDl log'!$A$37))</f>
        <v>241.93548387096774</v>
      </c>
      <c r="F12" s="401"/>
      <c r="G12" s="5">
        <f t="shared" si="32"/>
        <v>626138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6960</v>
      </c>
      <c r="L12" s="83">
        <f t="shared" si="41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5180</v>
      </c>
      <c r="U12" s="5">
        <f t="shared" si="3"/>
        <v>0</v>
      </c>
      <c r="V12" s="5">
        <f t="shared" si="14"/>
        <v>477</v>
      </c>
      <c r="W12" s="309">
        <f t="shared" si="15"/>
        <v>0</v>
      </c>
      <c r="X12" s="5">
        <f t="shared" si="16"/>
        <v>154335</v>
      </c>
      <c r="Y12" s="309">
        <f t="shared" si="42"/>
        <v>0</v>
      </c>
      <c r="Z12" s="5">
        <f t="shared" si="17"/>
        <v>99258</v>
      </c>
      <c r="AA12" s="83">
        <f t="shared" si="18"/>
        <v>0</v>
      </c>
      <c r="AB12" s="5">
        <f t="shared" si="19"/>
        <v>248</v>
      </c>
      <c r="AC12" s="5">
        <f t="shared" si="20"/>
        <v>789</v>
      </c>
      <c r="AD12" s="83">
        <f t="shared" si="33"/>
        <v>0</v>
      </c>
      <c r="AE12" s="5">
        <f t="shared" si="21"/>
        <v>239.1</v>
      </c>
      <c r="AF12" s="83">
        <f t="shared" si="22"/>
        <v>0</v>
      </c>
      <c r="AG12" s="5">
        <f t="shared" si="23"/>
        <v>2217.83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4"/>
        <v>0</v>
      </c>
      <c r="AL12" s="312">
        <f t="shared" si="27"/>
        <v>0</v>
      </c>
      <c r="AM12" s="312">
        <f>'General information '!D11</f>
        <v>19.5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44537</v>
      </c>
      <c r="AS12" s="407">
        <f t="shared" si="29"/>
        <v>0.9</v>
      </c>
      <c r="AT12" s="201">
        <v>184</v>
      </c>
      <c r="AU12" s="408">
        <f t="shared" si="43"/>
        <v>1.1000000000000001</v>
      </c>
      <c r="AV12" s="201">
        <v>134</v>
      </c>
      <c r="AW12" s="5">
        <v>2.9</v>
      </c>
      <c r="AX12" s="201">
        <v>94</v>
      </c>
      <c r="AY12" s="409">
        <f t="shared" si="37"/>
        <v>165.6</v>
      </c>
      <c r="AZ12" s="409">
        <f t="shared" si="38"/>
        <v>147.4</v>
      </c>
      <c r="BA12" s="409">
        <f t="shared" si="39"/>
        <v>272.59999999999997</v>
      </c>
      <c r="BB12" s="21">
        <f t="shared" si="40"/>
        <v>-1.8000000000000114</v>
      </c>
      <c r="BC12" s="21">
        <f t="shared" si="30"/>
        <v>-1.0999999999999943</v>
      </c>
      <c r="BD12" s="21">
        <f t="shared" si="30"/>
        <v>-5.8000000000000114</v>
      </c>
      <c r="BE12" s="24">
        <f t="shared" si="31"/>
        <v>-8.7000000000000171</v>
      </c>
      <c r="BF12" s="96">
        <f t="shared" si="4"/>
        <v>8.7000000000000171</v>
      </c>
      <c r="BG12" s="82">
        <f t="shared" si="5"/>
        <v>-8.7000000000000171</v>
      </c>
    </row>
    <row r="13" spans="1:65" ht="15.75" thickBot="1">
      <c r="A13" s="6">
        <f>ELEC!C11</f>
        <v>44538</v>
      </c>
      <c r="B13" s="5">
        <f t="shared" si="6"/>
        <v>109443</v>
      </c>
      <c r="C13" s="5">
        <f t="shared" si="7"/>
        <v>0</v>
      </c>
      <c r="D13" s="402">
        <f t="shared" si="8"/>
        <v>0</v>
      </c>
      <c r="E13" s="318">
        <f>SUM((C13*$E$4)+(7500/'EDl log'!$A$37))</f>
        <v>241.93548387096774</v>
      </c>
      <c r="F13" s="401"/>
      <c r="G13" s="5">
        <f t="shared" si="32"/>
        <v>626138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6960</v>
      </c>
      <c r="L13" s="83">
        <f t="shared" si="41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5180</v>
      </c>
      <c r="U13" s="5">
        <f t="shared" si="3"/>
        <v>0</v>
      </c>
      <c r="V13" s="5">
        <f t="shared" si="14"/>
        <v>477</v>
      </c>
      <c r="W13" s="309">
        <f t="shared" si="15"/>
        <v>0</v>
      </c>
      <c r="X13" s="5">
        <f t="shared" si="16"/>
        <v>154335</v>
      </c>
      <c r="Y13" s="309">
        <f t="shared" si="42"/>
        <v>0</v>
      </c>
      <c r="Z13" s="5">
        <f t="shared" si="17"/>
        <v>99258</v>
      </c>
      <c r="AA13" s="83">
        <f t="shared" si="18"/>
        <v>0</v>
      </c>
      <c r="AB13" s="5">
        <f t="shared" si="19"/>
        <v>248</v>
      </c>
      <c r="AC13" s="5">
        <f t="shared" si="20"/>
        <v>789</v>
      </c>
      <c r="AD13" s="83">
        <f t="shared" si="33"/>
        <v>0</v>
      </c>
      <c r="AE13" s="5">
        <f t="shared" si="21"/>
        <v>239.1</v>
      </c>
      <c r="AF13" s="83">
        <f t="shared" si="22"/>
        <v>0</v>
      </c>
      <c r="AG13" s="5">
        <f t="shared" si="23"/>
        <v>2217.83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4"/>
        <v>0</v>
      </c>
      <c r="AL13" s="312">
        <f t="shared" si="27"/>
        <v>0</v>
      </c>
      <c r="AM13" s="312">
        <f>'General information '!D12</f>
        <v>16.5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44538</v>
      </c>
      <c r="AS13" s="407">
        <f t="shared" si="29"/>
        <v>0.9</v>
      </c>
      <c r="AT13" s="201">
        <f t="shared" si="29"/>
        <v>184</v>
      </c>
      <c r="AU13" s="408">
        <f t="shared" si="43"/>
        <v>1.1000000000000001</v>
      </c>
      <c r="AV13" s="201">
        <f t="shared" si="35"/>
        <v>134</v>
      </c>
      <c r="AW13" s="5">
        <v>2.9</v>
      </c>
      <c r="AX13" s="201">
        <v>84</v>
      </c>
      <c r="AY13" s="409">
        <f t="shared" si="37"/>
        <v>165.6</v>
      </c>
      <c r="AZ13" s="409">
        <f t="shared" si="38"/>
        <v>147.4</v>
      </c>
      <c r="BA13" s="409">
        <f t="shared" si="39"/>
        <v>243.6</v>
      </c>
      <c r="BB13" s="21">
        <f t="shared" si="40"/>
        <v>0</v>
      </c>
      <c r="BC13" s="21">
        <f t="shared" si="30"/>
        <v>0</v>
      </c>
      <c r="BD13" s="21">
        <f t="shared" si="30"/>
        <v>-28.999999999999972</v>
      </c>
      <c r="BE13" s="24">
        <f t="shared" si="31"/>
        <v>-28.999999999999972</v>
      </c>
      <c r="BF13" s="96">
        <f t="shared" si="4"/>
        <v>28.999999999999972</v>
      </c>
      <c r="BG13" s="82">
        <f t="shared" si="5"/>
        <v>-28.999999999999972</v>
      </c>
    </row>
    <row r="14" spans="1:65" ht="15.75" thickBot="1">
      <c r="A14" s="6">
        <f>ELEC!C12</f>
        <v>44539</v>
      </c>
      <c r="B14" s="5">
        <f t="shared" si="6"/>
        <v>109443</v>
      </c>
      <c r="C14" s="5">
        <f t="shared" si="7"/>
        <v>0</v>
      </c>
      <c r="D14" s="402">
        <f t="shared" si="8"/>
        <v>0</v>
      </c>
      <c r="E14" s="318">
        <f>SUM((C14*$E$4)+(7500/'EDl log'!$A$37))</f>
        <v>241.93548387096774</v>
      </c>
      <c r="F14" s="401"/>
      <c r="G14" s="5">
        <v>626308</v>
      </c>
      <c r="H14" s="5">
        <f t="shared" si="9"/>
        <v>170</v>
      </c>
      <c r="I14" s="5">
        <f t="shared" si="10"/>
        <v>170</v>
      </c>
      <c r="J14" s="319">
        <f t="shared" si="0"/>
        <v>1.4231499051233396</v>
      </c>
      <c r="K14" s="5">
        <f>'Swimming Pool quality check '!H14</f>
        <v>6966</v>
      </c>
      <c r="L14" s="83">
        <f t="shared" si="41"/>
        <v>6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5180</v>
      </c>
      <c r="U14" s="5">
        <f t="shared" si="3"/>
        <v>0</v>
      </c>
      <c r="V14" s="5">
        <f t="shared" si="14"/>
        <v>477</v>
      </c>
      <c r="W14" s="309">
        <f t="shared" si="15"/>
        <v>0</v>
      </c>
      <c r="X14" s="5">
        <v>154481</v>
      </c>
      <c r="Y14" s="309">
        <f t="shared" si="42"/>
        <v>146</v>
      </c>
      <c r="Z14" s="5">
        <f t="shared" si="17"/>
        <v>99258</v>
      </c>
      <c r="AA14" s="83">
        <f t="shared" si="18"/>
        <v>0</v>
      </c>
      <c r="AB14" s="5">
        <f t="shared" si="19"/>
        <v>248</v>
      </c>
      <c r="AC14" s="5">
        <f t="shared" si="20"/>
        <v>789</v>
      </c>
      <c r="AD14" s="83">
        <f t="shared" si="33"/>
        <v>0</v>
      </c>
      <c r="AE14" s="5">
        <f t="shared" si="21"/>
        <v>239.1</v>
      </c>
      <c r="AF14" s="83">
        <f t="shared" si="22"/>
        <v>0</v>
      </c>
      <c r="AG14" s="5">
        <f t="shared" si="23"/>
        <v>2217.83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4"/>
        <v>140</v>
      </c>
      <c r="AL14" s="312">
        <f t="shared" si="27"/>
        <v>0</v>
      </c>
      <c r="AM14" s="312">
        <f>'General information '!D13</f>
        <v>17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44539</v>
      </c>
      <c r="AS14" s="407">
        <f t="shared" si="29"/>
        <v>0.9</v>
      </c>
      <c r="AT14" s="201">
        <v>114</v>
      </c>
      <c r="AU14" s="408">
        <f t="shared" si="43"/>
        <v>1.1000000000000001</v>
      </c>
      <c r="AV14" s="201">
        <v>132</v>
      </c>
      <c r="AW14" s="5">
        <v>2.9</v>
      </c>
      <c r="AX14" s="201">
        <v>124</v>
      </c>
      <c r="AY14" s="409">
        <f t="shared" si="37"/>
        <v>102.60000000000001</v>
      </c>
      <c r="AZ14" s="409">
        <f t="shared" si="38"/>
        <v>145.20000000000002</v>
      </c>
      <c r="BA14" s="409">
        <f t="shared" si="39"/>
        <v>359.59999999999997</v>
      </c>
      <c r="BB14" s="21">
        <f t="shared" si="40"/>
        <v>-62.999999999999986</v>
      </c>
      <c r="BC14" s="21">
        <f t="shared" si="30"/>
        <v>-2.1999999999999886</v>
      </c>
      <c r="BD14" s="21">
        <f t="shared" si="30"/>
        <v>115.99999999999997</v>
      </c>
      <c r="BE14" s="24">
        <f t="shared" si="31"/>
        <v>50.8</v>
      </c>
      <c r="BF14" s="96">
        <f t="shared" si="4"/>
        <v>119.2</v>
      </c>
      <c r="BG14" s="82">
        <f t="shared" si="5"/>
        <v>50.8</v>
      </c>
    </row>
    <row r="15" spans="1:65" ht="16.5" customHeight="1" thickBot="1">
      <c r="A15" s="6">
        <f>ELEC!C13</f>
        <v>44540</v>
      </c>
      <c r="B15" s="5">
        <f t="shared" si="6"/>
        <v>109443</v>
      </c>
      <c r="C15" s="5">
        <f t="shared" si="7"/>
        <v>0</v>
      </c>
      <c r="D15" s="402">
        <f t="shared" si="8"/>
        <v>0</v>
      </c>
      <c r="E15" s="318">
        <f>SUM((C15*$E$4)+(7500/'EDl log'!$A$37))</f>
        <v>241.93548387096774</v>
      </c>
      <c r="F15" s="401"/>
      <c r="G15" s="5">
        <f t="shared" si="32"/>
        <v>626308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6966</v>
      </c>
      <c r="L15" s="83">
        <f t="shared" si="41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5180</v>
      </c>
      <c r="U15" s="5">
        <f t="shared" si="3"/>
        <v>0</v>
      </c>
      <c r="V15" s="5">
        <f t="shared" si="14"/>
        <v>477</v>
      </c>
      <c r="W15" s="309">
        <f t="shared" si="15"/>
        <v>0</v>
      </c>
      <c r="X15" s="5">
        <f t="shared" si="16"/>
        <v>154481</v>
      </c>
      <c r="Y15" s="309">
        <f t="shared" si="42"/>
        <v>0</v>
      </c>
      <c r="Z15" s="5">
        <f t="shared" si="17"/>
        <v>99258</v>
      </c>
      <c r="AA15" s="83">
        <f t="shared" si="18"/>
        <v>0</v>
      </c>
      <c r="AB15" s="5">
        <f t="shared" si="19"/>
        <v>248</v>
      </c>
      <c r="AC15" s="5">
        <f t="shared" si="20"/>
        <v>789</v>
      </c>
      <c r="AD15" s="83">
        <f t="shared" si="33"/>
        <v>0</v>
      </c>
      <c r="AE15" s="5">
        <f t="shared" si="21"/>
        <v>239.1</v>
      </c>
      <c r="AF15" s="83">
        <f t="shared" si="22"/>
        <v>0</v>
      </c>
      <c r="AG15" s="5">
        <f t="shared" si="23"/>
        <v>2217.83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4"/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44540</v>
      </c>
      <c r="AS15" s="407">
        <f t="shared" si="29"/>
        <v>0.9</v>
      </c>
      <c r="AT15" s="201">
        <f t="shared" si="29"/>
        <v>114</v>
      </c>
      <c r="AU15" s="408">
        <f t="shared" si="43"/>
        <v>1.1000000000000001</v>
      </c>
      <c r="AV15" s="201">
        <f t="shared" si="35"/>
        <v>132</v>
      </c>
      <c r="AW15" s="5">
        <v>2.9</v>
      </c>
      <c r="AX15" s="201">
        <f t="shared" si="36"/>
        <v>124</v>
      </c>
      <c r="AY15" s="409">
        <f t="shared" si="37"/>
        <v>102.60000000000001</v>
      </c>
      <c r="AZ15" s="409">
        <f t="shared" si="38"/>
        <v>145.20000000000002</v>
      </c>
      <c r="BA15" s="409">
        <f t="shared" si="39"/>
        <v>359.59999999999997</v>
      </c>
      <c r="BB15" s="21">
        <f t="shared" si="40"/>
        <v>0</v>
      </c>
      <c r="BC15" s="21">
        <f t="shared" si="30"/>
        <v>0</v>
      </c>
      <c r="BD15" s="21">
        <f t="shared" si="30"/>
        <v>0</v>
      </c>
      <c r="BE15" s="24">
        <f t="shared" si="31"/>
        <v>0</v>
      </c>
      <c r="BF15" s="96">
        <f t="shared" si="4"/>
        <v>0</v>
      </c>
      <c r="BG15" s="82">
        <f t="shared" si="5"/>
        <v>0</v>
      </c>
    </row>
    <row r="16" spans="1:65" ht="15.75" thickBot="1">
      <c r="A16" s="6">
        <f>ELEC!C14</f>
        <v>44541</v>
      </c>
      <c r="B16" s="5">
        <f t="shared" si="6"/>
        <v>109443</v>
      </c>
      <c r="C16" s="5">
        <f t="shared" si="7"/>
        <v>0</v>
      </c>
      <c r="D16" s="402">
        <f t="shared" si="8"/>
        <v>0</v>
      </c>
      <c r="E16" s="318">
        <f>SUM((C16*$E$4)+(7500/'EDl log'!$A$37))</f>
        <v>241.93548387096774</v>
      </c>
      <c r="F16" s="401"/>
      <c r="G16" s="5">
        <f t="shared" si="32"/>
        <v>626308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6966</v>
      </c>
      <c r="L16" s="263">
        <f t="shared" si="41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5180</v>
      </c>
      <c r="U16" s="5">
        <f t="shared" si="3"/>
        <v>0</v>
      </c>
      <c r="V16" s="5">
        <f t="shared" si="14"/>
        <v>477</v>
      </c>
      <c r="W16" s="309">
        <f t="shared" si="15"/>
        <v>0</v>
      </c>
      <c r="X16" s="5">
        <f t="shared" si="16"/>
        <v>154481</v>
      </c>
      <c r="Y16" s="309">
        <f t="shared" si="42"/>
        <v>0</v>
      </c>
      <c r="Z16" s="5">
        <f t="shared" si="17"/>
        <v>99258</v>
      </c>
      <c r="AA16" s="83">
        <f t="shared" si="18"/>
        <v>0</v>
      </c>
      <c r="AB16" s="5">
        <f t="shared" si="19"/>
        <v>248</v>
      </c>
      <c r="AC16" s="5">
        <f t="shared" si="20"/>
        <v>789</v>
      </c>
      <c r="AD16" s="83">
        <f t="shared" si="33"/>
        <v>0</v>
      </c>
      <c r="AE16" s="5">
        <f t="shared" si="21"/>
        <v>239.1</v>
      </c>
      <c r="AF16" s="83">
        <f t="shared" si="22"/>
        <v>0</v>
      </c>
      <c r="AG16" s="5">
        <f t="shared" si="23"/>
        <v>2217.83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4"/>
        <v>0</v>
      </c>
      <c r="AL16" s="312">
        <f t="shared" si="27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44541</v>
      </c>
      <c r="AS16" s="407">
        <f t="shared" si="29"/>
        <v>0.9</v>
      </c>
      <c r="AT16" s="201">
        <f t="shared" si="29"/>
        <v>114</v>
      </c>
      <c r="AU16" s="408">
        <f t="shared" si="43"/>
        <v>1.1000000000000001</v>
      </c>
      <c r="AV16" s="201">
        <f t="shared" si="35"/>
        <v>132</v>
      </c>
      <c r="AW16" s="5">
        <v>2.9</v>
      </c>
      <c r="AX16" s="201">
        <f t="shared" si="36"/>
        <v>124</v>
      </c>
      <c r="AY16" s="409">
        <f t="shared" si="37"/>
        <v>102.60000000000001</v>
      </c>
      <c r="AZ16" s="409">
        <f t="shared" si="38"/>
        <v>145.20000000000002</v>
      </c>
      <c r="BA16" s="409">
        <f t="shared" si="39"/>
        <v>359.59999999999997</v>
      </c>
      <c r="BB16" s="21">
        <f t="shared" si="40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4"/>
        <v>0</v>
      </c>
      <c r="BG16" s="82">
        <f t="shared" si="5"/>
        <v>0</v>
      </c>
    </row>
    <row r="17" spans="1:61" ht="15.75" thickBot="1">
      <c r="A17" s="6">
        <f>ELEC!C15</f>
        <v>44542</v>
      </c>
      <c r="B17" s="5">
        <f t="shared" si="6"/>
        <v>109443</v>
      </c>
      <c r="C17" s="5">
        <f t="shared" si="7"/>
        <v>0</v>
      </c>
      <c r="D17" s="402">
        <f t="shared" si="8"/>
        <v>0</v>
      </c>
      <c r="E17" s="318">
        <f>SUM((C17*$E$4)+(7500/'EDl log'!$A$37))</f>
        <v>241.93548387096774</v>
      </c>
      <c r="F17" s="401"/>
      <c r="G17" s="5">
        <v>626310</v>
      </c>
      <c r="H17" s="5">
        <f t="shared" si="9"/>
        <v>2</v>
      </c>
      <c r="I17" s="5">
        <f t="shared" si="10"/>
        <v>2</v>
      </c>
      <c r="J17" s="319">
        <f t="shared" si="0"/>
        <v>120.96774193548387</v>
      </c>
      <c r="K17" s="5">
        <f>'Swimming Pool quality check '!H17</f>
        <v>6967</v>
      </c>
      <c r="L17" s="83">
        <f t="shared" si="41"/>
        <v>1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5180</v>
      </c>
      <c r="U17" s="5">
        <f t="shared" si="3"/>
        <v>0</v>
      </c>
      <c r="V17" s="5">
        <f t="shared" si="14"/>
        <v>477</v>
      </c>
      <c r="W17" s="309">
        <f t="shared" si="15"/>
        <v>0</v>
      </c>
      <c r="X17" s="5">
        <f t="shared" si="16"/>
        <v>154481</v>
      </c>
      <c r="Y17" s="309">
        <f t="shared" si="42"/>
        <v>0</v>
      </c>
      <c r="Z17" s="5">
        <f t="shared" si="17"/>
        <v>99258</v>
      </c>
      <c r="AA17" s="83">
        <f t="shared" si="18"/>
        <v>0</v>
      </c>
      <c r="AB17" s="5">
        <f t="shared" si="19"/>
        <v>248</v>
      </c>
      <c r="AC17" s="5">
        <f t="shared" si="20"/>
        <v>789</v>
      </c>
      <c r="AD17" s="83">
        <f t="shared" si="33"/>
        <v>0</v>
      </c>
      <c r="AE17" s="5">
        <f t="shared" si="21"/>
        <v>239.1</v>
      </c>
      <c r="AF17" s="83">
        <f t="shared" si="22"/>
        <v>0</v>
      </c>
      <c r="AG17" s="5">
        <f t="shared" si="23"/>
        <v>2217.83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-1</v>
      </c>
      <c r="AL17" s="312">
        <f t="shared" si="27"/>
        <v>0</v>
      </c>
      <c r="AM17" s="312">
        <f>'General information '!D16</f>
        <v>18.5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44542</v>
      </c>
      <c r="AS17" s="407">
        <f t="shared" si="29"/>
        <v>0.9</v>
      </c>
      <c r="AT17" s="201">
        <v>117</v>
      </c>
      <c r="AU17" s="408">
        <f t="shared" si="43"/>
        <v>1.1000000000000001</v>
      </c>
      <c r="AV17" s="201">
        <v>131</v>
      </c>
      <c r="AW17" s="5">
        <v>2.9</v>
      </c>
      <c r="AX17" s="201">
        <v>122</v>
      </c>
      <c r="AY17" s="409">
        <f t="shared" si="37"/>
        <v>105.3</v>
      </c>
      <c r="AZ17" s="409">
        <f t="shared" si="38"/>
        <v>144.10000000000002</v>
      </c>
      <c r="BA17" s="409">
        <f t="shared" si="39"/>
        <v>353.8</v>
      </c>
      <c r="BB17" s="21">
        <f t="shared" si="40"/>
        <v>2.6999999999999886</v>
      </c>
      <c r="BC17" s="21">
        <f t="shared" si="30"/>
        <v>-1.0999999999999943</v>
      </c>
      <c r="BD17" s="21">
        <f t="shared" si="30"/>
        <v>-5.7999999999999545</v>
      </c>
      <c r="BE17" s="24">
        <f t="shared" si="31"/>
        <v>-4.1999999999999602</v>
      </c>
      <c r="BF17" s="96">
        <f t="shared" si="4"/>
        <v>6.1999999999999602</v>
      </c>
      <c r="BG17" s="82">
        <f t="shared" si="5"/>
        <v>-4.1999999999999602</v>
      </c>
    </row>
    <row r="18" spans="1:61" ht="15.75" thickBot="1">
      <c r="A18" s="6">
        <f>ELEC!C16</f>
        <v>44543</v>
      </c>
      <c r="B18" s="5">
        <f t="shared" si="6"/>
        <v>109443</v>
      </c>
      <c r="C18" s="5">
        <f t="shared" si="7"/>
        <v>0</v>
      </c>
      <c r="D18" s="402">
        <f t="shared" si="8"/>
        <v>0</v>
      </c>
      <c r="E18" s="318">
        <f>SUM((C18*$E$4)+(7500/'EDl log'!$A$37))</f>
        <v>241.93548387096774</v>
      </c>
      <c r="F18" s="401"/>
      <c r="G18" s="5">
        <f t="shared" si="32"/>
        <v>626310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6967</v>
      </c>
      <c r="L18" s="83">
        <f t="shared" si="41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5180</v>
      </c>
      <c r="U18" s="5">
        <f t="shared" si="3"/>
        <v>0</v>
      </c>
      <c r="V18" s="5">
        <f t="shared" si="14"/>
        <v>477</v>
      </c>
      <c r="W18" s="309">
        <f t="shared" si="15"/>
        <v>0</v>
      </c>
      <c r="X18" s="5">
        <f t="shared" si="16"/>
        <v>154481</v>
      </c>
      <c r="Y18" s="309">
        <f t="shared" si="42"/>
        <v>0</v>
      </c>
      <c r="Z18" s="5">
        <f t="shared" si="17"/>
        <v>99258</v>
      </c>
      <c r="AA18" s="83">
        <f t="shared" si="18"/>
        <v>0</v>
      </c>
      <c r="AB18" s="5">
        <f t="shared" si="19"/>
        <v>248</v>
      </c>
      <c r="AC18" s="5">
        <f t="shared" si="20"/>
        <v>789</v>
      </c>
      <c r="AD18" s="83">
        <f t="shared" si="33"/>
        <v>0</v>
      </c>
      <c r="AE18" s="5">
        <f t="shared" si="21"/>
        <v>239.1</v>
      </c>
      <c r="AF18" s="83">
        <f t="shared" si="22"/>
        <v>0</v>
      </c>
      <c r="AG18" s="5">
        <f t="shared" si="23"/>
        <v>2217.83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20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44543</v>
      </c>
      <c r="AS18" s="407">
        <f t="shared" si="29"/>
        <v>0.9</v>
      </c>
      <c r="AT18" s="201">
        <f t="shared" si="29"/>
        <v>117</v>
      </c>
      <c r="AU18" s="408">
        <f t="shared" si="43"/>
        <v>1.1000000000000001</v>
      </c>
      <c r="AV18" s="201">
        <v>130</v>
      </c>
      <c r="AW18" s="5">
        <v>2.9</v>
      </c>
      <c r="AX18" s="201">
        <v>120</v>
      </c>
      <c r="AY18" s="409">
        <f t="shared" si="37"/>
        <v>105.3</v>
      </c>
      <c r="AZ18" s="409">
        <f t="shared" si="38"/>
        <v>143</v>
      </c>
      <c r="BA18" s="409">
        <f t="shared" si="39"/>
        <v>348</v>
      </c>
      <c r="BB18" s="21">
        <f t="shared" si="40"/>
        <v>0</v>
      </c>
      <c r="BC18" s="21">
        <f t="shared" si="30"/>
        <v>-1.1000000000000227</v>
      </c>
      <c r="BD18" s="21">
        <f t="shared" si="30"/>
        <v>-5.8000000000000114</v>
      </c>
      <c r="BE18" s="24">
        <f t="shared" si="31"/>
        <v>-6.9000000000000341</v>
      </c>
      <c r="BF18" s="96">
        <f t="shared" si="4"/>
        <v>6.9000000000000341</v>
      </c>
      <c r="BG18" s="82">
        <f t="shared" si="5"/>
        <v>-6.9000000000000341</v>
      </c>
    </row>
    <row r="19" spans="1:61" ht="15.75" thickBot="1">
      <c r="A19" s="6">
        <f>ELEC!C17</f>
        <v>44544</v>
      </c>
      <c r="B19" s="5">
        <f t="shared" si="6"/>
        <v>109443</v>
      </c>
      <c r="C19" s="5">
        <f t="shared" si="7"/>
        <v>0</v>
      </c>
      <c r="D19" s="402">
        <f t="shared" si="8"/>
        <v>0</v>
      </c>
      <c r="E19" s="318">
        <f>SUM((C19*$E$4)+(7500/'EDl log'!$A$37))</f>
        <v>241.93548387096774</v>
      </c>
      <c r="F19" s="401"/>
      <c r="G19" s="5">
        <f t="shared" si="32"/>
        <v>626310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6968</v>
      </c>
      <c r="L19" s="83">
        <f t="shared" si="41"/>
        <v>1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5180</v>
      </c>
      <c r="U19" s="5">
        <f t="shared" si="3"/>
        <v>0</v>
      </c>
      <c r="V19" s="5">
        <f t="shared" si="14"/>
        <v>477</v>
      </c>
      <c r="W19" s="309">
        <f t="shared" si="15"/>
        <v>0</v>
      </c>
      <c r="X19" s="5">
        <f t="shared" si="16"/>
        <v>154481</v>
      </c>
      <c r="Y19" s="309">
        <f t="shared" si="42"/>
        <v>0</v>
      </c>
      <c r="Z19" s="5">
        <f t="shared" si="17"/>
        <v>99258</v>
      </c>
      <c r="AA19" s="83">
        <f t="shared" si="18"/>
        <v>0</v>
      </c>
      <c r="AB19" s="5">
        <f t="shared" si="19"/>
        <v>248</v>
      </c>
      <c r="AC19" s="5">
        <f t="shared" si="20"/>
        <v>789</v>
      </c>
      <c r="AD19" s="83">
        <f t="shared" si="33"/>
        <v>0</v>
      </c>
      <c r="AE19" s="5">
        <f t="shared" si="21"/>
        <v>239.1</v>
      </c>
      <c r="AF19" s="83">
        <f t="shared" si="22"/>
        <v>0</v>
      </c>
      <c r="AG19" s="5">
        <f t="shared" si="23"/>
        <v>2217.83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4"/>
        <v>-1</v>
      </c>
      <c r="AL19" s="312">
        <f t="shared" si="27"/>
        <v>0</v>
      </c>
      <c r="AM19" s="312">
        <f>'General information '!D18</f>
        <v>19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44544</v>
      </c>
      <c r="AS19" s="407">
        <f t="shared" si="29"/>
        <v>0.9</v>
      </c>
      <c r="AT19" s="201">
        <v>181</v>
      </c>
      <c r="AU19" s="408">
        <f t="shared" si="43"/>
        <v>1.1000000000000001</v>
      </c>
      <c r="AV19" s="201">
        <v>129</v>
      </c>
      <c r="AW19" s="5">
        <v>2.9</v>
      </c>
      <c r="AX19" s="201">
        <v>119</v>
      </c>
      <c r="AY19" s="409">
        <f>AS19*AT19</f>
        <v>162.9</v>
      </c>
      <c r="AZ19" s="409">
        <f>AU19*AV19</f>
        <v>141.9</v>
      </c>
      <c r="BA19" s="409">
        <f>AW19*AX19</f>
        <v>345.09999999999997</v>
      </c>
      <c r="BB19" s="21">
        <f t="shared" si="40"/>
        <v>57.600000000000009</v>
      </c>
      <c r="BC19" s="21">
        <f t="shared" ref="BB19:BD20" si="47">AZ19-AZ18</f>
        <v>-1.0999999999999943</v>
      </c>
      <c r="BD19" s="21">
        <f t="shared" si="47"/>
        <v>-2.9000000000000341</v>
      </c>
      <c r="BE19" s="24">
        <f>SUM(BB19:BD19)</f>
        <v>53.59999999999998</v>
      </c>
      <c r="BF19" s="96">
        <f t="shared" si="4"/>
        <v>-53.59999999999998</v>
      </c>
      <c r="BG19" s="82">
        <f t="shared" si="5"/>
        <v>53.59999999999998</v>
      </c>
    </row>
    <row r="20" spans="1:61" ht="15.75" thickBot="1">
      <c r="A20" s="6">
        <f>ELEC!C18</f>
        <v>44545</v>
      </c>
      <c r="B20" s="5">
        <f t="shared" si="6"/>
        <v>109443</v>
      </c>
      <c r="C20" s="5">
        <f t="shared" si="7"/>
        <v>0</v>
      </c>
      <c r="D20" s="402">
        <f t="shared" si="8"/>
        <v>0</v>
      </c>
      <c r="E20" s="318">
        <f>SUM((C20*$E$4)+(7500/'EDl log'!$A$37))</f>
        <v>241.93548387096774</v>
      </c>
      <c r="F20" s="401"/>
      <c r="G20" s="5">
        <f t="shared" si="32"/>
        <v>626310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6969</v>
      </c>
      <c r="L20" s="83">
        <f t="shared" si="41"/>
        <v>1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5180</v>
      </c>
      <c r="U20" s="5">
        <f t="shared" si="3"/>
        <v>0</v>
      </c>
      <c r="V20" s="5">
        <f t="shared" si="14"/>
        <v>477</v>
      </c>
      <c r="W20" s="309">
        <f t="shared" si="15"/>
        <v>0</v>
      </c>
      <c r="X20" s="5">
        <f t="shared" si="16"/>
        <v>154481</v>
      </c>
      <c r="Y20" s="309">
        <f t="shared" si="42"/>
        <v>0</v>
      </c>
      <c r="Z20" s="5">
        <f t="shared" si="17"/>
        <v>99258</v>
      </c>
      <c r="AA20" s="83">
        <f t="shared" si="18"/>
        <v>0</v>
      </c>
      <c r="AB20" s="5">
        <f t="shared" si="19"/>
        <v>248</v>
      </c>
      <c r="AC20" s="5">
        <f t="shared" si="20"/>
        <v>789</v>
      </c>
      <c r="AD20" s="83">
        <f t="shared" si="33"/>
        <v>0</v>
      </c>
      <c r="AE20" s="5">
        <f t="shared" si="21"/>
        <v>239.1</v>
      </c>
      <c r="AF20" s="83">
        <f t="shared" si="22"/>
        <v>0</v>
      </c>
      <c r="AG20" s="5">
        <f t="shared" si="23"/>
        <v>2217.83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4"/>
        <v>-1</v>
      </c>
      <c r="AL20" s="312">
        <f t="shared" si="27"/>
        <v>0</v>
      </c>
      <c r="AM20" s="312">
        <f>'General information '!D19</f>
        <v>18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44545</v>
      </c>
      <c r="AS20" s="407">
        <f t="shared" si="29"/>
        <v>0.9</v>
      </c>
      <c r="AT20" s="201">
        <f t="shared" si="29"/>
        <v>181</v>
      </c>
      <c r="AU20" s="408">
        <f t="shared" si="43"/>
        <v>1.1000000000000001</v>
      </c>
      <c r="AV20" s="201">
        <v>127</v>
      </c>
      <c r="AW20" s="5">
        <v>2.9</v>
      </c>
      <c r="AX20" s="201">
        <v>118</v>
      </c>
      <c r="AY20" s="409">
        <f>AS20*AT20</f>
        <v>162.9</v>
      </c>
      <c r="AZ20" s="409">
        <f>AU20*AV20</f>
        <v>139.70000000000002</v>
      </c>
      <c r="BA20" s="409">
        <f>AW20*AX20</f>
        <v>342.2</v>
      </c>
      <c r="BB20" s="21">
        <f t="shared" si="47"/>
        <v>0</v>
      </c>
      <c r="BC20" s="21">
        <f t="shared" si="47"/>
        <v>-2.1999999999999886</v>
      </c>
      <c r="BD20" s="21">
        <f t="shared" si="47"/>
        <v>-2.8999999999999773</v>
      </c>
      <c r="BE20" s="24">
        <f>SUM(BB20:BD20)</f>
        <v>-5.0999999999999659</v>
      </c>
      <c r="BF20" s="96">
        <f t="shared" si="4"/>
        <v>5.0999999999999659</v>
      </c>
      <c r="BG20" s="82">
        <f t="shared" si="5"/>
        <v>-5.0999999999999659</v>
      </c>
    </row>
    <row r="21" spans="1:61" ht="15.75" thickBot="1">
      <c r="A21" s="6">
        <f>ELEC!C19</f>
        <v>44546</v>
      </c>
      <c r="B21" s="5">
        <f t="shared" si="6"/>
        <v>109443</v>
      </c>
      <c r="C21" s="5">
        <f t="shared" si="7"/>
        <v>0</v>
      </c>
      <c r="D21" s="402">
        <f t="shared" si="8"/>
        <v>0</v>
      </c>
      <c r="E21" s="318">
        <f>SUM((C21*$E$4)+(7500/'EDl log'!$A$37))</f>
        <v>241.93548387096774</v>
      </c>
      <c r="F21" s="312"/>
      <c r="G21" s="5">
        <f>G20</f>
        <v>626310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6969</v>
      </c>
      <c r="L21" s="83">
        <f t="shared" si="41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5180</v>
      </c>
      <c r="U21" s="5">
        <f t="shared" si="3"/>
        <v>0</v>
      </c>
      <c r="V21" s="5">
        <f t="shared" si="14"/>
        <v>477</v>
      </c>
      <c r="W21" s="309">
        <f t="shared" si="15"/>
        <v>0</v>
      </c>
      <c r="X21" s="5">
        <f t="shared" si="16"/>
        <v>154481</v>
      </c>
      <c r="Y21" s="309">
        <f>SUM(X21-X20)</f>
        <v>0</v>
      </c>
      <c r="Z21" s="5">
        <f t="shared" si="17"/>
        <v>99258</v>
      </c>
      <c r="AA21" s="83">
        <f t="shared" si="18"/>
        <v>0</v>
      </c>
      <c r="AB21" s="5">
        <f t="shared" si="19"/>
        <v>248</v>
      </c>
      <c r="AC21" s="5">
        <f t="shared" si="20"/>
        <v>789</v>
      </c>
      <c r="AD21" s="83">
        <f t="shared" si="33"/>
        <v>0</v>
      </c>
      <c r="AE21" s="5">
        <f t="shared" si="21"/>
        <v>239.1</v>
      </c>
      <c r="AF21" s="83">
        <f t="shared" si="22"/>
        <v>0</v>
      </c>
      <c r="AG21" s="5">
        <f t="shared" si="23"/>
        <v>2217.83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15.5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44546</v>
      </c>
      <c r="AS21" s="407">
        <f t="shared" si="29"/>
        <v>0.9</v>
      </c>
      <c r="AT21" s="201">
        <f t="shared" si="29"/>
        <v>181</v>
      </c>
      <c r="AU21" s="408">
        <f t="shared" si="43"/>
        <v>1.1000000000000001</v>
      </c>
      <c r="AV21" s="201">
        <f t="shared" si="35"/>
        <v>127</v>
      </c>
      <c r="AW21" s="5">
        <v>2.9</v>
      </c>
      <c r="AX21" s="201">
        <v>119</v>
      </c>
      <c r="AY21" s="409">
        <f>AS21*AT21</f>
        <v>162.9</v>
      </c>
      <c r="AZ21" s="409">
        <f>AU21*AV21</f>
        <v>139.70000000000002</v>
      </c>
      <c r="BA21" s="409">
        <f>AW21*AX21</f>
        <v>345.09999999999997</v>
      </c>
      <c r="BB21" s="21">
        <f t="shared" ref="BB21:BD33" si="48">AY21-AY20</f>
        <v>0</v>
      </c>
      <c r="BC21" s="21">
        <f t="shared" si="30"/>
        <v>0</v>
      </c>
      <c r="BD21" s="21">
        <f t="shared" si="30"/>
        <v>2.8999999999999773</v>
      </c>
      <c r="BE21" s="24">
        <f t="shared" si="31"/>
        <v>2.8999999999999773</v>
      </c>
      <c r="BF21" s="96">
        <f t="shared" si="4"/>
        <v>-2.8999999999999773</v>
      </c>
      <c r="BG21" s="82">
        <f t="shared" si="5"/>
        <v>2.8999999999999773</v>
      </c>
    </row>
    <row r="22" spans="1:61" ht="15.75" thickBot="1">
      <c r="A22" s="6">
        <f>ELEC!C20</f>
        <v>44547</v>
      </c>
      <c r="B22" s="5">
        <f t="shared" si="6"/>
        <v>109443</v>
      </c>
      <c r="C22" s="5">
        <f t="shared" si="7"/>
        <v>0</v>
      </c>
      <c r="D22" s="402">
        <f t="shared" si="8"/>
        <v>0</v>
      </c>
      <c r="E22" s="318">
        <f>SUM((C22*$E$4)+(7500/'EDl log'!$A$37))</f>
        <v>241.93548387096774</v>
      </c>
      <c r="F22" s="312"/>
      <c r="G22" s="5">
        <f t="shared" ref="G22:G36" si="49">G21</f>
        <v>626310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6969</v>
      </c>
      <c r="L22" s="83">
        <f t="shared" si="41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5180</v>
      </c>
      <c r="U22" s="5">
        <f t="shared" si="3"/>
        <v>0</v>
      </c>
      <c r="V22" s="5">
        <f t="shared" si="14"/>
        <v>477</v>
      </c>
      <c r="W22" s="309">
        <f t="shared" si="15"/>
        <v>0</v>
      </c>
      <c r="X22" s="5">
        <f t="shared" si="16"/>
        <v>154481</v>
      </c>
      <c r="Y22" s="309">
        <f t="shared" si="42"/>
        <v>0</v>
      </c>
      <c r="Z22" s="5">
        <f t="shared" si="17"/>
        <v>99258</v>
      </c>
      <c r="AA22" s="83">
        <f t="shared" si="18"/>
        <v>0</v>
      </c>
      <c r="AB22" s="5">
        <f t="shared" si="19"/>
        <v>248</v>
      </c>
      <c r="AC22" s="5">
        <f t="shared" si="20"/>
        <v>789</v>
      </c>
      <c r="AD22" s="83">
        <f t="shared" si="33"/>
        <v>0</v>
      </c>
      <c r="AE22" s="5">
        <f t="shared" si="21"/>
        <v>239.1</v>
      </c>
      <c r="AF22" s="83">
        <f t="shared" si="22"/>
        <v>0</v>
      </c>
      <c r="AG22" s="5">
        <f t="shared" si="23"/>
        <v>2217.83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4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44547</v>
      </c>
      <c r="AS22" s="407">
        <f t="shared" ref="AS22:AT33" si="50">AS21</f>
        <v>0.9</v>
      </c>
      <c r="AT22" s="201">
        <f t="shared" si="50"/>
        <v>181</v>
      </c>
      <c r="AU22" s="408">
        <f t="shared" si="43"/>
        <v>1.1000000000000001</v>
      </c>
      <c r="AV22" s="201">
        <f t="shared" si="35"/>
        <v>127</v>
      </c>
      <c r="AW22" s="5">
        <v>2.9</v>
      </c>
      <c r="AX22" s="201">
        <f t="shared" si="36"/>
        <v>119</v>
      </c>
      <c r="AY22" s="409">
        <f t="shared" si="37"/>
        <v>162.9</v>
      </c>
      <c r="AZ22" s="409">
        <f t="shared" si="38"/>
        <v>139.70000000000002</v>
      </c>
      <c r="BA22" s="409">
        <f t="shared" si="39"/>
        <v>345.09999999999997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1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44548</v>
      </c>
      <c r="B23" s="5">
        <f t="shared" si="6"/>
        <v>109443</v>
      </c>
      <c r="C23" s="5">
        <f t="shared" si="7"/>
        <v>0</v>
      </c>
      <c r="D23" s="402">
        <f t="shared" si="8"/>
        <v>0</v>
      </c>
      <c r="E23" s="318">
        <f>SUM((C23*$E$4)+(7500/'EDl log'!$A$37))</f>
        <v>241.93548387096774</v>
      </c>
      <c r="F23" s="312"/>
      <c r="G23" s="5">
        <f t="shared" si="49"/>
        <v>626310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6969</v>
      </c>
      <c r="L23" s="263">
        <f t="shared" si="41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5180</v>
      </c>
      <c r="U23" s="5">
        <f t="shared" si="3"/>
        <v>0</v>
      </c>
      <c r="V23" s="5">
        <f t="shared" si="14"/>
        <v>477</v>
      </c>
      <c r="W23" s="309">
        <f t="shared" si="15"/>
        <v>0</v>
      </c>
      <c r="X23" s="5">
        <f t="shared" si="16"/>
        <v>154481</v>
      </c>
      <c r="Y23" s="309">
        <f t="shared" si="42"/>
        <v>0</v>
      </c>
      <c r="Z23" s="5">
        <f t="shared" si="17"/>
        <v>99258</v>
      </c>
      <c r="AA23" s="83">
        <f t="shared" si="18"/>
        <v>0</v>
      </c>
      <c r="AB23" s="5">
        <f t="shared" si="19"/>
        <v>248</v>
      </c>
      <c r="AC23" s="5">
        <f t="shared" si="20"/>
        <v>789</v>
      </c>
      <c r="AD23" s="83">
        <f t="shared" si="33"/>
        <v>0</v>
      </c>
      <c r="AE23" s="5">
        <f t="shared" si="21"/>
        <v>239.1</v>
      </c>
      <c r="AF23" s="83">
        <f t="shared" si="22"/>
        <v>0</v>
      </c>
      <c r="AG23" s="5">
        <f t="shared" si="23"/>
        <v>2217.83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4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44548</v>
      </c>
      <c r="AS23" s="407">
        <f t="shared" si="50"/>
        <v>0.9</v>
      </c>
      <c r="AT23" s="201">
        <f t="shared" si="50"/>
        <v>181</v>
      </c>
      <c r="AU23" s="408">
        <f t="shared" si="43"/>
        <v>1.1000000000000001</v>
      </c>
      <c r="AV23" s="201">
        <f t="shared" si="35"/>
        <v>127</v>
      </c>
      <c r="AW23" s="5">
        <v>2.9</v>
      </c>
      <c r="AX23" s="201">
        <f t="shared" si="36"/>
        <v>119</v>
      </c>
      <c r="AY23" s="409">
        <f t="shared" si="37"/>
        <v>162.9</v>
      </c>
      <c r="AZ23" s="409">
        <f t="shared" si="38"/>
        <v>139.70000000000002</v>
      </c>
      <c r="BA23" s="409">
        <f t="shared" si="39"/>
        <v>345.09999999999997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1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44549</v>
      </c>
      <c r="B24" s="5">
        <f t="shared" si="6"/>
        <v>109443</v>
      </c>
      <c r="C24" s="5">
        <f t="shared" si="7"/>
        <v>0</v>
      </c>
      <c r="D24" s="402">
        <f t="shared" si="8"/>
        <v>0</v>
      </c>
      <c r="E24" s="318">
        <f>SUM((C24*$E$4)+(7500/'EDl log'!$A$37))</f>
        <v>241.93548387096774</v>
      </c>
      <c r="F24" s="312"/>
      <c r="G24" s="5">
        <f t="shared" si="49"/>
        <v>626310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6969</v>
      </c>
      <c r="L24" s="263">
        <f t="shared" si="41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5180</v>
      </c>
      <c r="U24" s="5">
        <f t="shared" si="3"/>
        <v>0</v>
      </c>
      <c r="V24" s="5">
        <f t="shared" si="14"/>
        <v>477</v>
      </c>
      <c r="W24" s="309">
        <f t="shared" si="15"/>
        <v>0</v>
      </c>
      <c r="X24" s="5">
        <f t="shared" si="16"/>
        <v>154481</v>
      </c>
      <c r="Y24" s="309">
        <f t="shared" si="42"/>
        <v>0</v>
      </c>
      <c r="Z24" s="5">
        <f t="shared" si="17"/>
        <v>99258</v>
      </c>
      <c r="AA24" s="83">
        <f t="shared" si="18"/>
        <v>0</v>
      </c>
      <c r="AB24" s="5">
        <f t="shared" si="19"/>
        <v>248</v>
      </c>
      <c r="AC24" s="5">
        <f t="shared" si="20"/>
        <v>789</v>
      </c>
      <c r="AD24" s="83">
        <f t="shared" si="33"/>
        <v>0</v>
      </c>
      <c r="AE24" s="5">
        <f t="shared" si="21"/>
        <v>239.1</v>
      </c>
      <c r="AF24" s="83">
        <f t="shared" si="22"/>
        <v>0</v>
      </c>
      <c r="AG24" s="5">
        <f t="shared" si="23"/>
        <v>2217.83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4"/>
        <v>0</v>
      </c>
      <c r="AL24" s="312">
        <f t="shared" si="27"/>
        <v>0</v>
      </c>
      <c r="AM24" s="312">
        <f>'General information '!D23</f>
        <v>16.5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44549</v>
      </c>
      <c r="AS24" s="407">
        <f t="shared" si="50"/>
        <v>0.9</v>
      </c>
      <c r="AT24" s="201">
        <f t="shared" si="50"/>
        <v>181</v>
      </c>
      <c r="AU24" s="408">
        <f t="shared" si="43"/>
        <v>1.1000000000000001</v>
      </c>
      <c r="AV24" s="201">
        <v>126</v>
      </c>
      <c r="AW24" s="5">
        <v>2.9</v>
      </c>
      <c r="AX24" s="201">
        <v>110</v>
      </c>
      <c r="AY24" s="409">
        <f t="shared" si="37"/>
        <v>162.9</v>
      </c>
      <c r="AZ24" s="409">
        <f t="shared" si="38"/>
        <v>138.60000000000002</v>
      </c>
      <c r="BA24" s="409">
        <f t="shared" si="39"/>
        <v>319</v>
      </c>
      <c r="BB24" s="21">
        <f t="shared" si="48"/>
        <v>0</v>
      </c>
      <c r="BC24" s="21">
        <f t="shared" si="48"/>
        <v>-1.0999999999999943</v>
      </c>
      <c r="BD24" s="21">
        <f t="shared" si="48"/>
        <v>-26.099999999999966</v>
      </c>
      <c r="BE24" s="24">
        <f t="shared" si="31"/>
        <v>-27.19999999999996</v>
      </c>
      <c r="BF24" s="96">
        <f t="shared" si="4"/>
        <v>27.19999999999996</v>
      </c>
      <c r="BG24" s="82">
        <f t="shared" si="5"/>
        <v>-27.19999999999996</v>
      </c>
      <c r="BI24" s="82"/>
    </row>
    <row r="25" spans="1:61" ht="15.75" thickBot="1">
      <c r="A25" s="6">
        <f>ELEC!C23</f>
        <v>44550</v>
      </c>
      <c r="B25" s="5">
        <f t="shared" si="6"/>
        <v>109443</v>
      </c>
      <c r="C25" s="5">
        <f t="shared" si="7"/>
        <v>0</v>
      </c>
      <c r="D25" s="402">
        <f t="shared" si="8"/>
        <v>0</v>
      </c>
      <c r="E25" s="318">
        <f>SUM((C25*$E$4)+(7500/'EDl log'!$A$37))</f>
        <v>241.93548387096774</v>
      </c>
      <c r="F25" s="312"/>
      <c r="G25" s="5">
        <f t="shared" si="49"/>
        <v>626310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6971</v>
      </c>
      <c r="L25" s="263">
        <f t="shared" si="41"/>
        <v>2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5180</v>
      </c>
      <c r="U25" s="5">
        <f t="shared" si="3"/>
        <v>0</v>
      </c>
      <c r="V25" s="5">
        <f t="shared" si="14"/>
        <v>477</v>
      </c>
      <c r="W25" s="309">
        <f t="shared" si="15"/>
        <v>0</v>
      </c>
      <c r="X25" s="5">
        <f t="shared" si="16"/>
        <v>154481</v>
      </c>
      <c r="Y25" s="309">
        <f t="shared" si="42"/>
        <v>0</v>
      </c>
      <c r="Z25" s="5">
        <f t="shared" si="17"/>
        <v>99258</v>
      </c>
      <c r="AA25" s="83">
        <f t="shared" si="18"/>
        <v>0</v>
      </c>
      <c r="AB25" s="5">
        <f t="shared" si="19"/>
        <v>248</v>
      </c>
      <c r="AC25" s="5">
        <f t="shared" si="20"/>
        <v>789</v>
      </c>
      <c r="AD25" s="83">
        <f t="shared" si="33"/>
        <v>0</v>
      </c>
      <c r="AE25" s="5">
        <f t="shared" si="21"/>
        <v>239.1</v>
      </c>
      <c r="AF25" s="83">
        <f t="shared" si="22"/>
        <v>0</v>
      </c>
      <c r="AG25" s="5">
        <f t="shared" si="23"/>
        <v>2217.83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4"/>
        <v>-2</v>
      </c>
      <c r="AL25" s="312">
        <f t="shared" si="27"/>
        <v>0</v>
      </c>
      <c r="AM25" s="312">
        <f>'General information '!D24</f>
        <v>13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44550</v>
      </c>
      <c r="AS25" s="407">
        <f t="shared" si="50"/>
        <v>0.9</v>
      </c>
      <c r="AT25" s="201">
        <f t="shared" si="50"/>
        <v>181</v>
      </c>
      <c r="AU25" s="408">
        <f t="shared" si="43"/>
        <v>1.1000000000000001</v>
      </c>
      <c r="AV25" s="201">
        <f t="shared" si="35"/>
        <v>126</v>
      </c>
      <c r="AW25" s="5">
        <v>2.9</v>
      </c>
      <c r="AX25" s="201">
        <v>109</v>
      </c>
      <c r="AY25" s="409">
        <f t="shared" si="37"/>
        <v>162.9</v>
      </c>
      <c r="AZ25" s="409">
        <f t="shared" si="38"/>
        <v>138.60000000000002</v>
      </c>
      <c r="BA25" s="409">
        <f t="shared" si="39"/>
        <v>316.09999999999997</v>
      </c>
      <c r="BB25" s="21">
        <f t="shared" si="48"/>
        <v>0</v>
      </c>
      <c r="BC25" s="21">
        <f t="shared" si="48"/>
        <v>0</v>
      </c>
      <c r="BD25" s="21">
        <f t="shared" si="48"/>
        <v>-2.9000000000000341</v>
      </c>
      <c r="BE25" s="24">
        <f t="shared" si="31"/>
        <v>-2.9000000000000341</v>
      </c>
      <c r="BF25" s="96">
        <f t="shared" si="4"/>
        <v>2.9000000000000341</v>
      </c>
      <c r="BG25" s="82">
        <f t="shared" si="5"/>
        <v>-2.9000000000000341</v>
      </c>
    </row>
    <row r="26" spans="1:61" ht="15.75" thickBot="1">
      <c r="A26" s="6">
        <f>ELEC!C24</f>
        <v>44551</v>
      </c>
      <c r="B26" s="5">
        <f t="shared" si="6"/>
        <v>109443</v>
      </c>
      <c r="C26" s="5">
        <f t="shared" si="7"/>
        <v>0</v>
      </c>
      <c r="D26" s="402">
        <f t="shared" si="8"/>
        <v>0</v>
      </c>
      <c r="E26" s="318">
        <f>SUM((C26*$E$4)+(7500/'EDl log'!$A$37))</f>
        <v>241.93548387096774</v>
      </c>
      <c r="F26" s="312"/>
      <c r="G26" s="5">
        <f t="shared" si="49"/>
        <v>626310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6971</v>
      </c>
      <c r="L26" s="263">
        <f t="shared" si="41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5180</v>
      </c>
      <c r="U26" s="5">
        <f t="shared" si="3"/>
        <v>0</v>
      </c>
      <c r="V26" s="5">
        <f t="shared" si="14"/>
        <v>477</v>
      </c>
      <c r="W26" s="309">
        <f t="shared" si="15"/>
        <v>0</v>
      </c>
      <c r="X26" s="5">
        <f t="shared" si="16"/>
        <v>154481</v>
      </c>
      <c r="Y26" s="309">
        <f t="shared" si="42"/>
        <v>0</v>
      </c>
      <c r="Z26" s="5">
        <f t="shared" si="17"/>
        <v>99258</v>
      </c>
      <c r="AA26" s="83">
        <f t="shared" si="18"/>
        <v>0</v>
      </c>
      <c r="AB26" s="5">
        <f t="shared" si="19"/>
        <v>248</v>
      </c>
      <c r="AC26" s="5">
        <f t="shared" si="20"/>
        <v>789</v>
      </c>
      <c r="AD26" s="83">
        <f t="shared" si="33"/>
        <v>0</v>
      </c>
      <c r="AE26" s="5">
        <f t="shared" si="21"/>
        <v>239.1</v>
      </c>
      <c r="AF26" s="83">
        <f t="shared" si="22"/>
        <v>0</v>
      </c>
      <c r="AG26" s="5">
        <f t="shared" si="23"/>
        <v>2217.83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16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44551</v>
      </c>
      <c r="AS26" s="407">
        <f t="shared" si="50"/>
        <v>0.9</v>
      </c>
      <c r="AT26" s="201">
        <v>181</v>
      </c>
      <c r="AU26" s="408">
        <f t="shared" si="43"/>
        <v>1.1000000000000001</v>
      </c>
      <c r="AV26" s="201">
        <v>126</v>
      </c>
      <c r="AW26" s="5">
        <v>2.9</v>
      </c>
      <c r="AX26" s="201">
        <v>107</v>
      </c>
      <c r="AY26" s="409">
        <f t="shared" si="37"/>
        <v>162.9</v>
      </c>
      <c r="AZ26" s="409">
        <f t="shared" si="38"/>
        <v>138.60000000000002</v>
      </c>
      <c r="BA26" s="409">
        <f t="shared" si="39"/>
        <v>310.3</v>
      </c>
      <c r="BB26" s="21">
        <f>AY26-AY25</f>
        <v>0</v>
      </c>
      <c r="BC26" s="21">
        <f t="shared" si="48"/>
        <v>0</v>
      </c>
      <c r="BD26" s="21">
        <f t="shared" si="48"/>
        <v>-5.7999999999999545</v>
      </c>
      <c r="BE26" s="24">
        <f t="shared" si="31"/>
        <v>-5.7999999999999545</v>
      </c>
      <c r="BF26" s="96">
        <f t="shared" si="4"/>
        <v>5.7999999999999545</v>
      </c>
      <c r="BG26" s="82">
        <f t="shared" si="5"/>
        <v>-5.7999999999999545</v>
      </c>
    </row>
    <row r="27" spans="1:61" ht="15.75" thickBot="1">
      <c r="A27" s="6">
        <f>ELEC!C25</f>
        <v>44552</v>
      </c>
      <c r="B27" s="5">
        <f t="shared" si="6"/>
        <v>109443</v>
      </c>
      <c r="C27" s="5">
        <f t="shared" si="7"/>
        <v>0</v>
      </c>
      <c r="D27" s="402">
        <f t="shared" si="8"/>
        <v>0</v>
      </c>
      <c r="E27" s="318">
        <f>SUM((C27*$E$4)+(7500/'EDl log'!$A$37))</f>
        <v>241.93548387096774</v>
      </c>
      <c r="F27" s="312"/>
      <c r="G27" s="5">
        <f t="shared" si="49"/>
        <v>626310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6971</v>
      </c>
      <c r="L27" s="263">
        <f t="shared" si="41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v>5180</v>
      </c>
      <c r="U27" s="5">
        <f t="shared" si="3"/>
        <v>0</v>
      </c>
      <c r="V27" s="5">
        <f t="shared" si="14"/>
        <v>477</v>
      </c>
      <c r="W27" s="309">
        <f t="shared" si="15"/>
        <v>0</v>
      </c>
      <c r="X27" s="5">
        <f t="shared" si="16"/>
        <v>154481</v>
      </c>
      <c r="Y27" s="309">
        <f t="shared" si="42"/>
        <v>0</v>
      </c>
      <c r="Z27" s="5">
        <f t="shared" si="17"/>
        <v>99258</v>
      </c>
      <c r="AA27" s="83">
        <f t="shared" si="18"/>
        <v>0</v>
      </c>
      <c r="AB27" s="5">
        <f t="shared" si="19"/>
        <v>248</v>
      </c>
      <c r="AC27" s="5">
        <f t="shared" si="20"/>
        <v>789</v>
      </c>
      <c r="AD27" s="83">
        <f t="shared" si="33"/>
        <v>0</v>
      </c>
      <c r="AE27" s="5">
        <f t="shared" si="21"/>
        <v>239.1</v>
      </c>
      <c r="AF27" s="83">
        <f t="shared" si="22"/>
        <v>0</v>
      </c>
      <c r="AG27" s="5">
        <f t="shared" si="23"/>
        <v>2217.83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4"/>
        <v>0</v>
      </c>
      <c r="AL27" s="312">
        <f t="shared" si="27"/>
        <v>0</v>
      </c>
      <c r="AM27" s="312">
        <f>'General information '!D26</f>
        <v>14.5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44552</v>
      </c>
      <c r="AS27" s="407">
        <f t="shared" si="50"/>
        <v>0.9</v>
      </c>
      <c r="AT27" s="201">
        <f t="shared" si="50"/>
        <v>181</v>
      </c>
      <c r="AU27" s="408">
        <f t="shared" si="43"/>
        <v>1.1000000000000001</v>
      </c>
      <c r="AV27" s="201">
        <v>125</v>
      </c>
      <c r="AW27" s="5">
        <v>2.9</v>
      </c>
      <c r="AX27" s="201">
        <v>105</v>
      </c>
      <c r="AY27" s="409">
        <f t="shared" si="37"/>
        <v>162.9</v>
      </c>
      <c r="AZ27" s="409">
        <f t="shared" si="38"/>
        <v>137.5</v>
      </c>
      <c r="BA27" s="409">
        <f t="shared" si="39"/>
        <v>304.5</v>
      </c>
      <c r="BB27" s="21">
        <f t="shared" si="48"/>
        <v>0</v>
      </c>
      <c r="BC27" s="21">
        <f t="shared" si="48"/>
        <v>-1.1000000000000227</v>
      </c>
      <c r="BD27" s="21">
        <f t="shared" si="48"/>
        <v>-5.8000000000000114</v>
      </c>
      <c r="BE27" s="24">
        <f t="shared" si="31"/>
        <v>-6.9000000000000341</v>
      </c>
      <c r="BF27" s="96">
        <f t="shared" si="4"/>
        <v>6.9000000000000341</v>
      </c>
      <c r="BG27" s="82">
        <f t="shared" si="5"/>
        <v>-6.9000000000000341</v>
      </c>
    </row>
    <row r="28" spans="1:61" ht="15.75" thickBot="1">
      <c r="A28" s="6">
        <f>ELEC!C26</f>
        <v>44553</v>
      </c>
      <c r="B28" s="5">
        <f t="shared" si="6"/>
        <v>109443</v>
      </c>
      <c r="C28" s="5">
        <f t="shared" si="7"/>
        <v>0</v>
      </c>
      <c r="D28" s="402">
        <f t="shared" si="8"/>
        <v>0</v>
      </c>
      <c r="E28" s="318">
        <f>SUM((C28*$E$4)+(7500/'EDl log'!$A$37))</f>
        <v>241.93548387096774</v>
      </c>
      <c r="F28" s="312"/>
      <c r="G28" s="5">
        <f t="shared" si="49"/>
        <v>626310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6971</v>
      </c>
      <c r="L28" s="263">
        <f t="shared" si="41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5180</v>
      </c>
      <c r="U28" s="5">
        <f t="shared" si="3"/>
        <v>0</v>
      </c>
      <c r="V28" s="5">
        <f t="shared" si="14"/>
        <v>477</v>
      </c>
      <c r="W28" s="309">
        <f t="shared" si="15"/>
        <v>0</v>
      </c>
      <c r="X28" s="5">
        <f t="shared" si="16"/>
        <v>154481</v>
      </c>
      <c r="Y28" s="309">
        <f t="shared" si="42"/>
        <v>0</v>
      </c>
      <c r="Z28" s="5">
        <f t="shared" si="17"/>
        <v>99258</v>
      </c>
      <c r="AA28" s="83">
        <f t="shared" si="18"/>
        <v>0</v>
      </c>
      <c r="AB28" s="5">
        <f t="shared" si="19"/>
        <v>248</v>
      </c>
      <c r="AC28" s="5">
        <f t="shared" si="20"/>
        <v>789</v>
      </c>
      <c r="AD28" s="83">
        <f t="shared" si="33"/>
        <v>0</v>
      </c>
      <c r="AE28" s="5">
        <f t="shared" si="21"/>
        <v>239.1</v>
      </c>
      <c r="AF28" s="83">
        <f t="shared" si="22"/>
        <v>0</v>
      </c>
      <c r="AG28" s="5">
        <f t="shared" si="23"/>
        <v>2217.83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4"/>
        <v>0</v>
      </c>
      <c r="AL28" s="312">
        <f t="shared" si="27"/>
        <v>0</v>
      </c>
      <c r="AM28" s="312">
        <f>'General information '!D27</f>
        <v>13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44553</v>
      </c>
      <c r="AS28" s="407">
        <f t="shared" si="50"/>
        <v>0.9</v>
      </c>
      <c r="AT28" s="201">
        <f t="shared" si="50"/>
        <v>181</v>
      </c>
      <c r="AU28" s="408">
        <f t="shared" si="43"/>
        <v>1.1000000000000001</v>
      </c>
      <c r="AV28" s="201">
        <f t="shared" si="35"/>
        <v>125</v>
      </c>
      <c r="AW28" s="5">
        <v>2.9</v>
      </c>
      <c r="AX28" s="201">
        <v>101</v>
      </c>
      <c r="AY28" s="409">
        <f t="shared" si="37"/>
        <v>162.9</v>
      </c>
      <c r="AZ28" s="409">
        <f t="shared" si="38"/>
        <v>137.5</v>
      </c>
      <c r="BA28" s="409">
        <f t="shared" si="39"/>
        <v>292.89999999999998</v>
      </c>
      <c r="BB28" s="21">
        <f t="shared" si="48"/>
        <v>0</v>
      </c>
      <c r="BC28" s="21">
        <f t="shared" si="48"/>
        <v>0</v>
      </c>
      <c r="BD28" s="21">
        <f t="shared" si="48"/>
        <v>-11.600000000000023</v>
      </c>
      <c r="BE28" s="24">
        <f t="shared" si="31"/>
        <v>-11.600000000000023</v>
      </c>
      <c r="BF28" s="96">
        <f t="shared" si="4"/>
        <v>11.600000000000023</v>
      </c>
      <c r="BG28" s="82">
        <f t="shared" si="5"/>
        <v>-11.600000000000023</v>
      </c>
    </row>
    <row r="29" spans="1:61" ht="15.75" thickBot="1">
      <c r="A29" s="6">
        <f>ELEC!C27</f>
        <v>44554</v>
      </c>
      <c r="B29" s="5">
        <f t="shared" si="6"/>
        <v>109443</v>
      </c>
      <c r="C29" s="5">
        <f t="shared" si="7"/>
        <v>0</v>
      </c>
      <c r="D29" s="402">
        <f t="shared" si="8"/>
        <v>0</v>
      </c>
      <c r="E29" s="318">
        <f>SUM((C29*$E$4)+(7500/'EDl log'!$A$37))</f>
        <v>241.93548387096774</v>
      </c>
      <c r="F29" s="312"/>
      <c r="G29" s="5">
        <f t="shared" si="49"/>
        <v>626310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6971</v>
      </c>
      <c r="L29" s="263">
        <f t="shared" si="41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5180</v>
      </c>
      <c r="U29" s="5">
        <f t="shared" si="3"/>
        <v>0</v>
      </c>
      <c r="V29" s="5">
        <f t="shared" si="14"/>
        <v>477</v>
      </c>
      <c r="W29" s="309">
        <f t="shared" si="15"/>
        <v>0</v>
      </c>
      <c r="X29" s="5">
        <f t="shared" si="16"/>
        <v>154481</v>
      </c>
      <c r="Y29" s="309">
        <f t="shared" si="42"/>
        <v>0</v>
      </c>
      <c r="Z29" s="5">
        <f t="shared" si="17"/>
        <v>99258</v>
      </c>
      <c r="AA29" s="83">
        <f t="shared" si="18"/>
        <v>0</v>
      </c>
      <c r="AB29" s="5">
        <f t="shared" si="19"/>
        <v>248</v>
      </c>
      <c r="AC29" s="5">
        <f t="shared" si="20"/>
        <v>789</v>
      </c>
      <c r="AD29" s="83">
        <f t="shared" si="33"/>
        <v>0</v>
      </c>
      <c r="AE29" s="5">
        <f t="shared" si="21"/>
        <v>239.1</v>
      </c>
      <c r="AF29" s="83">
        <f t="shared" si="22"/>
        <v>0</v>
      </c>
      <c r="AG29" s="5">
        <f t="shared" si="23"/>
        <v>2217.83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4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44554</v>
      </c>
      <c r="AS29" s="407">
        <f t="shared" si="50"/>
        <v>0.9</v>
      </c>
      <c r="AT29" s="201">
        <f t="shared" si="50"/>
        <v>181</v>
      </c>
      <c r="AU29" s="408">
        <f t="shared" si="43"/>
        <v>1.1000000000000001</v>
      </c>
      <c r="AV29" s="201">
        <f t="shared" si="35"/>
        <v>125</v>
      </c>
      <c r="AW29" s="5">
        <v>2.9</v>
      </c>
      <c r="AX29" s="201">
        <f t="shared" si="36"/>
        <v>101</v>
      </c>
      <c r="AY29" s="409">
        <f t="shared" si="37"/>
        <v>162.9</v>
      </c>
      <c r="AZ29" s="409">
        <f t="shared" si="38"/>
        <v>137.5</v>
      </c>
      <c r="BA29" s="409">
        <f t="shared" si="39"/>
        <v>292.89999999999998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1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44555</v>
      </c>
      <c r="B30" s="5">
        <f t="shared" si="6"/>
        <v>109443</v>
      </c>
      <c r="C30" s="5">
        <f t="shared" si="7"/>
        <v>0</v>
      </c>
      <c r="D30" s="402">
        <f t="shared" si="8"/>
        <v>0</v>
      </c>
      <c r="E30" s="318">
        <f>SUM((C30*$E$4)+(7500/'EDl log'!$A$37))</f>
        <v>241.93548387096774</v>
      </c>
      <c r="F30" s="312"/>
      <c r="G30" s="5">
        <f t="shared" si="49"/>
        <v>626310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6971</v>
      </c>
      <c r="L30" s="263">
        <f t="shared" si="41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5180</v>
      </c>
      <c r="U30" s="5">
        <f t="shared" si="3"/>
        <v>0</v>
      </c>
      <c r="V30" s="5">
        <f t="shared" si="14"/>
        <v>477</v>
      </c>
      <c r="W30" s="309">
        <f t="shared" si="15"/>
        <v>0</v>
      </c>
      <c r="X30" s="5">
        <f t="shared" si="16"/>
        <v>154481</v>
      </c>
      <c r="Y30" s="309">
        <f t="shared" si="42"/>
        <v>0</v>
      </c>
      <c r="Z30" s="5">
        <f t="shared" si="17"/>
        <v>99258</v>
      </c>
      <c r="AA30" s="83">
        <f t="shared" si="18"/>
        <v>0</v>
      </c>
      <c r="AB30" s="5">
        <f t="shared" si="19"/>
        <v>248</v>
      </c>
      <c r="AC30" s="5">
        <f t="shared" si="20"/>
        <v>789</v>
      </c>
      <c r="AD30" s="83">
        <f t="shared" si="33"/>
        <v>0</v>
      </c>
      <c r="AE30" s="5">
        <f t="shared" si="21"/>
        <v>239.1</v>
      </c>
      <c r="AF30" s="83">
        <f t="shared" si="22"/>
        <v>0</v>
      </c>
      <c r="AG30" s="5">
        <f t="shared" si="23"/>
        <v>2217.83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4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44555</v>
      </c>
      <c r="AS30" s="407">
        <f t="shared" si="50"/>
        <v>0.9</v>
      </c>
      <c r="AT30" s="201">
        <f t="shared" si="50"/>
        <v>181</v>
      </c>
      <c r="AU30" s="408">
        <f t="shared" si="43"/>
        <v>1.1000000000000001</v>
      </c>
      <c r="AV30" s="201">
        <f t="shared" si="35"/>
        <v>125</v>
      </c>
      <c r="AW30" s="5">
        <v>2.9</v>
      </c>
      <c r="AX30" s="201">
        <f t="shared" si="36"/>
        <v>101</v>
      </c>
      <c r="AY30" s="409">
        <f t="shared" si="37"/>
        <v>162.9</v>
      </c>
      <c r="AZ30" s="409">
        <f t="shared" si="38"/>
        <v>137.5</v>
      </c>
      <c r="BA30" s="409">
        <f t="shared" si="39"/>
        <v>292.89999999999998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1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44556</v>
      </c>
      <c r="B31" s="5">
        <f t="shared" si="6"/>
        <v>109443</v>
      </c>
      <c r="C31" s="5">
        <f t="shared" si="7"/>
        <v>0</v>
      </c>
      <c r="D31" s="402">
        <f t="shared" si="8"/>
        <v>0</v>
      </c>
      <c r="E31" s="318">
        <f>SUM((C31*$E$4)+(7500/'EDl log'!$A$37))</f>
        <v>241.93548387096774</v>
      </c>
      <c r="F31" s="312"/>
      <c r="G31" s="5">
        <f t="shared" si="49"/>
        <v>626310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6971</v>
      </c>
      <c r="L31" s="263">
        <f t="shared" si="41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5180</v>
      </c>
      <c r="U31" s="5">
        <f t="shared" si="3"/>
        <v>0</v>
      </c>
      <c r="V31" s="5">
        <f t="shared" si="14"/>
        <v>477</v>
      </c>
      <c r="W31" s="309">
        <f t="shared" si="15"/>
        <v>0</v>
      </c>
      <c r="X31" s="5">
        <f t="shared" si="16"/>
        <v>154481</v>
      </c>
      <c r="Y31" s="309">
        <f t="shared" si="42"/>
        <v>0</v>
      </c>
      <c r="Z31" s="5">
        <f t="shared" si="17"/>
        <v>99258</v>
      </c>
      <c r="AA31" s="83">
        <f t="shared" si="18"/>
        <v>0</v>
      </c>
      <c r="AB31" s="5">
        <f t="shared" si="19"/>
        <v>248</v>
      </c>
      <c r="AC31" s="5">
        <f t="shared" si="20"/>
        <v>789</v>
      </c>
      <c r="AD31" s="83">
        <f t="shared" si="33"/>
        <v>0</v>
      </c>
      <c r="AE31" s="5">
        <f t="shared" si="21"/>
        <v>239.1</v>
      </c>
      <c r="AF31" s="83">
        <f t="shared" si="22"/>
        <v>0</v>
      </c>
      <c r="AG31" s="5">
        <f t="shared" si="23"/>
        <v>2217.83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4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44556</v>
      </c>
      <c r="AS31" s="407">
        <f t="shared" si="50"/>
        <v>0.9</v>
      </c>
      <c r="AT31" s="201">
        <f t="shared" si="50"/>
        <v>181</v>
      </c>
      <c r="AU31" s="408">
        <f t="shared" si="43"/>
        <v>1.1000000000000001</v>
      </c>
      <c r="AV31" s="201">
        <f t="shared" si="35"/>
        <v>125</v>
      </c>
      <c r="AW31" s="5">
        <v>2.9</v>
      </c>
      <c r="AX31" s="201">
        <f t="shared" si="36"/>
        <v>101</v>
      </c>
      <c r="AY31" s="409">
        <f t="shared" si="37"/>
        <v>162.9</v>
      </c>
      <c r="AZ31" s="409">
        <f>AU31*AV31</f>
        <v>137.5</v>
      </c>
      <c r="BA31" s="409">
        <f t="shared" si="39"/>
        <v>292.89999999999998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1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44557</v>
      </c>
      <c r="B32" s="5">
        <f>B31</f>
        <v>109443</v>
      </c>
      <c r="C32" s="5">
        <f t="shared" si="7"/>
        <v>0</v>
      </c>
      <c r="D32" s="402">
        <f t="shared" si="8"/>
        <v>0</v>
      </c>
      <c r="E32" s="318">
        <f>SUM((C32*$E$4)+(7500/'EDl log'!$A$37))</f>
        <v>241.93548387096774</v>
      </c>
      <c r="F32" s="312"/>
      <c r="G32" s="5">
        <f t="shared" si="49"/>
        <v>626310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6975</v>
      </c>
      <c r="L32" s="263">
        <f t="shared" si="41"/>
        <v>4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5180</v>
      </c>
      <c r="U32" s="5">
        <f t="shared" si="3"/>
        <v>0</v>
      </c>
      <c r="V32" s="5">
        <f t="shared" si="14"/>
        <v>477</v>
      </c>
      <c r="W32" s="309">
        <f t="shared" si="15"/>
        <v>0</v>
      </c>
      <c r="X32" s="5">
        <f t="shared" si="16"/>
        <v>154481</v>
      </c>
      <c r="Y32" s="309">
        <f t="shared" si="42"/>
        <v>0</v>
      </c>
      <c r="Z32" s="5">
        <f t="shared" si="17"/>
        <v>99258</v>
      </c>
      <c r="AA32" s="83">
        <f t="shared" si="18"/>
        <v>0</v>
      </c>
      <c r="AB32" s="5">
        <f t="shared" si="19"/>
        <v>248</v>
      </c>
      <c r="AC32" s="5">
        <f t="shared" si="20"/>
        <v>789</v>
      </c>
      <c r="AD32" s="83">
        <f t="shared" si="33"/>
        <v>0</v>
      </c>
      <c r="AE32" s="5">
        <f t="shared" si="21"/>
        <v>239.1</v>
      </c>
      <c r="AF32" s="83">
        <f t="shared" si="22"/>
        <v>0</v>
      </c>
      <c r="AG32" s="5">
        <f t="shared" si="23"/>
        <v>2217.83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4"/>
        <v>-4</v>
      </c>
      <c r="AL32" s="312">
        <f t="shared" si="27"/>
        <v>0</v>
      </c>
      <c r="AM32" s="312">
        <f>'General information '!D31</f>
        <v>15.5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44557</v>
      </c>
      <c r="AS32" s="407">
        <f t="shared" si="50"/>
        <v>0.9</v>
      </c>
      <c r="AT32" s="201">
        <f t="shared" si="50"/>
        <v>181</v>
      </c>
      <c r="AU32" s="408">
        <f t="shared" si="43"/>
        <v>1.1000000000000001</v>
      </c>
      <c r="AV32" s="201">
        <f t="shared" si="35"/>
        <v>125</v>
      </c>
      <c r="AW32" s="5">
        <v>2.9</v>
      </c>
      <c r="AX32" s="201">
        <v>94</v>
      </c>
      <c r="AY32" s="409">
        <f t="shared" si="37"/>
        <v>162.9</v>
      </c>
      <c r="AZ32" s="409">
        <f t="shared" si="38"/>
        <v>137.5</v>
      </c>
      <c r="BA32" s="409">
        <f t="shared" si="39"/>
        <v>272.59999999999997</v>
      </c>
      <c r="BB32" s="21">
        <f t="shared" si="48"/>
        <v>0</v>
      </c>
      <c r="BC32" s="21">
        <f t="shared" si="48"/>
        <v>0</v>
      </c>
      <c r="BD32" s="21">
        <f t="shared" si="48"/>
        <v>-20.300000000000011</v>
      </c>
      <c r="BE32" s="24">
        <f t="shared" si="31"/>
        <v>-20.300000000000011</v>
      </c>
      <c r="BF32" s="96">
        <f t="shared" si="4"/>
        <v>20.300000000000011</v>
      </c>
      <c r="BG32" s="82">
        <f t="shared" si="5"/>
        <v>-20.300000000000011</v>
      </c>
    </row>
    <row r="33" spans="1:59" ht="15.75" thickBot="1">
      <c r="A33" s="6">
        <f>ELEC!C31</f>
        <v>44558</v>
      </c>
      <c r="B33" s="5">
        <f t="shared" si="6"/>
        <v>109443</v>
      </c>
      <c r="C33" s="5">
        <f t="shared" si="7"/>
        <v>0</v>
      </c>
      <c r="D33" s="402">
        <f t="shared" si="8"/>
        <v>0</v>
      </c>
      <c r="E33" s="318">
        <f>SUM((C33*$E$4)+(7500/'EDl log'!$A$37))</f>
        <v>241.93548387096774</v>
      </c>
      <c r="F33" s="312"/>
      <c r="G33" s="5">
        <f t="shared" si="49"/>
        <v>626310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6976</v>
      </c>
      <c r="L33" s="263">
        <f t="shared" si="41"/>
        <v>1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5180</v>
      </c>
      <c r="U33" s="5">
        <f t="shared" si="3"/>
        <v>0</v>
      </c>
      <c r="V33" s="5">
        <f t="shared" si="14"/>
        <v>477</v>
      </c>
      <c r="W33" s="309">
        <f t="shared" si="15"/>
        <v>0</v>
      </c>
      <c r="X33" s="5">
        <f t="shared" si="16"/>
        <v>154481</v>
      </c>
      <c r="Y33" s="309">
        <f t="shared" si="42"/>
        <v>0</v>
      </c>
      <c r="Z33" s="5">
        <f t="shared" si="17"/>
        <v>99258</v>
      </c>
      <c r="AA33" s="83">
        <f t="shared" si="18"/>
        <v>0</v>
      </c>
      <c r="AB33" s="5">
        <f t="shared" si="19"/>
        <v>248</v>
      </c>
      <c r="AC33" s="5">
        <f t="shared" si="20"/>
        <v>789</v>
      </c>
      <c r="AD33" s="83">
        <f t="shared" si="33"/>
        <v>0</v>
      </c>
      <c r="AE33" s="5">
        <f t="shared" si="21"/>
        <v>239.1</v>
      </c>
      <c r="AF33" s="83">
        <f>AE33-AE32</f>
        <v>0</v>
      </c>
      <c r="AG33" s="5">
        <f t="shared" si="23"/>
        <v>2217.83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4"/>
        <v>-1</v>
      </c>
      <c r="AL33" s="312">
        <f t="shared" si="27"/>
        <v>0</v>
      </c>
      <c r="AM33" s="312">
        <f>'General information '!D32</f>
        <v>16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44558</v>
      </c>
      <c r="AS33" s="407">
        <f t="shared" si="50"/>
        <v>0.9</v>
      </c>
      <c r="AT33" s="201">
        <v>173</v>
      </c>
      <c r="AU33" s="408">
        <f t="shared" si="43"/>
        <v>1.1000000000000001</v>
      </c>
      <c r="AV33" s="201">
        <v>122</v>
      </c>
      <c r="AW33" s="5">
        <v>2.9</v>
      </c>
      <c r="AX33" s="201">
        <v>90</v>
      </c>
      <c r="AY33" s="409">
        <f t="shared" si="37"/>
        <v>155.70000000000002</v>
      </c>
      <c r="AZ33" s="409">
        <f t="shared" si="38"/>
        <v>134.20000000000002</v>
      </c>
      <c r="BA33" s="409">
        <f t="shared" si="39"/>
        <v>261</v>
      </c>
      <c r="BB33" s="21">
        <f t="shared" si="48"/>
        <v>-7.1999999999999886</v>
      </c>
      <c r="BC33" s="21">
        <f t="shared" si="48"/>
        <v>-3.2999999999999829</v>
      </c>
      <c r="BD33" s="21">
        <f t="shared" si="48"/>
        <v>-11.599999999999966</v>
      </c>
      <c r="BE33" s="24">
        <f t="shared" si="31"/>
        <v>-22.099999999999937</v>
      </c>
      <c r="BF33" s="96">
        <f t="shared" si="4"/>
        <v>22.099999999999937</v>
      </c>
      <c r="BG33" s="82">
        <f t="shared" si="5"/>
        <v>-22.099999999999937</v>
      </c>
    </row>
    <row r="34" spans="1:59" ht="15.75" thickBot="1">
      <c r="A34" s="6">
        <f>ELEC!C32</f>
        <v>44559</v>
      </c>
      <c r="B34" s="5">
        <f t="shared" si="6"/>
        <v>109443</v>
      </c>
      <c r="C34" s="5">
        <f>B34-B33</f>
        <v>0</v>
      </c>
      <c r="D34" s="402">
        <f>C34/27</f>
        <v>0</v>
      </c>
      <c r="E34" s="318">
        <f>SUM((C34*$E$4)+(7500/'EDl log'!$A$37))</f>
        <v>241.93548387096774</v>
      </c>
      <c r="F34" s="312"/>
      <c r="G34" s="5">
        <f t="shared" si="49"/>
        <v>626310</v>
      </c>
      <c r="H34" s="5">
        <f>G34-G33</f>
        <v>0</v>
      </c>
      <c r="I34" s="5">
        <f>C34+H34</f>
        <v>0</v>
      </c>
      <c r="J34" s="319">
        <f>IF(I34&gt;0,E34/I34,0)</f>
        <v>0</v>
      </c>
      <c r="K34" s="5">
        <f>'Swimming Pool quality check '!H34</f>
        <v>6976</v>
      </c>
      <c r="L34" s="263">
        <f>K34-K33</f>
        <v>0</v>
      </c>
      <c r="M34" s="393">
        <f t="shared" si="11"/>
        <v>457.44</v>
      </c>
      <c r="N34" s="482">
        <f>SUM(M34-M33)</f>
        <v>0</v>
      </c>
      <c r="O34" s="393">
        <f t="shared" si="12"/>
        <v>529.52</v>
      </c>
      <c r="P34" s="482">
        <f>SUM(O34-O33)</f>
        <v>0</v>
      </c>
      <c r="Q34" s="482">
        <f>SUM(P34+N34)</f>
        <v>0</v>
      </c>
      <c r="R34" s="484"/>
      <c r="S34" s="484"/>
      <c r="T34" s="5">
        <f t="shared" si="13"/>
        <v>5180</v>
      </c>
      <c r="U34" s="5">
        <f>SUM(T34-T33)</f>
        <v>0</v>
      </c>
      <c r="V34" s="5">
        <f t="shared" si="14"/>
        <v>477</v>
      </c>
      <c r="W34" s="309">
        <f>+V34-V33</f>
        <v>0</v>
      </c>
      <c r="X34" s="5">
        <f t="shared" si="16"/>
        <v>154481</v>
      </c>
      <c r="Y34" s="309">
        <f t="shared" si="42"/>
        <v>0</v>
      </c>
      <c r="Z34" s="5">
        <f t="shared" si="17"/>
        <v>99258</v>
      </c>
      <c r="AA34" s="83">
        <f>Z34-Z33</f>
        <v>0</v>
      </c>
      <c r="AB34" s="5">
        <f t="shared" si="19"/>
        <v>248</v>
      </c>
      <c r="AC34" s="5">
        <f t="shared" si="20"/>
        <v>789</v>
      </c>
      <c r="AD34" s="83">
        <f>AC34-AC33</f>
        <v>0</v>
      </c>
      <c r="AE34" s="5">
        <f t="shared" si="21"/>
        <v>239.1</v>
      </c>
      <c r="AF34" s="83">
        <f>AE34-AE33</f>
        <v>0</v>
      </c>
      <c r="AG34" s="5">
        <f t="shared" si="23"/>
        <v>2217.83</v>
      </c>
      <c r="AH34" s="83">
        <f>AG34-AG33</f>
        <v>0</v>
      </c>
      <c r="AI34" s="83">
        <f>AF34+AH34</f>
        <v>0</v>
      </c>
      <c r="AJ34" s="311">
        <f>+Z34-Z33</f>
        <v>0</v>
      </c>
      <c r="AK34" s="312">
        <f>SUM(Y34-L34)</f>
        <v>0</v>
      </c>
      <c r="AL34" s="312">
        <f>SUM(AJ34-W34)</f>
        <v>0</v>
      </c>
      <c r="AM34" s="312">
        <f>'General information '!D33</f>
        <v>16.5</v>
      </c>
      <c r="AN34" s="84">
        <f>'General information '!H33</f>
        <v>0</v>
      </c>
      <c r="AO34" s="84"/>
      <c r="AP34" s="84">
        <f>'General information '!J33</f>
        <v>0</v>
      </c>
      <c r="AR34" s="266">
        <f>A34</f>
        <v>44559</v>
      </c>
      <c r="AS34" s="407">
        <f>AS33</f>
        <v>0.9</v>
      </c>
      <c r="AT34" s="201">
        <f t="shared" ref="AT34:AT36" si="51">AT33</f>
        <v>173</v>
      </c>
      <c r="AU34" s="408">
        <f>AU33</f>
        <v>1.1000000000000001</v>
      </c>
      <c r="AV34" s="201">
        <f t="shared" si="35"/>
        <v>122</v>
      </c>
      <c r="AW34" s="5">
        <v>2.9</v>
      </c>
      <c r="AX34" s="201">
        <f t="shared" si="36"/>
        <v>90</v>
      </c>
      <c r="AY34" s="409">
        <f t="shared" si="37"/>
        <v>155.70000000000002</v>
      </c>
      <c r="AZ34" s="409">
        <f>AU34*AV34</f>
        <v>134.20000000000002</v>
      </c>
      <c r="BA34" s="409">
        <f>AW34*AX34</f>
        <v>261</v>
      </c>
      <c r="BB34" s="21">
        <f t="shared" ref="BB34:BD34" si="52">AY34-AY33</f>
        <v>0</v>
      </c>
      <c r="BC34" s="21">
        <f t="shared" si="52"/>
        <v>0</v>
      </c>
      <c r="BD34" s="21">
        <f t="shared" si="52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44560</v>
      </c>
      <c r="B35" s="5">
        <f t="shared" si="6"/>
        <v>109443</v>
      </c>
      <c r="C35" s="5">
        <f>B35-B34</f>
        <v>0</v>
      </c>
      <c r="D35" s="402">
        <f>C35/27</f>
        <v>0</v>
      </c>
      <c r="E35" s="318">
        <f>SUM((C35*$E$4)+(7500/'EDl log'!$A$37))</f>
        <v>241.93548387096774</v>
      </c>
      <c r="F35" s="312"/>
      <c r="G35" s="5">
        <f t="shared" si="49"/>
        <v>626310</v>
      </c>
      <c r="H35" s="5">
        <f>G35-G34</f>
        <v>0</v>
      </c>
      <c r="I35" s="5">
        <f>C35+H35</f>
        <v>0</v>
      </c>
      <c r="J35" s="319">
        <f>IF(I35&gt;0,E35/I35,0)</f>
        <v>0</v>
      </c>
      <c r="K35" s="5">
        <f>'Swimming Pool quality check '!H35</f>
        <v>6976</v>
      </c>
      <c r="L35" s="263">
        <f>K35-K34</f>
        <v>0</v>
      </c>
      <c r="M35" s="393">
        <f t="shared" si="11"/>
        <v>457.44</v>
      </c>
      <c r="N35" s="482">
        <f>SUM(M35-M34)</f>
        <v>0</v>
      </c>
      <c r="O35" s="393">
        <f t="shared" si="12"/>
        <v>529.52</v>
      </c>
      <c r="P35" s="482">
        <f>SUM(O35-O34)</f>
        <v>0</v>
      </c>
      <c r="Q35" s="482">
        <f>SUM(P35+N35)</f>
        <v>0</v>
      </c>
      <c r="R35" s="484"/>
      <c r="S35" s="484"/>
      <c r="T35" s="5">
        <f t="shared" si="13"/>
        <v>5180</v>
      </c>
      <c r="U35" s="5">
        <f>SUM(T35-T34)</f>
        <v>0</v>
      </c>
      <c r="V35" s="5">
        <f t="shared" si="14"/>
        <v>477</v>
      </c>
      <c r="W35" s="309">
        <f>+V35-V34</f>
        <v>0</v>
      </c>
      <c r="X35" s="5">
        <f t="shared" si="16"/>
        <v>154481</v>
      </c>
      <c r="Y35" s="309">
        <f t="shared" si="42"/>
        <v>0</v>
      </c>
      <c r="Z35" s="5">
        <f t="shared" si="17"/>
        <v>99258</v>
      </c>
      <c r="AA35" s="83">
        <f>Z35-Z34</f>
        <v>0</v>
      </c>
      <c r="AB35" s="5">
        <f t="shared" si="19"/>
        <v>248</v>
      </c>
      <c r="AC35" s="5">
        <f t="shared" si="20"/>
        <v>789</v>
      </c>
      <c r="AD35" s="83">
        <f>AC35-AC34</f>
        <v>0</v>
      </c>
      <c r="AE35" s="5">
        <f t="shared" si="21"/>
        <v>239.1</v>
      </c>
      <c r="AF35" s="83">
        <f>AE35-AE34</f>
        <v>0</v>
      </c>
      <c r="AG35" s="5">
        <f t="shared" si="23"/>
        <v>2217.83</v>
      </c>
      <c r="AH35" s="83">
        <f>AG35-AG34</f>
        <v>0</v>
      </c>
      <c r="AI35" s="83">
        <f>AF35+AH35</f>
        <v>0</v>
      </c>
      <c r="AJ35" s="311">
        <f>+Z35-Z34</f>
        <v>0</v>
      </c>
      <c r="AK35" s="312">
        <f>SUM(Y35-L35)</f>
        <v>0</v>
      </c>
      <c r="AL35" s="312">
        <f>SUM(AJ35-W35)</f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>A35</f>
        <v>44560</v>
      </c>
      <c r="AS35" s="407">
        <f>AS34</f>
        <v>0.9</v>
      </c>
      <c r="AT35" s="201">
        <f t="shared" si="51"/>
        <v>173</v>
      </c>
      <c r="AU35" s="408">
        <f>AU34</f>
        <v>1.1000000000000001</v>
      </c>
      <c r="AV35" s="201">
        <f t="shared" si="35"/>
        <v>122</v>
      </c>
      <c r="AW35" s="5">
        <v>2.9</v>
      </c>
      <c r="AX35" s="201">
        <f t="shared" si="36"/>
        <v>90</v>
      </c>
      <c r="AY35" s="409">
        <f t="shared" si="37"/>
        <v>155.70000000000002</v>
      </c>
      <c r="AZ35" s="409">
        <f>AU35*AV35</f>
        <v>134.20000000000002</v>
      </c>
      <c r="BA35" s="409">
        <f>AW35*AX35</f>
        <v>261</v>
      </c>
      <c r="BB35" s="21">
        <f t="shared" ref="BB35" si="53">AY35-AY34</f>
        <v>0</v>
      </c>
      <c r="BC35" s="21">
        <f>AZ35-AZ34</f>
        <v>0</v>
      </c>
      <c r="BD35" s="21">
        <f t="shared" ref="BD35" si="54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44561</v>
      </c>
      <c r="B36" s="5">
        <f t="shared" si="6"/>
        <v>109443</v>
      </c>
      <c r="C36" s="5">
        <f>B36-B35</f>
        <v>0</v>
      </c>
      <c r="D36" s="402">
        <f>C36/27</f>
        <v>0</v>
      </c>
      <c r="E36" s="318">
        <f>SUM((C36*$E$4)+(7500/'EDl log'!$A$37))</f>
        <v>241.93548387096774</v>
      </c>
      <c r="F36" s="312"/>
      <c r="G36" s="5">
        <f t="shared" si="49"/>
        <v>626310</v>
      </c>
      <c r="H36" s="5">
        <f>G36-G35</f>
        <v>0</v>
      </c>
      <c r="I36" s="5">
        <f>C36+H36</f>
        <v>0</v>
      </c>
      <c r="J36" s="319">
        <f>IF(I36&gt;0,E36/I36,0)</f>
        <v>0</v>
      </c>
      <c r="K36" s="5">
        <f>'Swimming Pool quality check '!H36</f>
        <v>6976</v>
      </c>
      <c r="L36" s="263">
        <f>K36-K35</f>
        <v>0</v>
      </c>
      <c r="M36" s="393">
        <f t="shared" si="11"/>
        <v>457.44</v>
      </c>
      <c r="N36" s="482">
        <f>SUM(M36-M35)</f>
        <v>0</v>
      </c>
      <c r="O36" s="393">
        <f t="shared" si="12"/>
        <v>529.52</v>
      </c>
      <c r="P36" s="482">
        <f>SUM(O36-O35)</f>
        <v>0</v>
      </c>
      <c r="Q36" s="482">
        <f>SUM(P36+N36)</f>
        <v>0</v>
      </c>
      <c r="R36" s="484"/>
      <c r="S36" s="484"/>
      <c r="T36" s="5">
        <f t="shared" si="13"/>
        <v>5180</v>
      </c>
      <c r="U36" s="5">
        <f>SUM(T36-T35)</f>
        <v>0</v>
      </c>
      <c r="V36" s="5">
        <f t="shared" si="14"/>
        <v>477</v>
      </c>
      <c r="W36" s="309">
        <f>+V36-V35</f>
        <v>0</v>
      </c>
      <c r="X36" s="5">
        <f t="shared" si="16"/>
        <v>154481</v>
      </c>
      <c r="Y36" s="309">
        <f t="shared" si="42"/>
        <v>0</v>
      </c>
      <c r="Z36" s="5">
        <f t="shared" si="17"/>
        <v>99258</v>
      </c>
      <c r="AA36" s="83">
        <f>Z36-Z35</f>
        <v>0</v>
      </c>
      <c r="AB36" s="5">
        <f t="shared" si="19"/>
        <v>248</v>
      </c>
      <c r="AC36" s="5">
        <f t="shared" si="20"/>
        <v>789</v>
      </c>
      <c r="AD36" s="83">
        <f>AC36-AC35</f>
        <v>0</v>
      </c>
      <c r="AE36" s="5">
        <f t="shared" si="21"/>
        <v>239.1</v>
      </c>
      <c r="AF36" s="83">
        <f>AE36-AE35</f>
        <v>0</v>
      </c>
      <c r="AG36" s="5">
        <f t="shared" si="23"/>
        <v>2217.83</v>
      </c>
      <c r="AH36" s="83">
        <f>AG36-AG35</f>
        <v>0</v>
      </c>
      <c r="AI36" s="83">
        <f>AF36+AH36</f>
        <v>0</v>
      </c>
      <c r="AJ36" s="311">
        <f>+Z36-Z35</f>
        <v>0</v>
      </c>
      <c r="AK36" s="312">
        <f>SUM(Y36-L36)</f>
        <v>0</v>
      </c>
      <c r="AL36" s="312">
        <f>SUM(AJ36-W36)</f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>A36</f>
        <v>44561</v>
      </c>
      <c r="AS36" s="407">
        <f>AS35</f>
        <v>0.9</v>
      </c>
      <c r="AT36" s="201">
        <f t="shared" si="51"/>
        <v>173</v>
      </c>
      <c r="AU36" s="408">
        <f>AU35</f>
        <v>1.1000000000000001</v>
      </c>
      <c r="AV36" s="201">
        <f t="shared" si="35"/>
        <v>122</v>
      </c>
      <c r="AW36" s="5">
        <v>2.9</v>
      </c>
      <c r="AX36" s="201">
        <f t="shared" si="36"/>
        <v>90</v>
      </c>
      <c r="AY36" s="409">
        <f t="shared" ref="AY36" si="55">AS36*AT36</f>
        <v>155.70000000000002</v>
      </c>
      <c r="AZ36" s="409">
        <f>AU36*AV36</f>
        <v>134.20000000000002</v>
      </c>
      <c r="BA36" s="409">
        <f>AW36*AX36</f>
        <v>261</v>
      </c>
      <c r="BB36" s="21">
        <f t="shared" ref="BB36" si="56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332</v>
      </c>
      <c r="I37" s="395">
        <f>SUM(I6:I36)</f>
        <v>332</v>
      </c>
      <c r="L37" s="258">
        <f>SUM(L7:L36)</f>
        <v>22</v>
      </c>
      <c r="M37" s="551"/>
      <c r="N37" s="551"/>
      <c r="O37" s="551"/>
      <c r="P37" s="551"/>
      <c r="Q37" s="397">
        <f>SUM(Q6:Q36)</f>
        <v>0</v>
      </c>
      <c r="R37" s="551"/>
      <c r="S37" s="551"/>
      <c r="T37" s="551"/>
      <c r="U37" s="551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-22</v>
      </c>
      <c r="AL37" s="307">
        <f>SUM(AL6:AL36)</f>
        <v>0</v>
      </c>
      <c r="AP37" s="17"/>
      <c r="AQ37" s="17"/>
      <c r="AR37" s="17"/>
      <c r="AS37" s="569"/>
      <c r="AT37" s="201"/>
      <c r="AU37" s="569"/>
      <c r="AV37" s="571"/>
      <c r="AW37" s="570"/>
      <c r="AX37" s="570"/>
      <c r="AY37" s="570"/>
      <c r="AZ37" s="571"/>
      <c r="BA37" s="571"/>
      <c r="BB37" s="571"/>
      <c r="BC37" s="571"/>
      <c r="BD37" s="571"/>
      <c r="BE37" s="572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332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332</v>
      </c>
      <c r="H39" s="1">
        <f>SUM(H38+C38)</f>
        <v>7500</v>
      </c>
      <c r="K39" s="1">
        <f>SUM(H39/G39)</f>
        <v>22.590361445783131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X31" sqref="X31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[2]GEN!$A$32</f>
        <v>44530</v>
      </c>
      <c r="B2" s="260">
        <f>[2]GEN!B32</f>
        <v>11198</v>
      </c>
      <c r="C2" s="260">
        <f>[2]GEN!C32</f>
        <v>9</v>
      </c>
      <c r="D2" s="260">
        <f>[2]GEN!D32</f>
        <v>562516</v>
      </c>
      <c r="E2" s="260">
        <f>[2]GEN!E32</f>
        <v>2250</v>
      </c>
      <c r="F2" s="260">
        <f>[2]GEN!F32</f>
        <v>250</v>
      </c>
      <c r="G2" s="260">
        <f>[2]GEN!G32</f>
        <v>0</v>
      </c>
      <c r="H2" s="260">
        <f>[2]GEN!H32</f>
        <v>11218</v>
      </c>
      <c r="I2" s="260" t="str">
        <f>[2]GEN!I32</f>
        <v>ok</v>
      </c>
      <c r="J2" s="260">
        <f>[2]GEN!J32</f>
        <v>10698</v>
      </c>
      <c r="K2" s="260">
        <f>[2]GEN!K32</f>
        <v>0</v>
      </c>
      <c r="L2" s="260">
        <f>[2]GEN!L32</f>
        <v>357691</v>
      </c>
      <c r="M2" s="260">
        <f>[2]GEN!M32</f>
        <v>0</v>
      </c>
      <c r="N2" s="260">
        <f>[2]GEN!N32</f>
        <v>0</v>
      </c>
      <c r="O2" s="260">
        <f>[2]GEN!O32</f>
        <v>0</v>
      </c>
      <c r="P2" s="260">
        <f>[2]GEN!P32</f>
        <v>10873</v>
      </c>
      <c r="Q2" s="260" t="str">
        <f>[2]GEN!Q32</f>
        <v>ok</v>
      </c>
      <c r="R2" s="260">
        <f>[2]GEN!R32</f>
        <v>13312</v>
      </c>
      <c r="S2" s="260">
        <f>[2]GEN!S32</f>
        <v>1</v>
      </c>
      <c r="T2" s="260">
        <f>[2]GEN!T32</f>
        <v>267496</v>
      </c>
      <c r="U2" s="260">
        <f>[2]GEN!U32</f>
        <v>250</v>
      </c>
      <c r="V2" s="260">
        <f>[2]GEN!V32</f>
        <v>250</v>
      </c>
      <c r="W2" s="260">
        <f>[2]GEN!W32</f>
        <v>0</v>
      </c>
      <c r="X2" s="260">
        <f>[2]GEN!X32</f>
        <v>13429</v>
      </c>
      <c r="Y2" s="260" t="str">
        <f>[2]GEN!Y32</f>
        <v>ok</v>
      </c>
      <c r="Z2" s="260">
        <f>[2]GEN!Z32</f>
        <v>10</v>
      </c>
      <c r="AA2" s="260">
        <f>[2]GEN!AA32</f>
        <v>2500</v>
      </c>
      <c r="AB2" s="260">
        <f>[2]GEN!AB32</f>
        <v>500</v>
      </c>
      <c r="AC2" s="260">
        <f>[2]GEN!AC32</f>
        <v>250</v>
      </c>
      <c r="AD2" s="260">
        <f>[2]GEN!AD32</f>
        <v>6585.9999999993306</v>
      </c>
      <c r="AE2" s="260">
        <f>[2]GEN!AE32</f>
        <v>658.59999999993306</v>
      </c>
      <c r="AF2" s="260">
        <f>[2]GEN!AF32</f>
        <v>0.41162499999995816</v>
      </c>
      <c r="AG2" s="260">
        <f>[2]GEN!AG32</f>
        <v>131.71999999998661</v>
      </c>
      <c r="AH2" s="260">
        <f>[2]GEN!AH32</f>
        <v>118.28000000001339</v>
      </c>
      <c r="AI2" s="260">
        <f>[2]GEN!AI32</f>
        <v>1695.1308016875917</v>
      </c>
      <c r="AJ2" s="260">
        <f>[2]GEN!AJ32</f>
        <v>0.25738396624472576</v>
      </c>
      <c r="AK2" s="260">
        <f>[2]GEN!AK32</f>
        <v>169.51308016875916</v>
      </c>
    </row>
    <row r="3" spans="1:38" ht="16.5" thickBot="1">
      <c r="A3" s="4">
        <f>ELEC!C4</f>
        <v>44531</v>
      </c>
      <c r="B3" s="502">
        <v>11202</v>
      </c>
      <c r="C3" s="276">
        <f>B3-B2</f>
        <v>4</v>
      </c>
      <c r="D3" s="503">
        <f>D2+C3*250</f>
        <v>563516</v>
      </c>
      <c r="E3" s="276">
        <f>SUM(D3-D2)</f>
        <v>1000</v>
      </c>
      <c r="F3" s="276">
        <f t="shared" ref="F3:F30" si="0">IF(C3&gt;0,E3/C3,0)</f>
        <v>250</v>
      </c>
      <c r="G3" s="260">
        <f>[4]GEN!G32</f>
        <v>0</v>
      </c>
      <c r="H3" s="260">
        <f>H2</f>
        <v>11218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v>13319</v>
      </c>
      <c r="S3" s="276">
        <f t="shared" ref="S3:S30" si="4">R3-R2</f>
        <v>7</v>
      </c>
      <c r="T3" s="503">
        <f>T2+U3</f>
        <v>269246</v>
      </c>
      <c r="U3" s="276">
        <f>V3*S3</f>
        <v>1750</v>
      </c>
      <c r="V3" s="276">
        <v>250</v>
      </c>
      <c r="W3" s="260">
        <f>[4]GEN!W32</f>
        <v>0</v>
      </c>
      <c r="X3" s="584">
        <f>13279+150</f>
        <v>13429</v>
      </c>
      <c r="Y3" s="276" t="str">
        <f t="shared" ref="Y3:Y19" si="5">IF(R3-X3&lt;=0,"ok","oil change")</f>
        <v>ok</v>
      </c>
      <c r="Z3" s="276">
        <f t="shared" ref="Z3:Z30" si="6">C3+K3+S3</f>
        <v>11</v>
      </c>
      <c r="AA3" s="276">
        <f>U3+M3+E3</f>
        <v>2750</v>
      </c>
      <c r="AB3" s="276">
        <f>V3+N3+F3</f>
        <v>500</v>
      </c>
      <c r="AC3" s="276">
        <f>IF(Z3&gt;0,AA3/Z3,0)</f>
        <v>250</v>
      </c>
      <c r="AD3" s="73">
        <f>ELEC!Q4</f>
        <v>6199.0000000005239</v>
      </c>
      <c r="AE3" s="73">
        <f>SUM(AD3/Z3)</f>
        <v>563.54545454550214</v>
      </c>
      <c r="AF3" s="387">
        <f>SUM(AE3/1600)</f>
        <v>0.35221590909093886</v>
      </c>
      <c r="AG3" s="388">
        <f>SUM(360*AF3)</f>
        <v>126.79772727273799</v>
      </c>
      <c r="AH3" s="388">
        <f>SUM(AC3-AG3)</f>
        <v>123.20227272726201</v>
      </c>
      <c r="AI3" s="73">
        <f>AD3*AJ3</f>
        <v>1595.5232067511897</v>
      </c>
      <c r="AJ3" s="278">
        <f t="shared" ref="AJ3:AJ33" si="7">305/1185</f>
        <v>0.25738396624472576</v>
      </c>
      <c r="AK3" s="278">
        <f t="shared" ref="AK3:AK32" si="8">AI3/Z3</f>
        <v>145.04756425010817</v>
      </c>
      <c r="AL3">
        <f>IF(Z3=0,0,1)</f>
        <v>1</v>
      </c>
    </row>
    <row r="4" spans="1:38" ht="16.5" thickBot="1">
      <c r="A4" s="4">
        <f>ELEC!C5</f>
        <v>44532</v>
      </c>
      <c r="B4" s="502">
        <v>11213</v>
      </c>
      <c r="C4" s="276">
        <f t="shared" ref="C4:C30" si="9">B4-B3</f>
        <v>11</v>
      </c>
      <c r="D4" s="503">
        <f t="shared" ref="D4:D33" si="10">D3+C4*250</f>
        <v>566266</v>
      </c>
      <c r="E4" s="276">
        <f t="shared" ref="E4:E25" si="11">SUM(D4-D3)</f>
        <v>2750</v>
      </c>
      <c r="F4" s="276">
        <f t="shared" si="0"/>
        <v>250</v>
      </c>
      <c r="G4" s="196"/>
      <c r="H4" s="260">
        <f t="shared" ref="H4:H33" si="12">H3</f>
        <v>11218</v>
      </c>
      <c r="I4" s="276" t="str">
        <f t="shared" si="1"/>
        <v>ok</v>
      </c>
      <c r="J4" s="502">
        <f t="shared" ref="J4:J33" si="13">J3</f>
        <v>10698</v>
      </c>
      <c r="K4" s="276">
        <f t="shared" si="2"/>
        <v>0</v>
      </c>
      <c r="L4" s="503">
        <f t="shared" ref="L4:L33" si="14">L3</f>
        <v>357691</v>
      </c>
      <c r="M4" s="276">
        <f t="shared" ref="M4:M30" si="15">SUM(L4-L3)</f>
        <v>0</v>
      </c>
      <c r="N4" s="276">
        <f t="shared" ref="N4:N30" si="16">IF(K4&gt;0,M4/K4,0)</f>
        <v>0</v>
      </c>
      <c r="O4" s="196"/>
      <c r="P4" s="277">
        <f t="shared" ref="P4:P33" si="17">P3</f>
        <v>10873</v>
      </c>
      <c r="Q4" s="276" t="str">
        <f t="shared" si="3"/>
        <v>ok</v>
      </c>
      <c r="R4" s="502">
        <v>13320</v>
      </c>
      <c r="S4" s="276">
        <f t="shared" si="4"/>
        <v>1</v>
      </c>
      <c r="T4" s="503">
        <f t="shared" ref="T4:T33" si="18">T3+U4</f>
        <v>269496</v>
      </c>
      <c r="U4" s="276">
        <f t="shared" ref="U4:U33" si="19">V4*S4</f>
        <v>250</v>
      </c>
      <c r="V4" s="276">
        <v>250</v>
      </c>
      <c r="W4" s="196"/>
      <c r="X4" s="584">
        <f t="shared" ref="X4:X33" si="20">13279+150</f>
        <v>13429</v>
      </c>
      <c r="Y4" s="276" t="str">
        <f t="shared" si="5"/>
        <v>ok</v>
      </c>
      <c r="Z4" s="276">
        <f t="shared" si="6"/>
        <v>12</v>
      </c>
      <c r="AA4" s="276">
        <f t="shared" ref="AA4:AA30" si="21">U4+M4+E4</f>
        <v>3000</v>
      </c>
      <c r="AB4" s="276">
        <f t="shared" ref="AB4:AB30" si="22">V4+N4+F4</f>
        <v>500</v>
      </c>
      <c r="AC4" s="276">
        <f t="shared" ref="AC4:AC30" si="23">IF(Z4&gt;0,AA4/Z4,0)</f>
        <v>250</v>
      </c>
      <c r="AD4" s="73">
        <f>ELEC!Q5</f>
        <v>5363.0000000011933</v>
      </c>
      <c r="AE4" s="73">
        <f>SUM(AD4/Z4)</f>
        <v>446.9166666667661</v>
      </c>
      <c r="AF4" s="387">
        <f>SUM(AE4/1600)</f>
        <v>0.27932291666672882</v>
      </c>
      <c r="AG4" s="388">
        <f>SUM(360*AF4)</f>
        <v>100.55625000002237</v>
      </c>
      <c r="AH4" s="388">
        <f t="shared" ref="AH4:AH30" si="24">SUM(AC4-AG4)</f>
        <v>149.44374999997763</v>
      </c>
      <c r="AI4" s="73">
        <f>AD4*AJ4</f>
        <v>1380.3502109707713</v>
      </c>
      <c r="AJ4" s="278">
        <f t="shared" si="7"/>
        <v>0.25738396624472576</v>
      </c>
      <c r="AK4" s="278">
        <f t="shared" si="8"/>
        <v>115.02918424756427</v>
      </c>
      <c r="AL4">
        <f t="shared" ref="AL4:AL33" si="25">IF(Z4=0,0,1)</f>
        <v>1</v>
      </c>
    </row>
    <row r="5" spans="1:38" ht="16.5" thickBot="1">
      <c r="A5" s="4">
        <f>ELEC!C6</f>
        <v>44533</v>
      </c>
      <c r="B5" s="502">
        <f t="shared" ref="B5:B33" si="26">B4</f>
        <v>11213</v>
      </c>
      <c r="C5" s="276">
        <f t="shared" si="9"/>
        <v>0</v>
      </c>
      <c r="D5" s="503">
        <f t="shared" si="10"/>
        <v>566266</v>
      </c>
      <c r="E5" s="276">
        <f t="shared" si="11"/>
        <v>0</v>
      </c>
      <c r="F5" s="276">
        <f t="shared" si="0"/>
        <v>0</v>
      </c>
      <c r="G5" s="274"/>
      <c r="H5" s="260">
        <f t="shared" si="12"/>
        <v>11218</v>
      </c>
      <c r="I5" s="276" t="str">
        <f t="shared" si="1"/>
        <v>ok</v>
      </c>
      <c r="J5" s="502">
        <f t="shared" si="13"/>
        <v>10698</v>
      </c>
      <c r="K5" s="276">
        <f t="shared" si="2"/>
        <v>0</v>
      </c>
      <c r="L5" s="503">
        <f t="shared" si="14"/>
        <v>357691</v>
      </c>
      <c r="M5" s="276">
        <f t="shared" si="15"/>
        <v>0</v>
      </c>
      <c r="N5" s="276">
        <f t="shared" si="16"/>
        <v>0</v>
      </c>
      <c r="O5" s="196"/>
      <c r="P5" s="277">
        <f t="shared" si="17"/>
        <v>10873</v>
      </c>
      <c r="Q5" s="276" t="str">
        <f t="shared" si="3"/>
        <v>ok</v>
      </c>
      <c r="R5" s="502">
        <f t="shared" ref="R5:R33" si="27">R4</f>
        <v>13320</v>
      </c>
      <c r="S5" s="276">
        <f t="shared" si="4"/>
        <v>0</v>
      </c>
      <c r="T5" s="503">
        <f t="shared" si="18"/>
        <v>269496</v>
      </c>
      <c r="U5" s="276">
        <f t="shared" si="19"/>
        <v>0</v>
      </c>
      <c r="V5" s="276">
        <v>250</v>
      </c>
      <c r="W5" s="196"/>
      <c r="X5" s="584">
        <f t="shared" si="20"/>
        <v>13429</v>
      </c>
      <c r="Y5" s="276" t="str">
        <f t="shared" si="5"/>
        <v>ok</v>
      </c>
      <c r="Z5" s="276">
        <f t="shared" si="6"/>
        <v>0</v>
      </c>
      <c r="AA5" s="276">
        <f t="shared" si="21"/>
        <v>0</v>
      </c>
      <c r="AB5" s="276">
        <f t="shared" si="22"/>
        <v>250</v>
      </c>
      <c r="AC5" s="276">
        <f t="shared" si="23"/>
        <v>0</v>
      </c>
      <c r="AD5" s="73">
        <f>ELEC!Q6</f>
        <v>0</v>
      </c>
      <c r="AE5" s="73" t="e">
        <f t="shared" ref="AE5:AE30" si="28">SUM(AD5/Z5)</f>
        <v>#DIV/0!</v>
      </c>
      <c r="AF5" s="387" t="e">
        <f t="shared" ref="AF5:AG30" si="29">SUM(AE5/1600)</f>
        <v>#DIV/0!</v>
      </c>
      <c r="AG5" s="388" t="e">
        <f t="shared" ref="AG5" si="30">SUM(320*AF5)</f>
        <v>#DIV/0!</v>
      </c>
      <c r="AH5" s="388" t="e">
        <f t="shared" si="24"/>
        <v>#DIV/0!</v>
      </c>
      <c r="AI5" s="73">
        <f t="shared" ref="AI5:AI30" si="31">AD5*AJ5</f>
        <v>0</v>
      </c>
      <c r="AJ5" s="278">
        <f t="shared" si="7"/>
        <v>0.25738396624472576</v>
      </c>
      <c r="AK5" s="278" t="e">
        <f t="shared" si="8"/>
        <v>#DIV/0!</v>
      </c>
      <c r="AL5">
        <f t="shared" si="25"/>
        <v>0</v>
      </c>
    </row>
    <row r="6" spans="1:38" ht="16.5" thickBot="1">
      <c r="A6" s="4">
        <f>ELEC!C7</f>
        <v>44534</v>
      </c>
      <c r="B6" s="502">
        <f t="shared" si="26"/>
        <v>11213</v>
      </c>
      <c r="C6" s="276">
        <f t="shared" si="9"/>
        <v>0</v>
      </c>
      <c r="D6" s="503">
        <f t="shared" si="10"/>
        <v>566266</v>
      </c>
      <c r="E6" s="276">
        <f t="shared" si="11"/>
        <v>0</v>
      </c>
      <c r="F6" s="276">
        <f t="shared" si="0"/>
        <v>0</v>
      </c>
      <c r="G6" s="196"/>
      <c r="H6" s="260">
        <f t="shared" si="12"/>
        <v>11218</v>
      </c>
      <c r="I6" s="276" t="str">
        <f t="shared" si="1"/>
        <v>ok</v>
      </c>
      <c r="J6" s="502">
        <f t="shared" si="13"/>
        <v>10698</v>
      </c>
      <c r="K6" s="276">
        <f t="shared" si="2"/>
        <v>0</v>
      </c>
      <c r="L6" s="503">
        <f t="shared" si="14"/>
        <v>357691</v>
      </c>
      <c r="M6" s="276">
        <f>SUM(L6-L5)</f>
        <v>0</v>
      </c>
      <c r="N6" s="276">
        <f t="shared" si="16"/>
        <v>0</v>
      </c>
      <c r="O6" s="294"/>
      <c r="P6" s="277">
        <f t="shared" si="17"/>
        <v>10873</v>
      </c>
      <c r="Q6" s="276" t="str">
        <f t="shared" si="3"/>
        <v>ok</v>
      </c>
      <c r="R6" s="502">
        <f t="shared" si="27"/>
        <v>13320</v>
      </c>
      <c r="S6" s="276">
        <f t="shared" si="4"/>
        <v>0</v>
      </c>
      <c r="T6" s="503">
        <f t="shared" si="18"/>
        <v>269496</v>
      </c>
      <c r="U6" s="276">
        <f>V6*S6</f>
        <v>0</v>
      </c>
      <c r="V6" s="276">
        <v>250</v>
      </c>
      <c r="W6" s="294"/>
      <c r="X6" s="584">
        <f t="shared" si="20"/>
        <v>13429</v>
      </c>
      <c r="Y6" s="276" t="str">
        <f t="shared" si="5"/>
        <v>ok</v>
      </c>
      <c r="Z6" s="276">
        <f t="shared" si="6"/>
        <v>0</v>
      </c>
      <c r="AA6" s="276">
        <f t="shared" si="21"/>
        <v>0</v>
      </c>
      <c r="AB6" s="276">
        <f t="shared" si="22"/>
        <v>250</v>
      </c>
      <c r="AC6" s="276">
        <f t="shared" si="23"/>
        <v>0</v>
      </c>
      <c r="AD6" s="73">
        <f>ELEC!Q7</f>
        <v>0</v>
      </c>
      <c r="AE6" s="73" t="e">
        <f>SUM(AD6/Z6)</f>
        <v>#DIV/0!</v>
      </c>
      <c r="AF6" s="387" t="e">
        <f t="shared" si="29"/>
        <v>#DIV/0!</v>
      </c>
      <c r="AG6" s="388" t="e">
        <f>SUM(320*AF6)</f>
        <v>#DIV/0!</v>
      </c>
      <c r="AH6" s="388" t="e">
        <f t="shared" si="24"/>
        <v>#DIV/0!</v>
      </c>
      <c r="AI6" s="73">
        <f t="shared" si="31"/>
        <v>0</v>
      </c>
      <c r="AJ6" s="278">
        <f t="shared" si="7"/>
        <v>0.25738396624472576</v>
      </c>
      <c r="AK6" s="278" t="e">
        <f t="shared" si="8"/>
        <v>#DIV/0!</v>
      </c>
      <c r="AL6">
        <f t="shared" si="25"/>
        <v>0</v>
      </c>
    </row>
    <row r="7" spans="1:38" ht="16.5" thickBot="1">
      <c r="A7" s="4">
        <f>ELEC!C8</f>
        <v>44535</v>
      </c>
      <c r="B7" s="502">
        <v>11214</v>
      </c>
      <c r="C7" s="276">
        <f t="shared" si="9"/>
        <v>1</v>
      </c>
      <c r="D7" s="503">
        <f t="shared" si="10"/>
        <v>566516</v>
      </c>
      <c r="E7" s="276">
        <f t="shared" si="11"/>
        <v>250</v>
      </c>
      <c r="F7" s="276">
        <f t="shared" si="0"/>
        <v>250</v>
      </c>
      <c r="G7" s="196"/>
      <c r="H7" s="260">
        <f>H6</f>
        <v>11218</v>
      </c>
      <c r="I7" s="276" t="str">
        <f t="shared" si="1"/>
        <v>ok</v>
      </c>
      <c r="J7" s="502">
        <f t="shared" si="13"/>
        <v>10698</v>
      </c>
      <c r="K7" s="276">
        <f t="shared" si="2"/>
        <v>0</v>
      </c>
      <c r="L7" s="503">
        <f t="shared" si="14"/>
        <v>357691</v>
      </c>
      <c r="M7" s="276">
        <f t="shared" si="15"/>
        <v>0</v>
      </c>
      <c r="N7" s="276">
        <f t="shared" si="16"/>
        <v>0</v>
      </c>
      <c r="O7" s="294"/>
      <c r="P7" s="277">
        <f t="shared" si="17"/>
        <v>10873</v>
      </c>
      <c r="Q7" s="276" t="str">
        <f t="shared" si="3"/>
        <v>ok</v>
      </c>
      <c r="R7" s="502">
        <v>13329</v>
      </c>
      <c r="S7" s="276">
        <f t="shared" si="4"/>
        <v>9</v>
      </c>
      <c r="T7" s="503">
        <f t="shared" si="18"/>
        <v>271746</v>
      </c>
      <c r="U7" s="276">
        <f>V7*S7</f>
        <v>2250</v>
      </c>
      <c r="V7" s="276">
        <v>250</v>
      </c>
      <c r="W7" s="196"/>
      <c r="X7" s="584">
        <f t="shared" si="20"/>
        <v>13429</v>
      </c>
      <c r="Y7" s="276" t="str">
        <f t="shared" si="5"/>
        <v>ok</v>
      </c>
      <c r="Z7" s="276">
        <f t="shared" si="6"/>
        <v>10</v>
      </c>
      <c r="AA7" s="276">
        <f>U7+M7+E7</f>
        <v>2500</v>
      </c>
      <c r="AB7" s="276">
        <f t="shared" si="22"/>
        <v>500</v>
      </c>
      <c r="AC7" s="276">
        <f t="shared" si="23"/>
        <v>250</v>
      </c>
      <c r="AD7" s="73">
        <f>ELEC!Q8</f>
        <v>6544.9999999982538</v>
      </c>
      <c r="AE7" s="73">
        <f t="shared" si="28"/>
        <v>654.49999999982538</v>
      </c>
      <c r="AF7" s="387">
        <f t="shared" si="29"/>
        <v>0.40906249999989086</v>
      </c>
      <c r="AG7" s="387">
        <f t="shared" si="29"/>
        <v>2.5566406249993178E-4</v>
      </c>
      <c r="AH7" s="388">
        <f t="shared" si="24"/>
        <v>249.99974433593749</v>
      </c>
      <c r="AI7" s="73">
        <f t="shared" si="31"/>
        <v>1684.5780590712807</v>
      </c>
      <c r="AJ7" s="278">
        <f t="shared" si="7"/>
        <v>0.25738396624472576</v>
      </c>
      <c r="AK7" s="278">
        <f t="shared" si="8"/>
        <v>168.45780590712806</v>
      </c>
      <c r="AL7">
        <f t="shared" si="25"/>
        <v>1</v>
      </c>
    </row>
    <row r="8" spans="1:38" ht="16.5" thickBot="1">
      <c r="A8" s="4">
        <f>ELEC!C9</f>
        <v>44536</v>
      </c>
      <c r="B8" s="502">
        <v>11216</v>
      </c>
      <c r="C8" s="276">
        <f t="shared" si="9"/>
        <v>2</v>
      </c>
      <c r="D8" s="503">
        <f t="shared" si="10"/>
        <v>567016</v>
      </c>
      <c r="E8" s="276">
        <f t="shared" si="11"/>
        <v>500</v>
      </c>
      <c r="F8" s="276">
        <f t="shared" si="0"/>
        <v>250</v>
      </c>
      <c r="G8" s="196"/>
      <c r="H8" s="260">
        <f t="shared" si="12"/>
        <v>11218</v>
      </c>
      <c r="I8" s="276" t="str">
        <f t="shared" si="1"/>
        <v>ok</v>
      </c>
      <c r="J8" s="502">
        <f t="shared" si="13"/>
        <v>10698</v>
      </c>
      <c r="K8" s="276">
        <f t="shared" si="2"/>
        <v>0</v>
      </c>
      <c r="L8" s="503">
        <f t="shared" si="14"/>
        <v>357691</v>
      </c>
      <c r="M8" s="276">
        <f t="shared" si="15"/>
        <v>0</v>
      </c>
      <c r="N8" s="276">
        <f t="shared" si="16"/>
        <v>0</v>
      </c>
      <c r="O8" s="196"/>
      <c r="P8" s="277">
        <f t="shared" si="17"/>
        <v>10873</v>
      </c>
      <c r="Q8" s="276" t="str">
        <f t="shared" si="3"/>
        <v>ok</v>
      </c>
      <c r="R8" s="502">
        <v>13336</v>
      </c>
      <c r="S8" s="276">
        <f t="shared" si="4"/>
        <v>7</v>
      </c>
      <c r="T8" s="503">
        <f>T7+U8</f>
        <v>273496</v>
      </c>
      <c r="U8" s="276">
        <f>V8*S8</f>
        <v>1750</v>
      </c>
      <c r="V8" s="276">
        <v>250</v>
      </c>
      <c r="W8" s="196"/>
      <c r="X8" s="584">
        <f t="shared" si="20"/>
        <v>13429</v>
      </c>
      <c r="Y8" s="276" t="str">
        <f t="shared" si="5"/>
        <v>ok</v>
      </c>
      <c r="Z8" s="276">
        <f t="shared" si="6"/>
        <v>9</v>
      </c>
      <c r="AA8" s="276">
        <f t="shared" si="21"/>
        <v>2250</v>
      </c>
      <c r="AB8" s="276">
        <f t="shared" si="22"/>
        <v>500</v>
      </c>
      <c r="AC8" s="276">
        <f t="shared" si="23"/>
        <v>250</v>
      </c>
      <c r="AD8" s="73">
        <f>ELEC!Q9</f>
        <v>4929.0000000000873</v>
      </c>
      <c r="AE8" s="73">
        <f>SUM(AD8/Z8)</f>
        <v>547.66666666667641</v>
      </c>
      <c r="AF8" s="387">
        <f t="shared" si="29"/>
        <v>0.34229166666667277</v>
      </c>
      <c r="AG8" s="387">
        <f t="shared" si="29"/>
        <v>2.1393229166667048E-4</v>
      </c>
      <c r="AH8" s="388">
        <f t="shared" si="24"/>
        <v>249.99978606770833</v>
      </c>
      <c r="AI8" s="73">
        <f t="shared" si="31"/>
        <v>1268.6455696202756</v>
      </c>
      <c r="AJ8" s="278">
        <f t="shared" si="7"/>
        <v>0.25738396624472576</v>
      </c>
      <c r="AK8" s="278">
        <f t="shared" si="8"/>
        <v>140.96061884669729</v>
      </c>
      <c r="AL8">
        <f t="shared" si="25"/>
        <v>1</v>
      </c>
    </row>
    <row r="9" spans="1:38" ht="16.5" thickBot="1">
      <c r="A9" s="4">
        <f>ELEC!C10</f>
        <v>44537</v>
      </c>
      <c r="B9" s="502">
        <v>11224</v>
      </c>
      <c r="C9" s="276">
        <f t="shared" si="9"/>
        <v>8</v>
      </c>
      <c r="D9" s="503">
        <f t="shared" si="10"/>
        <v>569016</v>
      </c>
      <c r="E9" s="276">
        <f t="shared" si="11"/>
        <v>2000</v>
      </c>
      <c r="F9" s="276">
        <f t="shared" si="0"/>
        <v>250</v>
      </c>
      <c r="G9" s="196"/>
      <c r="H9" s="260">
        <f t="shared" si="12"/>
        <v>11218</v>
      </c>
      <c r="I9" s="276" t="str">
        <f t="shared" si="1"/>
        <v>oil change</v>
      </c>
      <c r="J9" s="502">
        <f t="shared" si="13"/>
        <v>10698</v>
      </c>
      <c r="K9" s="276">
        <f t="shared" si="2"/>
        <v>0</v>
      </c>
      <c r="L9" s="503">
        <f t="shared" si="14"/>
        <v>357691</v>
      </c>
      <c r="M9" s="276">
        <f t="shared" si="15"/>
        <v>0</v>
      </c>
      <c r="N9" s="276">
        <f t="shared" si="16"/>
        <v>0</v>
      </c>
      <c r="O9" s="196"/>
      <c r="P9" s="277">
        <f t="shared" si="17"/>
        <v>10873</v>
      </c>
      <c r="Q9" s="276" t="str">
        <f t="shared" si="3"/>
        <v>ok</v>
      </c>
      <c r="R9" s="502">
        <v>13338</v>
      </c>
      <c r="S9" s="276">
        <f t="shared" si="4"/>
        <v>2</v>
      </c>
      <c r="T9" s="503">
        <f t="shared" si="18"/>
        <v>273996</v>
      </c>
      <c r="U9" s="276">
        <f t="shared" si="19"/>
        <v>500</v>
      </c>
      <c r="V9" s="276">
        <v>250</v>
      </c>
      <c r="W9" s="196"/>
      <c r="X9" s="584">
        <f t="shared" si="20"/>
        <v>13429</v>
      </c>
      <c r="Y9" s="276" t="str">
        <f t="shared" si="5"/>
        <v>ok</v>
      </c>
      <c r="Z9" s="276">
        <f t="shared" si="6"/>
        <v>10</v>
      </c>
      <c r="AA9" s="276">
        <f t="shared" si="21"/>
        <v>2500</v>
      </c>
      <c r="AB9" s="276">
        <f t="shared" si="22"/>
        <v>500</v>
      </c>
      <c r="AC9" s="276">
        <f t="shared" si="23"/>
        <v>250</v>
      </c>
      <c r="AD9" s="73">
        <f>ELEC!Q10</f>
        <v>5243.9999999987776</v>
      </c>
      <c r="AE9" s="73">
        <f t="shared" si="28"/>
        <v>524.39999999987776</v>
      </c>
      <c r="AF9" s="387">
        <f t="shared" si="29"/>
        <v>0.3277499999999236</v>
      </c>
      <c r="AG9" s="387">
        <f t="shared" si="29"/>
        <v>2.0484374999995224E-4</v>
      </c>
      <c r="AH9" s="388">
        <f t="shared" si="24"/>
        <v>249.99979515625</v>
      </c>
      <c r="AI9" s="73">
        <f t="shared" si="31"/>
        <v>1349.7215189870274</v>
      </c>
      <c r="AJ9" s="278">
        <f t="shared" si="7"/>
        <v>0.25738396624472576</v>
      </c>
      <c r="AK9" s="278">
        <f t="shared" si="8"/>
        <v>134.97215189870275</v>
      </c>
      <c r="AL9">
        <f t="shared" si="25"/>
        <v>1</v>
      </c>
    </row>
    <row r="10" spans="1:38" ht="16.5" thickBot="1">
      <c r="A10" s="4">
        <f>ELEC!C11</f>
        <v>44538</v>
      </c>
      <c r="B10" s="502">
        <v>11224</v>
      </c>
      <c r="C10" s="276">
        <f t="shared" si="9"/>
        <v>0</v>
      </c>
      <c r="D10" s="503">
        <f t="shared" si="10"/>
        <v>569016</v>
      </c>
      <c r="E10" s="276">
        <f t="shared" si="11"/>
        <v>0</v>
      </c>
      <c r="F10" s="276">
        <f t="shared" si="0"/>
        <v>0</v>
      </c>
      <c r="G10" s="196"/>
      <c r="H10" s="260">
        <f t="shared" si="12"/>
        <v>11218</v>
      </c>
      <c r="I10" s="276" t="str">
        <f t="shared" si="1"/>
        <v>oil change</v>
      </c>
      <c r="J10" s="502">
        <f t="shared" si="13"/>
        <v>10698</v>
      </c>
      <c r="K10" s="276">
        <f t="shared" si="2"/>
        <v>0</v>
      </c>
      <c r="L10" s="503">
        <f t="shared" si="14"/>
        <v>357691</v>
      </c>
      <c r="M10" s="276">
        <f t="shared" si="15"/>
        <v>0</v>
      </c>
      <c r="N10" s="276">
        <f t="shared" si="16"/>
        <v>0</v>
      </c>
      <c r="O10" s="196"/>
      <c r="P10" s="277">
        <f t="shared" si="17"/>
        <v>10873</v>
      </c>
      <c r="Q10" s="276" t="str">
        <f t="shared" si="3"/>
        <v>ok</v>
      </c>
      <c r="R10" s="502">
        <v>13349</v>
      </c>
      <c r="S10" s="276">
        <f t="shared" si="4"/>
        <v>11</v>
      </c>
      <c r="T10" s="503">
        <f t="shared" si="18"/>
        <v>276746</v>
      </c>
      <c r="U10" s="276">
        <f t="shared" si="19"/>
        <v>2750</v>
      </c>
      <c r="V10" s="276">
        <v>250</v>
      </c>
      <c r="W10" s="323"/>
      <c r="X10" s="584">
        <f t="shared" si="20"/>
        <v>13429</v>
      </c>
      <c r="Y10" s="276" t="str">
        <f t="shared" si="5"/>
        <v>ok</v>
      </c>
      <c r="Z10" s="276">
        <f t="shared" si="6"/>
        <v>11</v>
      </c>
      <c r="AA10" s="276">
        <f t="shared" si="21"/>
        <v>2750</v>
      </c>
      <c r="AB10" s="276">
        <f t="shared" si="22"/>
        <v>250</v>
      </c>
      <c r="AC10" s="276">
        <f t="shared" si="23"/>
        <v>250</v>
      </c>
      <c r="AD10" s="73">
        <f>ELEC!Q11</f>
        <v>5962.9999999997381</v>
      </c>
      <c r="AE10" s="73">
        <f t="shared" si="28"/>
        <v>542.09090909088525</v>
      </c>
      <c r="AF10" s="387">
        <f t="shared" si="29"/>
        <v>0.3388068181818033</v>
      </c>
      <c r="AG10" s="387">
        <f t="shared" si="29"/>
        <v>2.1175426136362706E-4</v>
      </c>
      <c r="AH10" s="388">
        <f t="shared" si="24"/>
        <v>249.99978824573864</v>
      </c>
      <c r="AI10" s="73">
        <f t="shared" si="31"/>
        <v>1534.7805907172324</v>
      </c>
      <c r="AJ10" s="278">
        <f t="shared" si="7"/>
        <v>0.25738396624472576</v>
      </c>
      <c r="AK10" s="278">
        <f t="shared" si="8"/>
        <v>139.52550824702112</v>
      </c>
      <c r="AL10">
        <f t="shared" si="25"/>
        <v>1</v>
      </c>
    </row>
    <row r="11" spans="1:38" ht="16.5" thickBot="1">
      <c r="A11" s="4">
        <f>ELEC!C12</f>
        <v>44539</v>
      </c>
      <c r="B11" s="502">
        <v>11225</v>
      </c>
      <c r="C11" s="276">
        <f t="shared" si="9"/>
        <v>1</v>
      </c>
      <c r="D11" s="503">
        <f t="shared" si="10"/>
        <v>569266</v>
      </c>
      <c r="E11" s="276">
        <f t="shared" si="11"/>
        <v>250</v>
      </c>
      <c r="F11" s="276">
        <f t="shared" si="0"/>
        <v>250</v>
      </c>
      <c r="G11" s="196"/>
      <c r="H11" s="260">
        <f t="shared" si="12"/>
        <v>11218</v>
      </c>
      <c r="I11" s="276" t="str">
        <f t="shared" si="1"/>
        <v>oil change</v>
      </c>
      <c r="J11" s="502">
        <f t="shared" si="13"/>
        <v>10698</v>
      </c>
      <c r="K11" s="276">
        <f t="shared" si="2"/>
        <v>0</v>
      </c>
      <c r="L11" s="503">
        <f t="shared" si="14"/>
        <v>357691</v>
      </c>
      <c r="M11" s="276">
        <f t="shared" si="15"/>
        <v>0</v>
      </c>
      <c r="N11" s="276">
        <f t="shared" si="16"/>
        <v>0</v>
      </c>
      <c r="O11" s="196"/>
      <c r="P11" s="277">
        <f t="shared" si="17"/>
        <v>10873</v>
      </c>
      <c r="Q11" s="276" t="str">
        <f t="shared" si="3"/>
        <v>ok</v>
      </c>
      <c r="R11" s="502">
        <v>13357</v>
      </c>
      <c r="S11" s="276">
        <f t="shared" si="4"/>
        <v>8</v>
      </c>
      <c r="T11" s="503">
        <f t="shared" si="18"/>
        <v>278746</v>
      </c>
      <c r="U11" s="276">
        <f t="shared" si="19"/>
        <v>2000</v>
      </c>
      <c r="V11" s="276">
        <v>250</v>
      </c>
      <c r="W11" s="323"/>
      <c r="X11" s="584">
        <f t="shared" si="20"/>
        <v>13429</v>
      </c>
      <c r="Y11" s="276" t="str">
        <f t="shared" si="5"/>
        <v>ok</v>
      </c>
      <c r="Z11" s="276">
        <f t="shared" si="6"/>
        <v>9</v>
      </c>
      <c r="AA11" s="276">
        <f t="shared" si="21"/>
        <v>2250</v>
      </c>
      <c r="AB11" s="276">
        <f t="shared" si="22"/>
        <v>500</v>
      </c>
      <c r="AC11" s="276">
        <f t="shared" si="23"/>
        <v>250</v>
      </c>
      <c r="AD11" s="73">
        <f>ELEC!Q12</f>
        <v>4836.0000000029686</v>
      </c>
      <c r="AE11" s="73">
        <f t="shared" si="28"/>
        <v>537.33333333366318</v>
      </c>
      <c r="AF11" s="387">
        <f t="shared" si="29"/>
        <v>0.33583333333353949</v>
      </c>
      <c r="AG11" s="387">
        <f t="shared" si="29"/>
        <v>2.0989583333346217E-4</v>
      </c>
      <c r="AH11" s="388">
        <f t="shared" si="24"/>
        <v>249.99979010416666</v>
      </c>
      <c r="AI11" s="73">
        <f t="shared" si="31"/>
        <v>1244.7088607602579</v>
      </c>
      <c r="AJ11" s="278">
        <f t="shared" si="7"/>
        <v>0.25738396624472576</v>
      </c>
      <c r="AK11" s="278">
        <f t="shared" si="8"/>
        <v>138.30098452891755</v>
      </c>
      <c r="AL11">
        <f t="shared" si="25"/>
        <v>1</v>
      </c>
    </row>
    <row r="12" spans="1:38" ht="16.5" thickBot="1">
      <c r="A12" s="4">
        <f>ELEC!C13</f>
        <v>44540</v>
      </c>
      <c r="B12" s="502">
        <f t="shared" si="26"/>
        <v>11225</v>
      </c>
      <c r="C12" s="276">
        <f t="shared" si="9"/>
        <v>0</v>
      </c>
      <c r="D12" s="503">
        <f t="shared" si="10"/>
        <v>569266</v>
      </c>
      <c r="E12" s="276">
        <f t="shared" si="11"/>
        <v>0</v>
      </c>
      <c r="F12" s="276">
        <f t="shared" si="0"/>
        <v>0</v>
      </c>
      <c r="G12" s="196"/>
      <c r="H12" s="260">
        <v>11374</v>
      </c>
      <c r="I12" s="276" t="str">
        <f t="shared" si="1"/>
        <v>ok</v>
      </c>
      <c r="J12" s="502">
        <f t="shared" si="13"/>
        <v>10698</v>
      </c>
      <c r="K12" s="276">
        <f t="shared" si="2"/>
        <v>0</v>
      </c>
      <c r="L12" s="503">
        <f t="shared" si="14"/>
        <v>357691</v>
      </c>
      <c r="M12" s="276">
        <f t="shared" si="15"/>
        <v>0</v>
      </c>
      <c r="N12" s="276">
        <f t="shared" si="16"/>
        <v>0</v>
      </c>
      <c r="O12" s="196"/>
      <c r="P12" s="277">
        <f t="shared" si="17"/>
        <v>10873</v>
      </c>
      <c r="Q12" s="276" t="str">
        <f t="shared" si="3"/>
        <v>ok</v>
      </c>
      <c r="R12" s="502">
        <f t="shared" si="27"/>
        <v>13357</v>
      </c>
      <c r="S12" s="276">
        <f t="shared" si="4"/>
        <v>0</v>
      </c>
      <c r="T12" s="503">
        <f t="shared" si="18"/>
        <v>278746</v>
      </c>
      <c r="U12" s="276">
        <f t="shared" si="19"/>
        <v>0</v>
      </c>
      <c r="V12" s="276">
        <v>250</v>
      </c>
      <c r="W12" s="323"/>
      <c r="X12" s="584">
        <f t="shared" si="20"/>
        <v>13429</v>
      </c>
      <c r="Y12" s="276" t="str">
        <f t="shared" si="5"/>
        <v>ok</v>
      </c>
      <c r="Z12" s="276">
        <f t="shared" si="6"/>
        <v>0</v>
      </c>
      <c r="AA12" s="276">
        <f t="shared" si="21"/>
        <v>0</v>
      </c>
      <c r="AB12" s="276">
        <f t="shared" si="22"/>
        <v>250</v>
      </c>
      <c r="AC12" s="276">
        <f t="shared" si="23"/>
        <v>0</v>
      </c>
      <c r="AD12" s="73">
        <f>ELEC!Q13</f>
        <v>0</v>
      </c>
      <c r="AE12" s="73" t="e">
        <f t="shared" si="28"/>
        <v>#DIV/0!</v>
      </c>
      <c r="AF12" s="387" t="e">
        <f t="shared" si="29"/>
        <v>#DIV/0!</v>
      </c>
      <c r="AG12" s="387" t="e">
        <f t="shared" si="29"/>
        <v>#DIV/0!</v>
      </c>
      <c r="AH12" s="388" t="e">
        <f t="shared" si="24"/>
        <v>#DIV/0!</v>
      </c>
      <c r="AI12" s="73">
        <f t="shared" si="31"/>
        <v>0</v>
      </c>
      <c r="AJ12" s="278">
        <f t="shared" si="7"/>
        <v>0.25738396624472576</v>
      </c>
      <c r="AK12" s="278" t="e">
        <f t="shared" si="8"/>
        <v>#DIV/0!</v>
      </c>
      <c r="AL12">
        <f t="shared" si="25"/>
        <v>0</v>
      </c>
    </row>
    <row r="13" spans="1:38" ht="16.5" thickBot="1">
      <c r="A13" s="4">
        <f>ELEC!C14</f>
        <v>44541</v>
      </c>
      <c r="B13" s="502">
        <f t="shared" si="26"/>
        <v>11225</v>
      </c>
      <c r="C13" s="276">
        <f t="shared" si="9"/>
        <v>0</v>
      </c>
      <c r="D13" s="503">
        <f t="shared" si="10"/>
        <v>569266</v>
      </c>
      <c r="E13" s="276">
        <f t="shared" si="11"/>
        <v>0</v>
      </c>
      <c r="F13" s="276">
        <f t="shared" si="0"/>
        <v>0</v>
      </c>
      <c r="G13" s="196"/>
      <c r="H13" s="260">
        <f t="shared" si="12"/>
        <v>11374</v>
      </c>
      <c r="I13" s="276" t="str">
        <f t="shared" si="1"/>
        <v>ok</v>
      </c>
      <c r="J13" s="502">
        <f t="shared" si="13"/>
        <v>10698</v>
      </c>
      <c r="K13" s="276">
        <f t="shared" si="2"/>
        <v>0</v>
      </c>
      <c r="L13" s="503">
        <f t="shared" si="14"/>
        <v>357691</v>
      </c>
      <c r="M13" s="276">
        <f t="shared" si="15"/>
        <v>0</v>
      </c>
      <c r="N13" s="276">
        <f t="shared" si="16"/>
        <v>0</v>
      </c>
      <c r="O13" s="196"/>
      <c r="P13" s="277">
        <f t="shared" si="17"/>
        <v>10873</v>
      </c>
      <c r="Q13" s="276" t="str">
        <f t="shared" si="3"/>
        <v>ok</v>
      </c>
      <c r="R13" s="502">
        <f t="shared" si="27"/>
        <v>13357</v>
      </c>
      <c r="S13" s="276">
        <f t="shared" si="4"/>
        <v>0</v>
      </c>
      <c r="T13" s="503">
        <f t="shared" si="18"/>
        <v>278746</v>
      </c>
      <c r="U13" s="276">
        <f t="shared" si="19"/>
        <v>0</v>
      </c>
      <c r="V13" s="276">
        <v>250</v>
      </c>
      <c r="W13" s="323"/>
      <c r="X13" s="584">
        <f t="shared" si="20"/>
        <v>13429</v>
      </c>
      <c r="Y13" s="276" t="str">
        <f t="shared" si="5"/>
        <v>ok</v>
      </c>
      <c r="Z13" s="276">
        <f t="shared" si="6"/>
        <v>0</v>
      </c>
      <c r="AA13" s="276">
        <f t="shared" si="21"/>
        <v>0</v>
      </c>
      <c r="AB13" s="276">
        <f t="shared" si="22"/>
        <v>250</v>
      </c>
      <c r="AC13" s="276">
        <f t="shared" si="23"/>
        <v>0</v>
      </c>
      <c r="AD13" s="73">
        <f>ELEC!Q14</f>
        <v>0</v>
      </c>
      <c r="AE13" s="73" t="e">
        <f t="shared" si="28"/>
        <v>#DIV/0!</v>
      </c>
      <c r="AF13" s="387" t="e">
        <f t="shared" si="29"/>
        <v>#DIV/0!</v>
      </c>
      <c r="AG13" s="387" t="e">
        <f t="shared" si="29"/>
        <v>#DIV/0!</v>
      </c>
      <c r="AH13" s="388" t="e">
        <f t="shared" si="24"/>
        <v>#DIV/0!</v>
      </c>
      <c r="AI13" s="73">
        <f t="shared" si="31"/>
        <v>0</v>
      </c>
      <c r="AJ13" s="278">
        <f t="shared" si="7"/>
        <v>0.25738396624472576</v>
      </c>
      <c r="AK13" s="278" t="e">
        <f t="shared" si="8"/>
        <v>#DIV/0!</v>
      </c>
      <c r="AL13">
        <f t="shared" si="25"/>
        <v>0</v>
      </c>
    </row>
    <row r="14" spans="1:38" ht="16.5" thickBot="1">
      <c r="A14" s="4">
        <f>ELEC!C15</f>
        <v>44542</v>
      </c>
      <c r="B14" s="502">
        <v>11234</v>
      </c>
      <c r="C14" s="276">
        <f t="shared" si="9"/>
        <v>9</v>
      </c>
      <c r="D14" s="503">
        <f t="shared" si="10"/>
        <v>571516</v>
      </c>
      <c r="E14" s="276">
        <f t="shared" si="11"/>
        <v>2250</v>
      </c>
      <c r="F14" s="276">
        <f t="shared" si="0"/>
        <v>250</v>
      </c>
      <c r="G14" s="196"/>
      <c r="H14" s="260">
        <f t="shared" si="12"/>
        <v>11374</v>
      </c>
      <c r="I14" s="276" t="str">
        <f t="shared" si="1"/>
        <v>ok</v>
      </c>
      <c r="J14" s="502">
        <f t="shared" si="13"/>
        <v>10698</v>
      </c>
      <c r="K14" s="276">
        <f t="shared" si="2"/>
        <v>0</v>
      </c>
      <c r="L14" s="503">
        <f t="shared" si="14"/>
        <v>357691</v>
      </c>
      <c r="M14" s="276">
        <f t="shared" si="15"/>
        <v>0</v>
      </c>
      <c r="N14" s="276">
        <f t="shared" si="16"/>
        <v>0</v>
      </c>
      <c r="O14" s="196"/>
      <c r="P14" s="277">
        <f t="shared" si="17"/>
        <v>10873</v>
      </c>
      <c r="Q14" s="276" t="str">
        <f t="shared" si="3"/>
        <v>ok</v>
      </c>
      <c r="R14" s="502">
        <v>13359</v>
      </c>
      <c r="S14" s="276">
        <f t="shared" si="4"/>
        <v>2</v>
      </c>
      <c r="T14" s="503">
        <f t="shared" si="18"/>
        <v>279246</v>
      </c>
      <c r="U14" s="276">
        <f t="shared" si="19"/>
        <v>500</v>
      </c>
      <c r="V14" s="276">
        <v>250</v>
      </c>
      <c r="W14" s="323"/>
      <c r="X14" s="584">
        <f t="shared" si="20"/>
        <v>13429</v>
      </c>
      <c r="Y14" s="276" t="str">
        <f t="shared" si="5"/>
        <v>ok</v>
      </c>
      <c r="Z14" s="276">
        <f t="shared" si="6"/>
        <v>11</v>
      </c>
      <c r="AA14" s="276">
        <f t="shared" si="21"/>
        <v>2750</v>
      </c>
      <c r="AB14" s="276">
        <f t="shared" si="22"/>
        <v>500</v>
      </c>
      <c r="AC14" s="276">
        <f t="shared" si="23"/>
        <v>250</v>
      </c>
      <c r="AD14" s="73">
        <f>ELEC!Q15</f>
        <v>6721.9999999979336</v>
      </c>
      <c r="AE14" s="73">
        <f t="shared" si="28"/>
        <v>611.0909090907212</v>
      </c>
      <c r="AF14" s="387">
        <f t="shared" si="29"/>
        <v>0.38193181818170074</v>
      </c>
      <c r="AG14" s="387">
        <f t="shared" si="29"/>
        <v>2.3870738636356297E-4</v>
      </c>
      <c r="AH14" s="388">
        <f t="shared" si="24"/>
        <v>249.99976129261364</v>
      </c>
      <c r="AI14" s="73">
        <f t="shared" si="31"/>
        <v>1730.1350210965147</v>
      </c>
      <c r="AJ14" s="278">
        <f t="shared" si="7"/>
        <v>0.25738396624472576</v>
      </c>
      <c r="AK14" s="278">
        <f t="shared" si="8"/>
        <v>157.28500191786497</v>
      </c>
      <c r="AL14">
        <f t="shared" si="25"/>
        <v>1</v>
      </c>
    </row>
    <row r="15" spans="1:38" ht="16.5" thickBot="1">
      <c r="A15" s="4">
        <f>ELEC!C16</f>
        <v>44543</v>
      </c>
      <c r="B15" s="502">
        <v>11236</v>
      </c>
      <c r="C15" s="276">
        <f t="shared" si="9"/>
        <v>2</v>
      </c>
      <c r="D15" s="503">
        <f t="shared" si="10"/>
        <v>572016</v>
      </c>
      <c r="E15" s="276">
        <f t="shared" si="11"/>
        <v>500</v>
      </c>
      <c r="F15" s="276">
        <f t="shared" si="0"/>
        <v>250</v>
      </c>
      <c r="G15" s="196"/>
      <c r="H15" s="260">
        <f t="shared" si="12"/>
        <v>11374</v>
      </c>
      <c r="I15" s="276" t="str">
        <f t="shared" si="1"/>
        <v>ok</v>
      </c>
      <c r="J15" s="502">
        <f t="shared" si="13"/>
        <v>10698</v>
      </c>
      <c r="K15" s="276">
        <f t="shared" si="2"/>
        <v>0</v>
      </c>
      <c r="L15" s="503">
        <f t="shared" si="14"/>
        <v>357691</v>
      </c>
      <c r="M15" s="276">
        <f t="shared" si="15"/>
        <v>0</v>
      </c>
      <c r="N15" s="276">
        <f t="shared" si="16"/>
        <v>0</v>
      </c>
      <c r="O15" s="196"/>
      <c r="P15" s="277">
        <f t="shared" si="17"/>
        <v>10873</v>
      </c>
      <c r="Q15" s="276" t="str">
        <f t="shared" si="3"/>
        <v>ok</v>
      </c>
      <c r="R15" s="502">
        <v>13367</v>
      </c>
      <c r="S15" s="276">
        <f t="shared" si="4"/>
        <v>8</v>
      </c>
      <c r="T15" s="503">
        <f t="shared" si="18"/>
        <v>281246</v>
      </c>
      <c r="U15" s="276">
        <f t="shared" si="19"/>
        <v>2000</v>
      </c>
      <c r="V15" s="276">
        <v>250</v>
      </c>
      <c r="W15" s="323"/>
      <c r="X15" s="584">
        <f t="shared" si="20"/>
        <v>13429</v>
      </c>
      <c r="Y15" s="276" t="str">
        <f t="shared" si="5"/>
        <v>ok</v>
      </c>
      <c r="Z15" s="276">
        <f t="shared" si="6"/>
        <v>10</v>
      </c>
      <c r="AA15" s="276">
        <f t="shared" si="21"/>
        <v>2500</v>
      </c>
      <c r="AB15" s="276">
        <f t="shared" si="22"/>
        <v>500</v>
      </c>
      <c r="AC15" s="276">
        <f t="shared" si="23"/>
        <v>250</v>
      </c>
      <c r="AD15" s="73">
        <f>ELEC!Q16</f>
        <v>5125</v>
      </c>
      <c r="AE15" s="73">
        <f t="shared" si="28"/>
        <v>512.5</v>
      </c>
      <c r="AF15" s="387">
        <f t="shared" si="29"/>
        <v>0.3203125</v>
      </c>
      <c r="AG15" s="387">
        <f t="shared" si="29"/>
        <v>2.0019531249999999E-4</v>
      </c>
      <c r="AH15" s="388">
        <f t="shared" si="24"/>
        <v>249.99979980468751</v>
      </c>
      <c r="AI15" s="73">
        <f t="shared" si="31"/>
        <v>1319.0928270042195</v>
      </c>
      <c r="AJ15" s="278">
        <f t="shared" si="7"/>
        <v>0.25738396624472576</v>
      </c>
      <c r="AK15" s="278">
        <f t="shared" si="8"/>
        <v>131.90928270042195</v>
      </c>
      <c r="AL15">
        <f t="shared" si="25"/>
        <v>1</v>
      </c>
    </row>
    <row r="16" spans="1:38" ht="16.5" thickBot="1">
      <c r="A16" s="4">
        <f>ELEC!C17</f>
        <v>44544</v>
      </c>
      <c r="B16" s="502">
        <v>11243</v>
      </c>
      <c r="C16" s="276">
        <f t="shared" si="9"/>
        <v>7</v>
      </c>
      <c r="D16" s="503">
        <f t="shared" si="10"/>
        <v>573766</v>
      </c>
      <c r="E16" s="276">
        <f t="shared" si="11"/>
        <v>1750</v>
      </c>
      <c r="F16" s="276">
        <f t="shared" si="0"/>
        <v>250</v>
      </c>
      <c r="G16" s="196"/>
      <c r="H16" s="260">
        <f t="shared" si="12"/>
        <v>11374</v>
      </c>
      <c r="I16" s="276" t="str">
        <f t="shared" si="1"/>
        <v>ok</v>
      </c>
      <c r="J16" s="502">
        <f t="shared" si="13"/>
        <v>10698</v>
      </c>
      <c r="K16" s="276">
        <f t="shared" si="2"/>
        <v>0</v>
      </c>
      <c r="L16" s="503">
        <f t="shared" si="14"/>
        <v>357691</v>
      </c>
      <c r="M16" s="276">
        <f t="shared" si="15"/>
        <v>0</v>
      </c>
      <c r="N16" s="276">
        <f t="shared" si="16"/>
        <v>0</v>
      </c>
      <c r="O16" s="196"/>
      <c r="P16" s="277">
        <f t="shared" si="17"/>
        <v>10873</v>
      </c>
      <c r="Q16" s="276" t="str">
        <f t="shared" si="3"/>
        <v>ok</v>
      </c>
      <c r="R16" s="502">
        <v>13369</v>
      </c>
      <c r="S16" s="276">
        <f t="shared" si="4"/>
        <v>2</v>
      </c>
      <c r="T16" s="503">
        <f t="shared" si="18"/>
        <v>281746</v>
      </c>
      <c r="U16" s="276">
        <f t="shared" si="19"/>
        <v>500</v>
      </c>
      <c r="V16" s="276">
        <v>250</v>
      </c>
      <c r="W16" s="323"/>
      <c r="X16" s="584">
        <f t="shared" si="20"/>
        <v>13429</v>
      </c>
      <c r="Y16" s="276" t="str">
        <f t="shared" si="5"/>
        <v>ok</v>
      </c>
      <c r="Z16" s="276">
        <f t="shared" si="6"/>
        <v>9</v>
      </c>
      <c r="AA16" s="276">
        <f t="shared" si="21"/>
        <v>2250</v>
      </c>
      <c r="AB16" s="276">
        <f t="shared" si="22"/>
        <v>500</v>
      </c>
      <c r="AC16" s="276">
        <f t="shared" si="23"/>
        <v>250</v>
      </c>
      <c r="AD16" s="73">
        <f>ELEC!Q17</f>
        <v>5146.0000000006403</v>
      </c>
      <c r="AE16" s="73">
        <f t="shared" si="28"/>
        <v>571.77777777784888</v>
      </c>
      <c r="AF16" s="387">
        <f t="shared" si="29"/>
        <v>0.35736111111115554</v>
      </c>
      <c r="AG16" s="387">
        <f t="shared" si="29"/>
        <v>2.233506944444722E-4</v>
      </c>
      <c r="AH16" s="388">
        <f t="shared" si="24"/>
        <v>249.99977664930555</v>
      </c>
      <c r="AI16" s="73">
        <f t="shared" si="31"/>
        <v>1324.4978902955236</v>
      </c>
      <c r="AJ16" s="278">
        <f t="shared" si="7"/>
        <v>0.25738396624472576</v>
      </c>
      <c r="AK16" s="278">
        <f t="shared" si="8"/>
        <v>147.16643225505817</v>
      </c>
      <c r="AL16">
        <f t="shared" si="25"/>
        <v>1</v>
      </c>
    </row>
    <row r="17" spans="1:38" ht="16.5" thickBot="1">
      <c r="A17" s="4">
        <f>ELEC!C18</f>
        <v>44545</v>
      </c>
      <c r="B17" s="502">
        <v>11245</v>
      </c>
      <c r="C17" s="276">
        <f t="shared" si="9"/>
        <v>2</v>
      </c>
      <c r="D17" s="503">
        <f t="shared" si="10"/>
        <v>574266</v>
      </c>
      <c r="E17" s="276">
        <f t="shared" si="11"/>
        <v>500</v>
      </c>
      <c r="F17" s="276">
        <f t="shared" si="0"/>
        <v>250</v>
      </c>
      <c r="G17" s="196"/>
      <c r="H17" s="260">
        <f t="shared" si="12"/>
        <v>11374</v>
      </c>
      <c r="I17" s="276" t="str">
        <f t="shared" si="1"/>
        <v>ok</v>
      </c>
      <c r="J17" s="502">
        <f t="shared" si="13"/>
        <v>10698</v>
      </c>
      <c r="K17" s="276">
        <f t="shared" si="2"/>
        <v>0</v>
      </c>
      <c r="L17" s="503">
        <f t="shared" si="14"/>
        <v>357691</v>
      </c>
      <c r="M17" s="276">
        <f t="shared" si="15"/>
        <v>0</v>
      </c>
      <c r="N17" s="276">
        <f t="shared" si="16"/>
        <v>0</v>
      </c>
      <c r="O17" s="196"/>
      <c r="P17" s="277">
        <f t="shared" si="17"/>
        <v>10873</v>
      </c>
      <c r="Q17" s="276" t="str">
        <f t="shared" si="3"/>
        <v>ok</v>
      </c>
      <c r="R17" s="502">
        <v>13377</v>
      </c>
      <c r="S17" s="276">
        <f t="shared" si="4"/>
        <v>8</v>
      </c>
      <c r="T17" s="503">
        <f t="shared" si="18"/>
        <v>283746</v>
      </c>
      <c r="U17" s="276">
        <f t="shared" si="19"/>
        <v>2000</v>
      </c>
      <c r="V17" s="276">
        <v>250</v>
      </c>
      <c r="W17" s="323"/>
      <c r="X17" s="584">
        <f t="shared" si="20"/>
        <v>13429</v>
      </c>
      <c r="Y17" s="276" t="str">
        <f t="shared" si="5"/>
        <v>ok</v>
      </c>
      <c r="Z17" s="276">
        <f t="shared" si="6"/>
        <v>10</v>
      </c>
      <c r="AA17" s="276">
        <f t="shared" si="21"/>
        <v>2500</v>
      </c>
      <c r="AB17" s="276">
        <f t="shared" si="22"/>
        <v>500</v>
      </c>
      <c r="AC17" s="276">
        <f t="shared" si="23"/>
        <v>250</v>
      </c>
      <c r="AD17" s="73">
        <f>ELEC!Q18</f>
        <v>5173.9999999990687</v>
      </c>
      <c r="AE17" s="73">
        <f t="shared" si="28"/>
        <v>517.39999999990687</v>
      </c>
      <c r="AF17" s="387">
        <f t="shared" si="29"/>
        <v>0.32337499999994179</v>
      </c>
      <c r="AG17" s="387">
        <f t="shared" si="29"/>
        <v>2.0210937499996363E-4</v>
      </c>
      <c r="AH17" s="388">
        <f t="shared" si="24"/>
        <v>249.99979789062499</v>
      </c>
      <c r="AI17" s="73">
        <f t="shared" si="31"/>
        <v>1331.7046413499713</v>
      </c>
      <c r="AJ17" s="278">
        <f t="shared" si="7"/>
        <v>0.25738396624472576</v>
      </c>
      <c r="AK17" s="278">
        <f t="shared" si="8"/>
        <v>133.17046413499713</v>
      </c>
      <c r="AL17">
        <f t="shared" si="25"/>
        <v>1</v>
      </c>
    </row>
    <row r="18" spans="1:38" ht="16.5" thickBot="1">
      <c r="A18" s="4">
        <f>ELEC!C19</f>
        <v>44546</v>
      </c>
      <c r="B18" s="502">
        <v>11265</v>
      </c>
      <c r="C18" s="276">
        <f t="shared" si="9"/>
        <v>20</v>
      </c>
      <c r="D18" s="503">
        <f t="shared" si="10"/>
        <v>579266</v>
      </c>
      <c r="E18" s="276">
        <f t="shared" si="11"/>
        <v>5000</v>
      </c>
      <c r="F18" s="276">
        <f t="shared" si="0"/>
        <v>250</v>
      </c>
      <c r="G18" s="196"/>
      <c r="H18" s="260">
        <f t="shared" si="12"/>
        <v>11374</v>
      </c>
      <c r="I18" s="276" t="str">
        <f t="shared" si="1"/>
        <v>ok</v>
      </c>
      <c r="J18" s="502">
        <f t="shared" si="13"/>
        <v>10698</v>
      </c>
      <c r="K18" s="276">
        <f t="shared" si="2"/>
        <v>0</v>
      </c>
      <c r="L18" s="503">
        <f t="shared" si="14"/>
        <v>357691</v>
      </c>
      <c r="M18" s="276">
        <f t="shared" si="15"/>
        <v>0</v>
      </c>
      <c r="N18" s="276">
        <f t="shared" si="16"/>
        <v>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f t="shared" si="27"/>
        <v>13377</v>
      </c>
      <c r="S18" s="276">
        <f t="shared" si="4"/>
        <v>0</v>
      </c>
      <c r="T18" s="503">
        <f t="shared" si="18"/>
        <v>283746</v>
      </c>
      <c r="U18" s="276">
        <f t="shared" si="19"/>
        <v>0</v>
      </c>
      <c r="V18" s="276">
        <v>250</v>
      </c>
      <c r="W18" s="323"/>
      <c r="X18" s="584">
        <f t="shared" si="20"/>
        <v>13429</v>
      </c>
      <c r="Y18" s="276" t="str">
        <f t="shared" si="5"/>
        <v>ok</v>
      </c>
      <c r="Z18" s="276">
        <f t="shared" si="6"/>
        <v>20</v>
      </c>
      <c r="AA18" s="276">
        <f t="shared" si="21"/>
        <v>5000</v>
      </c>
      <c r="AB18" s="276">
        <f t="shared" si="22"/>
        <v>500</v>
      </c>
      <c r="AC18" s="276">
        <f t="shared" si="23"/>
        <v>250</v>
      </c>
      <c r="AD18" s="73">
        <f>ELEC!Q19</f>
        <v>9922.0000000022992</v>
      </c>
      <c r="AE18" s="73">
        <f t="shared" si="28"/>
        <v>496.10000000011496</v>
      </c>
      <c r="AF18" s="387">
        <f t="shared" si="29"/>
        <v>0.31006250000007185</v>
      </c>
      <c r="AG18" s="387">
        <f t="shared" si="29"/>
        <v>1.9378906250004492E-4</v>
      </c>
      <c r="AH18" s="388">
        <f t="shared" si="24"/>
        <v>249.99980621093749</v>
      </c>
      <c r="AI18" s="73">
        <f t="shared" si="31"/>
        <v>2553.7637130807607</v>
      </c>
      <c r="AJ18" s="278">
        <f t="shared" si="7"/>
        <v>0.25738396624472576</v>
      </c>
      <c r="AK18" s="278">
        <f t="shared" si="8"/>
        <v>127.68818565403804</v>
      </c>
      <c r="AL18">
        <f t="shared" si="25"/>
        <v>1</v>
      </c>
    </row>
    <row r="19" spans="1:38" ht="16.5" thickBot="1">
      <c r="A19" s="4">
        <f>ELEC!C20</f>
        <v>44547</v>
      </c>
      <c r="B19" s="502">
        <f t="shared" si="26"/>
        <v>11265</v>
      </c>
      <c r="C19" s="276">
        <f t="shared" si="9"/>
        <v>0</v>
      </c>
      <c r="D19" s="503">
        <f t="shared" si="10"/>
        <v>579266</v>
      </c>
      <c r="E19" s="276">
        <f t="shared" si="11"/>
        <v>0</v>
      </c>
      <c r="F19" s="276">
        <f t="shared" si="0"/>
        <v>0</v>
      </c>
      <c r="G19" s="196"/>
      <c r="H19" s="260">
        <f t="shared" si="12"/>
        <v>11374</v>
      </c>
      <c r="I19" s="276" t="str">
        <f t="shared" si="1"/>
        <v>ok</v>
      </c>
      <c r="J19" s="502">
        <f t="shared" si="13"/>
        <v>10698</v>
      </c>
      <c r="K19" s="276">
        <f t="shared" si="2"/>
        <v>0</v>
      </c>
      <c r="L19" s="503">
        <f t="shared" si="14"/>
        <v>357691</v>
      </c>
      <c r="M19" s="276">
        <f t="shared" si="15"/>
        <v>0</v>
      </c>
      <c r="N19" s="276">
        <f t="shared" si="16"/>
        <v>0</v>
      </c>
      <c r="O19" s="196"/>
      <c r="P19" s="277">
        <f t="shared" si="17"/>
        <v>10873</v>
      </c>
      <c r="Q19" s="276" t="str">
        <f t="shared" ref="Q19:Q30" si="32">IF(J19-P19&lt;=0,"ok","oil change")</f>
        <v>ok</v>
      </c>
      <c r="R19" s="502">
        <f t="shared" si="27"/>
        <v>13377</v>
      </c>
      <c r="S19" s="276">
        <f t="shared" si="4"/>
        <v>0</v>
      </c>
      <c r="T19" s="503">
        <f t="shared" si="18"/>
        <v>283746</v>
      </c>
      <c r="U19" s="276">
        <f t="shared" si="19"/>
        <v>0</v>
      </c>
      <c r="V19" s="276">
        <v>250</v>
      </c>
      <c r="W19" s="323"/>
      <c r="X19" s="584">
        <f t="shared" si="20"/>
        <v>13429</v>
      </c>
      <c r="Y19" s="276" t="str">
        <f t="shared" si="5"/>
        <v>ok</v>
      </c>
      <c r="Z19" s="276">
        <f t="shared" si="6"/>
        <v>0</v>
      </c>
      <c r="AA19" s="276">
        <f t="shared" si="21"/>
        <v>0</v>
      </c>
      <c r="AB19" s="276">
        <f t="shared" si="22"/>
        <v>250</v>
      </c>
      <c r="AC19" s="276">
        <f t="shared" si="23"/>
        <v>0</v>
      </c>
      <c r="AD19" s="73">
        <f>ELEC!Q20</f>
        <v>0</v>
      </c>
      <c r="AE19" s="73" t="e">
        <f t="shared" si="28"/>
        <v>#DIV/0!</v>
      </c>
      <c r="AF19" s="387" t="e">
        <f t="shared" si="29"/>
        <v>#DIV/0!</v>
      </c>
      <c r="AG19" s="387" t="e">
        <f t="shared" si="29"/>
        <v>#DIV/0!</v>
      </c>
      <c r="AH19" s="388" t="e">
        <f t="shared" si="24"/>
        <v>#DIV/0!</v>
      </c>
      <c r="AI19" s="73">
        <f t="shared" si="31"/>
        <v>0</v>
      </c>
      <c r="AJ19" s="278">
        <f t="shared" si="7"/>
        <v>0.25738396624472576</v>
      </c>
      <c r="AK19" s="278" t="e">
        <f t="shared" si="8"/>
        <v>#DIV/0!</v>
      </c>
      <c r="AL19">
        <f t="shared" si="25"/>
        <v>0</v>
      </c>
    </row>
    <row r="20" spans="1:38" ht="16.5" thickBot="1">
      <c r="A20" s="4">
        <f>ELEC!C21</f>
        <v>44548</v>
      </c>
      <c r="B20" s="502">
        <f t="shared" si="26"/>
        <v>11265</v>
      </c>
      <c r="C20" s="276">
        <f>B20-B19</f>
        <v>0</v>
      </c>
      <c r="D20" s="503">
        <f t="shared" si="10"/>
        <v>579266</v>
      </c>
      <c r="E20" s="276">
        <f t="shared" si="11"/>
        <v>0</v>
      </c>
      <c r="F20" s="276">
        <f t="shared" si="0"/>
        <v>0</v>
      </c>
      <c r="G20" s="196"/>
      <c r="H20" s="260">
        <f t="shared" si="12"/>
        <v>11374</v>
      </c>
      <c r="I20" s="276" t="str">
        <f t="shared" si="1"/>
        <v>ok</v>
      </c>
      <c r="J20" s="502">
        <f t="shared" si="13"/>
        <v>10698</v>
      </c>
      <c r="K20" s="276">
        <f t="shared" si="2"/>
        <v>0</v>
      </c>
      <c r="L20" s="503">
        <f t="shared" si="14"/>
        <v>357691</v>
      </c>
      <c r="M20" s="276">
        <f t="shared" si="15"/>
        <v>0</v>
      </c>
      <c r="N20" s="276">
        <f t="shared" si="16"/>
        <v>0</v>
      </c>
      <c r="O20" s="196"/>
      <c r="P20" s="277">
        <f t="shared" si="17"/>
        <v>10873</v>
      </c>
      <c r="Q20" s="276" t="str">
        <f t="shared" si="32"/>
        <v>ok</v>
      </c>
      <c r="R20" s="502">
        <f t="shared" si="27"/>
        <v>13377</v>
      </c>
      <c r="S20" s="276">
        <f t="shared" si="4"/>
        <v>0</v>
      </c>
      <c r="T20" s="503">
        <f t="shared" si="18"/>
        <v>283746</v>
      </c>
      <c r="U20" s="276">
        <f t="shared" si="19"/>
        <v>0</v>
      </c>
      <c r="V20" s="276">
        <v>250</v>
      </c>
      <c r="W20" s="323"/>
      <c r="X20" s="584">
        <f t="shared" si="20"/>
        <v>13429</v>
      </c>
      <c r="Y20" s="276" t="str">
        <f t="shared" ref="Y20" si="33">IF(R20-X20&lt;=0,"ok","oil change")</f>
        <v>ok</v>
      </c>
      <c r="Z20" s="276">
        <f t="shared" si="6"/>
        <v>0</v>
      </c>
      <c r="AA20" s="276">
        <f t="shared" si="21"/>
        <v>0</v>
      </c>
      <c r="AB20" s="276">
        <f t="shared" si="22"/>
        <v>250</v>
      </c>
      <c r="AC20" s="276">
        <f t="shared" si="23"/>
        <v>0</v>
      </c>
      <c r="AD20" s="73">
        <f>ELEC!Q21</f>
        <v>0</v>
      </c>
      <c r="AE20" s="73" t="e">
        <f t="shared" si="28"/>
        <v>#DIV/0!</v>
      </c>
      <c r="AF20" s="387" t="e">
        <f t="shared" si="29"/>
        <v>#DIV/0!</v>
      </c>
      <c r="AG20" s="387" t="e">
        <f t="shared" si="29"/>
        <v>#DIV/0!</v>
      </c>
      <c r="AH20" s="388" t="e">
        <f t="shared" si="24"/>
        <v>#DIV/0!</v>
      </c>
      <c r="AI20" s="73">
        <f>AD20*AJ20</f>
        <v>0</v>
      </c>
      <c r="AJ20" s="278">
        <f t="shared" si="7"/>
        <v>0.25738396624472576</v>
      </c>
      <c r="AK20" s="278" t="e">
        <f t="shared" si="8"/>
        <v>#DIV/0!</v>
      </c>
      <c r="AL20">
        <f t="shared" si="25"/>
        <v>0</v>
      </c>
    </row>
    <row r="21" spans="1:38" ht="16.5" thickBot="1">
      <c r="A21" s="4">
        <f>ELEC!C22</f>
        <v>44549</v>
      </c>
      <c r="B21" s="502">
        <v>11275</v>
      </c>
      <c r="C21" s="276">
        <f>B21-B20</f>
        <v>10</v>
      </c>
      <c r="D21" s="503">
        <f t="shared" si="10"/>
        <v>581766</v>
      </c>
      <c r="E21" s="276">
        <f t="shared" si="11"/>
        <v>2500</v>
      </c>
      <c r="F21" s="276">
        <f t="shared" si="0"/>
        <v>250</v>
      </c>
      <c r="G21" s="196"/>
      <c r="H21" s="260">
        <f t="shared" si="12"/>
        <v>11374</v>
      </c>
      <c r="I21" s="276" t="str">
        <f t="shared" si="1"/>
        <v>ok</v>
      </c>
      <c r="J21" s="502">
        <f t="shared" si="13"/>
        <v>10698</v>
      </c>
      <c r="K21" s="276">
        <f t="shared" si="2"/>
        <v>0</v>
      </c>
      <c r="L21" s="503">
        <f t="shared" si="14"/>
        <v>357691</v>
      </c>
      <c r="M21" s="276">
        <f t="shared" si="15"/>
        <v>0</v>
      </c>
      <c r="N21" s="276">
        <f t="shared" si="16"/>
        <v>0</v>
      </c>
      <c r="O21" s="196"/>
      <c r="P21" s="277">
        <f t="shared" si="17"/>
        <v>10873</v>
      </c>
      <c r="Q21" s="276" t="str">
        <f t="shared" si="32"/>
        <v>ok</v>
      </c>
      <c r="R21" s="502">
        <v>13379</v>
      </c>
      <c r="S21" s="276">
        <f t="shared" si="4"/>
        <v>2</v>
      </c>
      <c r="T21" s="503">
        <f t="shared" si="18"/>
        <v>284246</v>
      </c>
      <c r="U21" s="276">
        <f t="shared" si="19"/>
        <v>500</v>
      </c>
      <c r="V21" s="276">
        <v>250</v>
      </c>
      <c r="W21" s="196"/>
      <c r="X21" s="584">
        <f t="shared" si="20"/>
        <v>13429</v>
      </c>
      <c r="Y21" s="276" t="str">
        <f>Y20</f>
        <v>ok</v>
      </c>
      <c r="Z21" s="276">
        <f t="shared" si="6"/>
        <v>12</v>
      </c>
      <c r="AA21" s="276">
        <f t="shared" si="21"/>
        <v>3000</v>
      </c>
      <c r="AB21" s="276">
        <f t="shared" si="22"/>
        <v>500</v>
      </c>
      <c r="AC21" s="276">
        <f t="shared" si="23"/>
        <v>250</v>
      </c>
      <c r="AD21" s="73">
        <f>ELEC!Q22</f>
        <v>5358.0000000001746</v>
      </c>
      <c r="AE21" s="73">
        <f t="shared" si="28"/>
        <v>446.50000000001455</v>
      </c>
      <c r="AF21" s="387">
        <f t="shared" si="29"/>
        <v>0.27906250000000909</v>
      </c>
      <c r="AG21" s="387">
        <f t="shared" si="29"/>
        <v>1.7441406250000567E-4</v>
      </c>
      <c r="AH21" s="388">
        <f t="shared" si="24"/>
        <v>249.99982558593749</v>
      </c>
      <c r="AI21" s="73">
        <f t="shared" si="31"/>
        <v>1379.0632911392856</v>
      </c>
      <c r="AJ21" s="278">
        <f t="shared" si="7"/>
        <v>0.25738396624472576</v>
      </c>
      <c r="AK21" s="278">
        <f t="shared" si="8"/>
        <v>114.9219409282738</v>
      </c>
      <c r="AL21">
        <f t="shared" si="25"/>
        <v>1</v>
      </c>
    </row>
    <row r="22" spans="1:38" ht="16.5" thickBot="1">
      <c r="A22" s="4">
        <f>ELEC!C23</f>
        <v>44550</v>
      </c>
      <c r="B22" s="502">
        <v>11278</v>
      </c>
      <c r="C22" s="276">
        <f t="shared" si="9"/>
        <v>3</v>
      </c>
      <c r="D22" s="503">
        <f t="shared" si="10"/>
        <v>582516</v>
      </c>
      <c r="E22" s="276">
        <f>150*C22</f>
        <v>450</v>
      </c>
      <c r="F22" s="276">
        <f t="shared" si="0"/>
        <v>150</v>
      </c>
      <c r="G22" s="196"/>
      <c r="H22" s="260">
        <f t="shared" si="12"/>
        <v>11374</v>
      </c>
      <c r="I22" s="276" t="str">
        <f t="shared" si="1"/>
        <v>ok</v>
      </c>
      <c r="J22" s="502">
        <f t="shared" si="13"/>
        <v>10698</v>
      </c>
      <c r="K22" s="276">
        <f t="shared" si="2"/>
        <v>0</v>
      </c>
      <c r="L22" s="503">
        <f t="shared" si="14"/>
        <v>357691</v>
      </c>
      <c r="M22" s="276">
        <f t="shared" si="15"/>
        <v>0</v>
      </c>
      <c r="N22" s="276">
        <f t="shared" si="16"/>
        <v>0</v>
      </c>
      <c r="O22" s="196"/>
      <c r="P22" s="277">
        <f t="shared" si="17"/>
        <v>10873</v>
      </c>
      <c r="Q22" s="276" t="str">
        <f t="shared" si="32"/>
        <v>ok</v>
      </c>
      <c r="R22" s="502">
        <v>13387</v>
      </c>
      <c r="S22" s="276">
        <f t="shared" si="4"/>
        <v>8</v>
      </c>
      <c r="T22" s="503">
        <f t="shared" si="18"/>
        <v>286246</v>
      </c>
      <c r="U22" s="276">
        <f t="shared" si="19"/>
        <v>2000</v>
      </c>
      <c r="V22" s="276">
        <v>250</v>
      </c>
      <c r="W22" s="196"/>
      <c r="X22" s="584">
        <f t="shared" si="20"/>
        <v>13429</v>
      </c>
      <c r="Y22" s="276" t="str">
        <f t="shared" ref="Y22:Y33" si="34">Y21</f>
        <v>ok</v>
      </c>
      <c r="Z22" s="276">
        <f t="shared" si="6"/>
        <v>11</v>
      </c>
      <c r="AA22" s="276">
        <f t="shared" si="21"/>
        <v>2450</v>
      </c>
      <c r="AB22" s="276">
        <f t="shared" si="22"/>
        <v>400</v>
      </c>
      <c r="AC22" s="276">
        <f t="shared" si="23"/>
        <v>222.72727272727272</v>
      </c>
      <c r="AD22" s="73">
        <f>ELEC!Q23</f>
        <v>5701.9999999974971</v>
      </c>
      <c r="AE22" s="73">
        <f t="shared" si="28"/>
        <v>518.36363636340877</v>
      </c>
      <c r="AF22" s="387">
        <f t="shared" si="29"/>
        <v>0.32397727272713051</v>
      </c>
      <c r="AG22" s="387">
        <f t="shared" si="29"/>
        <v>2.0248579545445656E-4</v>
      </c>
      <c r="AH22" s="388">
        <f t="shared" si="24"/>
        <v>222.72707024147726</v>
      </c>
      <c r="AI22" s="73">
        <f t="shared" si="31"/>
        <v>1467.603375526782</v>
      </c>
      <c r="AJ22" s="278">
        <f t="shared" si="7"/>
        <v>0.25738396624472576</v>
      </c>
      <c r="AK22" s="278">
        <f t="shared" si="8"/>
        <v>133.41848868425291</v>
      </c>
      <c r="AL22">
        <f t="shared" si="25"/>
        <v>1</v>
      </c>
    </row>
    <row r="23" spans="1:38" ht="16.5" thickBot="1">
      <c r="A23" s="4">
        <f>ELEC!C24</f>
        <v>44551</v>
      </c>
      <c r="B23" s="502">
        <v>11290</v>
      </c>
      <c r="C23" s="276">
        <f t="shared" si="9"/>
        <v>12</v>
      </c>
      <c r="D23" s="503">
        <f t="shared" si="10"/>
        <v>585516</v>
      </c>
      <c r="E23" s="276">
        <f>150*C23</f>
        <v>1800</v>
      </c>
      <c r="F23" s="276">
        <f t="shared" si="0"/>
        <v>150</v>
      </c>
      <c r="G23" s="196"/>
      <c r="H23" s="260">
        <f t="shared" si="12"/>
        <v>11374</v>
      </c>
      <c r="I23" s="276" t="str">
        <f t="shared" si="1"/>
        <v>ok</v>
      </c>
      <c r="J23" s="502">
        <f t="shared" si="13"/>
        <v>10698</v>
      </c>
      <c r="K23" s="276">
        <f t="shared" si="2"/>
        <v>0</v>
      </c>
      <c r="L23" s="503">
        <f t="shared" si="14"/>
        <v>357691</v>
      </c>
      <c r="M23" s="276">
        <f t="shared" si="15"/>
        <v>0</v>
      </c>
      <c r="N23" s="276">
        <f t="shared" si="16"/>
        <v>0</v>
      </c>
      <c r="O23" s="196"/>
      <c r="P23" s="277">
        <f t="shared" si="17"/>
        <v>10873</v>
      </c>
      <c r="Q23" s="276" t="str">
        <f t="shared" si="32"/>
        <v>ok</v>
      </c>
      <c r="R23" s="502">
        <f t="shared" si="27"/>
        <v>13387</v>
      </c>
      <c r="S23" s="276">
        <f>R23-R22</f>
        <v>0</v>
      </c>
      <c r="T23" s="503">
        <f t="shared" si="18"/>
        <v>286246</v>
      </c>
      <c r="U23" s="276">
        <f>V23*S23</f>
        <v>0</v>
      </c>
      <c r="V23" s="276">
        <v>250</v>
      </c>
      <c r="W23" s="196"/>
      <c r="X23" s="584">
        <f t="shared" si="20"/>
        <v>13429</v>
      </c>
      <c r="Y23" s="276" t="str">
        <f t="shared" si="34"/>
        <v>ok</v>
      </c>
      <c r="Z23" s="276">
        <f t="shared" si="6"/>
        <v>12</v>
      </c>
      <c r="AA23" s="276">
        <f t="shared" si="21"/>
        <v>1800</v>
      </c>
      <c r="AB23" s="276">
        <f t="shared" si="22"/>
        <v>400</v>
      </c>
      <c r="AC23" s="276">
        <f t="shared" si="23"/>
        <v>150</v>
      </c>
      <c r="AD23" s="73">
        <f>ELEC!Q24</f>
        <v>6401.0000000016589</v>
      </c>
      <c r="AE23" s="73">
        <f t="shared" si="28"/>
        <v>533.41666666680487</v>
      </c>
      <c r="AF23" s="387">
        <f t="shared" si="29"/>
        <v>0.33338541666675303</v>
      </c>
      <c r="AG23" s="387">
        <f t="shared" si="29"/>
        <v>2.0836588541672064E-4</v>
      </c>
      <c r="AH23" s="388">
        <f t="shared" si="24"/>
        <v>149.99979163411459</v>
      </c>
      <c r="AI23" s="73">
        <f t="shared" si="31"/>
        <v>1647.5147679329166</v>
      </c>
      <c r="AJ23" s="278">
        <f t="shared" si="7"/>
        <v>0.25738396624472576</v>
      </c>
      <c r="AK23" s="278">
        <f t="shared" si="8"/>
        <v>137.29289732774305</v>
      </c>
      <c r="AL23">
        <f t="shared" si="25"/>
        <v>1</v>
      </c>
    </row>
    <row r="24" spans="1:38" ht="16.5" thickBot="1">
      <c r="A24" s="4">
        <f>ELEC!C25</f>
        <v>44552</v>
      </c>
      <c r="B24" s="502">
        <v>11293</v>
      </c>
      <c r="C24" s="276">
        <f t="shared" si="9"/>
        <v>3</v>
      </c>
      <c r="D24" s="503">
        <f t="shared" si="10"/>
        <v>586266</v>
      </c>
      <c r="E24" s="276">
        <f t="shared" si="11"/>
        <v>750</v>
      </c>
      <c r="F24" s="276">
        <f t="shared" si="0"/>
        <v>250</v>
      </c>
      <c r="G24" s="196"/>
      <c r="H24" s="260">
        <f t="shared" si="12"/>
        <v>11374</v>
      </c>
      <c r="I24" s="276" t="str">
        <f t="shared" si="1"/>
        <v>ok</v>
      </c>
      <c r="J24" s="502">
        <f t="shared" si="13"/>
        <v>10698</v>
      </c>
      <c r="K24" s="276">
        <f t="shared" si="2"/>
        <v>0</v>
      </c>
      <c r="L24" s="503">
        <f t="shared" si="14"/>
        <v>357691</v>
      </c>
      <c r="M24" s="276">
        <f t="shared" si="15"/>
        <v>0</v>
      </c>
      <c r="N24" s="276">
        <f t="shared" si="16"/>
        <v>0</v>
      </c>
      <c r="O24" s="196"/>
      <c r="P24" s="277">
        <f t="shared" si="17"/>
        <v>10873</v>
      </c>
      <c r="Q24" s="276" t="str">
        <f t="shared" si="32"/>
        <v>ok</v>
      </c>
      <c r="R24" s="502">
        <v>13396</v>
      </c>
      <c r="S24" s="276">
        <f t="shared" si="4"/>
        <v>9</v>
      </c>
      <c r="T24" s="503">
        <f t="shared" si="18"/>
        <v>288496</v>
      </c>
      <c r="U24" s="276">
        <f t="shared" si="19"/>
        <v>2250</v>
      </c>
      <c r="V24" s="276">
        <v>250</v>
      </c>
      <c r="W24" s="196"/>
      <c r="X24" s="584">
        <f t="shared" si="20"/>
        <v>13429</v>
      </c>
      <c r="Y24" s="276" t="str">
        <f t="shared" si="34"/>
        <v>ok</v>
      </c>
      <c r="Z24" s="276">
        <f t="shared" si="6"/>
        <v>12</v>
      </c>
      <c r="AA24" s="276">
        <f t="shared" si="21"/>
        <v>3000</v>
      </c>
      <c r="AB24" s="276">
        <f t="shared" si="22"/>
        <v>500</v>
      </c>
      <c r="AC24" s="276">
        <f t="shared" si="23"/>
        <v>250</v>
      </c>
      <c r="AD24" s="73">
        <f>ELEC!Q25</f>
        <v>5685.9999999978754</v>
      </c>
      <c r="AE24" s="73">
        <f t="shared" si="28"/>
        <v>473.8333333331563</v>
      </c>
      <c r="AF24" s="387">
        <f t="shared" si="29"/>
        <v>0.2961458333332227</v>
      </c>
      <c r="AG24" s="387">
        <f t="shared" si="29"/>
        <v>1.8509114583326419E-4</v>
      </c>
      <c r="AH24" s="388">
        <f t="shared" si="24"/>
        <v>249.99981490885418</v>
      </c>
      <c r="AI24" s="73">
        <f t="shared" si="31"/>
        <v>1463.4852320669638</v>
      </c>
      <c r="AJ24" s="278">
        <f t="shared" si="7"/>
        <v>0.25738396624472576</v>
      </c>
      <c r="AK24" s="278">
        <f t="shared" si="8"/>
        <v>121.95710267224699</v>
      </c>
      <c r="AL24">
        <f t="shared" si="25"/>
        <v>1</v>
      </c>
    </row>
    <row r="25" spans="1:38" ht="16.5" thickBot="1">
      <c r="A25" s="4">
        <f>ELEC!C26</f>
        <v>44553</v>
      </c>
      <c r="B25" s="502">
        <v>11301</v>
      </c>
      <c r="C25" s="276">
        <f t="shared" si="9"/>
        <v>8</v>
      </c>
      <c r="D25" s="503">
        <f t="shared" si="10"/>
        <v>588266</v>
      </c>
      <c r="E25" s="276">
        <f t="shared" si="11"/>
        <v>2000</v>
      </c>
      <c r="F25" s="276">
        <f t="shared" si="0"/>
        <v>250</v>
      </c>
      <c r="G25" s="196"/>
      <c r="H25" s="260">
        <f t="shared" si="12"/>
        <v>11374</v>
      </c>
      <c r="I25" s="276" t="str">
        <f t="shared" si="1"/>
        <v>ok</v>
      </c>
      <c r="J25" s="502">
        <f t="shared" si="13"/>
        <v>10698</v>
      </c>
      <c r="K25" s="276">
        <f t="shared" si="2"/>
        <v>0</v>
      </c>
      <c r="L25" s="503">
        <f t="shared" si="14"/>
        <v>357691</v>
      </c>
      <c r="M25" s="276">
        <f t="shared" si="15"/>
        <v>0</v>
      </c>
      <c r="N25" s="276">
        <f t="shared" si="16"/>
        <v>0</v>
      </c>
      <c r="O25" s="196"/>
      <c r="P25" s="277">
        <f t="shared" si="17"/>
        <v>10873</v>
      </c>
      <c r="Q25" s="276" t="str">
        <f t="shared" si="32"/>
        <v>ok</v>
      </c>
      <c r="R25" s="502">
        <v>13397</v>
      </c>
      <c r="S25" s="276">
        <f t="shared" si="4"/>
        <v>1</v>
      </c>
      <c r="T25" s="503">
        <f t="shared" si="18"/>
        <v>288746</v>
      </c>
      <c r="U25" s="276">
        <f t="shared" si="19"/>
        <v>250</v>
      </c>
      <c r="V25" s="276">
        <v>250</v>
      </c>
      <c r="W25" s="196"/>
      <c r="X25" s="584">
        <f t="shared" si="20"/>
        <v>13429</v>
      </c>
      <c r="Y25" s="276" t="str">
        <f t="shared" si="34"/>
        <v>ok</v>
      </c>
      <c r="Z25" s="276">
        <f t="shared" si="6"/>
        <v>9</v>
      </c>
      <c r="AA25" s="276">
        <f t="shared" si="21"/>
        <v>2250</v>
      </c>
      <c r="AB25" s="276">
        <f t="shared" si="22"/>
        <v>500</v>
      </c>
      <c r="AC25" s="276">
        <f t="shared" si="23"/>
        <v>250</v>
      </c>
      <c r="AD25" s="73">
        <f>ELEC!Q26</f>
        <v>4388.0000000026484</v>
      </c>
      <c r="AE25" s="73">
        <f t="shared" si="28"/>
        <v>487.55555555584982</v>
      </c>
      <c r="AF25" s="387">
        <f t="shared" si="29"/>
        <v>0.30472222222240614</v>
      </c>
      <c r="AG25" s="387">
        <f t="shared" si="29"/>
        <v>1.9045138888900383E-4</v>
      </c>
      <c r="AH25" s="388">
        <f t="shared" si="24"/>
        <v>249.9998095486111</v>
      </c>
      <c r="AI25" s="73">
        <f t="shared" si="31"/>
        <v>1129.4008438825383</v>
      </c>
      <c r="AJ25" s="278">
        <f t="shared" si="7"/>
        <v>0.25738396624472576</v>
      </c>
      <c r="AK25" s="278">
        <f t="shared" si="8"/>
        <v>125.48898265361537</v>
      </c>
      <c r="AL25">
        <f t="shared" si="25"/>
        <v>1</v>
      </c>
    </row>
    <row r="26" spans="1:38" ht="16.5" thickBot="1">
      <c r="A26" s="4">
        <f>ELEC!C27</f>
        <v>44554</v>
      </c>
      <c r="B26" s="502">
        <f t="shared" si="26"/>
        <v>11301</v>
      </c>
      <c r="C26" s="276">
        <f>B26-B25</f>
        <v>0</v>
      </c>
      <c r="D26" s="503">
        <f t="shared" si="10"/>
        <v>588266</v>
      </c>
      <c r="E26" s="276">
        <f>SUM(D26-D25)</f>
        <v>0</v>
      </c>
      <c r="F26" s="276">
        <f t="shared" si="0"/>
        <v>0</v>
      </c>
      <c r="G26" s="196"/>
      <c r="H26" s="260">
        <f t="shared" si="12"/>
        <v>11374</v>
      </c>
      <c r="I26" s="276" t="str">
        <f t="shared" si="1"/>
        <v>ok</v>
      </c>
      <c r="J26" s="502">
        <f t="shared" si="13"/>
        <v>10698</v>
      </c>
      <c r="K26" s="276">
        <f t="shared" si="2"/>
        <v>0</v>
      </c>
      <c r="L26" s="503">
        <f t="shared" si="14"/>
        <v>357691</v>
      </c>
      <c r="M26" s="276">
        <f t="shared" si="15"/>
        <v>0</v>
      </c>
      <c r="N26" s="276">
        <f t="shared" si="16"/>
        <v>0</v>
      </c>
      <c r="O26" s="196"/>
      <c r="P26" s="277">
        <f t="shared" si="17"/>
        <v>10873</v>
      </c>
      <c r="Q26" s="276" t="str">
        <f t="shared" si="32"/>
        <v>ok</v>
      </c>
      <c r="R26" s="502">
        <f t="shared" si="27"/>
        <v>13397</v>
      </c>
      <c r="S26" s="276">
        <f t="shared" ref="S26" si="35">R26-R25</f>
        <v>0</v>
      </c>
      <c r="T26" s="503">
        <f t="shared" si="18"/>
        <v>288746</v>
      </c>
      <c r="U26" s="276">
        <f t="shared" si="19"/>
        <v>0</v>
      </c>
      <c r="V26" s="276">
        <v>250</v>
      </c>
      <c r="W26" s="196"/>
      <c r="X26" s="584">
        <f t="shared" si="20"/>
        <v>13429</v>
      </c>
      <c r="Y26" s="276" t="str">
        <f t="shared" si="34"/>
        <v>ok</v>
      </c>
      <c r="Z26" s="276">
        <f t="shared" si="6"/>
        <v>0</v>
      </c>
      <c r="AA26" s="276">
        <f t="shared" si="21"/>
        <v>0</v>
      </c>
      <c r="AB26" s="276">
        <f t="shared" si="22"/>
        <v>250</v>
      </c>
      <c r="AC26" s="276">
        <f t="shared" si="23"/>
        <v>0</v>
      </c>
      <c r="AD26" s="73">
        <f>ELEC!Q27</f>
        <v>0</v>
      </c>
      <c r="AE26" s="73" t="e">
        <f t="shared" si="28"/>
        <v>#DIV/0!</v>
      </c>
      <c r="AF26" s="387" t="e">
        <f t="shared" si="29"/>
        <v>#DIV/0!</v>
      </c>
      <c r="AG26" s="387" t="e">
        <f t="shared" si="29"/>
        <v>#DIV/0!</v>
      </c>
      <c r="AH26" s="388" t="e">
        <f t="shared" si="24"/>
        <v>#DIV/0!</v>
      </c>
      <c r="AI26" s="73">
        <f t="shared" si="31"/>
        <v>0</v>
      </c>
      <c r="AJ26" s="278">
        <f t="shared" si="7"/>
        <v>0.25738396624472576</v>
      </c>
      <c r="AK26" s="278" t="e">
        <f t="shared" si="8"/>
        <v>#DIV/0!</v>
      </c>
      <c r="AL26">
        <f t="shared" si="25"/>
        <v>0</v>
      </c>
    </row>
    <row r="27" spans="1:38" ht="16.5" thickBot="1">
      <c r="A27" s="4">
        <f>ELEC!C28</f>
        <v>44555</v>
      </c>
      <c r="B27" s="502">
        <f t="shared" si="26"/>
        <v>11301</v>
      </c>
      <c r="C27" s="276">
        <f>B27-B26</f>
        <v>0</v>
      </c>
      <c r="D27" s="503">
        <f t="shared" si="10"/>
        <v>588266</v>
      </c>
      <c r="E27" s="276">
        <f t="shared" ref="E27:E33" si="36">SUM(D27-D26)</f>
        <v>0</v>
      </c>
      <c r="F27" s="276">
        <f t="shared" si="0"/>
        <v>0</v>
      </c>
      <c r="G27" s="196"/>
      <c r="H27" s="260">
        <f t="shared" si="12"/>
        <v>11374</v>
      </c>
      <c r="I27" s="276" t="str">
        <f>IF(B27-H27&lt;=0,"ok","oil change")</f>
        <v>ok</v>
      </c>
      <c r="J27" s="502">
        <f t="shared" si="13"/>
        <v>10698</v>
      </c>
      <c r="K27" s="276">
        <f t="shared" si="2"/>
        <v>0</v>
      </c>
      <c r="L27" s="503">
        <f t="shared" si="14"/>
        <v>357691</v>
      </c>
      <c r="M27" s="276">
        <f t="shared" si="15"/>
        <v>0</v>
      </c>
      <c r="N27" s="276">
        <f t="shared" si="16"/>
        <v>0</v>
      </c>
      <c r="O27" s="196"/>
      <c r="P27" s="277">
        <f t="shared" si="17"/>
        <v>10873</v>
      </c>
      <c r="Q27" s="276" t="str">
        <f t="shared" si="32"/>
        <v>ok</v>
      </c>
      <c r="R27" s="502">
        <f t="shared" si="27"/>
        <v>13397</v>
      </c>
      <c r="S27" s="276">
        <f t="shared" si="4"/>
        <v>0</v>
      </c>
      <c r="T27" s="503">
        <f t="shared" si="18"/>
        <v>288746</v>
      </c>
      <c r="U27" s="276">
        <f t="shared" si="19"/>
        <v>0</v>
      </c>
      <c r="V27" s="276">
        <v>250</v>
      </c>
      <c r="W27" s="196"/>
      <c r="X27" s="584">
        <f t="shared" si="20"/>
        <v>13429</v>
      </c>
      <c r="Y27" s="276" t="str">
        <f t="shared" si="34"/>
        <v>ok</v>
      </c>
      <c r="Z27" s="276">
        <f t="shared" si="6"/>
        <v>0</v>
      </c>
      <c r="AA27" s="276">
        <f t="shared" si="21"/>
        <v>0</v>
      </c>
      <c r="AB27" s="276">
        <f t="shared" si="22"/>
        <v>250</v>
      </c>
      <c r="AC27" s="276">
        <f t="shared" si="23"/>
        <v>0</v>
      </c>
      <c r="AD27" s="73">
        <f>ELEC!Q28</f>
        <v>0</v>
      </c>
      <c r="AE27" s="73" t="e">
        <f t="shared" si="28"/>
        <v>#DIV/0!</v>
      </c>
      <c r="AF27" s="387" t="e">
        <f t="shared" si="29"/>
        <v>#DIV/0!</v>
      </c>
      <c r="AG27" s="387" t="e">
        <f t="shared" si="29"/>
        <v>#DIV/0!</v>
      </c>
      <c r="AH27" s="388" t="e">
        <f t="shared" si="24"/>
        <v>#DIV/0!</v>
      </c>
      <c r="AI27" s="73">
        <f t="shared" si="31"/>
        <v>0</v>
      </c>
      <c r="AJ27" s="278">
        <f t="shared" si="7"/>
        <v>0.25738396624472576</v>
      </c>
      <c r="AK27" s="278" t="e">
        <f t="shared" si="8"/>
        <v>#DIV/0!</v>
      </c>
      <c r="AL27">
        <f t="shared" si="25"/>
        <v>0</v>
      </c>
    </row>
    <row r="28" spans="1:38" ht="16.5" thickBot="1">
      <c r="A28" s="4">
        <f>ELEC!C29</f>
        <v>44556</v>
      </c>
      <c r="B28" s="502">
        <f t="shared" si="26"/>
        <v>11301</v>
      </c>
      <c r="C28" s="276">
        <f t="shared" si="9"/>
        <v>0</v>
      </c>
      <c r="D28" s="503">
        <f t="shared" si="10"/>
        <v>588266</v>
      </c>
      <c r="E28" s="276">
        <f t="shared" si="36"/>
        <v>0</v>
      </c>
      <c r="F28" s="276">
        <f t="shared" si="0"/>
        <v>0</v>
      </c>
      <c r="G28" s="274"/>
      <c r="H28" s="260">
        <f t="shared" si="12"/>
        <v>11374</v>
      </c>
      <c r="I28" s="276" t="str">
        <f t="shared" si="1"/>
        <v>ok</v>
      </c>
      <c r="J28" s="502">
        <f t="shared" si="13"/>
        <v>10698</v>
      </c>
      <c r="K28" s="276">
        <f t="shared" si="2"/>
        <v>0</v>
      </c>
      <c r="L28" s="503">
        <f t="shared" si="14"/>
        <v>357691</v>
      </c>
      <c r="M28" s="276">
        <f t="shared" si="15"/>
        <v>0</v>
      </c>
      <c r="N28" s="276">
        <f t="shared" si="16"/>
        <v>0</v>
      </c>
      <c r="O28" s="196"/>
      <c r="P28" s="277">
        <f t="shared" si="17"/>
        <v>10873</v>
      </c>
      <c r="Q28" s="276" t="str">
        <f t="shared" si="32"/>
        <v>ok</v>
      </c>
      <c r="R28" s="502">
        <f t="shared" si="27"/>
        <v>13397</v>
      </c>
      <c r="S28" s="276">
        <f t="shared" si="4"/>
        <v>0</v>
      </c>
      <c r="T28" s="503">
        <f t="shared" si="18"/>
        <v>288746</v>
      </c>
      <c r="U28" s="276">
        <f t="shared" si="19"/>
        <v>0</v>
      </c>
      <c r="V28" s="276">
        <v>250</v>
      </c>
      <c r="W28" s="196"/>
      <c r="X28" s="584">
        <f t="shared" si="20"/>
        <v>13429</v>
      </c>
      <c r="Y28" s="276" t="str">
        <f t="shared" si="34"/>
        <v>ok</v>
      </c>
      <c r="Z28" s="276">
        <f t="shared" si="6"/>
        <v>0</v>
      </c>
      <c r="AA28" s="276">
        <f t="shared" si="21"/>
        <v>0</v>
      </c>
      <c r="AB28" s="276">
        <f t="shared" si="22"/>
        <v>250</v>
      </c>
      <c r="AC28" s="276">
        <f t="shared" si="23"/>
        <v>0</v>
      </c>
      <c r="AD28" s="73">
        <f>ELEC!Q29</f>
        <v>0</v>
      </c>
      <c r="AE28" s="73" t="e">
        <f t="shared" si="28"/>
        <v>#DIV/0!</v>
      </c>
      <c r="AF28" s="387" t="e">
        <f t="shared" si="29"/>
        <v>#DIV/0!</v>
      </c>
      <c r="AG28" s="387" t="e">
        <f t="shared" si="29"/>
        <v>#DIV/0!</v>
      </c>
      <c r="AH28" s="388" t="e">
        <f t="shared" si="24"/>
        <v>#DIV/0!</v>
      </c>
      <c r="AI28" s="73">
        <f t="shared" si="31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5"/>
        <v>0</v>
      </c>
    </row>
    <row r="29" spans="1:38" ht="16.5" thickBot="1">
      <c r="A29" s="4">
        <f>ELEC!C30</f>
        <v>44557</v>
      </c>
      <c r="B29" s="502">
        <v>11303</v>
      </c>
      <c r="C29" s="276">
        <f t="shared" si="9"/>
        <v>2</v>
      </c>
      <c r="D29" s="503">
        <f t="shared" si="10"/>
        <v>588766</v>
      </c>
      <c r="E29" s="276">
        <f t="shared" si="36"/>
        <v>500</v>
      </c>
      <c r="F29" s="276">
        <f t="shared" si="0"/>
        <v>250</v>
      </c>
      <c r="G29" s="196"/>
      <c r="H29" s="260">
        <f t="shared" si="12"/>
        <v>11374</v>
      </c>
      <c r="I29" s="276" t="str">
        <f t="shared" si="1"/>
        <v>ok</v>
      </c>
      <c r="J29" s="502">
        <f t="shared" si="13"/>
        <v>10698</v>
      </c>
      <c r="K29" s="276">
        <f t="shared" si="2"/>
        <v>0</v>
      </c>
      <c r="L29" s="503">
        <f t="shared" si="14"/>
        <v>357691</v>
      </c>
      <c r="M29" s="276">
        <f t="shared" si="15"/>
        <v>0</v>
      </c>
      <c r="N29" s="276">
        <f t="shared" si="16"/>
        <v>0</v>
      </c>
      <c r="O29" s="196"/>
      <c r="P29" s="277">
        <f t="shared" si="17"/>
        <v>10873</v>
      </c>
      <c r="Q29" s="276" t="str">
        <f t="shared" si="32"/>
        <v>ok</v>
      </c>
      <c r="R29" s="502">
        <v>13405</v>
      </c>
      <c r="S29" s="276">
        <f t="shared" si="4"/>
        <v>8</v>
      </c>
      <c r="T29" s="503">
        <f>T28+U29</f>
        <v>290746</v>
      </c>
      <c r="U29" s="276">
        <f>V29*S29</f>
        <v>2000</v>
      </c>
      <c r="V29" s="276">
        <v>250</v>
      </c>
      <c r="W29" s="196"/>
      <c r="X29" s="584">
        <f t="shared" si="20"/>
        <v>13429</v>
      </c>
      <c r="Y29" s="276" t="str">
        <f t="shared" si="34"/>
        <v>ok</v>
      </c>
      <c r="Z29" s="276">
        <f t="shared" si="6"/>
        <v>10</v>
      </c>
      <c r="AA29" s="276">
        <f t="shared" si="21"/>
        <v>2500</v>
      </c>
      <c r="AB29" s="276">
        <f t="shared" si="22"/>
        <v>500</v>
      </c>
      <c r="AC29" s="276">
        <f t="shared" si="23"/>
        <v>250</v>
      </c>
      <c r="AD29" s="73">
        <f>ELEC!Q30</f>
        <v>5140.9999999996217</v>
      </c>
      <c r="AE29" s="73">
        <f t="shared" si="28"/>
        <v>514.09999999996217</v>
      </c>
      <c r="AF29" s="387">
        <f t="shared" si="29"/>
        <v>0.32131249999997635</v>
      </c>
      <c r="AG29" s="387">
        <f t="shared" si="29"/>
        <v>2.0082031249998522E-4</v>
      </c>
      <c r="AH29" s="388">
        <f t="shared" si="24"/>
        <v>249.9997991796875</v>
      </c>
      <c r="AI29" s="73">
        <f t="shared" si="31"/>
        <v>1323.2109704640377</v>
      </c>
      <c r="AJ29" s="278">
        <f t="shared" si="7"/>
        <v>0.25738396624472576</v>
      </c>
      <c r="AK29" s="278">
        <f t="shared" si="8"/>
        <v>132.32109704640376</v>
      </c>
      <c r="AL29">
        <f t="shared" si="25"/>
        <v>1</v>
      </c>
    </row>
    <row r="30" spans="1:38" ht="16.5" thickBot="1">
      <c r="A30" s="4">
        <f>ELEC!C31</f>
        <v>44558</v>
      </c>
      <c r="B30" s="502">
        <v>11313</v>
      </c>
      <c r="C30" s="276">
        <f t="shared" si="9"/>
        <v>10</v>
      </c>
      <c r="D30" s="503">
        <f t="shared" si="10"/>
        <v>591266</v>
      </c>
      <c r="E30" s="276">
        <f t="shared" si="36"/>
        <v>2500</v>
      </c>
      <c r="F30" s="276">
        <f t="shared" si="0"/>
        <v>250</v>
      </c>
      <c r="G30" s="196"/>
      <c r="H30" s="260">
        <f t="shared" si="12"/>
        <v>11374</v>
      </c>
      <c r="I30" s="276" t="str">
        <f t="shared" si="1"/>
        <v>ok</v>
      </c>
      <c r="J30" s="502">
        <f t="shared" si="13"/>
        <v>10698</v>
      </c>
      <c r="K30" s="276">
        <f t="shared" si="2"/>
        <v>0</v>
      </c>
      <c r="L30" s="503">
        <f t="shared" si="14"/>
        <v>357691</v>
      </c>
      <c r="M30" s="276">
        <f t="shared" si="15"/>
        <v>0</v>
      </c>
      <c r="N30" s="276">
        <f t="shared" si="16"/>
        <v>0</v>
      </c>
      <c r="O30" s="196"/>
      <c r="P30" s="277">
        <f t="shared" si="17"/>
        <v>10873</v>
      </c>
      <c r="Q30" s="276" t="str">
        <f t="shared" si="32"/>
        <v>ok</v>
      </c>
      <c r="R30" s="502">
        <f t="shared" si="27"/>
        <v>13405</v>
      </c>
      <c r="S30" s="276">
        <f t="shared" si="4"/>
        <v>0</v>
      </c>
      <c r="T30" s="503">
        <f t="shared" si="18"/>
        <v>290746</v>
      </c>
      <c r="U30" s="276">
        <f t="shared" si="19"/>
        <v>0</v>
      </c>
      <c r="V30" s="276">
        <v>250</v>
      </c>
      <c r="W30" s="274"/>
      <c r="X30" s="584">
        <f t="shared" si="20"/>
        <v>13429</v>
      </c>
      <c r="Y30" s="276" t="str">
        <f t="shared" si="34"/>
        <v>ok</v>
      </c>
      <c r="Z30" s="276">
        <f t="shared" si="6"/>
        <v>10</v>
      </c>
      <c r="AA30" s="276">
        <f t="shared" si="21"/>
        <v>2500</v>
      </c>
      <c r="AB30" s="276">
        <f t="shared" si="22"/>
        <v>500</v>
      </c>
      <c r="AC30" s="276">
        <f t="shared" si="23"/>
        <v>250</v>
      </c>
      <c r="AD30" s="73">
        <f>ELEC!Q31</f>
        <v>5294.9999999982538</v>
      </c>
      <c r="AE30" s="73">
        <f t="shared" si="28"/>
        <v>529.49999999982538</v>
      </c>
      <c r="AF30" s="387">
        <f t="shared" si="29"/>
        <v>0.33093749999989086</v>
      </c>
      <c r="AG30" s="387">
        <f t="shared" si="29"/>
        <v>2.0683593749993179E-4</v>
      </c>
      <c r="AH30" s="388">
        <f t="shared" si="24"/>
        <v>249.99979316406251</v>
      </c>
      <c r="AI30" s="73">
        <f t="shared" si="31"/>
        <v>1362.8481012653735</v>
      </c>
      <c r="AJ30" s="278">
        <f t="shared" si="7"/>
        <v>0.25738396624472576</v>
      </c>
      <c r="AK30" s="278">
        <f t="shared" si="8"/>
        <v>136.28481012653737</v>
      </c>
      <c r="AL30">
        <f t="shared" si="25"/>
        <v>1</v>
      </c>
    </row>
    <row r="31" spans="1:38" ht="16.5" thickBot="1">
      <c r="A31" s="4">
        <f>ELEC!C32</f>
        <v>44559</v>
      </c>
      <c r="B31" s="502">
        <v>11317</v>
      </c>
      <c r="C31" s="276">
        <f>B31-B30</f>
        <v>4</v>
      </c>
      <c r="D31" s="503">
        <f t="shared" si="10"/>
        <v>592266</v>
      </c>
      <c r="E31" s="276">
        <f t="shared" si="36"/>
        <v>1000</v>
      </c>
      <c r="F31" s="276">
        <f>IF(C31&gt;0,E31/C31,0)</f>
        <v>250</v>
      </c>
      <c r="G31" s="323"/>
      <c r="H31" s="260">
        <f t="shared" si="12"/>
        <v>11374</v>
      </c>
      <c r="I31" s="276" t="str">
        <f>IF(B31-H31&lt;=0,"ok","oil change")</f>
        <v>ok</v>
      </c>
      <c r="J31" s="502">
        <f t="shared" si="13"/>
        <v>10698</v>
      </c>
      <c r="K31" s="276">
        <f>J31-J30</f>
        <v>0</v>
      </c>
      <c r="L31" s="503">
        <f t="shared" si="14"/>
        <v>357691</v>
      </c>
      <c r="M31" s="276">
        <f>SUM(L31-L30)</f>
        <v>0</v>
      </c>
      <c r="N31" s="276">
        <f>IF(K31&gt;0,M31/K31,0)</f>
        <v>0</v>
      </c>
      <c r="O31" s="323"/>
      <c r="P31" s="277">
        <f t="shared" si="17"/>
        <v>10873</v>
      </c>
      <c r="Q31" s="276" t="str">
        <f>IF(J31-P31&lt;=0,"ok","oil change")</f>
        <v>ok</v>
      </c>
      <c r="R31" s="502">
        <v>13411</v>
      </c>
      <c r="S31" s="276">
        <f>R31-R30</f>
        <v>6</v>
      </c>
      <c r="T31" s="503">
        <f t="shared" si="18"/>
        <v>292246</v>
      </c>
      <c r="U31" s="276">
        <f t="shared" si="19"/>
        <v>1500</v>
      </c>
      <c r="V31" s="276">
        <v>250</v>
      </c>
      <c r="W31" s="323"/>
      <c r="X31" s="584">
        <f t="shared" si="20"/>
        <v>13429</v>
      </c>
      <c r="Y31" s="276" t="str">
        <f t="shared" si="34"/>
        <v>ok</v>
      </c>
      <c r="Z31" s="276">
        <f>C31+K31+S31</f>
        <v>10</v>
      </c>
      <c r="AA31" s="276">
        <f t="shared" ref="AA31:AB32" si="37">U31+M31+E31</f>
        <v>2500</v>
      </c>
      <c r="AB31" s="276">
        <f t="shared" si="37"/>
        <v>500</v>
      </c>
      <c r="AC31" s="276">
        <f>IF(Z31&gt;0,AA31/Z31,0)</f>
        <v>250</v>
      </c>
      <c r="AD31" s="73">
        <f>ELEC!Q32</f>
        <v>5831.00000000195</v>
      </c>
      <c r="AE31" s="73">
        <f>SUM(AD31/Z31)</f>
        <v>583.100000000195</v>
      </c>
      <c r="AF31" s="387">
        <f t="shared" ref="AF31:AG34" si="38">SUM(AE31/1600)</f>
        <v>0.36443750000012187</v>
      </c>
      <c r="AG31" s="387">
        <f t="shared" si="38"/>
        <v>2.2777343750007617E-4</v>
      </c>
      <c r="AH31" s="475">
        <f>SUM(AC31-AG31)</f>
        <v>249.9997722265625</v>
      </c>
      <c r="AI31" s="73">
        <f>AD31*AJ31</f>
        <v>1500.8059071734979</v>
      </c>
      <c r="AJ31" s="278">
        <f t="shared" si="7"/>
        <v>0.25738396624472576</v>
      </c>
      <c r="AK31" s="278">
        <f t="shared" si="8"/>
        <v>150.08059071734979</v>
      </c>
      <c r="AL31">
        <f t="shared" si="25"/>
        <v>1</v>
      </c>
    </row>
    <row r="32" spans="1:38" ht="16.5" thickBot="1">
      <c r="A32" s="4">
        <f>ELEC!C33</f>
        <v>44560</v>
      </c>
      <c r="B32" s="502">
        <f t="shared" si="26"/>
        <v>11317</v>
      </c>
      <c r="C32" s="276">
        <f>B32-B31</f>
        <v>0</v>
      </c>
      <c r="D32" s="503">
        <f t="shared" si="10"/>
        <v>592266</v>
      </c>
      <c r="E32" s="276">
        <f t="shared" si="36"/>
        <v>0</v>
      </c>
      <c r="F32" s="276">
        <f>IF(C32&gt;0,E32/C32,0)</f>
        <v>0</v>
      </c>
      <c r="G32" s="323"/>
      <c r="H32" s="260">
        <f t="shared" si="12"/>
        <v>11374</v>
      </c>
      <c r="I32" s="276" t="str">
        <f>IF(B32-H32&lt;=0,"ok","oil change")</f>
        <v>ok</v>
      </c>
      <c r="J32" s="502">
        <f t="shared" si="13"/>
        <v>10698</v>
      </c>
      <c r="K32" s="276">
        <f>J32-J31</f>
        <v>0</v>
      </c>
      <c r="L32" s="503">
        <f t="shared" si="14"/>
        <v>357691</v>
      </c>
      <c r="M32" s="276">
        <f>SUM(L32-L31)</f>
        <v>0</v>
      </c>
      <c r="N32" s="276">
        <f>IF(K32&gt;0,M32/K32,0)</f>
        <v>0</v>
      </c>
      <c r="O32" s="323"/>
      <c r="P32" s="277">
        <f t="shared" si="17"/>
        <v>10873</v>
      </c>
      <c r="Q32" s="276" t="str">
        <f>IF(J32-P32&lt;=0,"ok","oil change")</f>
        <v>ok</v>
      </c>
      <c r="R32" s="502">
        <f t="shared" si="27"/>
        <v>13411</v>
      </c>
      <c r="S32" s="276">
        <f>R32-R31</f>
        <v>0</v>
      </c>
      <c r="T32" s="503">
        <f t="shared" si="18"/>
        <v>292246</v>
      </c>
      <c r="U32" s="276">
        <f t="shared" si="19"/>
        <v>0</v>
      </c>
      <c r="V32" s="276">
        <v>250</v>
      </c>
      <c r="W32" s="323"/>
      <c r="X32" s="584">
        <f t="shared" si="20"/>
        <v>13429</v>
      </c>
      <c r="Y32" s="276" t="str">
        <f t="shared" si="34"/>
        <v>ok</v>
      </c>
      <c r="Z32" s="276">
        <f>C32+K32+S32</f>
        <v>0</v>
      </c>
      <c r="AA32" s="276">
        <f t="shared" si="37"/>
        <v>0</v>
      </c>
      <c r="AB32" s="276">
        <f t="shared" si="37"/>
        <v>250</v>
      </c>
      <c r="AC32" s="276">
        <f>IF(Z32&gt;0,AA32/Z32,0)</f>
        <v>0</v>
      </c>
      <c r="AD32" s="73">
        <f>ELEC!Q33</f>
        <v>0</v>
      </c>
      <c r="AE32" s="73" t="e">
        <f>SUM(AD32/Z32)</f>
        <v>#DIV/0!</v>
      </c>
      <c r="AF32" s="387" t="e">
        <f t="shared" si="38"/>
        <v>#DIV/0!</v>
      </c>
      <c r="AG32" s="387" t="e">
        <f t="shared" si="38"/>
        <v>#DIV/0!</v>
      </c>
      <c r="AH32" s="475" t="e">
        <f>SUM(AC32-AG32)</f>
        <v>#DIV/0!</v>
      </c>
      <c r="AI32" s="73">
        <f>AD32*AJ32</f>
        <v>0</v>
      </c>
      <c r="AJ32" s="278">
        <f t="shared" si="7"/>
        <v>0.25738396624472576</v>
      </c>
      <c r="AK32" s="278" t="e">
        <f t="shared" si="8"/>
        <v>#DIV/0!</v>
      </c>
      <c r="AL32">
        <f t="shared" si="25"/>
        <v>0</v>
      </c>
    </row>
    <row r="33" spans="1:38" ht="15.75">
      <c r="A33" s="4">
        <f>ELEC!C34</f>
        <v>44561</v>
      </c>
      <c r="B33" s="502">
        <f t="shared" si="26"/>
        <v>11317</v>
      </c>
      <c r="C33" s="276">
        <f>B33-B32</f>
        <v>0</v>
      </c>
      <c r="D33" s="503">
        <f t="shared" si="10"/>
        <v>592266</v>
      </c>
      <c r="E33" s="276">
        <f t="shared" si="36"/>
        <v>0</v>
      </c>
      <c r="F33" s="276">
        <f>IF(C33&gt;0,E33/C33,0)</f>
        <v>0</v>
      </c>
      <c r="G33" s="323"/>
      <c r="H33" s="260">
        <f t="shared" si="12"/>
        <v>11374</v>
      </c>
      <c r="I33" s="276" t="str">
        <f>IF(B33-H33&lt;=0,"ok","oil change")</f>
        <v>ok</v>
      </c>
      <c r="J33" s="502">
        <f t="shared" si="13"/>
        <v>10698</v>
      </c>
      <c r="K33" s="276">
        <f>J33-J32</f>
        <v>0</v>
      </c>
      <c r="L33" s="503">
        <f t="shared" si="14"/>
        <v>357691</v>
      </c>
      <c r="M33" s="276">
        <f>SUM(L33-L32)</f>
        <v>0</v>
      </c>
      <c r="N33" s="276">
        <f>IF(K33&gt;0,M33/K33,0)</f>
        <v>0</v>
      </c>
      <c r="O33" s="323"/>
      <c r="P33" s="277">
        <f t="shared" si="17"/>
        <v>10873</v>
      </c>
      <c r="Q33" s="276" t="str">
        <f>IF(J33-P33&lt;=0,"ok","oil change")</f>
        <v>ok</v>
      </c>
      <c r="R33" s="502">
        <f t="shared" si="27"/>
        <v>13411</v>
      </c>
      <c r="S33" s="276">
        <f>R33-R32</f>
        <v>0</v>
      </c>
      <c r="T33" s="503">
        <f t="shared" si="18"/>
        <v>292246</v>
      </c>
      <c r="U33" s="276">
        <f t="shared" si="19"/>
        <v>0</v>
      </c>
      <c r="V33" s="276">
        <v>251</v>
      </c>
      <c r="W33" s="323"/>
      <c r="X33" s="584">
        <f t="shared" si="20"/>
        <v>13429</v>
      </c>
      <c r="Y33" s="276" t="str">
        <f t="shared" si="34"/>
        <v>ok</v>
      </c>
      <c r="Z33" s="276">
        <f>C33+K33+S33</f>
        <v>0</v>
      </c>
      <c r="AA33" s="276">
        <f t="shared" ref="AA33" si="39">U33+M33+E33</f>
        <v>0</v>
      </c>
      <c r="AB33" s="276">
        <f t="shared" ref="AB33" si="40">V33+N33+F33</f>
        <v>251</v>
      </c>
      <c r="AC33" s="276">
        <f>IF(Z33&gt;0,AA33/Z33,0)</f>
        <v>0</v>
      </c>
      <c r="AD33" s="73">
        <f>ELEC!Q34</f>
        <v>0</v>
      </c>
      <c r="AE33" s="73" t="e">
        <f>SUM(AD33/Z33)</f>
        <v>#DIV/0!</v>
      </c>
      <c r="AF33" s="387" t="e">
        <f t="shared" si="38"/>
        <v>#DIV/0!</v>
      </c>
      <c r="AG33" s="387" t="e">
        <f t="shared" si="38"/>
        <v>#DIV/0!</v>
      </c>
      <c r="AH33" s="475" t="e">
        <f>SUM(AC33-AG33)</f>
        <v>#DIV/0!</v>
      </c>
      <c r="AI33" s="73">
        <f>AD33*AJ33</f>
        <v>0</v>
      </c>
      <c r="AJ33" s="278">
        <f t="shared" si="7"/>
        <v>0.25738396624472576</v>
      </c>
      <c r="AK33" s="278" t="e">
        <f t="shared" ref="AK33" si="41">AI33/Z33</f>
        <v>#DIV/0!</v>
      </c>
      <c r="AL33">
        <f t="shared" si="25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218</v>
      </c>
      <c r="V34" s="40"/>
      <c r="X34">
        <v>341</v>
      </c>
      <c r="Z34" s="404">
        <f>SUM(Z3:Z33)</f>
        <v>218</v>
      </c>
      <c r="AF34" s="387">
        <f t="shared" si="38"/>
        <v>0</v>
      </c>
      <c r="AL34">
        <f>SUM(AL3:AL33)</f>
        <v>20</v>
      </c>
    </row>
    <row r="35" spans="1:38">
      <c r="C35" s="40">
        <f>SUM(C3:C33)</f>
        <v>119</v>
      </c>
      <c r="K35" s="40">
        <f>SUM(K3:K33)</f>
        <v>0</v>
      </c>
      <c r="S35" s="40">
        <f>SUM(S3:S33)</f>
        <v>99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W1" activePane="topRight" state="frozen"/>
      <selection pane="topRight" activeCell="B34" sqref="B34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8" t="s">
        <v>108</v>
      </c>
      <c r="AS3" s="648" t="s">
        <v>231</v>
      </c>
      <c r="AT3" s="646" t="s">
        <v>299</v>
      </c>
      <c r="AU3" s="647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9"/>
      <c r="AS4" s="649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[2]tanks!$A$35</f>
        <v>44530</v>
      </c>
      <c r="B5" s="499">
        <f>[2]tanks!B36</f>
        <v>218</v>
      </c>
      <c r="C5" s="499">
        <f>[2]tanks!C36</f>
        <v>4690.5161290322576</v>
      </c>
      <c r="D5" s="499">
        <f>[2]tanks!D36</f>
        <v>218</v>
      </c>
      <c r="E5" s="499">
        <f>[2]tanks!E36</f>
        <v>4690.5161290322576</v>
      </c>
      <c r="F5" s="499">
        <f>[2]tanks!F36</f>
        <v>218</v>
      </c>
      <c r="G5" s="499">
        <f>[2]tanks!G36</f>
        <v>4690.5161290322576</v>
      </c>
      <c r="H5" s="499">
        <f>[2]tanks!H36</f>
        <v>218</v>
      </c>
      <c r="I5" s="499">
        <f>[2]tanks!I36</f>
        <v>4690.5161290322576</v>
      </c>
      <c r="J5" s="499">
        <f>[2]tanks!J36</f>
        <v>218</v>
      </c>
      <c r="K5" s="499">
        <f>[2]tanks!K36</f>
        <v>4690.5161290322576</v>
      </c>
      <c r="L5" s="499">
        <f>[2]tanks!L36</f>
        <v>218</v>
      </c>
      <c r="M5" s="499">
        <f>[2]tanks!M36</f>
        <v>4690.5161290322576</v>
      </c>
      <c r="N5" s="499">
        <f>[2]tanks!N36</f>
        <v>218</v>
      </c>
      <c r="O5" s="499">
        <f>[2]tanks!O36</f>
        <v>4690.5161290322576</v>
      </c>
      <c r="P5" s="499">
        <f>[2]tanks!P36</f>
        <v>218</v>
      </c>
      <c r="Q5" s="499">
        <f>[2]tanks!Q36</f>
        <v>4690.5161290322576</v>
      </c>
      <c r="R5" s="499">
        <f>[2]tanks!R36</f>
        <v>218</v>
      </c>
      <c r="S5" s="499">
        <f>[2]tanks!S36</f>
        <v>4690.5161290322576</v>
      </c>
      <c r="T5" s="499">
        <f>[2]tanks!T36</f>
        <v>218</v>
      </c>
      <c r="U5" s="499">
        <f>[2]tanks!U36</f>
        <v>4690.5161290322576</v>
      </c>
      <c r="V5" s="499">
        <f>[2]tanks!V36</f>
        <v>218</v>
      </c>
      <c r="W5" s="499">
        <f>[2]tanks!W36</f>
        <v>4690.5161290322576</v>
      </c>
      <c r="X5" s="476">
        <f>[2]tanks!X36</f>
        <v>0.70322580645161281</v>
      </c>
      <c r="Y5" s="499">
        <f>[2]tanks!Y36</f>
        <v>51595.677419354834</v>
      </c>
      <c r="Z5" s="499">
        <f>[2]tanks!Z36</f>
        <v>224</v>
      </c>
      <c r="AA5" s="499">
        <f>[2]tanks!AA36</f>
        <v>2240</v>
      </c>
      <c r="AB5" s="499">
        <f>[2]tanks!AB36</f>
        <v>224</v>
      </c>
      <c r="AC5" s="499">
        <f>[2]tanks!AC36</f>
        <v>2240</v>
      </c>
      <c r="AD5" s="499">
        <f>[2]tanks!AD36</f>
        <v>224</v>
      </c>
      <c r="AE5" s="499">
        <f>[2]tanks!AE36</f>
        <v>2240</v>
      </c>
      <c r="AF5" s="499">
        <f>[2]tanks!AF36</f>
        <v>224</v>
      </c>
      <c r="AG5" s="499">
        <f>[2]tanks!AG36</f>
        <v>2240</v>
      </c>
      <c r="AH5" s="499">
        <f>[2]tanks!AH36</f>
        <v>224</v>
      </c>
      <c r="AI5" s="499">
        <f>[2]tanks!AI36</f>
        <v>2240</v>
      </c>
      <c r="AJ5" s="499">
        <f>[2]tanks!AJ36</f>
        <v>224</v>
      </c>
      <c r="AK5" s="499">
        <f>[2]tanks!AK36</f>
        <v>2240</v>
      </c>
      <c r="AL5" s="499">
        <f>[2]tanks!AL36</f>
        <v>224</v>
      </c>
      <c r="AM5" s="499">
        <f>[2]tanks!AM36</f>
        <v>2240</v>
      </c>
      <c r="AN5" s="476">
        <f>[2]tanks!AN36</f>
        <v>0.8</v>
      </c>
      <c r="AO5" s="499">
        <f>[2]tanks!AO36</f>
        <v>15680</v>
      </c>
      <c r="AP5" s="499"/>
      <c r="AQ5" s="476">
        <f>[2]tanks!$AQ$36</f>
        <v>0.7236278091788193</v>
      </c>
      <c r="AR5" s="576">
        <f>[2]tanks!$AR$36</f>
        <v>67275.677419354834</v>
      </c>
      <c r="AS5" s="576">
        <f>[2]tanks!$AS$36</f>
        <v>0</v>
      </c>
      <c r="AT5" s="576">
        <f>[5]tanks!$AT$36</f>
        <v>0</v>
      </c>
      <c r="AU5" s="576">
        <f>[5]tanks!$AU$36</f>
        <v>0</v>
      </c>
      <c r="AV5" s="595">
        <f>[2]tanks!$AV$35</f>
        <v>0.71</v>
      </c>
      <c r="AW5" s="576">
        <f>[2]tanks!AW36</f>
        <v>0</v>
      </c>
      <c r="AX5" s="576">
        <f>[2]tanks!AX36</f>
        <v>0</v>
      </c>
      <c r="AY5" s="576">
        <f>[2]tanks!AY36</f>
        <v>0</v>
      </c>
      <c r="AZ5" s="576">
        <f>[2]tanks!AZ36</f>
        <v>0</v>
      </c>
      <c r="BA5" s="576">
        <f>[2]tanks!BA36</f>
        <v>0</v>
      </c>
      <c r="BB5" s="476">
        <f>[2]tanks!BB36</f>
        <v>0</v>
      </c>
      <c r="BC5" s="576">
        <f>[2]tanks!BC36</f>
        <v>0</v>
      </c>
      <c r="BD5" s="576">
        <f>[2]tanks!BD36</f>
        <v>0</v>
      </c>
      <c r="BE5" s="576">
        <f>[2]tanks!BE36</f>
        <v>0</v>
      </c>
      <c r="BF5" s="576">
        <f>[2]tanks!BF36</f>
        <v>0</v>
      </c>
      <c r="BG5" s="576">
        <f>[2]tanks!BG36</f>
        <v>0</v>
      </c>
      <c r="BH5" s="576">
        <f>[2]tanks!BH36</f>
        <v>0</v>
      </c>
      <c r="BI5" s="576">
        <f>[2]tanks!BI36</f>
        <v>23</v>
      </c>
    </row>
    <row r="6" spans="1:63">
      <c r="A6" s="425">
        <f>ELEC!C4</f>
        <v>44531</v>
      </c>
      <c r="B6" s="499">
        <f>'B5'!B5</f>
        <v>210</v>
      </c>
      <c r="C6" s="203">
        <f>B6*$B$4</f>
        <v>4518.3870967741932</v>
      </c>
      <c r="D6">
        <f>SUM(B6)</f>
        <v>210</v>
      </c>
      <c r="E6" s="203">
        <f>D6*$B$4</f>
        <v>4518.3870967741932</v>
      </c>
      <c r="F6">
        <f>SUM(D6)</f>
        <v>210</v>
      </c>
      <c r="G6" s="203">
        <f t="shared" ref="G6:G33" si="1">F6*$B$4</f>
        <v>4518.3870967741932</v>
      </c>
      <c r="H6" s="203">
        <f>SUM(F6)</f>
        <v>210</v>
      </c>
      <c r="I6" s="203">
        <f t="shared" ref="I6:I33" si="2">H6*$B$4</f>
        <v>4518.3870967741932</v>
      </c>
      <c r="J6" s="203">
        <f>SUM(H6)</f>
        <v>210</v>
      </c>
      <c r="K6" s="203">
        <f t="shared" ref="K6:K33" si="3">J6*$B$4</f>
        <v>4518.3870967741932</v>
      </c>
      <c r="L6" s="203">
        <f>SUM(J6)</f>
        <v>210</v>
      </c>
      <c r="M6" s="203">
        <f t="shared" ref="M6:M33" si="4">L6*$B$4</f>
        <v>4518.3870967741932</v>
      </c>
      <c r="N6" s="203">
        <f>SUM(L6)</f>
        <v>210</v>
      </c>
      <c r="O6" s="203">
        <f t="shared" ref="O6:O33" si="5">N6*$B$4</f>
        <v>4518.3870967741932</v>
      </c>
      <c r="P6" s="203">
        <f>SUM(N6)</f>
        <v>210</v>
      </c>
      <c r="Q6" s="203">
        <f t="shared" ref="Q6:Q33" si="6">P6*$B$4</f>
        <v>4518.3870967741932</v>
      </c>
      <c r="R6" s="203">
        <f>SUM(P6)</f>
        <v>210</v>
      </c>
      <c r="S6" s="203">
        <f t="shared" ref="S6:S33" si="7">R6*$B$4</f>
        <v>4518.3870967741932</v>
      </c>
      <c r="T6" s="203">
        <f>SUM(R6)</f>
        <v>210</v>
      </c>
      <c r="U6" s="203">
        <f t="shared" ref="U6:U33" si="8">T6*$B$4</f>
        <v>4518.3870967741932</v>
      </c>
      <c r="V6" s="203">
        <f>SUM(T6)</f>
        <v>210</v>
      </c>
      <c r="W6" s="203">
        <f t="shared" ref="W6:W33" si="9">V6*$B$4</f>
        <v>4518.3870967741932</v>
      </c>
      <c r="X6" s="35">
        <f t="shared" ref="X6:X29" si="10">SUM(Y6/73370)</f>
        <v>0.67741935483870974</v>
      </c>
      <c r="Y6" s="36">
        <f>SUM(C6+E6+G6+I6+K6+M6+O6+Q6+S6+U6+W6)</f>
        <v>49702.258064516136</v>
      </c>
      <c r="Z6" s="203">
        <f>'B5'!C5</f>
        <v>218</v>
      </c>
      <c r="AA6" s="203">
        <f>SUM(Z6*$Z$4)</f>
        <v>2180</v>
      </c>
      <c r="AB6" s="203">
        <f>SUM(Z6)</f>
        <v>218</v>
      </c>
      <c r="AC6" s="203">
        <f>SUM(AB6*$Z$4)</f>
        <v>2180</v>
      </c>
      <c r="AD6" s="203">
        <f>SUM(AB6)</f>
        <v>218</v>
      </c>
      <c r="AE6" s="203">
        <f t="shared" ref="AE6:AE33" si="11">SUM(AD6*$Z$4)</f>
        <v>2180</v>
      </c>
      <c r="AF6" s="203">
        <f>SUM(AD6)</f>
        <v>218</v>
      </c>
      <c r="AG6" s="203">
        <f t="shared" ref="AG6:AG33" si="12">SUM(AF6*$Z$4)</f>
        <v>2180</v>
      </c>
      <c r="AH6" s="203">
        <f>SUM(AF6)</f>
        <v>218</v>
      </c>
      <c r="AI6" s="203">
        <f t="shared" ref="AI6:AI33" si="13">SUM(AH6*$Z$4)</f>
        <v>2180</v>
      </c>
      <c r="AJ6" s="203">
        <f>SUM(AH6)</f>
        <v>218</v>
      </c>
      <c r="AK6" s="203">
        <f t="shared" ref="AK6:AK33" si="14">SUM(AJ6*$Z$4)</f>
        <v>2180</v>
      </c>
      <c r="AL6" s="203">
        <f>SUM(AJ6)</f>
        <v>218</v>
      </c>
      <c r="AM6" s="203">
        <f t="shared" ref="AM6:AM33" si="15">SUM(AL6*$Z$4)</f>
        <v>2180</v>
      </c>
      <c r="AN6" s="35">
        <f t="shared" ref="AN6:AN29" si="16">SUM(AO6/19600)</f>
        <v>0.77857142857142858</v>
      </c>
      <c r="AO6" s="36">
        <f>SUM(AA6+AC6+AE6+AG6+AI6+AK6+AM6)</f>
        <v>15260</v>
      </c>
      <c r="AQ6" s="223">
        <f>SUM(AR6/92970)</f>
        <v>0.69874430530833753</v>
      </c>
      <c r="AR6" s="38">
        <f>Y6+AO6</f>
        <v>64962.258064516136</v>
      </c>
      <c r="AS6" s="197">
        <f>SUM(AR6-AR5-AT6)</f>
        <v>-2313.4193548386975</v>
      </c>
      <c r="AT6" s="340"/>
      <c r="AU6" s="549"/>
      <c r="AV6" s="485">
        <f>IF(AT6&gt;0,AU6,AV5)</f>
        <v>0.71</v>
      </c>
      <c r="AW6" s="279">
        <f>-SUM('B5'!AI5)</f>
        <v>0</v>
      </c>
      <c r="AX6" s="279">
        <f t="shared" ref="AX6:AX35" si="17">-SUM(AW6-AS6)</f>
        <v>-2313.4193548386975</v>
      </c>
      <c r="AY6" s="37">
        <f>SUM(AX6+AW6)</f>
        <v>-2313.4193548386975</v>
      </c>
      <c r="AZ6" s="100">
        <f>ELEC!A4</f>
        <v>0</v>
      </c>
      <c r="BA6" s="118">
        <f>'General information '!D5</f>
        <v>18.5</v>
      </c>
      <c r="BB6" s="269">
        <f>SUM('General information '!E5)</f>
        <v>0.66</v>
      </c>
      <c r="BC6" s="3">
        <f>IF(AR3&gt;=AR6,0,1)</f>
        <v>0</v>
      </c>
      <c r="BD6" s="102">
        <v>19222</v>
      </c>
      <c r="BE6" s="14">
        <f>(305/1185)*ELEC!Q5</f>
        <v>1380.3502109707713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-192.78494623655811</v>
      </c>
      <c r="BK6" s="538">
        <f>GEN!AF3</f>
        <v>0.35221590909093886</v>
      </c>
    </row>
    <row r="7" spans="1:63">
      <c r="A7" s="425">
        <f>ELEC!C5</f>
        <v>44532</v>
      </c>
      <c r="B7">
        <f>'B5'!B6</f>
        <v>204</v>
      </c>
      <c r="C7" s="203">
        <f t="shared" ref="C7:E33" si="18">B7*$B$4</f>
        <v>4389.2903225806449</v>
      </c>
      <c r="D7">
        <f t="shared" ref="D7:D29" si="19">SUM(B7)</f>
        <v>204</v>
      </c>
      <c r="E7" s="203">
        <f t="shared" si="18"/>
        <v>4389.2903225806449</v>
      </c>
      <c r="F7">
        <f t="shared" ref="F7:F29" si="20">SUM(D7)</f>
        <v>204</v>
      </c>
      <c r="G7" s="203">
        <f t="shared" si="1"/>
        <v>4389.2903225806449</v>
      </c>
      <c r="H7" s="203">
        <f t="shared" ref="H7:H29" si="21">SUM(F7)</f>
        <v>204</v>
      </c>
      <c r="I7" s="203">
        <f t="shared" si="2"/>
        <v>4389.2903225806449</v>
      </c>
      <c r="J7" s="203">
        <f t="shared" ref="J7:J29" si="22">SUM(H7)</f>
        <v>204</v>
      </c>
      <c r="K7" s="203">
        <f t="shared" si="3"/>
        <v>4389.2903225806449</v>
      </c>
      <c r="L7" s="203">
        <f t="shared" ref="L7:L29" si="23">SUM(J7)</f>
        <v>204</v>
      </c>
      <c r="M7" s="203">
        <f t="shared" si="4"/>
        <v>4389.2903225806449</v>
      </c>
      <c r="N7" s="203">
        <f t="shared" ref="N7:N29" si="24">SUM(L7)</f>
        <v>204</v>
      </c>
      <c r="O7" s="203">
        <f t="shared" si="5"/>
        <v>4389.2903225806449</v>
      </c>
      <c r="P7" s="203">
        <f t="shared" ref="P7:P29" si="25">SUM(N7)</f>
        <v>204</v>
      </c>
      <c r="Q7" s="203">
        <f t="shared" si="6"/>
        <v>4389.2903225806449</v>
      </c>
      <c r="R7" s="203">
        <f t="shared" ref="R7:R29" si="26">SUM(P7)</f>
        <v>204</v>
      </c>
      <c r="S7" s="203">
        <f t="shared" si="7"/>
        <v>4389.2903225806449</v>
      </c>
      <c r="T7" s="203">
        <f t="shared" ref="T7:T29" si="27">SUM(R7)</f>
        <v>204</v>
      </c>
      <c r="U7" s="203">
        <f t="shared" si="8"/>
        <v>4389.2903225806449</v>
      </c>
      <c r="V7" s="203">
        <f t="shared" ref="V7:V29" si="28">SUM(T7)</f>
        <v>204</v>
      </c>
      <c r="W7" s="203">
        <f t="shared" si="9"/>
        <v>4389.2903225806449</v>
      </c>
      <c r="X7" s="35">
        <f t="shared" si="10"/>
        <v>0.65806451612903216</v>
      </c>
      <c r="Y7" s="36">
        <f t="shared" ref="Y7:Y29" si="29">SUM(C7+E7+G7+I7+K7+M7+O7+Q7+S7+U7+W7)</f>
        <v>48282.193548387091</v>
      </c>
      <c r="Z7" s="203">
        <f>'B5'!C6</f>
        <v>211</v>
      </c>
      <c r="AA7" s="203">
        <f t="shared" ref="AA7:AC33" si="30">SUM(Z7*$Z$4)</f>
        <v>2110</v>
      </c>
      <c r="AB7" s="203">
        <f t="shared" ref="AB7:AB29" si="31">SUM(Z7)</f>
        <v>211</v>
      </c>
      <c r="AC7" s="203">
        <f t="shared" si="30"/>
        <v>2110</v>
      </c>
      <c r="AD7" s="203">
        <f t="shared" ref="AD7:AD29" si="32">SUM(AB7)</f>
        <v>211</v>
      </c>
      <c r="AE7" s="203">
        <f t="shared" si="11"/>
        <v>2110</v>
      </c>
      <c r="AF7" s="203">
        <f t="shared" ref="AF7:AF29" si="33">SUM(AD7)</f>
        <v>211</v>
      </c>
      <c r="AG7" s="203">
        <f t="shared" si="12"/>
        <v>2110</v>
      </c>
      <c r="AH7" s="203">
        <f t="shared" ref="AH7:AH29" si="34">SUM(AF7)</f>
        <v>211</v>
      </c>
      <c r="AI7" s="203">
        <f t="shared" si="13"/>
        <v>2110</v>
      </c>
      <c r="AJ7" s="203">
        <f t="shared" ref="AJ7:AJ29" si="35">SUM(AH7)</f>
        <v>211</v>
      </c>
      <c r="AK7" s="203">
        <f t="shared" si="14"/>
        <v>2110</v>
      </c>
      <c r="AL7" s="203">
        <f t="shared" ref="AL7:AL29" si="36">SUM(AJ7)</f>
        <v>211</v>
      </c>
      <c r="AM7" s="203">
        <f t="shared" si="15"/>
        <v>2110</v>
      </c>
      <c r="AN7" s="35">
        <f t="shared" si="16"/>
        <v>0.75357142857142856</v>
      </c>
      <c r="AO7" s="36">
        <f>SUM(AA7+AC7+AE7+AG7+AI7+AK7+AM7)</f>
        <v>14770</v>
      </c>
      <c r="AQ7" s="223">
        <f t="shared" ref="AQ7:AQ33" si="37">SUM(AR7/92970)</f>
        <v>0.67819934977290619</v>
      </c>
      <c r="AR7" s="38">
        <f t="shared" ref="AR7:AR36" si="38">Y7+AO7</f>
        <v>63052.193548387091</v>
      </c>
      <c r="AS7" s="197">
        <f>SUM(AR7-AR6-AT7)</f>
        <v>-1910.0645161290449</v>
      </c>
      <c r="AT7" s="340"/>
      <c r="AU7" s="549"/>
      <c r="AV7" s="485">
        <f>IF(AT7&gt;0,AU7,AV6)</f>
        <v>0.71</v>
      </c>
      <c r="AW7" s="279">
        <f>-SUM('B5'!AI6)</f>
        <v>0</v>
      </c>
      <c r="AX7" s="279">
        <f t="shared" si="17"/>
        <v>-1910.0645161290449</v>
      </c>
      <c r="AY7" s="37">
        <f t="shared" ref="AY7:AY33" si="39">SUM(AX7+AW7)</f>
        <v>-1910.0645161290449</v>
      </c>
      <c r="AZ7" s="100">
        <f>ELEC!A5</f>
        <v>0</v>
      </c>
      <c r="BA7" s="118">
        <f>'General information '!D6</f>
        <v>18</v>
      </c>
      <c r="BB7" s="378">
        <f>SUM('General information '!E6)</f>
        <v>0.54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-127.33763440860299</v>
      </c>
      <c r="BK7" s="538">
        <f>GEN!AF4</f>
        <v>0.27932291666672882</v>
      </c>
    </row>
    <row r="8" spans="1:63">
      <c r="A8" s="425">
        <f>ELEC!C6</f>
        <v>44533</v>
      </c>
      <c r="B8">
        <f>'B5'!B7</f>
        <v>204</v>
      </c>
      <c r="C8" s="203">
        <f t="shared" si="18"/>
        <v>4389.2903225806449</v>
      </c>
      <c r="D8">
        <f t="shared" si="19"/>
        <v>204</v>
      </c>
      <c r="E8" s="203">
        <f t="shared" si="18"/>
        <v>4389.2903225806449</v>
      </c>
      <c r="F8">
        <f t="shared" si="20"/>
        <v>204</v>
      </c>
      <c r="G8" s="203">
        <f t="shared" si="1"/>
        <v>4389.2903225806449</v>
      </c>
      <c r="H8" s="203">
        <f t="shared" si="21"/>
        <v>204</v>
      </c>
      <c r="I8" s="203">
        <f t="shared" si="2"/>
        <v>4389.2903225806449</v>
      </c>
      <c r="J8" s="203">
        <f t="shared" si="22"/>
        <v>204</v>
      </c>
      <c r="K8" s="203">
        <f t="shared" si="3"/>
        <v>4389.2903225806449</v>
      </c>
      <c r="L8" s="203">
        <f t="shared" si="23"/>
        <v>204</v>
      </c>
      <c r="M8" s="203">
        <f t="shared" si="4"/>
        <v>4389.2903225806449</v>
      </c>
      <c r="N8" s="203">
        <f t="shared" si="24"/>
        <v>204</v>
      </c>
      <c r="O8" s="203">
        <f t="shared" si="5"/>
        <v>4389.2903225806449</v>
      </c>
      <c r="P8" s="203">
        <f t="shared" si="25"/>
        <v>204</v>
      </c>
      <c r="Q8" s="203">
        <f t="shared" si="6"/>
        <v>4389.2903225806449</v>
      </c>
      <c r="R8" s="203">
        <f t="shared" si="26"/>
        <v>204</v>
      </c>
      <c r="S8" s="203">
        <f t="shared" si="7"/>
        <v>4389.2903225806449</v>
      </c>
      <c r="T8" s="203">
        <f t="shared" si="27"/>
        <v>204</v>
      </c>
      <c r="U8" s="203">
        <f t="shared" si="8"/>
        <v>4389.2903225806449</v>
      </c>
      <c r="V8" s="203">
        <f t="shared" si="28"/>
        <v>204</v>
      </c>
      <c r="W8" s="203">
        <f t="shared" si="9"/>
        <v>4389.2903225806449</v>
      </c>
      <c r="X8" s="35">
        <f t="shared" si="10"/>
        <v>0.65806451612903216</v>
      </c>
      <c r="Y8" s="36">
        <f t="shared" si="29"/>
        <v>48282.193548387091</v>
      </c>
      <c r="Z8" s="203">
        <f>'B5'!C7</f>
        <v>211</v>
      </c>
      <c r="AA8" s="203">
        <f t="shared" si="30"/>
        <v>2110</v>
      </c>
      <c r="AB8" s="203">
        <f t="shared" si="31"/>
        <v>211</v>
      </c>
      <c r="AC8" s="203">
        <f t="shared" si="30"/>
        <v>2110</v>
      </c>
      <c r="AD8" s="203">
        <f t="shared" si="32"/>
        <v>211</v>
      </c>
      <c r="AE8" s="203">
        <f t="shared" si="11"/>
        <v>2110</v>
      </c>
      <c r="AF8" s="203">
        <f t="shared" si="33"/>
        <v>211</v>
      </c>
      <c r="AG8" s="203">
        <f t="shared" si="12"/>
        <v>2110</v>
      </c>
      <c r="AH8" s="203">
        <f t="shared" si="34"/>
        <v>211</v>
      </c>
      <c r="AI8" s="203">
        <f t="shared" si="13"/>
        <v>2110</v>
      </c>
      <c r="AJ8" s="203">
        <f t="shared" si="35"/>
        <v>211</v>
      </c>
      <c r="AK8" s="203">
        <f t="shared" si="14"/>
        <v>2110</v>
      </c>
      <c r="AL8" s="203">
        <f t="shared" si="36"/>
        <v>211</v>
      </c>
      <c r="AM8" s="203">
        <f t="shared" si="15"/>
        <v>2110</v>
      </c>
      <c r="AN8" s="35">
        <f t="shared" si="16"/>
        <v>0.75357142857142856</v>
      </c>
      <c r="AO8" s="36">
        <f t="shared" ref="AO8:AO29" si="41">SUM(AA8+AC8+AE8+AG8+AI8+AK8+AM8)</f>
        <v>14770</v>
      </c>
      <c r="AQ8" s="223">
        <f t="shared" si="37"/>
        <v>0.67819934977290619</v>
      </c>
      <c r="AR8" s="38">
        <f t="shared" si="38"/>
        <v>63052.193548387091</v>
      </c>
      <c r="AS8" s="197">
        <f t="shared" ref="AS8:AS17" si="42">SUM(AR8-AR7-AT8)</f>
        <v>0</v>
      </c>
      <c r="AT8" s="340"/>
      <c r="AU8" s="549"/>
      <c r="AV8" s="485">
        <f t="shared" ref="AV8:AV31" si="43">IF(AT8&gt;0,AU8,AV7)</f>
        <v>0.71</v>
      </c>
      <c r="AW8" s="279">
        <f>-SUM('B5'!AI7)</f>
        <v>0</v>
      </c>
      <c r="AX8" s="279">
        <f t="shared" si="17"/>
        <v>0</v>
      </c>
      <c r="AY8" s="37">
        <f t="shared" si="39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0</v>
      </c>
      <c r="BK8" s="538" t="e">
        <f>GEN!AF5</f>
        <v>#DIV/0!</v>
      </c>
    </row>
    <row r="9" spans="1:63">
      <c r="A9" s="425">
        <f>ELEC!C7</f>
        <v>44534</v>
      </c>
      <c r="B9">
        <f>'B5'!B8</f>
        <v>204</v>
      </c>
      <c r="C9" s="203">
        <f t="shared" si="18"/>
        <v>4389.2903225806449</v>
      </c>
      <c r="D9">
        <f t="shared" si="19"/>
        <v>204</v>
      </c>
      <c r="E9" s="203">
        <f t="shared" si="18"/>
        <v>4389.2903225806449</v>
      </c>
      <c r="F9">
        <f t="shared" si="20"/>
        <v>204</v>
      </c>
      <c r="G9" s="203">
        <f t="shared" si="1"/>
        <v>4389.2903225806449</v>
      </c>
      <c r="H9" s="203">
        <f t="shared" si="21"/>
        <v>204</v>
      </c>
      <c r="I9" s="203">
        <f t="shared" si="2"/>
        <v>4389.2903225806449</v>
      </c>
      <c r="J9" s="203">
        <f t="shared" si="22"/>
        <v>204</v>
      </c>
      <c r="K9" s="203">
        <f t="shared" si="3"/>
        <v>4389.2903225806449</v>
      </c>
      <c r="L9" s="203">
        <f t="shared" si="23"/>
        <v>204</v>
      </c>
      <c r="M9" s="203">
        <f t="shared" si="4"/>
        <v>4389.2903225806449</v>
      </c>
      <c r="N9" s="203">
        <f t="shared" si="24"/>
        <v>204</v>
      </c>
      <c r="O9" s="203">
        <f t="shared" si="5"/>
        <v>4389.2903225806449</v>
      </c>
      <c r="P9" s="203">
        <f t="shared" si="25"/>
        <v>204</v>
      </c>
      <c r="Q9" s="203">
        <f t="shared" si="6"/>
        <v>4389.2903225806449</v>
      </c>
      <c r="R9" s="203">
        <f t="shared" si="26"/>
        <v>204</v>
      </c>
      <c r="S9" s="203">
        <f t="shared" si="7"/>
        <v>4389.2903225806449</v>
      </c>
      <c r="T9" s="203">
        <f t="shared" si="27"/>
        <v>204</v>
      </c>
      <c r="U9" s="203">
        <f t="shared" si="8"/>
        <v>4389.2903225806449</v>
      </c>
      <c r="V9" s="203">
        <f t="shared" si="28"/>
        <v>204</v>
      </c>
      <c r="W9" s="203">
        <f t="shared" si="9"/>
        <v>4389.2903225806449</v>
      </c>
      <c r="X9" s="35">
        <f t="shared" si="10"/>
        <v>0.65806451612903216</v>
      </c>
      <c r="Y9" s="36">
        <f t="shared" si="29"/>
        <v>48282.193548387091</v>
      </c>
      <c r="Z9" s="203">
        <f>'B5'!C8</f>
        <v>211</v>
      </c>
      <c r="AA9" s="203">
        <f t="shared" si="30"/>
        <v>2110</v>
      </c>
      <c r="AB9" s="203">
        <f t="shared" si="31"/>
        <v>211</v>
      </c>
      <c r="AC9" s="203">
        <f t="shared" si="30"/>
        <v>2110</v>
      </c>
      <c r="AD9" s="203">
        <f t="shared" si="32"/>
        <v>211</v>
      </c>
      <c r="AE9" s="203">
        <f t="shared" si="11"/>
        <v>2110</v>
      </c>
      <c r="AF9" s="203">
        <f t="shared" si="33"/>
        <v>211</v>
      </c>
      <c r="AG9" s="203">
        <f t="shared" si="12"/>
        <v>2110</v>
      </c>
      <c r="AH9" s="203">
        <f t="shared" si="34"/>
        <v>211</v>
      </c>
      <c r="AI9" s="203">
        <f t="shared" si="13"/>
        <v>2110</v>
      </c>
      <c r="AJ9" s="203">
        <f t="shared" si="35"/>
        <v>211</v>
      </c>
      <c r="AK9" s="203">
        <f t="shared" si="14"/>
        <v>2110</v>
      </c>
      <c r="AL9" s="203">
        <f t="shared" si="36"/>
        <v>211</v>
      </c>
      <c r="AM9" s="203">
        <f t="shared" si="15"/>
        <v>2110</v>
      </c>
      <c r="AN9" s="35">
        <f t="shared" si="16"/>
        <v>0.75357142857142856</v>
      </c>
      <c r="AO9" s="36">
        <f>SUM(AA9+AC9+AE9+AG9+AI9+AK9+AM9)</f>
        <v>14770</v>
      </c>
      <c r="AQ9" s="223">
        <f t="shared" si="37"/>
        <v>0.67819934977290619</v>
      </c>
      <c r="AR9" s="38">
        <f t="shared" si="38"/>
        <v>63052.193548387091</v>
      </c>
      <c r="AS9" s="197">
        <f t="shared" si="42"/>
        <v>0</v>
      </c>
      <c r="AT9" s="340"/>
      <c r="AU9" s="549"/>
      <c r="AV9" s="485">
        <f t="shared" si="43"/>
        <v>0.71</v>
      </c>
      <c r="AW9" s="279">
        <f>-SUM('B5'!AI8)</f>
        <v>0</v>
      </c>
      <c r="AX9" s="279">
        <f t="shared" si="17"/>
        <v>0</v>
      </c>
      <c r="AY9" s="37">
        <f t="shared" si="39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1684.5780590712807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0</v>
      </c>
      <c r="BK9" s="538" t="e">
        <f>GEN!AF6</f>
        <v>#DIV/0!</v>
      </c>
    </row>
    <row r="10" spans="1:63">
      <c r="A10" s="425">
        <f>ELEC!C8</f>
        <v>44535</v>
      </c>
      <c r="B10">
        <f>'B5'!B9</f>
        <v>236</v>
      </c>
      <c r="C10" s="203">
        <f t="shared" si="18"/>
        <v>5077.8064516129034</v>
      </c>
      <c r="D10">
        <f t="shared" si="19"/>
        <v>236</v>
      </c>
      <c r="E10" s="203">
        <f t="shared" si="18"/>
        <v>5077.8064516129034</v>
      </c>
      <c r="F10">
        <f t="shared" si="20"/>
        <v>236</v>
      </c>
      <c r="G10" s="203">
        <f t="shared" si="1"/>
        <v>5077.8064516129034</v>
      </c>
      <c r="H10" s="203">
        <f t="shared" si="21"/>
        <v>236</v>
      </c>
      <c r="I10" s="203">
        <f t="shared" si="2"/>
        <v>5077.8064516129034</v>
      </c>
      <c r="J10" s="203">
        <f t="shared" si="22"/>
        <v>236</v>
      </c>
      <c r="K10" s="203">
        <f t="shared" si="3"/>
        <v>5077.8064516129034</v>
      </c>
      <c r="L10" s="203">
        <f t="shared" si="23"/>
        <v>236</v>
      </c>
      <c r="M10" s="203">
        <f t="shared" si="4"/>
        <v>5077.8064516129034</v>
      </c>
      <c r="N10" s="203">
        <f t="shared" si="24"/>
        <v>236</v>
      </c>
      <c r="O10" s="203">
        <f t="shared" si="5"/>
        <v>5077.8064516129034</v>
      </c>
      <c r="P10" s="203">
        <f t="shared" si="25"/>
        <v>236</v>
      </c>
      <c r="Q10" s="203">
        <f t="shared" si="6"/>
        <v>5077.8064516129034</v>
      </c>
      <c r="R10" s="203">
        <f t="shared" si="26"/>
        <v>236</v>
      </c>
      <c r="S10" s="203">
        <f t="shared" si="7"/>
        <v>5077.8064516129034</v>
      </c>
      <c r="T10" s="203">
        <f t="shared" si="27"/>
        <v>236</v>
      </c>
      <c r="U10" s="203">
        <f t="shared" si="8"/>
        <v>5077.8064516129034</v>
      </c>
      <c r="V10" s="203">
        <f t="shared" si="28"/>
        <v>236</v>
      </c>
      <c r="W10" s="203">
        <f t="shared" si="9"/>
        <v>5077.8064516129034</v>
      </c>
      <c r="X10" s="35">
        <f t="shared" si="10"/>
        <v>0.761290322580645</v>
      </c>
      <c r="Y10" s="36">
        <f t="shared" si="29"/>
        <v>55855.870967741925</v>
      </c>
      <c r="Z10" s="203">
        <f>'B5'!C9</f>
        <v>241</v>
      </c>
      <c r="AA10" s="203">
        <f t="shared" si="30"/>
        <v>2410</v>
      </c>
      <c r="AB10" s="203">
        <f t="shared" si="31"/>
        <v>241</v>
      </c>
      <c r="AC10" s="203">
        <f t="shared" si="30"/>
        <v>2410</v>
      </c>
      <c r="AD10" s="203">
        <f t="shared" si="32"/>
        <v>241</v>
      </c>
      <c r="AE10" s="203">
        <f t="shared" si="11"/>
        <v>2410</v>
      </c>
      <c r="AF10" s="203">
        <f t="shared" si="33"/>
        <v>241</v>
      </c>
      <c r="AG10" s="203">
        <f t="shared" si="12"/>
        <v>2410</v>
      </c>
      <c r="AH10" s="203">
        <f t="shared" si="34"/>
        <v>241</v>
      </c>
      <c r="AI10" s="203">
        <f t="shared" si="13"/>
        <v>2410</v>
      </c>
      <c r="AJ10" s="203">
        <f t="shared" si="35"/>
        <v>241</v>
      </c>
      <c r="AK10" s="203">
        <f t="shared" si="14"/>
        <v>2410</v>
      </c>
      <c r="AL10" s="203">
        <f t="shared" si="36"/>
        <v>241</v>
      </c>
      <c r="AM10" s="203">
        <f t="shared" si="15"/>
        <v>2410</v>
      </c>
      <c r="AN10" s="35">
        <f t="shared" si="16"/>
        <v>0.86071428571428577</v>
      </c>
      <c r="AO10" s="36">
        <f t="shared" si="41"/>
        <v>16870</v>
      </c>
      <c r="AQ10" s="223">
        <f t="shared" si="37"/>
        <v>0.78225095157300129</v>
      </c>
      <c r="AR10" s="38">
        <f t="shared" si="38"/>
        <v>72725.870967741925</v>
      </c>
      <c r="AS10" s="197">
        <f t="shared" si="42"/>
        <v>-326.32258064516645</v>
      </c>
      <c r="AT10" s="340">
        <v>10000</v>
      </c>
      <c r="AU10" s="549">
        <v>0.63400000000000001</v>
      </c>
      <c r="AV10" s="485">
        <f>IF(AT10&gt;0,AU10,AV9)</f>
        <v>0.63400000000000001</v>
      </c>
      <c r="AW10" s="279">
        <f>-SUM('B5'!AI9)</f>
        <v>-193</v>
      </c>
      <c r="AX10" s="279">
        <f t="shared" si="17"/>
        <v>-133.32258064516645</v>
      </c>
      <c r="AY10" s="37">
        <f t="shared" si="39"/>
        <v>-326.32258064516645</v>
      </c>
      <c r="AZ10" s="100">
        <f>ELEC!A8</f>
        <v>0</v>
      </c>
      <c r="BA10" s="118">
        <f>'General information '!D9</f>
        <v>20</v>
      </c>
      <c r="BB10" s="378">
        <f>SUM('General information '!E9)</f>
        <v>0.54</v>
      </c>
      <c r="BC10" s="3">
        <f t="shared" si="44"/>
        <v>1</v>
      </c>
      <c r="BD10" s="102">
        <v>19222</v>
      </c>
      <c r="BE10" s="14">
        <f>(305/1185)*ELEC!Q9</f>
        <v>1268.6455696202756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-19.046082949309493</v>
      </c>
      <c r="BK10" s="538">
        <f>GEN!AF7</f>
        <v>0.40906249999989086</v>
      </c>
    </row>
    <row r="11" spans="1:63">
      <c r="A11" s="425">
        <f>ELEC!C9</f>
        <v>44536</v>
      </c>
      <c r="B11">
        <f>'B5'!B10</f>
        <v>229</v>
      </c>
      <c r="C11" s="203">
        <f t="shared" si="18"/>
        <v>4927.1935483870966</v>
      </c>
      <c r="D11">
        <f>SUM(B11)</f>
        <v>229</v>
      </c>
      <c r="E11" s="203">
        <f t="shared" si="18"/>
        <v>4927.1935483870966</v>
      </c>
      <c r="F11">
        <f>SUM(D11)</f>
        <v>229</v>
      </c>
      <c r="G11" s="203">
        <f t="shared" si="1"/>
        <v>4927.1935483870966</v>
      </c>
      <c r="H11" s="203">
        <f>SUM(F11)</f>
        <v>229</v>
      </c>
      <c r="I11" s="203">
        <f t="shared" si="2"/>
        <v>4927.1935483870966</v>
      </c>
      <c r="J11" s="203">
        <f>SUM(H11)</f>
        <v>229</v>
      </c>
      <c r="K11" s="203">
        <f t="shared" si="3"/>
        <v>4927.1935483870966</v>
      </c>
      <c r="L11" s="203">
        <f>SUM(J11)</f>
        <v>229</v>
      </c>
      <c r="M11" s="203">
        <f t="shared" si="4"/>
        <v>4927.1935483870966</v>
      </c>
      <c r="N11" s="203">
        <f>SUM(L11)</f>
        <v>229</v>
      </c>
      <c r="O11" s="203">
        <f t="shared" si="5"/>
        <v>4927.1935483870966</v>
      </c>
      <c r="P11" s="203">
        <f>SUM(N11)</f>
        <v>229</v>
      </c>
      <c r="Q11" s="203">
        <f t="shared" si="6"/>
        <v>4927.1935483870966</v>
      </c>
      <c r="R11" s="203">
        <f>SUM(P11)</f>
        <v>229</v>
      </c>
      <c r="S11" s="203">
        <f t="shared" si="7"/>
        <v>4927.1935483870966</v>
      </c>
      <c r="T11" s="203">
        <f>SUM(R11)</f>
        <v>229</v>
      </c>
      <c r="U11" s="203">
        <f t="shared" si="8"/>
        <v>4927.1935483870966</v>
      </c>
      <c r="V11" s="203">
        <f>SUM(T11)</f>
        <v>229</v>
      </c>
      <c r="W11" s="203">
        <f t="shared" si="9"/>
        <v>4927.1935483870966</v>
      </c>
      <c r="X11" s="35">
        <f>SUM(Y11/73370)</f>
        <v>0.738709677419355</v>
      </c>
      <c r="Y11" s="36">
        <f>SUM(C11+E11+G11+I11+K11+M11+O11+Q11+S11+U11+W11)</f>
        <v>54199.129032258075</v>
      </c>
      <c r="Z11" s="203">
        <f>'B5'!C10</f>
        <v>239</v>
      </c>
      <c r="AA11" s="203">
        <f t="shared" si="30"/>
        <v>2390</v>
      </c>
      <c r="AB11" s="203">
        <f>SUM(Z11)</f>
        <v>239</v>
      </c>
      <c r="AC11" s="203">
        <f t="shared" si="30"/>
        <v>2390</v>
      </c>
      <c r="AD11" s="203">
        <f>SUM(AB11)</f>
        <v>239</v>
      </c>
      <c r="AE11" s="203">
        <f t="shared" si="11"/>
        <v>2390</v>
      </c>
      <c r="AF11" s="203">
        <f>SUM(AD11)</f>
        <v>239</v>
      </c>
      <c r="AG11" s="203">
        <f t="shared" si="12"/>
        <v>2390</v>
      </c>
      <c r="AH11" s="203">
        <f>SUM(AF11)</f>
        <v>239</v>
      </c>
      <c r="AI11" s="203">
        <f t="shared" si="13"/>
        <v>2390</v>
      </c>
      <c r="AJ11" s="203">
        <f>SUM(AH11)</f>
        <v>239</v>
      </c>
      <c r="AK11" s="203">
        <f t="shared" si="14"/>
        <v>2390</v>
      </c>
      <c r="AL11" s="203">
        <f>SUM(AJ11)</f>
        <v>239</v>
      </c>
      <c r="AM11" s="203">
        <f t="shared" si="15"/>
        <v>2390</v>
      </c>
      <c r="AN11" s="35">
        <f>SUM(AO11/19600)</f>
        <v>0.85357142857142854</v>
      </c>
      <c r="AO11" s="36">
        <f t="shared" si="41"/>
        <v>16730</v>
      </c>
      <c r="AP11" s="525"/>
      <c r="AQ11" s="223">
        <f t="shared" si="37"/>
        <v>0.76292491160867026</v>
      </c>
      <c r="AR11" s="38">
        <f t="shared" si="38"/>
        <v>70929.129032258075</v>
      </c>
      <c r="AS11" s="197">
        <f t="shared" si="42"/>
        <v>-1796.7419354838494</v>
      </c>
      <c r="AT11" s="340"/>
      <c r="AU11" s="549"/>
      <c r="AV11" s="485">
        <f>IF(AT11&gt;0,AU11,AV10)</f>
        <v>0.63400000000000001</v>
      </c>
      <c r="AW11" s="279">
        <f>-SUM('B5'!AI10)</f>
        <v>-110</v>
      </c>
      <c r="AX11" s="279">
        <f t="shared" si="17"/>
        <v>-1686.7419354838494</v>
      </c>
      <c r="AY11" s="37">
        <f t="shared" si="39"/>
        <v>-1796.7419354838494</v>
      </c>
      <c r="AZ11" s="100">
        <f>ELEC!A9</f>
        <v>0</v>
      </c>
      <c r="BA11" s="118">
        <f>'General information '!D10</f>
        <v>19</v>
      </c>
      <c r="BB11" s="378">
        <f>SUM('General information '!E10)</f>
        <v>0.59</v>
      </c>
      <c r="BC11" s="3">
        <f t="shared" si="44"/>
        <v>0</v>
      </c>
      <c r="BD11" s="102">
        <v>19222</v>
      </c>
      <c r="BE11" s="14">
        <f>(305/1185)*ELEC!Q10</f>
        <v>1349.7215189870274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-181.37010058967542</v>
      </c>
      <c r="BK11" s="538">
        <f>GEN!AF8</f>
        <v>0.34229166666667277</v>
      </c>
    </row>
    <row r="12" spans="1:63">
      <c r="A12" s="425">
        <f>ELEC!C10</f>
        <v>44537</v>
      </c>
      <c r="B12">
        <f>'B5'!B11</f>
        <v>221</v>
      </c>
      <c r="C12" s="203">
        <f t="shared" si="18"/>
        <v>4755.0645161290322</v>
      </c>
      <c r="D12">
        <f t="shared" si="19"/>
        <v>221</v>
      </c>
      <c r="E12" s="203">
        <f t="shared" si="18"/>
        <v>4755.0645161290322</v>
      </c>
      <c r="F12">
        <f t="shared" si="20"/>
        <v>221</v>
      </c>
      <c r="G12" s="203">
        <f t="shared" si="1"/>
        <v>4755.0645161290322</v>
      </c>
      <c r="H12" s="203">
        <f t="shared" si="21"/>
        <v>221</v>
      </c>
      <c r="I12" s="203">
        <f t="shared" si="2"/>
        <v>4755.0645161290322</v>
      </c>
      <c r="J12" s="203">
        <f t="shared" si="22"/>
        <v>221</v>
      </c>
      <c r="K12" s="203">
        <f t="shared" si="3"/>
        <v>4755.0645161290322</v>
      </c>
      <c r="L12" s="203">
        <f t="shared" si="23"/>
        <v>221</v>
      </c>
      <c r="M12" s="203">
        <f t="shared" si="4"/>
        <v>4755.0645161290322</v>
      </c>
      <c r="N12" s="203">
        <f t="shared" si="24"/>
        <v>221</v>
      </c>
      <c r="O12" s="203">
        <f t="shared" si="5"/>
        <v>4755.0645161290322</v>
      </c>
      <c r="P12" s="203">
        <f t="shared" si="25"/>
        <v>221</v>
      </c>
      <c r="Q12" s="203">
        <f t="shared" si="6"/>
        <v>4755.0645161290322</v>
      </c>
      <c r="R12" s="203">
        <f t="shared" si="26"/>
        <v>221</v>
      </c>
      <c r="S12" s="203">
        <f t="shared" si="7"/>
        <v>4755.0645161290322</v>
      </c>
      <c r="T12" s="203">
        <f t="shared" si="27"/>
        <v>221</v>
      </c>
      <c r="U12" s="203">
        <f t="shared" si="8"/>
        <v>4755.0645161290322</v>
      </c>
      <c r="V12" s="203">
        <f t="shared" si="28"/>
        <v>221</v>
      </c>
      <c r="W12" s="203">
        <f t="shared" si="9"/>
        <v>4755.0645161290322</v>
      </c>
      <c r="X12" s="35">
        <f t="shared" si="10"/>
        <v>0.71290322580645138</v>
      </c>
      <c r="Y12" s="36">
        <f t="shared" si="29"/>
        <v>52305.709677419341</v>
      </c>
      <c r="Z12" s="203">
        <f>'B5'!C11</f>
        <v>226</v>
      </c>
      <c r="AA12" s="203">
        <f t="shared" si="30"/>
        <v>2260</v>
      </c>
      <c r="AB12" s="203">
        <f t="shared" si="31"/>
        <v>226</v>
      </c>
      <c r="AC12" s="203">
        <f t="shared" si="30"/>
        <v>2260</v>
      </c>
      <c r="AD12" s="203">
        <f t="shared" si="32"/>
        <v>226</v>
      </c>
      <c r="AE12" s="203">
        <f t="shared" si="11"/>
        <v>2260</v>
      </c>
      <c r="AF12" s="203">
        <f t="shared" si="33"/>
        <v>226</v>
      </c>
      <c r="AG12" s="203">
        <f t="shared" si="12"/>
        <v>2260</v>
      </c>
      <c r="AH12" s="203">
        <f t="shared" si="34"/>
        <v>226</v>
      </c>
      <c r="AI12" s="203">
        <f t="shared" si="13"/>
        <v>2260</v>
      </c>
      <c r="AJ12" s="203">
        <f t="shared" si="35"/>
        <v>226</v>
      </c>
      <c r="AK12" s="203">
        <f t="shared" si="14"/>
        <v>2260</v>
      </c>
      <c r="AL12" s="203">
        <f t="shared" si="36"/>
        <v>226</v>
      </c>
      <c r="AM12" s="203">
        <f t="shared" si="15"/>
        <v>2260</v>
      </c>
      <c r="AN12" s="35">
        <f t="shared" si="16"/>
        <v>0.80714285714285716</v>
      </c>
      <c r="AO12" s="36">
        <f t="shared" si="41"/>
        <v>15820</v>
      </c>
      <c r="AP12" s="525"/>
      <c r="AQ12" s="223">
        <f t="shared" si="37"/>
        <v>0.73277089036699294</v>
      </c>
      <c r="AR12" s="38">
        <f t="shared" si="38"/>
        <v>68125.709677419334</v>
      </c>
      <c r="AS12" s="197">
        <f t="shared" si="42"/>
        <v>-2803.4193548387411</v>
      </c>
      <c r="AT12" s="340"/>
      <c r="AU12" s="549"/>
      <c r="AV12" s="485">
        <f t="shared" si="43"/>
        <v>0.63400000000000001</v>
      </c>
      <c r="AW12" s="279">
        <f>-SUM('B5'!AI11)</f>
        <v>-119</v>
      </c>
      <c r="AX12" s="279">
        <f t="shared" si="17"/>
        <v>-2684.4193548387411</v>
      </c>
      <c r="AY12" s="37">
        <f t="shared" si="39"/>
        <v>-2803.4193548387411</v>
      </c>
      <c r="AZ12" s="100">
        <f>ELEC!A10</f>
        <v>0</v>
      </c>
      <c r="BA12" s="118">
        <f>'General information '!D11</f>
        <v>19.5</v>
      </c>
      <c r="BB12" s="378">
        <f>SUM('General information '!E11)</f>
        <v>0.44</v>
      </c>
      <c r="BC12" s="3">
        <f t="shared" si="44"/>
        <v>0</v>
      </c>
      <c r="BD12" s="102">
        <v>19222</v>
      </c>
      <c r="BE12" s="14">
        <f>(305/1185)*ELEC!Q11</f>
        <v>1534.7805907172324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-725.5187445508684</v>
      </c>
      <c r="BK12" s="538">
        <f>GEN!AF9</f>
        <v>0.3277499999999236</v>
      </c>
    </row>
    <row r="13" spans="1:63">
      <c r="A13" s="425">
        <f>ELEC!C11</f>
        <v>44538</v>
      </c>
      <c r="B13">
        <f>'B5'!B12</f>
        <v>214</v>
      </c>
      <c r="C13" s="203">
        <f t="shared" si="18"/>
        <v>4604.4516129032254</v>
      </c>
      <c r="D13">
        <f t="shared" si="19"/>
        <v>214</v>
      </c>
      <c r="E13" s="203">
        <f t="shared" si="18"/>
        <v>4604.4516129032254</v>
      </c>
      <c r="F13">
        <f t="shared" si="20"/>
        <v>214</v>
      </c>
      <c r="G13" s="203">
        <f t="shared" si="1"/>
        <v>4604.4516129032254</v>
      </c>
      <c r="H13" s="203">
        <f t="shared" si="21"/>
        <v>214</v>
      </c>
      <c r="I13" s="203">
        <f t="shared" si="2"/>
        <v>4604.4516129032254</v>
      </c>
      <c r="J13" s="203">
        <f t="shared" si="22"/>
        <v>214</v>
      </c>
      <c r="K13" s="203">
        <f t="shared" si="3"/>
        <v>4604.4516129032254</v>
      </c>
      <c r="L13" s="203">
        <f t="shared" si="23"/>
        <v>214</v>
      </c>
      <c r="M13" s="203">
        <f t="shared" si="4"/>
        <v>4604.4516129032254</v>
      </c>
      <c r="N13" s="203">
        <f t="shared" si="24"/>
        <v>214</v>
      </c>
      <c r="O13" s="203">
        <f t="shared" si="5"/>
        <v>4604.4516129032254</v>
      </c>
      <c r="P13" s="203">
        <f t="shared" si="25"/>
        <v>214</v>
      </c>
      <c r="Q13" s="203">
        <f t="shared" si="6"/>
        <v>4604.4516129032254</v>
      </c>
      <c r="R13" s="203">
        <f t="shared" si="26"/>
        <v>214</v>
      </c>
      <c r="S13" s="203">
        <f t="shared" si="7"/>
        <v>4604.4516129032254</v>
      </c>
      <c r="T13" s="203">
        <f t="shared" si="27"/>
        <v>214</v>
      </c>
      <c r="U13" s="203">
        <f t="shared" si="8"/>
        <v>4604.4516129032254</v>
      </c>
      <c r="V13" s="203">
        <f t="shared" si="28"/>
        <v>214</v>
      </c>
      <c r="W13" s="203">
        <f t="shared" si="9"/>
        <v>4604.4516129032254</v>
      </c>
      <c r="X13" s="35">
        <f t="shared" si="10"/>
        <v>0.69032258064516139</v>
      </c>
      <c r="Y13" s="36">
        <f t="shared" si="29"/>
        <v>50648.967741935492</v>
      </c>
      <c r="Z13" s="203">
        <f>'B5'!C12</f>
        <v>221</v>
      </c>
      <c r="AA13" s="203">
        <f t="shared" si="30"/>
        <v>2210</v>
      </c>
      <c r="AB13" s="203">
        <f t="shared" si="31"/>
        <v>221</v>
      </c>
      <c r="AC13" s="203">
        <f t="shared" si="30"/>
        <v>2210</v>
      </c>
      <c r="AD13" s="203">
        <f t="shared" si="32"/>
        <v>221</v>
      </c>
      <c r="AE13" s="203">
        <f t="shared" si="11"/>
        <v>2210</v>
      </c>
      <c r="AF13" s="203">
        <f t="shared" si="33"/>
        <v>221</v>
      </c>
      <c r="AG13" s="203">
        <f t="shared" si="12"/>
        <v>2210</v>
      </c>
      <c r="AH13" s="203">
        <f t="shared" si="34"/>
        <v>221</v>
      </c>
      <c r="AI13" s="203">
        <f t="shared" si="13"/>
        <v>2210</v>
      </c>
      <c r="AJ13" s="203">
        <f t="shared" si="35"/>
        <v>221</v>
      </c>
      <c r="AK13" s="203">
        <f t="shared" si="14"/>
        <v>2210</v>
      </c>
      <c r="AL13" s="203">
        <f t="shared" si="36"/>
        <v>221</v>
      </c>
      <c r="AM13" s="203">
        <f t="shared" si="15"/>
        <v>2210</v>
      </c>
      <c r="AN13" s="35">
        <f t="shared" si="16"/>
        <v>0.78928571428571426</v>
      </c>
      <c r="AO13" s="36">
        <f t="shared" si="41"/>
        <v>15470</v>
      </c>
      <c r="AP13" s="525"/>
      <c r="AQ13" s="223">
        <f t="shared" si="37"/>
        <v>0.71118605724357842</v>
      </c>
      <c r="AR13" s="38">
        <f t="shared" si="38"/>
        <v>66118.967741935485</v>
      </c>
      <c r="AS13" s="197">
        <f t="shared" si="42"/>
        <v>-2006.7419354838494</v>
      </c>
      <c r="AT13" s="340"/>
      <c r="AU13" s="549"/>
      <c r="AV13" s="485">
        <f t="shared" si="43"/>
        <v>0.63400000000000001</v>
      </c>
      <c r="AW13" s="279">
        <f>-SUM('B5'!AI12)</f>
        <v>0</v>
      </c>
      <c r="AX13" s="279">
        <f t="shared" si="17"/>
        <v>-2006.7419354838494</v>
      </c>
      <c r="AY13" s="37">
        <f t="shared" si="39"/>
        <v>-2006.7419354838494</v>
      </c>
      <c r="AZ13" s="100">
        <f>ELEC!A11</f>
        <v>0</v>
      </c>
      <c r="BA13" s="118">
        <f>'General information '!D12</f>
        <v>16.5</v>
      </c>
      <c r="BB13" s="378">
        <f>SUM('General information '!E12)</f>
        <v>0.63</v>
      </c>
      <c r="BC13" s="3">
        <f t="shared" si="44"/>
        <v>0</v>
      </c>
      <c r="BD13" s="102">
        <v>19222</v>
      </c>
      <c r="BE13" s="14">
        <f>(305/1185)*ELEC!Q12</f>
        <v>1244.7088607602579</v>
      </c>
      <c r="BF13" s="14"/>
      <c r="BG13" s="14" t="e">
        <f>#REF!-BE13</f>
        <v>#REF!</v>
      </c>
      <c r="BH13" s="11"/>
      <c r="BI13">
        <v>5</v>
      </c>
      <c r="BJ13">
        <f t="shared" si="40"/>
        <v>-401.3483870967699</v>
      </c>
      <c r="BK13" s="538">
        <f>GEN!AF10</f>
        <v>0.3388068181818033</v>
      </c>
    </row>
    <row r="14" spans="1:63">
      <c r="A14" s="425">
        <f>ELEC!C12</f>
        <v>44539</v>
      </c>
      <c r="B14">
        <f>'B5'!B13</f>
        <v>207</v>
      </c>
      <c r="C14" s="203">
        <f t="shared" si="18"/>
        <v>4453.8387096774195</v>
      </c>
      <c r="D14">
        <f t="shared" si="19"/>
        <v>207</v>
      </c>
      <c r="E14" s="203">
        <f t="shared" si="18"/>
        <v>4453.8387096774195</v>
      </c>
      <c r="F14">
        <f t="shared" si="20"/>
        <v>207</v>
      </c>
      <c r="G14" s="203">
        <f t="shared" si="1"/>
        <v>4453.8387096774195</v>
      </c>
      <c r="H14" s="203">
        <f t="shared" si="21"/>
        <v>207</v>
      </c>
      <c r="I14" s="203">
        <f t="shared" si="2"/>
        <v>4453.8387096774195</v>
      </c>
      <c r="J14" s="203">
        <f t="shared" si="22"/>
        <v>207</v>
      </c>
      <c r="K14" s="203">
        <f t="shared" si="3"/>
        <v>4453.8387096774195</v>
      </c>
      <c r="L14" s="203">
        <f t="shared" si="23"/>
        <v>207</v>
      </c>
      <c r="M14" s="203">
        <f t="shared" si="4"/>
        <v>4453.8387096774195</v>
      </c>
      <c r="N14" s="203">
        <f t="shared" si="24"/>
        <v>207</v>
      </c>
      <c r="O14" s="203">
        <f t="shared" si="5"/>
        <v>4453.8387096774195</v>
      </c>
      <c r="P14" s="203">
        <f t="shared" si="25"/>
        <v>207</v>
      </c>
      <c r="Q14" s="203">
        <f t="shared" si="6"/>
        <v>4453.8387096774195</v>
      </c>
      <c r="R14" s="203">
        <f t="shared" si="26"/>
        <v>207</v>
      </c>
      <c r="S14" s="203">
        <f t="shared" si="7"/>
        <v>4453.8387096774195</v>
      </c>
      <c r="T14" s="203">
        <f t="shared" si="27"/>
        <v>207</v>
      </c>
      <c r="U14" s="203">
        <f t="shared" si="8"/>
        <v>4453.8387096774195</v>
      </c>
      <c r="V14" s="203">
        <f t="shared" si="28"/>
        <v>207</v>
      </c>
      <c r="W14" s="203">
        <f t="shared" si="9"/>
        <v>4453.8387096774195</v>
      </c>
      <c r="X14" s="35">
        <f t="shared" si="10"/>
        <v>0.66774193548387084</v>
      </c>
      <c r="Y14" s="36">
        <f t="shared" si="29"/>
        <v>48992.225806451606</v>
      </c>
      <c r="Z14" s="203">
        <f>'B5'!C13</f>
        <v>214</v>
      </c>
      <c r="AA14" s="203">
        <f t="shared" si="30"/>
        <v>2140</v>
      </c>
      <c r="AB14" s="203">
        <f t="shared" si="31"/>
        <v>214</v>
      </c>
      <c r="AC14" s="203">
        <f t="shared" si="30"/>
        <v>2140</v>
      </c>
      <c r="AD14" s="203">
        <f t="shared" si="32"/>
        <v>214</v>
      </c>
      <c r="AE14" s="203">
        <f t="shared" si="11"/>
        <v>2140</v>
      </c>
      <c r="AF14" s="203">
        <f t="shared" si="33"/>
        <v>214</v>
      </c>
      <c r="AG14" s="203">
        <f t="shared" si="12"/>
        <v>2140</v>
      </c>
      <c r="AH14" s="203">
        <f t="shared" si="34"/>
        <v>214</v>
      </c>
      <c r="AI14" s="203">
        <f t="shared" si="13"/>
        <v>2140</v>
      </c>
      <c r="AJ14" s="203">
        <f t="shared" si="35"/>
        <v>214</v>
      </c>
      <c r="AK14" s="203">
        <f t="shared" si="14"/>
        <v>2140</v>
      </c>
      <c r="AL14" s="203">
        <f t="shared" si="36"/>
        <v>214</v>
      </c>
      <c r="AM14" s="203">
        <f t="shared" si="15"/>
        <v>2140</v>
      </c>
      <c r="AN14" s="35">
        <f t="shared" si="16"/>
        <v>0.76428571428571423</v>
      </c>
      <c r="AO14" s="36">
        <f t="shared" si="41"/>
        <v>14980</v>
      </c>
      <c r="AQ14" s="223">
        <f t="shared" si="37"/>
        <v>0.68809536201410781</v>
      </c>
      <c r="AR14" s="38">
        <f t="shared" si="38"/>
        <v>63972.225806451606</v>
      </c>
      <c r="AS14" s="197">
        <f t="shared" si="42"/>
        <v>-2146.7419354838785</v>
      </c>
      <c r="AT14" s="340"/>
      <c r="AU14" s="549"/>
      <c r="AV14" s="485">
        <f t="shared" si="43"/>
        <v>0.63400000000000001</v>
      </c>
      <c r="AW14" s="279">
        <f>-SUM('B5'!AI13)</f>
        <v>0</v>
      </c>
      <c r="AX14" s="279">
        <f t="shared" si="17"/>
        <v>-2146.7419354838785</v>
      </c>
      <c r="AY14" s="37">
        <f t="shared" si="39"/>
        <v>-2146.7419354838785</v>
      </c>
      <c r="AZ14" s="100">
        <f>ELEC!A12</f>
        <v>0</v>
      </c>
      <c r="BA14" s="118">
        <f>'General information '!D13</f>
        <v>17</v>
      </c>
      <c r="BB14" s="378">
        <f>SUM('General information '!E13)</f>
        <v>0.73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0"/>
        <v>-715.58064516129286</v>
      </c>
      <c r="BK14" s="538">
        <f>GEN!AF11</f>
        <v>0.33583333333353949</v>
      </c>
    </row>
    <row r="15" spans="1:63" ht="13.5" customHeight="1">
      <c r="A15" s="425">
        <f>ELEC!C13</f>
        <v>44540</v>
      </c>
      <c r="B15">
        <f>'B5'!B14</f>
        <v>207</v>
      </c>
      <c r="C15" s="203">
        <f>B15*$B$4</f>
        <v>4453.8387096774195</v>
      </c>
      <c r="D15">
        <f t="shared" si="19"/>
        <v>207</v>
      </c>
      <c r="E15" s="203">
        <f t="shared" si="18"/>
        <v>4453.8387096774195</v>
      </c>
      <c r="F15">
        <f t="shared" si="20"/>
        <v>207</v>
      </c>
      <c r="G15" s="203">
        <f t="shared" si="1"/>
        <v>4453.8387096774195</v>
      </c>
      <c r="H15" s="203">
        <f t="shared" si="21"/>
        <v>207</v>
      </c>
      <c r="I15" s="203">
        <f t="shared" si="2"/>
        <v>4453.8387096774195</v>
      </c>
      <c r="J15" s="203">
        <f t="shared" si="22"/>
        <v>207</v>
      </c>
      <c r="K15" s="203">
        <f t="shared" si="3"/>
        <v>4453.8387096774195</v>
      </c>
      <c r="L15" s="203">
        <f t="shared" si="23"/>
        <v>207</v>
      </c>
      <c r="M15" s="203">
        <f t="shared" si="4"/>
        <v>4453.8387096774195</v>
      </c>
      <c r="N15" s="203">
        <f t="shared" si="24"/>
        <v>207</v>
      </c>
      <c r="O15" s="203">
        <f t="shared" si="5"/>
        <v>4453.8387096774195</v>
      </c>
      <c r="P15" s="203">
        <f t="shared" si="25"/>
        <v>207</v>
      </c>
      <c r="Q15" s="203">
        <f t="shared" si="6"/>
        <v>4453.8387096774195</v>
      </c>
      <c r="R15" s="203">
        <f t="shared" si="26"/>
        <v>207</v>
      </c>
      <c r="S15" s="203">
        <f t="shared" si="7"/>
        <v>4453.8387096774195</v>
      </c>
      <c r="T15" s="203">
        <f t="shared" si="27"/>
        <v>207</v>
      </c>
      <c r="U15" s="203">
        <f t="shared" si="8"/>
        <v>4453.8387096774195</v>
      </c>
      <c r="V15" s="203">
        <f t="shared" si="28"/>
        <v>207</v>
      </c>
      <c r="W15" s="203">
        <f t="shared" si="9"/>
        <v>4453.8387096774195</v>
      </c>
      <c r="X15" s="35">
        <f t="shared" si="10"/>
        <v>0.66774193548387084</v>
      </c>
      <c r="Y15" s="36">
        <f t="shared" si="29"/>
        <v>48992.225806451606</v>
      </c>
      <c r="Z15" s="203">
        <f>'B5'!C14</f>
        <v>214</v>
      </c>
      <c r="AA15" s="203">
        <f t="shared" si="30"/>
        <v>2140</v>
      </c>
      <c r="AB15" s="203">
        <f t="shared" si="31"/>
        <v>214</v>
      </c>
      <c r="AC15" s="203">
        <f t="shared" si="30"/>
        <v>2140</v>
      </c>
      <c r="AD15" s="203">
        <f t="shared" si="32"/>
        <v>214</v>
      </c>
      <c r="AE15" s="203">
        <f t="shared" si="11"/>
        <v>2140</v>
      </c>
      <c r="AF15" s="203">
        <f t="shared" si="33"/>
        <v>214</v>
      </c>
      <c r="AG15" s="203">
        <f t="shared" si="12"/>
        <v>2140</v>
      </c>
      <c r="AH15" s="203">
        <f t="shared" si="34"/>
        <v>214</v>
      </c>
      <c r="AI15" s="203">
        <f t="shared" si="13"/>
        <v>2140</v>
      </c>
      <c r="AJ15" s="203">
        <f t="shared" si="35"/>
        <v>214</v>
      </c>
      <c r="AK15" s="203">
        <f t="shared" si="14"/>
        <v>2140</v>
      </c>
      <c r="AL15" s="203">
        <f t="shared" si="36"/>
        <v>214</v>
      </c>
      <c r="AM15" s="203">
        <f t="shared" si="15"/>
        <v>2140</v>
      </c>
      <c r="AN15" s="35">
        <f t="shared" si="16"/>
        <v>0.76428571428571423</v>
      </c>
      <c r="AO15" s="36">
        <f t="shared" si="41"/>
        <v>14980</v>
      </c>
      <c r="AQ15" s="223">
        <f t="shared" si="37"/>
        <v>0.68809536201410781</v>
      </c>
      <c r="AR15" s="38">
        <f t="shared" si="38"/>
        <v>63972.225806451606</v>
      </c>
      <c r="AS15" s="197">
        <f t="shared" si="42"/>
        <v>0</v>
      </c>
      <c r="AT15" s="340"/>
      <c r="AU15" s="549"/>
      <c r="AV15" s="485">
        <f>IF(AT15&gt;0,AU15,AV14)</f>
        <v>0.63400000000000001</v>
      </c>
      <c r="AW15" s="279">
        <f>-SUM('B5'!AI14)</f>
        <v>0</v>
      </c>
      <c r="AX15" s="279">
        <f t="shared" si="17"/>
        <v>0</v>
      </c>
      <c r="AY15" s="37">
        <f t="shared" si="39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0"/>
        <v>0</v>
      </c>
      <c r="BK15" s="538" t="e">
        <f>GEN!AF12</f>
        <v>#DIV/0!</v>
      </c>
    </row>
    <row r="16" spans="1:63">
      <c r="A16" s="425">
        <f>ELEC!C14</f>
        <v>44541</v>
      </c>
      <c r="B16">
        <f>'B5'!B15</f>
        <v>207</v>
      </c>
      <c r="C16" s="203">
        <f t="shared" si="18"/>
        <v>4453.8387096774195</v>
      </c>
      <c r="D16">
        <f t="shared" si="19"/>
        <v>207</v>
      </c>
      <c r="E16" s="203">
        <f t="shared" si="18"/>
        <v>4453.8387096774195</v>
      </c>
      <c r="F16">
        <f t="shared" si="20"/>
        <v>207</v>
      </c>
      <c r="G16" s="203">
        <f t="shared" si="1"/>
        <v>4453.8387096774195</v>
      </c>
      <c r="H16" s="203">
        <f t="shared" si="21"/>
        <v>207</v>
      </c>
      <c r="I16" s="203">
        <f t="shared" si="2"/>
        <v>4453.8387096774195</v>
      </c>
      <c r="J16" s="203">
        <f t="shared" si="22"/>
        <v>207</v>
      </c>
      <c r="K16" s="203">
        <f t="shared" si="3"/>
        <v>4453.8387096774195</v>
      </c>
      <c r="L16" s="203">
        <f t="shared" si="23"/>
        <v>207</v>
      </c>
      <c r="M16" s="203">
        <f t="shared" si="4"/>
        <v>4453.8387096774195</v>
      </c>
      <c r="N16" s="203">
        <f t="shared" si="24"/>
        <v>207</v>
      </c>
      <c r="O16" s="203">
        <f t="shared" si="5"/>
        <v>4453.8387096774195</v>
      </c>
      <c r="P16" s="203">
        <f t="shared" si="25"/>
        <v>207</v>
      </c>
      <c r="Q16" s="203">
        <f t="shared" si="6"/>
        <v>4453.8387096774195</v>
      </c>
      <c r="R16" s="203">
        <f t="shared" si="26"/>
        <v>207</v>
      </c>
      <c r="S16" s="203">
        <f t="shared" si="7"/>
        <v>4453.8387096774195</v>
      </c>
      <c r="T16" s="203">
        <f t="shared" si="27"/>
        <v>207</v>
      </c>
      <c r="U16" s="203">
        <f t="shared" si="8"/>
        <v>4453.8387096774195</v>
      </c>
      <c r="V16" s="203">
        <f t="shared" si="28"/>
        <v>207</v>
      </c>
      <c r="W16" s="203">
        <f t="shared" si="9"/>
        <v>4453.8387096774195</v>
      </c>
      <c r="X16" s="35">
        <f t="shared" si="10"/>
        <v>0.66774193548387084</v>
      </c>
      <c r="Y16" s="36">
        <f t="shared" si="29"/>
        <v>48992.225806451606</v>
      </c>
      <c r="Z16" s="203">
        <f>'B5'!C15</f>
        <v>214</v>
      </c>
      <c r="AA16" s="203">
        <f t="shared" si="30"/>
        <v>2140</v>
      </c>
      <c r="AB16" s="203">
        <f t="shared" si="31"/>
        <v>214</v>
      </c>
      <c r="AC16" s="203">
        <f t="shared" si="30"/>
        <v>2140</v>
      </c>
      <c r="AD16" s="203">
        <f t="shared" si="32"/>
        <v>214</v>
      </c>
      <c r="AE16" s="203">
        <f t="shared" si="11"/>
        <v>2140</v>
      </c>
      <c r="AF16" s="203">
        <f t="shared" si="33"/>
        <v>214</v>
      </c>
      <c r="AG16" s="203">
        <f t="shared" si="12"/>
        <v>2140</v>
      </c>
      <c r="AH16" s="203">
        <f t="shared" si="34"/>
        <v>214</v>
      </c>
      <c r="AI16" s="203">
        <f t="shared" si="13"/>
        <v>2140</v>
      </c>
      <c r="AJ16" s="203">
        <f t="shared" si="35"/>
        <v>214</v>
      </c>
      <c r="AK16" s="203">
        <f t="shared" si="14"/>
        <v>2140</v>
      </c>
      <c r="AL16" s="203">
        <f t="shared" si="36"/>
        <v>214</v>
      </c>
      <c r="AM16" s="203">
        <f t="shared" si="15"/>
        <v>2140</v>
      </c>
      <c r="AN16" s="35">
        <f t="shared" si="16"/>
        <v>0.76428571428571423</v>
      </c>
      <c r="AO16" s="36">
        <f t="shared" si="41"/>
        <v>14980</v>
      </c>
      <c r="AQ16" s="223">
        <f t="shared" si="37"/>
        <v>0.68809536201410781</v>
      </c>
      <c r="AR16" s="38">
        <f t="shared" si="38"/>
        <v>63972.225806451606</v>
      </c>
      <c r="AS16" s="197">
        <f t="shared" si="42"/>
        <v>0</v>
      </c>
      <c r="AT16" s="340"/>
      <c r="AU16" s="549"/>
      <c r="AV16" s="485">
        <f t="shared" ref="AV16:AV21" si="45">IF(AT16&gt;0,AU16,AV15)</f>
        <v>0.63400000000000001</v>
      </c>
      <c r="AW16" s="279">
        <f>-SUM('B5'!AI15)</f>
        <v>0</v>
      </c>
      <c r="AX16" s="279">
        <f t="shared" si="17"/>
        <v>0</v>
      </c>
      <c r="AY16" s="37">
        <f t="shared" si="39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1730.1350210965147</v>
      </c>
      <c r="BF16" s="14"/>
      <c r="BG16" s="14" t="e">
        <f>#REF!-BE16</f>
        <v>#REF!</v>
      </c>
      <c r="BH16" s="11"/>
      <c r="BI16">
        <v>3</v>
      </c>
      <c r="BJ16">
        <f t="shared" si="40"/>
        <v>0</v>
      </c>
      <c r="BK16" s="538" t="e">
        <f>GEN!AF13</f>
        <v>#DIV/0!</v>
      </c>
    </row>
    <row r="17" spans="1:64">
      <c r="A17" s="425">
        <f>ELEC!C15</f>
        <v>44542</v>
      </c>
      <c r="B17">
        <f>'B5'!B16</f>
        <v>202</v>
      </c>
      <c r="C17" s="203">
        <f t="shared" si="18"/>
        <v>4346.2580645161288</v>
      </c>
      <c r="D17">
        <f t="shared" si="19"/>
        <v>202</v>
      </c>
      <c r="E17" s="203">
        <f t="shared" si="18"/>
        <v>4346.2580645161288</v>
      </c>
      <c r="F17">
        <f t="shared" si="20"/>
        <v>202</v>
      </c>
      <c r="G17" s="203">
        <f t="shared" si="1"/>
        <v>4346.2580645161288</v>
      </c>
      <c r="H17" s="203">
        <f t="shared" si="21"/>
        <v>202</v>
      </c>
      <c r="I17" s="203">
        <f t="shared" si="2"/>
        <v>4346.2580645161288</v>
      </c>
      <c r="J17" s="203">
        <f t="shared" si="22"/>
        <v>202</v>
      </c>
      <c r="K17" s="203">
        <f t="shared" si="3"/>
        <v>4346.2580645161288</v>
      </c>
      <c r="L17" s="203">
        <f t="shared" si="23"/>
        <v>202</v>
      </c>
      <c r="M17" s="203">
        <f t="shared" si="4"/>
        <v>4346.2580645161288</v>
      </c>
      <c r="N17" s="203">
        <f t="shared" si="24"/>
        <v>202</v>
      </c>
      <c r="O17" s="203">
        <f t="shared" si="5"/>
        <v>4346.2580645161288</v>
      </c>
      <c r="P17" s="203">
        <f t="shared" si="25"/>
        <v>202</v>
      </c>
      <c r="Q17" s="203">
        <f t="shared" si="6"/>
        <v>4346.2580645161288</v>
      </c>
      <c r="R17" s="203">
        <f t="shared" si="26"/>
        <v>202</v>
      </c>
      <c r="S17" s="203">
        <f t="shared" si="7"/>
        <v>4346.2580645161288</v>
      </c>
      <c r="T17" s="203">
        <f t="shared" si="27"/>
        <v>202</v>
      </c>
      <c r="U17" s="203">
        <f t="shared" si="8"/>
        <v>4346.2580645161288</v>
      </c>
      <c r="V17" s="203">
        <f t="shared" si="28"/>
        <v>202</v>
      </c>
      <c r="W17" s="203">
        <f t="shared" si="9"/>
        <v>4346.2580645161288</v>
      </c>
      <c r="X17" s="35">
        <f t="shared" si="10"/>
        <v>0.65161290322580645</v>
      </c>
      <c r="Y17" s="36">
        <f t="shared" si="29"/>
        <v>47808.838709677417</v>
      </c>
      <c r="Z17" s="203">
        <f>'B5'!C16</f>
        <v>208</v>
      </c>
      <c r="AA17" s="203">
        <f t="shared" si="30"/>
        <v>2080</v>
      </c>
      <c r="AB17" s="203">
        <f t="shared" si="31"/>
        <v>208</v>
      </c>
      <c r="AC17" s="203">
        <f t="shared" si="30"/>
        <v>2080</v>
      </c>
      <c r="AD17" s="203">
        <f t="shared" si="32"/>
        <v>208</v>
      </c>
      <c r="AE17" s="203">
        <f t="shared" si="11"/>
        <v>2080</v>
      </c>
      <c r="AF17" s="203">
        <f t="shared" si="33"/>
        <v>208</v>
      </c>
      <c r="AG17" s="203">
        <f t="shared" si="12"/>
        <v>2080</v>
      </c>
      <c r="AH17" s="203">
        <f t="shared" si="34"/>
        <v>208</v>
      </c>
      <c r="AI17" s="203">
        <f t="shared" si="13"/>
        <v>2080</v>
      </c>
      <c r="AJ17" s="203">
        <f t="shared" si="35"/>
        <v>208</v>
      </c>
      <c r="AK17" s="203">
        <f t="shared" si="14"/>
        <v>2080</v>
      </c>
      <c r="AL17" s="203">
        <f t="shared" si="36"/>
        <v>208</v>
      </c>
      <c r="AM17" s="203">
        <f t="shared" si="15"/>
        <v>2080</v>
      </c>
      <c r="AN17" s="35">
        <f t="shared" si="16"/>
        <v>0.74285714285714288</v>
      </c>
      <c r="AO17" s="36">
        <f>SUM(AA17+AC17+AE17+AG17+AI17+AK17+AM17)</f>
        <v>14560</v>
      </c>
      <c r="AQ17" s="223">
        <f t="shared" si="37"/>
        <v>0.67084907722574394</v>
      </c>
      <c r="AR17" s="38">
        <f t="shared" si="38"/>
        <v>62368.838709677417</v>
      </c>
      <c r="AS17" s="197">
        <f t="shared" si="42"/>
        <v>-1603.3870967741896</v>
      </c>
      <c r="AU17" s="3"/>
      <c r="AV17" s="485">
        <f t="shared" si="45"/>
        <v>0.63400000000000001</v>
      </c>
      <c r="AW17" s="279">
        <f>-SUM('B5'!AI16)</f>
        <v>-118</v>
      </c>
      <c r="AX17" s="279">
        <f t="shared" si="17"/>
        <v>-1485.3870967741896</v>
      </c>
      <c r="AY17" s="37">
        <f t="shared" si="39"/>
        <v>-1603.3870967741896</v>
      </c>
      <c r="AZ17" s="100">
        <f>ELEC!A15</f>
        <v>0</v>
      </c>
      <c r="BA17" s="118">
        <f>'General information '!D16</f>
        <v>18.5</v>
      </c>
      <c r="BB17" s="378">
        <f>SUM('General information '!E16)</f>
        <v>0.54</v>
      </c>
      <c r="BC17" s="3">
        <f t="shared" si="44"/>
        <v>0</v>
      </c>
      <c r="BD17" s="102">
        <v>19222</v>
      </c>
      <c r="BE17" s="14">
        <f>(305/1185)*ELEC!Q16</f>
        <v>1319.0928270042195</v>
      </c>
      <c r="BF17" s="14"/>
      <c r="BG17" s="14" t="e">
        <f>#REF!-BE17</f>
        <v>#REF!</v>
      </c>
      <c r="BH17" s="11"/>
      <c r="BI17">
        <v>4</v>
      </c>
      <c r="BJ17">
        <f t="shared" ref="BJ17:BJ36" si="46">AX17/BI17</f>
        <v>-371.34677419354739</v>
      </c>
      <c r="BK17" s="538">
        <f>GEN!AF14</f>
        <v>0.38193181818170074</v>
      </c>
    </row>
    <row r="18" spans="1:64">
      <c r="A18" s="425">
        <f>ELEC!C16</f>
        <v>44543</v>
      </c>
      <c r="B18">
        <f>'B5'!B17</f>
        <v>195</v>
      </c>
      <c r="C18" s="203">
        <f t="shared" si="18"/>
        <v>4195.6451612903229</v>
      </c>
      <c r="D18">
        <f t="shared" si="19"/>
        <v>195</v>
      </c>
      <c r="E18" s="203">
        <f t="shared" si="18"/>
        <v>4195.6451612903229</v>
      </c>
      <c r="F18">
        <f t="shared" si="20"/>
        <v>195</v>
      </c>
      <c r="G18" s="203">
        <f t="shared" si="1"/>
        <v>4195.6451612903229</v>
      </c>
      <c r="H18" s="203">
        <f t="shared" si="21"/>
        <v>195</v>
      </c>
      <c r="I18" s="203">
        <f t="shared" si="2"/>
        <v>4195.6451612903229</v>
      </c>
      <c r="J18" s="203">
        <f t="shared" si="22"/>
        <v>195</v>
      </c>
      <c r="K18" s="203">
        <f t="shared" si="3"/>
        <v>4195.6451612903229</v>
      </c>
      <c r="L18" s="203">
        <f t="shared" si="23"/>
        <v>195</v>
      </c>
      <c r="M18" s="203">
        <f t="shared" si="4"/>
        <v>4195.6451612903229</v>
      </c>
      <c r="N18" s="203">
        <f t="shared" si="24"/>
        <v>195</v>
      </c>
      <c r="O18" s="203">
        <f t="shared" si="5"/>
        <v>4195.6451612903229</v>
      </c>
      <c r="P18" s="203">
        <f t="shared" si="25"/>
        <v>195</v>
      </c>
      <c r="Q18" s="203">
        <f t="shared" si="6"/>
        <v>4195.6451612903229</v>
      </c>
      <c r="R18" s="203">
        <f t="shared" si="26"/>
        <v>195</v>
      </c>
      <c r="S18" s="203">
        <f t="shared" si="7"/>
        <v>4195.6451612903229</v>
      </c>
      <c r="T18" s="203">
        <f t="shared" si="27"/>
        <v>195</v>
      </c>
      <c r="U18" s="203">
        <f t="shared" si="8"/>
        <v>4195.6451612903229</v>
      </c>
      <c r="V18" s="203">
        <f t="shared" si="28"/>
        <v>195</v>
      </c>
      <c r="W18" s="203">
        <f t="shared" si="9"/>
        <v>4195.6451612903229</v>
      </c>
      <c r="X18" s="35">
        <f t="shared" si="10"/>
        <v>0.62903225806451624</v>
      </c>
      <c r="Y18" s="36">
        <f t="shared" si="29"/>
        <v>46152.09677419356</v>
      </c>
      <c r="Z18" s="203">
        <f>'B5'!C17</f>
        <v>202</v>
      </c>
      <c r="AA18" s="203">
        <f t="shared" si="30"/>
        <v>2020</v>
      </c>
      <c r="AB18" s="203">
        <f t="shared" si="31"/>
        <v>202</v>
      </c>
      <c r="AC18" s="203">
        <f t="shared" si="30"/>
        <v>2020</v>
      </c>
      <c r="AD18" s="203">
        <f t="shared" si="32"/>
        <v>202</v>
      </c>
      <c r="AE18" s="203">
        <f t="shared" si="11"/>
        <v>2020</v>
      </c>
      <c r="AF18" s="203">
        <f t="shared" si="33"/>
        <v>202</v>
      </c>
      <c r="AG18" s="203">
        <f t="shared" si="12"/>
        <v>2020</v>
      </c>
      <c r="AH18" s="203">
        <f t="shared" si="34"/>
        <v>202</v>
      </c>
      <c r="AI18" s="203">
        <f t="shared" si="13"/>
        <v>2020</v>
      </c>
      <c r="AJ18" s="203">
        <f t="shared" si="35"/>
        <v>202</v>
      </c>
      <c r="AK18" s="203">
        <f t="shared" si="14"/>
        <v>2020</v>
      </c>
      <c r="AL18" s="203">
        <f t="shared" si="36"/>
        <v>202</v>
      </c>
      <c r="AM18" s="203">
        <f t="shared" si="15"/>
        <v>2020</v>
      </c>
      <c r="AN18" s="35">
        <f t="shared" si="16"/>
        <v>0.72142857142857142</v>
      </c>
      <c r="AO18" s="36">
        <f t="shared" si="41"/>
        <v>14140</v>
      </c>
      <c r="AQ18" s="223">
        <f t="shared" si="37"/>
        <v>0.64851131304930154</v>
      </c>
      <c r="AR18" s="38">
        <f t="shared" si="38"/>
        <v>60292.09677419356</v>
      </c>
      <c r="AS18" s="197">
        <f>SUM(AR18-AR17-AT18)</f>
        <v>-2076.7419354838567</v>
      </c>
      <c r="AT18" s="340"/>
      <c r="AU18" s="549"/>
      <c r="AV18" s="485">
        <f t="shared" si="45"/>
        <v>0.63400000000000001</v>
      </c>
      <c r="AW18" s="279">
        <f>-SUM('B5'!AI17)</f>
        <v>-169</v>
      </c>
      <c r="AX18" s="279">
        <f t="shared" si="17"/>
        <v>-1907.7419354838567</v>
      </c>
      <c r="AY18" s="37">
        <f t="shared" si="39"/>
        <v>-2076.7419354838567</v>
      </c>
      <c r="AZ18" s="100">
        <f>ELEC!A16</f>
        <v>0</v>
      </c>
      <c r="BA18" s="118">
        <f>'General information '!D17</f>
        <v>20</v>
      </c>
      <c r="BB18" s="378">
        <f>SUM('General information '!E17)</f>
        <v>0.54</v>
      </c>
      <c r="BC18" s="3">
        <f t="shared" si="44"/>
        <v>0</v>
      </c>
      <c r="BD18" s="102">
        <v>19222</v>
      </c>
      <c r="BE18" s="14">
        <f>(305/1185)*ELEC!Q17</f>
        <v>1324.4978902955236</v>
      </c>
      <c r="BF18" s="14"/>
      <c r="BG18" s="14" t="e">
        <f>#REF!-BE18</f>
        <v>#REF!</v>
      </c>
      <c r="BH18" s="11"/>
      <c r="BI18">
        <v>5</v>
      </c>
      <c r="BJ18">
        <f t="shared" si="46"/>
        <v>-381.54838709677131</v>
      </c>
      <c r="BK18" s="538">
        <f>GEN!AF15</f>
        <v>0.3203125</v>
      </c>
    </row>
    <row r="19" spans="1:64">
      <c r="A19" s="425">
        <f>ELEC!C17</f>
        <v>44544</v>
      </c>
      <c r="B19">
        <f>'B5'!B18</f>
        <v>226</v>
      </c>
      <c r="C19" s="203">
        <f t="shared" si="18"/>
        <v>4862.6451612903229</v>
      </c>
      <c r="D19">
        <f t="shared" si="19"/>
        <v>226</v>
      </c>
      <c r="E19" s="203">
        <f t="shared" si="18"/>
        <v>4862.6451612903229</v>
      </c>
      <c r="F19">
        <f t="shared" si="20"/>
        <v>226</v>
      </c>
      <c r="G19" s="203">
        <f t="shared" si="1"/>
        <v>4862.6451612903229</v>
      </c>
      <c r="H19" s="203">
        <f t="shared" si="21"/>
        <v>226</v>
      </c>
      <c r="I19" s="203">
        <f t="shared" si="2"/>
        <v>4862.6451612903229</v>
      </c>
      <c r="J19" s="203">
        <f t="shared" si="22"/>
        <v>226</v>
      </c>
      <c r="K19" s="203">
        <f t="shared" si="3"/>
        <v>4862.6451612903229</v>
      </c>
      <c r="L19" s="203">
        <f t="shared" si="23"/>
        <v>226</v>
      </c>
      <c r="M19" s="203">
        <f t="shared" si="4"/>
        <v>4862.6451612903229</v>
      </c>
      <c r="N19" s="203">
        <f t="shared" si="24"/>
        <v>226</v>
      </c>
      <c r="O19" s="203">
        <f t="shared" si="5"/>
        <v>4862.6451612903229</v>
      </c>
      <c r="P19" s="203">
        <f t="shared" si="25"/>
        <v>226</v>
      </c>
      <c r="Q19" s="203">
        <f t="shared" si="6"/>
        <v>4862.6451612903229</v>
      </c>
      <c r="R19" s="203">
        <f t="shared" si="26"/>
        <v>226</v>
      </c>
      <c r="S19" s="203">
        <f t="shared" si="7"/>
        <v>4862.6451612903229</v>
      </c>
      <c r="T19" s="203">
        <f t="shared" si="27"/>
        <v>226</v>
      </c>
      <c r="U19" s="203">
        <f t="shared" si="8"/>
        <v>4862.6451612903229</v>
      </c>
      <c r="V19" s="203">
        <f t="shared" si="28"/>
        <v>226</v>
      </c>
      <c r="W19" s="203">
        <f t="shared" si="9"/>
        <v>4862.6451612903229</v>
      </c>
      <c r="X19" s="35">
        <f t="shared" si="10"/>
        <v>0.72903225806451633</v>
      </c>
      <c r="Y19" s="36">
        <f t="shared" si="29"/>
        <v>53489.09677419356</v>
      </c>
      <c r="Z19" s="203">
        <f>'B5'!C18</f>
        <v>233</v>
      </c>
      <c r="AA19" s="203">
        <f t="shared" si="30"/>
        <v>2330</v>
      </c>
      <c r="AB19" s="203">
        <f t="shared" si="31"/>
        <v>233</v>
      </c>
      <c r="AC19" s="203">
        <f t="shared" si="30"/>
        <v>2330</v>
      </c>
      <c r="AD19" s="203">
        <f t="shared" si="32"/>
        <v>233</v>
      </c>
      <c r="AE19" s="203">
        <f t="shared" si="11"/>
        <v>2330</v>
      </c>
      <c r="AF19" s="203">
        <f t="shared" si="33"/>
        <v>233</v>
      </c>
      <c r="AG19" s="203">
        <f t="shared" si="12"/>
        <v>2330</v>
      </c>
      <c r="AH19" s="203">
        <f t="shared" si="34"/>
        <v>233</v>
      </c>
      <c r="AI19" s="203">
        <f t="shared" si="13"/>
        <v>2330</v>
      </c>
      <c r="AJ19" s="203">
        <f t="shared" si="35"/>
        <v>233</v>
      </c>
      <c r="AK19" s="203">
        <f t="shared" si="14"/>
        <v>2330</v>
      </c>
      <c r="AL19" s="203">
        <f t="shared" si="36"/>
        <v>233</v>
      </c>
      <c r="AM19" s="203">
        <f t="shared" si="15"/>
        <v>2330</v>
      </c>
      <c r="AN19" s="35">
        <f t="shared" si="16"/>
        <v>0.83214285714285718</v>
      </c>
      <c r="AO19" s="36">
        <f t="shared" si="41"/>
        <v>16310</v>
      </c>
      <c r="AQ19" s="223">
        <f t="shared" si="37"/>
        <v>0.75077010620838502</v>
      </c>
      <c r="AR19" s="38">
        <f t="shared" si="38"/>
        <v>69799.09677419356</v>
      </c>
      <c r="AS19" s="197">
        <f t="shared" ref="AS19:AS36" si="47">SUM(AR19-AR18-AT19)</f>
        <v>-493</v>
      </c>
      <c r="AT19" s="340">
        <v>10000</v>
      </c>
      <c r="AU19" s="549">
        <v>0.60699999999999998</v>
      </c>
      <c r="AV19" s="485">
        <f t="shared" si="45"/>
        <v>0.60699999999999998</v>
      </c>
      <c r="AW19" s="279">
        <f>-SUM('B5'!AI18)</f>
        <v>-117</v>
      </c>
      <c r="AX19" s="279">
        <f t="shared" si="17"/>
        <v>-376</v>
      </c>
      <c r="AY19" s="37">
        <f t="shared" si="39"/>
        <v>-493</v>
      </c>
      <c r="AZ19" s="100">
        <f>ELEC!A17</f>
        <v>0</v>
      </c>
      <c r="BA19" s="118">
        <f>'General information '!D18</f>
        <v>19</v>
      </c>
      <c r="BB19" s="378">
        <f>SUM('General information '!E18)</f>
        <v>0.63</v>
      </c>
      <c r="BC19" s="3">
        <f t="shared" si="44"/>
        <v>1</v>
      </c>
      <c r="BD19" s="102">
        <v>19222</v>
      </c>
      <c r="BE19" s="14">
        <f>(305/1185)*ELEC!Q18</f>
        <v>1331.7046413499713</v>
      </c>
      <c r="BF19" s="14"/>
      <c r="BG19" s="14" t="e">
        <f>#REF!-BE19</f>
        <v>#REF!</v>
      </c>
      <c r="BH19" s="11"/>
      <c r="BI19">
        <v>6</v>
      </c>
      <c r="BJ19">
        <f t="shared" si="46"/>
        <v>-62.666666666666664</v>
      </c>
      <c r="BK19" s="538">
        <f>GEN!AF16</f>
        <v>0.35736111111115554</v>
      </c>
    </row>
    <row r="20" spans="1:64">
      <c r="A20" s="425">
        <f>ELEC!C18</f>
        <v>44545</v>
      </c>
      <c r="B20">
        <f>'B5'!B19</f>
        <v>219</v>
      </c>
      <c r="C20" s="203">
        <f t="shared" si="18"/>
        <v>4712.0322580645161</v>
      </c>
      <c r="D20">
        <f t="shared" si="19"/>
        <v>219</v>
      </c>
      <c r="E20" s="203">
        <f t="shared" si="18"/>
        <v>4712.0322580645161</v>
      </c>
      <c r="F20">
        <f t="shared" si="20"/>
        <v>219</v>
      </c>
      <c r="G20" s="203">
        <f t="shared" si="1"/>
        <v>4712.0322580645161</v>
      </c>
      <c r="H20" s="203">
        <f t="shared" si="21"/>
        <v>219</v>
      </c>
      <c r="I20" s="203">
        <f t="shared" si="2"/>
        <v>4712.0322580645161</v>
      </c>
      <c r="J20" s="203">
        <f t="shared" si="22"/>
        <v>219</v>
      </c>
      <c r="K20" s="203">
        <f t="shared" si="3"/>
        <v>4712.0322580645161</v>
      </c>
      <c r="L20" s="203">
        <f t="shared" si="23"/>
        <v>219</v>
      </c>
      <c r="M20" s="203">
        <f t="shared" si="4"/>
        <v>4712.0322580645161</v>
      </c>
      <c r="N20" s="203">
        <f t="shared" si="24"/>
        <v>219</v>
      </c>
      <c r="O20" s="203">
        <f t="shared" si="5"/>
        <v>4712.0322580645161</v>
      </c>
      <c r="P20" s="203">
        <f t="shared" si="25"/>
        <v>219</v>
      </c>
      <c r="Q20" s="203">
        <f t="shared" si="6"/>
        <v>4712.0322580645161</v>
      </c>
      <c r="R20" s="203">
        <f t="shared" si="26"/>
        <v>219</v>
      </c>
      <c r="S20" s="203">
        <f t="shared" si="7"/>
        <v>4712.0322580645161</v>
      </c>
      <c r="T20" s="203">
        <f t="shared" si="27"/>
        <v>219</v>
      </c>
      <c r="U20" s="203">
        <f t="shared" si="8"/>
        <v>4712.0322580645161</v>
      </c>
      <c r="V20" s="203">
        <f t="shared" si="28"/>
        <v>219</v>
      </c>
      <c r="W20" s="203">
        <f t="shared" si="9"/>
        <v>4712.0322580645161</v>
      </c>
      <c r="X20" s="35">
        <f t="shared" si="10"/>
        <v>0.70645161290322578</v>
      </c>
      <c r="Y20" s="36">
        <f t="shared" si="29"/>
        <v>51832.354838709674</v>
      </c>
      <c r="Z20" s="203">
        <f>'B5'!C19</f>
        <v>227</v>
      </c>
      <c r="AA20" s="203">
        <f t="shared" si="30"/>
        <v>2270</v>
      </c>
      <c r="AB20" s="203">
        <f t="shared" si="31"/>
        <v>227</v>
      </c>
      <c r="AC20" s="203">
        <f t="shared" si="30"/>
        <v>2270</v>
      </c>
      <c r="AD20" s="203">
        <f t="shared" si="32"/>
        <v>227</v>
      </c>
      <c r="AE20" s="203">
        <f t="shared" si="11"/>
        <v>2270</v>
      </c>
      <c r="AF20" s="203">
        <f t="shared" si="33"/>
        <v>227</v>
      </c>
      <c r="AG20" s="203">
        <f t="shared" si="12"/>
        <v>2270</v>
      </c>
      <c r="AH20" s="203">
        <f t="shared" si="34"/>
        <v>227</v>
      </c>
      <c r="AI20" s="203">
        <f t="shared" si="13"/>
        <v>2270</v>
      </c>
      <c r="AJ20" s="203">
        <f t="shared" si="35"/>
        <v>227</v>
      </c>
      <c r="AK20" s="203">
        <f t="shared" si="14"/>
        <v>2270</v>
      </c>
      <c r="AL20" s="203">
        <f t="shared" si="36"/>
        <v>227</v>
      </c>
      <c r="AM20" s="203">
        <f t="shared" si="15"/>
        <v>2270</v>
      </c>
      <c r="AN20" s="35">
        <f t="shared" si="16"/>
        <v>0.81071428571428572</v>
      </c>
      <c r="AO20" s="36">
        <f t="shared" si="41"/>
        <v>15890</v>
      </c>
      <c r="AQ20" s="223">
        <f t="shared" si="37"/>
        <v>0.72843234203194218</v>
      </c>
      <c r="AR20" s="38">
        <f t="shared" si="38"/>
        <v>67722.354838709667</v>
      </c>
      <c r="AS20" s="197">
        <f t="shared" si="47"/>
        <v>-2076.741935483893</v>
      </c>
      <c r="AT20" s="340"/>
      <c r="AU20" s="549"/>
      <c r="AV20" s="485">
        <f t="shared" si="45"/>
        <v>0.60699999999999998</v>
      </c>
      <c r="AW20" s="279">
        <f>-SUM('B5'!AI19)</f>
        <v>-112</v>
      </c>
      <c r="AX20" s="279">
        <f t="shared" si="17"/>
        <v>-1964.741935483893</v>
      </c>
      <c r="AY20" s="37">
        <f t="shared" si="39"/>
        <v>-2076.741935483893</v>
      </c>
      <c r="AZ20" s="100">
        <f>ELEC!A18</f>
        <v>0</v>
      </c>
      <c r="BA20" s="118">
        <f>'General information '!D19</f>
        <v>18</v>
      </c>
      <c r="BB20" s="378">
        <f>SUM('General information '!E19)</f>
        <v>0.7</v>
      </c>
      <c r="BC20" s="3">
        <f t="shared" si="44"/>
        <v>0</v>
      </c>
      <c r="BD20" s="102">
        <v>19222</v>
      </c>
      <c r="BE20" s="14">
        <f>(305/1185)*ELEC!Q19</f>
        <v>2553.7637130807607</v>
      </c>
      <c r="BF20" s="14"/>
      <c r="BG20" s="14" t="e">
        <f>#REF!-BE20</f>
        <v>#REF!</v>
      </c>
      <c r="BH20" s="11"/>
      <c r="BI20">
        <v>7</v>
      </c>
      <c r="BJ20">
        <f t="shared" si="46"/>
        <v>-280.67741935484185</v>
      </c>
      <c r="BK20" s="538">
        <f>GEN!AF17</f>
        <v>0.32337499999994179</v>
      </c>
      <c r="BL20" s="203"/>
    </row>
    <row r="21" spans="1:64">
      <c r="A21" s="425">
        <f>ELEC!C19</f>
        <v>44546</v>
      </c>
      <c r="B21">
        <f>'B5'!B20</f>
        <v>211</v>
      </c>
      <c r="C21" s="203">
        <f t="shared" si="18"/>
        <v>4539.9032258064517</v>
      </c>
      <c r="D21">
        <f t="shared" si="19"/>
        <v>211</v>
      </c>
      <c r="E21" s="203">
        <f t="shared" si="18"/>
        <v>4539.9032258064517</v>
      </c>
      <c r="F21">
        <f t="shared" si="20"/>
        <v>211</v>
      </c>
      <c r="G21" s="203">
        <f t="shared" si="1"/>
        <v>4539.9032258064517</v>
      </c>
      <c r="H21" s="203">
        <f t="shared" si="21"/>
        <v>211</v>
      </c>
      <c r="I21" s="203">
        <f t="shared" si="2"/>
        <v>4539.9032258064517</v>
      </c>
      <c r="J21" s="203">
        <f t="shared" si="22"/>
        <v>211</v>
      </c>
      <c r="K21" s="203">
        <f t="shared" si="3"/>
        <v>4539.9032258064517</v>
      </c>
      <c r="L21" s="203">
        <f t="shared" si="23"/>
        <v>211</v>
      </c>
      <c r="M21" s="203">
        <f t="shared" si="4"/>
        <v>4539.9032258064517</v>
      </c>
      <c r="N21" s="203">
        <f t="shared" si="24"/>
        <v>211</v>
      </c>
      <c r="O21" s="203">
        <f t="shared" si="5"/>
        <v>4539.9032258064517</v>
      </c>
      <c r="P21" s="203">
        <f t="shared" si="25"/>
        <v>211</v>
      </c>
      <c r="Q21" s="203">
        <f t="shared" si="6"/>
        <v>4539.9032258064517</v>
      </c>
      <c r="R21" s="203">
        <f t="shared" si="26"/>
        <v>211</v>
      </c>
      <c r="S21" s="203">
        <f t="shared" si="7"/>
        <v>4539.9032258064517</v>
      </c>
      <c r="T21" s="203">
        <f t="shared" si="27"/>
        <v>211</v>
      </c>
      <c r="U21" s="203">
        <f t="shared" si="8"/>
        <v>4539.9032258064517</v>
      </c>
      <c r="V21" s="203">
        <f t="shared" si="28"/>
        <v>211</v>
      </c>
      <c r="W21" s="203">
        <f t="shared" si="9"/>
        <v>4539.9032258064517</v>
      </c>
      <c r="X21" s="35">
        <f t="shared" si="10"/>
        <v>0.68064516129032271</v>
      </c>
      <c r="Y21" s="36">
        <f t="shared" si="29"/>
        <v>49938.935483870977</v>
      </c>
      <c r="Z21" s="203">
        <f>'B5'!C20</f>
        <v>218</v>
      </c>
      <c r="AA21" s="203">
        <f t="shared" si="30"/>
        <v>2180</v>
      </c>
      <c r="AB21" s="203">
        <f t="shared" si="31"/>
        <v>218</v>
      </c>
      <c r="AC21" s="203">
        <f t="shared" si="30"/>
        <v>2180</v>
      </c>
      <c r="AD21" s="203">
        <f t="shared" si="32"/>
        <v>218</v>
      </c>
      <c r="AE21" s="203">
        <f t="shared" si="11"/>
        <v>2180</v>
      </c>
      <c r="AF21" s="203">
        <f t="shared" si="33"/>
        <v>218</v>
      </c>
      <c r="AG21" s="203">
        <f t="shared" si="12"/>
        <v>2180</v>
      </c>
      <c r="AH21" s="203">
        <f t="shared" si="34"/>
        <v>218</v>
      </c>
      <c r="AI21" s="203">
        <f t="shared" si="13"/>
        <v>2180</v>
      </c>
      <c r="AJ21" s="203">
        <f t="shared" si="35"/>
        <v>218</v>
      </c>
      <c r="AK21" s="203">
        <f t="shared" si="14"/>
        <v>2180</v>
      </c>
      <c r="AL21" s="203">
        <f t="shared" si="36"/>
        <v>218</v>
      </c>
      <c r="AM21" s="203">
        <f t="shared" si="15"/>
        <v>2180</v>
      </c>
      <c r="AN21" s="35">
        <f t="shared" si="16"/>
        <v>0.77857142857142858</v>
      </c>
      <c r="AO21" s="36">
        <f t="shared" si="41"/>
        <v>15260</v>
      </c>
      <c r="AQ21" s="223">
        <f t="shared" si="37"/>
        <v>0.70129004500237691</v>
      </c>
      <c r="AR21" s="38">
        <f t="shared" si="38"/>
        <v>65198.935483870977</v>
      </c>
      <c r="AS21" s="197">
        <f t="shared" si="47"/>
        <v>-2523.4193548386902</v>
      </c>
      <c r="AT21" s="340"/>
      <c r="AU21" s="549"/>
      <c r="AV21" s="485">
        <f t="shared" si="45"/>
        <v>0.60699999999999998</v>
      </c>
      <c r="AW21" s="279">
        <f>-SUM('B5'!AI20)</f>
        <v>0</v>
      </c>
      <c r="AX21" s="279">
        <f t="shared" si="17"/>
        <v>-2523.4193548386902</v>
      </c>
      <c r="AY21" s="37">
        <f t="shared" si="39"/>
        <v>-2523.4193548386902</v>
      </c>
      <c r="AZ21" s="100">
        <f>ELEC!A19</f>
        <v>0</v>
      </c>
      <c r="BA21" s="118">
        <f>'General information '!D20</f>
        <v>15.5</v>
      </c>
      <c r="BB21" s="378">
        <f>SUM('General information '!E20)</f>
        <v>0.72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-315.42741935483627</v>
      </c>
      <c r="BK21" s="538">
        <f>GEN!AF18</f>
        <v>0.31006250000007185</v>
      </c>
    </row>
    <row r="22" spans="1:64">
      <c r="A22" s="425">
        <f>ELEC!C20</f>
        <v>44547</v>
      </c>
      <c r="B22">
        <f>'B5'!B21</f>
        <v>211</v>
      </c>
      <c r="C22" s="203">
        <f t="shared" si="18"/>
        <v>4539.9032258064517</v>
      </c>
      <c r="D22">
        <f t="shared" si="19"/>
        <v>211</v>
      </c>
      <c r="E22" s="203">
        <f t="shared" si="18"/>
        <v>4539.9032258064517</v>
      </c>
      <c r="F22">
        <f t="shared" si="20"/>
        <v>211</v>
      </c>
      <c r="G22" s="203">
        <f t="shared" si="1"/>
        <v>4539.9032258064517</v>
      </c>
      <c r="H22" s="203">
        <f t="shared" si="21"/>
        <v>211</v>
      </c>
      <c r="I22" s="203">
        <f t="shared" si="2"/>
        <v>4539.9032258064517</v>
      </c>
      <c r="J22" s="203">
        <f t="shared" si="22"/>
        <v>211</v>
      </c>
      <c r="K22" s="203">
        <f t="shared" si="3"/>
        <v>4539.9032258064517</v>
      </c>
      <c r="L22" s="203">
        <f t="shared" si="23"/>
        <v>211</v>
      </c>
      <c r="M22" s="203">
        <f t="shared" si="4"/>
        <v>4539.9032258064517</v>
      </c>
      <c r="N22" s="203">
        <f t="shared" si="24"/>
        <v>211</v>
      </c>
      <c r="O22" s="203">
        <f t="shared" si="5"/>
        <v>4539.9032258064517</v>
      </c>
      <c r="P22" s="203">
        <f t="shared" si="25"/>
        <v>211</v>
      </c>
      <c r="Q22" s="203">
        <f t="shared" si="6"/>
        <v>4539.9032258064517</v>
      </c>
      <c r="R22" s="203">
        <f t="shared" si="26"/>
        <v>211</v>
      </c>
      <c r="S22" s="203">
        <f t="shared" si="7"/>
        <v>4539.9032258064517</v>
      </c>
      <c r="T22" s="203">
        <f t="shared" si="27"/>
        <v>211</v>
      </c>
      <c r="U22" s="203">
        <f t="shared" si="8"/>
        <v>4539.9032258064517</v>
      </c>
      <c r="V22" s="203">
        <f t="shared" si="28"/>
        <v>211</v>
      </c>
      <c r="W22" s="203">
        <f t="shared" si="9"/>
        <v>4539.9032258064517</v>
      </c>
      <c r="X22" s="35">
        <f t="shared" si="10"/>
        <v>0.68064516129032271</v>
      </c>
      <c r="Y22" s="36">
        <f t="shared" si="29"/>
        <v>49938.935483870977</v>
      </c>
      <c r="Z22" s="203">
        <f>'B5'!C21</f>
        <v>218</v>
      </c>
      <c r="AA22" s="203">
        <f t="shared" si="30"/>
        <v>2180</v>
      </c>
      <c r="AB22" s="203">
        <f t="shared" si="31"/>
        <v>218</v>
      </c>
      <c r="AC22" s="203">
        <f t="shared" si="30"/>
        <v>2180</v>
      </c>
      <c r="AD22" s="203">
        <f t="shared" si="32"/>
        <v>218</v>
      </c>
      <c r="AE22" s="203">
        <f t="shared" si="11"/>
        <v>2180</v>
      </c>
      <c r="AF22" s="203">
        <f t="shared" si="33"/>
        <v>218</v>
      </c>
      <c r="AG22" s="203">
        <f t="shared" si="12"/>
        <v>2180</v>
      </c>
      <c r="AH22" s="203">
        <f t="shared" si="34"/>
        <v>218</v>
      </c>
      <c r="AI22" s="203">
        <f t="shared" si="13"/>
        <v>2180</v>
      </c>
      <c r="AJ22" s="203">
        <f t="shared" si="35"/>
        <v>218</v>
      </c>
      <c r="AK22" s="203">
        <f t="shared" si="14"/>
        <v>2180</v>
      </c>
      <c r="AL22" s="203">
        <f t="shared" si="36"/>
        <v>218</v>
      </c>
      <c r="AM22" s="203">
        <f t="shared" si="15"/>
        <v>2180</v>
      </c>
      <c r="AN22" s="35">
        <f t="shared" si="16"/>
        <v>0.77857142857142858</v>
      </c>
      <c r="AO22" s="36">
        <f t="shared" si="41"/>
        <v>15260</v>
      </c>
      <c r="AQ22" s="223">
        <f t="shared" si="37"/>
        <v>0.70129004500237691</v>
      </c>
      <c r="AR22" s="38">
        <f t="shared" si="38"/>
        <v>65198.935483870977</v>
      </c>
      <c r="AS22" s="197">
        <f t="shared" si="47"/>
        <v>0</v>
      </c>
      <c r="AT22" s="340"/>
      <c r="AU22" s="549"/>
      <c r="AV22" s="485">
        <f t="shared" si="43"/>
        <v>0.60699999999999998</v>
      </c>
      <c r="AW22" s="279">
        <f>-SUM('B5'!AI21)</f>
        <v>0</v>
      </c>
      <c r="AX22" s="279">
        <f t="shared" si="17"/>
        <v>0</v>
      </c>
      <c r="AY22" s="37">
        <f t="shared" si="39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44548</v>
      </c>
      <c r="B23">
        <f>'B5'!B22</f>
        <v>211</v>
      </c>
      <c r="C23" s="203">
        <f t="shared" si="18"/>
        <v>4539.9032258064517</v>
      </c>
      <c r="D23">
        <f t="shared" si="19"/>
        <v>211</v>
      </c>
      <c r="E23" s="203">
        <f t="shared" si="18"/>
        <v>4539.9032258064517</v>
      </c>
      <c r="F23">
        <f t="shared" si="20"/>
        <v>211</v>
      </c>
      <c r="G23" s="203">
        <f t="shared" si="1"/>
        <v>4539.9032258064517</v>
      </c>
      <c r="H23" s="203">
        <f t="shared" si="21"/>
        <v>211</v>
      </c>
      <c r="I23" s="203">
        <f t="shared" si="2"/>
        <v>4539.9032258064517</v>
      </c>
      <c r="J23" s="203">
        <f t="shared" si="22"/>
        <v>211</v>
      </c>
      <c r="K23" s="203">
        <f t="shared" si="3"/>
        <v>4539.9032258064517</v>
      </c>
      <c r="L23" s="203">
        <f t="shared" si="23"/>
        <v>211</v>
      </c>
      <c r="M23" s="203">
        <f t="shared" si="4"/>
        <v>4539.9032258064517</v>
      </c>
      <c r="N23" s="203">
        <f t="shared" si="24"/>
        <v>211</v>
      </c>
      <c r="O23" s="203">
        <f t="shared" si="5"/>
        <v>4539.9032258064517</v>
      </c>
      <c r="P23" s="203">
        <f t="shared" si="25"/>
        <v>211</v>
      </c>
      <c r="Q23" s="203">
        <f t="shared" si="6"/>
        <v>4539.9032258064517</v>
      </c>
      <c r="R23" s="203">
        <f t="shared" si="26"/>
        <v>211</v>
      </c>
      <c r="S23" s="203">
        <f t="shared" si="7"/>
        <v>4539.9032258064517</v>
      </c>
      <c r="T23" s="203">
        <f t="shared" si="27"/>
        <v>211</v>
      </c>
      <c r="U23" s="203">
        <f t="shared" si="8"/>
        <v>4539.9032258064517</v>
      </c>
      <c r="V23" s="203">
        <f t="shared" si="28"/>
        <v>211</v>
      </c>
      <c r="W23" s="203">
        <f t="shared" si="9"/>
        <v>4539.9032258064517</v>
      </c>
      <c r="X23" s="35">
        <f t="shared" si="10"/>
        <v>0.68064516129032271</v>
      </c>
      <c r="Y23" s="36">
        <f t="shared" si="29"/>
        <v>49938.935483870977</v>
      </c>
      <c r="Z23" s="203">
        <f>'B5'!C22</f>
        <v>218</v>
      </c>
      <c r="AA23" s="203">
        <f t="shared" si="30"/>
        <v>2180</v>
      </c>
      <c r="AB23" s="203">
        <f t="shared" si="31"/>
        <v>218</v>
      </c>
      <c r="AC23" s="203">
        <f t="shared" si="30"/>
        <v>2180</v>
      </c>
      <c r="AD23" s="203">
        <f t="shared" si="32"/>
        <v>218</v>
      </c>
      <c r="AE23" s="203">
        <f t="shared" si="11"/>
        <v>2180</v>
      </c>
      <c r="AF23" s="203">
        <f t="shared" si="33"/>
        <v>218</v>
      </c>
      <c r="AG23" s="203">
        <f t="shared" si="12"/>
        <v>2180</v>
      </c>
      <c r="AH23" s="203">
        <f t="shared" si="34"/>
        <v>218</v>
      </c>
      <c r="AI23" s="203">
        <f t="shared" si="13"/>
        <v>2180</v>
      </c>
      <c r="AJ23" s="203">
        <f t="shared" si="35"/>
        <v>218</v>
      </c>
      <c r="AK23" s="203">
        <f t="shared" si="14"/>
        <v>2180</v>
      </c>
      <c r="AL23" s="203">
        <f t="shared" si="36"/>
        <v>218</v>
      </c>
      <c r="AM23" s="203">
        <f t="shared" si="15"/>
        <v>2180</v>
      </c>
      <c r="AN23" s="35">
        <f t="shared" si="16"/>
        <v>0.77857142857142858</v>
      </c>
      <c r="AO23" s="36">
        <f t="shared" si="41"/>
        <v>15260</v>
      </c>
      <c r="AQ23" s="223">
        <f t="shared" si="37"/>
        <v>0.70129004500237691</v>
      </c>
      <c r="AR23" s="38">
        <f t="shared" si="38"/>
        <v>65198.935483870977</v>
      </c>
      <c r="AS23" s="197">
        <f t="shared" si="47"/>
        <v>0</v>
      </c>
      <c r="AT23" s="340"/>
      <c r="AU23" s="549"/>
      <c r="AV23" s="485">
        <f t="shared" si="43"/>
        <v>0.60699999999999998</v>
      </c>
      <c r="AW23" s="279">
        <f>-SUM('B5'!AI22)</f>
        <v>0</v>
      </c>
      <c r="AX23" s="279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1379.0632911392856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44549</v>
      </c>
      <c r="B24">
        <f>'B5'!B23</f>
        <v>200</v>
      </c>
      <c r="C24" s="203">
        <f t="shared" si="18"/>
        <v>4303.2258064516127</v>
      </c>
      <c r="D24">
        <f t="shared" si="19"/>
        <v>200</v>
      </c>
      <c r="E24" s="203">
        <f t="shared" si="18"/>
        <v>4303.2258064516127</v>
      </c>
      <c r="F24">
        <f t="shared" si="20"/>
        <v>200</v>
      </c>
      <c r="G24" s="203">
        <f t="shared" si="1"/>
        <v>4303.2258064516127</v>
      </c>
      <c r="H24" s="203">
        <f t="shared" si="21"/>
        <v>200</v>
      </c>
      <c r="I24" s="203">
        <f t="shared" si="2"/>
        <v>4303.2258064516127</v>
      </c>
      <c r="J24" s="203">
        <f t="shared" si="22"/>
        <v>200</v>
      </c>
      <c r="K24" s="203">
        <f t="shared" si="3"/>
        <v>4303.2258064516127</v>
      </c>
      <c r="L24" s="203">
        <f t="shared" si="23"/>
        <v>200</v>
      </c>
      <c r="M24" s="203">
        <f t="shared" si="4"/>
        <v>4303.2258064516127</v>
      </c>
      <c r="N24" s="203">
        <f t="shared" si="24"/>
        <v>200</v>
      </c>
      <c r="O24" s="203">
        <f t="shared" si="5"/>
        <v>4303.2258064516127</v>
      </c>
      <c r="P24" s="203">
        <f t="shared" si="25"/>
        <v>200</v>
      </c>
      <c r="Q24" s="203">
        <f t="shared" si="6"/>
        <v>4303.2258064516127</v>
      </c>
      <c r="R24" s="203">
        <f t="shared" si="26"/>
        <v>200</v>
      </c>
      <c r="S24" s="203">
        <f t="shared" si="7"/>
        <v>4303.2258064516127</v>
      </c>
      <c r="T24" s="203">
        <f t="shared" si="27"/>
        <v>200</v>
      </c>
      <c r="U24" s="203">
        <f t="shared" si="8"/>
        <v>4303.2258064516127</v>
      </c>
      <c r="V24" s="203">
        <f t="shared" si="28"/>
        <v>200</v>
      </c>
      <c r="W24" s="203">
        <f t="shared" si="9"/>
        <v>4303.2258064516127</v>
      </c>
      <c r="X24" s="35">
        <f t="shared" si="10"/>
        <v>0.64516129032258063</v>
      </c>
      <c r="Y24" s="36">
        <f t="shared" si="29"/>
        <v>47335.483870967742</v>
      </c>
      <c r="Z24" s="203">
        <f>'B5'!C23</f>
        <v>208</v>
      </c>
      <c r="AA24" s="203">
        <f t="shared" si="30"/>
        <v>2080</v>
      </c>
      <c r="AB24" s="203">
        <f t="shared" si="31"/>
        <v>208</v>
      </c>
      <c r="AC24" s="203">
        <f t="shared" si="30"/>
        <v>2080</v>
      </c>
      <c r="AD24" s="203">
        <f t="shared" si="32"/>
        <v>208</v>
      </c>
      <c r="AE24" s="203">
        <f t="shared" si="11"/>
        <v>2080</v>
      </c>
      <c r="AF24" s="203">
        <f t="shared" si="33"/>
        <v>208</v>
      </c>
      <c r="AG24" s="203">
        <f t="shared" si="12"/>
        <v>2080</v>
      </c>
      <c r="AH24" s="203">
        <f t="shared" si="34"/>
        <v>208</v>
      </c>
      <c r="AI24" s="203">
        <f t="shared" si="13"/>
        <v>2080</v>
      </c>
      <c r="AJ24" s="203">
        <f t="shared" si="35"/>
        <v>208</v>
      </c>
      <c r="AK24" s="203">
        <f t="shared" si="14"/>
        <v>2080</v>
      </c>
      <c r="AL24" s="203">
        <f t="shared" si="36"/>
        <v>208</v>
      </c>
      <c r="AM24" s="203">
        <f t="shared" si="15"/>
        <v>2080</v>
      </c>
      <c r="AN24" s="35">
        <f t="shared" si="16"/>
        <v>0.74285714285714288</v>
      </c>
      <c r="AO24" s="36">
        <f t="shared" si="41"/>
        <v>14560</v>
      </c>
      <c r="AQ24" s="223">
        <f t="shared" si="37"/>
        <v>0.6657575978376653</v>
      </c>
      <c r="AR24" s="38">
        <f t="shared" si="38"/>
        <v>61895.483870967742</v>
      </c>
      <c r="AS24" s="197">
        <f t="shared" si="47"/>
        <v>-3303.4516129032345</v>
      </c>
      <c r="AT24" s="340"/>
      <c r="AU24" s="549"/>
      <c r="AV24" s="485">
        <f t="shared" si="43"/>
        <v>0.60699999999999998</v>
      </c>
      <c r="AW24" s="279">
        <f>-SUM('B5'!AI23)</f>
        <v>-285</v>
      </c>
      <c r="AX24" s="279">
        <f t="shared" si="17"/>
        <v>-3018.4516129032345</v>
      </c>
      <c r="AY24" s="37">
        <f t="shared" si="39"/>
        <v>-3303.4516129032345</v>
      </c>
      <c r="AZ24" s="100">
        <f>ELEC!A22</f>
        <v>0</v>
      </c>
      <c r="BA24" s="118">
        <f>'General information '!D23</f>
        <v>16.5</v>
      </c>
      <c r="BB24" s="378">
        <f>SUM('General information '!E23)</f>
        <v>0.5</v>
      </c>
      <c r="BC24" s="3">
        <f t="shared" si="44"/>
        <v>0</v>
      </c>
      <c r="BD24" s="102">
        <v>19222</v>
      </c>
      <c r="BE24" s="14">
        <f>(305/1185)*ELEC!Q23</f>
        <v>1467.603375526782</v>
      </c>
      <c r="BF24" s="14"/>
      <c r="BG24" s="14" t="e">
        <f>#REF!-BE24</f>
        <v>#REF!</v>
      </c>
      <c r="BH24" s="11"/>
      <c r="BI24">
        <v>11</v>
      </c>
      <c r="BJ24">
        <f t="shared" si="46"/>
        <v>-274.40469208211221</v>
      </c>
      <c r="BK24" s="538">
        <f>GEN!AF21</f>
        <v>0.27906250000000909</v>
      </c>
    </row>
    <row r="25" spans="1:64">
      <c r="A25" s="425">
        <f>ELEC!C23</f>
        <v>44550</v>
      </c>
      <c r="B25">
        <f>'B5'!B24</f>
        <v>194</v>
      </c>
      <c r="C25" s="203">
        <f t="shared" si="18"/>
        <v>4174.1290322580644</v>
      </c>
      <c r="D25">
        <f t="shared" si="19"/>
        <v>194</v>
      </c>
      <c r="E25" s="203">
        <f t="shared" si="18"/>
        <v>4174.1290322580644</v>
      </c>
      <c r="F25">
        <f t="shared" si="20"/>
        <v>194</v>
      </c>
      <c r="G25" s="203">
        <f t="shared" si="1"/>
        <v>4174.1290322580644</v>
      </c>
      <c r="H25" s="203">
        <f t="shared" si="21"/>
        <v>194</v>
      </c>
      <c r="I25" s="203">
        <f t="shared" si="2"/>
        <v>4174.1290322580644</v>
      </c>
      <c r="J25" s="203">
        <f t="shared" si="22"/>
        <v>194</v>
      </c>
      <c r="K25" s="203">
        <f t="shared" si="3"/>
        <v>4174.1290322580644</v>
      </c>
      <c r="L25" s="203">
        <f t="shared" si="23"/>
        <v>194</v>
      </c>
      <c r="M25" s="203">
        <f t="shared" si="4"/>
        <v>4174.1290322580644</v>
      </c>
      <c r="N25" s="203">
        <f t="shared" si="24"/>
        <v>194</v>
      </c>
      <c r="O25" s="203">
        <f t="shared" si="5"/>
        <v>4174.1290322580644</v>
      </c>
      <c r="P25" s="203">
        <f t="shared" si="25"/>
        <v>194</v>
      </c>
      <c r="Q25" s="203">
        <f t="shared" si="6"/>
        <v>4174.1290322580644</v>
      </c>
      <c r="R25" s="203">
        <f t="shared" si="26"/>
        <v>194</v>
      </c>
      <c r="S25" s="203">
        <f t="shared" si="7"/>
        <v>4174.1290322580644</v>
      </c>
      <c r="T25" s="203">
        <f t="shared" si="27"/>
        <v>194</v>
      </c>
      <c r="U25" s="203">
        <f t="shared" si="8"/>
        <v>4174.1290322580644</v>
      </c>
      <c r="V25" s="203">
        <f t="shared" si="28"/>
        <v>194</v>
      </c>
      <c r="W25" s="203">
        <f t="shared" si="9"/>
        <v>4174.1290322580644</v>
      </c>
      <c r="X25" s="35">
        <f t="shared" si="10"/>
        <v>0.62580645161290305</v>
      </c>
      <c r="Y25" s="36">
        <f t="shared" si="29"/>
        <v>45915.419354838697</v>
      </c>
      <c r="Z25" s="203">
        <f>'B5'!C24</f>
        <v>200</v>
      </c>
      <c r="AA25" s="203">
        <f t="shared" si="30"/>
        <v>2000</v>
      </c>
      <c r="AB25" s="203">
        <f t="shared" si="31"/>
        <v>200</v>
      </c>
      <c r="AC25" s="203">
        <f t="shared" si="30"/>
        <v>2000</v>
      </c>
      <c r="AD25" s="203">
        <f t="shared" si="32"/>
        <v>200</v>
      </c>
      <c r="AE25" s="203">
        <f t="shared" si="11"/>
        <v>2000</v>
      </c>
      <c r="AF25" s="203">
        <f t="shared" si="33"/>
        <v>200</v>
      </c>
      <c r="AG25" s="203">
        <f t="shared" si="12"/>
        <v>2000</v>
      </c>
      <c r="AH25" s="203">
        <f t="shared" si="34"/>
        <v>200</v>
      </c>
      <c r="AI25" s="203">
        <f t="shared" si="13"/>
        <v>2000</v>
      </c>
      <c r="AJ25" s="203">
        <f t="shared" si="35"/>
        <v>200</v>
      </c>
      <c r="AK25" s="203">
        <f t="shared" si="14"/>
        <v>2000</v>
      </c>
      <c r="AL25" s="203">
        <f t="shared" si="36"/>
        <v>200</v>
      </c>
      <c r="AM25" s="203">
        <f t="shared" si="15"/>
        <v>2000</v>
      </c>
      <c r="AN25" s="35">
        <f t="shared" si="16"/>
        <v>0.7142857142857143</v>
      </c>
      <c r="AO25" s="36">
        <f t="shared" si="41"/>
        <v>14000</v>
      </c>
      <c r="AQ25" s="223">
        <f t="shared" si="37"/>
        <v>0.6444597112492062</v>
      </c>
      <c r="AR25" s="38">
        <f>Y25+AO25</f>
        <v>59915.419354838697</v>
      </c>
      <c r="AS25" s="197">
        <f t="shared" si="47"/>
        <v>-1980.0645161290449</v>
      </c>
      <c r="AT25" s="340"/>
      <c r="AU25" s="550"/>
      <c r="AV25" s="485">
        <f t="shared" si="43"/>
        <v>0.60699999999999998</v>
      </c>
      <c r="AW25" s="279">
        <f>-SUM('B5'!AI24)</f>
        <v>-199</v>
      </c>
      <c r="AX25" s="279">
        <f t="shared" si="17"/>
        <v>-1781.0645161290449</v>
      </c>
      <c r="AY25" s="37">
        <f t="shared" si="39"/>
        <v>-1980.0645161290449</v>
      </c>
      <c r="AZ25" s="100">
        <f>ELEC!A23</f>
        <v>0</v>
      </c>
      <c r="BA25" s="118">
        <f>'General information '!D24</f>
        <v>13</v>
      </c>
      <c r="BB25" s="378">
        <f>SUM('General information '!E24)</f>
        <v>0.61</v>
      </c>
      <c r="BC25" s="3">
        <f t="shared" si="44"/>
        <v>0</v>
      </c>
      <c r="BD25" s="102">
        <v>19222</v>
      </c>
      <c r="BE25" s="14">
        <f>(305/1185)*ELEC!Q24</f>
        <v>1647.5147679329166</v>
      </c>
      <c r="BF25" s="14"/>
      <c r="BG25" s="14" t="e">
        <f>#REF!-BE25</f>
        <v>#REF!</v>
      </c>
      <c r="BH25" s="11"/>
      <c r="BI25">
        <v>12</v>
      </c>
      <c r="BJ25">
        <f t="shared" si="46"/>
        <v>-148.42204301075375</v>
      </c>
      <c r="BK25" s="538">
        <f>GEN!AF22</f>
        <v>0.32397727272713051</v>
      </c>
    </row>
    <row r="26" spans="1:64">
      <c r="A26" s="425">
        <f>ELEC!C24</f>
        <v>44551</v>
      </c>
      <c r="B26">
        <f>'B5'!B25</f>
        <v>224</v>
      </c>
      <c r="C26" s="203">
        <f t="shared" si="18"/>
        <v>4819.6129032258068</v>
      </c>
      <c r="D26">
        <f t="shared" si="19"/>
        <v>224</v>
      </c>
      <c r="E26" s="203">
        <f t="shared" si="18"/>
        <v>4819.6129032258068</v>
      </c>
      <c r="F26">
        <f t="shared" si="20"/>
        <v>224</v>
      </c>
      <c r="G26" s="203">
        <f t="shared" si="1"/>
        <v>4819.6129032258068</v>
      </c>
      <c r="H26" s="203">
        <f t="shared" si="21"/>
        <v>224</v>
      </c>
      <c r="I26" s="203">
        <f t="shared" si="2"/>
        <v>4819.6129032258068</v>
      </c>
      <c r="J26" s="203">
        <f t="shared" si="22"/>
        <v>224</v>
      </c>
      <c r="K26" s="203">
        <f t="shared" si="3"/>
        <v>4819.6129032258068</v>
      </c>
      <c r="L26" s="203">
        <f t="shared" si="23"/>
        <v>224</v>
      </c>
      <c r="M26" s="203">
        <f t="shared" si="4"/>
        <v>4819.6129032258068</v>
      </c>
      <c r="N26" s="203">
        <f t="shared" si="24"/>
        <v>224</v>
      </c>
      <c r="O26" s="203">
        <f t="shared" si="5"/>
        <v>4819.6129032258068</v>
      </c>
      <c r="P26" s="203">
        <f t="shared" si="25"/>
        <v>224</v>
      </c>
      <c r="Q26" s="203">
        <f t="shared" si="6"/>
        <v>4819.6129032258068</v>
      </c>
      <c r="R26" s="203">
        <f t="shared" si="26"/>
        <v>224</v>
      </c>
      <c r="S26" s="203">
        <f t="shared" si="7"/>
        <v>4819.6129032258068</v>
      </c>
      <c r="T26" s="203">
        <f t="shared" si="27"/>
        <v>224</v>
      </c>
      <c r="U26" s="203">
        <f t="shared" si="8"/>
        <v>4819.6129032258068</v>
      </c>
      <c r="V26" s="203">
        <f t="shared" si="28"/>
        <v>224</v>
      </c>
      <c r="W26" s="203">
        <f t="shared" si="9"/>
        <v>4819.6129032258068</v>
      </c>
      <c r="X26" s="35">
        <f t="shared" si="10"/>
        <v>0.72258064516129028</v>
      </c>
      <c r="Y26" s="36">
        <f t="shared" si="29"/>
        <v>53015.741935483864</v>
      </c>
      <c r="Z26" s="203">
        <f>'B5'!C25</f>
        <v>230</v>
      </c>
      <c r="AA26" s="203">
        <f t="shared" si="30"/>
        <v>2300</v>
      </c>
      <c r="AB26" s="203">
        <f t="shared" si="31"/>
        <v>230</v>
      </c>
      <c r="AC26" s="203">
        <f t="shared" si="30"/>
        <v>2300</v>
      </c>
      <c r="AD26" s="203">
        <f t="shared" si="32"/>
        <v>230</v>
      </c>
      <c r="AE26" s="203">
        <f t="shared" si="11"/>
        <v>2300</v>
      </c>
      <c r="AF26" s="203">
        <f t="shared" si="33"/>
        <v>230</v>
      </c>
      <c r="AG26" s="203">
        <f t="shared" si="12"/>
        <v>2300</v>
      </c>
      <c r="AH26" s="203">
        <f t="shared" si="34"/>
        <v>230</v>
      </c>
      <c r="AI26" s="203">
        <f t="shared" si="13"/>
        <v>2300</v>
      </c>
      <c r="AJ26" s="203">
        <f t="shared" si="35"/>
        <v>230</v>
      </c>
      <c r="AK26" s="203">
        <f t="shared" si="14"/>
        <v>2300</v>
      </c>
      <c r="AL26" s="203">
        <f t="shared" si="36"/>
        <v>230</v>
      </c>
      <c r="AM26" s="203">
        <f t="shared" si="15"/>
        <v>2300</v>
      </c>
      <c r="AN26" s="35">
        <f t="shared" si="16"/>
        <v>0.8214285714285714</v>
      </c>
      <c r="AO26" s="36">
        <f t="shared" si="41"/>
        <v>16100</v>
      </c>
      <c r="AQ26" s="223">
        <f t="shared" si="37"/>
        <v>0.74341983366122255</v>
      </c>
      <c r="AR26" s="38">
        <f t="shared" si="38"/>
        <v>69115.741935483864</v>
      </c>
      <c r="AS26" s="197">
        <f t="shared" si="47"/>
        <v>-799.67741935483355</v>
      </c>
      <c r="AT26" s="340">
        <v>10000</v>
      </c>
      <c r="AU26" s="549">
        <v>0.60399999999999998</v>
      </c>
      <c r="AV26" s="485">
        <f t="shared" si="43"/>
        <v>0.60399999999999998</v>
      </c>
      <c r="AW26" s="279">
        <f>-SUM('B5'!AI25)</f>
        <v>-120</v>
      </c>
      <c r="AX26" s="279">
        <f t="shared" si="17"/>
        <v>-679.67741935483355</v>
      </c>
      <c r="AY26" s="37">
        <f t="shared" si="39"/>
        <v>-799.67741935483355</v>
      </c>
      <c r="AZ26" s="100">
        <f>ELEC!A24</f>
        <v>0</v>
      </c>
      <c r="BA26" s="118">
        <f>'General information '!D25</f>
        <v>16</v>
      </c>
      <c r="BB26" s="378">
        <f>SUM('General information '!E25)</f>
        <v>0.61</v>
      </c>
      <c r="BC26" s="3">
        <f t="shared" si="44"/>
        <v>1</v>
      </c>
      <c r="BD26" s="102">
        <v>19222</v>
      </c>
      <c r="BE26" s="14">
        <f>(305/1185)*ELEC!Q25</f>
        <v>1463.4852320669638</v>
      </c>
      <c r="BF26" s="14"/>
      <c r="BG26" s="14" t="e">
        <f>#REF!-BE26</f>
        <v>#REF!</v>
      </c>
      <c r="BH26" s="11"/>
      <c r="BI26">
        <v>13</v>
      </c>
      <c r="BJ26">
        <f t="shared" si="46"/>
        <v>-52.282878411910275</v>
      </c>
      <c r="BK26" s="538">
        <f>GEN!AF23</f>
        <v>0.33338541666675303</v>
      </c>
    </row>
    <row r="27" spans="1:64">
      <c r="A27" s="425">
        <f>ELEC!C25</f>
        <v>44552</v>
      </c>
      <c r="B27">
        <f>'B5'!B26</f>
        <v>235</v>
      </c>
      <c r="C27" s="203">
        <f t="shared" si="18"/>
        <v>5056.2903225806449</v>
      </c>
      <c r="D27">
        <f t="shared" si="19"/>
        <v>235</v>
      </c>
      <c r="E27" s="203">
        <f t="shared" si="18"/>
        <v>5056.2903225806449</v>
      </c>
      <c r="F27">
        <f t="shared" si="20"/>
        <v>235</v>
      </c>
      <c r="G27" s="203">
        <f t="shared" si="1"/>
        <v>5056.2903225806449</v>
      </c>
      <c r="H27" s="203">
        <f t="shared" si="21"/>
        <v>235</v>
      </c>
      <c r="I27" s="203">
        <f t="shared" si="2"/>
        <v>5056.2903225806449</v>
      </c>
      <c r="J27" s="203">
        <f t="shared" si="22"/>
        <v>235</v>
      </c>
      <c r="K27" s="203">
        <f t="shared" si="3"/>
        <v>5056.2903225806449</v>
      </c>
      <c r="L27" s="203">
        <f t="shared" si="23"/>
        <v>235</v>
      </c>
      <c r="M27" s="203">
        <f t="shared" si="4"/>
        <v>5056.2903225806449</v>
      </c>
      <c r="N27" s="203">
        <f t="shared" si="24"/>
        <v>235</v>
      </c>
      <c r="O27" s="203">
        <f t="shared" si="5"/>
        <v>5056.2903225806449</v>
      </c>
      <c r="P27" s="203">
        <f t="shared" si="25"/>
        <v>235</v>
      </c>
      <c r="Q27" s="203">
        <f t="shared" si="6"/>
        <v>5056.2903225806449</v>
      </c>
      <c r="R27" s="203">
        <f t="shared" si="26"/>
        <v>235</v>
      </c>
      <c r="S27" s="203">
        <f t="shared" si="7"/>
        <v>5056.2903225806449</v>
      </c>
      <c r="T27" s="203">
        <f t="shared" si="27"/>
        <v>235</v>
      </c>
      <c r="U27" s="203">
        <f t="shared" si="8"/>
        <v>5056.2903225806449</v>
      </c>
      <c r="V27" s="203">
        <f t="shared" si="28"/>
        <v>235</v>
      </c>
      <c r="W27" s="203">
        <f t="shared" si="9"/>
        <v>5056.2903225806449</v>
      </c>
      <c r="X27" s="35">
        <f t="shared" si="10"/>
        <v>0.75806451612903214</v>
      </c>
      <c r="Y27" s="36">
        <f t="shared" si="29"/>
        <v>55619.193548387091</v>
      </c>
      <c r="Z27" s="203">
        <f>'B5'!C26</f>
        <v>242</v>
      </c>
      <c r="AA27" s="203">
        <f t="shared" si="30"/>
        <v>2420</v>
      </c>
      <c r="AB27" s="203">
        <f t="shared" si="31"/>
        <v>242</v>
      </c>
      <c r="AC27" s="203">
        <f t="shared" si="30"/>
        <v>2420</v>
      </c>
      <c r="AD27" s="203">
        <f t="shared" si="32"/>
        <v>242</v>
      </c>
      <c r="AE27" s="203">
        <f t="shared" si="11"/>
        <v>2420</v>
      </c>
      <c r="AF27" s="203">
        <f t="shared" si="33"/>
        <v>242</v>
      </c>
      <c r="AG27" s="203">
        <f t="shared" si="12"/>
        <v>2420</v>
      </c>
      <c r="AH27" s="203">
        <f t="shared" si="34"/>
        <v>242</v>
      </c>
      <c r="AI27" s="203">
        <f t="shared" si="13"/>
        <v>2420</v>
      </c>
      <c r="AJ27" s="203">
        <f t="shared" si="35"/>
        <v>242</v>
      </c>
      <c r="AK27" s="203">
        <f t="shared" si="14"/>
        <v>2420</v>
      </c>
      <c r="AL27" s="203">
        <f t="shared" si="36"/>
        <v>242</v>
      </c>
      <c r="AM27" s="203">
        <f t="shared" si="15"/>
        <v>2420</v>
      </c>
      <c r="AN27" s="35">
        <f t="shared" si="16"/>
        <v>0.86428571428571432</v>
      </c>
      <c r="AO27" s="36">
        <f t="shared" si="41"/>
        <v>16940</v>
      </c>
      <c r="AQ27" s="223">
        <f t="shared" si="37"/>
        <v>0.78045814293198978</v>
      </c>
      <c r="AR27" s="38">
        <f t="shared" si="38"/>
        <v>72559.193548387091</v>
      </c>
      <c r="AS27" s="197">
        <f t="shared" si="47"/>
        <v>-1556.5483870967728</v>
      </c>
      <c r="AT27" s="340">
        <v>5000</v>
      </c>
      <c r="AU27" s="549">
        <v>0.60399999999999998</v>
      </c>
      <c r="AV27" s="485">
        <f t="shared" si="43"/>
        <v>0.60399999999999998</v>
      </c>
      <c r="AW27" s="279">
        <f>-SUM('B5'!AI26)</f>
        <v>-298</v>
      </c>
      <c r="AX27" s="279">
        <f t="shared" si="17"/>
        <v>-1258.5483870967728</v>
      </c>
      <c r="AY27" s="37">
        <f t="shared" si="39"/>
        <v>-1556.5483870967728</v>
      </c>
      <c r="AZ27" s="100">
        <f>ELEC!A25</f>
        <v>0</v>
      </c>
      <c r="BA27" s="118">
        <f>'General information '!D26</f>
        <v>14.5</v>
      </c>
      <c r="BB27" s="378">
        <f>SUM('General information '!E26)</f>
        <v>0.69</v>
      </c>
      <c r="BC27" s="3">
        <f t="shared" si="44"/>
        <v>1</v>
      </c>
      <c r="BD27" s="102">
        <v>19222</v>
      </c>
      <c r="BE27" s="14">
        <f>(305/1185)*ELEC!Q26</f>
        <v>1129.4008438825383</v>
      </c>
      <c r="BF27" s="14"/>
      <c r="BG27" s="14" t="e">
        <f>#REF!-BE27</f>
        <v>#REF!</v>
      </c>
      <c r="BH27" s="11"/>
      <c r="BI27">
        <v>14</v>
      </c>
      <c r="BJ27">
        <f t="shared" si="46"/>
        <v>-89.896313364055203</v>
      </c>
      <c r="BK27" s="538">
        <f>GEN!AF24</f>
        <v>0.2961458333332227</v>
      </c>
    </row>
    <row r="28" spans="1:64">
      <c r="A28" s="425">
        <f>ELEC!C26</f>
        <v>44553</v>
      </c>
      <c r="B28">
        <f>'B5'!B27</f>
        <v>229</v>
      </c>
      <c r="C28" s="203">
        <f t="shared" si="18"/>
        <v>4927.1935483870966</v>
      </c>
      <c r="D28">
        <f t="shared" si="19"/>
        <v>229</v>
      </c>
      <c r="E28" s="203">
        <f t="shared" si="18"/>
        <v>4927.1935483870966</v>
      </c>
      <c r="F28">
        <f t="shared" si="20"/>
        <v>229</v>
      </c>
      <c r="G28" s="203">
        <f t="shared" si="1"/>
        <v>4927.1935483870966</v>
      </c>
      <c r="H28" s="203">
        <f t="shared" si="21"/>
        <v>229</v>
      </c>
      <c r="I28" s="203">
        <f t="shared" si="2"/>
        <v>4927.1935483870966</v>
      </c>
      <c r="J28" s="203">
        <f t="shared" si="22"/>
        <v>229</v>
      </c>
      <c r="K28" s="203">
        <f t="shared" si="3"/>
        <v>4927.1935483870966</v>
      </c>
      <c r="L28" s="203">
        <f t="shared" si="23"/>
        <v>229</v>
      </c>
      <c r="M28" s="203">
        <f t="shared" si="4"/>
        <v>4927.1935483870966</v>
      </c>
      <c r="N28" s="203">
        <f t="shared" si="24"/>
        <v>229</v>
      </c>
      <c r="O28" s="203">
        <f t="shared" si="5"/>
        <v>4927.1935483870966</v>
      </c>
      <c r="P28" s="203">
        <f t="shared" si="25"/>
        <v>229</v>
      </c>
      <c r="Q28" s="203">
        <f t="shared" si="6"/>
        <v>4927.1935483870966</v>
      </c>
      <c r="R28" s="203">
        <f t="shared" si="26"/>
        <v>229</v>
      </c>
      <c r="S28" s="203">
        <f t="shared" si="7"/>
        <v>4927.1935483870966</v>
      </c>
      <c r="T28" s="203">
        <f t="shared" si="27"/>
        <v>229</v>
      </c>
      <c r="U28" s="203">
        <f t="shared" si="8"/>
        <v>4927.1935483870966</v>
      </c>
      <c r="V28" s="203">
        <f t="shared" si="28"/>
        <v>229</v>
      </c>
      <c r="W28" s="203">
        <f t="shared" si="9"/>
        <v>4927.1935483870966</v>
      </c>
      <c r="X28" s="35">
        <f t="shared" si="10"/>
        <v>0.738709677419355</v>
      </c>
      <c r="Y28" s="36">
        <f t="shared" si="29"/>
        <v>54199.129032258075</v>
      </c>
      <c r="Z28" s="203">
        <f>'B5'!C27</f>
        <v>236</v>
      </c>
      <c r="AA28" s="203">
        <f t="shared" si="30"/>
        <v>2360</v>
      </c>
      <c r="AB28" s="203">
        <f t="shared" si="31"/>
        <v>236</v>
      </c>
      <c r="AC28" s="203">
        <f t="shared" si="30"/>
        <v>2360</v>
      </c>
      <c r="AD28" s="203">
        <f t="shared" si="32"/>
        <v>236</v>
      </c>
      <c r="AE28" s="203">
        <f t="shared" si="11"/>
        <v>2360</v>
      </c>
      <c r="AF28" s="203">
        <f t="shared" si="33"/>
        <v>236</v>
      </c>
      <c r="AG28" s="203">
        <f t="shared" si="12"/>
        <v>2360</v>
      </c>
      <c r="AH28" s="203">
        <f t="shared" si="34"/>
        <v>236</v>
      </c>
      <c r="AI28" s="203">
        <f t="shared" si="13"/>
        <v>2360</v>
      </c>
      <c r="AJ28" s="203">
        <f t="shared" si="35"/>
        <v>236</v>
      </c>
      <c r="AK28" s="203">
        <f t="shared" si="14"/>
        <v>2360</v>
      </c>
      <c r="AL28" s="203">
        <f t="shared" si="36"/>
        <v>236</v>
      </c>
      <c r="AM28" s="203">
        <f t="shared" si="15"/>
        <v>2360</v>
      </c>
      <c r="AN28" s="35">
        <f t="shared" si="16"/>
        <v>0.84285714285714286</v>
      </c>
      <c r="AO28" s="36">
        <f t="shared" si="41"/>
        <v>16520</v>
      </c>
      <c r="AQ28" s="223">
        <f t="shared" si="37"/>
        <v>0.76066611844958665</v>
      </c>
      <c r="AR28" s="38">
        <f t="shared" si="38"/>
        <v>70719.129032258075</v>
      </c>
      <c r="AS28" s="197">
        <f t="shared" si="47"/>
        <v>-1840.0645161290158</v>
      </c>
      <c r="AT28" s="340"/>
      <c r="AU28" s="550"/>
      <c r="AV28" s="485">
        <f t="shared" si="43"/>
        <v>0.60399999999999998</v>
      </c>
      <c r="AW28" s="279">
        <f>-SUM('B5'!AI27)</f>
        <v>-218</v>
      </c>
      <c r="AX28" s="279">
        <f t="shared" si="17"/>
        <v>-1622.0645161290158</v>
      </c>
      <c r="AY28" s="37">
        <f t="shared" si="39"/>
        <v>-1840.0645161290158</v>
      </c>
      <c r="AZ28" s="100">
        <f>ELEC!A26</f>
        <v>0</v>
      </c>
      <c r="BA28" s="118">
        <f>'General information '!D27</f>
        <v>13</v>
      </c>
      <c r="BB28" s="378">
        <f>SUM('General information '!E27)</f>
        <v>0.77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-108.13763440860106</v>
      </c>
      <c r="BK28" s="538">
        <f>GEN!AF25</f>
        <v>0.30472222222240614</v>
      </c>
    </row>
    <row r="29" spans="1:64">
      <c r="A29" s="425">
        <f>ELEC!C27</f>
        <v>44554</v>
      </c>
      <c r="B29">
        <f>'B5'!B28</f>
        <v>229</v>
      </c>
      <c r="C29" s="203">
        <f t="shared" si="18"/>
        <v>4927.1935483870966</v>
      </c>
      <c r="D29">
        <f t="shared" si="19"/>
        <v>229</v>
      </c>
      <c r="E29" s="203">
        <f t="shared" si="18"/>
        <v>4927.1935483870966</v>
      </c>
      <c r="F29">
        <f t="shared" si="20"/>
        <v>229</v>
      </c>
      <c r="G29" s="203">
        <f t="shared" si="1"/>
        <v>4927.1935483870966</v>
      </c>
      <c r="H29" s="203">
        <f t="shared" si="21"/>
        <v>229</v>
      </c>
      <c r="I29" s="203">
        <f t="shared" si="2"/>
        <v>4927.1935483870966</v>
      </c>
      <c r="J29" s="203">
        <f t="shared" si="22"/>
        <v>229</v>
      </c>
      <c r="K29" s="203">
        <f t="shared" si="3"/>
        <v>4927.1935483870966</v>
      </c>
      <c r="L29" s="203">
        <f t="shared" si="23"/>
        <v>229</v>
      </c>
      <c r="M29" s="203">
        <f t="shared" si="4"/>
        <v>4927.1935483870966</v>
      </c>
      <c r="N29" s="203">
        <f t="shared" si="24"/>
        <v>229</v>
      </c>
      <c r="O29" s="203">
        <f t="shared" si="5"/>
        <v>4927.1935483870966</v>
      </c>
      <c r="P29" s="203">
        <f t="shared" si="25"/>
        <v>229</v>
      </c>
      <c r="Q29" s="203">
        <f t="shared" si="6"/>
        <v>4927.1935483870966</v>
      </c>
      <c r="R29" s="203">
        <f t="shared" si="26"/>
        <v>229</v>
      </c>
      <c r="S29" s="203">
        <f t="shared" si="7"/>
        <v>4927.1935483870966</v>
      </c>
      <c r="T29" s="203">
        <f t="shared" si="27"/>
        <v>229</v>
      </c>
      <c r="U29" s="203">
        <f t="shared" si="8"/>
        <v>4927.1935483870966</v>
      </c>
      <c r="V29" s="203">
        <f t="shared" si="28"/>
        <v>229</v>
      </c>
      <c r="W29" s="203">
        <f t="shared" si="9"/>
        <v>4927.1935483870966</v>
      </c>
      <c r="X29" s="35">
        <f t="shared" si="10"/>
        <v>0.738709677419355</v>
      </c>
      <c r="Y29" s="36">
        <f t="shared" si="29"/>
        <v>54199.129032258075</v>
      </c>
      <c r="Z29" s="203">
        <f>'B5'!C28</f>
        <v>236</v>
      </c>
      <c r="AA29" s="203">
        <f t="shared" si="30"/>
        <v>2360</v>
      </c>
      <c r="AB29" s="203">
        <f t="shared" si="31"/>
        <v>236</v>
      </c>
      <c r="AC29" s="203">
        <f t="shared" si="30"/>
        <v>2360</v>
      </c>
      <c r="AD29" s="203">
        <f t="shared" si="32"/>
        <v>236</v>
      </c>
      <c r="AE29" s="203">
        <f t="shared" si="11"/>
        <v>2360</v>
      </c>
      <c r="AF29" s="203">
        <f t="shared" si="33"/>
        <v>236</v>
      </c>
      <c r="AG29" s="203">
        <f t="shared" si="12"/>
        <v>2360</v>
      </c>
      <c r="AH29" s="203">
        <f t="shared" si="34"/>
        <v>236</v>
      </c>
      <c r="AI29" s="203">
        <f t="shared" si="13"/>
        <v>2360</v>
      </c>
      <c r="AJ29" s="203">
        <f t="shared" si="35"/>
        <v>236</v>
      </c>
      <c r="AK29" s="203">
        <f t="shared" si="14"/>
        <v>2360</v>
      </c>
      <c r="AL29" s="203">
        <f t="shared" si="36"/>
        <v>236</v>
      </c>
      <c r="AM29" s="203">
        <f t="shared" si="15"/>
        <v>2360</v>
      </c>
      <c r="AN29" s="35">
        <f t="shared" si="16"/>
        <v>0.84285714285714286</v>
      </c>
      <c r="AO29" s="36">
        <f t="shared" si="41"/>
        <v>16520</v>
      </c>
      <c r="AQ29" s="223">
        <f t="shared" si="37"/>
        <v>0.76066611844958665</v>
      </c>
      <c r="AR29" s="38">
        <f t="shared" si="38"/>
        <v>70719.129032258075</v>
      </c>
      <c r="AS29" s="197">
        <f>SUM(AR29-AR28-AT29)</f>
        <v>0</v>
      </c>
      <c r="AT29" s="340"/>
      <c r="AU29" s="550"/>
      <c r="AV29" s="485">
        <f t="shared" si="43"/>
        <v>0.60399999999999998</v>
      </c>
      <c r="AW29" s="279">
        <f>-SUM('B5'!AI28)</f>
        <v>0</v>
      </c>
      <c r="AX29" s="279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44555</v>
      </c>
      <c r="B30">
        <f>'B5'!B29</f>
        <v>229</v>
      </c>
      <c r="C30" s="203">
        <f t="shared" si="18"/>
        <v>4927.1935483870966</v>
      </c>
      <c r="D30">
        <f t="shared" ref="D30:D35" si="48">SUM(B30)</f>
        <v>229</v>
      </c>
      <c r="E30" s="203">
        <f t="shared" si="18"/>
        <v>4927.1935483870966</v>
      </c>
      <c r="F30">
        <f t="shared" ref="F30:F35" si="49">SUM(D30)</f>
        <v>229</v>
      </c>
      <c r="G30" s="203">
        <f t="shared" si="1"/>
        <v>4927.1935483870966</v>
      </c>
      <c r="H30" s="203">
        <f t="shared" ref="H30:H35" si="50">SUM(F30)</f>
        <v>229</v>
      </c>
      <c r="I30" s="203">
        <f t="shared" si="2"/>
        <v>4927.1935483870966</v>
      </c>
      <c r="J30" s="203">
        <f t="shared" ref="J30:J35" si="51">SUM(H30)</f>
        <v>229</v>
      </c>
      <c r="K30" s="203">
        <f t="shared" si="3"/>
        <v>4927.1935483870966</v>
      </c>
      <c r="L30" s="203">
        <f t="shared" ref="L30:L35" si="52">SUM(J30)</f>
        <v>229</v>
      </c>
      <c r="M30" s="203">
        <f t="shared" si="4"/>
        <v>4927.1935483870966</v>
      </c>
      <c r="N30" s="203">
        <f t="shared" ref="N30:N35" si="53">SUM(L30)</f>
        <v>229</v>
      </c>
      <c r="O30" s="203">
        <f t="shared" si="5"/>
        <v>4927.1935483870966</v>
      </c>
      <c r="P30" s="203">
        <f t="shared" ref="P30:P35" si="54">SUM(N30)</f>
        <v>229</v>
      </c>
      <c r="Q30" s="203">
        <f t="shared" si="6"/>
        <v>4927.1935483870966</v>
      </c>
      <c r="R30" s="203">
        <f t="shared" ref="R30:R35" si="55">SUM(P30)</f>
        <v>229</v>
      </c>
      <c r="S30" s="203">
        <f t="shared" si="7"/>
        <v>4927.1935483870966</v>
      </c>
      <c r="T30" s="203">
        <f t="shared" ref="T30:T35" si="56">SUM(R30)</f>
        <v>229</v>
      </c>
      <c r="U30" s="203">
        <f t="shared" si="8"/>
        <v>4927.1935483870966</v>
      </c>
      <c r="V30" s="203">
        <f t="shared" ref="V30:V35" si="57">SUM(T30)</f>
        <v>229</v>
      </c>
      <c r="W30" s="203">
        <f t="shared" si="9"/>
        <v>4927.1935483870966</v>
      </c>
      <c r="X30" s="35">
        <f t="shared" ref="X30:X35" si="58">SUM(Y30/73370)</f>
        <v>0.738709677419355</v>
      </c>
      <c r="Y30" s="36">
        <f t="shared" ref="Y30:Y35" si="59">SUM(C30+E30+G30+I30+K30+M30+O30+Q30+S30+U30+W30)</f>
        <v>54199.129032258075</v>
      </c>
      <c r="Z30" s="203">
        <f>'B5'!C29</f>
        <v>236</v>
      </c>
      <c r="AA30" s="203">
        <f t="shared" si="30"/>
        <v>2360</v>
      </c>
      <c r="AB30" s="203">
        <f t="shared" ref="AB30:AB35" si="60">SUM(Z30)</f>
        <v>236</v>
      </c>
      <c r="AC30" s="203">
        <f t="shared" si="30"/>
        <v>2360</v>
      </c>
      <c r="AD30" s="203">
        <f t="shared" ref="AD30:AD35" si="61">SUM(AB30)</f>
        <v>236</v>
      </c>
      <c r="AE30" s="203">
        <f t="shared" si="11"/>
        <v>2360</v>
      </c>
      <c r="AF30" s="203">
        <f t="shared" ref="AF30:AF35" si="62">SUM(AD30)</f>
        <v>236</v>
      </c>
      <c r="AG30" s="203">
        <f t="shared" si="12"/>
        <v>2360</v>
      </c>
      <c r="AH30" s="203">
        <f t="shared" ref="AH30:AH35" si="63">SUM(AF30)</f>
        <v>236</v>
      </c>
      <c r="AI30" s="203">
        <f t="shared" si="13"/>
        <v>2360</v>
      </c>
      <c r="AJ30" s="203">
        <f t="shared" ref="AJ30:AJ35" si="64">SUM(AH30)</f>
        <v>236</v>
      </c>
      <c r="AK30" s="203">
        <f t="shared" si="14"/>
        <v>2360</v>
      </c>
      <c r="AL30" s="203">
        <f t="shared" ref="AL30:AL35" si="65">SUM(AJ30)</f>
        <v>236</v>
      </c>
      <c r="AM30" s="203">
        <f t="shared" si="15"/>
        <v>2360</v>
      </c>
      <c r="AN30" s="35">
        <f t="shared" ref="AN30:AN35" si="66">SUM(AO30/19600)</f>
        <v>0.84285714285714286</v>
      </c>
      <c r="AO30" s="36">
        <f t="shared" ref="AO30:AO35" si="67">SUM(AA30+AC30+AE30+AG30+AI30+AK30+AM30)</f>
        <v>16520</v>
      </c>
      <c r="AQ30" s="223">
        <f t="shared" si="37"/>
        <v>0.76066611844958665</v>
      </c>
      <c r="AR30" s="38">
        <f t="shared" si="38"/>
        <v>70719.129032258075</v>
      </c>
      <c r="AS30" s="197">
        <f>SUM(AR30-AR29-AT30)</f>
        <v>0</v>
      </c>
      <c r="AT30" s="340"/>
      <c r="AU30" s="550"/>
      <c r="AV30" s="485">
        <f t="shared" si="43"/>
        <v>0.60399999999999998</v>
      </c>
      <c r="AW30" s="279">
        <f>-SUM('B5'!AI29)</f>
        <v>0</v>
      </c>
      <c r="AX30" s="279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44556</v>
      </c>
      <c r="B31">
        <f>'B5'!B30</f>
        <v>229</v>
      </c>
      <c r="C31" s="203">
        <f t="shared" si="18"/>
        <v>4927.1935483870966</v>
      </c>
      <c r="D31">
        <f t="shared" si="48"/>
        <v>229</v>
      </c>
      <c r="E31" s="203">
        <f t="shared" si="18"/>
        <v>4927.1935483870966</v>
      </c>
      <c r="F31">
        <f t="shared" si="49"/>
        <v>229</v>
      </c>
      <c r="G31" s="203">
        <f t="shared" si="1"/>
        <v>4927.1935483870966</v>
      </c>
      <c r="H31" s="203">
        <f t="shared" si="50"/>
        <v>229</v>
      </c>
      <c r="I31" s="203">
        <f t="shared" si="2"/>
        <v>4927.1935483870966</v>
      </c>
      <c r="J31" s="203">
        <f t="shared" si="51"/>
        <v>229</v>
      </c>
      <c r="K31" s="203">
        <f t="shared" si="3"/>
        <v>4927.1935483870966</v>
      </c>
      <c r="L31" s="203">
        <f t="shared" si="52"/>
        <v>229</v>
      </c>
      <c r="M31" s="203">
        <f t="shared" si="4"/>
        <v>4927.1935483870966</v>
      </c>
      <c r="N31" s="203">
        <f t="shared" si="53"/>
        <v>229</v>
      </c>
      <c r="O31" s="203">
        <f t="shared" si="5"/>
        <v>4927.1935483870966</v>
      </c>
      <c r="P31" s="203">
        <f t="shared" si="54"/>
        <v>229</v>
      </c>
      <c r="Q31" s="203">
        <f t="shared" si="6"/>
        <v>4927.1935483870966</v>
      </c>
      <c r="R31" s="203">
        <f t="shared" si="55"/>
        <v>229</v>
      </c>
      <c r="S31" s="203">
        <f t="shared" si="7"/>
        <v>4927.1935483870966</v>
      </c>
      <c r="T31" s="203">
        <f t="shared" si="56"/>
        <v>229</v>
      </c>
      <c r="U31" s="203">
        <f t="shared" si="8"/>
        <v>4927.1935483870966</v>
      </c>
      <c r="V31" s="203">
        <f t="shared" si="57"/>
        <v>229</v>
      </c>
      <c r="W31" s="203">
        <f t="shared" si="9"/>
        <v>4927.1935483870966</v>
      </c>
      <c r="X31" s="35">
        <f t="shared" si="58"/>
        <v>0.738709677419355</v>
      </c>
      <c r="Y31" s="36">
        <f t="shared" si="59"/>
        <v>54199.129032258075</v>
      </c>
      <c r="Z31" s="203">
        <f>'B5'!C30</f>
        <v>236</v>
      </c>
      <c r="AA31" s="203">
        <f t="shared" si="30"/>
        <v>2360</v>
      </c>
      <c r="AB31" s="203">
        <f t="shared" si="60"/>
        <v>236</v>
      </c>
      <c r="AC31" s="203">
        <f t="shared" si="30"/>
        <v>2360</v>
      </c>
      <c r="AD31" s="203">
        <f t="shared" si="61"/>
        <v>236</v>
      </c>
      <c r="AE31" s="203">
        <f t="shared" si="11"/>
        <v>2360</v>
      </c>
      <c r="AF31" s="203">
        <f t="shared" si="62"/>
        <v>236</v>
      </c>
      <c r="AG31" s="203">
        <f t="shared" si="12"/>
        <v>2360</v>
      </c>
      <c r="AH31" s="203">
        <f t="shared" si="63"/>
        <v>236</v>
      </c>
      <c r="AI31" s="203">
        <f t="shared" si="13"/>
        <v>2360</v>
      </c>
      <c r="AJ31" s="203">
        <f t="shared" si="64"/>
        <v>236</v>
      </c>
      <c r="AK31" s="203">
        <f t="shared" si="14"/>
        <v>2360</v>
      </c>
      <c r="AL31" s="203">
        <f t="shared" si="65"/>
        <v>236</v>
      </c>
      <c r="AM31" s="203">
        <f t="shared" si="15"/>
        <v>2360</v>
      </c>
      <c r="AN31" s="35">
        <f t="shared" si="66"/>
        <v>0.84285714285714286</v>
      </c>
      <c r="AO31" s="36">
        <f t="shared" si="67"/>
        <v>16520</v>
      </c>
      <c r="AQ31" s="223">
        <f t="shared" si="37"/>
        <v>0.76066611844958665</v>
      </c>
      <c r="AR31" s="38">
        <f t="shared" si="38"/>
        <v>70719.129032258075</v>
      </c>
      <c r="AS31" s="197">
        <f t="shared" si="47"/>
        <v>0</v>
      </c>
      <c r="AT31" s="340"/>
      <c r="AU31" s="575"/>
      <c r="AV31" s="485">
        <f t="shared" si="43"/>
        <v>0.60399999999999998</v>
      </c>
      <c r="AW31" s="279">
        <f>-SUM('B5'!AI30)</f>
        <v>0</v>
      </c>
      <c r="AX31" s="279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1323.2109704640377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44557</v>
      </c>
      <c r="B32">
        <f>'B5'!B31</f>
        <v>223</v>
      </c>
      <c r="C32" s="203">
        <f t="shared" si="18"/>
        <v>4798.0967741935483</v>
      </c>
      <c r="D32">
        <f t="shared" si="48"/>
        <v>223</v>
      </c>
      <c r="E32" s="203">
        <f t="shared" si="18"/>
        <v>4798.0967741935483</v>
      </c>
      <c r="F32">
        <f t="shared" si="49"/>
        <v>223</v>
      </c>
      <c r="G32" s="203">
        <f t="shared" si="1"/>
        <v>4798.0967741935483</v>
      </c>
      <c r="H32" s="203">
        <f t="shared" si="50"/>
        <v>223</v>
      </c>
      <c r="I32" s="203">
        <f t="shared" si="2"/>
        <v>4798.0967741935483</v>
      </c>
      <c r="J32" s="203">
        <f t="shared" si="51"/>
        <v>223</v>
      </c>
      <c r="K32" s="203">
        <f t="shared" si="3"/>
        <v>4798.0967741935483</v>
      </c>
      <c r="L32" s="203">
        <f t="shared" si="52"/>
        <v>223</v>
      </c>
      <c r="M32" s="203">
        <f t="shared" si="4"/>
        <v>4798.0967741935483</v>
      </c>
      <c r="N32" s="203">
        <f t="shared" si="53"/>
        <v>223</v>
      </c>
      <c r="O32" s="203">
        <f t="shared" si="5"/>
        <v>4798.0967741935483</v>
      </c>
      <c r="P32" s="203">
        <f t="shared" si="54"/>
        <v>223</v>
      </c>
      <c r="Q32" s="203">
        <f t="shared" si="6"/>
        <v>4798.0967741935483</v>
      </c>
      <c r="R32" s="203">
        <f t="shared" si="55"/>
        <v>223</v>
      </c>
      <c r="S32" s="203">
        <f t="shared" si="7"/>
        <v>4798.0967741935483</v>
      </c>
      <c r="T32" s="203">
        <f t="shared" si="56"/>
        <v>223</v>
      </c>
      <c r="U32" s="203">
        <f t="shared" si="8"/>
        <v>4798.0967741935483</v>
      </c>
      <c r="V32" s="203">
        <f t="shared" si="57"/>
        <v>223</v>
      </c>
      <c r="W32" s="203">
        <f t="shared" si="9"/>
        <v>4798.0967741935483</v>
      </c>
      <c r="X32" s="35">
        <f t="shared" si="58"/>
        <v>0.71935483870967731</v>
      </c>
      <c r="Y32" s="36">
        <f t="shared" si="59"/>
        <v>52779.064516129023</v>
      </c>
      <c r="Z32" s="203">
        <f>'B5'!C31</f>
        <v>230</v>
      </c>
      <c r="AA32" s="203">
        <f t="shared" si="30"/>
        <v>2300</v>
      </c>
      <c r="AB32" s="203">
        <f t="shared" si="60"/>
        <v>230</v>
      </c>
      <c r="AC32" s="203">
        <f t="shared" si="30"/>
        <v>2300</v>
      </c>
      <c r="AD32" s="203">
        <f t="shared" si="61"/>
        <v>230</v>
      </c>
      <c r="AE32" s="203">
        <f t="shared" si="11"/>
        <v>2300</v>
      </c>
      <c r="AF32" s="203">
        <f t="shared" si="62"/>
        <v>230</v>
      </c>
      <c r="AG32" s="203">
        <f t="shared" si="12"/>
        <v>2300</v>
      </c>
      <c r="AH32" s="203">
        <f t="shared" si="63"/>
        <v>230</v>
      </c>
      <c r="AI32" s="203">
        <f t="shared" si="13"/>
        <v>2300</v>
      </c>
      <c r="AJ32" s="203">
        <f t="shared" si="64"/>
        <v>230</v>
      </c>
      <c r="AK32" s="203">
        <f t="shared" si="14"/>
        <v>2300</v>
      </c>
      <c r="AL32" s="203">
        <f t="shared" si="65"/>
        <v>230</v>
      </c>
      <c r="AM32" s="203">
        <f t="shared" si="15"/>
        <v>2300</v>
      </c>
      <c r="AN32" s="35">
        <f t="shared" si="66"/>
        <v>0.8214285714285714</v>
      </c>
      <c r="AO32" s="36">
        <f t="shared" si="67"/>
        <v>16100</v>
      </c>
      <c r="AQ32" s="223">
        <f t="shared" si="37"/>
        <v>0.74087409396718329</v>
      </c>
      <c r="AR32" s="38">
        <f t="shared" si="38"/>
        <v>68879.06451612903</v>
      </c>
      <c r="AS32" s="197">
        <f t="shared" si="47"/>
        <v>-1840.0645161290449</v>
      </c>
      <c r="AT32" s="340"/>
      <c r="AU32" s="549"/>
      <c r="AV32" s="485">
        <f>IF(AT32&gt;0,AU32,AV31)</f>
        <v>0.60399999999999998</v>
      </c>
      <c r="AW32" s="279">
        <f>-SUM('B5'!AI31)</f>
        <v>-199</v>
      </c>
      <c r="AX32" s="279">
        <f t="shared" si="17"/>
        <v>-1641.0645161290449</v>
      </c>
      <c r="AY32" s="37">
        <f t="shared" si="39"/>
        <v>-1840.0645161290449</v>
      </c>
      <c r="AZ32" s="100">
        <f>ELEC!A30</f>
        <v>0</v>
      </c>
      <c r="BA32" s="118">
        <f>'General information '!D31</f>
        <v>15.5</v>
      </c>
      <c r="BB32" s="378">
        <f>SUM('General information '!E31)</f>
        <v>0.5</v>
      </c>
      <c r="BC32" s="3">
        <f t="shared" si="44"/>
        <v>0</v>
      </c>
      <c r="BD32" s="102">
        <v>19222</v>
      </c>
      <c r="BE32" s="14">
        <f>(305/1185)*ELEC!Q31</f>
        <v>1362.8481012653735</v>
      </c>
      <c r="BF32" s="14"/>
      <c r="BG32" s="14" t="e">
        <f>#REF!-BE32</f>
        <v>#REF!</v>
      </c>
      <c r="BH32" s="11"/>
      <c r="BI32">
        <v>19</v>
      </c>
      <c r="BJ32">
        <f t="shared" si="46"/>
        <v>-86.371816638370788</v>
      </c>
      <c r="BK32" s="538">
        <f>GEN!AF29</f>
        <v>0.32131249999997635</v>
      </c>
    </row>
    <row r="33" spans="1:63">
      <c r="A33" s="425">
        <f>ELEC!C31</f>
        <v>44558</v>
      </c>
      <c r="B33">
        <f>'B5'!B32</f>
        <v>216</v>
      </c>
      <c r="C33" s="203">
        <f t="shared" si="18"/>
        <v>4647.4838709677415</v>
      </c>
      <c r="D33">
        <f t="shared" si="48"/>
        <v>216</v>
      </c>
      <c r="E33" s="203">
        <f t="shared" si="18"/>
        <v>4647.4838709677415</v>
      </c>
      <c r="F33">
        <f t="shared" si="49"/>
        <v>216</v>
      </c>
      <c r="G33" s="203">
        <f t="shared" si="1"/>
        <v>4647.4838709677415</v>
      </c>
      <c r="H33" s="203">
        <f t="shared" si="50"/>
        <v>216</v>
      </c>
      <c r="I33" s="203">
        <f t="shared" si="2"/>
        <v>4647.4838709677415</v>
      </c>
      <c r="J33" s="203">
        <f t="shared" si="51"/>
        <v>216</v>
      </c>
      <c r="K33" s="203">
        <f t="shared" si="3"/>
        <v>4647.4838709677415</v>
      </c>
      <c r="L33" s="203">
        <f t="shared" si="52"/>
        <v>216</v>
      </c>
      <c r="M33" s="203">
        <f t="shared" si="4"/>
        <v>4647.4838709677415</v>
      </c>
      <c r="N33" s="203">
        <f t="shared" si="53"/>
        <v>216</v>
      </c>
      <c r="O33" s="203">
        <f t="shared" si="5"/>
        <v>4647.4838709677415</v>
      </c>
      <c r="P33" s="203">
        <f t="shared" si="54"/>
        <v>216</v>
      </c>
      <c r="Q33" s="203">
        <f t="shared" si="6"/>
        <v>4647.4838709677415</v>
      </c>
      <c r="R33" s="203">
        <f t="shared" si="55"/>
        <v>216</v>
      </c>
      <c r="S33" s="203">
        <f t="shared" si="7"/>
        <v>4647.4838709677415</v>
      </c>
      <c r="T33" s="203">
        <f t="shared" si="56"/>
        <v>216</v>
      </c>
      <c r="U33" s="203">
        <f t="shared" si="8"/>
        <v>4647.4838709677415</v>
      </c>
      <c r="V33" s="203">
        <f t="shared" si="57"/>
        <v>216</v>
      </c>
      <c r="W33" s="203">
        <f t="shared" si="9"/>
        <v>4647.4838709677415</v>
      </c>
      <c r="X33" s="35">
        <f t="shared" si="58"/>
        <v>0.6967741935483871</v>
      </c>
      <c r="Y33" s="36">
        <f t="shared" si="59"/>
        <v>51122.322580645159</v>
      </c>
      <c r="Z33" s="203">
        <f>'B5'!C32</f>
        <v>223</v>
      </c>
      <c r="AA33" s="203">
        <f t="shared" si="30"/>
        <v>2230</v>
      </c>
      <c r="AB33" s="203">
        <f t="shared" si="60"/>
        <v>223</v>
      </c>
      <c r="AC33" s="203">
        <f t="shared" si="30"/>
        <v>2230</v>
      </c>
      <c r="AD33" s="203">
        <f t="shared" si="61"/>
        <v>223</v>
      </c>
      <c r="AE33" s="203">
        <f t="shared" si="11"/>
        <v>2230</v>
      </c>
      <c r="AF33" s="203">
        <f t="shared" si="62"/>
        <v>223</v>
      </c>
      <c r="AG33" s="203">
        <f t="shared" si="12"/>
        <v>2230</v>
      </c>
      <c r="AH33" s="203">
        <f t="shared" si="63"/>
        <v>223</v>
      </c>
      <c r="AI33" s="203">
        <f t="shared" si="13"/>
        <v>2230</v>
      </c>
      <c r="AJ33" s="203">
        <f t="shared" si="64"/>
        <v>223</v>
      </c>
      <c r="AK33" s="203">
        <f t="shared" si="14"/>
        <v>2230</v>
      </c>
      <c r="AL33" s="203">
        <f t="shared" si="65"/>
        <v>223</v>
      </c>
      <c r="AM33" s="203">
        <f t="shared" si="15"/>
        <v>2230</v>
      </c>
      <c r="AN33" s="35">
        <f t="shared" si="66"/>
        <v>0.79642857142857137</v>
      </c>
      <c r="AO33" s="36">
        <f t="shared" si="67"/>
        <v>15610</v>
      </c>
      <c r="AQ33" s="223">
        <f t="shared" si="37"/>
        <v>0.71778339873771269</v>
      </c>
      <c r="AR33" s="38">
        <f t="shared" si="38"/>
        <v>66732.322580645152</v>
      </c>
      <c r="AS33" s="197">
        <f>SUM(AR33-AR32-AT33)</f>
        <v>-2146.7419354838785</v>
      </c>
      <c r="AT33" s="340"/>
      <c r="AU33" s="549"/>
      <c r="AV33" s="485">
        <f>IF(AT33&gt;0,AU33,AV32)</f>
        <v>0.60399999999999998</v>
      </c>
      <c r="AW33" s="279">
        <f>-SUM('B5'!AI32)</f>
        <v>-314</v>
      </c>
      <c r="AX33" s="279">
        <f t="shared" si="17"/>
        <v>-1832.7419354838785</v>
      </c>
      <c r="AY33" s="37">
        <f t="shared" si="39"/>
        <v>-2146.7419354838785</v>
      </c>
      <c r="AZ33" s="100">
        <f>ELEC!A31</f>
        <v>0</v>
      </c>
      <c r="BA33" s="118">
        <f>'General information '!D32</f>
        <v>16</v>
      </c>
      <c r="BB33" s="204">
        <f>SUM('General information '!E32)</f>
        <v>0.43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-91.637096774193921</v>
      </c>
      <c r="BK33" s="538">
        <f>GEN!AF30</f>
        <v>0.33093749999989086</v>
      </c>
    </row>
    <row r="34" spans="1:63">
      <c r="A34" s="425">
        <f>ELEC!C32</f>
        <v>44559</v>
      </c>
      <c r="B34">
        <f>'B5'!B33</f>
        <v>209</v>
      </c>
      <c r="C34" s="203">
        <f>B34*$B$4</f>
        <v>4496.8709677419356</v>
      </c>
      <c r="D34">
        <f t="shared" si="48"/>
        <v>209</v>
      </c>
      <c r="E34" s="203">
        <f>D34*$B$4</f>
        <v>4496.8709677419356</v>
      </c>
      <c r="F34">
        <f t="shared" si="49"/>
        <v>209</v>
      </c>
      <c r="G34" s="203">
        <f>F34*$B$4</f>
        <v>4496.8709677419356</v>
      </c>
      <c r="H34" s="203">
        <f t="shared" si="50"/>
        <v>209</v>
      </c>
      <c r="I34" s="203">
        <f>H34*$B$4</f>
        <v>4496.8709677419356</v>
      </c>
      <c r="J34" s="203">
        <f t="shared" si="51"/>
        <v>209</v>
      </c>
      <c r="K34" s="203">
        <f>J34*$B$4</f>
        <v>4496.8709677419356</v>
      </c>
      <c r="L34" s="203">
        <f t="shared" si="52"/>
        <v>209</v>
      </c>
      <c r="M34" s="203">
        <f>L34*$B$4</f>
        <v>4496.8709677419356</v>
      </c>
      <c r="N34" s="203">
        <f t="shared" si="53"/>
        <v>209</v>
      </c>
      <c r="O34" s="203">
        <f>N34*$B$4</f>
        <v>4496.8709677419356</v>
      </c>
      <c r="P34" s="203">
        <f t="shared" si="54"/>
        <v>209</v>
      </c>
      <c r="Q34" s="203">
        <f>P34*$B$4</f>
        <v>4496.8709677419356</v>
      </c>
      <c r="R34" s="203">
        <f t="shared" si="55"/>
        <v>209</v>
      </c>
      <c r="S34" s="203">
        <f>R34*$B$4</f>
        <v>4496.8709677419356</v>
      </c>
      <c r="T34" s="203">
        <f t="shared" si="56"/>
        <v>209</v>
      </c>
      <c r="U34" s="203">
        <f>T34*$B$4</f>
        <v>4496.8709677419356</v>
      </c>
      <c r="V34" s="203">
        <f t="shared" si="57"/>
        <v>209</v>
      </c>
      <c r="W34" s="203">
        <f>V34*$B$4</f>
        <v>4496.8709677419356</v>
      </c>
      <c r="X34" s="35">
        <f t="shared" si="58"/>
        <v>0.67419354838709689</v>
      </c>
      <c r="Y34" s="36">
        <f t="shared" si="59"/>
        <v>49465.580645161303</v>
      </c>
      <c r="Z34" s="203">
        <f>'B5'!C33</f>
        <v>217</v>
      </c>
      <c r="AA34" s="203">
        <f>SUM(Z34*$Z$4)</f>
        <v>2170</v>
      </c>
      <c r="AB34" s="203">
        <f t="shared" si="60"/>
        <v>217</v>
      </c>
      <c r="AC34" s="203">
        <f>SUM(AB34*$Z$4)</f>
        <v>2170</v>
      </c>
      <c r="AD34" s="203">
        <f t="shared" si="61"/>
        <v>217</v>
      </c>
      <c r="AE34" s="203">
        <f>SUM(AD34*$Z$4)</f>
        <v>2170</v>
      </c>
      <c r="AF34" s="203">
        <f t="shared" si="62"/>
        <v>217</v>
      </c>
      <c r="AG34" s="203">
        <f>SUM(AF34*$Z$4)</f>
        <v>2170</v>
      </c>
      <c r="AH34" s="203">
        <f t="shared" si="63"/>
        <v>217</v>
      </c>
      <c r="AI34" s="203">
        <f>SUM(AH34*$Z$4)</f>
        <v>2170</v>
      </c>
      <c r="AJ34" s="203">
        <f t="shared" si="64"/>
        <v>217</v>
      </c>
      <c r="AK34" s="203">
        <f>SUM(AJ34*$Z$4)</f>
        <v>2170</v>
      </c>
      <c r="AL34" s="203">
        <f t="shared" si="65"/>
        <v>217</v>
      </c>
      <c r="AM34" s="203">
        <f>SUM(AL34*$Z$4)</f>
        <v>2170</v>
      </c>
      <c r="AN34" s="35">
        <f t="shared" si="66"/>
        <v>0.77500000000000002</v>
      </c>
      <c r="AO34" s="36">
        <f t="shared" si="67"/>
        <v>15190</v>
      </c>
      <c r="AQ34" s="223">
        <f>SUM(AR34/92970)</f>
        <v>0.69544563456127029</v>
      </c>
      <c r="AR34" s="38">
        <f t="shared" si="38"/>
        <v>64655.580645161303</v>
      </c>
      <c r="AS34" s="197">
        <f t="shared" si="47"/>
        <v>-2076.7419354838494</v>
      </c>
      <c r="AT34" s="340"/>
      <c r="AU34" s="549"/>
      <c r="AV34" s="485">
        <f>IF(AT34&gt;0,AU34,AV33)</f>
        <v>0.60399999999999998</v>
      </c>
      <c r="AW34" s="279">
        <f>-SUM('B5'!AI33)</f>
        <v>0</v>
      </c>
      <c r="AX34" s="279">
        <f t="shared" si="17"/>
        <v>-2076.7419354838494</v>
      </c>
      <c r="AY34" s="37">
        <f>SUM(AX34+AW34)</f>
        <v>-2076.7419354838494</v>
      </c>
      <c r="AZ34" s="100">
        <f>ELEC!A32</f>
        <v>0</v>
      </c>
      <c r="BA34" s="118">
        <f>'General information '!D33</f>
        <v>16.5</v>
      </c>
      <c r="BB34" s="378">
        <f>SUM('General information '!E33)</f>
        <v>0.47</v>
      </c>
      <c r="BC34" s="3"/>
      <c r="BD34" s="102"/>
      <c r="BE34" s="14"/>
      <c r="BF34" s="14"/>
      <c r="BG34" s="14"/>
      <c r="BH34" s="11"/>
      <c r="BI34">
        <v>21</v>
      </c>
      <c r="BJ34">
        <f t="shared" si="46"/>
        <v>-98.892473118278545</v>
      </c>
      <c r="BK34" s="538">
        <f>GEN!AF31</f>
        <v>0.36443750000012187</v>
      </c>
    </row>
    <row r="35" spans="1:63">
      <c r="A35" s="425">
        <f>ELEC!C33</f>
        <v>44560</v>
      </c>
      <c r="B35">
        <f>'B5'!B34</f>
        <v>209</v>
      </c>
      <c r="C35" s="203">
        <f>B35*$B$4</f>
        <v>4496.8709677419356</v>
      </c>
      <c r="D35">
        <f t="shared" si="48"/>
        <v>209</v>
      </c>
      <c r="E35" s="203">
        <f>D35*$B$4</f>
        <v>4496.8709677419356</v>
      </c>
      <c r="F35">
        <f t="shared" si="49"/>
        <v>209</v>
      </c>
      <c r="G35" s="203">
        <f>F35*$B$4</f>
        <v>4496.8709677419356</v>
      </c>
      <c r="H35" s="203">
        <f t="shared" si="50"/>
        <v>209</v>
      </c>
      <c r="I35" s="203">
        <f>H35*$B$4</f>
        <v>4496.8709677419356</v>
      </c>
      <c r="J35" s="203">
        <f t="shared" si="51"/>
        <v>209</v>
      </c>
      <c r="K35" s="203">
        <f>J35*$B$4</f>
        <v>4496.8709677419356</v>
      </c>
      <c r="L35" s="203">
        <f t="shared" si="52"/>
        <v>209</v>
      </c>
      <c r="M35" s="203">
        <f>L35*$B$4</f>
        <v>4496.8709677419356</v>
      </c>
      <c r="N35" s="203">
        <f t="shared" si="53"/>
        <v>209</v>
      </c>
      <c r="O35" s="203">
        <f>N35*$B$4</f>
        <v>4496.8709677419356</v>
      </c>
      <c r="P35" s="203">
        <f t="shared" si="54"/>
        <v>209</v>
      </c>
      <c r="Q35" s="203">
        <f>P35*$B$4</f>
        <v>4496.8709677419356</v>
      </c>
      <c r="R35" s="203">
        <f t="shared" si="55"/>
        <v>209</v>
      </c>
      <c r="S35" s="203">
        <f>R35*$B$4</f>
        <v>4496.8709677419356</v>
      </c>
      <c r="T35" s="203">
        <f t="shared" si="56"/>
        <v>209</v>
      </c>
      <c r="U35" s="203">
        <f>T35*$B$4</f>
        <v>4496.8709677419356</v>
      </c>
      <c r="V35" s="203">
        <f t="shared" si="57"/>
        <v>209</v>
      </c>
      <c r="W35" s="203">
        <f>V35*$B$4</f>
        <v>4496.8709677419356</v>
      </c>
      <c r="X35" s="35">
        <f t="shared" si="58"/>
        <v>0.67419354838709689</v>
      </c>
      <c r="Y35" s="36">
        <f t="shared" si="59"/>
        <v>49465.580645161303</v>
      </c>
      <c r="Z35" s="203">
        <f>'B5'!C34</f>
        <v>217</v>
      </c>
      <c r="AA35" s="203">
        <f>SUM(Z35*$Z$4)</f>
        <v>2170</v>
      </c>
      <c r="AB35" s="203">
        <f t="shared" si="60"/>
        <v>217</v>
      </c>
      <c r="AC35" s="203">
        <f>SUM(AB35*$Z$4)</f>
        <v>2170</v>
      </c>
      <c r="AD35" s="203">
        <f t="shared" si="61"/>
        <v>217</v>
      </c>
      <c r="AE35" s="203">
        <f>SUM(AD35*$Z$4)</f>
        <v>2170</v>
      </c>
      <c r="AF35" s="203">
        <f t="shared" si="62"/>
        <v>217</v>
      </c>
      <c r="AG35" s="203">
        <f>SUM(AF35*$Z$4)</f>
        <v>2170</v>
      </c>
      <c r="AH35" s="203">
        <f t="shared" si="63"/>
        <v>217</v>
      </c>
      <c r="AI35" s="203">
        <f>SUM(AH35*$Z$4)</f>
        <v>2170</v>
      </c>
      <c r="AJ35" s="203">
        <f t="shared" si="64"/>
        <v>217</v>
      </c>
      <c r="AK35" s="203">
        <f>SUM(AJ35*$Z$4)</f>
        <v>2170</v>
      </c>
      <c r="AL35" s="203">
        <f t="shared" si="65"/>
        <v>217</v>
      </c>
      <c r="AM35" s="203">
        <f>SUM(AL35*$Z$4)</f>
        <v>2170</v>
      </c>
      <c r="AN35" s="35">
        <f t="shared" si="66"/>
        <v>0.77500000000000002</v>
      </c>
      <c r="AO35" s="36">
        <f t="shared" si="67"/>
        <v>15190</v>
      </c>
      <c r="AQ35" s="223">
        <f>SUM(AR35/92970)</f>
        <v>0.69544563456127029</v>
      </c>
      <c r="AR35" s="38">
        <f t="shared" si="38"/>
        <v>64655.580645161303</v>
      </c>
      <c r="AS35" s="197">
        <f t="shared" si="47"/>
        <v>0</v>
      </c>
      <c r="AT35" s="340"/>
      <c r="AU35" s="549"/>
      <c r="AV35" s="539">
        <f>IF(AT35&gt;0,AU35,AV34)</f>
        <v>0.60399999999999998</v>
      </c>
      <c r="AW35" s="279">
        <f>-SUM('B5'!AI34)</f>
        <v>0</v>
      </c>
      <c r="AX35" s="279">
        <f t="shared" si="17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/>
      <c r="BD35" s="102"/>
      <c r="BE35" s="14"/>
      <c r="BF35" s="14"/>
      <c r="BG35" s="14"/>
      <c r="BH35" s="11"/>
      <c r="BI35">
        <v>22</v>
      </c>
      <c r="BJ35">
        <f t="shared" si="46"/>
        <v>0</v>
      </c>
      <c r="BK35" s="538" t="e">
        <f>GEN!AF32</f>
        <v>#DIV/0!</v>
      </c>
    </row>
    <row r="36" spans="1:63">
      <c r="A36" s="425">
        <f>ELEC!C34</f>
        <v>44561</v>
      </c>
      <c r="B36">
        <f>'B5'!B35</f>
        <v>209</v>
      </c>
      <c r="C36" s="203">
        <f>B36*$B$4</f>
        <v>4496.8709677419356</v>
      </c>
      <c r="D36">
        <f t="shared" ref="D36" si="68">SUM(B36)</f>
        <v>209</v>
      </c>
      <c r="E36" s="203">
        <f>D36*$B$4</f>
        <v>4496.8709677419356</v>
      </c>
      <c r="F36">
        <f t="shared" ref="F36" si="69">SUM(D36)</f>
        <v>209</v>
      </c>
      <c r="G36" s="203">
        <f>F36*$B$4</f>
        <v>4496.8709677419356</v>
      </c>
      <c r="H36" s="203">
        <f t="shared" ref="H36" si="70">SUM(F36)</f>
        <v>209</v>
      </c>
      <c r="I36" s="203">
        <f>H36*$B$4</f>
        <v>4496.8709677419356</v>
      </c>
      <c r="J36" s="203">
        <f t="shared" ref="J36" si="71">SUM(H36)</f>
        <v>209</v>
      </c>
      <c r="K36" s="203">
        <f>J36*$B$4</f>
        <v>4496.8709677419356</v>
      </c>
      <c r="L36" s="203">
        <f t="shared" ref="L36" si="72">SUM(J36)</f>
        <v>209</v>
      </c>
      <c r="M36" s="203">
        <f>L36*$B$4</f>
        <v>4496.8709677419356</v>
      </c>
      <c r="N36" s="203">
        <f t="shared" ref="N36" si="73">SUM(L36)</f>
        <v>209</v>
      </c>
      <c r="O36" s="203">
        <f>N36*$B$4</f>
        <v>4496.8709677419356</v>
      </c>
      <c r="P36" s="203">
        <f t="shared" ref="P36" si="74">SUM(N36)</f>
        <v>209</v>
      </c>
      <c r="Q36" s="203">
        <f>P36*$B$4</f>
        <v>4496.8709677419356</v>
      </c>
      <c r="R36" s="203">
        <f t="shared" ref="R36" si="75">SUM(P36)</f>
        <v>209</v>
      </c>
      <c r="S36" s="203">
        <f>R36*$B$4</f>
        <v>4496.8709677419356</v>
      </c>
      <c r="T36" s="203">
        <f t="shared" ref="T36" si="76">SUM(R36)</f>
        <v>209</v>
      </c>
      <c r="U36" s="203">
        <f>T36*$B$4</f>
        <v>4496.8709677419356</v>
      </c>
      <c r="V36" s="203">
        <f t="shared" ref="V36" si="77">SUM(T36)</f>
        <v>209</v>
      </c>
      <c r="W36" s="203">
        <f>V36*$B$4</f>
        <v>4496.8709677419356</v>
      </c>
      <c r="X36" s="35">
        <f t="shared" ref="X36" si="78">SUM(Y36/73370)</f>
        <v>0.67419354838709689</v>
      </c>
      <c r="Y36" s="36">
        <f t="shared" ref="Y36" si="79">SUM(C36+E36+G36+I36+K36+M36+O36+Q36+S36+U36+W36)</f>
        <v>49465.580645161303</v>
      </c>
      <c r="Z36" s="203">
        <f>'B5'!C35</f>
        <v>217</v>
      </c>
      <c r="AA36" s="203">
        <f>SUM(Z36*$Z$4)</f>
        <v>2170</v>
      </c>
      <c r="AB36" s="203">
        <f t="shared" ref="AB36" si="80">SUM(Z36)</f>
        <v>217</v>
      </c>
      <c r="AC36" s="203">
        <f>SUM(AB36*$Z$4)</f>
        <v>2170</v>
      </c>
      <c r="AD36" s="203">
        <f t="shared" ref="AD36" si="81">SUM(AB36)</f>
        <v>217</v>
      </c>
      <c r="AE36" s="203">
        <f>SUM(AD36*$Z$4)</f>
        <v>2170</v>
      </c>
      <c r="AF36" s="203">
        <f t="shared" ref="AF36" si="82">SUM(AD36)</f>
        <v>217</v>
      </c>
      <c r="AG36" s="203">
        <f>SUM(AF36*$Z$4)</f>
        <v>2170</v>
      </c>
      <c r="AH36" s="203">
        <f t="shared" ref="AH36" si="83">SUM(AF36)</f>
        <v>217</v>
      </c>
      <c r="AI36" s="203">
        <f>SUM(AH36*$Z$4)</f>
        <v>2170</v>
      </c>
      <c r="AJ36" s="203">
        <f t="shared" ref="AJ36" si="84">SUM(AH36)</f>
        <v>217</v>
      </c>
      <c r="AK36" s="203">
        <f>SUM(AJ36*$Z$4)</f>
        <v>2170</v>
      </c>
      <c r="AL36" s="203">
        <f t="shared" ref="AL36" si="85">SUM(AJ36)</f>
        <v>217</v>
      </c>
      <c r="AM36" s="203">
        <f>SUM(AL36*$Z$4)</f>
        <v>2170</v>
      </c>
      <c r="AN36" s="35">
        <f t="shared" ref="AN36" si="86">SUM(AO36/19600)</f>
        <v>0.77500000000000002</v>
      </c>
      <c r="AO36" s="36">
        <f t="shared" ref="AO36" si="87">SUM(AA36+AC36+AE36+AG36+AI36+AK36+AM36)</f>
        <v>15190</v>
      </c>
      <c r="AQ36" s="223">
        <f>SUM(AR36/92970)</f>
        <v>0.69544563456127029</v>
      </c>
      <c r="AR36" s="38">
        <f t="shared" si="38"/>
        <v>64655.580645161303</v>
      </c>
      <c r="AS36" s="197">
        <f t="shared" si="47"/>
        <v>0</v>
      </c>
      <c r="AT36" s="340"/>
      <c r="AU36" s="549"/>
      <c r="AV36" s="539">
        <f>IF(AT36&gt;0,AU36,AV35)</f>
        <v>0.60399999999999998</v>
      </c>
      <c r="AW36" s="279">
        <f>-SUM('B5'!AI36)</f>
        <v>0</v>
      </c>
      <c r="AX36" s="279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17"/>
      <c r="BD36" s="565"/>
      <c r="BE36" s="566"/>
      <c r="BF36" s="566"/>
      <c r="BG36" s="566"/>
      <c r="BH36" s="567"/>
      <c r="BI36">
        <v>23</v>
      </c>
      <c r="BJ36">
        <f t="shared" si="46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4</v>
      </c>
      <c r="AT37" s="203">
        <f>SUM(AT6:AT36)</f>
        <v>35000</v>
      </c>
      <c r="AU37" s="545">
        <f>SUM(AU6:AU36)/AS37</f>
        <v>0.61225000000000007</v>
      </c>
      <c r="AX37" s="203">
        <f>SUM(AX6:AX36)</f>
        <v>-35049.096774193531</v>
      </c>
      <c r="AY37" s="203">
        <f>SUM(AY6:AY36)</f>
        <v>-37620.096774193531</v>
      </c>
    </row>
    <row r="38" spans="1:63">
      <c r="AS38" s="206"/>
      <c r="AT38" s="82">
        <f>+AT37*AU37</f>
        <v>21428.750000000004</v>
      </c>
    </row>
    <row r="40" spans="1:63">
      <c r="AS40" s="165">
        <f>SUM(AS6:AS36)/'EDl log'!A35</f>
        <v>-3420.0087976539576</v>
      </c>
      <c r="AT40" s="203"/>
    </row>
    <row r="41" spans="1:63">
      <c r="AX41">
        <v>43309</v>
      </c>
    </row>
    <row r="42" spans="1:63">
      <c r="AR42" s="203">
        <f>AR36-22000</f>
        <v>42655.580645161303</v>
      </c>
      <c r="AU42" s="203"/>
      <c r="AX42">
        <f>AX37/AX41</f>
        <v>-0.80927975188052204</v>
      </c>
    </row>
    <row r="43" spans="1:63">
      <c r="AR43">
        <f>AR42/5500</f>
        <v>7.7555601173020552</v>
      </c>
    </row>
    <row r="44" spans="1:63">
      <c r="AR44">
        <f>AR43*2</f>
        <v>15.51112023460411</v>
      </c>
    </row>
    <row r="45" spans="1:63">
      <c r="AR45" s="203"/>
    </row>
    <row r="46" spans="1:63">
      <c r="AT46" s="623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A4" zoomScale="70" zoomScaleNormal="70" workbookViewId="0">
      <selection activeCell="U32" sqref="U3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4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log'!$A$33</f>
        <v>44530</v>
      </c>
      <c r="B3" s="254">
        <f>'[2]EDl log'!B33</f>
        <v>1102959</v>
      </c>
      <c r="C3" s="254">
        <f>'[2]EDl log'!C33</f>
        <v>0</v>
      </c>
      <c r="D3" s="254">
        <f>'[2]EDl log'!D33</f>
        <v>0</v>
      </c>
      <c r="E3" s="254">
        <f>'[2]EDl log'!E33</f>
        <v>1102959</v>
      </c>
      <c r="F3" s="254">
        <f>'[2]EDl log'!F33</f>
        <v>159873</v>
      </c>
      <c r="G3" s="254">
        <f>'[2]EDl log'!G33</f>
        <v>0</v>
      </c>
      <c r="H3" s="254">
        <f>'[2]EDl log'!H33</f>
        <v>543471</v>
      </c>
      <c r="I3" s="254">
        <f>'[2]EDl log'!I33</f>
        <v>0</v>
      </c>
      <c r="J3" s="254">
        <f>'[2]EDl log'!J33</f>
        <v>399616</v>
      </c>
      <c r="K3" s="254">
        <f>'[2]EDl log'!K33</f>
        <v>0</v>
      </c>
      <c r="L3" s="254">
        <f>'[2]EDl log'!L33</f>
        <v>0</v>
      </c>
      <c r="M3" s="254">
        <f>'[2]EDl log'!M33</f>
        <v>0</v>
      </c>
      <c r="N3" s="254">
        <f>'[2]EDl log'!N33</f>
        <v>0</v>
      </c>
      <c r="O3" s="254">
        <f>'[2]EDl log'!O33</f>
        <v>159.96313985627418</v>
      </c>
      <c r="P3" s="254">
        <f>'[2]EDl log'!P33</f>
        <v>159.96313985627418</v>
      </c>
      <c r="Q3" s="254">
        <f>'[2]EDl log'!Q33</f>
        <v>1537.5322064516081</v>
      </c>
      <c r="R3" s="254">
        <f>'[2]EDl log'!R33</f>
        <v>1697.4953463078823</v>
      </c>
      <c r="S3" s="254">
        <f>'[2]EDl log'!S33</f>
        <v>6695</v>
      </c>
      <c r="T3" s="254">
        <f>'[2]EDl log'!T33</f>
        <v>0.25354672835069192</v>
      </c>
      <c r="Z3" t="s">
        <v>213</v>
      </c>
      <c r="AA3">
        <v>0.1</v>
      </c>
    </row>
    <row r="4" spans="1:32" ht="20.100000000000001" customHeight="1">
      <c r="A4" s="163">
        <f>ELEC!C4</f>
        <v>44531</v>
      </c>
      <c r="B4" s="536">
        <f>B3</f>
        <v>1102959</v>
      </c>
      <c r="C4" s="254">
        <f t="shared" ref="C4:C30" si="0">SUM(B4-B3)</f>
        <v>0</v>
      </c>
      <c r="D4" s="295">
        <f>SUM(G4+I4+K4)</f>
        <v>0</v>
      </c>
      <c r="E4" s="295">
        <f>B3+D4</f>
        <v>1102959</v>
      </c>
      <c r="F4" s="540">
        <f>F3</f>
        <v>159873</v>
      </c>
      <c r="G4" s="160">
        <f t="shared" ref="G4:G30" si="1">F4-F3</f>
        <v>0</v>
      </c>
      <c r="H4" s="540">
        <f>H3</f>
        <v>543471</v>
      </c>
      <c r="I4" s="161">
        <f t="shared" ref="I4:I30" si="2">H4-H3</f>
        <v>0</v>
      </c>
      <c r="J4" s="594">
        <f>J3</f>
        <v>399616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154.80303857058792</v>
      </c>
      <c r="Q4" s="285">
        <f>SUM(-tanks!AX6*tanks!$AU$37)</f>
        <v>1416.3909999999928</v>
      </c>
      <c r="R4" s="285">
        <f>SUM(P4:Q4)</f>
        <v>1571.1940385705807</v>
      </c>
      <c r="S4" s="287">
        <f>SUM(ELEC!N4)</f>
        <v>6332</v>
      </c>
      <c r="T4" s="321">
        <f>IF(S4&gt;0,R4/S4,0)</f>
        <v>0.24813550830236586</v>
      </c>
      <c r="U4" s="245"/>
      <c r="V4" s="166" t="s">
        <v>200</v>
      </c>
      <c r="W4" s="167">
        <v>44521</v>
      </c>
      <c r="X4" s="168"/>
      <c r="Y4" s="168"/>
      <c r="Z4" s="169" t="s">
        <v>201</v>
      </c>
      <c r="AA4" s="168"/>
      <c r="AB4" s="661"/>
      <c r="AC4" s="662"/>
    </row>
    <row r="5" spans="1:32" ht="20.100000000000001" customHeight="1">
      <c r="A5" s="163">
        <f>ELEC!C5</f>
        <v>44532</v>
      </c>
      <c r="B5" s="607">
        <f t="shared" ref="B5:B34" si="7">B4</f>
        <v>1102959</v>
      </c>
      <c r="C5" s="254">
        <f t="shared" si="0"/>
        <v>0</v>
      </c>
      <c r="D5" s="295">
        <f>SUM(G5+I5+K5)</f>
        <v>0</v>
      </c>
      <c r="E5" s="295">
        <f>B4+D5</f>
        <v>1102959</v>
      </c>
      <c r="F5" s="607">
        <f t="shared" ref="F5:F34" si="8">F4</f>
        <v>159873</v>
      </c>
      <c r="G5" s="160">
        <f t="shared" si="1"/>
        <v>0</v>
      </c>
      <c r="H5" s="607">
        <f t="shared" ref="H5:H34" si="9">H4</f>
        <v>543471</v>
      </c>
      <c r="I5" s="161">
        <f t="shared" si="2"/>
        <v>0</v>
      </c>
      <c r="J5" s="607">
        <f t="shared" ref="J5:J34" si="10">J4</f>
        <v>399616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1169.4370000000079</v>
      </c>
      <c r="R5" s="285">
        <f t="shared" ref="R5:R30" si="13">SUM(P5:Q5)</f>
        <v>1324.2400385705957</v>
      </c>
      <c r="S5" s="287">
        <f>SUM(ELEC!N5)</f>
        <v>5540</v>
      </c>
      <c r="T5" s="321">
        <f>IF(S5&gt;0,R5/S5,0)</f>
        <v>0.23903249793693063</v>
      </c>
      <c r="U5" s="245"/>
      <c r="V5" s="655"/>
      <c r="W5" s="656"/>
      <c r="X5" s="656"/>
      <c r="Y5" s="657"/>
      <c r="Z5" s="26" t="s">
        <v>202</v>
      </c>
      <c r="AA5" s="26">
        <v>5000</v>
      </c>
      <c r="AB5" s="663"/>
      <c r="AC5" s="664"/>
    </row>
    <row r="6" spans="1:32" ht="20.100000000000001" customHeight="1">
      <c r="A6" s="163">
        <f>ELEC!C6</f>
        <v>44533</v>
      </c>
      <c r="B6" s="607">
        <f t="shared" si="7"/>
        <v>1102959</v>
      </c>
      <c r="C6" s="254">
        <f t="shared" si="0"/>
        <v>0</v>
      </c>
      <c r="D6" s="295">
        <f t="shared" ref="D6:D33" si="14">SUM(G6+I6+K6)</f>
        <v>0</v>
      </c>
      <c r="E6" s="295">
        <f t="shared" ref="E6:E30" si="15">B5+D6</f>
        <v>1102959</v>
      </c>
      <c r="F6" s="607">
        <f t="shared" si="8"/>
        <v>159873</v>
      </c>
      <c r="G6" s="160">
        <f t="shared" si="1"/>
        <v>0</v>
      </c>
      <c r="H6" s="607">
        <f t="shared" si="9"/>
        <v>543471</v>
      </c>
      <c r="I6" s="161">
        <f t="shared" si="2"/>
        <v>0</v>
      </c>
      <c r="J6" s="607">
        <f t="shared" si="10"/>
        <v>399616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0</v>
      </c>
      <c r="R6" s="285">
        <f t="shared" si="13"/>
        <v>154.80303857058792</v>
      </c>
      <c r="S6" s="287">
        <f>SUM(ELEC!N6)</f>
        <v>0</v>
      </c>
      <c r="T6" s="321">
        <f t="shared" ref="T6:T30" si="16">IF(S6&gt;0,R6/S6,0)</f>
        <v>0</v>
      </c>
      <c r="V6" s="658"/>
      <c r="W6" s="659"/>
      <c r="X6" s="659"/>
      <c r="Y6" s="660"/>
      <c r="Z6" s="667"/>
      <c r="AA6" s="668"/>
      <c r="AB6" s="663"/>
      <c r="AC6" s="664"/>
    </row>
    <row r="7" spans="1:32" ht="20.100000000000001" customHeight="1">
      <c r="A7" s="163">
        <f>ELEC!C7</f>
        <v>44534</v>
      </c>
      <c r="B7" s="607">
        <f t="shared" si="7"/>
        <v>1102959</v>
      </c>
      <c r="C7" s="254">
        <f t="shared" si="0"/>
        <v>0</v>
      </c>
      <c r="D7" s="295">
        <f t="shared" si="14"/>
        <v>0</v>
      </c>
      <c r="E7" s="295">
        <f t="shared" si="15"/>
        <v>1102959</v>
      </c>
      <c r="F7" s="607">
        <f t="shared" si="8"/>
        <v>159873</v>
      </c>
      <c r="G7" s="160">
        <f t="shared" si="1"/>
        <v>0</v>
      </c>
      <c r="H7" s="607">
        <f t="shared" si="9"/>
        <v>543471</v>
      </c>
      <c r="I7" s="161">
        <f t="shared" si="2"/>
        <v>0</v>
      </c>
      <c r="J7" s="607">
        <f t="shared" si="10"/>
        <v>399616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>
        <f>SUM(-tanks!AX9*tanks!$AU$37)</f>
        <v>0</v>
      </c>
      <c r="R7" s="285">
        <f t="shared" si="13"/>
        <v>154.80303857058792</v>
      </c>
      <c r="S7" s="287">
        <f>SUM(ELEC!N7)</f>
        <v>0</v>
      </c>
      <c r="T7" s="321">
        <f t="shared" si="16"/>
        <v>0</v>
      </c>
      <c r="V7" s="650" t="s">
        <v>203</v>
      </c>
      <c r="W7" s="651"/>
      <c r="X7" s="652" t="s">
        <v>204</v>
      </c>
      <c r="Y7" s="653"/>
      <c r="Z7" s="654"/>
      <c r="AA7" s="170"/>
      <c r="AB7" s="665"/>
      <c r="AC7" s="666"/>
    </row>
    <row r="8" spans="1:32" ht="20.100000000000001" customHeight="1">
      <c r="A8" s="163">
        <f>ELEC!C8</f>
        <v>44535</v>
      </c>
      <c r="B8" s="607">
        <f t="shared" si="7"/>
        <v>1102959</v>
      </c>
      <c r="C8" s="254">
        <f t="shared" si="0"/>
        <v>0</v>
      </c>
      <c r="D8" s="295">
        <f t="shared" si="14"/>
        <v>0</v>
      </c>
      <c r="E8" s="295">
        <f t="shared" si="15"/>
        <v>1102959</v>
      </c>
      <c r="F8" s="607">
        <f t="shared" si="8"/>
        <v>159873</v>
      </c>
      <c r="G8" s="160">
        <f t="shared" si="1"/>
        <v>0</v>
      </c>
      <c r="H8" s="607">
        <f t="shared" si="9"/>
        <v>543471</v>
      </c>
      <c r="I8" s="161">
        <f t="shared" si="2"/>
        <v>0</v>
      </c>
      <c r="J8" s="607">
        <f t="shared" si="10"/>
        <v>399616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81.62675000000317</v>
      </c>
      <c r="R8" s="285">
        <f t="shared" si="13"/>
        <v>236.42978857059109</v>
      </c>
      <c r="S8" s="287">
        <f>SUM(ELEC!N8)</f>
        <v>6729</v>
      </c>
      <c r="T8" s="321">
        <f>IF(S8&gt;0,R8/S8,0)</f>
        <v>3.5135947179460704E-2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44536</v>
      </c>
      <c r="B9" s="607">
        <v>1103918</v>
      </c>
      <c r="C9" s="254">
        <f t="shared" si="0"/>
        <v>959</v>
      </c>
      <c r="D9" s="295">
        <f t="shared" si="14"/>
        <v>958</v>
      </c>
      <c r="E9" s="295">
        <f t="shared" si="15"/>
        <v>1103917</v>
      </c>
      <c r="F9" s="607">
        <v>159985</v>
      </c>
      <c r="G9" s="160">
        <f t="shared" si="1"/>
        <v>112</v>
      </c>
      <c r="H9" s="607">
        <v>544226</v>
      </c>
      <c r="I9" s="161">
        <f t="shared" si="2"/>
        <v>755</v>
      </c>
      <c r="J9" s="607">
        <v>399707</v>
      </c>
      <c r="K9" s="162">
        <f>J9-J8</f>
        <v>91</v>
      </c>
      <c r="L9" s="284">
        <f t="shared" si="3"/>
        <v>23.77446102819237</v>
      </c>
      <c r="M9" s="284">
        <f t="shared" si="4"/>
        <v>56.092868988391373</v>
      </c>
      <c r="N9" s="284">
        <f t="shared" si="5"/>
        <v>4.8291873963515757</v>
      </c>
      <c r="O9" s="284">
        <f t="shared" si="6"/>
        <v>154.80303857058792</v>
      </c>
      <c r="P9" s="285">
        <f t="shared" si="12"/>
        <v>239.49955598352324</v>
      </c>
      <c r="Q9" s="285">
        <f>SUM(-tanks!AX11*tanks!$AU$37)</f>
        <v>1032.7077499999868</v>
      </c>
      <c r="R9" s="285">
        <f>SUM(P9:Q9)</f>
        <v>1272.2073059835102</v>
      </c>
      <c r="S9" s="287">
        <f>SUM(ELEC!N9)</f>
        <v>4979</v>
      </c>
      <c r="T9" s="321">
        <f t="shared" si="16"/>
        <v>0.25551462261167107</v>
      </c>
      <c r="V9" s="246">
        <f>'[2]EDl log'!V26</f>
        <v>399615</v>
      </c>
      <c r="W9" s="246">
        <f>'[2]EDl log'!W26</f>
        <v>399616</v>
      </c>
      <c r="X9" s="172" t="s">
        <v>199</v>
      </c>
      <c r="Y9" s="172">
        <f>'[2]EDl log'!Y26</f>
        <v>80</v>
      </c>
      <c r="Z9" s="172">
        <f>'[2]EDl log'!Z26</f>
        <v>1</v>
      </c>
      <c r="AA9" s="172">
        <f>'[2]EDl log'!AA26</f>
        <v>1</v>
      </c>
      <c r="AB9" s="323">
        <f>'[2]EDl log'!AB26</f>
        <v>80</v>
      </c>
      <c r="AC9" s="323">
        <f>'[2]EDl log'!AC26</f>
        <v>1033333</v>
      </c>
      <c r="AD9" s="378" t="e">
        <f>'[2]EDl log'!AD26</f>
        <v>#VALUE!</v>
      </c>
    </row>
    <row r="10" spans="1:32" ht="20.100000000000001" customHeight="1">
      <c r="A10" s="163">
        <f>ELEC!C10</f>
        <v>44537</v>
      </c>
      <c r="B10" s="607">
        <v>1104026</v>
      </c>
      <c r="C10" s="254">
        <f t="shared" si="0"/>
        <v>108</v>
      </c>
      <c r="D10" s="295">
        <f t="shared" si="14"/>
        <v>107</v>
      </c>
      <c r="E10" s="295">
        <f t="shared" si="15"/>
        <v>1104025</v>
      </c>
      <c r="F10" s="607">
        <v>159985</v>
      </c>
      <c r="G10" s="160">
        <f t="shared" si="1"/>
        <v>0</v>
      </c>
      <c r="H10" s="607">
        <v>544333</v>
      </c>
      <c r="I10" s="161">
        <f t="shared" si="2"/>
        <v>107</v>
      </c>
      <c r="J10" s="607">
        <f t="shared" si="10"/>
        <v>399707</v>
      </c>
      <c r="K10" s="162">
        <f t="shared" si="11"/>
        <v>0</v>
      </c>
      <c r="L10" s="284">
        <f t="shared" si="3"/>
        <v>0</v>
      </c>
      <c r="M10" s="284">
        <f t="shared" si="4"/>
        <v>7.9495854063018241</v>
      </c>
      <c r="N10" s="284">
        <f t="shared" si="5"/>
        <v>0</v>
      </c>
      <c r="O10" s="284">
        <f t="shared" si="6"/>
        <v>154.80303857058792</v>
      </c>
      <c r="P10" s="285">
        <f t="shared" si="12"/>
        <v>162.75262397688974</v>
      </c>
      <c r="Q10" s="285">
        <f>SUM(-tanks!AX12*tanks!$AU$37)</f>
        <v>1643.5357500000196</v>
      </c>
      <c r="R10" s="285">
        <f t="shared" si="13"/>
        <v>1806.2883739769093</v>
      </c>
      <c r="S10" s="287">
        <f>SUM(ELEC!N10)</f>
        <v>5333</v>
      </c>
      <c r="T10" s="321">
        <f t="shared" si="16"/>
        <v>0.33870023888560086</v>
      </c>
      <c r="V10" s="246">
        <f>'[2]EDl log'!V27</f>
        <v>540744</v>
      </c>
      <c r="W10" s="246">
        <f>'[2]EDl log'!W27</f>
        <v>543471</v>
      </c>
      <c r="X10" s="172" t="s">
        <v>212</v>
      </c>
      <c r="Y10" s="172">
        <f>'[2]EDl log'!Y27</f>
        <v>112</v>
      </c>
      <c r="Z10" s="172">
        <f>'[2]EDl log'!Z27</f>
        <v>1</v>
      </c>
      <c r="AA10" s="172">
        <f>'[2]EDl log'!AA27</f>
        <v>2727</v>
      </c>
      <c r="AB10" s="323">
        <f>'[2]EDl log'!AB27</f>
        <v>305424</v>
      </c>
      <c r="AC10" s="323">
        <f>'[2]EDl log'!AC27</f>
        <v>6200000</v>
      </c>
      <c r="AD10" s="378">
        <f>'[2]EDl log'!AD27</f>
        <v>0.90118968935888966</v>
      </c>
    </row>
    <row r="11" spans="1:32" ht="20.100000000000001" customHeight="1">
      <c r="A11" s="163">
        <f>ELEC!C11</f>
        <v>44538</v>
      </c>
      <c r="B11" s="607">
        <v>1104238</v>
      </c>
      <c r="C11" s="254">
        <f t="shared" si="0"/>
        <v>212</v>
      </c>
      <c r="D11" s="295">
        <f t="shared" si="14"/>
        <v>213</v>
      </c>
      <c r="E11" s="295">
        <f t="shared" si="15"/>
        <v>1104239</v>
      </c>
      <c r="F11" s="607">
        <v>160049</v>
      </c>
      <c r="G11" s="160">
        <f t="shared" si="1"/>
        <v>64</v>
      </c>
      <c r="H11" s="607">
        <v>544482</v>
      </c>
      <c r="I11" s="161">
        <f t="shared" si="2"/>
        <v>149</v>
      </c>
      <c r="J11" s="607">
        <f t="shared" si="10"/>
        <v>399707</v>
      </c>
      <c r="K11" s="162">
        <f t="shared" si="11"/>
        <v>0</v>
      </c>
      <c r="L11" s="284">
        <f t="shared" si="3"/>
        <v>13.585406301824213</v>
      </c>
      <c r="M11" s="284">
        <f t="shared" si="4"/>
        <v>11.069983416252073</v>
      </c>
      <c r="N11" s="284">
        <f t="shared" si="5"/>
        <v>0</v>
      </c>
      <c r="O11" s="284">
        <f t="shared" si="6"/>
        <v>154.80303857058792</v>
      </c>
      <c r="P11" s="285">
        <f t="shared" si="12"/>
        <v>179.45842828866421</v>
      </c>
      <c r="Q11" s="285">
        <f>SUM(-tanks!AX13*tanks!$AU$37)</f>
        <v>1228.6277499999869</v>
      </c>
      <c r="R11" s="285">
        <f t="shared" si="13"/>
        <v>1408.0861782886511</v>
      </c>
      <c r="S11" s="287">
        <f>SUM(ELEC!N11)</f>
        <v>5724</v>
      </c>
      <c r="T11" s="321">
        <f t="shared" si="16"/>
        <v>0.24599688649347504</v>
      </c>
      <c r="V11" s="246">
        <f>'[2]EDl log'!V28</f>
        <v>159573</v>
      </c>
      <c r="W11" s="246">
        <f>'[2]EDl log'!W28</f>
        <v>159873</v>
      </c>
      <c r="X11" s="172" t="s">
        <v>197</v>
      </c>
      <c r="Y11" s="172">
        <f>'[2]EDl log'!Y28</f>
        <v>320</v>
      </c>
      <c r="Z11" s="172">
        <f>'[2]EDl log'!Z28</f>
        <v>1</v>
      </c>
      <c r="AA11" s="172">
        <f>'[2]EDl log'!AA28</f>
        <v>300</v>
      </c>
      <c r="AB11" s="323">
        <f>'[2]EDl log'!AB28</f>
        <v>96000</v>
      </c>
      <c r="AC11" s="323">
        <f>'[2]EDl log'!AC28</f>
        <v>1000</v>
      </c>
      <c r="AD11" s="378">
        <f>'[2]EDl log'!AD28</f>
        <v>9.9140779907468599E-2</v>
      </c>
      <c r="AE11" s="40">
        <f>SUM(AB11*5%)</f>
        <v>4800</v>
      </c>
      <c r="AF11" s="82">
        <f>SUM(AE11/7)*31</f>
        <v>21257.142857142855</v>
      </c>
    </row>
    <row r="12" spans="1:32" ht="20.100000000000001" customHeight="1">
      <c r="A12" s="163">
        <f>ELEC!C12</f>
        <v>44539</v>
      </c>
      <c r="B12" s="607">
        <v>1104346</v>
      </c>
      <c r="C12" s="254">
        <f t="shared" si="0"/>
        <v>108</v>
      </c>
      <c r="D12" s="295">
        <f t="shared" si="14"/>
        <v>108</v>
      </c>
      <c r="E12" s="295">
        <f t="shared" si="15"/>
        <v>1104346</v>
      </c>
      <c r="F12" s="607">
        <v>160049</v>
      </c>
      <c r="G12" s="160">
        <f t="shared" si="1"/>
        <v>0</v>
      </c>
      <c r="H12" s="607">
        <v>544590</v>
      </c>
      <c r="I12" s="161">
        <f t="shared" si="2"/>
        <v>108</v>
      </c>
      <c r="J12" s="607">
        <f t="shared" si="10"/>
        <v>399707</v>
      </c>
      <c r="K12" s="162">
        <f t="shared" si="11"/>
        <v>0</v>
      </c>
      <c r="L12" s="284">
        <f t="shared" si="3"/>
        <v>0</v>
      </c>
      <c r="M12" s="284">
        <f t="shared" si="4"/>
        <v>8.0238805970149247</v>
      </c>
      <c r="N12" s="284">
        <f t="shared" si="5"/>
        <v>0</v>
      </c>
      <c r="O12" s="284">
        <f t="shared" si="6"/>
        <v>154.80303857058792</v>
      </c>
      <c r="P12" s="285">
        <f t="shared" si="12"/>
        <v>162.82691916760285</v>
      </c>
      <c r="Q12" s="285">
        <f>SUM(-tanks!AX14*tanks!$AU$37)</f>
        <v>1314.3427500000048</v>
      </c>
      <c r="R12" s="285">
        <f t="shared" si="13"/>
        <v>1477.1696691676077</v>
      </c>
      <c r="S12" s="287">
        <f>SUM(ELEC!N12)</f>
        <v>4995</v>
      </c>
      <c r="T12" s="321">
        <f t="shared" si="16"/>
        <v>0.29572966349701857</v>
      </c>
      <c r="V12" s="213"/>
      <c r="W12" s="214"/>
      <c r="X12" s="214"/>
      <c r="Y12" s="215"/>
      <c r="Z12" s="3"/>
      <c r="AA12" s="172">
        <f>'[2]EDl log'!AA29</f>
        <v>3028</v>
      </c>
      <c r="AB12" s="323">
        <f>'[2]EDl log'!AB29</f>
        <v>401504</v>
      </c>
      <c r="AC12" s="323">
        <f>'[2]EDl log'!AC29</f>
        <v>7234333</v>
      </c>
      <c r="AD12" s="323"/>
    </row>
    <row r="13" spans="1:32" ht="20.100000000000001" customHeight="1">
      <c r="A13" s="163">
        <f>ELEC!C13</f>
        <v>44540</v>
      </c>
      <c r="B13" s="607">
        <f t="shared" si="7"/>
        <v>1104346</v>
      </c>
      <c r="C13" s="254">
        <f t="shared" si="0"/>
        <v>0</v>
      </c>
      <c r="D13" s="295">
        <f t="shared" si="14"/>
        <v>0</v>
      </c>
      <c r="E13" s="295">
        <f t="shared" si="15"/>
        <v>1104346</v>
      </c>
      <c r="F13" s="607">
        <f t="shared" si="8"/>
        <v>160049</v>
      </c>
      <c r="G13" s="160">
        <f t="shared" si="1"/>
        <v>0</v>
      </c>
      <c r="H13" s="607">
        <f t="shared" si="9"/>
        <v>544590</v>
      </c>
      <c r="I13" s="161">
        <f t="shared" si="2"/>
        <v>0</v>
      </c>
      <c r="J13" s="607">
        <f t="shared" si="10"/>
        <v>399707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154.80303857058792</v>
      </c>
      <c r="P13" s="285">
        <f t="shared" si="12"/>
        <v>154.80303857058792</v>
      </c>
      <c r="Q13" s="285">
        <f>SUM(-tanks!AX15*tanks!$AU$37)</f>
        <v>0</v>
      </c>
      <c r="R13" s="285">
        <f t="shared" si="13"/>
        <v>154.80303857058792</v>
      </c>
      <c r="S13" s="287">
        <f>SUM(ELEC!N13)</f>
        <v>0</v>
      </c>
      <c r="T13" s="321">
        <f>IF(S13&gt;0,R13/S13,0)</f>
        <v>0</v>
      </c>
      <c r="V13" s="216" t="s">
        <v>314</v>
      </c>
      <c r="W13" s="424">
        <f>'[2]General information '!F19</f>
        <v>0</v>
      </c>
      <c r="X13" s="217"/>
      <c r="Y13" s="218" t="s">
        <v>327</v>
      </c>
      <c r="Z13" s="3"/>
      <c r="AA13" s="323">
        <f>'[2]EDl log'!AA30</f>
        <v>0</v>
      </c>
      <c r="AB13" s="323">
        <f>'[2]EDl log'!AB30</f>
        <v>7635837</v>
      </c>
      <c r="AC13" s="323">
        <f>'[2]EDl log'!AC30</f>
        <v>0</v>
      </c>
      <c r="AD13" s="323"/>
    </row>
    <row r="14" spans="1:32" ht="20.100000000000001" customHeight="1">
      <c r="A14" s="163">
        <f>ELEC!C14</f>
        <v>44541</v>
      </c>
      <c r="B14" s="607">
        <f t="shared" si="7"/>
        <v>1104346</v>
      </c>
      <c r="C14" s="254">
        <f t="shared" si="0"/>
        <v>0</v>
      </c>
      <c r="D14" s="295">
        <f t="shared" si="14"/>
        <v>0</v>
      </c>
      <c r="E14" s="295">
        <f t="shared" si="15"/>
        <v>1104346</v>
      </c>
      <c r="F14" s="607">
        <f t="shared" si="8"/>
        <v>160049</v>
      </c>
      <c r="G14" s="160">
        <f t="shared" si="1"/>
        <v>0</v>
      </c>
      <c r="H14" s="607">
        <f t="shared" si="9"/>
        <v>544590</v>
      </c>
      <c r="I14" s="161">
        <f t="shared" si="2"/>
        <v>0</v>
      </c>
      <c r="J14" s="607">
        <f t="shared" si="10"/>
        <v>399707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0</v>
      </c>
      <c r="R14" s="285">
        <f>SUM(P14:Q14)</f>
        <v>154.80303857058792</v>
      </c>
      <c r="S14" s="287">
        <f>SUM(ELEC!N14)</f>
        <v>0</v>
      </c>
      <c r="T14" s="321">
        <f>IF(S14&gt;0,R14/S14,0)</f>
        <v>0</v>
      </c>
      <c r="V14" s="216"/>
      <c r="W14" s="514"/>
      <c r="X14" s="217"/>
      <c r="Y14" s="218"/>
      <c r="Z14" s="3"/>
      <c r="AA14" s="323">
        <f>'[2]EDl log'!AA31</f>
        <v>0</v>
      </c>
      <c r="AB14" s="323">
        <f>'[2]EDl log'!AB31</f>
        <v>0</v>
      </c>
      <c r="AC14" s="323">
        <f>'[2]EDl log'!AC31</f>
        <v>0</v>
      </c>
      <c r="AD14" s="323"/>
    </row>
    <row r="15" spans="1:32" ht="20.100000000000001" customHeight="1">
      <c r="A15" s="163">
        <f>ELEC!C15</f>
        <v>44542</v>
      </c>
      <c r="B15" s="607">
        <f t="shared" si="7"/>
        <v>1104346</v>
      </c>
      <c r="C15" s="254">
        <f t="shared" si="0"/>
        <v>0</v>
      </c>
      <c r="D15" s="295">
        <f t="shared" si="14"/>
        <v>0</v>
      </c>
      <c r="E15" s="295">
        <f t="shared" si="15"/>
        <v>1104346</v>
      </c>
      <c r="F15" s="607">
        <f t="shared" si="8"/>
        <v>160049</v>
      </c>
      <c r="G15" s="160">
        <f t="shared" si="1"/>
        <v>0</v>
      </c>
      <c r="H15" s="607">
        <f t="shared" si="9"/>
        <v>544590</v>
      </c>
      <c r="I15" s="161">
        <f t="shared" si="2"/>
        <v>0</v>
      </c>
      <c r="J15" s="607">
        <f t="shared" si="10"/>
        <v>399707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909.42824999999766</v>
      </c>
      <c r="R15" s="285">
        <f>SUM(P15:Q15)</f>
        <v>1064.2312885705855</v>
      </c>
      <c r="S15" s="287">
        <f>SUM(ELEC!N15)</f>
        <v>6833</v>
      </c>
      <c r="T15" s="321">
        <f>IF(S15&gt;0,R15/S15,0)</f>
        <v>0.15574876168163113</v>
      </c>
      <c r="V15" s="216" t="s">
        <v>315</v>
      </c>
      <c r="W15" s="541">
        <f>'[2]EDl log'!$W$32</f>
        <v>222</v>
      </c>
      <c r="X15" s="222">
        <f>'[2]EDl log'!$X$32</f>
        <v>27.75</v>
      </c>
      <c r="Y15" s="250">
        <f>'[2]EDl log'!$Y$32</f>
        <v>27.75</v>
      </c>
      <c r="Z15" s="3"/>
      <c r="AA15" s="323">
        <f>'[2]EDl log'!AA32</f>
        <v>0</v>
      </c>
      <c r="AB15" s="323">
        <f>'[2]EDl log'!AB32</f>
        <v>0</v>
      </c>
      <c r="AC15" s="323">
        <f>'[2]EDl log'!AC32</f>
        <v>0</v>
      </c>
      <c r="AD15" s="323"/>
    </row>
    <row r="16" spans="1:32" ht="20.100000000000001" customHeight="1">
      <c r="A16" s="163">
        <f>ELEC!C16</f>
        <v>44543</v>
      </c>
      <c r="B16" s="607">
        <v>1104346</v>
      </c>
      <c r="C16" s="254">
        <f t="shared" si="0"/>
        <v>0</v>
      </c>
      <c r="D16" s="295">
        <f t="shared" si="14"/>
        <v>0</v>
      </c>
      <c r="E16" s="295">
        <f t="shared" si="15"/>
        <v>1104346</v>
      </c>
      <c r="F16" s="607">
        <v>160049</v>
      </c>
      <c r="G16" s="160">
        <f t="shared" si="1"/>
        <v>0</v>
      </c>
      <c r="H16" s="607">
        <v>544590</v>
      </c>
      <c r="I16" s="161">
        <f t="shared" si="2"/>
        <v>0</v>
      </c>
      <c r="J16" s="607">
        <f t="shared" si="10"/>
        <v>399707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1168.0149999999915</v>
      </c>
      <c r="R16" s="285">
        <f>SUM(P16:Q16)</f>
        <v>1322.8180385705793</v>
      </c>
      <c r="S16" s="287">
        <f>SUM(ELEC!N16)</f>
        <v>5512.2000000001863</v>
      </c>
      <c r="T16" s="321">
        <f>IF(S16&gt;0,R16/S16,0)</f>
        <v>0.23998005126275074</v>
      </c>
      <c r="V16" s="216" t="s">
        <v>413</v>
      </c>
      <c r="W16" s="541"/>
      <c r="X16" s="222"/>
      <c r="Y16" s="250"/>
      <c r="Z16" s="3" t="s">
        <v>415</v>
      </c>
      <c r="AA16" s="323">
        <f>'[2]EDl log'!AA33</f>
        <v>0.11</v>
      </c>
      <c r="AB16" s="323">
        <f>'[2]EDl log'!AB33</f>
        <v>839942.07</v>
      </c>
      <c r="AC16" s="323">
        <f>'[2]EDl log'!AC33</f>
        <v>7234333</v>
      </c>
      <c r="AD16" s="323"/>
    </row>
    <row r="17" spans="1:32" ht="20.100000000000001" customHeight="1">
      <c r="A17" s="163">
        <f>ELEC!C17</f>
        <v>44544</v>
      </c>
      <c r="B17" s="607">
        <v>1104986</v>
      </c>
      <c r="C17" s="254">
        <f t="shared" si="0"/>
        <v>640</v>
      </c>
      <c r="D17" s="295">
        <f t="shared" si="14"/>
        <v>638</v>
      </c>
      <c r="E17" s="295">
        <f t="shared" si="15"/>
        <v>1104984</v>
      </c>
      <c r="F17" s="607">
        <v>160089</v>
      </c>
      <c r="G17" s="160">
        <f>F17-F16</f>
        <v>40</v>
      </c>
      <c r="H17" s="607">
        <v>545188</v>
      </c>
      <c r="I17" s="161">
        <f t="shared" si="2"/>
        <v>598</v>
      </c>
      <c r="J17" s="607">
        <v>399707</v>
      </c>
      <c r="K17" s="162">
        <f>J17-J16</f>
        <v>0</v>
      </c>
      <c r="L17" s="284">
        <f>SUM(G17*$Y$28)/1507.5</f>
        <v>8.4908789386401331</v>
      </c>
      <c r="M17" s="284">
        <f>SUM(I17*$Y$27)/1507.5</f>
        <v>44.428524046434497</v>
      </c>
      <c r="N17" s="284">
        <f>SUM(K17*$Y$26)/1507.5</f>
        <v>0</v>
      </c>
      <c r="O17" s="284">
        <f t="shared" si="6"/>
        <v>154.80303857058792</v>
      </c>
      <c r="P17" s="285">
        <f>SUM(L17:O17)</f>
        <v>207.72244155566256</v>
      </c>
      <c r="Q17" s="285">
        <f>SUM(-tanks!AX19*tanks!$AU$37)</f>
        <v>230.20600000000002</v>
      </c>
      <c r="R17" s="285">
        <f>SUM(P17:Q17)</f>
        <v>437.92844155566257</v>
      </c>
      <c r="S17" s="287">
        <f>SUM(ELEC!N17)</f>
        <v>5313.7999999998137</v>
      </c>
      <c r="T17" s="321">
        <f>IF(S17&gt;0,R17/S17,0)</f>
        <v>8.2413421949579943E-2</v>
      </c>
      <c r="V17" s="216" t="s">
        <v>414</v>
      </c>
      <c r="Z17" s="3"/>
      <c r="AA17" s="323">
        <f>'[2]EDl log'!AA34</f>
        <v>0</v>
      </c>
      <c r="AB17" s="323">
        <f>'[2]EDl log'!AB34</f>
        <v>8475779.0700000003</v>
      </c>
      <c r="AC17" s="323">
        <f>'[2]EDl log'!AC34</f>
        <v>0</v>
      </c>
      <c r="AD17" s="323"/>
    </row>
    <row r="18" spans="1:32" ht="20.100000000000001" customHeight="1" thickBot="1">
      <c r="A18" s="163">
        <f>ELEC!C18</f>
        <v>44545</v>
      </c>
      <c r="B18" s="607">
        <f t="shared" si="7"/>
        <v>1104986</v>
      </c>
      <c r="C18" s="254">
        <f>SUM(B18-B17)</f>
        <v>0</v>
      </c>
      <c r="D18" s="295">
        <f>SUM(G18+I18+K18)</f>
        <v>0</v>
      </c>
      <c r="E18" s="295">
        <f t="shared" si="15"/>
        <v>1104986</v>
      </c>
      <c r="F18" s="607">
        <f t="shared" si="8"/>
        <v>160089</v>
      </c>
      <c r="G18" s="160">
        <f t="shared" si="1"/>
        <v>0</v>
      </c>
      <c r="H18" s="607">
        <f t="shared" si="9"/>
        <v>545188</v>
      </c>
      <c r="I18" s="161">
        <f t="shared" si="2"/>
        <v>0</v>
      </c>
      <c r="J18" s="607">
        <f t="shared" si="10"/>
        <v>399707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1202.9132500000137</v>
      </c>
      <c r="R18" s="285">
        <f t="shared" si="13"/>
        <v>1357.7162885706016</v>
      </c>
      <c r="S18" s="287">
        <f>SUM(ELEC!N18)</f>
        <v>5643</v>
      </c>
      <c r="T18" s="321">
        <f t="shared" si="16"/>
        <v>0.24060185868697528</v>
      </c>
      <c r="V18" s="226"/>
      <c r="W18" s="227"/>
      <c r="X18" s="227"/>
      <c r="Y18" s="227"/>
      <c r="Z18" s="3"/>
      <c r="AA18" s="45"/>
      <c r="AB18" s="280"/>
      <c r="AC18" s="531"/>
    </row>
    <row r="19" spans="1:32" ht="20.100000000000001" customHeight="1" thickBot="1">
      <c r="A19" s="163">
        <f>ELEC!C19</f>
        <v>44546</v>
      </c>
      <c r="B19" s="607">
        <v>1105583</v>
      </c>
      <c r="C19" s="254">
        <f t="shared" si="0"/>
        <v>597</v>
      </c>
      <c r="D19" s="295">
        <f t="shared" si="14"/>
        <v>594</v>
      </c>
      <c r="E19" s="295">
        <f t="shared" si="15"/>
        <v>1105580</v>
      </c>
      <c r="F19" s="607">
        <v>160089</v>
      </c>
      <c r="G19" s="160">
        <f t="shared" si="1"/>
        <v>0</v>
      </c>
      <c r="H19" s="607">
        <v>545420</v>
      </c>
      <c r="I19" s="161">
        <f t="shared" si="2"/>
        <v>232</v>
      </c>
      <c r="J19" s="607">
        <v>400069</v>
      </c>
      <c r="K19" s="162">
        <f t="shared" si="11"/>
        <v>362</v>
      </c>
      <c r="L19" s="284">
        <f t="shared" si="17"/>
        <v>0</v>
      </c>
      <c r="M19" s="284">
        <f t="shared" si="18"/>
        <v>17.23648424543947</v>
      </c>
      <c r="N19" s="284">
        <f t="shared" si="19"/>
        <v>19.210613598673302</v>
      </c>
      <c r="O19" s="284">
        <f t="shared" si="6"/>
        <v>154.80303857058792</v>
      </c>
      <c r="P19" s="285">
        <f t="shared" si="12"/>
        <v>191.25013641470071</v>
      </c>
      <c r="Q19" s="285">
        <f>SUM(-tanks!AX21*tanks!$AU$37)</f>
        <v>1544.9634999999882</v>
      </c>
      <c r="R19" s="285">
        <f t="shared" si="13"/>
        <v>1736.2136364146891</v>
      </c>
      <c r="S19" s="287">
        <f>SUM(ELEC!N19)</f>
        <v>9545</v>
      </c>
      <c r="T19" s="321">
        <f t="shared" si="16"/>
        <v>0.18189770942008265</v>
      </c>
      <c r="V19" s="226"/>
      <c r="W19" s="227"/>
      <c r="X19" s="227"/>
      <c r="Y19" s="227"/>
      <c r="Z19" s="227"/>
      <c r="AA19" s="227" t="s">
        <v>416</v>
      </c>
      <c r="AB19" s="532">
        <f>AB13/1507.5</f>
        <v>5065.2318407960202</v>
      </c>
      <c r="AC19" s="533"/>
    </row>
    <row r="20" spans="1:32" ht="20.100000000000001" customHeight="1" thickBot="1">
      <c r="A20" s="163">
        <f>ELEC!C20</f>
        <v>44547</v>
      </c>
      <c r="B20" s="607">
        <f t="shared" si="7"/>
        <v>1105583</v>
      </c>
      <c r="C20" s="254">
        <f t="shared" si="0"/>
        <v>0</v>
      </c>
      <c r="D20" s="295">
        <f t="shared" si="14"/>
        <v>0</v>
      </c>
      <c r="E20" s="295">
        <f t="shared" si="15"/>
        <v>1105583</v>
      </c>
      <c r="F20" s="607">
        <f t="shared" si="8"/>
        <v>160089</v>
      </c>
      <c r="G20" s="160">
        <f t="shared" si="1"/>
        <v>0</v>
      </c>
      <c r="H20" s="607">
        <f t="shared" si="9"/>
        <v>545420</v>
      </c>
      <c r="I20" s="161">
        <f t="shared" si="2"/>
        <v>0</v>
      </c>
      <c r="J20" s="624">
        <f>J19</f>
        <v>400069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0</v>
      </c>
      <c r="R20" s="285">
        <f t="shared" si="13"/>
        <v>154.80303857058792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44548</v>
      </c>
      <c r="B21" s="607">
        <f t="shared" si="7"/>
        <v>1105583</v>
      </c>
      <c r="C21" s="254">
        <f t="shared" si="0"/>
        <v>0</v>
      </c>
      <c r="D21" s="295">
        <f t="shared" si="14"/>
        <v>0</v>
      </c>
      <c r="E21" s="295">
        <f t="shared" si="15"/>
        <v>1105583</v>
      </c>
      <c r="F21" s="607">
        <f t="shared" si="8"/>
        <v>160089</v>
      </c>
      <c r="G21" s="160">
        <f t="shared" si="1"/>
        <v>0</v>
      </c>
      <c r="H21" s="607">
        <f t="shared" si="9"/>
        <v>545420</v>
      </c>
      <c r="I21" s="161">
        <f t="shared" si="2"/>
        <v>0</v>
      </c>
      <c r="J21" s="607">
        <f t="shared" si="10"/>
        <v>400069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0</v>
      </c>
      <c r="R21" s="285">
        <f t="shared" si="13"/>
        <v>154.80303857058792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44551</v>
      </c>
      <c r="X21" s="168"/>
      <c r="Y21" s="168"/>
      <c r="Z21" s="169" t="s">
        <v>201</v>
      </c>
      <c r="AA21" s="168"/>
      <c r="AB21" s="661"/>
      <c r="AC21" s="662"/>
    </row>
    <row r="22" spans="1:32" ht="20.100000000000001" customHeight="1">
      <c r="A22" s="163">
        <f>ELEC!C22</f>
        <v>44549</v>
      </c>
      <c r="B22" s="607">
        <f t="shared" si="7"/>
        <v>1105583</v>
      </c>
      <c r="C22" s="254">
        <f t="shared" si="0"/>
        <v>0</v>
      </c>
      <c r="D22" s="295">
        <f t="shared" si="14"/>
        <v>0</v>
      </c>
      <c r="E22" s="295">
        <f t="shared" si="15"/>
        <v>1105583</v>
      </c>
      <c r="F22" s="607">
        <f t="shared" si="8"/>
        <v>160089</v>
      </c>
      <c r="G22" s="160">
        <f t="shared" si="1"/>
        <v>0</v>
      </c>
      <c r="H22" s="607">
        <f t="shared" si="9"/>
        <v>545420</v>
      </c>
      <c r="I22" s="161">
        <f t="shared" si="2"/>
        <v>0</v>
      </c>
      <c r="J22" s="607">
        <f t="shared" si="10"/>
        <v>400069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1848.0470000000055</v>
      </c>
      <c r="R22" s="285">
        <f t="shared" si="13"/>
        <v>2002.8500385705934</v>
      </c>
      <c r="S22" s="287">
        <f>SUM(ELEC!N22)</f>
        <v>6388</v>
      </c>
      <c r="T22" s="321">
        <f t="shared" si="16"/>
        <v>0.31353319326402523</v>
      </c>
      <c r="V22" s="655"/>
      <c r="W22" s="656"/>
      <c r="X22" s="656"/>
      <c r="Y22" s="657"/>
      <c r="Z22" s="26" t="s">
        <v>202</v>
      </c>
      <c r="AA22" s="26">
        <v>5000</v>
      </c>
      <c r="AB22" s="663"/>
      <c r="AC22" s="664"/>
    </row>
    <row r="23" spans="1:32" ht="20.100000000000001" customHeight="1">
      <c r="A23" s="163">
        <f>ELEC!C23</f>
        <v>44550</v>
      </c>
      <c r="B23" s="607">
        <f t="shared" si="7"/>
        <v>1105583</v>
      </c>
      <c r="C23" s="254">
        <f t="shared" si="0"/>
        <v>0</v>
      </c>
      <c r="D23" s="295">
        <f t="shared" si="14"/>
        <v>0</v>
      </c>
      <c r="E23" s="295">
        <f t="shared" si="15"/>
        <v>1105583</v>
      </c>
      <c r="F23" s="607">
        <f t="shared" si="8"/>
        <v>160089</v>
      </c>
      <c r="G23" s="160">
        <f t="shared" si="1"/>
        <v>0</v>
      </c>
      <c r="H23" s="607">
        <f t="shared" si="9"/>
        <v>545420</v>
      </c>
      <c r="I23" s="161">
        <f t="shared" si="2"/>
        <v>0</v>
      </c>
      <c r="J23" s="607">
        <f t="shared" si="10"/>
        <v>400069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1090.4567500000078</v>
      </c>
      <c r="R23" s="285">
        <f t="shared" si="13"/>
        <v>1245.2597885705957</v>
      </c>
      <c r="S23" s="287">
        <f>SUM(ELEC!N23)</f>
        <v>5544</v>
      </c>
      <c r="T23" s="321">
        <f t="shared" si="16"/>
        <v>0.22461395897738018</v>
      </c>
      <c r="V23" s="658"/>
      <c r="W23" s="659"/>
      <c r="X23" s="659"/>
      <c r="Y23" s="660"/>
      <c r="Z23" s="667"/>
      <c r="AA23" s="668"/>
      <c r="AB23" s="663"/>
      <c r="AC23" s="664"/>
    </row>
    <row r="24" spans="1:32" ht="20.100000000000001" customHeight="1">
      <c r="A24" s="163">
        <f>ELEC!C24</f>
        <v>44551</v>
      </c>
      <c r="B24" s="607">
        <f t="shared" si="7"/>
        <v>1105583</v>
      </c>
      <c r="C24" s="254">
        <f t="shared" si="0"/>
        <v>0</v>
      </c>
      <c r="D24" s="295">
        <f t="shared" si="14"/>
        <v>0</v>
      </c>
      <c r="E24" s="295">
        <f t="shared" si="15"/>
        <v>1105583</v>
      </c>
      <c r="F24" s="607">
        <f t="shared" si="8"/>
        <v>160089</v>
      </c>
      <c r="G24" s="160">
        <f t="shared" si="1"/>
        <v>0</v>
      </c>
      <c r="H24" s="607">
        <f t="shared" si="9"/>
        <v>545420</v>
      </c>
      <c r="I24" s="161">
        <f t="shared" si="2"/>
        <v>0</v>
      </c>
      <c r="J24" s="607">
        <f t="shared" si="10"/>
        <v>400069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416.13249999999687</v>
      </c>
      <c r="R24" s="285">
        <f t="shared" si="13"/>
        <v>570.93553857058475</v>
      </c>
      <c r="S24" s="287">
        <f>SUM(ELEC!N24)</f>
        <v>4191</v>
      </c>
      <c r="T24" s="321">
        <f t="shared" si="16"/>
        <v>0.13622895217623116</v>
      </c>
      <c r="V24" s="650" t="s">
        <v>203</v>
      </c>
      <c r="W24" s="651"/>
      <c r="X24" s="652" t="s">
        <v>204</v>
      </c>
      <c r="Y24" s="653"/>
      <c r="Z24" s="654"/>
      <c r="AA24" s="170"/>
      <c r="AB24" s="665"/>
      <c r="AC24" s="666"/>
    </row>
    <row r="25" spans="1:32" ht="20.100000000000001" customHeight="1">
      <c r="A25" s="163">
        <f>ELEC!C25</f>
        <v>44552</v>
      </c>
      <c r="B25" s="607">
        <v>1106297</v>
      </c>
      <c r="C25" s="254">
        <f t="shared" si="0"/>
        <v>714</v>
      </c>
      <c r="D25" s="295">
        <f t="shared" si="14"/>
        <v>714</v>
      </c>
      <c r="E25" s="295">
        <f t="shared" si="15"/>
        <v>1106297</v>
      </c>
      <c r="F25" s="607">
        <f t="shared" si="8"/>
        <v>160089</v>
      </c>
      <c r="G25" s="160">
        <f t="shared" si="1"/>
        <v>0</v>
      </c>
      <c r="H25" s="607">
        <v>546134</v>
      </c>
      <c r="I25" s="161">
        <f t="shared" si="2"/>
        <v>714</v>
      </c>
      <c r="J25" s="607">
        <f t="shared" si="10"/>
        <v>400069</v>
      </c>
      <c r="K25" s="162">
        <f t="shared" si="11"/>
        <v>0</v>
      </c>
      <c r="L25" s="284">
        <f t="shared" si="17"/>
        <v>0</v>
      </c>
      <c r="M25" s="284">
        <f t="shared" si="18"/>
        <v>53.046766169154232</v>
      </c>
      <c r="N25" s="284">
        <f t="shared" si="19"/>
        <v>0</v>
      </c>
      <c r="O25" s="284">
        <f t="shared" si="6"/>
        <v>154.80303857058792</v>
      </c>
      <c r="P25" s="285">
        <f t="shared" si="12"/>
        <v>207.84980473974215</v>
      </c>
      <c r="Q25" s="285">
        <f>SUM(-tanks!AX27*tanks!$AU$37)</f>
        <v>770.54624999999919</v>
      </c>
      <c r="R25" s="285">
        <f t="shared" si="13"/>
        <v>978.39605473974132</v>
      </c>
      <c r="S25" s="287">
        <f>SUM(ELEC!N25)</f>
        <v>8533</v>
      </c>
      <c r="T25" s="321">
        <f t="shared" si="16"/>
        <v>0.11466026658147678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44553</v>
      </c>
      <c r="B26" s="607">
        <v>1106427</v>
      </c>
      <c r="C26" s="254">
        <f t="shared" si="0"/>
        <v>130</v>
      </c>
      <c r="D26" s="295">
        <f t="shared" si="14"/>
        <v>134</v>
      </c>
      <c r="E26" s="295">
        <f t="shared" si="15"/>
        <v>1106431</v>
      </c>
      <c r="F26" s="607">
        <v>160089</v>
      </c>
      <c r="G26" s="160">
        <f t="shared" si="1"/>
        <v>0</v>
      </c>
      <c r="H26" s="607">
        <v>546267</v>
      </c>
      <c r="I26" s="161">
        <f t="shared" si="2"/>
        <v>133</v>
      </c>
      <c r="J26" s="607">
        <v>400070</v>
      </c>
      <c r="K26" s="162">
        <f t="shared" si="11"/>
        <v>1</v>
      </c>
      <c r="L26" s="284">
        <f t="shared" si="17"/>
        <v>0</v>
      </c>
      <c r="M26" s="284">
        <f t="shared" si="18"/>
        <v>9.8812603648424542</v>
      </c>
      <c r="N26" s="284">
        <f t="shared" si="19"/>
        <v>5.306799336650083E-2</v>
      </c>
      <c r="O26" s="284">
        <f t="shared" si="6"/>
        <v>154.80303857058792</v>
      </c>
      <c r="P26" s="285">
        <f t="shared" si="12"/>
        <v>164.73736692879686</v>
      </c>
      <c r="Q26" s="285">
        <f>SUM(-tanks!AX28*tanks!$AU$37)</f>
        <v>993.10899999999003</v>
      </c>
      <c r="R26" s="285">
        <f t="shared" si="13"/>
        <v>1157.8463669287869</v>
      </c>
      <c r="S26" s="287">
        <f>SUM(ELEC!N26)</f>
        <v>5011</v>
      </c>
      <c r="T26" s="321">
        <f t="shared" si="16"/>
        <v>0.231060939319255</v>
      </c>
      <c r="V26" s="246">
        <f>W9</f>
        <v>399616</v>
      </c>
      <c r="W26" s="170">
        <f>J34</f>
        <v>400225</v>
      </c>
      <c r="X26" s="172" t="s">
        <v>199</v>
      </c>
      <c r="Y26" s="172">
        <v>80</v>
      </c>
      <c r="Z26" s="172">
        <v>1</v>
      </c>
      <c r="AA26" s="323">
        <f>(W26-V26)*Z26</f>
        <v>609</v>
      </c>
      <c r="AB26" s="323">
        <f>AA26*Y26</f>
        <v>48720</v>
      </c>
      <c r="AC26" s="244">
        <f>AC9</f>
        <v>1033333</v>
      </c>
      <c r="AD26" s="476">
        <f>SUM(K36)</f>
        <v>0.15433350228079068</v>
      </c>
    </row>
    <row r="27" spans="1:32" ht="20.100000000000001" customHeight="1">
      <c r="A27" s="163">
        <f>ELEC!C27</f>
        <v>44554</v>
      </c>
      <c r="B27" s="607">
        <f t="shared" si="7"/>
        <v>1106427</v>
      </c>
      <c r="C27" s="254">
        <f t="shared" si="0"/>
        <v>0</v>
      </c>
      <c r="D27" s="295">
        <f t="shared" si="14"/>
        <v>0</v>
      </c>
      <c r="E27" s="295">
        <f t="shared" si="15"/>
        <v>1106427</v>
      </c>
      <c r="F27" s="607">
        <f t="shared" si="8"/>
        <v>160089</v>
      </c>
      <c r="G27" s="160">
        <f t="shared" si="1"/>
        <v>0</v>
      </c>
      <c r="H27" s="607">
        <f t="shared" si="9"/>
        <v>546267</v>
      </c>
      <c r="I27" s="161">
        <f t="shared" si="2"/>
        <v>0</v>
      </c>
      <c r="J27" s="607">
        <f t="shared" si="10"/>
        <v>400070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543471</v>
      </c>
      <c r="W27" s="170">
        <f>H34</f>
        <v>546590</v>
      </c>
      <c r="X27" s="172" t="s">
        <v>212</v>
      </c>
      <c r="Y27" s="172">
        <v>112</v>
      </c>
      <c r="Z27" s="172">
        <v>1</v>
      </c>
      <c r="AA27" s="323">
        <f>(W27-V27)*Z27</f>
        <v>3119</v>
      </c>
      <c r="AB27" s="323">
        <f>SUM(AA27*Y27)</f>
        <v>349328</v>
      </c>
      <c r="AC27" s="244">
        <f>AC10</f>
        <v>6200000</v>
      </c>
      <c r="AD27" s="476">
        <f>SUM(I36)</f>
        <v>0.79042067916877856</v>
      </c>
    </row>
    <row r="28" spans="1:32" ht="20.100000000000001" customHeight="1">
      <c r="A28" s="163">
        <f>ELEC!C28</f>
        <v>44555</v>
      </c>
      <c r="B28" s="607">
        <f t="shared" si="7"/>
        <v>1106427</v>
      </c>
      <c r="C28" s="254">
        <f t="shared" si="0"/>
        <v>0</v>
      </c>
      <c r="D28" s="295">
        <f t="shared" si="14"/>
        <v>0</v>
      </c>
      <c r="E28" s="295">
        <f>B27+D28</f>
        <v>1106427</v>
      </c>
      <c r="F28" s="607">
        <f t="shared" si="8"/>
        <v>160089</v>
      </c>
      <c r="G28" s="160">
        <f t="shared" si="1"/>
        <v>0</v>
      </c>
      <c r="H28" s="607">
        <f t="shared" si="9"/>
        <v>546267</v>
      </c>
      <c r="I28" s="161">
        <f t="shared" si="2"/>
        <v>0</v>
      </c>
      <c r="J28" s="607">
        <f t="shared" si="10"/>
        <v>400070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159873</v>
      </c>
      <c r="W28" s="170">
        <f>F34</f>
        <v>160089</v>
      </c>
      <c r="X28" s="172" t="s">
        <v>197</v>
      </c>
      <c r="Y28" s="172">
        <v>320</v>
      </c>
      <c r="Z28" s="172">
        <v>1</v>
      </c>
      <c r="AA28" s="323">
        <f>(W28-V28)*Z28</f>
        <v>216</v>
      </c>
      <c r="AB28" s="323">
        <f>SUM(AA28*Y28)</f>
        <v>69120</v>
      </c>
      <c r="AC28" s="244">
        <f>AC11</f>
        <v>1000</v>
      </c>
      <c r="AD28" s="476">
        <f>SUM(G36)</f>
        <v>5.4738976178408512E-2</v>
      </c>
      <c r="AE28" s="40">
        <f>SUM(AB28*5%)</f>
        <v>3456</v>
      </c>
      <c r="AF28" s="82">
        <f>SUM(AE28/7)*31</f>
        <v>15305.142857142857</v>
      </c>
    </row>
    <row r="29" spans="1:32" ht="20.100000000000001" customHeight="1">
      <c r="A29" s="163">
        <f>ELEC!C29</f>
        <v>44556</v>
      </c>
      <c r="B29" s="607">
        <f t="shared" si="7"/>
        <v>1106427</v>
      </c>
      <c r="C29" s="254">
        <f t="shared" si="0"/>
        <v>0</v>
      </c>
      <c r="D29" s="295">
        <f t="shared" si="14"/>
        <v>0</v>
      </c>
      <c r="E29" s="295">
        <f>B28+D29</f>
        <v>1106427</v>
      </c>
      <c r="F29" s="607">
        <f t="shared" si="8"/>
        <v>160089</v>
      </c>
      <c r="G29" s="160">
        <f t="shared" si="1"/>
        <v>0</v>
      </c>
      <c r="H29" s="607">
        <f t="shared" si="9"/>
        <v>546267</v>
      </c>
      <c r="I29" s="161">
        <f t="shared" si="2"/>
        <v>0</v>
      </c>
      <c r="J29" s="607">
        <f t="shared" si="10"/>
        <v>400070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3944</v>
      </c>
      <c r="AB29" s="323">
        <f>SUM(AB26:AB28)</f>
        <v>467168</v>
      </c>
      <c r="AC29" s="244">
        <f>SUM(AC26:AC28)</f>
        <v>7234333</v>
      </c>
    </row>
    <row r="30" spans="1:32" ht="20.100000000000001" customHeight="1">
      <c r="A30" s="163">
        <f>ELEC!C30</f>
        <v>44557</v>
      </c>
      <c r="B30" s="607">
        <v>1106505</v>
      </c>
      <c r="C30" s="254">
        <f t="shared" si="0"/>
        <v>78</v>
      </c>
      <c r="D30" s="295">
        <f t="shared" si="14"/>
        <v>78</v>
      </c>
      <c r="E30" s="295">
        <f t="shared" si="15"/>
        <v>1106505</v>
      </c>
      <c r="F30" s="607">
        <v>160089</v>
      </c>
      <c r="G30" s="160">
        <f t="shared" si="1"/>
        <v>0</v>
      </c>
      <c r="H30" s="607">
        <v>546279</v>
      </c>
      <c r="I30" s="161">
        <f t="shared" si="2"/>
        <v>12</v>
      </c>
      <c r="J30" s="607">
        <v>400136</v>
      </c>
      <c r="K30" s="162">
        <f t="shared" si="11"/>
        <v>66</v>
      </c>
      <c r="L30" s="284">
        <f t="shared" si="17"/>
        <v>0</v>
      </c>
      <c r="M30" s="284">
        <f t="shared" si="18"/>
        <v>0.89154228855721396</v>
      </c>
      <c r="N30" s="284">
        <f t="shared" si="19"/>
        <v>3.5024875621890548</v>
      </c>
      <c r="O30" s="284">
        <f t="shared" si="6"/>
        <v>154.80303857058792</v>
      </c>
      <c r="P30" s="285">
        <f t="shared" si="12"/>
        <v>159.19706842133419</v>
      </c>
      <c r="Q30" s="285">
        <f>SUM(-tanks!AX32*tanks!$AU$37)</f>
        <v>1004.7417500000079</v>
      </c>
      <c r="R30" s="285">
        <f t="shared" si="13"/>
        <v>1163.9388184213421</v>
      </c>
      <c r="S30" s="287">
        <f>SUM(ELEC!N30)</f>
        <v>5277</v>
      </c>
      <c r="T30" s="321">
        <f t="shared" si="16"/>
        <v>0.22056828092123218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7701501</v>
      </c>
      <c r="AC30" s="244"/>
    </row>
    <row r="31" spans="1:32" ht="20.100000000000001" customHeight="1">
      <c r="A31" s="163">
        <f>ELEC!C31</f>
        <v>44558</v>
      </c>
      <c r="B31" s="607">
        <f t="shared" si="7"/>
        <v>1106505</v>
      </c>
      <c r="C31" s="254">
        <f>SUM(B31-B30)</f>
        <v>0</v>
      </c>
      <c r="D31" s="295">
        <f t="shared" si="14"/>
        <v>0</v>
      </c>
      <c r="E31" s="295">
        <f>B30+D31</f>
        <v>1106505</v>
      </c>
      <c r="F31" s="607">
        <f t="shared" si="8"/>
        <v>160089</v>
      </c>
      <c r="G31" s="160">
        <f>F31-F30</f>
        <v>0</v>
      </c>
      <c r="H31" s="607">
        <f t="shared" si="9"/>
        <v>546279</v>
      </c>
      <c r="I31" s="161">
        <f>H31-H30</f>
        <v>0</v>
      </c>
      <c r="J31" s="607">
        <f t="shared" si="10"/>
        <v>400136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1122.0962500000048</v>
      </c>
      <c r="R31" s="285">
        <f>SUM(P31:Q31)</f>
        <v>1276.8992885705927</v>
      </c>
      <c r="S31" s="287">
        <f>SUM(ELEC!N31)</f>
        <v>4790</v>
      </c>
      <c r="T31" s="321">
        <f>IF(S31&gt;0,R31/S31,0)</f>
        <v>0.26657605189365191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44559</v>
      </c>
      <c r="B32" s="607">
        <v>1106905</v>
      </c>
      <c r="C32" s="254">
        <f>SUM(B32-B31)</f>
        <v>400</v>
      </c>
      <c r="D32" s="295">
        <f t="shared" si="14"/>
        <v>400</v>
      </c>
      <c r="E32" s="295">
        <f>B31+D32</f>
        <v>1106905</v>
      </c>
      <c r="F32" s="607">
        <f t="shared" si="8"/>
        <v>160089</v>
      </c>
      <c r="G32" s="160">
        <f>F32-F31</f>
        <v>0</v>
      </c>
      <c r="H32" s="607">
        <v>546590</v>
      </c>
      <c r="I32" s="161">
        <f>H32-H31</f>
        <v>311</v>
      </c>
      <c r="J32" s="607">
        <v>400225</v>
      </c>
      <c r="K32" s="162">
        <f>J32-J31</f>
        <v>89</v>
      </c>
      <c r="L32" s="284">
        <f>SUM(G32*$Y$28)/1507.5</f>
        <v>0</v>
      </c>
      <c r="M32" s="284">
        <f>SUM(I32*$Y$27)/1507.5</f>
        <v>23.10580431177446</v>
      </c>
      <c r="N32" s="284">
        <f>SUM(K32*$Y$26)/1507.5</f>
        <v>4.7230514096185736</v>
      </c>
      <c r="O32" s="284">
        <f t="shared" si="6"/>
        <v>154.80303857058792</v>
      </c>
      <c r="P32" s="285">
        <f>SUM(L32:O32)</f>
        <v>182.63189429198096</v>
      </c>
      <c r="Q32" s="285">
        <f>SUM(-tanks!AX34*tanks!$AU$37)</f>
        <v>1271.485249999987</v>
      </c>
      <c r="R32" s="285">
        <f>SUM(P32:Q32)</f>
        <v>1454.1171442919679</v>
      </c>
      <c r="S32" s="287">
        <f>SUM(ELEC!N32)</f>
        <v>5103</v>
      </c>
      <c r="T32" s="321">
        <f>IF(S32&gt;0,R32/S32,0)</f>
        <v>0.2849533890440854</v>
      </c>
      <c r="V32" s="216" t="s">
        <v>315</v>
      </c>
      <c r="W32" s="541">
        <f>'Utility Cost '!B18</f>
        <v>218</v>
      </c>
      <c r="X32" s="222">
        <f>SUM(W32/A35)</f>
        <v>19.818181818181817</v>
      </c>
      <c r="Y32" s="250">
        <f>SUM(X32/1)</f>
        <v>19.818181818181817</v>
      </c>
      <c r="Z32" s="3"/>
      <c r="AA32" s="323"/>
      <c r="AB32" s="323"/>
      <c r="AC32" s="244"/>
    </row>
    <row r="33" spans="1:32" ht="20.100000000000001" customHeight="1">
      <c r="A33" s="163">
        <f>ELEC!C33</f>
        <v>44560</v>
      </c>
      <c r="B33" s="607">
        <f t="shared" si="7"/>
        <v>1106905</v>
      </c>
      <c r="C33" s="254">
        <f>SUM(B33-B32)</f>
        <v>0</v>
      </c>
      <c r="D33" s="295">
        <f t="shared" si="14"/>
        <v>0</v>
      </c>
      <c r="E33" s="295">
        <f>B32+D33</f>
        <v>1106905</v>
      </c>
      <c r="F33" s="607">
        <f t="shared" si="8"/>
        <v>160089</v>
      </c>
      <c r="G33" s="160">
        <f>F33-F32</f>
        <v>0</v>
      </c>
      <c r="H33" s="607">
        <f t="shared" si="9"/>
        <v>546590</v>
      </c>
      <c r="I33" s="161">
        <f>H33-H32</f>
        <v>0</v>
      </c>
      <c r="J33" s="607">
        <f t="shared" si="10"/>
        <v>400225</v>
      </c>
      <c r="K33" s="162">
        <f>J33-J32</f>
        <v>0</v>
      </c>
      <c r="L33" s="284">
        <f>SUM(G33*$Y$28)/1507.5</f>
        <v>0</v>
      </c>
      <c r="M33" s="284">
        <f>SUM(I33*$Y$27)/1507.5</f>
        <v>0</v>
      </c>
      <c r="N33" s="284">
        <f>SUM(K33*$Y$26)/1507.5</f>
        <v>0</v>
      </c>
      <c r="O33" s="284">
        <f t="shared" si="6"/>
        <v>154.80303857058792</v>
      </c>
      <c r="P33" s="285">
        <f>SUM(L33:O33)</f>
        <v>154.80303857058792</v>
      </c>
      <c r="Q33" s="285">
        <f>SUM(-tanks!AX35*tanks!$AU$37)</f>
        <v>0</v>
      </c>
      <c r="R33" s="285">
        <f>SUM(P33:Q33)</f>
        <v>154.80303857058792</v>
      </c>
      <c r="S33" s="287">
        <f>SUM(ELEC!N33)</f>
        <v>0</v>
      </c>
      <c r="T33" s="321">
        <f>IF(S33&gt;0,R33/S33,0)</f>
        <v>0</v>
      </c>
      <c r="V33" s="216" t="s">
        <v>413</v>
      </c>
      <c r="W33" s="541"/>
      <c r="X33" s="222"/>
      <c r="Y33" s="250"/>
      <c r="Z33" s="3" t="s">
        <v>415</v>
      </c>
      <c r="AA33" s="592">
        <v>0.11</v>
      </c>
      <c r="AB33" s="593">
        <f>AB30*AA33</f>
        <v>847165.11</v>
      </c>
      <c r="AC33" s="244">
        <f>SUM(AC29)</f>
        <v>7234333</v>
      </c>
    </row>
    <row r="34" spans="1:32" ht="20.100000000000001" customHeight="1">
      <c r="A34" s="163">
        <f>ELEC!C34</f>
        <v>44561</v>
      </c>
      <c r="B34" s="607">
        <f t="shared" si="7"/>
        <v>1106905</v>
      </c>
      <c r="C34" s="254">
        <f>SUM(B34-B33)</f>
        <v>0</v>
      </c>
      <c r="D34" s="295">
        <f t="shared" ref="D34" si="20">SUM(G34+I34+K34)</f>
        <v>0</v>
      </c>
      <c r="E34" s="295">
        <f>B33+D34</f>
        <v>1106905</v>
      </c>
      <c r="F34" s="607">
        <f t="shared" si="8"/>
        <v>160089</v>
      </c>
      <c r="G34" s="160">
        <f>F34-F33</f>
        <v>0</v>
      </c>
      <c r="H34" s="607">
        <f t="shared" si="9"/>
        <v>546590</v>
      </c>
      <c r="I34" s="161">
        <f>H34-H33</f>
        <v>0</v>
      </c>
      <c r="J34" s="607">
        <f t="shared" si="10"/>
        <v>400225</v>
      </c>
      <c r="K34" s="162">
        <f>J34-J33</f>
        <v>0</v>
      </c>
      <c r="L34" s="284">
        <f>SUM(G34*$Y$28)/1507.5</f>
        <v>0</v>
      </c>
      <c r="M34" s="284">
        <f>SUM(I34*$Y$27)/1507.5</f>
        <v>0</v>
      </c>
      <c r="N34" s="284">
        <f>SUM(K34*$Y$26)/1507.5</f>
        <v>0</v>
      </c>
      <c r="O34" s="284">
        <f t="shared" si="6"/>
        <v>154.80303857058792</v>
      </c>
      <c r="P34" s="285">
        <f>SUM(L34:O34)</f>
        <v>154.80303857058792</v>
      </c>
      <c r="Q34" s="285">
        <f>SUM(-tanks!AX36*tanks!$AU$37)</f>
        <v>0</v>
      </c>
      <c r="R34" s="285">
        <f>SUM(P34:Q34)</f>
        <v>154.80303857058792</v>
      </c>
      <c r="S34" s="287">
        <f>SUM(ELEC!N34)</f>
        <v>0</v>
      </c>
      <c r="T34" s="321">
        <f>IF(S34&gt;0,R34/S34,0)</f>
        <v>0</v>
      </c>
      <c r="V34" s="216" t="s">
        <v>414</v>
      </c>
      <c r="Z34" s="3"/>
      <c r="AA34" s="3"/>
      <c r="AB34" s="504">
        <f>AB30+AB33</f>
        <v>8548666.1099999994</v>
      </c>
      <c r="AC34" s="244">
        <f>SUM(AC30)</f>
        <v>0</v>
      </c>
    </row>
    <row r="35" spans="1:32" ht="15.75" thickBot="1">
      <c r="A35" s="501">
        <f>A37-COUNTIF(C4:C33,0)</f>
        <v>11</v>
      </c>
      <c r="C35" s="173">
        <f>SUM(C4:C34)/A35</f>
        <v>358.72727272727275</v>
      </c>
      <c r="D35" s="173"/>
      <c r="E35" s="173"/>
      <c r="F35" s="568"/>
      <c r="G35" s="568">
        <f>SUM(G4:G34)/A35</f>
        <v>19.636363636363637</v>
      </c>
      <c r="H35" s="173"/>
      <c r="I35" s="173">
        <f>SUM(I4:I34)/A35</f>
        <v>283.54545454545456</v>
      </c>
      <c r="K35" s="173">
        <f>SUM(K4:K34)/A35</f>
        <v>55.363636363636367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0.99949315762797775</v>
      </c>
      <c r="G36" s="225">
        <f>IF(C35&gt;0,G35/C35,0)</f>
        <v>5.4738976178408512E-2</v>
      </c>
      <c r="H36" s="212"/>
      <c r="I36" s="225">
        <f>SUM(I35/C35)</f>
        <v>0.79042067916877856</v>
      </c>
      <c r="J36" s="212"/>
      <c r="K36" s="225">
        <f>SUM(K35/C35)</f>
        <v>0.15433350228079068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5108.7900497512437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5108.7900497512437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3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69"/>
      <c r="AC45" s="669"/>
      <c r="AD45" s="543"/>
      <c r="AE45" s="17"/>
      <c r="AF45" s="17"/>
    </row>
    <row r="46" spans="1:32">
      <c r="V46" s="669"/>
      <c r="W46" s="669"/>
      <c r="X46" s="669"/>
      <c r="Y46" s="669"/>
      <c r="Z46" s="508"/>
      <c r="AA46" s="508"/>
      <c r="AB46" s="669"/>
      <c r="AC46" s="669"/>
      <c r="AD46" s="543"/>
      <c r="AE46" s="17"/>
      <c r="AF46" s="17"/>
    </row>
    <row r="47" spans="1:32">
      <c r="V47" s="669"/>
      <c r="W47" s="669"/>
      <c r="X47" s="669"/>
      <c r="Y47" s="669"/>
      <c r="Z47" s="669"/>
      <c r="AA47" s="669"/>
      <c r="AB47" s="669"/>
      <c r="AC47" s="669"/>
      <c r="AD47" s="543"/>
      <c r="AE47" s="17"/>
      <c r="AF47" s="17"/>
    </row>
    <row r="48" spans="1:32">
      <c r="V48" s="670"/>
      <c r="W48" s="670"/>
      <c r="X48" s="671"/>
      <c r="Y48" s="671"/>
      <c r="Z48" s="671"/>
      <c r="AA48" s="509"/>
      <c r="AB48" s="669"/>
      <c r="AC48" s="669"/>
      <c r="AD48" s="543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3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3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3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3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3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3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3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3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3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3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3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3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3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3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3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3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3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3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3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3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3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3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3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3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3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3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3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3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3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3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3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3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33" sqref="F33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2" t="s">
        <v>193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4"/>
    </row>
    <row r="2" spans="1:15" ht="15.75" customHeight="1" thickBot="1">
      <c r="A2" s="675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7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44531</v>
      </c>
      <c r="B5" s="37">
        <v>21</v>
      </c>
      <c r="C5" s="37">
        <v>16</v>
      </c>
      <c r="D5" s="26">
        <f t="shared" ref="D5:D11" si="0">(C5+B5)/2</f>
        <v>18.5</v>
      </c>
      <c r="E5" s="325">
        <v>0.66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44532</v>
      </c>
      <c r="B6" s="37">
        <v>20</v>
      </c>
      <c r="C6" s="37">
        <v>16</v>
      </c>
      <c r="D6" s="26">
        <f t="shared" si="0"/>
        <v>18</v>
      </c>
      <c r="E6" s="325">
        <v>0.54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44533</v>
      </c>
      <c r="B7" s="37"/>
      <c r="C7" s="37"/>
      <c r="D7" s="26">
        <f t="shared" si="0"/>
        <v>0</v>
      </c>
      <c r="E7" s="325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44534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44535</v>
      </c>
      <c r="B9" s="37">
        <v>23</v>
      </c>
      <c r="C9" s="37">
        <v>17</v>
      </c>
      <c r="D9" s="26">
        <f t="shared" si="0"/>
        <v>20</v>
      </c>
      <c r="E9" s="339">
        <v>0.54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44536</v>
      </c>
      <c r="B10" s="37">
        <v>22</v>
      </c>
      <c r="C10" s="37">
        <v>16</v>
      </c>
      <c r="D10" s="26">
        <f t="shared" si="0"/>
        <v>19</v>
      </c>
      <c r="E10" s="378">
        <v>0.59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44537</v>
      </c>
      <c r="B11" s="37">
        <v>23</v>
      </c>
      <c r="C11" s="37">
        <v>16</v>
      </c>
      <c r="D11" s="26">
        <f t="shared" si="0"/>
        <v>19.5</v>
      </c>
      <c r="E11" s="378">
        <v>0.44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44538</v>
      </c>
      <c r="B12" s="37">
        <v>20</v>
      </c>
      <c r="C12" s="37">
        <v>13</v>
      </c>
      <c r="D12" s="26">
        <f>(C12+B12)/2</f>
        <v>16.5</v>
      </c>
      <c r="E12" s="339">
        <v>0.63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44539</v>
      </c>
      <c r="B13" s="37">
        <v>19</v>
      </c>
      <c r="C13" s="37">
        <v>15</v>
      </c>
      <c r="D13" s="26">
        <f t="shared" ref="D13:D32" si="3">(C13+B13)/2</f>
        <v>17</v>
      </c>
      <c r="E13" s="325">
        <v>0.73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44540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44541</v>
      </c>
      <c r="B15" s="37"/>
      <c r="C15" s="37"/>
      <c r="D15" s="26">
        <f t="shared" ref="D15" si="5"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44542</v>
      </c>
      <c r="B16" s="37">
        <v>22</v>
      </c>
      <c r="C16" s="37">
        <v>15</v>
      </c>
      <c r="D16" s="26">
        <f t="shared" si="3"/>
        <v>18.5</v>
      </c>
      <c r="E16" s="325">
        <v>0.54</v>
      </c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44543</v>
      </c>
      <c r="B17" s="37">
        <v>23</v>
      </c>
      <c r="C17" s="37">
        <v>17</v>
      </c>
      <c r="D17" s="26">
        <f t="shared" si="3"/>
        <v>20</v>
      </c>
      <c r="E17" s="410">
        <v>0.54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44544</v>
      </c>
      <c r="B18" s="37">
        <v>21</v>
      </c>
      <c r="C18" s="37">
        <v>17</v>
      </c>
      <c r="D18" s="26">
        <f t="shared" si="3"/>
        <v>19</v>
      </c>
      <c r="E18" s="325">
        <v>0.63</v>
      </c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44545</v>
      </c>
      <c r="B19" s="37">
        <v>20</v>
      </c>
      <c r="C19" s="37">
        <v>16</v>
      </c>
      <c r="D19" s="26">
        <f t="shared" si="3"/>
        <v>18</v>
      </c>
      <c r="E19" s="325">
        <v>0.7</v>
      </c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44546</v>
      </c>
      <c r="B20" s="37">
        <v>18</v>
      </c>
      <c r="C20" s="37">
        <v>13</v>
      </c>
      <c r="D20" s="26">
        <f>(C20+B20)/2</f>
        <v>15.5</v>
      </c>
      <c r="E20" s="325">
        <v>0.72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44547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44548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44549</v>
      </c>
      <c r="B23" s="37">
        <v>19</v>
      </c>
      <c r="C23" s="37">
        <v>14</v>
      </c>
      <c r="D23" s="26">
        <f>(C23+B23)/2</f>
        <v>16.5</v>
      </c>
      <c r="E23" s="378">
        <v>0.5</v>
      </c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44550</v>
      </c>
      <c r="B24" s="37">
        <v>17</v>
      </c>
      <c r="C24" s="37">
        <v>9</v>
      </c>
      <c r="D24" s="26">
        <f t="shared" si="3"/>
        <v>13</v>
      </c>
      <c r="E24" s="325">
        <v>0.61</v>
      </c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44551</v>
      </c>
      <c r="B25" s="37">
        <v>18</v>
      </c>
      <c r="C25" s="37">
        <v>14</v>
      </c>
      <c r="D25" s="26">
        <f t="shared" si="3"/>
        <v>16</v>
      </c>
      <c r="E25" s="325">
        <v>0.61</v>
      </c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44552</v>
      </c>
      <c r="B26" s="37">
        <v>16</v>
      </c>
      <c r="C26" s="37">
        <v>13</v>
      </c>
      <c r="D26" s="26">
        <f t="shared" si="3"/>
        <v>14.5</v>
      </c>
      <c r="E26" s="378">
        <v>0.69</v>
      </c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44553</v>
      </c>
      <c r="B27" s="37">
        <v>15</v>
      </c>
      <c r="C27" s="37">
        <v>11</v>
      </c>
      <c r="D27" s="26">
        <f t="shared" si="3"/>
        <v>13</v>
      </c>
      <c r="E27" s="378">
        <v>0.77</v>
      </c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6">+J27+H27+I27</f>
        <v>0</v>
      </c>
      <c r="L27" s="3"/>
      <c r="M27" s="3"/>
      <c r="N27" s="155"/>
      <c r="O27" s="3"/>
    </row>
    <row r="28" spans="1:15">
      <c r="A28" s="459">
        <f>ELEC!C27</f>
        <v>44554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6"/>
        <v>0</v>
      </c>
      <c r="L28" s="3"/>
      <c r="M28" s="3"/>
      <c r="N28" s="155"/>
      <c r="O28" s="3"/>
    </row>
    <row r="29" spans="1:15">
      <c r="A29" s="459">
        <f>ELEC!C28</f>
        <v>44555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6"/>
        <v>0</v>
      </c>
      <c r="L29" s="3"/>
      <c r="M29" s="3"/>
      <c r="N29" s="155"/>
      <c r="O29" s="3"/>
    </row>
    <row r="30" spans="1:15">
      <c r="A30" s="459">
        <f>ELEC!C29</f>
        <v>44556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6"/>
        <v>0</v>
      </c>
      <c r="L30" s="3"/>
      <c r="M30" s="3"/>
      <c r="N30" s="155"/>
      <c r="O30" s="3"/>
    </row>
    <row r="31" spans="1:15">
      <c r="A31" s="459">
        <f>ELEC!C30</f>
        <v>44557</v>
      </c>
      <c r="B31" s="37">
        <v>19</v>
      </c>
      <c r="C31" s="37">
        <v>12</v>
      </c>
      <c r="D31" s="268">
        <f>(C31+B31)/2</f>
        <v>15.5</v>
      </c>
      <c r="E31" s="326">
        <v>0.5</v>
      </c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6"/>
        <v>0</v>
      </c>
      <c r="L31" s="3"/>
      <c r="M31" s="3"/>
      <c r="N31" s="155"/>
      <c r="O31" s="3"/>
    </row>
    <row r="32" spans="1:15">
      <c r="A32" s="459">
        <f>ELEC!C31</f>
        <v>44558</v>
      </c>
      <c r="B32" s="37">
        <v>19</v>
      </c>
      <c r="C32" s="37">
        <v>13</v>
      </c>
      <c r="D32" s="26">
        <f t="shared" si="3"/>
        <v>16</v>
      </c>
      <c r="E32" s="325">
        <v>0.43</v>
      </c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6"/>
        <v>0</v>
      </c>
      <c r="L32" s="3"/>
      <c r="M32" s="3"/>
      <c r="N32" s="155"/>
      <c r="O32" s="3"/>
    </row>
    <row r="33" spans="1:15">
      <c r="A33" s="459">
        <f>ELEC!C32</f>
        <v>44559</v>
      </c>
      <c r="B33" s="37">
        <v>19</v>
      </c>
      <c r="C33" s="37">
        <v>14</v>
      </c>
      <c r="D33" s="26">
        <f>(C33+B33)/2</f>
        <v>16.5</v>
      </c>
      <c r="E33" s="378">
        <v>0.47</v>
      </c>
      <c r="F33" s="327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3">
        <f>+J33+H33+I33</f>
        <v>0</v>
      </c>
      <c r="L33" s="3"/>
      <c r="M33" s="3"/>
      <c r="N33" s="155"/>
      <c r="O33" s="3"/>
    </row>
    <row r="34" spans="1:15">
      <c r="A34" s="459">
        <f>ELEC!C33</f>
        <v>44560</v>
      </c>
      <c r="B34" s="37"/>
      <c r="C34" s="37"/>
      <c r="D34" s="26">
        <f>(C34+B34)/2</f>
        <v>0</v>
      </c>
      <c r="E34" s="378"/>
      <c r="F34" s="327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3">
        <f>+J34+H34+I34</f>
        <v>0</v>
      </c>
      <c r="L34" s="3"/>
      <c r="M34" s="3"/>
      <c r="N34" s="155"/>
      <c r="O34" s="3"/>
    </row>
    <row r="35" spans="1:15">
      <c r="A35" s="459">
        <f>ELEC!C34</f>
        <v>44561</v>
      </c>
      <c r="B35" s="37"/>
      <c r="C35" s="37"/>
      <c r="D35" s="26">
        <f>(C35+B35)/2</f>
        <v>0</v>
      </c>
      <c r="E35" s="378"/>
      <c r="F35" s="327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3">
        <f>+J35+H35+I35</f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30.954545454545453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661</v>
      </c>
      <c r="C2" s="3">
        <f>ELEC!N4</f>
        <v>6332</v>
      </c>
      <c r="D2" s="3">
        <f>C2-E2</f>
        <v>132.99999999947613</v>
      </c>
      <c r="E2" s="3">
        <f>ELEC!Q4</f>
        <v>6199.0000000005239</v>
      </c>
      <c r="F2" s="3">
        <f>GEN!Z2</f>
        <v>10</v>
      </c>
      <c r="G2" s="3">
        <f>WATER!C5+WATER!H5</f>
        <v>0</v>
      </c>
      <c r="H2" s="3">
        <f>WATER!L5</f>
        <v>0</v>
      </c>
      <c r="I2" s="15">
        <f>WATER!BC5+WATER!BD5+WATER!BE6-Sheet1!G2</f>
        <v>-5.0999999999999659</v>
      </c>
      <c r="J2" s="9">
        <f>'B5'!A4</f>
        <v>44530</v>
      </c>
    </row>
    <row r="3" spans="1:10">
      <c r="A3" s="3">
        <f>ELEC!T5+ELEC!X3+ELEC!AB5</f>
        <v>3</v>
      </c>
      <c r="B3" s="3">
        <f>ELEC!AF5</f>
        <v>670</v>
      </c>
      <c r="C3" s="3">
        <f>ELEC!N5</f>
        <v>5540</v>
      </c>
      <c r="D3" s="3">
        <f t="shared" ref="D3:D30" si="0">C3-E3</f>
        <v>176.99999999880674</v>
      </c>
      <c r="E3" s="3">
        <f>ELEC!Q5</f>
        <v>5363.0000000011933</v>
      </c>
      <c r="F3" s="3">
        <f>GEN!Z3</f>
        <v>11</v>
      </c>
      <c r="G3" s="3">
        <f>WATER!C6+WATER!H6</f>
        <v>0</v>
      </c>
      <c r="H3" s="3">
        <f>WATER!L6</f>
        <v>0</v>
      </c>
      <c r="I3" s="15">
        <f>WATER!BC6+WATER!BD6+WATER!BE7-Sheet1!G3</f>
        <v>69.7</v>
      </c>
      <c r="J3" s="9">
        <f>'B5'!A5</f>
        <v>44531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12</v>
      </c>
      <c r="G4" s="3">
        <f>WATER!C7+WATER!H7</f>
        <v>160</v>
      </c>
      <c r="H4" s="3">
        <f>WATER!L7</f>
        <v>0</v>
      </c>
      <c r="I4" s="15">
        <f>WATER!BC7+WATER!BD7+WATER!BE8-Sheet1!G4</f>
        <v>-168.00000000000003</v>
      </c>
      <c r="J4" s="9">
        <f>'B5'!A6</f>
        <v>44532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44533</v>
      </c>
    </row>
    <row r="6" spans="1:10">
      <c r="A6" s="3">
        <f>ELEC!T8+ELEC!X8+ELEC!AB8</f>
        <v>1</v>
      </c>
      <c r="B6" s="3">
        <f>ELEC!AF8</f>
        <v>379</v>
      </c>
      <c r="C6" s="3">
        <f>ELEC!N8</f>
        <v>6729</v>
      </c>
      <c r="D6" s="3">
        <f t="shared" si="0"/>
        <v>1043.0000000021246</v>
      </c>
      <c r="E6" s="3">
        <f>ELEC!Q25</f>
        <v>5685.9999999978754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-2.8999999999999773</v>
      </c>
      <c r="J6" s="9">
        <f>'B5'!A8</f>
        <v>44534</v>
      </c>
    </row>
    <row r="7" spans="1:10">
      <c r="A7" s="3">
        <f>ELEC!T9+ELEC!X9+ELEC!AB9</f>
        <v>2</v>
      </c>
      <c r="B7" s="3">
        <f>ELEC!AF9</f>
        <v>492</v>
      </c>
      <c r="C7" s="3">
        <f>ELEC!N9</f>
        <v>4979</v>
      </c>
      <c r="D7" s="3">
        <f t="shared" si="0"/>
        <v>49.999999999912689</v>
      </c>
      <c r="E7" s="3">
        <f>ELEC!Q9</f>
        <v>4929.0000000000873</v>
      </c>
      <c r="F7" s="3">
        <f>GEN!Z7</f>
        <v>10</v>
      </c>
      <c r="G7" s="3">
        <f>WATER!C10+WATER!H10</f>
        <v>0</v>
      </c>
      <c r="H7" s="3">
        <f>WATER!L10</f>
        <v>6</v>
      </c>
      <c r="I7" s="15">
        <f>WATER!BC10+WATER!BD10+WATER!BE11-Sheet1!G7</f>
        <v>-5.8000000000000114</v>
      </c>
      <c r="J7" s="9">
        <f>'B5'!A9</f>
        <v>44535</v>
      </c>
    </row>
    <row r="8" spans="1:10">
      <c r="A8" s="3">
        <f>ELEC!T10+ELEC!X10+ELEC!AB10</f>
        <v>2</v>
      </c>
      <c r="B8" s="3">
        <f>ELEC!AF10</f>
        <v>384</v>
      </c>
      <c r="C8" s="3">
        <f>ELEC!N10</f>
        <v>5333</v>
      </c>
      <c r="D8" s="3">
        <f t="shared" si="0"/>
        <v>89.000000001222361</v>
      </c>
      <c r="E8" s="3">
        <f>ELEC!Q10</f>
        <v>5243.9999999987776</v>
      </c>
      <c r="F8" s="3">
        <f>GEN!Z8</f>
        <v>9</v>
      </c>
      <c r="G8" s="3">
        <f>WATER!C11+WATER!H11</f>
        <v>0</v>
      </c>
      <c r="H8" s="3">
        <f>WATER!L11</f>
        <v>0</v>
      </c>
      <c r="I8" s="15">
        <f>WATER!BC11+WATER!BD11+WATER!BE12-Sheet1!G8</f>
        <v>-11.600000000000051</v>
      </c>
      <c r="J8" s="9">
        <f>'B5'!A10</f>
        <v>44536</v>
      </c>
    </row>
    <row r="9" spans="1:10">
      <c r="A9" s="3">
        <f>ELEC!T11+ELEC!X11+ELEC!AB11</f>
        <v>1</v>
      </c>
      <c r="B9" s="3">
        <f>ELEC!AF11</f>
        <v>171</v>
      </c>
      <c r="C9" s="3">
        <f>ELEC!N11</f>
        <v>5724</v>
      </c>
      <c r="D9" s="3">
        <f t="shared" si="0"/>
        <v>-238.99999999973807</v>
      </c>
      <c r="E9" s="3">
        <f>ELEC!Q11</f>
        <v>5962.9999999997381</v>
      </c>
      <c r="F9" s="3">
        <f>GEN!Z9</f>
        <v>10</v>
      </c>
      <c r="G9" s="3">
        <f>WATER!C12+WATER!H12</f>
        <v>0</v>
      </c>
      <c r="H9" s="3">
        <f>WATER!L12</f>
        <v>0</v>
      </c>
      <c r="I9" s="15">
        <f>WATER!BC12+WATER!BD12+WATER!BE13-Sheet1!G9</f>
        <v>-35.899999999999977</v>
      </c>
      <c r="J9" s="9">
        <f>'B5'!A11</f>
        <v>44537</v>
      </c>
    </row>
    <row r="10" spans="1:10">
      <c r="A10" s="3">
        <f>ELEC!T12+ELEC!X12+ELEC!AB12</f>
        <v>1</v>
      </c>
      <c r="B10" s="3">
        <f>ELEC!AF12</f>
        <v>218</v>
      </c>
      <c r="C10" s="3">
        <f>ELEC!N12</f>
        <v>4995</v>
      </c>
      <c r="D10" s="3">
        <f t="shared" si="0"/>
        <v>158.99999999703141</v>
      </c>
      <c r="E10" s="3">
        <f>ELEC!Q12</f>
        <v>4836.0000000029686</v>
      </c>
      <c r="F10" s="3">
        <f>GEN!Z10</f>
        <v>11</v>
      </c>
      <c r="G10" s="3">
        <f>WATER!C13+WATER!H13</f>
        <v>0</v>
      </c>
      <c r="H10" s="3">
        <f>WATER!L13</f>
        <v>0</v>
      </c>
      <c r="I10" s="15">
        <f>WATER!BC13+WATER!BD13+WATER!BE14-Sheet1!G10</f>
        <v>21.800000000000026</v>
      </c>
      <c r="J10" s="9">
        <f>'B5'!A12</f>
        <v>44538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9</v>
      </c>
      <c r="G11" s="3">
        <f>WATER!C14+WATER!H14</f>
        <v>170</v>
      </c>
      <c r="H11" s="3">
        <f>WATER!L14</f>
        <v>6</v>
      </c>
      <c r="I11" s="15">
        <f>WATER!BC14+WATER!BD14+WATER!BE15-Sheet1!G11</f>
        <v>-56.200000000000017</v>
      </c>
      <c r="J11" s="9">
        <f>'B5'!A13</f>
        <v>44539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44540</v>
      </c>
    </row>
    <row r="13" spans="1:10">
      <c r="A13" s="3">
        <f>ELEC!T15+ELEC!X15+ELEC!AB15</f>
        <v>2</v>
      </c>
      <c r="B13" s="3">
        <f>ELEC!AF15</f>
        <v>474</v>
      </c>
      <c r="C13" s="3">
        <f>ELEC!N15</f>
        <v>6833</v>
      </c>
      <c r="D13" s="3">
        <f t="shared" si="0"/>
        <v>111.00000000206637</v>
      </c>
      <c r="E13" s="3">
        <f>ELEC!Q15</f>
        <v>6721.9999999979336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-4.1999999999999602</v>
      </c>
      <c r="J13" s="9">
        <f>'B5'!A15</f>
        <v>44541</v>
      </c>
    </row>
    <row r="14" spans="1:10">
      <c r="A14" s="3">
        <f>ELEC!T16+ELEC!X16+ELEC!AB16</f>
        <v>2</v>
      </c>
      <c r="B14" s="3">
        <f>ELEC!AF16</f>
        <v>593</v>
      </c>
      <c r="C14" s="3">
        <f>ELEC!N16</f>
        <v>5512.2000000001863</v>
      </c>
      <c r="D14" s="3">
        <f t="shared" si="0"/>
        <v>387.20000000018626</v>
      </c>
      <c r="E14" s="3">
        <f>ELEC!Q16</f>
        <v>5125</v>
      </c>
      <c r="F14" s="3">
        <f>GEN!Z14</f>
        <v>11</v>
      </c>
      <c r="G14" s="3">
        <f>WATER!C17+WATER!H17</f>
        <v>2</v>
      </c>
      <c r="H14" s="3">
        <f>WATER!L17</f>
        <v>1</v>
      </c>
      <c r="I14" s="15">
        <f>WATER!BC17+WATER!BD17+WATER!BE18-Sheet1!G14</f>
        <v>-15.799999999999983</v>
      </c>
      <c r="J14" s="9">
        <f>'B5'!A16</f>
        <v>44542</v>
      </c>
    </row>
    <row r="15" spans="1:10">
      <c r="A15" s="3">
        <f>ELEC!T17+ELEC!X17+ELEC!AB17</f>
        <v>1</v>
      </c>
      <c r="B15" s="3">
        <f>ELEC!AF17</f>
        <v>253</v>
      </c>
      <c r="C15" s="3">
        <f>ELEC!N17</f>
        <v>5313.7999999998137</v>
      </c>
      <c r="D15" s="3">
        <f t="shared" si="0"/>
        <v>167.79999999917345</v>
      </c>
      <c r="E15" s="3">
        <f>ELEC!Q17</f>
        <v>5146.0000000006403</v>
      </c>
      <c r="F15" s="3">
        <f>GEN!Z15</f>
        <v>10</v>
      </c>
      <c r="G15" s="3">
        <f>WATER!C18+WATER!H18</f>
        <v>0</v>
      </c>
      <c r="H15" s="3">
        <f>WATER!L18</f>
        <v>0</v>
      </c>
      <c r="I15" s="15">
        <f>WATER!BC18+WATER!BD18+WATER!BE19-Sheet1!G15</f>
        <v>46.699999999999946</v>
      </c>
      <c r="J15" s="9">
        <f>'B5'!A17</f>
        <v>44543</v>
      </c>
    </row>
    <row r="16" spans="1:10">
      <c r="A16" s="3">
        <f>ELEC!T18+ELEC!X18+ELEC!AB18</f>
        <v>1</v>
      </c>
      <c r="B16" s="3">
        <f>ELEC!AF18</f>
        <v>363</v>
      </c>
      <c r="C16" s="3">
        <f>ELEC!N18</f>
        <v>5643</v>
      </c>
      <c r="D16" s="3">
        <f t="shared" si="0"/>
        <v>469.00000000093132</v>
      </c>
      <c r="E16" s="3">
        <f>ELEC!Q18</f>
        <v>5173.9999999990687</v>
      </c>
      <c r="F16" s="3">
        <f>GEN!Z16</f>
        <v>9</v>
      </c>
      <c r="G16" s="3">
        <f>WATER!C19+WATER!H19</f>
        <v>0</v>
      </c>
      <c r="H16" s="3">
        <f>WATER!L19</f>
        <v>1</v>
      </c>
      <c r="I16" s="15">
        <f>WATER!BC19+WATER!BD19+WATER!BE20-Sheet1!G16</f>
        <v>-9.0999999999999943</v>
      </c>
      <c r="J16" s="9">
        <f>'B5'!A18</f>
        <v>44544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9545</v>
      </c>
      <c r="D17" s="3">
        <f t="shared" si="0"/>
        <v>-377.0000000022992</v>
      </c>
      <c r="E17" s="3">
        <f>ELEC!Q19</f>
        <v>9922.0000000022992</v>
      </c>
      <c r="F17" s="3">
        <f>GEN!Z17</f>
        <v>10</v>
      </c>
      <c r="G17" s="3">
        <f>WATER!C20+WATER!H20</f>
        <v>0</v>
      </c>
      <c r="H17" s="3">
        <f>WATER!L20</f>
        <v>1</v>
      </c>
      <c r="I17" s="15">
        <f>WATER!BC20+WATER!BD20+WATER!BE21-Sheet1!G17</f>
        <v>-2.1999999999999886</v>
      </c>
      <c r="J17" s="9">
        <f>'B5'!A19</f>
        <v>44545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20</v>
      </c>
      <c r="G18" s="3">
        <f>WATER!C21+WATER!H21</f>
        <v>0</v>
      </c>
      <c r="H18" s="3">
        <f>WATER!L21</f>
        <v>0</v>
      </c>
      <c r="I18" s="15">
        <f>WATER!BC21+WATER!BD21+WATER!BE22-Sheet1!G18</f>
        <v>2.8999999999999773</v>
      </c>
      <c r="J18" s="9">
        <f>'B5'!A20</f>
        <v>44546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44547</v>
      </c>
    </row>
    <row r="20" spans="1:10">
      <c r="A20" s="3">
        <f>ELEC!T22+ELEC!X22+ELEC!AB22</f>
        <v>2</v>
      </c>
      <c r="B20" s="3">
        <f>ELEC!AF22</f>
        <v>395</v>
      </c>
      <c r="C20" s="3">
        <f>ELEC!N22</f>
        <v>6388</v>
      </c>
      <c r="D20" s="3">
        <f t="shared" si="0"/>
        <v>1029.9999999998254</v>
      </c>
      <c r="E20" s="3">
        <f>ELEC!Q22</f>
        <v>5358.0000000001746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-27.19999999999996</v>
      </c>
      <c r="J20" s="9">
        <f>'B5'!A22</f>
        <v>44548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5544</v>
      </c>
      <c r="D21" s="3">
        <f t="shared" si="0"/>
        <v>-157.99999999749707</v>
      </c>
      <c r="E21" s="3">
        <f>ELEC!Q23</f>
        <v>5701.9999999974971</v>
      </c>
      <c r="F21" s="3">
        <f>GEN!Z21</f>
        <v>12</v>
      </c>
      <c r="G21" s="3">
        <f>WATER!C24+WATER!H24</f>
        <v>0</v>
      </c>
      <c r="H21" s="3">
        <f>WATER!L24</f>
        <v>0</v>
      </c>
      <c r="I21" s="15">
        <f>WATER!BC24+WATER!BD24+WATER!BE25-Sheet1!G21</f>
        <v>-30.099999999999994</v>
      </c>
      <c r="J21" s="9">
        <f>'B5'!A23</f>
        <v>44549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4191</v>
      </c>
      <c r="D22" s="3">
        <f t="shared" si="0"/>
        <v>-2210.0000000016589</v>
      </c>
      <c r="E22" s="3">
        <f>ELEC!Q24</f>
        <v>6401.0000000016589</v>
      </c>
      <c r="F22" s="3">
        <f>GEN!Z22</f>
        <v>11</v>
      </c>
      <c r="G22" s="3">
        <f>WATER!C25+WATER!H25</f>
        <v>0</v>
      </c>
      <c r="H22" s="3">
        <f>WATER!L25</f>
        <v>2</v>
      </c>
      <c r="I22" s="15">
        <f>WATER!BC25+WATER!BD25+WATER!BE26-Sheet1!G22</f>
        <v>-8.6999999999999886</v>
      </c>
      <c r="J22" s="9">
        <f>'B5'!A24</f>
        <v>44550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8533</v>
      </c>
      <c r="D23" s="3">
        <f t="shared" si="0"/>
        <v>2847.0000000021246</v>
      </c>
      <c r="E23" s="3">
        <f>ELEC!Q25</f>
        <v>5685.9999999978754</v>
      </c>
      <c r="F23" s="3">
        <f>GEN!Z23</f>
        <v>12</v>
      </c>
      <c r="G23" s="3">
        <f>WATER!C26+WATER!H26</f>
        <v>0</v>
      </c>
      <c r="H23" s="3">
        <f>WATER!L26</f>
        <v>0</v>
      </c>
      <c r="I23" s="15">
        <f>WATER!BC26+WATER!BD26+WATER!BE27-Sheet1!G23</f>
        <v>-12.699999999999989</v>
      </c>
      <c r="J23" s="9">
        <f>'B5'!A25</f>
        <v>44551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5011</v>
      </c>
      <c r="D24" s="3">
        <f t="shared" si="0"/>
        <v>622.99999999735155</v>
      </c>
      <c r="E24" s="3">
        <f>ELEC!Q26</f>
        <v>4388.0000000026484</v>
      </c>
      <c r="F24" s="3">
        <f>GEN!Z24</f>
        <v>12</v>
      </c>
      <c r="G24" s="3">
        <f>WATER!C27+WATER!H27</f>
        <v>0</v>
      </c>
      <c r="H24" s="3">
        <f>WATER!L27</f>
        <v>0</v>
      </c>
      <c r="I24" s="15">
        <f>WATER!BC27+WATER!BD27+WATER!BE28-Sheet1!G24</f>
        <v>-18.500000000000057</v>
      </c>
      <c r="J24" s="9">
        <f>'B5'!A26</f>
        <v>44552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9</v>
      </c>
      <c r="G25" s="3">
        <f>WATER!C28+WATER!H28</f>
        <v>0</v>
      </c>
      <c r="H25" s="3">
        <f>WATER!L28</f>
        <v>0</v>
      </c>
      <c r="I25" s="15">
        <f>WATER!BC28+WATER!BD28+WATER!BE29-Sheet1!G25</f>
        <v>-11.600000000000023</v>
      </c>
      <c r="J25" s="9">
        <f>'B5'!A27</f>
        <v>44553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44554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44555</v>
      </c>
    </row>
    <row r="28" spans="1:10">
      <c r="A28" s="3">
        <f>ELEC!T30+ELEC!X30+ELEC!AB30</f>
        <v>1</v>
      </c>
      <c r="B28" s="3">
        <f>ELEC!AF30</f>
        <v>94</v>
      </c>
      <c r="C28" s="3">
        <f>ELEC!N30</f>
        <v>5277</v>
      </c>
      <c r="D28" s="3">
        <f t="shared" si="0"/>
        <v>136.00000000037835</v>
      </c>
      <c r="E28" s="3">
        <f>ELEC!Q30</f>
        <v>5140.9999999996217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-20.300000000000011</v>
      </c>
      <c r="J28" s="9">
        <f>'B5'!A30</f>
        <v>44556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4790</v>
      </c>
      <c r="D29" s="3">
        <f t="shared" si="0"/>
        <v>-504.99999999825377</v>
      </c>
      <c r="E29" s="3">
        <f>ELEC!Q31</f>
        <v>5294.9999999982538</v>
      </c>
      <c r="F29" s="3">
        <f>GEN!Z29</f>
        <v>10</v>
      </c>
      <c r="G29" s="3">
        <f>WATER!C32+WATER!H32</f>
        <v>0</v>
      </c>
      <c r="H29" s="3">
        <f>WATER!L32</f>
        <v>4</v>
      </c>
      <c r="I29" s="15">
        <f>WATER!BC32+WATER!BD32+WATER!BE33-Sheet1!G29</f>
        <v>-42.399999999999949</v>
      </c>
      <c r="J29" s="9">
        <f>'B5'!A31</f>
        <v>44557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10</v>
      </c>
      <c r="G30" s="3">
        <f>WATER!C33+WATER!H33</f>
        <v>0</v>
      </c>
      <c r="H30" s="3">
        <f>WATER!L33</f>
        <v>1</v>
      </c>
      <c r="I30" s="15" t="e">
        <f>WATER!BC33+WATER!BD33+WATER!#REF!-Sheet1!G30</f>
        <v>#REF!</v>
      </c>
      <c r="J30" s="9">
        <f>'B5'!A32</f>
        <v>44558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4"/>
      <c r="B1" s="682" t="s">
        <v>119</v>
      </c>
      <c r="C1" s="682" t="s">
        <v>118</v>
      </c>
      <c r="D1" s="686" t="s">
        <v>113</v>
      </c>
      <c r="E1" s="686" t="s">
        <v>114</v>
      </c>
      <c r="F1" s="687" t="s">
        <v>120</v>
      </c>
      <c r="G1" s="688" t="s">
        <v>75</v>
      </c>
      <c r="H1" s="679" t="s">
        <v>115</v>
      </c>
      <c r="I1" s="680" t="s">
        <v>116</v>
      </c>
      <c r="J1" s="679" t="s">
        <v>117</v>
      </c>
      <c r="K1" s="678" t="s">
        <v>121</v>
      </c>
      <c r="L1" s="678" t="s">
        <v>122</v>
      </c>
      <c r="M1" s="678" t="s">
        <v>123</v>
      </c>
      <c r="N1" s="678" t="s">
        <v>124</v>
      </c>
    </row>
    <row r="2" spans="1:14">
      <c r="A2" s="685"/>
      <c r="B2" s="683"/>
      <c r="C2" s="683"/>
      <c r="D2" s="686"/>
      <c r="E2" s="686"/>
      <c r="F2" s="687"/>
      <c r="G2" s="688"/>
      <c r="H2" s="679"/>
      <c r="I2" s="681"/>
      <c r="J2" s="679"/>
      <c r="K2" s="678"/>
      <c r="L2" s="678"/>
      <c r="M2" s="678"/>
      <c r="N2" s="678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44531</v>
      </c>
      <c r="B5" s="76">
        <f>'B5'!V5</f>
        <v>0</v>
      </c>
      <c r="C5" s="76">
        <f>'B5'!AH5</f>
        <v>0</v>
      </c>
      <c r="D5" s="76">
        <f>GEN!AI3</f>
        <v>1595.5232067511897</v>
      </c>
      <c r="E5" s="239">
        <f t="shared" ref="E5:E33" si="0">B5+C5+D5</f>
        <v>1595.5232067511897</v>
      </c>
      <c r="F5" s="75">
        <f>WATER!L5</f>
        <v>0</v>
      </c>
      <c r="G5" s="78">
        <f>WATER!BG5</f>
        <v>0</v>
      </c>
      <c r="H5" s="79">
        <f>ELEC!AF4</f>
        <v>661</v>
      </c>
      <c r="I5" s="79">
        <f>ELEC!Q4</f>
        <v>6199.0000000005239</v>
      </c>
      <c r="J5" s="79">
        <f>ELEC!R4</f>
        <v>132.99999999947613</v>
      </c>
      <c r="K5" s="80"/>
      <c r="L5" s="3"/>
      <c r="M5" s="3"/>
      <c r="N5" s="3"/>
    </row>
    <row r="6" spans="1:14">
      <c r="A6" s="63">
        <f>'B5'!A6</f>
        <v>44532</v>
      </c>
      <c r="B6" s="76">
        <f>'B5'!V6</f>
        <v>0</v>
      </c>
      <c r="C6" s="76">
        <f>'B5'!AH6</f>
        <v>0</v>
      </c>
      <c r="D6" s="76">
        <f>GEN!AI4</f>
        <v>1380.3502109707713</v>
      </c>
      <c r="E6" s="239">
        <f t="shared" si="0"/>
        <v>1380.3502109707713</v>
      </c>
      <c r="F6" s="75">
        <f>WATER!L6</f>
        <v>0</v>
      </c>
      <c r="G6" s="78">
        <f>WATER!BG6</f>
        <v>-5.0999999999999659</v>
      </c>
      <c r="H6" s="79">
        <f>ELEC!AF5</f>
        <v>670</v>
      </c>
      <c r="I6" s="79">
        <f>ELEC!Q5</f>
        <v>5363.0000000011933</v>
      </c>
      <c r="J6" s="79">
        <f>ELEC!R5</f>
        <v>176.99999999880674</v>
      </c>
      <c r="K6" s="3"/>
      <c r="L6" s="3"/>
      <c r="M6" s="3"/>
      <c r="N6" s="3"/>
    </row>
    <row r="7" spans="1:14">
      <c r="A7" s="63">
        <f>'B5'!A7</f>
        <v>44533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74.799999999999969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44534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44535</v>
      </c>
      <c r="B9" s="76">
        <f>'B5'!V9</f>
        <v>193</v>
      </c>
      <c r="C9" s="76">
        <f>'B5'!AH9</f>
        <v>0</v>
      </c>
      <c r="D9" s="76">
        <f>GEN!AI7</f>
        <v>1684.5780590712807</v>
      </c>
      <c r="E9" s="239">
        <f t="shared" si="0"/>
        <v>1877.5780590712807</v>
      </c>
      <c r="F9" s="75">
        <f>WATER!L9</f>
        <v>0</v>
      </c>
      <c r="G9" s="78">
        <f>WATER!BG9</f>
        <v>0</v>
      </c>
      <c r="H9" s="79">
        <f>ELEC!AF8</f>
        <v>379</v>
      </c>
      <c r="I9" s="79">
        <f>ELEC!Q8</f>
        <v>6544.9999999982538</v>
      </c>
      <c r="J9" s="79">
        <f>ELEC!R8</f>
        <v>184.00000000174623</v>
      </c>
      <c r="K9" s="3"/>
      <c r="L9" s="3"/>
      <c r="M9" s="3"/>
      <c r="N9" s="3"/>
    </row>
    <row r="10" spans="1:14">
      <c r="A10" s="63">
        <f>'B5'!A10</f>
        <v>44536</v>
      </c>
      <c r="B10" s="76">
        <f>'B5'!V10</f>
        <v>110</v>
      </c>
      <c r="C10" s="76">
        <f>'B5'!AH10</f>
        <v>0</v>
      </c>
      <c r="D10" s="76">
        <f>GEN!AI8</f>
        <v>1268.6455696202756</v>
      </c>
      <c r="E10" s="239">
        <f t="shared" si="0"/>
        <v>1378.6455696202756</v>
      </c>
      <c r="F10" s="75">
        <f>WATER!L10</f>
        <v>6</v>
      </c>
      <c r="G10" s="78">
        <f>WATER!BG10</f>
        <v>-2.8999999999999773</v>
      </c>
      <c r="H10" s="79">
        <f>ELEC!AF9</f>
        <v>492</v>
      </c>
      <c r="I10" s="79">
        <f>ELEC!Q9</f>
        <v>4929.0000000000873</v>
      </c>
      <c r="J10" s="79">
        <f>ELEC!R9</f>
        <v>49.999999999912689</v>
      </c>
      <c r="K10" s="3"/>
      <c r="L10" s="3"/>
      <c r="M10" s="3"/>
      <c r="N10" s="3"/>
    </row>
    <row r="11" spans="1:14">
      <c r="A11" s="63">
        <f>'B5'!A11</f>
        <v>44537</v>
      </c>
      <c r="B11" s="76">
        <f>'B5'!V11</f>
        <v>119</v>
      </c>
      <c r="C11" s="76">
        <f>'B5'!AH11</f>
        <v>0</v>
      </c>
      <c r="D11" s="76">
        <f>GEN!AI9</f>
        <v>1349.7215189870274</v>
      </c>
      <c r="E11" s="239">
        <f t="shared" si="0"/>
        <v>1468.7215189870274</v>
      </c>
      <c r="F11" s="75">
        <f>WATER!L11</f>
        <v>0</v>
      </c>
      <c r="G11" s="78">
        <f>WATER!BG11</f>
        <v>-2.9000000000000341</v>
      </c>
      <c r="H11" s="79">
        <f>ELEC!AF10</f>
        <v>384</v>
      </c>
      <c r="I11" s="79">
        <f>ELEC!Q10</f>
        <v>5243.9999999987776</v>
      </c>
      <c r="J11" s="79">
        <f>ELEC!R10</f>
        <v>89.000000001222361</v>
      </c>
      <c r="K11" s="3"/>
      <c r="L11" s="3"/>
      <c r="M11" s="3"/>
      <c r="N11" s="3"/>
    </row>
    <row r="12" spans="1:14">
      <c r="A12" s="63">
        <f>'B5'!A12</f>
        <v>44538</v>
      </c>
      <c r="B12" s="76">
        <f>'B5'!V12</f>
        <v>0</v>
      </c>
      <c r="C12" s="76">
        <f>'B5'!AH12</f>
        <v>0</v>
      </c>
      <c r="D12" s="76">
        <f>GEN!AI10</f>
        <v>1534.7805907172324</v>
      </c>
      <c r="E12" s="239">
        <f t="shared" si="0"/>
        <v>1534.7805907172324</v>
      </c>
      <c r="F12" s="75">
        <f>WATER!L12</f>
        <v>0</v>
      </c>
      <c r="G12" s="78">
        <f>WATER!BG12</f>
        <v>-8.7000000000000171</v>
      </c>
      <c r="H12" s="79">
        <f>ELEC!AF11</f>
        <v>171</v>
      </c>
      <c r="I12" s="79">
        <f>ELEC!Q11</f>
        <v>5962.9999999997381</v>
      </c>
      <c r="J12" s="79">
        <f>ELEC!R11</f>
        <v>-238.99999999973807</v>
      </c>
      <c r="K12" s="3"/>
      <c r="L12" s="3"/>
      <c r="M12" s="3"/>
      <c r="N12" s="3"/>
    </row>
    <row r="13" spans="1:14">
      <c r="A13" s="63">
        <f>'B5'!A13</f>
        <v>44539</v>
      </c>
      <c r="B13" s="76">
        <f>'B5'!V13</f>
        <v>0</v>
      </c>
      <c r="C13" s="76">
        <f>'B5'!AH13</f>
        <v>0</v>
      </c>
      <c r="D13" s="76">
        <f>GEN!AI11</f>
        <v>1244.7088607602579</v>
      </c>
      <c r="E13" s="239">
        <f t="shared" si="0"/>
        <v>1244.7088607602579</v>
      </c>
      <c r="F13" s="75">
        <f>WATER!L13</f>
        <v>0</v>
      </c>
      <c r="G13" s="78">
        <f>WATER!BG13</f>
        <v>-28.999999999999972</v>
      </c>
      <c r="H13" s="79">
        <f>ELEC!AF12</f>
        <v>218</v>
      </c>
      <c r="I13" s="79">
        <f>ELEC!Q12</f>
        <v>4836.0000000029686</v>
      </c>
      <c r="J13" s="79">
        <f>ELEC!R12</f>
        <v>158.99999999703141</v>
      </c>
      <c r="K13" s="3"/>
      <c r="L13" s="3"/>
      <c r="M13" s="3"/>
      <c r="N13" s="3"/>
    </row>
    <row r="14" spans="1:14">
      <c r="A14" s="63">
        <f>'B5'!A14</f>
        <v>44540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6</v>
      </c>
      <c r="G14" s="78">
        <f>WATER!BG14</f>
        <v>50.8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44541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44542</v>
      </c>
      <c r="B16" s="76">
        <f>'B5'!V16</f>
        <v>118</v>
      </c>
      <c r="C16" s="76">
        <f>'B5'!AH16</f>
        <v>0</v>
      </c>
      <c r="D16" s="76">
        <f>GEN!AI14</f>
        <v>1730.1350210965147</v>
      </c>
      <c r="E16" s="239">
        <f t="shared" si="0"/>
        <v>1848.1350210965147</v>
      </c>
      <c r="F16" s="75">
        <f>WATER!L16</f>
        <v>0</v>
      </c>
      <c r="G16" s="78">
        <f>WATER!BG16</f>
        <v>0</v>
      </c>
      <c r="H16" s="79">
        <f>ELEC!AF15</f>
        <v>474</v>
      </c>
      <c r="I16" s="79">
        <f>ELEC!Q15</f>
        <v>6721.9999999979336</v>
      </c>
      <c r="J16" s="79">
        <f>ELEC!R15</f>
        <v>111.00000000206637</v>
      </c>
      <c r="K16" s="3"/>
      <c r="L16" s="3"/>
      <c r="M16" s="3"/>
      <c r="N16" s="3"/>
    </row>
    <row r="17" spans="1:14">
      <c r="A17" s="63">
        <f>'B5'!A17</f>
        <v>44543</v>
      </c>
      <c r="B17" s="76">
        <f>'B5'!V17</f>
        <v>169</v>
      </c>
      <c r="C17" s="76">
        <f>'B5'!AH17</f>
        <v>0</v>
      </c>
      <c r="D17" s="76">
        <f>GEN!AI15</f>
        <v>1319.0928270042195</v>
      </c>
      <c r="E17" s="239">
        <f t="shared" si="0"/>
        <v>1488.0928270042195</v>
      </c>
      <c r="F17" s="75">
        <f>WATER!L17</f>
        <v>1</v>
      </c>
      <c r="G17" s="78">
        <f>WATER!BG17</f>
        <v>-4.1999999999999602</v>
      </c>
      <c r="H17" s="79">
        <f>ELEC!AF16</f>
        <v>593</v>
      </c>
      <c r="I17" s="79">
        <f>ELEC!Q16</f>
        <v>5125</v>
      </c>
      <c r="J17" s="79">
        <f>ELEC!R16</f>
        <v>387.20000000018626</v>
      </c>
      <c r="K17" s="3"/>
      <c r="L17" s="3"/>
      <c r="M17" s="3"/>
      <c r="N17" s="3"/>
    </row>
    <row r="18" spans="1:14">
      <c r="A18" s="63">
        <f>'B5'!A18</f>
        <v>44544</v>
      </c>
      <c r="B18" s="76">
        <f>'B5'!V18</f>
        <v>117</v>
      </c>
      <c r="C18" s="76">
        <f>'B5'!AH18</f>
        <v>0</v>
      </c>
      <c r="D18" s="76">
        <f>GEN!AI16</f>
        <v>1324.4978902955236</v>
      </c>
      <c r="E18" s="239">
        <f t="shared" si="0"/>
        <v>1441.4978902955236</v>
      </c>
      <c r="F18" s="75">
        <f>WATER!L18</f>
        <v>0</v>
      </c>
      <c r="G18" s="78">
        <f>WATER!BG18</f>
        <v>-6.9000000000000341</v>
      </c>
      <c r="H18" s="79">
        <f>ELEC!AF17</f>
        <v>253</v>
      </c>
      <c r="I18" s="79">
        <f>ELEC!Q17</f>
        <v>5146.0000000006403</v>
      </c>
      <c r="J18" s="79">
        <f>ELEC!R17</f>
        <v>167.79999999917345</v>
      </c>
      <c r="K18" s="3"/>
      <c r="L18" s="3"/>
      <c r="M18" s="3"/>
      <c r="N18" s="3"/>
    </row>
    <row r="19" spans="1:14">
      <c r="A19" s="63">
        <f>'B5'!A19</f>
        <v>44545</v>
      </c>
      <c r="B19" s="76">
        <f>'B5'!V19</f>
        <v>112</v>
      </c>
      <c r="C19" s="76">
        <f>'B5'!AH19</f>
        <v>0</v>
      </c>
      <c r="D19" s="76">
        <f>GEN!AI17</f>
        <v>1331.7046413499713</v>
      </c>
      <c r="E19" s="239">
        <f t="shared" si="0"/>
        <v>1443.7046413499713</v>
      </c>
      <c r="F19" s="75">
        <f>WATER!L19</f>
        <v>1</v>
      </c>
      <c r="G19" s="78">
        <f>WATER!BG19</f>
        <v>53.59999999999998</v>
      </c>
      <c r="H19" s="79">
        <f>ELEC!AF18</f>
        <v>363</v>
      </c>
      <c r="I19" s="79">
        <f>ELEC!Q18</f>
        <v>5173.9999999990687</v>
      </c>
      <c r="J19" s="79">
        <f>ELEC!R18</f>
        <v>469.00000000093132</v>
      </c>
      <c r="K19" s="3"/>
      <c r="L19" s="3"/>
      <c r="M19" s="3"/>
      <c r="N19" s="3"/>
    </row>
    <row r="20" spans="1:14">
      <c r="A20" s="63">
        <f>'B5'!A20</f>
        <v>44546</v>
      </c>
      <c r="B20" s="76">
        <f>'B5'!V20</f>
        <v>0</v>
      </c>
      <c r="C20" s="76">
        <f>'B5'!AH20</f>
        <v>0</v>
      </c>
      <c r="D20" s="76">
        <f>GEN!AI18</f>
        <v>2553.7637130807607</v>
      </c>
      <c r="E20" s="239">
        <f t="shared" si="0"/>
        <v>2553.7637130807607</v>
      </c>
      <c r="F20" s="75">
        <f>WATER!L20</f>
        <v>1</v>
      </c>
      <c r="G20" s="78">
        <f>WATER!BG20</f>
        <v>-5.0999999999999659</v>
      </c>
      <c r="H20" s="79">
        <f>ELEC!AF19</f>
        <v>0</v>
      </c>
      <c r="I20" s="79">
        <f>ELEC!Q19</f>
        <v>9922.0000000022992</v>
      </c>
      <c r="J20" s="79">
        <f>ELEC!R19</f>
        <v>-377.0000000022992</v>
      </c>
      <c r="K20" s="3"/>
      <c r="L20" s="3"/>
      <c r="M20" s="3"/>
      <c r="N20" s="3"/>
    </row>
    <row r="21" spans="1:14">
      <c r="A21" s="63">
        <f>'B5'!A21</f>
        <v>44547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2.8999999999999773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44548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44549</v>
      </c>
      <c r="B23" s="76">
        <f>'B5'!V23</f>
        <v>285</v>
      </c>
      <c r="C23" s="76">
        <f>'B5'!AH23</f>
        <v>0</v>
      </c>
      <c r="D23" s="76">
        <f>GEN!AI21</f>
        <v>1379.0632911392856</v>
      </c>
      <c r="E23" s="239">
        <f t="shared" si="0"/>
        <v>1664.0632911392856</v>
      </c>
      <c r="F23" s="75">
        <f>WATER!L23</f>
        <v>0</v>
      </c>
      <c r="G23" s="78">
        <f>WATER!BG23</f>
        <v>0</v>
      </c>
      <c r="H23" s="79">
        <f>ELEC!AF22</f>
        <v>395</v>
      </c>
      <c r="I23" s="79">
        <f>ELEC!Q22</f>
        <v>5358.0000000001746</v>
      </c>
      <c r="J23" s="79">
        <f>ELEC!R22</f>
        <v>1029.9999999998254</v>
      </c>
      <c r="K23" s="3"/>
      <c r="L23" s="3"/>
      <c r="M23" s="3"/>
      <c r="N23" s="3"/>
    </row>
    <row r="24" spans="1:14">
      <c r="A24" s="63">
        <f>'B5'!A24</f>
        <v>44550</v>
      </c>
      <c r="B24" s="76">
        <f>'B5'!V24</f>
        <v>199</v>
      </c>
      <c r="C24" s="76">
        <f>'B5'!AH24</f>
        <v>0</v>
      </c>
      <c r="D24" s="76">
        <f>GEN!AI22</f>
        <v>1467.603375526782</v>
      </c>
      <c r="E24" s="239">
        <f t="shared" si="0"/>
        <v>1666.603375526782</v>
      </c>
      <c r="F24" s="75">
        <f>WATER!L24</f>
        <v>0</v>
      </c>
      <c r="G24" s="78">
        <f>WATER!BG24</f>
        <v>-27.19999999999996</v>
      </c>
      <c r="H24" s="79">
        <f>ELEC!AF23</f>
        <v>0</v>
      </c>
      <c r="I24" s="79">
        <f>ELEC!Q23</f>
        <v>5701.9999999974971</v>
      </c>
      <c r="J24" s="79">
        <f>ELEC!R23</f>
        <v>-157.99999999749707</v>
      </c>
      <c r="K24" s="3"/>
      <c r="L24" s="3"/>
      <c r="M24" s="3"/>
      <c r="N24" s="3"/>
    </row>
    <row r="25" spans="1:14">
      <c r="A25" s="63">
        <f>'B5'!A25</f>
        <v>44551</v>
      </c>
      <c r="B25" s="76">
        <f>'B5'!V25</f>
        <v>120</v>
      </c>
      <c r="C25" s="76">
        <f>'B5'!AH25</f>
        <v>0</v>
      </c>
      <c r="D25" s="76">
        <f>GEN!AI23</f>
        <v>1647.5147679329166</v>
      </c>
      <c r="E25" s="239">
        <f t="shared" si="0"/>
        <v>1767.5147679329166</v>
      </c>
      <c r="F25" s="75">
        <f>WATER!L25</f>
        <v>2</v>
      </c>
      <c r="G25" s="78">
        <f>WATER!BG25</f>
        <v>-2.9000000000000341</v>
      </c>
      <c r="H25" s="79">
        <f>ELEC!AF24</f>
        <v>0</v>
      </c>
      <c r="I25" s="79">
        <f>ELEC!Q24</f>
        <v>6401.0000000016589</v>
      </c>
      <c r="J25" s="79">
        <f>ELEC!R24</f>
        <v>-2210.0000000016589</v>
      </c>
      <c r="K25" s="3"/>
      <c r="L25" s="3"/>
      <c r="M25" s="3"/>
      <c r="N25" s="3"/>
    </row>
    <row r="26" spans="1:14">
      <c r="A26" s="63">
        <f>'B5'!A26</f>
        <v>44552</v>
      </c>
      <c r="B26" s="76">
        <f>'B5'!V26</f>
        <v>298</v>
      </c>
      <c r="C26" s="76">
        <f>'B5'!AH26</f>
        <v>0</v>
      </c>
      <c r="D26" s="76">
        <f>GEN!AI24</f>
        <v>1463.4852320669638</v>
      </c>
      <c r="E26" s="239">
        <f t="shared" si="0"/>
        <v>1761.4852320669638</v>
      </c>
      <c r="F26" s="75">
        <f>WATER!L26</f>
        <v>0</v>
      </c>
      <c r="G26" s="78">
        <f>WATER!BG26</f>
        <v>-5.7999999999999545</v>
      </c>
      <c r="H26" s="79">
        <f>ELEC!AF25</f>
        <v>0</v>
      </c>
      <c r="I26" s="79">
        <f>ELEC!Q25</f>
        <v>5685.9999999978754</v>
      </c>
      <c r="J26" s="79">
        <f>ELEC!R25</f>
        <v>2847.0000000021246</v>
      </c>
      <c r="K26" s="3"/>
      <c r="L26" s="3"/>
      <c r="M26" s="3"/>
      <c r="N26" s="3"/>
    </row>
    <row r="27" spans="1:14">
      <c r="A27" s="63">
        <f>'B5'!A27</f>
        <v>44553</v>
      </c>
      <c r="B27" s="76">
        <f>'B5'!V27</f>
        <v>218</v>
      </c>
      <c r="C27" s="76">
        <f>'B5'!AH27</f>
        <v>0</v>
      </c>
      <c r="D27" s="76">
        <f>GEN!AI25</f>
        <v>1129.4008438825383</v>
      </c>
      <c r="E27" s="239">
        <f t="shared" si="0"/>
        <v>1347.4008438825383</v>
      </c>
      <c r="F27" s="75">
        <f>WATER!L27</f>
        <v>0</v>
      </c>
      <c r="G27" s="78">
        <f>WATER!BG27</f>
        <v>-6.9000000000000341</v>
      </c>
      <c r="H27" s="79">
        <f>ELEC!AF26</f>
        <v>0</v>
      </c>
      <c r="I27" s="79">
        <f>ELEC!Q26</f>
        <v>4388.0000000026484</v>
      </c>
      <c r="J27" s="79">
        <f>ELEC!R26</f>
        <v>622.99999999735155</v>
      </c>
      <c r="K27" s="3"/>
      <c r="L27" s="3"/>
      <c r="M27" s="3"/>
      <c r="N27" s="3"/>
    </row>
    <row r="28" spans="1:14">
      <c r="A28" s="63">
        <f>'B5'!A28</f>
        <v>44554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-11.600000000000023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44555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44556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44557</v>
      </c>
      <c r="B31" s="76">
        <f>'B5'!V31</f>
        <v>199</v>
      </c>
      <c r="C31" s="76">
        <f>'B5'!AH31</f>
        <v>0</v>
      </c>
      <c r="D31" s="76">
        <f>GEN!AI29</f>
        <v>1323.2109704640377</v>
      </c>
      <c r="E31" s="77">
        <f t="shared" si="0"/>
        <v>1522.2109704640377</v>
      </c>
      <c r="F31" s="75">
        <f>WATER!L31</f>
        <v>0</v>
      </c>
      <c r="G31" s="78">
        <f>WATER!BG31</f>
        <v>0</v>
      </c>
      <c r="H31" s="79">
        <f>ELEC!AF30</f>
        <v>94</v>
      </c>
      <c r="I31" s="79">
        <f>ELEC!Q30</f>
        <v>5140.9999999996217</v>
      </c>
      <c r="J31" s="79">
        <f>ELEC!R30</f>
        <v>136.00000000037835</v>
      </c>
      <c r="K31" s="3"/>
      <c r="L31" s="3"/>
      <c r="M31" s="3"/>
      <c r="N31" s="3"/>
    </row>
    <row r="32" spans="1:14">
      <c r="A32" s="63">
        <f>'B5'!A32</f>
        <v>44558</v>
      </c>
      <c r="B32" s="76">
        <f>'B5'!V32</f>
        <v>314</v>
      </c>
      <c r="C32" s="76">
        <f>'B5'!AH32</f>
        <v>0</v>
      </c>
      <c r="D32" s="76">
        <f>GEN!AI30</f>
        <v>1362.8481012653735</v>
      </c>
      <c r="E32" s="77">
        <f t="shared" si="0"/>
        <v>1676.8481012653735</v>
      </c>
      <c r="F32" s="75">
        <f>WATER!L32</f>
        <v>4</v>
      </c>
      <c r="G32" s="78">
        <f>WATER!BG32</f>
        <v>-20.300000000000011</v>
      </c>
      <c r="H32" s="79">
        <f>ELEC!AF31</f>
        <v>0</v>
      </c>
      <c r="I32" s="79">
        <f>ELEC!Q31</f>
        <v>5294.9999999982538</v>
      </c>
      <c r="J32" s="79">
        <f>ELEC!R31</f>
        <v>-504.99999999825377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1</v>
      </c>
      <c r="G33" s="78">
        <f>WATER!BG33</f>
        <v>-22.099999999999937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9" t="s">
        <v>151</v>
      </c>
      <c r="U3" s="689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11</v>
      </c>
    </row>
    <row r="6" spans="3:21">
      <c r="C6" s="99">
        <v>42430</v>
      </c>
      <c r="D6">
        <f>'B5'!AL5</f>
        <v>3</v>
      </c>
      <c r="E6">
        <f t="shared" si="0"/>
        <v>270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1</v>
      </c>
      <c r="E13">
        <f t="shared" si="0"/>
        <v>90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3</v>
      </c>
      <c r="E18">
        <f t="shared" si="0"/>
        <v>270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1</v>
      </c>
      <c r="E20">
        <f t="shared" si="0"/>
        <v>90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4</v>
      </c>
      <c r="E24">
        <f t="shared" si="0"/>
        <v>360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2</v>
      </c>
      <c r="E25">
        <f t="shared" si="0"/>
        <v>180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2</v>
      </c>
      <c r="E26">
        <f t="shared" si="0"/>
        <v>180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4</v>
      </c>
      <c r="E27">
        <f t="shared" si="0"/>
        <v>360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2</v>
      </c>
      <c r="E28">
        <f t="shared" si="0"/>
        <v>180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3</v>
      </c>
      <c r="E32">
        <f t="shared" si="0"/>
        <v>270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4</v>
      </c>
      <c r="E33">
        <f t="shared" si="0"/>
        <v>360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H34" sqref="H34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0" t="s">
        <v>51</v>
      </c>
      <c r="B1" s="702" t="s">
        <v>316</v>
      </c>
      <c r="C1" s="703"/>
      <c r="D1" s="705"/>
      <c r="E1" s="702" t="s">
        <v>317</v>
      </c>
      <c r="F1" s="703"/>
      <c r="G1" s="704"/>
      <c r="H1" s="699" t="s">
        <v>321</v>
      </c>
      <c r="I1" s="696" t="s">
        <v>322</v>
      </c>
      <c r="J1" s="693" t="s">
        <v>43</v>
      </c>
    </row>
    <row r="2" spans="1:18" ht="38.25" thickBot="1">
      <c r="A2" s="691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0"/>
      <c r="I2" s="697"/>
      <c r="J2" s="694"/>
    </row>
    <row r="3" spans="1:18" ht="24" customHeight="1" thickBot="1">
      <c r="A3" s="692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1"/>
      <c r="I3" s="698"/>
      <c r="J3" s="695"/>
    </row>
    <row r="4" spans="1:18" ht="19.5" thickBot="1">
      <c r="A4" s="587"/>
      <c r="B4" s="596" t="s">
        <v>325</v>
      </c>
      <c r="C4" s="597" t="s">
        <v>320</v>
      </c>
      <c r="D4" s="598" t="s">
        <v>326</v>
      </c>
      <c r="E4" s="599" t="s">
        <v>325</v>
      </c>
      <c r="F4" s="598" t="s">
        <v>320</v>
      </c>
      <c r="G4" s="599" t="s">
        <v>326</v>
      </c>
      <c r="H4" s="577">
        <v>0</v>
      </c>
      <c r="I4" s="578"/>
      <c r="J4" s="57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17">
        <f>'[2]Swimming Pool quality check '!$A$35</f>
        <v>44530</v>
      </c>
      <c r="B5" s="618">
        <f>'[2]Swimming Pool quality check '!B35</f>
        <v>2.8</v>
      </c>
      <c r="C5" s="618">
        <f>'[2]Swimming Pool quality check '!C35</f>
        <v>8</v>
      </c>
      <c r="D5" s="618">
        <f>'[2]Swimming Pool quality check '!D35</f>
        <v>0</v>
      </c>
      <c r="E5" s="618">
        <f>'[2]Swimming Pool quality check '!E35</f>
        <v>0</v>
      </c>
      <c r="F5" s="618">
        <f>'[2]Swimming Pool quality check '!F35</f>
        <v>0</v>
      </c>
      <c r="G5" s="618">
        <f>'[2]Swimming Pool quality check '!G35</f>
        <v>0</v>
      </c>
      <c r="H5" s="619">
        <f>'[2]Swimming Pool quality check '!H35</f>
        <v>6953</v>
      </c>
      <c r="I5" s="620">
        <f>'[6]Swimming Pool quality check '!I36</f>
        <v>0</v>
      </c>
      <c r="J5" s="621">
        <f>'[7]Swimming Pool quality check '!J36</f>
        <v>0.33333333333333398</v>
      </c>
      <c r="K5" s="588">
        <v>0</v>
      </c>
      <c r="L5" s="500">
        <f>A5</f>
        <v>44530</v>
      </c>
      <c r="M5" s="477">
        <v>6541</v>
      </c>
      <c r="N5" s="477">
        <f>'[8]Swimming Pool quality check '!N36</f>
        <v>642</v>
      </c>
      <c r="O5" s="477">
        <f>'[8]Swimming Pool quality check '!O36</f>
        <v>6836</v>
      </c>
    </row>
    <row r="6" spans="1:18" ht="15.75" customHeight="1">
      <c r="A6" s="612">
        <f>ELEC!C4</f>
        <v>44531</v>
      </c>
      <c r="B6" s="613">
        <v>2</v>
      </c>
      <c r="C6" s="461">
        <v>8.1</v>
      </c>
      <c r="D6" s="461">
        <v>0</v>
      </c>
      <c r="E6" s="461">
        <v>0</v>
      </c>
      <c r="F6" s="461">
        <v>0</v>
      </c>
      <c r="G6" s="461">
        <v>0</v>
      </c>
      <c r="H6" s="614">
        <v>6954</v>
      </c>
      <c r="I6" s="615">
        <f>H6-H5</f>
        <v>1</v>
      </c>
      <c r="J6" s="616">
        <v>0.29166666666666669</v>
      </c>
      <c r="L6" s="99">
        <f t="shared" ref="L6:L33" si="0">A6</f>
        <v>44531</v>
      </c>
      <c r="M6" s="3">
        <f>M5</f>
        <v>6541</v>
      </c>
      <c r="N6" s="477"/>
      <c r="O6" s="477">
        <f>M6+N6</f>
        <v>6541</v>
      </c>
    </row>
    <row r="7" spans="1:18">
      <c r="A7" s="590">
        <f>ELEC!C5</f>
        <v>44532</v>
      </c>
      <c r="B7" s="605"/>
      <c r="C7" s="608"/>
      <c r="D7" s="608">
        <v>0</v>
      </c>
      <c r="E7" s="608">
        <v>0</v>
      </c>
      <c r="F7" s="608">
        <v>0</v>
      </c>
      <c r="G7" s="608">
        <v>0</v>
      </c>
      <c r="H7" s="604">
        <f t="shared" ref="H7:H36" si="1">H6</f>
        <v>6954</v>
      </c>
      <c r="I7" s="602">
        <f>H7-H6</f>
        <v>0</v>
      </c>
      <c r="J7" s="462">
        <v>0.29166666666666669</v>
      </c>
      <c r="L7" s="99">
        <f t="shared" si="0"/>
        <v>44532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590">
        <f>ELEC!C6</f>
        <v>44533</v>
      </c>
      <c r="B8" s="605"/>
      <c r="C8" s="608"/>
      <c r="D8" s="608">
        <v>0</v>
      </c>
      <c r="E8" s="608">
        <v>0</v>
      </c>
      <c r="F8" s="608">
        <v>0</v>
      </c>
      <c r="G8" s="608">
        <v>0</v>
      </c>
      <c r="H8" s="604">
        <f t="shared" si="1"/>
        <v>6954</v>
      </c>
      <c r="I8" s="602">
        <f t="shared" ref="I8:I33" si="4">H8-H7</f>
        <v>0</v>
      </c>
      <c r="J8" s="462">
        <v>0.29166666666666669</v>
      </c>
      <c r="L8" s="99">
        <f t="shared" si="0"/>
        <v>44533</v>
      </c>
      <c r="M8" s="3">
        <f t="shared" si="2"/>
        <v>6541</v>
      </c>
      <c r="N8" s="477"/>
      <c r="O8" s="477">
        <f t="shared" si="3"/>
        <v>6541</v>
      </c>
    </row>
    <row r="9" spans="1:18">
      <c r="A9" s="590">
        <f>ELEC!C7</f>
        <v>44534</v>
      </c>
      <c r="B9" s="605"/>
      <c r="C9" s="608"/>
      <c r="D9" s="608">
        <v>0</v>
      </c>
      <c r="E9" s="608">
        <v>0</v>
      </c>
      <c r="F9" s="608">
        <v>0</v>
      </c>
      <c r="G9" s="608">
        <v>0</v>
      </c>
      <c r="H9" s="604">
        <f t="shared" si="1"/>
        <v>6954</v>
      </c>
      <c r="I9" s="602">
        <f t="shared" si="4"/>
        <v>0</v>
      </c>
      <c r="J9" s="462">
        <v>0.25</v>
      </c>
      <c r="L9" s="99">
        <f t="shared" si="0"/>
        <v>44534</v>
      </c>
      <c r="M9" s="3">
        <f t="shared" si="2"/>
        <v>6541</v>
      </c>
      <c r="N9" s="477"/>
      <c r="O9" s="477">
        <f t="shared" si="3"/>
        <v>6541</v>
      </c>
    </row>
    <row r="10" spans="1:18">
      <c r="A10" s="590">
        <f>ELEC!C8</f>
        <v>44535</v>
      </c>
      <c r="B10" s="605">
        <v>4</v>
      </c>
      <c r="C10" s="608">
        <v>8</v>
      </c>
      <c r="D10" s="608">
        <v>0</v>
      </c>
      <c r="E10" s="608">
        <v>0</v>
      </c>
      <c r="F10" s="608">
        <v>0</v>
      </c>
      <c r="G10" s="608">
        <v>0</v>
      </c>
      <c r="H10" s="604">
        <v>6960</v>
      </c>
      <c r="I10" s="602">
        <f t="shared" si="4"/>
        <v>6</v>
      </c>
      <c r="J10" s="462">
        <v>0.29166666666666669</v>
      </c>
      <c r="L10" s="99">
        <f t="shared" si="0"/>
        <v>44535</v>
      </c>
      <c r="M10" s="3">
        <f t="shared" si="2"/>
        <v>6541</v>
      </c>
      <c r="N10" s="477"/>
      <c r="O10" s="477">
        <f t="shared" si="3"/>
        <v>6541</v>
      </c>
    </row>
    <row r="11" spans="1:18">
      <c r="A11" s="590">
        <f>ELEC!C9</f>
        <v>44536</v>
      </c>
      <c r="B11" s="605">
        <v>4</v>
      </c>
      <c r="C11" s="608">
        <v>8</v>
      </c>
      <c r="D11" s="608">
        <v>0</v>
      </c>
      <c r="E11" s="608">
        <v>0</v>
      </c>
      <c r="F11" s="608">
        <v>0</v>
      </c>
      <c r="G11" s="608">
        <v>0</v>
      </c>
      <c r="H11" s="604">
        <f t="shared" si="1"/>
        <v>6960</v>
      </c>
      <c r="I11" s="602">
        <f t="shared" si="4"/>
        <v>0</v>
      </c>
      <c r="J11" s="462">
        <v>0.29166666666666669</v>
      </c>
      <c r="L11" s="99">
        <f t="shared" si="0"/>
        <v>44536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590">
        <f>ELEC!C10</f>
        <v>44537</v>
      </c>
      <c r="B12" s="605">
        <v>4</v>
      </c>
      <c r="C12" s="608">
        <v>8</v>
      </c>
      <c r="D12" s="608">
        <v>0</v>
      </c>
      <c r="E12" s="608">
        <v>0</v>
      </c>
      <c r="F12" s="608">
        <v>0</v>
      </c>
      <c r="G12" s="608">
        <v>0</v>
      </c>
      <c r="H12" s="604">
        <f t="shared" si="1"/>
        <v>6960</v>
      </c>
      <c r="I12" s="602">
        <f t="shared" si="4"/>
        <v>0</v>
      </c>
      <c r="J12" s="462">
        <v>0.29166666666666669</v>
      </c>
      <c r="L12" s="99">
        <f t="shared" si="0"/>
        <v>44537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590">
        <f>ELEC!C11</f>
        <v>44538</v>
      </c>
      <c r="B13" s="605">
        <v>4</v>
      </c>
      <c r="C13" s="608">
        <v>8</v>
      </c>
      <c r="D13" s="608">
        <v>0</v>
      </c>
      <c r="E13" s="608">
        <v>0</v>
      </c>
      <c r="F13" s="608">
        <v>0</v>
      </c>
      <c r="G13" s="608">
        <v>0</v>
      </c>
      <c r="H13" s="604">
        <f t="shared" si="1"/>
        <v>6960</v>
      </c>
      <c r="I13" s="602">
        <f t="shared" si="4"/>
        <v>0</v>
      </c>
      <c r="J13" s="462">
        <v>0.29166666666666669</v>
      </c>
      <c r="L13" s="99">
        <f t="shared" si="0"/>
        <v>44538</v>
      </c>
      <c r="M13" s="3">
        <f t="shared" si="2"/>
        <v>6541</v>
      </c>
      <c r="N13" s="477"/>
      <c r="O13" s="477">
        <f t="shared" si="3"/>
        <v>6541</v>
      </c>
    </row>
    <row r="14" spans="1:18">
      <c r="A14" s="590">
        <f>ELEC!C12</f>
        <v>44539</v>
      </c>
      <c r="B14" s="605">
        <v>3.2</v>
      </c>
      <c r="C14" s="608">
        <v>8</v>
      </c>
      <c r="D14" s="608">
        <v>0</v>
      </c>
      <c r="E14" s="608">
        <v>0</v>
      </c>
      <c r="F14" s="608">
        <v>0</v>
      </c>
      <c r="G14" s="608">
        <v>0</v>
      </c>
      <c r="H14" s="604">
        <v>6966</v>
      </c>
      <c r="I14" s="602">
        <f t="shared" si="4"/>
        <v>6</v>
      </c>
      <c r="J14" s="462">
        <v>0.29166666666666669</v>
      </c>
      <c r="L14" s="99">
        <f t="shared" si="0"/>
        <v>44539</v>
      </c>
      <c r="M14" s="3">
        <f t="shared" si="2"/>
        <v>6541</v>
      </c>
      <c r="N14" s="477"/>
      <c r="O14" s="477">
        <f t="shared" si="3"/>
        <v>6541</v>
      </c>
    </row>
    <row r="15" spans="1:18">
      <c r="A15" s="590">
        <f>ELEC!C13</f>
        <v>44540</v>
      </c>
      <c r="B15" s="605"/>
      <c r="C15" s="608"/>
      <c r="D15" s="608">
        <v>0</v>
      </c>
      <c r="E15" s="608">
        <v>0</v>
      </c>
      <c r="F15" s="608">
        <v>0</v>
      </c>
      <c r="G15" s="608">
        <v>0</v>
      </c>
      <c r="H15" s="604">
        <f t="shared" si="1"/>
        <v>6966</v>
      </c>
      <c r="I15" s="602">
        <f t="shared" si="4"/>
        <v>0</v>
      </c>
      <c r="J15" s="462">
        <v>0.29166666666666669</v>
      </c>
      <c r="L15" s="99">
        <f t="shared" si="0"/>
        <v>44540</v>
      </c>
      <c r="M15" s="3">
        <f t="shared" si="2"/>
        <v>6541</v>
      </c>
      <c r="N15" s="477"/>
      <c r="O15" s="477">
        <f t="shared" si="3"/>
        <v>6541</v>
      </c>
    </row>
    <row r="16" spans="1:18">
      <c r="A16" s="590">
        <f>ELEC!C14</f>
        <v>44541</v>
      </c>
      <c r="B16" s="605"/>
      <c r="C16" s="608"/>
      <c r="D16" s="608">
        <v>0</v>
      </c>
      <c r="E16" s="608">
        <v>0</v>
      </c>
      <c r="F16" s="608">
        <v>0</v>
      </c>
      <c r="G16" s="608">
        <v>0</v>
      </c>
      <c r="H16" s="604">
        <f t="shared" si="1"/>
        <v>6966</v>
      </c>
      <c r="I16" s="602">
        <f t="shared" si="4"/>
        <v>0</v>
      </c>
      <c r="J16" s="462">
        <v>0.29166666666666669</v>
      </c>
      <c r="L16" s="99">
        <f t="shared" si="0"/>
        <v>44541</v>
      </c>
      <c r="M16" s="3">
        <f t="shared" si="2"/>
        <v>6541</v>
      </c>
      <c r="N16" s="477"/>
      <c r="O16" s="477">
        <f t="shared" si="3"/>
        <v>6541</v>
      </c>
    </row>
    <row r="17" spans="1:15">
      <c r="A17" s="590">
        <f>ELEC!C15</f>
        <v>44542</v>
      </c>
      <c r="B17" s="605">
        <v>3</v>
      </c>
      <c r="C17" s="608">
        <v>8</v>
      </c>
      <c r="D17" s="608">
        <v>0</v>
      </c>
      <c r="E17" s="608">
        <v>0</v>
      </c>
      <c r="F17" s="608">
        <v>0</v>
      </c>
      <c r="G17" s="608">
        <v>0</v>
      </c>
      <c r="H17" s="604">
        <v>6967</v>
      </c>
      <c r="I17" s="602">
        <f t="shared" si="4"/>
        <v>1</v>
      </c>
      <c r="J17" s="462">
        <v>0.29166666666666669</v>
      </c>
      <c r="L17" s="99">
        <f t="shared" si="0"/>
        <v>44542</v>
      </c>
      <c r="M17" s="3">
        <f t="shared" si="2"/>
        <v>6541</v>
      </c>
      <c r="N17" s="477"/>
      <c r="O17" s="477">
        <f t="shared" si="3"/>
        <v>6541</v>
      </c>
    </row>
    <row r="18" spans="1:15">
      <c r="A18" s="590">
        <f>ELEC!C16</f>
        <v>44543</v>
      </c>
      <c r="B18" s="605">
        <v>2.5</v>
      </c>
      <c r="C18" s="608">
        <v>8</v>
      </c>
      <c r="D18" s="608">
        <v>0</v>
      </c>
      <c r="E18" s="608">
        <v>0</v>
      </c>
      <c r="F18" s="608">
        <v>0</v>
      </c>
      <c r="G18" s="608">
        <v>0</v>
      </c>
      <c r="H18" s="604">
        <f t="shared" si="1"/>
        <v>6967</v>
      </c>
      <c r="I18" s="602">
        <f t="shared" si="4"/>
        <v>0</v>
      </c>
      <c r="J18" s="462">
        <v>0.29166666666666669</v>
      </c>
      <c r="L18" s="99">
        <f t="shared" si="0"/>
        <v>44543</v>
      </c>
      <c r="M18" s="3">
        <f t="shared" si="2"/>
        <v>6541</v>
      </c>
      <c r="N18" s="477"/>
      <c r="O18" s="477">
        <f t="shared" si="3"/>
        <v>6541</v>
      </c>
    </row>
    <row r="19" spans="1:15">
      <c r="A19" s="590">
        <f>ELEC!C17</f>
        <v>44544</v>
      </c>
      <c r="B19" s="605">
        <v>2.5</v>
      </c>
      <c r="C19" s="608">
        <v>7.8</v>
      </c>
      <c r="D19" s="608">
        <v>0</v>
      </c>
      <c r="E19" s="608">
        <v>0</v>
      </c>
      <c r="F19" s="608">
        <v>0</v>
      </c>
      <c r="G19" s="608">
        <v>0</v>
      </c>
      <c r="H19" s="604">
        <v>6968</v>
      </c>
      <c r="I19" s="602">
        <f t="shared" si="4"/>
        <v>1</v>
      </c>
      <c r="J19" s="462">
        <v>0.29166666666666669</v>
      </c>
      <c r="L19" s="99">
        <f t="shared" si="0"/>
        <v>44544</v>
      </c>
      <c r="M19" s="3">
        <f t="shared" si="2"/>
        <v>6541</v>
      </c>
      <c r="N19" s="477"/>
      <c r="O19" s="477">
        <f t="shared" si="3"/>
        <v>6541</v>
      </c>
    </row>
    <row r="20" spans="1:15">
      <c r="A20" s="590">
        <f>ELEC!C18</f>
        <v>44545</v>
      </c>
      <c r="B20" s="605">
        <v>2.5</v>
      </c>
      <c r="C20" s="608">
        <v>7.9</v>
      </c>
      <c r="D20" s="608">
        <v>0</v>
      </c>
      <c r="E20" s="608">
        <v>0</v>
      </c>
      <c r="F20" s="608">
        <v>0</v>
      </c>
      <c r="G20" s="608">
        <v>0</v>
      </c>
      <c r="H20" s="604">
        <v>6969</v>
      </c>
      <c r="I20" s="602">
        <f t="shared" si="4"/>
        <v>1</v>
      </c>
      <c r="J20" s="462">
        <v>0.29166666666666669</v>
      </c>
      <c r="L20" s="99">
        <f t="shared" si="0"/>
        <v>44545</v>
      </c>
      <c r="M20" s="3">
        <f t="shared" si="2"/>
        <v>6541</v>
      </c>
      <c r="N20" s="477"/>
      <c r="O20" s="477">
        <f t="shared" si="3"/>
        <v>6541</v>
      </c>
    </row>
    <row r="21" spans="1:15">
      <c r="A21" s="590">
        <f>ELEC!C19</f>
        <v>44546</v>
      </c>
      <c r="B21" s="605">
        <v>2.5</v>
      </c>
      <c r="C21" s="608">
        <v>7.9</v>
      </c>
      <c r="D21" s="608">
        <v>0</v>
      </c>
      <c r="E21" s="608">
        <v>0</v>
      </c>
      <c r="F21" s="608">
        <v>0</v>
      </c>
      <c r="G21" s="608">
        <v>0</v>
      </c>
      <c r="H21" s="604">
        <f t="shared" si="1"/>
        <v>6969</v>
      </c>
      <c r="I21" s="602">
        <f t="shared" si="4"/>
        <v>0</v>
      </c>
      <c r="J21" s="535" t="s">
        <v>409</v>
      </c>
      <c r="L21" s="99">
        <f t="shared" si="0"/>
        <v>44546</v>
      </c>
      <c r="M21" s="3">
        <f t="shared" si="2"/>
        <v>6541</v>
      </c>
      <c r="N21" s="477"/>
      <c r="O21" s="477">
        <f t="shared" si="3"/>
        <v>6541</v>
      </c>
    </row>
    <row r="22" spans="1:15">
      <c r="A22" s="590">
        <f>ELEC!C20</f>
        <v>44547</v>
      </c>
      <c r="B22" s="605"/>
      <c r="C22" s="608"/>
      <c r="D22" s="608">
        <v>0</v>
      </c>
      <c r="E22" s="608">
        <v>0</v>
      </c>
      <c r="F22" s="608">
        <v>0</v>
      </c>
      <c r="G22" s="608">
        <v>0</v>
      </c>
      <c r="H22" s="604">
        <f t="shared" si="1"/>
        <v>6969</v>
      </c>
      <c r="I22" s="602">
        <f t="shared" si="4"/>
        <v>0</v>
      </c>
      <c r="J22" s="462">
        <v>0.29166666666666669</v>
      </c>
      <c r="L22" s="99">
        <f t="shared" si="0"/>
        <v>44547</v>
      </c>
      <c r="M22" s="3">
        <f t="shared" si="2"/>
        <v>6541</v>
      </c>
      <c r="N22" s="477"/>
      <c r="O22" s="477">
        <f t="shared" si="3"/>
        <v>6541</v>
      </c>
    </row>
    <row r="23" spans="1:15">
      <c r="A23" s="590">
        <f>ELEC!C21</f>
        <v>44548</v>
      </c>
      <c r="B23" s="605"/>
      <c r="C23" s="608"/>
      <c r="D23" s="608">
        <v>0</v>
      </c>
      <c r="E23" s="608">
        <v>0</v>
      </c>
      <c r="F23" s="608">
        <v>0</v>
      </c>
      <c r="G23" s="608">
        <v>0</v>
      </c>
      <c r="H23" s="604">
        <f t="shared" si="1"/>
        <v>6969</v>
      </c>
      <c r="I23" s="602">
        <f t="shared" si="4"/>
        <v>0</v>
      </c>
      <c r="J23" s="462">
        <v>0.29166666666666669</v>
      </c>
      <c r="L23" s="99">
        <f t="shared" si="0"/>
        <v>44548</v>
      </c>
      <c r="M23" s="3">
        <f t="shared" si="2"/>
        <v>6541</v>
      </c>
      <c r="N23" s="477"/>
      <c r="O23" s="477">
        <f t="shared" si="3"/>
        <v>6541</v>
      </c>
    </row>
    <row r="24" spans="1:15">
      <c r="A24" s="590">
        <f>ELEC!C22</f>
        <v>44549</v>
      </c>
      <c r="B24" s="605"/>
      <c r="C24" s="608"/>
      <c r="D24" s="608">
        <v>0</v>
      </c>
      <c r="E24" s="608">
        <v>0</v>
      </c>
      <c r="F24" s="608">
        <v>0</v>
      </c>
      <c r="G24" s="608">
        <v>0</v>
      </c>
      <c r="H24" s="604">
        <f t="shared" si="1"/>
        <v>6969</v>
      </c>
      <c r="I24" s="602">
        <f t="shared" si="4"/>
        <v>0</v>
      </c>
      <c r="J24" s="462">
        <v>0.29166666666666702</v>
      </c>
      <c r="L24" s="99">
        <f t="shared" si="0"/>
        <v>44549</v>
      </c>
      <c r="M24" s="3">
        <f t="shared" si="2"/>
        <v>6541</v>
      </c>
      <c r="N24" s="477"/>
      <c r="O24" s="477">
        <f t="shared" si="3"/>
        <v>6541</v>
      </c>
    </row>
    <row r="25" spans="1:15">
      <c r="A25" s="590">
        <f>ELEC!C23</f>
        <v>44550</v>
      </c>
      <c r="B25" s="605">
        <v>1</v>
      </c>
      <c r="C25" s="608">
        <v>7.8</v>
      </c>
      <c r="D25" s="608">
        <v>0</v>
      </c>
      <c r="E25" s="608">
        <v>0</v>
      </c>
      <c r="F25" s="608">
        <v>0</v>
      </c>
      <c r="G25" s="608">
        <v>0</v>
      </c>
      <c r="H25" s="604">
        <v>6971</v>
      </c>
      <c r="I25" s="602">
        <f t="shared" si="4"/>
        <v>2</v>
      </c>
      <c r="J25" s="462">
        <v>0.29166666666666702</v>
      </c>
      <c r="L25" s="99">
        <f t="shared" si="0"/>
        <v>44550</v>
      </c>
      <c r="M25" s="3">
        <f t="shared" si="2"/>
        <v>6541</v>
      </c>
      <c r="N25" s="477"/>
      <c r="O25" s="477">
        <f t="shared" si="3"/>
        <v>6541</v>
      </c>
    </row>
    <row r="26" spans="1:15">
      <c r="A26" s="590">
        <f>ELEC!C24</f>
        <v>44551</v>
      </c>
      <c r="B26" s="605">
        <v>1.4</v>
      </c>
      <c r="C26" s="608">
        <v>8</v>
      </c>
      <c r="D26" s="608">
        <v>0</v>
      </c>
      <c r="E26" s="608">
        <v>0</v>
      </c>
      <c r="F26" s="608">
        <v>0</v>
      </c>
      <c r="G26" s="608">
        <v>0</v>
      </c>
      <c r="H26" s="604">
        <f t="shared" si="1"/>
        <v>6971</v>
      </c>
      <c r="I26" s="602">
        <f t="shared" si="4"/>
        <v>0</v>
      </c>
      <c r="J26" s="462">
        <v>0.29166666666666702</v>
      </c>
      <c r="L26" s="99">
        <f t="shared" si="0"/>
        <v>44551</v>
      </c>
      <c r="M26" s="3">
        <f t="shared" si="2"/>
        <v>6541</v>
      </c>
      <c r="N26" s="477"/>
      <c r="O26" s="477">
        <f t="shared" si="3"/>
        <v>6541</v>
      </c>
    </row>
    <row r="27" spans="1:15">
      <c r="A27" s="590">
        <f>ELEC!C25</f>
        <v>44552</v>
      </c>
      <c r="B27" s="605">
        <v>0.5</v>
      </c>
      <c r="C27" s="608">
        <v>8</v>
      </c>
      <c r="D27" s="608">
        <v>0</v>
      </c>
      <c r="E27" s="608">
        <v>0</v>
      </c>
      <c r="F27" s="608">
        <v>0</v>
      </c>
      <c r="G27" s="608">
        <v>0</v>
      </c>
      <c r="H27" s="604">
        <f t="shared" si="1"/>
        <v>6971</v>
      </c>
      <c r="I27" s="602">
        <f t="shared" si="4"/>
        <v>0</v>
      </c>
      <c r="J27" s="462">
        <v>0.29166666666666702</v>
      </c>
      <c r="L27" s="99">
        <f t="shared" si="0"/>
        <v>44552</v>
      </c>
      <c r="M27" s="3">
        <f t="shared" si="2"/>
        <v>6541</v>
      </c>
      <c r="N27" s="477"/>
      <c r="O27" s="477">
        <f t="shared" si="3"/>
        <v>6541</v>
      </c>
    </row>
    <row r="28" spans="1:15">
      <c r="A28" s="590">
        <f>ELEC!C26</f>
        <v>44553</v>
      </c>
      <c r="B28" s="605">
        <v>0.5</v>
      </c>
      <c r="C28" s="625">
        <v>8</v>
      </c>
      <c r="D28" s="608">
        <v>0</v>
      </c>
      <c r="E28" s="608">
        <v>0</v>
      </c>
      <c r="F28" s="608">
        <v>0</v>
      </c>
      <c r="G28" s="608">
        <v>0</v>
      </c>
      <c r="H28" s="604">
        <f t="shared" si="1"/>
        <v>6971</v>
      </c>
      <c r="I28" s="602">
        <f t="shared" si="4"/>
        <v>0</v>
      </c>
      <c r="J28" s="463">
        <v>0.29166666666666702</v>
      </c>
      <c r="L28" s="99">
        <f t="shared" si="0"/>
        <v>44553</v>
      </c>
      <c r="M28" s="3">
        <f t="shared" si="2"/>
        <v>6541</v>
      </c>
      <c r="N28" s="477"/>
      <c r="O28" s="477">
        <f t="shared" si="3"/>
        <v>6541</v>
      </c>
    </row>
    <row r="29" spans="1:15">
      <c r="A29" s="590">
        <f>ELEC!C27</f>
        <v>44554</v>
      </c>
      <c r="B29" s="605"/>
      <c r="C29" s="608"/>
      <c r="D29" s="608">
        <v>0</v>
      </c>
      <c r="E29" s="608">
        <v>0</v>
      </c>
      <c r="F29" s="608">
        <v>0</v>
      </c>
      <c r="G29" s="608">
        <v>0</v>
      </c>
      <c r="H29" s="604">
        <f t="shared" si="1"/>
        <v>6971</v>
      </c>
      <c r="I29" s="602">
        <f t="shared" si="4"/>
        <v>0</v>
      </c>
      <c r="J29" s="462">
        <v>0.29166666666666702</v>
      </c>
      <c r="L29" s="99">
        <f t="shared" si="0"/>
        <v>44554</v>
      </c>
      <c r="M29" s="3">
        <f t="shared" si="2"/>
        <v>6541</v>
      </c>
      <c r="N29" s="477"/>
      <c r="O29" s="477">
        <f t="shared" si="3"/>
        <v>6541</v>
      </c>
    </row>
    <row r="30" spans="1:15">
      <c r="A30" s="590">
        <f>ELEC!C28</f>
        <v>44555</v>
      </c>
      <c r="B30" s="605"/>
      <c r="C30" s="608"/>
      <c r="D30" s="608">
        <v>0</v>
      </c>
      <c r="E30" s="608">
        <v>0</v>
      </c>
      <c r="F30" s="608">
        <v>0</v>
      </c>
      <c r="G30" s="608">
        <v>0</v>
      </c>
      <c r="H30" s="604">
        <f t="shared" si="1"/>
        <v>6971</v>
      </c>
      <c r="I30" s="602">
        <f t="shared" si="4"/>
        <v>0</v>
      </c>
      <c r="J30" s="462">
        <v>0.29166666666666702</v>
      </c>
      <c r="L30" s="99">
        <f t="shared" si="0"/>
        <v>44555</v>
      </c>
      <c r="M30" s="3">
        <f t="shared" si="2"/>
        <v>6541</v>
      </c>
      <c r="N30" s="477"/>
      <c r="O30" s="477">
        <f t="shared" si="3"/>
        <v>6541</v>
      </c>
    </row>
    <row r="31" spans="1:15">
      <c r="A31" s="590">
        <f>ELEC!C29</f>
        <v>44556</v>
      </c>
      <c r="B31" s="605"/>
      <c r="C31" s="608"/>
      <c r="D31" s="608">
        <v>0</v>
      </c>
      <c r="E31" s="608">
        <v>0</v>
      </c>
      <c r="F31" s="608">
        <v>0</v>
      </c>
      <c r="G31" s="608">
        <v>0</v>
      </c>
      <c r="H31" s="604">
        <f t="shared" si="1"/>
        <v>6971</v>
      </c>
      <c r="I31" s="602">
        <f t="shared" si="4"/>
        <v>0</v>
      </c>
      <c r="J31" s="462">
        <v>0.29166666666666702</v>
      </c>
      <c r="L31" s="99">
        <f t="shared" si="0"/>
        <v>44556</v>
      </c>
      <c r="M31" s="3">
        <f t="shared" si="2"/>
        <v>6541</v>
      </c>
      <c r="N31" s="477"/>
      <c r="O31" s="477">
        <f t="shared" si="3"/>
        <v>6541</v>
      </c>
    </row>
    <row r="32" spans="1:15">
      <c r="A32" s="590">
        <f>ELEC!C30</f>
        <v>44557</v>
      </c>
      <c r="B32" s="605">
        <v>2.5</v>
      </c>
      <c r="C32" s="608">
        <v>8</v>
      </c>
      <c r="D32" s="608">
        <v>0</v>
      </c>
      <c r="E32" s="608">
        <v>0</v>
      </c>
      <c r="F32" s="608">
        <v>0</v>
      </c>
      <c r="G32" s="608">
        <v>0</v>
      </c>
      <c r="H32" s="604">
        <v>6975</v>
      </c>
      <c r="I32" s="602">
        <f t="shared" si="4"/>
        <v>4</v>
      </c>
      <c r="J32" s="462">
        <v>0.29166666666666702</v>
      </c>
      <c r="L32" s="99">
        <f t="shared" si="0"/>
        <v>44557</v>
      </c>
      <c r="M32" s="3">
        <f t="shared" si="2"/>
        <v>6541</v>
      </c>
      <c r="N32" s="477"/>
      <c r="O32" s="477">
        <v>6879</v>
      </c>
    </row>
    <row r="33" spans="1:15">
      <c r="A33" s="590">
        <f>ELEC!C31</f>
        <v>44558</v>
      </c>
      <c r="B33" s="605">
        <v>2.5</v>
      </c>
      <c r="C33" s="608">
        <v>8</v>
      </c>
      <c r="D33" s="608">
        <v>0</v>
      </c>
      <c r="E33" s="608">
        <v>0</v>
      </c>
      <c r="F33" s="608">
        <v>0</v>
      </c>
      <c r="G33" s="608">
        <v>0</v>
      </c>
      <c r="H33" s="604">
        <v>6976</v>
      </c>
      <c r="I33" s="602">
        <f t="shared" si="4"/>
        <v>1</v>
      </c>
      <c r="J33" s="462">
        <v>0.29166666666666702</v>
      </c>
      <c r="L33" s="99">
        <f t="shared" si="0"/>
        <v>44558</v>
      </c>
      <c r="M33" s="3">
        <f t="shared" si="2"/>
        <v>6541</v>
      </c>
      <c r="N33" s="477"/>
      <c r="O33" s="477">
        <f t="shared" si="3"/>
        <v>6541</v>
      </c>
    </row>
    <row r="34" spans="1:15">
      <c r="A34" s="590">
        <f>ELEC!C32</f>
        <v>44559</v>
      </c>
      <c r="B34" s="605">
        <v>2</v>
      </c>
      <c r="C34" s="608">
        <v>8</v>
      </c>
      <c r="D34" s="608">
        <v>0</v>
      </c>
      <c r="E34" s="608">
        <v>0</v>
      </c>
      <c r="F34" s="608">
        <v>0</v>
      </c>
      <c r="G34" s="608">
        <v>0</v>
      </c>
      <c r="H34" s="604">
        <f t="shared" si="1"/>
        <v>6976</v>
      </c>
      <c r="I34" s="602">
        <f>H34-H33</f>
        <v>0</v>
      </c>
      <c r="J34" s="462">
        <v>0.33333333333333398</v>
      </c>
      <c r="L34" s="99">
        <f>A34</f>
        <v>44559</v>
      </c>
      <c r="M34" s="3">
        <f t="shared" si="2"/>
        <v>6541</v>
      </c>
      <c r="N34" s="477"/>
      <c r="O34" s="477">
        <f>M34+N34</f>
        <v>6541</v>
      </c>
    </row>
    <row r="35" spans="1:15">
      <c r="A35" s="590">
        <f>ELEC!C33</f>
        <v>44560</v>
      </c>
      <c r="B35" s="605"/>
      <c r="C35" s="608"/>
      <c r="D35" s="608">
        <v>0</v>
      </c>
      <c r="E35" s="608">
        <v>0</v>
      </c>
      <c r="F35" s="608">
        <v>0</v>
      </c>
      <c r="G35" s="608">
        <v>0</v>
      </c>
      <c r="H35" s="604">
        <f t="shared" si="1"/>
        <v>6976</v>
      </c>
      <c r="I35" s="602">
        <f>H35-H34</f>
        <v>0</v>
      </c>
      <c r="J35" s="462">
        <v>0.375000000000001</v>
      </c>
      <c r="L35" s="99">
        <f>A35</f>
        <v>44560</v>
      </c>
      <c r="M35" s="3">
        <f t="shared" si="2"/>
        <v>6541</v>
      </c>
      <c r="N35" s="477"/>
      <c r="O35" s="477">
        <f>M35+N35</f>
        <v>6541</v>
      </c>
    </row>
    <row r="36" spans="1:15" ht="15.75" thickBot="1">
      <c r="A36" s="591">
        <f>ELEC!C34</f>
        <v>44561</v>
      </c>
      <c r="B36" s="609"/>
      <c r="C36" s="610"/>
      <c r="D36" s="610">
        <v>0</v>
      </c>
      <c r="E36" s="610">
        <v>0</v>
      </c>
      <c r="F36" s="610">
        <v>0</v>
      </c>
      <c r="G36" s="610">
        <v>0</v>
      </c>
      <c r="H36" s="611">
        <f t="shared" si="1"/>
        <v>6976</v>
      </c>
      <c r="I36" s="603">
        <f>H36-H35</f>
        <v>0</v>
      </c>
      <c r="J36" s="589">
        <v>0.41666666666666802</v>
      </c>
      <c r="L36" s="99">
        <f>A36</f>
        <v>44561</v>
      </c>
      <c r="M36" s="3">
        <f t="shared" si="2"/>
        <v>6541</v>
      </c>
      <c r="N36" s="477"/>
      <c r="O36" s="477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46" zoomScale="80" zoomScaleNormal="80" workbookViewId="0">
      <selection activeCell="V48" sqref="V48:W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7" t="s">
        <v>161</v>
      </c>
      <c r="B1" s="717"/>
      <c r="C1" s="717"/>
      <c r="D1" s="717"/>
      <c r="E1" s="717"/>
      <c r="F1" s="717"/>
      <c r="G1" s="717"/>
      <c r="H1" s="717"/>
      <c r="I1" s="717"/>
      <c r="J1" s="717"/>
      <c r="K1" s="717"/>
      <c r="L1" s="717"/>
      <c r="M1" s="717"/>
      <c r="N1" s="717"/>
      <c r="O1" s="717"/>
      <c r="P1" s="717"/>
      <c r="Q1" s="717"/>
      <c r="R1" s="717"/>
      <c r="S1" s="717"/>
      <c r="T1" s="717"/>
      <c r="U1" s="717"/>
      <c r="V1" s="717"/>
      <c r="W1" s="717"/>
      <c r="X1" s="717"/>
    </row>
    <row r="2" spans="1:28" ht="19.5">
      <c r="A2" s="718"/>
      <c r="B2" s="718"/>
      <c r="C2" s="718"/>
      <c r="D2" s="718"/>
      <c r="E2" s="718"/>
      <c r="F2" s="718"/>
      <c r="G2" s="718"/>
      <c r="H2" s="718"/>
      <c r="I2" s="718"/>
      <c r="J2" s="718"/>
      <c r="K2" s="718"/>
      <c r="L2" s="718"/>
      <c r="M2" s="718"/>
      <c r="N2" s="718"/>
      <c r="O2" s="718"/>
      <c r="P2" s="718"/>
      <c r="Q2" s="718"/>
      <c r="R2" s="718"/>
      <c r="S2" s="718"/>
      <c r="T2" s="718"/>
      <c r="U2" s="718"/>
      <c r="V2" s="718"/>
      <c r="W2" s="718"/>
      <c r="X2" s="718"/>
    </row>
    <row r="3" spans="1:28" ht="19.5">
      <c r="A3" s="718" t="s">
        <v>162</v>
      </c>
      <c r="B3" s="718"/>
      <c r="C3" s="718"/>
      <c r="D3" s="718"/>
      <c r="E3" s="718"/>
      <c r="F3" s="718"/>
      <c r="G3" s="718"/>
      <c r="H3" s="718"/>
      <c r="I3" s="718"/>
      <c r="J3" s="718"/>
      <c r="K3" s="718"/>
      <c r="L3" s="718"/>
      <c r="M3" s="718"/>
      <c r="N3" s="718"/>
      <c r="O3" s="718"/>
      <c r="P3" s="718"/>
      <c r="Q3" s="718"/>
      <c r="R3" s="718"/>
      <c r="S3" s="718"/>
      <c r="T3" s="718"/>
      <c r="U3" s="718"/>
      <c r="V3" s="718"/>
      <c r="W3" s="718"/>
      <c r="X3" s="71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8" t="s">
        <v>404</v>
      </c>
      <c r="B5" s="718"/>
      <c r="C5" s="718"/>
      <c r="D5" s="718"/>
      <c r="E5" s="718"/>
      <c r="F5" s="718"/>
      <c r="G5" s="718"/>
      <c r="H5" s="718"/>
      <c r="I5" s="718"/>
      <c r="J5" s="718"/>
      <c r="K5" s="718"/>
      <c r="L5" s="718"/>
      <c r="M5" s="718"/>
      <c r="N5" s="718"/>
      <c r="O5" s="718"/>
      <c r="P5" s="718"/>
      <c r="Q5" s="718"/>
      <c r="R5" s="718"/>
      <c r="S5" s="718"/>
      <c r="T5" s="718"/>
      <c r="U5" s="718"/>
      <c r="V5" s="718"/>
      <c r="W5" s="718"/>
      <c r="X5" s="718"/>
    </row>
    <row r="6" spans="1:28" ht="15.75" thickBot="1">
      <c r="A6" s="719"/>
      <c r="B6" s="719"/>
      <c r="C6" s="719"/>
      <c r="D6" s="719"/>
      <c r="E6" s="719"/>
      <c r="F6" s="719"/>
      <c r="G6" s="719"/>
      <c r="H6" s="719"/>
      <c r="I6" s="719"/>
      <c r="J6" s="719"/>
      <c r="K6" s="719"/>
      <c r="L6" s="719"/>
      <c r="M6" s="719"/>
      <c r="N6" s="719"/>
      <c r="O6" s="719"/>
      <c r="P6" s="719"/>
      <c r="Q6" s="719"/>
      <c r="R6" s="719"/>
      <c r="S6" s="719"/>
      <c r="T6" s="719"/>
      <c r="U6" s="719"/>
      <c r="V6" s="719"/>
      <c r="W6" s="719"/>
      <c r="X6" s="719"/>
    </row>
    <row r="7" spans="1:28" ht="15.75" thickBot="1">
      <c r="A7" s="707" t="s">
        <v>163</v>
      </c>
      <c r="B7" s="708"/>
      <c r="C7" s="709" t="s">
        <v>164</v>
      </c>
      <c r="D7" s="710"/>
      <c r="E7" s="710"/>
      <c r="F7" s="710"/>
      <c r="G7" s="710"/>
      <c r="H7" s="710"/>
      <c r="I7" s="710"/>
      <c r="J7" s="710"/>
      <c r="K7" s="71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'[9]Degree Days 2020'!B10</f>
        <v>20</v>
      </c>
      <c r="C10" s="261">
        <f>'[9]Degree Days 2020'!C10</f>
        <v>15</v>
      </c>
      <c r="D10" s="261">
        <f>'[9]Degree Days 2020'!D10</f>
        <v>-0.80000000000000071</v>
      </c>
      <c r="E10" s="261">
        <f>'[9]Degree Days 2020'!E10</f>
        <v>1</v>
      </c>
      <c r="F10" s="261">
        <f>'[9]Degree Days 2020'!F10</f>
        <v>21</v>
      </c>
      <c r="G10" s="261">
        <f>'[9]Degree Days 2020'!G10</f>
        <v>16</v>
      </c>
      <c r="H10" s="261">
        <f>'[9]Degree Days 2020'!H10</f>
        <v>0.19999999999999929</v>
      </c>
      <c r="I10" s="261">
        <f>'[9]Degree Days 2020'!I10</f>
        <v>1</v>
      </c>
      <c r="J10" s="261">
        <f>'[9]Degree Days 2020'!J10</f>
        <v>18</v>
      </c>
      <c r="K10" s="261">
        <f>'[9]Degree Days 2020'!K10</f>
        <v>14</v>
      </c>
      <c r="L10" s="261">
        <f>'[9]Degree Days 2020'!L10</f>
        <v>-2.3000000000000007</v>
      </c>
      <c r="M10" s="261">
        <f>'[10]Degree Days 2020'!M10</f>
        <v>1</v>
      </c>
      <c r="N10" s="261">
        <f>'[11]General information '!B6</f>
        <v>17</v>
      </c>
      <c r="O10" s="261">
        <f>'[11]General information '!C6</f>
        <v>12</v>
      </c>
      <c r="P10" s="261">
        <f>(N10+O10)/2-18.3</f>
        <v>-3.8000000000000007</v>
      </c>
      <c r="Q10" s="498">
        <v>1</v>
      </c>
      <c r="R10" s="261">
        <f>'[12]Degree Days 2020'!R10</f>
        <v>26</v>
      </c>
      <c r="S10" s="261">
        <f>'[12]Degree Days 2020'!S10</f>
        <v>21</v>
      </c>
      <c r="T10" s="261">
        <f>(R10+S10)/2-18.3</f>
        <v>5.1999999999999993</v>
      </c>
      <c r="U10" s="498">
        <v>1</v>
      </c>
      <c r="V10" s="261">
        <f>'[13]Degree Days 2020'!V10</f>
        <v>27</v>
      </c>
      <c r="W10" s="261">
        <f>'[13]Degree Days 2020'!W10</f>
        <v>21</v>
      </c>
      <c r="X10" s="261">
        <f>(V10+W10)/2-18.3</f>
        <v>5.6999999999999993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'[9]Degree Days 2020'!B11</f>
        <v>21</v>
      </c>
      <c r="C11" s="261">
        <f>'[9]Degree Days 2020'!C11</f>
        <v>15</v>
      </c>
      <c r="D11" s="261">
        <f>'[9]Degree Days 2020'!D11</f>
        <v>-0.30000000000000071</v>
      </c>
      <c r="E11" s="261">
        <f>'[9]Degree Days 2020'!E11</f>
        <v>2</v>
      </c>
      <c r="F11" s="261">
        <f>'[9]Degree Days 2020'!F11</f>
        <v>23</v>
      </c>
      <c r="G11" s="261">
        <f>'[9]Degree Days 2020'!G11</f>
        <v>17</v>
      </c>
      <c r="H11" s="261">
        <f>'[9]Degree Days 2020'!H11</f>
        <v>1.6999999999999993</v>
      </c>
      <c r="I11" s="261">
        <f>'[9]Degree Days 2020'!I11</f>
        <v>2</v>
      </c>
      <c r="J11" s="261">
        <f>'[9]Degree Days 2020'!J11</f>
        <v>18</v>
      </c>
      <c r="K11" s="261">
        <f>'[9]Degree Days 2020'!K11</f>
        <v>13</v>
      </c>
      <c r="L11" s="261">
        <f>'[9]Degree Days 2020'!L11</f>
        <v>-2.8000000000000007</v>
      </c>
      <c r="M11" s="261">
        <f>'[10]Degree Days 2020'!M11</f>
        <v>2</v>
      </c>
      <c r="N11" s="261">
        <f>'[11]General information '!B7</f>
        <v>15</v>
      </c>
      <c r="O11" s="261">
        <f>'[11]General information '!C7</f>
        <v>12</v>
      </c>
      <c r="P11" s="261">
        <f t="shared" ref="P11:P39" si="0">(N11+O11)/2-18.3</f>
        <v>-4.8000000000000007</v>
      </c>
      <c r="Q11" s="498">
        <v>2</v>
      </c>
      <c r="R11" s="261">
        <f>'[12]Degree Days 2020'!R11</f>
        <v>25</v>
      </c>
      <c r="S11" s="261">
        <f>'[12]Degree Days 2020'!S11</f>
        <v>21</v>
      </c>
      <c r="T11" s="261">
        <f t="shared" ref="T11:T40" si="1">(R11+S11)/2-18.3</f>
        <v>4.6999999999999993</v>
      </c>
      <c r="U11" s="498">
        <v>2</v>
      </c>
      <c r="V11" s="261">
        <f>'[13]Degree Days 2020'!V11</f>
        <v>26</v>
      </c>
      <c r="W11" s="261">
        <f>'[13]Degree Days 2020'!W11</f>
        <v>22</v>
      </c>
      <c r="X11" s="261">
        <f t="shared" ref="X11:X39" si="2">(V11+W11)/2-18.3</f>
        <v>5.6999999999999993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'[9]Degree Days 2020'!B12</f>
        <v>21</v>
      </c>
      <c r="C12" s="261">
        <f>'[9]Degree Days 2020'!C12</f>
        <v>16</v>
      </c>
      <c r="D12" s="261">
        <f>'[9]Degree Days 2020'!D12</f>
        <v>0.19999999999999929</v>
      </c>
      <c r="E12" s="261">
        <f>'[9]Degree Days 2020'!E12</f>
        <v>3</v>
      </c>
      <c r="F12" s="261">
        <f>'[9]Degree Days 2020'!F12</f>
        <v>20</v>
      </c>
      <c r="G12" s="261">
        <f>'[9]Degree Days 2020'!G12</f>
        <v>15</v>
      </c>
      <c r="H12" s="261">
        <f>'[9]Degree Days 2020'!H12</f>
        <v>-0.80000000000000071</v>
      </c>
      <c r="I12" s="261">
        <f>'[9]Degree Days 2020'!I12</f>
        <v>3</v>
      </c>
      <c r="J12" s="261">
        <f>'[9]Degree Days 2020'!J12</f>
        <v>18</v>
      </c>
      <c r="K12" s="261">
        <f>'[9]Degree Days 2020'!K12</f>
        <v>13</v>
      </c>
      <c r="L12" s="261">
        <f>'[9]Degree Days 2020'!L12</f>
        <v>-2.8000000000000007</v>
      </c>
      <c r="M12" s="261">
        <f>'[10]Degree Days 2020'!M12</f>
        <v>3</v>
      </c>
      <c r="N12" s="261">
        <f>'[11]General information '!B8</f>
        <v>19</v>
      </c>
      <c r="O12" s="261">
        <f>'[11]General information '!C8</f>
        <v>15</v>
      </c>
      <c r="P12" s="261">
        <f t="shared" si="0"/>
        <v>-1.3000000000000007</v>
      </c>
      <c r="Q12" s="498">
        <v>3</v>
      </c>
      <c r="R12" s="261">
        <f>'[12]Degree Days 2020'!R12</f>
        <v>26</v>
      </c>
      <c r="S12" s="261">
        <f>'[12]Degree Days 2020'!S12</f>
        <v>22</v>
      </c>
      <c r="T12" s="261">
        <f t="shared" si="1"/>
        <v>5.6999999999999993</v>
      </c>
      <c r="U12" s="498">
        <v>3</v>
      </c>
      <c r="V12" s="261">
        <f>'[13]Degree Days 2020'!V12</f>
        <v>26</v>
      </c>
      <c r="W12" s="261">
        <f>'[13]Degree Days 2020'!W12</f>
        <v>23</v>
      </c>
      <c r="X12" s="261">
        <f t="shared" si="2"/>
        <v>6.1999999999999993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'[9]Degree Days 2020'!B13</f>
        <v>22</v>
      </c>
      <c r="C13" s="261">
        <f>'[9]Degree Days 2020'!C13</f>
        <v>15</v>
      </c>
      <c r="D13" s="261">
        <f>'[9]Degree Days 2020'!D13</f>
        <v>0.19999999999999929</v>
      </c>
      <c r="E13" s="261">
        <f>'[9]Degree Days 2020'!E13</f>
        <v>4</v>
      </c>
      <c r="F13" s="261">
        <f>'[9]Degree Days 2020'!F13</f>
        <v>20</v>
      </c>
      <c r="G13" s="261">
        <f>'[9]Degree Days 2020'!G13</f>
        <v>15</v>
      </c>
      <c r="H13" s="261">
        <f>'[9]Degree Days 2020'!H13</f>
        <v>-0.80000000000000071</v>
      </c>
      <c r="I13" s="261">
        <f>'[9]Degree Days 2020'!I13</f>
        <v>4</v>
      </c>
      <c r="J13" s="261">
        <f>'[9]Degree Days 2020'!J13</f>
        <v>18</v>
      </c>
      <c r="K13" s="261">
        <f>'[9]Degree Days 2020'!K13</f>
        <v>13</v>
      </c>
      <c r="L13" s="261">
        <f>'[9]Degree Days 2020'!L13</f>
        <v>-2.8000000000000007</v>
      </c>
      <c r="M13" s="261">
        <f>'[10]Degree Days 2020'!M13</f>
        <v>4</v>
      </c>
      <c r="N13" s="261">
        <f>'[11]General information '!B9</f>
        <v>18</v>
      </c>
      <c r="O13" s="261">
        <f>'[11]General information '!C9</f>
        <v>15</v>
      </c>
      <c r="P13" s="261">
        <f t="shared" si="0"/>
        <v>-1.8000000000000007</v>
      </c>
      <c r="Q13" s="498">
        <v>4</v>
      </c>
      <c r="R13" s="261">
        <f>'[12]Degree Days 2020'!R13</f>
        <v>26</v>
      </c>
      <c r="S13" s="261">
        <f>'[12]Degree Days 2020'!S13</f>
        <v>19</v>
      </c>
      <c r="T13" s="261">
        <f t="shared" si="1"/>
        <v>4.1999999999999993</v>
      </c>
      <c r="U13" s="498">
        <v>4</v>
      </c>
      <c r="V13" s="261">
        <f>'[13]Degree Days 2020'!V13</f>
        <v>27</v>
      </c>
      <c r="W13" s="261">
        <f>'[13]Degree Days 2020'!W13</f>
        <v>23</v>
      </c>
      <c r="X13" s="261">
        <f t="shared" si="2"/>
        <v>6.6999999999999993</v>
      </c>
      <c r="Z13" t="s">
        <v>171</v>
      </c>
      <c r="AA13" s="261">
        <f>N43</f>
        <v>-30.300000000000008</v>
      </c>
      <c r="AB13" s="261">
        <f>O43</f>
        <v>55.300000000000026</v>
      </c>
    </row>
    <row r="14" spans="1:28">
      <c r="A14" s="117">
        <v>5</v>
      </c>
      <c r="B14" s="261">
        <f>'[9]Degree Days 2020'!B14</f>
        <v>22</v>
      </c>
      <c r="C14" s="261">
        <f>'[9]Degree Days 2020'!C14</f>
        <v>16</v>
      </c>
      <c r="D14" s="261">
        <f>'[9]Degree Days 2020'!D14</f>
        <v>0.69999999999999929</v>
      </c>
      <c r="E14" s="261">
        <f>'[9]Degree Days 2020'!E14</f>
        <v>5</v>
      </c>
      <c r="F14" s="261">
        <f>'[9]Degree Days 2020'!F14</f>
        <v>20</v>
      </c>
      <c r="G14" s="261">
        <f>'[9]Degree Days 2020'!G14</f>
        <v>15</v>
      </c>
      <c r="H14" s="261">
        <f>'[9]Degree Days 2020'!H14</f>
        <v>-0.80000000000000071</v>
      </c>
      <c r="I14" s="261">
        <f>'[9]Degree Days 2020'!I14</f>
        <v>5</v>
      </c>
      <c r="J14" s="261">
        <f>'[9]Degree Days 2020'!J14</f>
        <v>19</v>
      </c>
      <c r="K14" s="261">
        <f>'[9]Degree Days 2020'!K14</f>
        <v>12</v>
      </c>
      <c r="L14" s="261">
        <f>'[9]Degree Days 2020'!L14</f>
        <v>-2.8000000000000007</v>
      </c>
      <c r="M14" s="261">
        <f>'[10]Degree Days 2020'!M14</f>
        <v>5</v>
      </c>
      <c r="N14" s="261">
        <f>'[11]General information '!B10</f>
        <v>19</v>
      </c>
      <c r="O14" s="261">
        <f>'[11]General information '!C10</f>
        <v>15</v>
      </c>
      <c r="P14" s="261">
        <f t="shared" si="0"/>
        <v>-1.3000000000000007</v>
      </c>
      <c r="Q14" s="498">
        <v>5</v>
      </c>
      <c r="R14" s="261">
        <f>'[12]Degree Days 2020'!R14</f>
        <v>24</v>
      </c>
      <c r="S14" s="261">
        <f>'[12]Degree Days 2020'!S14</f>
        <v>22</v>
      </c>
      <c r="T14" s="261">
        <f t="shared" si="1"/>
        <v>4.6999999999999993</v>
      </c>
      <c r="U14" s="498">
        <v>5</v>
      </c>
      <c r="V14" s="261">
        <f>'[13]Degree Days 2020'!V14</f>
        <v>26</v>
      </c>
      <c r="W14" s="261">
        <f>'[13]Degree Days 2020'!W14</f>
        <v>20</v>
      </c>
      <c r="X14" s="261">
        <f t="shared" si="2"/>
        <v>4.6999999999999993</v>
      </c>
      <c r="Z14" t="s">
        <v>172</v>
      </c>
      <c r="AA14" s="261">
        <f>R43</f>
        <v>0</v>
      </c>
      <c r="AB14" s="261">
        <f>S43</f>
        <v>157.19999999999999</v>
      </c>
    </row>
    <row r="15" spans="1:28">
      <c r="A15" s="117">
        <v>6</v>
      </c>
      <c r="B15" s="261">
        <f>'[9]Degree Days 2020'!B15</f>
        <v>22</v>
      </c>
      <c r="C15" s="261">
        <f>'[9]Degree Days 2020'!C15</f>
        <v>15</v>
      </c>
      <c r="D15" s="261">
        <f>'[9]Degree Days 2020'!D15</f>
        <v>0.19999999999999929</v>
      </c>
      <c r="E15" s="261">
        <f>'[9]Degree Days 2020'!E15</f>
        <v>6</v>
      </c>
      <c r="F15" s="261">
        <f>'[9]Degree Days 2020'!F15</f>
        <v>19</v>
      </c>
      <c r="G15" s="261">
        <f>'[9]Degree Days 2020'!G15</f>
        <v>15</v>
      </c>
      <c r="H15" s="261">
        <f>'[9]Degree Days 2020'!H15</f>
        <v>-1.3000000000000007</v>
      </c>
      <c r="I15" s="261">
        <f>'[9]Degree Days 2020'!I15</f>
        <v>6</v>
      </c>
      <c r="J15" s="261">
        <f>'[9]Degree Days 2020'!J15</f>
        <v>18</v>
      </c>
      <c r="K15" s="261">
        <f>'[9]Degree Days 2020'!K15</f>
        <v>14</v>
      </c>
      <c r="L15" s="261">
        <f>'[9]Degree Days 2020'!L15</f>
        <v>-2.3000000000000007</v>
      </c>
      <c r="M15" s="261">
        <f>'[10]Degree Days 2020'!M15</f>
        <v>6</v>
      </c>
      <c r="N15" s="261">
        <f>'[11]General information '!B11</f>
        <v>30</v>
      </c>
      <c r="O15" s="261">
        <f>'[11]General information '!C11</f>
        <v>15</v>
      </c>
      <c r="P15" s="261">
        <f t="shared" si="0"/>
        <v>4.1999999999999993</v>
      </c>
      <c r="Q15" s="498">
        <v>6</v>
      </c>
      <c r="R15" s="261">
        <f>'[12]Degree Days 2020'!R15</f>
        <v>24</v>
      </c>
      <c r="S15" s="261">
        <f>'[12]Degree Days 2020'!S15</f>
        <v>20</v>
      </c>
      <c r="T15" s="261">
        <f t="shared" si="1"/>
        <v>3.6999999999999993</v>
      </c>
      <c r="U15" s="498">
        <v>6</v>
      </c>
      <c r="V15" s="261">
        <f>'[13]Degree Days 2020'!V15</f>
        <v>26</v>
      </c>
      <c r="W15" s="261">
        <f>'[13]Degree Days 2020'!W15</f>
        <v>22</v>
      </c>
      <c r="X15" s="261">
        <f t="shared" si="2"/>
        <v>5.6999999999999993</v>
      </c>
      <c r="Z15" t="s">
        <v>173</v>
      </c>
      <c r="AA15" s="261"/>
      <c r="AB15" s="261"/>
    </row>
    <row r="16" spans="1:28">
      <c r="A16" s="117">
        <v>7</v>
      </c>
      <c r="B16" s="261">
        <f>'[9]Degree Days 2020'!B16</f>
        <v>20</v>
      </c>
      <c r="C16" s="261">
        <f>'[9]Degree Days 2020'!C16</f>
        <v>14</v>
      </c>
      <c r="D16" s="261">
        <f>'[9]Degree Days 2020'!D16</f>
        <v>-1.3000000000000007</v>
      </c>
      <c r="E16" s="261">
        <f>'[9]Degree Days 2020'!E16</f>
        <v>7</v>
      </c>
      <c r="F16" s="261">
        <f>'[9]Degree Days 2020'!F16</f>
        <v>21</v>
      </c>
      <c r="G16" s="261">
        <f>'[9]Degree Days 2020'!G16</f>
        <v>17</v>
      </c>
      <c r="H16" s="261">
        <f>'[9]Degree Days 2020'!H16</f>
        <v>0.69999999999999929</v>
      </c>
      <c r="I16" s="261">
        <f>'[9]Degree Days 2020'!I16</f>
        <v>7</v>
      </c>
      <c r="J16" s="261">
        <f>'[9]Degree Days 2020'!J16</f>
        <v>19</v>
      </c>
      <c r="K16" s="261">
        <f>'[9]Degree Days 2020'!K16</f>
        <v>14</v>
      </c>
      <c r="L16" s="261">
        <f>'[9]Degree Days 2020'!L16</f>
        <v>-1.8000000000000007</v>
      </c>
      <c r="M16" s="261">
        <f>'[10]Degree Days 2020'!M16</f>
        <v>7</v>
      </c>
      <c r="N16" s="261">
        <f>'[11]General information '!B12</f>
        <v>24</v>
      </c>
      <c r="O16" s="261">
        <f>'[11]General information '!C12</f>
        <v>19</v>
      </c>
      <c r="P16" s="261">
        <f t="shared" si="0"/>
        <v>3.1999999999999993</v>
      </c>
      <c r="Q16" s="498">
        <v>7</v>
      </c>
      <c r="R16" s="261">
        <f>'[12]Degree Days 2020'!R16</f>
        <v>25</v>
      </c>
      <c r="S16" s="261">
        <f>'[12]Degree Days 2020'!S16</f>
        <v>21</v>
      </c>
      <c r="T16" s="261">
        <f t="shared" si="1"/>
        <v>4.6999999999999993</v>
      </c>
      <c r="U16" s="498">
        <v>7</v>
      </c>
      <c r="V16" s="261">
        <f>'[13]Degree Days 2020'!V16</f>
        <v>27</v>
      </c>
      <c r="W16" s="261">
        <f>'[13]Degree Days 2020'!W16</f>
        <v>23</v>
      </c>
      <c r="X16" s="261">
        <f t="shared" si="2"/>
        <v>6.6999999999999993</v>
      </c>
      <c r="Z16" t="s">
        <v>176</v>
      </c>
      <c r="AA16" s="261"/>
      <c r="AB16" s="261"/>
    </row>
    <row r="17" spans="1:28">
      <c r="A17" s="117">
        <v>8</v>
      </c>
      <c r="B17" s="261">
        <f>'[9]Degree Days 2020'!B17</f>
        <v>21</v>
      </c>
      <c r="C17" s="261">
        <f>'[9]Degree Days 2020'!C17</f>
        <v>14</v>
      </c>
      <c r="D17" s="261">
        <f>'[9]Degree Days 2020'!D17</f>
        <v>-0.80000000000000071</v>
      </c>
      <c r="E17" s="261">
        <f>'[9]Degree Days 2020'!E17</f>
        <v>8</v>
      </c>
      <c r="F17" s="261">
        <f>'[9]Degree Days 2020'!F17</f>
        <v>23</v>
      </c>
      <c r="G17" s="261">
        <f>'[9]Degree Days 2020'!G17</f>
        <v>19</v>
      </c>
      <c r="H17" s="261">
        <f>'[9]Degree Days 2020'!H17</f>
        <v>2.6999999999999993</v>
      </c>
      <c r="I17" s="261">
        <f>'[9]Degree Days 2020'!I17</f>
        <v>8</v>
      </c>
      <c r="J17" s="261">
        <f>'[9]Degree Days 2020'!J17</f>
        <v>20</v>
      </c>
      <c r="K17" s="261">
        <f>'[9]Degree Days 2020'!K17</f>
        <v>16</v>
      </c>
      <c r="L17" s="261">
        <f>'[9]Degree Days 2020'!L17</f>
        <v>-0.30000000000000071</v>
      </c>
      <c r="M17" s="261">
        <f>'[10]Degree Days 2020'!M17</f>
        <v>8</v>
      </c>
      <c r="N17" s="261">
        <f>'[11]General information '!B13</f>
        <v>20</v>
      </c>
      <c r="O17" s="261">
        <f>'[11]General information '!C13</f>
        <v>17</v>
      </c>
      <c r="P17" s="261">
        <f t="shared" si="0"/>
        <v>0.19999999999999929</v>
      </c>
      <c r="Q17" s="498">
        <v>8</v>
      </c>
      <c r="R17" s="261">
        <f>'[12]Degree Days 2020'!R17</f>
        <v>29</v>
      </c>
      <c r="S17" s="261">
        <f>'[12]Degree Days 2020'!S17</f>
        <v>20</v>
      </c>
      <c r="T17" s="261">
        <f t="shared" si="1"/>
        <v>6.1999999999999993</v>
      </c>
      <c r="U17" s="498">
        <v>8</v>
      </c>
      <c r="V17" s="261">
        <f>'[13]Degree Days 2020'!V17</f>
        <v>27</v>
      </c>
      <c r="W17" s="261">
        <f>'[13]Degree Days 2020'!W17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'[9]Degree Days 2020'!B18</f>
        <v>22</v>
      </c>
      <c r="C18" s="261">
        <f>'[9]Degree Days 2020'!C18</f>
        <v>15</v>
      </c>
      <c r="D18" s="261">
        <f>'[9]Degree Days 2020'!D18</f>
        <v>0.19999999999999929</v>
      </c>
      <c r="E18" s="261">
        <f>'[9]Degree Days 2020'!E18</f>
        <v>9</v>
      </c>
      <c r="F18" s="261">
        <f>'[9]Degree Days 2020'!F18</f>
        <v>21</v>
      </c>
      <c r="G18" s="261">
        <f>'[9]Degree Days 2020'!G18</f>
        <v>18</v>
      </c>
      <c r="H18" s="261">
        <f>'[9]Degree Days 2020'!H18</f>
        <v>1.1999999999999993</v>
      </c>
      <c r="I18" s="261">
        <f>'[9]Degree Days 2020'!I18</f>
        <v>9</v>
      </c>
      <c r="J18" s="261">
        <f>'[9]Degree Days 2020'!J18</f>
        <v>23</v>
      </c>
      <c r="K18" s="261">
        <f>'[9]Degree Days 2020'!K18</f>
        <v>17</v>
      </c>
      <c r="L18" s="261">
        <f>'[9]Degree Days 2020'!L18</f>
        <v>1.6999999999999993</v>
      </c>
      <c r="M18" s="261">
        <f>'[10]Degree Days 2020'!M18</f>
        <v>9</v>
      </c>
      <c r="N18" s="261">
        <f>'[11]General information '!B14</f>
        <v>20</v>
      </c>
      <c r="O18" s="261">
        <f>'[11]General information '!C14</f>
        <v>16</v>
      </c>
      <c r="P18" s="261">
        <f t="shared" si="0"/>
        <v>-0.30000000000000071</v>
      </c>
      <c r="Q18" s="498">
        <v>9</v>
      </c>
      <c r="R18" s="261">
        <f>'[12]Degree Days 2020'!R18</f>
        <v>28</v>
      </c>
      <c r="S18" s="261">
        <f>'[12]Degree Days 2020'!S18</f>
        <v>21</v>
      </c>
      <c r="T18" s="261">
        <f t="shared" si="1"/>
        <v>6.1999999999999993</v>
      </c>
      <c r="U18" s="498">
        <v>9</v>
      </c>
      <c r="V18" s="261">
        <f>'[13]Degree Days 2020'!V18</f>
        <v>27</v>
      </c>
      <c r="W18" s="261">
        <f>'[13]Degree Days 2020'!W18</f>
        <v>22</v>
      </c>
      <c r="X18" s="261">
        <f t="shared" si="2"/>
        <v>6.1999999999999993</v>
      </c>
      <c r="Z18" t="s">
        <v>178</v>
      </c>
      <c r="AA18" s="261"/>
      <c r="AB18" s="261"/>
    </row>
    <row r="19" spans="1:28">
      <c r="A19" s="117">
        <v>10</v>
      </c>
      <c r="B19" s="261">
        <f>'[9]Degree Days 2020'!B19</f>
        <v>22</v>
      </c>
      <c r="C19" s="261">
        <f>'[9]Degree Days 2020'!C19</f>
        <v>15</v>
      </c>
      <c r="D19" s="261">
        <f>'[9]Degree Days 2020'!D19</f>
        <v>0.19999999999999929</v>
      </c>
      <c r="E19" s="261">
        <f>'[9]Degree Days 2020'!E19</f>
        <v>10</v>
      </c>
      <c r="F19" s="261">
        <f>'[9]Degree Days 2020'!F19</f>
        <v>19</v>
      </c>
      <c r="G19" s="261">
        <f>'[9]Degree Days 2020'!G19</f>
        <v>14</v>
      </c>
      <c r="H19" s="261">
        <f>'[9]Degree Days 2020'!H19</f>
        <v>-1.8000000000000007</v>
      </c>
      <c r="I19" s="261">
        <f>'[9]Degree Days 2020'!I19</f>
        <v>10</v>
      </c>
      <c r="J19" s="261">
        <f>'[9]Degree Days 2020'!J19</f>
        <v>19</v>
      </c>
      <c r="K19" s="261">
        <f>'[9]Degree Days 2020'!K19</f>
        <v>13</v>
      </c>
      <c r="L19" s="261">
        <f>'[9]Degree Days 2020'!L19</f>
        <v>-2.3000000000000007</v>
      </c>
      <c r="M19" s="261">
        <f>'[10]Degree Days 2020'!M19</f>
        <v>10</v>
      </c>
      <c r="N19" s="261">
        <f>'[11]General information '!B15</f>
        <v>16</v>
      </c>
      <c r="O19" s="261">
        <f>'[11]General information '!C15</f>
        <v>14</v>
      </c>
      <c r="P19" s="261">
        <f t="shared" si="0"/>
        <v>-3.3000000000000007</v>
      </c>
      <c r="Q19" s="498">
        <v>10</v>
      </c>
      <c r="R19" s="261">
        <f>'[12]Degree Days 2020'!R19</f>
        <v>24</v>
      </c>
      <c r="S19" s="261">
        <f>'[12]Degree Days 2020'!S19</f>
        <v>20</v>
      </c>
      <c r="T19" s="261">
        <f t="shared" si="1"/>
        <v>3.6999999999999993</v>
      </c>
      <c r="U19" s="498">
        <v>10</v>
      </c>
      <c r="V19" s="261">
        <f>'[13]Degree Days 2020'!V19</f>
        <v>27</v>
      </c>
      <c r="W19" s="261">
        <f>'[13]Degree Days 2020'!W19</f>
        <v>23</v>
      </c>
      <c r="X19" s="261">
        <f t="shared" si="2"/>
        <v>6.6999999999999993</v>
      </c>
      <c r="Z19" t="s">
        <v>179</v>
      </c>
      <c r="AA19" s="261"/>
      <c r="AB19" s="261"/>
    </row>
    <row r="20" spans="1:28">
      <c r="A20" s="117">
        <v>11</v>
      </c>
      <c r="B20" s="261">
        <f>'[9]Degree Days 2020'!B20</f>
        <v>22</v>
      </c>
      <c r="C20" s="261">
        <f>'[9]Degree Days 2020'!C20</f>
        <v>16</v>
      </c>
      <c r="D20" s="261">
        <f>'[9]Degree Days 2020'!D20</f>
        <v>0.69999999999999929</v>
      </c>
      <c r="E20" s="261">
        <f>'[9]Degree Days 2020'!E20</f>
        <v>11</v>
      </c>
      <c r="F20" s="261">
        <f>'[9]Degree Days 2020'!F20</f>
        <v>18</v>
      </c>
      <c r="G20" s="261">
        <f>'[9]Degree Days 2020'!G20</f>
        <v>13</v>
      </c>
      <c r="H20" s="261">
        <f>'[9]Degree Days 2020'!H20</f>
        <v>-2.8000000000000007</v>
      </c>
      <c r="I20" s="261">
        <f>'[9]Degree Days 2020'!I20</f>
        <v>11</v>
      </c>
      <c r="J20" s="261">
        <f>'[9]Degree Days 2020'!J20</f>
        <v>17</v>
      </c>
      <c r="K20" s="261">
        <f>'[9]Degree Days 2020'!K20</f>
        <v>12</v>
      </c>
      <c r="L20" s="261">
        <f>'[9]Degree Days 2020'!L20</f>
        <v>-3.8000000000000007</v>
      </c>
      <c r="M20" s="261">
        <f>'[10]Degree Days 2020'!M20</f>
        <v>11</v>
      </c>
      <c r="N20" s="261">
        <f>'[11]General information '!B16</f>
        <v>17</v>
      </c>
      <c r="O20" s="261">
        <f>'[11]General information '!C16</f>
        <v>12</v>
      </c>
      <c r="P20" s="261">
        <f t="shared" si="0"/>
        <v>-3.8000000000000007</v>
      </c>
      <c r="Q20" s="498">
        <v>11</v>
      </c>
      <c r="R20" s="261">
        <f>'[12]Degree Days 2020'!R20</f>
        <v>24</v>
      </c>
      <c r="S20" s="261">
        <f>'[12]Degree Days 2020'!S20</f>
        <v>18</v>
      </c>
      <c r="T20" s="261">
        <f t="shared" si="1"/>
        <v>2.6999999999999993</v>
      </c>
      <c r="U20" s="498">
        <v>11</v>
      </c>
      <c r="V20" s="261">
        <f>'[13]Degree Days 2020'!V20</f>
        <v>27</v>
      </c>
      <c r="W20" s="261">
        <f>'[13]Degree Days 2020'!W20</f>
        <v>25</v>
      </c>
      <c r="X20" s="261">
        <f t="shared" si="2"/>
        <v>7.6999999999999993</v>
      </c>
      <c r="Z20" t="s">
        <v>180</v>
      </c>
      <c r="AA20" s="261"/>
      <c r="AB20" s="261"/>
    </row>
    <row r="21" spans="1:28">
      <c r="A21" s="117">
        <v>12</v>
      </c>
      <c r="B21" s="261">
        <f>'[9]Degree Days 2020'!B21</f>
        <v>24</v>
      </c>
      <c r="C21" s="261">
        <f>'[9]Degree Days 2020'!C21</f>
        <v>13</v>
      </c>
      <c r="D21" s="261">
        <f>'[9]Degree Days 2020'!D21</f>
        <v>0.19999999999999929</v>
      </c>
      <c r="E21" s="261">
        <f>'[9]Degree Days 2020'!E21</f>
        <v>12</v>
      </c>
      <c r="F21" s="261">
        <f>'[9]Degree Days 2020'!F21</f>
        <v>18</v>
      </c>
      <c r="G21" s="261">
        <f>'[9]Degree Days 2020'!G21</f>
        <v>13</v>
      </c>
      <c r="H21" s="261">
        <f>'[9]Degree Days 2020'!H21</f>
        <v>-2.8000000000000007</v>
      </c>
      <c r="I21" s="261">
        <f>'[9]Degree Days 2020'!I21</f>
        <v>12</v>
      </c>
      <c r="J21" s="261">
        <f>'[9]Degree Days 2020'!J21</f>
        <v>18</v>
      </c>
      <c r="K21" s="261">
        <f>'[9]Degree Days 2020'!K21</f>
        <v>13</v>
      </c>
      <c r="L21" s="261">
        <f>'[9]Degree Days 2020'!L21</f>
        <v>-2.8000000000000007</v>
      </c>
      <c r="M21" s="261">
        <f>'[10]Degree Days 2020'!M21</f>
        <v>12</v>
      </c>
      <c r="N21" s="261">
        <f>'[11]General information '!B17</f>
        <v>16</v>
      </c>
      <c r="O21" s="261">
        <f>'[11]General information '!C17</f>
        <v>13</v>
      </c>
      <c r="P21" s="261">
        <f t="shared" si="0"/>
        <v>-3.8000000000000007</v>
      </c>
      <c r="Q21" s="498">
        <v>12</v>
      </c>
      <c r="R21" s="261">
        <f>'[12]Degree Days 2020'!R21</f>
        <v>25</v>
      </c>
      <c r="S21" s="261">
        <f>'[12]Degree Days 2020'!S21</f>
        <v>19</v>
      </c>
      <c r="T21" s="261">
        <f t="shared" si="1"/>
        <v>3.6999999999999993</v>
      </c>
      <c r="U21" s="498">
        <v>12</v>
      </c>
      <c r="V21" s="261">
        <f>'[13]Degree Days 2020'!V21</f>
        <v>27</v>
      </c>
      <c r="W21" s="261">
        <f>'[13]Degree Days 2020'!W21</f>
        <v>22</v>
      </c>
      <c r="X21" s="261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1">
        <f>'[9]Degree Days 2020'!B22</f>
        <v>18</v>
      </c>
      <c r="C22" s="261">
        <f>'[9]Degree Days 2020'!C22</f>
        <v>12</v>
      </c>
      <c r="D22" s="261">
        <f>'[9]Degree Days 2020'!D22</f>
        <v>-3.3000000000000007</v>
      </c>
      <c r="E22" s="261">
        <f>'[9]Degree Days 2020'!E22</f>
        <v>13</v>
      </c>
      <c r="F22" s="261">
        <f>'[9]Degree Days 2020'!F22</f>
        <v>19</v>
      </c>
      <c r="G22" s="261">
        <f>'[9]Degree Days 2020'!G22</f>
        <v>14</v>
      </c>
      <c r="H22" s="261">
        <f>'[9]Degree Days 2020'!H22</f>
        <v>-1.8000000000000007</v>
      </c>
      <c r="I22" s="261">
        <f>'[9]Degree Days 2020'!I22</f>
        <v>13</v>
      </c>
      <c r="J22" s="261">
        <f>'[9]Degree Days 2020'!J22</f>
        <v>18</v>
      </c>
      <c r="K22" s="261">
        <f>'[9]Degree Days 2020'!K22</f>
        <v>16</v>
      </c>
      <c r="L22" s="261">
        <f>'[9]Degree Days 2020'!L22</f>
        <v>-1.3000000000000007</v>
      </c>
      <c r="M22" s="261">
        <f>'[10]Degree Days 2020'!M22</f>
        <v>13</v>
      </c>
      <c r="N22" s="261">
        <f>'[11]General information '!B18</f>
        <v>18</v>
      </c>
      <c r="O22" s="261">
        <f>'[11]General information '!C18</f>
        <v>11</v>
      </c>
      <c r="P22" s="261">
        <f t="shared" si="0"/>
        <v>-3.8000000000000007</v>
      </c>
      <c r="Q22" s="498">
        <v>13</v>
      </c>
      <c r="R22" s="261">
        <f>'[12]Degree Days 2020'!R22</f>
        <v>24</v>
      </c>
      <c r="S22" s="261">
        <f>'[12]Degree Days 2020'!S22</f>
        <v>18</v>
      </c>
      <c r="T22" s="261">
        <f t="shared" si="1"/>
        <v>2.6999999999999993</v>
      </c>
      <c r="U22" s="498">
        <v>13</v>
      </c>
      <c r="V22" s="261">
        <f>'[13]Degree Days 2020'!V22</f>
        <v>26</v>
      </c>
      <c r="W22" s="261">
        <f>'[13]Degree Days 2020'!W22</f>
        <v>21</v>
      </c>
      <c r="X22" s="261">
        <f t="shared" si="2"/>
        <v>5.1999999999999993</v>
      </c>
    </row>
    <row r="23" spans="1:28">
      <c r="A23" s="117">
        <v>14</v>
      </c>
      <c r="B23" s="261">
        <f>'[9]Degree Days 2020'!B23</f>
        <v>17</v>
      </c>
      <c r="C23" s="261">
        <f>'[9]Degree Days 2020'!C23</f>
        <v>12</v>
      </c>
      <c r="D23" s="261">
        <f>'[9]Degree Days 2020'!D23</f>
        <v>-3.8000000000000007</v>
      </c>
      <c r="E23" s="261">
        <f>'[9]Degree Days 2020'!E23</f>
        <v>14</v>
      </c>
      <c r="F23" s="261">
        <f>'[9]Degree Days 2020'!F23</f>
        <v>18</v>
      </c>
      <c r="G23" s="261">
        <f>'[9]Degree Days 2020'!G23</f>
        <v>13</v>
      </c>
      <c r="H23" s="261">
        <f>'[9]Degree Days 2020'!H23</f>
        <v>-2.8000000000000007</v>
      </c>
      <c r="I23" s="261">
        <f>'[9]Degree Days 2020'!I23</f>
        <v>14</v>
      </c>
      <c r="J23" s="261">
        <f>'[9]Degree Days 2020'!J23</f>
        <v>19</v>
      </c>
      <c r="K23" s="261">
        <f>'[9]Degree Days 2020'!K23</f>
        <v>15</v>
      </c>
      <c r="L23" s="261">
        <f>'[9]Degree Days 2020'!L23</f>
        <v>-1.3000000000000007</v>
      </c>
      <c r="M23" s="261">
        <f>'[10]Degree Days 2020'!M23</f>
        <v>14</v>
      </c>
      <c r="N23" s="261">
        <f>'[11]General information '!B19</f>
        <v>20</v>
      </c>
      <c r="O23" s="261">
        <f>'[11]General information '!C19</f>
        <v>12</v>
      </c>
      <c r="P23" s="261">
        <f t="shared" si="0"/>
        <v>-2.3000000000000007</v>
      </c>
      <c r="Q23" s="498">
        <v>14</v>
      </c>
      <c r="R23" s="261">
        <f>'[12]Degree Days 2020'!R23</f>
        <v>24</v>
      </c>
      <c r="S23" s="261">
        <f>'[12]Degree Days 2020'!S23</f>
        <v>21</v>
      </c>
      <c r="T23" s="261">
        <f t="shared" si="1"/>
        <v>4.1999999999999993</v>
      </c>
      <c r="U23" s="498">
        <v>14</v>
      </c>
      <c r="V23" s="261">
        <f>'[13]Degree Days 2020'!V23</f>
        <v>26</v>
      </c>
      <c r="W23" s="261">
        <f>'[13]Degree Days 2020'!W23</f>
        <v>20</v>
      </c>
      <c r="X23" s="261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1">
        <f>'[9]Degree Days 2020'!B24</f>
        <v>19</v>
      </c>
      <c r="C24" s="261">
        <f>'[9]Degree Days 2020'!C24</f>
        <v>13</v>
      </c>
      <c r="D24" s="261">
        <f>'[9]Degree Days 2020'!D24</f>
        <v>-2.3000000000000007</v>
      </c>
      <c r="E24" s="261">
        <f>'[9]Degree Days 2020'!E24</f>
        <v>15</v>
      </c>
      <c r="F24" s="261">
        <f>'[9]Degree Days 2020'!F24</f>
        <v>18</v>
      </c>
      <c r="G24" s="261">
        <f>'[9]Degree Days 2020'!G24</f>
        <v>12</v>
      </c>
      <c r="H24" s="261">
        <f>'[9]Degree Days 2020'!H24</f>
        <v>-3.3000000000000007</v>
      </c>
      <c r="I24" s="261">
        <f>'[9]Degree Days 2020'!I24</f>
        <v>15</v>
      </c>
      <c r="J24" s="261">
        <f>'[9]Degree Days 2020'!J24</f>
        <v>19</v>
      </c>
      <c r="K24" s="261">
        <f>'[9]Degree Days 2020'!K24</f>
        <v>15</v>
      </c>
      <c r="L24" s="261">
        <f>'[9]Degree Days 2020'!L24</f>
        <v>-1.3000000000000007</v>
      </c>
      <c r="M24" s="261">
        <f>'[10]Degree Days 2020'!M24</f>
        <v>15</v>
      </c>
      <c r="N24" s="261">
        <f>'[11]General information '!B20</f>
        <v>24</v>
      </c>
      <c r="O24" s="261">
        <f>'[11]General information '!C20</f>
        <v>14</v>
      </c>
      <c r="P24" s="261">
        <f t="shared" si="0"/>
        <v>0.69999999999999929</v>
      </c>
      <c r="Q24" s="498">
        <v>15</v>
      </c>
      <c r="R24" s="261">
        <f>'[12]Degree Days 2020'!R24</f>
        <v>25</v>
      </c>
      <c r="S24" s="261">
        <f>'[12]Degree Days 2020'!S24</f>
        <v>22</v>
      </c>
      <c r="T24" s="261">
        <f t="shared" si="1"/>
        <v>5.1999999999999993</v>
      </c>
      <c r="U24" s="498">
        <v>15</v>
      </c>
      <c r="V24" s="261">
        <f>'[13]Degree Days 2020'!V24</f>
        <v>27</v>
      </c>
      <c r="W24" s="261">
        <f>'[13]Degree Days 2020'!W24</f>
        <v>22</v>
      </c>
      <c r="X24" s="261">
        <f t="shared" si="2"/>
        <v>6.1999999999999993</v>
      </c>
    </row>
    <row r="25" spans="1:28">
      <c r="A25" s="117">
        <v>16</v>
      </c>
      <c r="B25" s="261">
        <f>'[9]Degree Days 2020'!B25</f>
        <v>15</v>
      </c>
      <c r="C25" s="261">
        <f>'[9]Degree Days 2020'!C25</f>
        <v>9</v>
      </c>
      <c r="D25" s="261">
        <f>'[9]Degree Days 2020'!D25</f>
        <v>-6.3000000000000007</v>
      </c>
      <c r="E25" s="261">
        <f>'[9]Degree Days 2020'!E25</f>
        <v>16</v>
      </c>
      <c r="F25" s="261">
        <f>'[9]Degree Days 2020'!F25</f>
        <v>11</v>
      </c>
      <c r="G25" s="261">
        <f>'[9]Degree Days 2020'!G25</f>
        <v>7</v>
      </c>
      <c r="H25" s="261">
        <f>'[9]Degree Days 2020'!H25</f>
        <v>-9.3000000000000007</v>
      </c>
      <c r="I25" s="261">
        <f>'[9]Degree Days 2020'!I25</f>
        <v>16</v>
      </c>
      <c r="J25" s="261">
        <f>'[9]Degree Days 2020'!J25</f>
        <v>19</v>
      </c>
      <c r="K25" s="261">
        <f>'[9]Degree Days 2020'!K25</f>
        <v>14</v>
      </c>
      <c r="L25" s="261">
        <f>'[9]Degree Days 2020'!L25</f>
        <v>-1.8000000000000007</v>
      </c>
      <c r="M25" s="261">
        <f>'[10]Degree Days 2020'!M25</f>
        <v>16</v>
      </c>
      <c r="N25" s="261">
        <f>'[11]General information '!B21</f>
        <v>26</v>
      </c>
      <c r="O25" s="261">
        <f>'[11]General information '!C21</f>
        <v>17</v>
      </c>
      <c r="P25" s="261">
        <f t="shared" si="0"/>
        <v>3.1999999999999993</v>
      </c>
      <c r="Q25" s="498">
        <v>16</v>
      </c>
      <c r="R25" s="261">
        <f>'[12]Degree Days 2020'!R25</f>
        <v>24</v>
      </c>
      <c r="S25" s="261">
        <f>'[12]Degree Days 2020'!S25</f>
        <v>19</v>
      </c>
      <c r="T25" s="261">
        <f t="shared" si="1"/>
        <v>3.1999999999999993</v>
      </c>
      <c r="U25" s="498">
        <v>16</v>
      </c>
      <c r="V25" s="261">
        <f>'[13]Degree Days 2020'!V25</f>
        <v>27</v>
      </c>
      <c r="W25" s="261">
        <f>'[13]Degree Days 2020'!W25</f>
        <v>23</v>
      </c>
      <c r="X25" s="261">
        <f t="shared" si="2"/>
        <v>6.6999999999999993</v>
      </c>
    </row>
    <row r="26" spans="1:28">
      <c r="A26" s="117">
        <v>17</v>
      </c>
      <c r="B26" s="261">
        <f>'[9]Degree Days 2020'!B26</f>
        <v>15</v>
      </c>
      <c r="C26" s="261">
        <f>'[9]Degree Days 2020'!C26</f>
        <v>12</v>
      </c>
      <c r="D26" s="261">
        <f>'[9]Degree Days 2020'!D26</f>
        <v>-4.8000000000000007</v>
      </c>
      <c r="E26" s="261">
        <f>'[9]Degree Days 2020'!E26</f>
        <v>17</v>
      </c>
      <c r="F26" s="261">
        <f>'[9]Degree Days 2020'!F26</f>
        <v>13</v>
      </c>
      <c r="G26" s="261">
        <f>'[9]Degree Days 2020'!G26</f>
        <v>7</v>
      </c>
      <c r="H26" s="261">
        <f>'[9]Degree Days 2020'!H26</f>
        <v>-8.3000000000000007</v>
      </c>
      <c r="I26" s="261">
        <f>'[9]Degree Days 2020'!I26</f>
        <v>17</v>
      </c>
      <c r="J26" s="261">
        <f>'[9]Degree Days 2020'!J26</f>
        <v>20</v>
      </c>
      <c r="K26" s="261">
        <f>'[9]Degree Days 2020'!K26</f>
        <v>15</v>
      </c>
      <c r="L26" s="261">
        <f>'[9]Degree Days 2020'!L26</f>
        <v>-0.80000000000000071</v>
      </c>
      <c r="M26" s="261">
        <f>'[10]Degree Days 2020'!M26</f>
        <v>17</v>
      </c>
      <c r="N26" s="261">
        <f>'[11]General information '!B22</f>
        <v>27</v>
      </c>
      <c r="O26" s="261">
        <f>'[11]General information '!C22</f>
        <v>17</v>
      </c>
      <c r="P26" s="261">
        <f t="shared" si="0"/>
        <v>3.6999999999999993</v>
      </c>
      <c r="Q26" s="498">
        <v>17</v>
      </c>
      <c r="R26" s="261">
        <f>'[12]Degree Days 2020'!R26</f>
        <v>25</v>
      </c>
      <c r="S26" s="261">
        <f>'[12]Degree Days 2020'!S26</f>
        <v>20</v>
      </c>
      <c r="T26" s="261">
        <f t="shared" si="1"/>
        <v>4.1999999999999993</v>
      </c>
      <c r="U26" s="498">
        <v>17</v>
      </c>
      <c r="V26" s="261">
        <f>'[13]Degree Days 2020'!V26</f>
        <v>26</v>
      </c>
      <c r="W26" s="261">
        <f>'[13]Degree Days 2020'!W26</f>
        <v>23</v>
      </c>
      <c r="X26" s="261">
        <f t="shared" si="2"/>
        <v>6.1999999999999993</v>
      </c>
    </row>
    <row r="27" spans="1:28">
      <c r="A27" s="117">
        <v>18</v>
      </c>
      <c r="B27" s="261">
        <f>'[9]Degree Days 2020'!B27</f>
        <v>14</v>
      </c>
      <c r="C27" s="261">
        <f>'[9]Degree Days 2020'!C27</f>
        <v>8</v>
      </c>
      <c r="D27" s="261">
        <f>'[9]Degree Days 2020'!D27</f>
        <v>-7.3000000000000007</v>
      </c>
      <c r="E27" s="261">
        <f>'[9]Degree Days 2020'!E27</f>
        <v>18</v>
      </c>
      <c r="F27" s="261">
        <f>'[9]Degree Days 2020'!F27</f>
        <v>13</v>
      </c>
      <c r="G27" s="261">
        <f>'[9]Degree Days 2020'!G27</f>
        <v>7</v>
      </c>
      <c r="H27" s="261">
        <f>'[9]Degree Days 2020'!H27</f>
        <v>-8.3000000000000007</v>
      </c>
      <c r="I27" s="261">
        <f>'[9]Degree Days 2020'!I27</f>
        <v>18</v>
      </c>
      <c r="J27" s="261">
        <f>'[9]Degree Days 2020'!J27</f>
        <v>20</v>
      </c>
      <c r="K27" s="261">
        <f>'[9]Degree Days 2020'!K27</f>
        <v>15</v>
      </c>
      <c r="L27" s="261">
        <f>'[9]Degree Days 2020'!L27</f>
        <v>-0.80000000000000071</v>
      </c>
      <c r="M27" s="261">
        <f>'[10]Degree Days 2020'!M27</f>
        <v>18</v>
      </c>
      <c r="N27" s="261">
        <f>'[11]General information '!B23</f>
        <v>32</v>
      </c>
      <c r="O27" s="261">
        <f>'[11]General information '!C23</f>
        <v>19</v>
      </c>
      <c r="P27" s="261">
        <f t="shared" si="0"/>
        <v>7.1999999999999993</v>
      </c>
      <c r="Q27" s="498">
        <v>18</v>
      </c>
      <c r="R27" s="261">
        <f>'[12]Degree Days 2020'!R27</f>
        <v>32</v>
      </c>
      <c r="S27" s="261">
        <f>'[12]Degree Days 2020'!S27</f>
        <v>14</v>
      </c>
      <c r="T27" s="261">
        <f t="shared" si="1"/>
        <v>4.6999999999999993</v>
      </c>
      <c r="U27" s="498">
        <v>18</v>
      </c>
      <c r="V27" s="261">
        <f>'[13]Degree Days 2020'!V27</f>
        <v>27</v>
      </c>
      <c r="W27" s="261">
        <f>'[13]Degree Days 2020'!W27</f>
        <v>23</v>
      </c>
      <c r="X27" s="261">
        <f t="shared" si="2"/>
        <v>6.6999999999999993</v>
      </c>
    </row>
    <row r="28" spans="1:28">
      <c r="A28" s="117">
        <v>19</v>
      </c>
      <c r="B28" s="261">
        <f>'[9]Degree Days 2020'!B28</f>
        <v>17</v>
      </c>
      <c r="C28" s="261">
        <f>'[9]Degree Days 2020'!C28</f>
        <v>10</v>
      </c>
      <c r="D28" s="261">
        <f>'[9]Degree Days 2020'!D28</f>
        <v>-4.8000000000000007</v>
      </c>
      <c r="E28" s="261">
        <f>'[9]Degree Days 2020'!E28</f>
        <v>19</v>
      </c>
      <c r="F28" s="261">
        <f>'[9]Degree Days 2020'!F28</f>
        <v>14</v>
      </c>
      <c r="G28" s="261">
        <f>'[9]Degree Days 2020'!G28</f>
        <v>7</v>
      </c>
      <c r="H28" s="261">
        <f>'[9]Degree Days 2020'!H28</f>
        <v>-7.8000000000000007</v>
      </c>
      <c r="I28" s="261">
        <f>'[9]Degree Days 2020'!I28</f>
        <v>19</v>
      </c>
      <c r="J28" s="261">
        <f>'[9]Degree Days 2020'!J28</f>
        <v>19</v>
      </c>
      <c r="K28" s="261">
        <f>'[9]Degree Days 2020'!K28</f>
        <v>17</v>
      </c>
      <c r="L28" s="261">
        <f>'[9]Degree Days 2020'!L28</f>
        <v>-0.30000000000000071</v>
      </c>
      <c r="M28" s="261">
        <f>'[10]Degree Days 2020'!M28</f>
        <v>19</v>
      </c>
      <c r="N28" s="261">
        <f>'[11]General information '!B24</f>
        <v>33</v>
      </c>
      <c r="O28" s="261">
        <f>'[11]General information '!C24</f>
        <v>24</v>
      </c>
      <c r="P28" s="261">
        <f t="shared" si="0"/>
        <v>10.199999999999999</v>
      </c>
      <c r="Q28" s="498">
        <v>19</v>
      </c>
      <c r="R28" s="261">
        <f>'[12]Degree Days 2020'!R28</f>
        <v>26</v>
      </c>
      <c r="S28" s="261">
        <f>'[12]Degree Days 2020'!S28</f>
        <v>20</v>
      </c>
      <c r="T28" s="261">
        <f t="shared" si="1"/>
        <v>4.6999999999999993</v>
      </c>
      <c r="U28" s="498">
        <v>19</v>
      </c>
      <c r="V28" s="261">
        <f>'[13]Degree Days 2020'!V28</f>
        <v>28</v>
      </c>
      <c r="W28" s="261">
        <f>'[13]Degree Days 2020'!W28</f>
        <v>25</v>
      </c>
      <c r="X28" s="261">
        <f t="shared" si="2"/>
        <v>8.1999999999999993</v>
      </c>
    </row>
    <row r="29" spans="1:28">
      <c r="A29" s="117">
        <v>20</v>
      </c>
      <c r="B29" s="261">
        <f>'[9]Degree Days 2020'!B29</f>
        <v>17</v>
      </c>
      <c r="C29" s="261">
        <f>'[9]Degree Days 2020'!C29</f>
        <v>10</v>
      </c>
      <c r="D29" s="261">
        <f>'[9]Degree Days 2020'!D29</f>
        <v>-4.8000000000000007</v>
      </c>
      <c r="E29" s="261">
        <f>'[9]Degree Days 2020'!E29</f>
        <v>20</v>
      </c>
      <c r="F29" s="261">
        <f>'[9]Degree Days 2020'!F29</f>
        <v>19</v>
      </c>
      <c r="G29" s="261">
        <f>'[9]Degree Days 2020'!G29</f>
        <v>14</v>
      </c>
      <c r="H29" s="261">
        <f>'[9]Degree Days 2020'!H29</f>
        <v>-1.8000000000000007</v>
      </c>
      <c r="I29" s="261">
        <f>'[9]Degree Days 2020'!I29</f>
        <v>20</v>
      </c>
      <c r="J29" s="261">
        <f>'[9]Degree Days 2020'!J29</f>
        <v>21</v>
      </c>
      <c r="K29" s="261">
        <f>'[9]Degree Days 2020'!K29</f>
        <v>18</v>
      </c>
      <c r="L29" s="261">
        <f>'[9]Degree Days 2020'!L29</f>
        <v>1.1999999999999993</v>
      </c>
      <c r="M29" s="261">
        <f>'[10]Degree Days 2020'!M29</f>
        <v>20</v>
      </c>
      <c r="N29" s="261">
        <f>'[11]General information '!B25</f>
        <v>22</v>
      </c>
      <c r="O29" s="261">
        <f>'[11]General information '!C25</f>
        <v>15</v>
      </c>
      <c r="P29" s="261">
        <f t="shared" si="0"/>
        <v>0.19999999999999929</v>
      </c>
      <c r="Q29" s="498">
        <v>20</v>
      </c>
      <c r="R29" s="261">
        <f>'[12]Degree Days 2020'!R29</f>
        <v>26</v>
      </c>
      <c r="S29" s="261">
        <f>'[12]Degree Days 2020'!S29</f>
        <v>21</v>
      </c>
      <c r="T29" s="261">
        <f t="shared" si="1"/>
        <v>5.1999999999999993</v>
      </c>
      <c r="U29" s="498">
        <v>20</v>
      </c>
      <c r="V29" s="261">
        <f>'[13]Degree Days 2020'!V29</f>
        <v>27</v>
      </c>
      <c r="W29" s="261">
        <f>'[13]Degree Days 2020'!W29</f>
        <v>24</v>
      </c>
      <c r="X29" s="261">
        <f t="shared" si="2"/>
        <v>7.1999999999999993</v>
      </c>
    </row>
    <row r="30" spans="1:28">
      <c r="A30" s="117">
        <v>21</v>
      </c>
      <c r="B30" s="261">
        <f>'[9]Degree Days 2020'!B30</f>
        <v>16</v>
      </c>
      <c r="C30" s="261">
        <f>'[9]Degree Days 2020'!C30</f>
        <v>9</v>
      </c>
      <c r="D30" s="261">
        <f>'[9]Degree Days 2020'!D30</f>
        <v>-5.8000000000000007</v>
      </c>
      <c r="E30" s="261">
        <f>'[9]Degree Days 2020'!E30</f>
        <v>21</v>
      </c>
      <c r="F30" s="261">
        <f>'[9]Degree Days 2020'!F30</f>
        <v>18</v>
      </c>
      <c r="G30" s="261">
        <f>'[9]Degree Days 2020'!G30</f>
        <v>13</v>
      </c>
      <c r="H30" s="261">
        <f>'[9]Degree Days 2020'!H30</f>
        <v>-2.8000000000000007</v>
      </c>
      <c r="I30" s="261">
        <f>'[9]Degree Days 2020'!I30</f>
        <v>21</v>
      </c>
      <c r="J30" s="261">
        <f>'[9]Degree Days 2020'!J30</f>
        <v>23</v>
      </c>
      <c r="K30" s="261">
        <f>'[9]Degree Days 2020'!K30</f>
        <v>14</v>
      </c>
      <c r="L30" s="261">
        <f>'[9]Degree Days 2020'!L30</f>
        <v>0.19999999999999929</v>
      </c>
      <c r="M30" s="261">
        <f>'[10]Degree Days 2020'!M30</f>
        <v>21</v>
      </c>
      <c r="N30" s="261">
        <f>'[11]General information '!B26</f>
        <v>21</v>
      </c>
      <c r="O30" s="261">
        <f>'[11]General information '!C26</f>
        <v>17</v>
      </c>
      <c r="P30" s="261">
        <f t="shared" si="0"/>
        <v>0.69999999999999929</v>
      </c>
      <c r="Q30" s="498">
        <v>21</v>
      </c>
      <c r="R30" s="261">
        <f>'[12]Degree Days 2020'!R30</f>
        <v>25</v>
      </c>
      <c r="S30" s="261">
        <f>'[12]Degree Days 2020'!S30</f>
        <v>24</v>
      </c>
      <c r="T30" s="261">
        <f t="shared" si="1"/>
        <v>6.1999999999999993</v>
      </c>
      <c r="U30" s="498">
        <v>21</v>
      </c>
      <c r="V30" s="261">
        <f>'[13]Degree Days 2020'!V30</f>
        <v>27</v>
      </c>
      <c r="W30" s="261">
        <f>'[13]Degree Days 2020'!W30</f>
        <v>24</v>
      </c>
      <c r="X30" s="261">
        <f t="shared" si="2"/>
        <v>7.1999999999999993</v>
      </c>
    </row>
    <row r="31" spans="1:28">
      <c r="A31" s="117">
        <v>22</v>
      </c>
      <c r="B31" s="261">
        <f>'[9]Degree Days 2020'!B31</f>
        <v>17</v>
      </c>
      <c r="C31" s="261">
        <f>'[9]Degree Days 2020'!C31</f>
        <v>10</v>
      </c>
      <c r="D31" s="261">
        <f>'[9]Degree Days 2020'!D31</f>
        <v>-4.8000000000000007</v>
      </c>
      <c r="E31" s="261">
        <f>'[9]Degree Days 2020'!E31</f>
        <v>22</v>
      </c>
      <c r="F31" s="261">
        <f>'[9]Degree Days 2020'!F31</f>
        <v>21</v>
      </c>
      <c r="G31" s="261">
        <f>'[9]Degree Days 2020'!G31</f>
        <v>12</v>
      </c>
      <c r="H31" s="261">
        <f>'[9]Degree Days 2020'!H31</f>
        <v>-1.8000000000000007</v>
      </c>
      <c r="I31" s="261">
        <f>'[9]Degree Days 2020'!I31</f>
        <v>22</v>
      </c>
      <c r="J31" s="261">
        <f>'[9]Degree Days 2020'!J31</f>
        <v>26</v>
      </c>
      <c r="K31" s="261">
        <f>'[9]Degree Days 2020'!K31</f>
        <v>14</v>
      </c>
      <c r="L31" s="261">
        <f>'[9]Degree Days 2020'!L31</f>
        <v>1.6999999999999993</v>
      </c>
      <c r="M31" s="261">
        <f>'[10]Degree Days 2020'!M31</f>
        <v>22</v>
      </c>
      <c r="N31" s="261">
        <f>'[11]General information '!B27</f>
        <v>21</v>
      </c>
      <c r="O31" s="261">
        <f>'[11]General information '!C27</f>
        <v>18</v>
      </c>
      <c r="P31" s="261">
        <f t="shared" si="0"/>
        <v>1.1999999999999993</v>
      </c>
      <c r="Q31" s="498">
        <v>22</v>
      </c>
      <c r="R31" s="261">
        <f>'[12]Degree Days 2020'!R31</f>
        <v>26</v>
      </c>
      <c r="S31" s="261">
        <f>'[12]Degree Days 2020'!S31</f>
        <v>23</v>
      </c>
      <c r="T31" s="261">
        <f t="shared" si="1"/>
        <v>6.1999999999999993</v>
      </c>
      <c r="U31" s="498">
        <v>22</v>
      </c>
      <c r="V31" s="261">
        <f>'[13]Degree Days 2020'!V31</f>
        <v>26</v>
      </c>
      <c r="W31" s="261">
        <f>'[13]Degree Days 2020'!W31</f>
        <v>22</v>
      </c>
      <c r="X31" s="261">
        <f t="shared" si="2"/>
        <v>5.6999999999999993</v>
      </c>
    </row>
    <row r="32" spans="1:28">
      <c r="A32" s="117">
        <v>23</v>
      </c>
      <c r="B32" s="261">
        <f>'[9]Degree Days 2020'!B32</f>
        <v>18</v>
      </c>
      <c r="C32" s="261">
        <f>'[9]Degree Days 2020'!C32</f>
        <v>12</v>
      </c>
      <c r="D32" s="261">
        <f>'[9]Degree Days 2020'!D32</f>
        <v>-3.3000000000000007</v>
      </c>
      <c r="E32" s="261">
        <f>'[9]Degree Days 2020'!E32</f>
        <v>23</v>
      </c>
      <c r="F32" s="261">
        <f>'[9]Degree Days 2020'!F32</f>
        <v>19</v>
      </c>
      <c r="G32" s="261">
        <f>'[9]Degree Days 2020'!G32</f>
        <v>13</v>
      </c>
      <c r="H32" s="261">
        <f>'[9]Degree Days 2020'!H32</f>
        <v>-2.3000000000000007</v>
      </c>
      <c r="I32" s="261">
        <f>'[9]Degree Days 2020'!I32</f>
        <v>23</v>
      </c>
      <c r="J32" s="261">
        <f>'[9]Degree Days 2020'!J32</f>
        <v>33</v>
      </c>
      <c r="K32" s="261">
        <f>'[9]Degree Days 2020'!K32</f>
        <v>17</v>
      </c>
      <c r="L32" s="261">
        <f>'[9]Degree Days 2020'!L32</f>
        <v>6.6999999999999993</v>
      </c>
      <c r="M32" s="261">
        <f>'[10]Degree Days 2020'!M32</f>
        <v>23</v>
      </c>
      <c r="N32" s="261">
        <f>'[11]General information '!B28</f>
        <v>20</v>
      </c>
      <c r="O32" s="261">
        <f>'[11]General information '!C28</f>
        <v>18</v>
      </c>
      <c r="P32" s="261">
        <f t="shared" si="0"/>
        <v>0.69999999999999929</v>
      </c>
      <c r="Q32" s="498">
        <v>23</v>
      </c>
      <c r="R32" s="261">
        <f>'[12]Degree Days 2020'!R32</f>
        <v>25</v>
      </c>
      <c r="S32" s="261">
        <f>'[12]Degree Days 2020'!S32</f>
        <v>22</v>
      </c>
      <c r="T32" s="261">
        <f t="shared" si="1"/>
        <v>5.1999999999999993</v>
      </c>
      <c r="U32" s="498">
        <v>23</v>
      </c>
      <c r="V32" s="261">
        <f>'[13]Degree Days 2020'!V32</f>
        <v>28</v>
      </c>
      <c r="W32" s="261">
        <f>'[13]Degree Days 2020'!W32</f>
        <v>26</v>
      </c>
      <c r="X32" s="261">
        <f t="shared" si="2"/>
        <v>8.6999999999999993</v>
      </c>
    </row>
    <row r="33" spans="1:24">
      <c r="A33" s="117">
        <v>24</v>
      </c>
      <c r="B33" s="261">
        <f>'[9]Degree Days 2020'!B33</f>
        <v>17</v>
      </c>
      <c r="C33" s="261">
        <f>'[9]Degree Days 2020'!C33</f>
        <v>11</v>
      </c>
      <c r="D33" s="261">
        <f>'[9]Degree Days 2020'!D33</f>
        <v>-4.3000000000000007</v>
      </c>
      <c r="E33" s="261">
        <f>'[9]Degree Days 2020'!E33</f>
        <v>24</v>
      </c>
      <c r="F33" s="261">
        <f>'[9]Degree Days 2020'!F33</f>
        <v>19</v>
      </c>
      <c r="G33" s="261">
        <f>'[9]Degree Days 2020'!G33</f>
        <v>12</v>
      </c>
      <c r="H33" s="261">
        <f>'[9]Degree Days 2020'!H33</f>
        <v>-2.8000000000000007</v>
      </c>
      <c r="I33" s="261">
        <f>'[9]Degree Days 2020'!I33</f>
        <v>24</v>
      </c>
      <c r="J33" s="261">
        <f>'[9]Degree Days 2020'!J33</f>
        <v>15</v>
      </c>
      <c r="K33" s="261">
        <f>'[9]Degree Days 2020'!K33</f>
        <v>12</v>
      </c>
      <c r="L33" s="261">
        <f>'[9]Degree Days 2020'!L33</f>
        <v>-4.8000000000000007</v>
      </c>
      <c r="M33" s="261">
        <f>'[10]Degree Days 2020'!M33</f>
        <v>24</v>
      </c>
      <c r="N33" s="261">
        <f>'[11]General information '!B29</f>
        <v>24</v>
      </c>
      <c r="O33" s="261">
        <f>'[11]General information '!C29</f>
        <v>18</v>
      </c>
      <c r="P33" s="261">
        <f t="shared" si="0"/>
        <v>2.6999999999999993</v>
      </c>
      <c r="Q33" s="498">
        <v>24</v>
      </c>
      <c r="R33" s="261">
        <f>'[12]Degree Days 2020'!R33</f>
        <v>26</v>
      </c>
      <c r="S33" s="261">
        <f>'[12]Degree Days 2020'!S33</f>
        <v>23</v>
      </c>
      <c r="T33" s="261">
        <f t="shared" si="1"/>
        <v>6.1999999999999993</v>
      </c>
      <c r="U33" s="498">
        <v>24</v>
      </c>
      <c r="V33" s="261">
        <f>'[13]Degree Days 2020'!V33</f>
        <v>28</v>
      </c>
      <c r="W33" s="261">
        <f>'[13]Degree Days 2020'!W33</f>
        <v>25</v>
      </c>
      <c r="X33" s="261">
        <f t="shared" si="2"/>
        <v>8.1999999999999993</v>
      </c>
    </row>
    <row r="34" spans="1:24">
      <c r="A34" s="117">
        <v>25</v>
      </c>
      <c r="B34" s="261">
        <f>'[9]Degree Days 2020'!B34</f>
        <v>21</v>
      </c>
      <c r="C34" s="261">
        <f>'[9]Degree Days 2020'!C34</f>
        <v>12</v>
      </c>
      <c r="D34" s="261">
        <f>'[9]Degree Days 2020'!D34</f>
        <v>-1.8000000000000007</v>
      </c>
      <c r="E34" s="261">
        <f>'[9]Degree Days 2020'!E34</f>
        <v>25</v>
      </c>
      <c r="F34" s="261">
        <f>'[9]Degree Days 2020'!F34</f>
        <v>18</v>
      </c>
      <c r="G34" s="261">
        <f>'[9]Degree Days 2020'!G34</f>
        <v>13</v>
      </c>
      <c r="H34" s="261">
        <f>'[9]Degree Days 2020'!H34</f>
        <v>-2.8000000000000007</v>
      </c>
      <c r="I34" s="261">
        <f>'[9]Degree Days 2020'!I34</f>
        <v>25</v>
      </c>
      <c r="J34" s="261">
        <f>'[9]Degree Days 2020'!J34</f>
        <v>15</v>
      </c>
      <c r="K34" s="261">
        <f>'[9]Degree Days 2020'!K34</f>
        <v>12</v>
      </c>
      <c r="L34" s="261">
        <f>'[9]Degree Days 2020'!L34</f>
        <v>-4.8000000000000007</v>
      </c>
      <c r="M34" s="261">
        <f>'[10]Degree Days 2020'!M34</f>
        <v>25</v>
      </c>
      <c r="N34" s="261">
        <f>'[11]General information '!B30</f>
        <v>23</v>
      </c>
      <c r="O34" s="261">
        <f>'[11]General information '!C30</f>
        <v>18</v>
      </c>
      <c r="P34" s="261">
        <f t="shared" si="0"/>
        <v>2.1999999999999993</v>
      </c>
      <c r="Q34" s="498">
        <v>25</v>
      </c>
      <c r="R34" s="261">
        <f>'[12]Degree Days 2020'!R34</f>
        <v>27</v>
      </c>
      <c r="S34" s="261">
        <f>'[12]Degree Days 2020'!S34</f>
        <v>22</v>
      </c>
      <c r="T34" s="261">
        <f t="shared" si="1"/>
        <v>6.1999999999999993</v>
      </c>
      <c r="U34" s="498">
        <v>25</v>
      </c>
      <c r="V34" s="261">
        <f>'[13]Degree Days 2020'!V34</f>
        <v>29</v>
      </c>
      <c r="W34" s="261">
        <f>'[13]Degree Days 2020'!W34</f>
        <v>27</v>
      </c>
      <c r="X34" s="261">
        <f t="shared" si="2"/>
        <v>9.6999999999999993</v>
      </c>
    </row>
    <row r="35" spans="1:24">
      <c r="A35" s="117">
        <v>26</v>
      </c>
      <c r="B35" s="261">
        <f>'[9]Degree Days 2020'!B35</f>
        <v>18</v>
      </c>
      <c r="C35" s="261">
        <f>'[9]Degree Days 2020'!C35</f>
        <v>11</v>
      </c>
      <c r="D35" s="261">
        <f>'[9]Degree Days 2020'!D35</f>
        <v>-3.8000000000000007</v>
      </c>
      <c r="E35" s="261">
        <f>'[9]Degree Days 2020'!E35</f>
        <v>26</v>
      </c>
      <c r="F35" s="261">
        <f>'[9]Degree Days 2020'!F35</f>
        <v>18</v>
      </c>
      <c r="G35" s="261">
        <f>'[9]Degree Days 2020'!G35</f>
        <v>13</v>
      </c>
      <c r="H35" s="261">
        <f>'[9]Degree Days 2020'!H35</f>
        <v>-2.8000000000000007</v>
      </c>
      <c r="I35" s="261">
        <f>'[9]Degree Days 2020'!I35</f>
        <v>26</v>
      </c>
      <c r="J35" s="261">
        <f>'[9]Degree Days 2020'!J35</f>
        <v>16</v>
      </c>
      <c r="K35" s="261">
        <f>'[9]Degree Days 2020'!K35</f>
        <v>10</v>
      </c>
      <c r="L35" s="261">
        <f>'[9]Degree Days 2020'!L35</f>
        <v>-5.3000000000000007</v>
      </c>
      <c r="M35" s="261">
        <f>'[10]Degree Days 2020'!M35</f>
        <v>26</v>
      </c>
      <c r="N35" s="261">
        <f>'[11]General information '!B31</f>
        <v>22</v>
      </c>
      <c r="O35" s="261">
        <f>'[11]General information '!C31</f>
        <v>16</v>
      </c>
      <c r="P35" s="261">
        <f t="shared" si="0"/>
        <v>0.69999999999999929</v>
      </c>
      <c r="Q35" s="498">
        <v>26</v>
      </c>
      <c r="R35" s="261">
        <f>'[12]Degree Days 2020'!R35</f>
        <v>26</v>
      </c>
      <c r="S35" s="261">
        <f>'[12]Degree Days 2020'!S35</f>
        <v>23</v>
      </c>
      <c r="T35" s="261">
        <f t="shared" si="1"/>
        <v>6.1999999999999993</v>
      </c>
      <c r="U35" s="498">
        <v>26</v>
      </c>
      <c r="V35" s="261">
        <f>'[13]Degree Days 2020'!V35</f>
        <v>30</v>
      </c>
      <c r="W35" s="261">
        <f>'[13]Degree Days 2020'!W35</f>
        <v>28</v>
      </c>
      <c r="X35" s="261">
        <f t="shared" si="2"/>
        <v>10.7</v>
      </c>
    </row>
    <row r="36" spans="1:24">
      <c r="A36" s="117">
        <v>27</v>
      </c>
      <c r="B36" s="261">
        <f>'[9]Degree Days 2020'!B36</f>
        <v>14</v>
      </c>
      <c r="C36" s="261">
        <f>'[9]Degree Days 2020'!C36</f>
        <v>10</v>
      </c>
      <c r="D36" s="261">
        <f>'[9]Degree Days 2020'!D36</f>
        <v>-6.3000000000000007</v>
      </c>
      <c r="E36" s="261">
        <f>'[9]Degree Days 2020'!E36</f>
        <v>27</v>
      </c>
      <c r="F36" s="261">
        <f>'[9]Degree Days 2020'!F36</f>
        <v>18</v>
      </c>
      <c r="G36" s="261">
        <f>'[9]Degree Days 2020'!G36</f>
        <v>13</v>
      </c>
      <c r="H36" s="261">
        <f>'[9]Degree Days 2020'!H36</f>
        <v>-2.8000000000000007</v>
      </c>
      <c r="I36" s="261">
        <f>'[9]Degree Days 2020'!I36</f>
        <v>27</v>
      </c>
      <c r="J36" s="261">
        <f>'[9]Degree Days 2020'!J36</f>
        <v>17</v>
      </c>
      <c r="K36" s="261">
        <f>'[9]Degree Days 2020'!K36</f>
        <v>11</v>
      </c>
      <c r="L36" s="261">
        <f>'[9]Degree Days 2020'!L36</f>
        <v>-4.3000000000000007</v>
      </c>
      <c r="M36" s="261">
        <f>'[10]Degree Days 2020'!M36</f>
        <v>27</v>
      </c>
      <c r="N36" s="261">
        <f>'[11]General information '!B32</f>
        <v>22</v>
      </c>
      <c r="O36" s="261">
        <f>'[11]General information '!C32</f>
        <v>18</v>
      </c>
      <c r="P36" s="261">
        <f t="shared" si="0"/>
        <v>1.6999999999999993</v>
      </c>
      <c r="Q36" s="498">
        <v>27</v>
      </c>
      <c r="R36" s="261">
        <f>'[12]Degree Days 2020'!R36</f>
        <v>25</v>
      </c>
      <c r="S36" s="261">
        <f>'[12]Degree Days 2020'!S36</f>
        <v>22</v>
      </c>
      <c r="T36" s="261">
        <f t="shared" si="1"/>
        <v>5.1999999999999993</v>
      </c>
      <c r="U36" s="498">
        <v>27</v>
      </c>
      <c r="V36" s="261">
        <f>'[13]Degree Days 2020'!V36</f>
        <v>30</v>
      </c>
      <c r="W36" s="261">
        <f>'[13]Degree Days 2020'!W36</f>
        <v>28</v>
      </c>
      <c r="X36" s="261">
        <f t="shared" si="2"/>
        <v>10.7</v>
      </c>
    </row>
    <row r="37" spans="1:24">
      <c r="A37" s="117">
        <v>28</v>
      </c>
      <c r="B37" s="261">
        <f>'[9]Degree Days 2020'!B37</f>
        <v>14</v>
      </c>
      <c r="C37" s="261">
        <f>'[9]Degree Days 2020'!C37</f>
        <v>10</v>
      </c>
      <c r="D37" s="261">
        <f>'[9]Degree Days 2020'!D37</f>
        <v>-6.3000000000000007</v>
      </c>
      <c r="E37" s="261">
        <f>'[9]Degree Days 2020'!E37</f>
        <v>28</v>
      </c>
      <c r="F37" s="261">
        <f>'[9]Degree Days 2020'!F37</f>
        <v>17</v>
      </c>
      <c r="G37" s="261">
        <f>'[9]Degree Days 2020'!G37</f>
        <v>13</v>
      </c>
      <c r="H37" s="261">
        <f>'[9]Degree Days 2020'!H37</f>
        <v>-3.3000000000000007</v>
      </c>
      <c r="I37" s="261">
        <f>'[9]Degree Days 2020'!I37</f>
        <v>28</v>
      </c>
      <c r="J37" s="261">
        <f>'[9]Degree Days 2020'!J37</f>
        <v>17</v>
      </c>
      <c r="K37" s="261">
        <f>'[9]Degree Days 2020'!K37</f>
        <v>13</v>
      </c>
      <c r="L37" s="261">
        <f>'[9]Degree Days 2020'!L37</f>
        <v>-3.3000000000000007</v>
      </c>
      <c r="M37" s="261">
        <f>'[10]Degree Days 2020'!M37</f>
        <v>28</v>
      </c>
      <c r="N37" s="261">
        <f>'[11]General information '!B33</f>
        <v>26</v>
      </c>
      <c r="O37" s="261">
        <f>'[11]General information '!C33</f>
        <v>16</v>
      </c>
      <c r="P37" s="261">
        <f t="shared" si="0"/>
        <v>2.6999999999999993</v>
      </c>
      <c r="Q37" s="498">
        <v>28</v>
      </c>
      <c r="R37" s="261">
        <f>'[12]Degree Days 2020'!R37</f>
        <v>26</v>
      </c>
      <c r="S37" s="261">
        <f>'[12]Degree Days 2020'!S37</f>
        <v>23</v>
      </c>
      <c r="T37" s="261">
        <f t="shared" si="1"/>
        <v>6.1999999999999993</v>
      </c>
      <c r="U37" s="498">
        <v>28</v>
      </c>
      <c r="V37" s="261">
        <f>'[13]Degree Days 2020'!V37</f>
        <v>31</v>
      </c>
      <c r="W37" s="261">
        <f>'[13]Degree Days 2020'!W37</f>
        <v>28</v>
      </c>
      <c r="X37" s="261">
        <f t="shared" si="2"/>
        <v>11.2</v>
      </c>
    </row>
    <row r="38" spans="1:24">
      <c r="A38" s="117">
        <v>29</v>
      </c>
      <c r="B38" s="261">
        <f>'[9]Degree Days 2020'!B38</f>
        <v>16</v>
      </c>
      <c r="C38" s="261">
        <f>'[9]Degree Days 2020'!C38</f>
        <v>12</v>
      </c>
      <c r="D38" s="261">
        <f>'[9]Degree Days 2020'!D38</f>
        <v>-4.3000000000000007</v>
      </c>
      <c r="E38" s="261"/>
      <c r="F38" s="261"/>
      <c r="G38" s="261"/>
      <c r="H38" s="261"/>
      <c r="I38" s="261">
        <f>'[9]Degree Days 2020'!I38</f>
        <v>29</v>
      </c>
      <c r="J38" s="261">
        <f>'[9]Degree Days 2020'!J38</f>
        <v>17</v>
      </c>
      <c r="K38" s="261">
        <f>'[9]Degree Days 2020'!K38</f>
        <v>14</v>
      </c>
      <c r="L38" s="261">
        <f>'[9]Degree Days 2020'!L38</f>
        <v>-2.8000000000000007</v>
      </c>
      <c r="M38" s="261">
        <f>'[10]Degree Days 2020'!M38</f>
        <v>29</v>
      </c>
      <c r="N38" s="261">
        <f>'[11]General information '!B34</f>
        <v>29</v>
      </c>
      <c r="O38" s="261">
        <f>'[11]General information '!C34</f>
        <v>18</v>
      </c>
      <c r="P38" s="261">
        <f t="shared" si="0"/>
        <v>5.1999999999999993</v>
      </c>
      <c r="Q38" s="498">
        <v>29</v>
      </c>
      <c r="R38" s="261">
        <f>'[12]Degree Days 2020'!R38</f>
        <v>27</v>
      </c>
      <c r="S38" s="261">
        <f>'[12]Degree Days 2020'!S38</f>
        <v>22</v>
      </c>
      <c r="T38" s="261">
        <f t="shared" si="1"/>
        <v>6.1999999999999993</v>
      </c>
      <c r="U38" s="498">
        <v>29</v>
      </c>
      <c r="V38" s="261">
        <f>'[13]Degree Days 2020'!V38</f>
        <v>30</v>
      </c>
      <c r="W38" s="261">
        <f>'[13]Degree Days 2020'!W38</f>
        <v>28</v>
      </c>
      <c r="X38" s="261">
        <f t="shared" si="2"/>
        <v>10.7</v>
      </c>
    </row>
    <row r="39" spans="1:24">
      <c r="A39" s="117">
        <v>30</v>
      </c>
      <c r="B39" s="261">
        <f>'[9]Degree Days 2020'!B39</f>
        <v>10</v>
      </c>
      <c r="C39" s="261">
        <f>'[9]Degree Days 2020'!C39</f>
        <v>4</v>
      </c>
      <c r="D39" s="261">
        <f>'[9]Degree Days 2020'!D39</f>
        <v>-11.3</v>
      </c>
      <c r="E39" s="261"/>
      <c r="F39" s="261"/>
      <c r="G39" s="261"/>
      <c r="H39" s="261"/>
      <c r="I39" s="261">
        <f>'[9]Degree Days 2020'!I39</f>
        <v>30</v>
      </c>
      <c r="J39" s="261">
        <f>'[9]Degree Days 2020'!J39</f>
        <v>19</v>
      </c>
      <c r="K39" s="261">
        <f>'[9]Degree Days 2020'!K39</f>
        <v>13</v>
      </c>
      <c r="L39" s="261">
        <f>'[9]Degree Days 2020'!L39</f>
        <v>-2.3000000000000007</v>
      </c>
      <c r="M39" s="261">
        <f>'[10]Degree Days 2020'!M39</f>
        <v>30</v>
      </c>
      <c r="N39" s="261">
        <f>'[11]General information '!B35</f>
        <v>25</v>
      </c>
      <c r="O39" s="261">
        <f>'[11]General information '!C35</f>
        <v>21</v>
      </c>
      <c r="P39" s="261">
        <f t="shared" si="0"/>
        <v>4.6999999999999993</v>
      </c>
      <c r="Q39" s="498">
        <v>30</v>
      </c>
      <c r="R39" s="261">
        <f>'[12]Degree Days 2020'!R39</f>
        <v>27</v>
      </c>
      <c r="S39" s="261">
        <f>'[12]Degree Days 2020'!S39</f>
        <v>23</v>
      </c>
      <c r="T39" s="261">
        <f t="shared" si="1"/>
        <v>6.6999999999999993</v>
      </c>
      <c r="U39" s="498">
        <v>30</v>
      </c>
      <c r="V39" s="261">
        <f>'[13]Degree Days 2020'!V39</f>
        <v>0</v>
      </c>
      <c r="W39" s="261">
        <f>'[13]Degree Days 2020'!W39</f>
        <v>0</v>
      </c>
      <c r="X39" s="261">
        <f t="shared" si="2"/>
        <v>-18.3</v>
      </c>
    </row>
    <row r="40" spans="1:24">
      <c r="A40" s="117">
        <v>31</v>
      </c>
      <c r="B40" s="261">
        <f>'[9]Degree Days 2020'!B40</f>
        <v>21</v>
      </c>
      <c r="C40" s="261">
        <f>'[9]Degree Days 2020'!C40</f>
        <v>16</v>
      </c>
      <c r="D40" s="261">
        <f>'[9]Degree Days 2020'!D40</f>
        <v>0.19999999999999929</v>
      </c>
      <c r="E40" s="261"/>
      <c r="F40" s="261"/>
      <c r="G40" s="261"/>
      <c r="H40" s="261"/>
      <c r="I40" s="261">
        <f>'[9]Degree Days 2020'!I40</f>
        <v>31</v>
      </c>
      <c r="J40" s="261">
        <f>'[9]Degree Days 2020'!J40</f>
        <v>18</v>
      </c>
      <c r="K40" s="261">
        <f>'[9]Degree Days 2020'!K40</f>
        <v>13</v>
      </c>
      <c r="L40" s="261">
        <f>'[9]Degree Days 2020'!L40</f>
        <v>-2.8000000000000007</v>
      </c>
      <c r="M40" s="261"/>
      <c r="N40" s="261"/>
      <c r="O40" s="261"/>
      <c r="P40" s="261"/>
      <c r="Q40" s="498">
        <v>31</v>
      </c>
      <c r="R40" s="261">
        <f>'[12]Degree Days 2020'!R40</f>
        <v>27</v>
      </c>
      <c r="S40" s="261">
        <f>'[12]Degree Days 2020'!S40</f>
        <v>24</v>
      </c>
      <c r="T40" s="261">
        <f t="shared" si="1"/>
        <v>7.1999999999999993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'[6]Degree Days 2020'!B43</f>
        <v>-92.59999999999998</v>
      </c>
      <c r="C43" s="119">
        <f>'[6]Degree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'[14]Degree Days 2020'!B48</f>
        <v>0</v>
      </c>
      <c r="C48" s="261">
        <f>'[14]Degree Days 2020'!C48</f>
        <v>0</v>
      </c>
      <c r="D48" s="119">
        <f t="shared" ref="D48:D56" si="3">(B48+C48)/2-18.3</f>
        <v>-18.3</v>
      </c>
      <c r="E48" s="117">
        <v>1</v>
      </c>
      <c r="F48" s="261">
        <f>'[1]Degree Days 2020'!F48</f>
        <v>31</v>
      </c>
      <c r="G48" s="261">
        <f>'[1]Degree Days 2020'!G48</f>
        <v>27</v>
      </c>
      <c r="H48" s="119">
        <f t="shared" ref="H48:H78" si="4">(F48+G48)/2-18.3</f>
        <v>10.7</v>
      </c>
      <c r="I48" s="117">
        <v>1</v>
      </c>
      <c r="J48" s="261">
        <f>'[15]Degree Days 2020'!J48</f>
        <v>30</v>
      </c>
      <c r="K48" s="261">
        <f>'[15]Degree Days 2020'!K48</f>
        <v>26</v>
      </c>
      <c r="L48" s="119">
        <f>(J48+K48)/2-18.3</f>
        <v>9.6999999999999993</v>
      </c>
      <c r="M48" s="117">
        <v>1</v>
      </c>
      <c r="N48" s="261">
        <f>'[5]General information '!B5</f>
        <v>0</v>
      </c>
      <c r="O48" s="261">
        <f>'[5]General information '!C5</f>
        <v>0</v>
      </c>
      <c r="P48" s="119">
        <f>(N48+O48)/2-18.3</f>
        <v>-18.3</v>
      </c>
      <c r="Q48" s="117">
        <v>1</v>
      </c>
      <c r="R48" s="261">
        <f>'[2]General information '!B5</f>
        <v>30</v>
      </c>
      <c r="S48" s="261">
        <f>'[2]General information '!C5</f>
        <v>23</v>
      </c>
      <c r="T48" s="119">
        <f>(R48+S48)/2-18.3</f>
        <v>8.1999999999999993</v>
      </c>
      <c r="U48" s="117">
        <v>1</v>
      </c>
      <c r="V48" s="261">
        <f>'General information '!B5</f>
        <v>21</v>
      </c>
      <c r="W48" s="261">
        <f>'General information '!C5</f>
        <v>16</v>
      </c>
      <c r="X48" s="119">
        <f t="shared" ref="X48:X78" si="5">(V48+W48)/2-18.3</f>
        <v>0.19999999999999929</v>
      </c>
    </row>
    <row r="49" spans="1:24">
      <c r="A49" s="117">
        <v>2</v>
      </c>
      <c r="B49" s="261">
        <f>'[14]Degree Days 2020'!B49</f>
        <v>0</v>
      </c>
      <c r="C49" s="261">
        <f>'[14]Degree Days 2020'!C49</f>
        <v>0</v>
      </c>
      <c r="D49" s="119">
        <f t="shared" si="3"/>
        <v>-18.3</v>
      </c>
      <c r="E49" s="117">
        <v>2</v>
      </c>
      <c r="F49" s="261">
        <f>'[1]Degree Days 2020'!F49</f>
        <v>31</v>
      </c>
      <c r="G49" s="261">
        <f>'[1]Degree Days 2020'!G49</f>
        <v>26</v>
      </c>
      <c r="H49" s="119">
        <f t="shared" si="4"/>
        <v>10.199999999999999</v>
      </c>
      <c r="I49" s="117">
        <v>2</v>
      </c>
      <c r="J49" s="261">
        <f>'[15]Degree Days 2020'!J49</f>
        <v>31</v>
      </c>
      <c r="K49" s="261">
        <f>'[15]Degree Days 2020'!K49</f>
        <v>26</v>
      </c>
      <c r="L49" s="119">
        <f t="shared" ref="L49:L77" si="6">(J49+K49)/2-18.3</f>
        <v>10.199999999999999</v>
      </c>
      <c r="M49" s="117">
        <v>2</v>
      </c>
      <c r="N49" s="261">
        <f>'[5]General information '!B6</f>
        <v>0</v>
      </c>
      <c r="O49" s="261">
        <f>'[5]General information '!C6</f>
        <v>0</v>
      </c>
      <c r="P49" s="119">
        <f t="shared" ref="P49:P78" si="7">(N49+O49)/2-18.3</f>
        <v>-18.3</v>
      </c>
      <c r="Q49" s="117">
        <v>2</v>
      </c>
      <c r="R49" s="261">
        <f>'[2]General information '!B6</f>
        <v>25</v>
      </c>
      <c r="S49" s="261">
        <f>'[2]General information '!C6</f>
        <v>22</v>
      </c>
      <c r="T49" s="119">
        <f t="shared" ref="T49:T77" si="8">(R49+S49)/2-18.3</f>
        <v>5.1999999999999993</v>
      </c>
      <c r="U49" s="117">
        <v>2</v>
      </c>
      <c r="V49" s="261">
        <f>'General information '!B6</f>
        <v>20</v>
      </c>
      <c r="W49" s="261">
        <f>'General information '!C6</f>
        <v>16</v>
      </c>
      <c r="X49" s="119">
        <f t="shared" si="5"/>
        <v>-0.30000000000000071</v>
      </c>
    </row>
    <row r="50" spans="1:24">
      <c r="A50" s="117">
        <v>3</v>
      </c>
      <c r="B50" s="261">
        <f>'[14]Degree Days 2020'!B50</f>
        <v>0</v>
      </c>
      <c r="C50" s="261">
        <f>'[14]Degree Days 2020'!C50</f>
        <v>0</v>
      </c>
      <c r="D50" s="119">
        <f t="shared" si="3"/>
        <v>-18.3</v>
      </c>
      <c r="E50" s="117">
        <v>3</v>
      </c>
      <c r="F50" s="261">
        <f>'[1]Degree Days 2020'!F50</f>
        <v>31</v>
      </c>
      <c r="G50" s="261">
        <f>'[1]Degree Days 2020'!G50</f>
        <v>26</v>
      </c>
      <c r="H50" s="119">
        <f t="shared" si="4"/>
        <v>10.199999999999999</v>
      </c>
      <c r="I50" s="117">
        <v>3</v>
      </c>
      <c r="J50" s="261">
        <f>'[15]Degree Days 2020'!J50</f>
        <v>0</v>
      </c>
      <c r="K50" s="261">
        <f>'[15]Degree Days 2020'!K50</f>
        <v>0</v>
      </c>
      <c r="L50" s="119">
        <f t="shared" si="6"/>
        <v>-18.3</v>
      </c>
      <c r="M50" s="117">
        <v>3</v>
      </c>
      <c r="N50" s="261">
        <f>'[5]General information '!B7</f>
        <v>28</v>
      </c>
      <c r="O50" s="261">
        <f>'[5]General information '!C7</f>
        <v>24</v>
      </c>
      <c r="P50" s="119">
        <f t="shared" si="7"/>
        <v>7.6999999999999993</v>
      </c>
      <c r="Q50" s="117">
        <v>3</v>
      </c>
      <c r="R50" s="261">
        <f>'[2]General information '!B7</f>
        <v>25</v>
      </c>
      <c r="S50" s="261">
        <f>'[2]General information '!C7</f>
        <v>20</v>
      </c>
      <c r="T50" s="119">
        <f t="shared" si="8"/>
        <v>4.1999999999999993</v>
      </c>
      <c r="U50" s="117">
        <v>3</v>
      </c>
      <c r="V50" s="261">
        <f>'General information '!B7</f>
        <v>0</v>
      </c>
      <c r="W50" s="261">
        <f>'General information '!C7</f>
        <v>0</v>
      </c>
      <c r="X50" s="119">
        <f t="shared" si="5"/>
        <v>-18.3</v>
      </c>
    </row>
    <row r="51" spans="1:24">
      <c r="A51" s="117">
        <v>4</v>
      </c>
      <c r="B51" s="261">
        <f>'[14]Degree Days 2020'!B51</f>
        <v>0</v>
      </c>
      <c r="C51" s="261">
        <f>'[14]Degree Days 2020'!C51</f>
        <v>0</v>
      </c>
      <c r="D51" s="119">
        <f t="shared" si="3"/>
        <v>-18.3</v>
      </c>
      <c r="E51" s="117">
        <v>4</v>
      </c>
      <c r="F51" s="261">
        <f>'[1]Degree Days 2020'!F51</f>
        <v>32</v>
      </c>
      <c r="G51" s="261">
        <f>'[1]Degree Days 2020'!G51</f>
        <v>28</v>
      </c>
      <c r="H51" s="119">
        <f t="shared" si="4"/>
        <v>11.7</v>
      </c>
      <c r="I51" s="117">
        <v>4</v>
      </c>
      <c r="J51" s="261">
        <f>'[15]Degree Days 2020'!J51</f>
        <v>0</v>
      </c>
      <c r="K51" s="261">
        <f>'[15]Degree Days 2020'!K51</f>
        <v>0</v>
      </c>
      <c r="L51" s="119">
        <f t="shared" si="6"/>
        <v>-18.3</v>
      </c>
      <c r="M51" s="117">
        <v>4</v>
      </c>
      <c r="N51" s="261">
        <f>'[5]General information '!B8</f>
        <v>28</v>
      </c>
      <c r="O51" s="261">
        <f>'[5]General information '!C8</f>
        <v>23</v>
      </c>
      <c r="P51" s="119">
        <f t="shared" si="7"/>
        <v>7.1999999999999993</v>
      </c>
      <c r="Q51" s="117">
        <v>4</v>
      </c>
      <c r="R51" s="261">
        <f>'[2]General information '!B8</f>
        <v>25</v>
      </c>
      <c r="S51" s="261">
        <f>'[2]General information '!C8</f>
        <v>20</v>
      </c>
      <c r="T51" s="119">
        <f t="shared" si="8"/>
        <v>4.1999999999999993</v>
      </c>
      <c r="U51" s="117">
        <v>4</v>
      </c>
      <c r="V51" s="261">
        <f>'General information '!B8</f>
        <v>0</v>
      </c>
      <c r="W51" s="261">
        <f>'General information '!C8</f>
        <v>0</v>
      </c>
      <c r="X51" s="119">
        <f t="shared" si="5"/>
        <v>-18.3</v>
      </c>
    </row>
    <row r="52" spans="1:24">
      <c r="A52" s="117">
        <v>5</v>
      </c>
      <c r="B52" s="261">
        <f>'[14]Degree Days 2020'!B52</f>
        <v>30</v>
      </c>
      <c r="C52" s="261">
        <f>'[14]Degree Days 2020'!C52</f>
        <v>27</v>
      </c>
      <c r="D52" s="119">
        <f t="shared" si="3"/>
        <v>10.199999999999999</v>
      </c>
      <c r="E52" s="117">
        <v>5</v>
      </c>
      <c r="F52" s="261">
        <f>'[1]Degree Days 2020'!F52</f>
        <v>31</v>
      </c>
      <c r="G52" s="261">
        <f>'[1]Degree Days 2020'!G52</f>
        <v>28</v>
      </c>
      <c r="H52" s="119">
        <f t="shared" si="4"/>
        <v>11.2</v>
      </c>
      <c r="I52" s="117">
        <v>5</v>
      </c>
      <c r="J52" s="261">
        <f>'[15]Degree Days 2020'!J52</f>
        <v>31</v>
      </c>
      <c r="K52" s="261">
        <f>'[15]Degree Days 2020'!K52</f>
        <v>26</v>
      </c>
      <c r="L52" s="119">
        <f t="shared" si="6"/>
        <v>10.199999999999999</v>
      </c>
      <c r="M52" s="117">
        <v>5</v>
      </c>
      <c r="N52" s="261">
        <f>'[5]General information '!B9</f>
        <v>28</v>
      </c>
      <c r="O52" s="261">
        <f>'[5]General information '!C9</f>
        <v>23</v>
      </c>
      <c r="P52" s="119">
        <f t="shared" si="7"/>
        <v>7.1999999999999993</v>
      </c>
      <c r="Q52" s="117">
        <v>5</v>
      </c>
      <c r="R52" s="261">
        <f>'[2]General information '!B9</f>
        <v>0</v>
      </c>
      <c r="S52" s="261">
        <f>'[2]General information '!C9</f>
        <v>0</v>
      </c>
      <c r="T52" s="119">
        <f t="shared" si="8"/>
        <v>-18.3</v>
      </c>
      <c r="U52" s="117">
        <v>5</v>
      </c>
      <c r="V52" s="261">
        <f>'General information '!B9</f>
        <v>23</v>
      </c>
      <c r="W52" s="261">
        <f>'General information '!C9</f>
        <v>17</v>
      </c>
      <c r="X52" s="119">
        <f t="shared" si="5"/>
        <v>1.6999999999999993</v>
      </c>
    </row>
    <row r="53" spans="1:24">
      <c r="A53" s="117">
        <v>6</v>
      </c>
      <c r="B53" s="261">
        <f>'[14]Degree Days 2020'!B53</f>
        <v>30</v>
      </c>
      <c r="C53" s="261">
        <f>'[14]Degree Days 2020'!C53</f>
        <v>27</v>
      </c>
      <c r="D53" s="119">
        <f t="shared" si="3"/>
        <v>10.199999999999999</v>
      </c>
      <c r="E53" s="117">
        <v>6</v>
      </c>
      <c r="F53" s="261">
        <f>'[1]Degree Days 2020'!F53</f>
        <v>0</v>
      </c>
      <c r="G53" s="261">
        <f>'[1]Degree Days 2020'!G53</f>
        <v>0</v>
      </c>
      <c r="H53" s="119">
        <f t="shared" si="4"/>
        <v>-18.3</v>
      </c>
      <c r="I53" s="117">
        <v>6</v>
      </c>
      <c r="J53" s="261">
        <f>'[15]Degree Days 2020'!J53</f>
        <v>30</v>
      </c>
      <c r="K53" s="261">
        <f>'[15]Degree Days 2020'!K53</f>
        <v>26</v>
      </c>
      <c r="L53" s="119">
        <f t="shared" si="6"/>
        <v>9.6999999999999993</v>
      </c>
      <c r="M53" s="117">
        <v>6</v>
      </c>
      <c r="N53" s="261">
        <f>'[5]General information '!B10</f>
        <v>28</v>
      </c>
      <c r="O53" s="261">
        <f>'[5]General information '!C10</f>
        <v>23</v>
      </c>
      <c r="P53" s="119">
        <f t="shared" si="7"/>
        <v>7.1999999999999993</v>
      </c>
      <c r="Q53" s="117">
        <v>6</v>
      </c>
      <c r="R53" s="261">
        <f>'[2]General information '!B10</f>
        <v>0</v>
      </c>
      <c r="S53" s="261">
        <f>'[2]General information '!C10</f>
        <v>0</v>
      </c>
      <c r="T53" s="119">
        <f t="shared" si="8"/>
        <v>-18.3</v>
      </c>
      <c r="U53" s="117">
        <v>6</v>
      </c>
      <c r="V53" s="261">
        <f>'General information '!B10</f>
        <v>22</v>
      </c>
      <c r="W53" s="261">
        <f>'General information '!C10</f>
        <v>16</v>
      </c>
      <c r="X53" s="119">
        <f t="shared" si="5"/>
        <v>0.69999999999999929</v>
      </c>
    </row>
    <row r="54" spans="1:24">
      <c r="A54" s="117">
        <v>7</v>
      </c>
      <c r="B54" s="261">
        <f>'[14]Degree Days 2020'!B54</f>
        <v>30</v>
      </c>
      <c r="C54" s="261">
        <f>'[14]Degree Days 2020'!C54</f>
        <v>24</v>
      </c>
      <c r="D54" s="119">
        <f t="shared" si="3"/>
        <v>8.6999999999999993</v>
      </c>
      <c r="E54" s="117">
        <v>7</v>
      </c>
      <c r="F54" s="261">
        <f>'[1]Degree Days 2020'!F54</f>
        <v>0</v>
      </c>
      <c r="G54" s="261">
        <f>'[1]Degree Days 2020'!G54</f>
        <v>0</v>
      </c>
      <c r="H54" s="119">
        <f t="shared" si="4"/>
        <v>-18.3</v>
      </c>
      <c r="I54" s="117">
        <v>7</v>
      </c>
      <c r="J54" s="261">
        <f>'[15]Degree Days 2020'!J54</f>
        <v>31</v>
      </c>
      <c r="K54" s="261">
        <f>'[15]Degree Days 2020'!K54</f>
        <v>26</v>
      </c>
      <c r="L54" s="119">
        <f t="shared" si="6"/>
        <v>10.199999999999999</v>
      </c>
      <c r="M54" s="117">
        <v>7</v>
      </c>
      <c r="N54" s="261">
        <f>'[5]General information '!B11</f>
        <v>28</v>
      </c>
      <c r="O54" s="261">
        <f>'[5]General information '!C11</f>
        <v>22</v>
      </c>
      <c r="P54" s="119">
        <f t="shared" si="7"/>
        <v>6.6999999999999993</v>
      </c>
      <c r="Q54" s="117">
        <v>7</v>
      </c>
      <c r="R54" s="261">
        <f>'[2]General information '!B11</f>
        <v>26</v>
      </c>
      <c r="S54" s="261">
        <f>'[2]General information '!C11</f>
        <v>20</v>
      </c>
      <c r="T54" s="119">
        <f t="shared" si="8"/>
        <v>4.6999999999999993</v>
      </c>
      <c r="U54" s="117">
        <v>7</v>
      </c>
      <c r="V54" s="261">
        <f>'General information '!B11</f>
        <v>23</v>
      </c>
      <c r="W54" s="261">
        <f>'General information '!C11</f>
        <v>16</v>
      </c>
      <c r="X54" s="119">
        <f t="shared" si="5"/>
        <v>1.1999999999999993</v>
      </c>
    </row>
    <row r="55" spans="1:24">
      <c r="A55" s="117">
        <v>8</v>
      </c>
      <c r="B55" s="261">
        <f>'[14]Degree Days 2020'!B55</f>
        <v>29</v>
      </c>
      <c r="C55" s="261">
        <f>'[14]Degree Days 2020'!C55</f>
        <v>26</v>
      </c>
      <c r="D55" s="119">
        <f t="shared" si="3"/>
        <v>9.1999999999999993</v>
      </c>
      <c r="E55" s="117">
        <v>8</v>
      </c>
      <c r="F55" s="261">
        <f>'[1]Degree Days 2020'!F55</f>
        <v>0</v>
      </c>
      <c r="G55" s="261">
        <f>'[1]Degree Days 2020'!G55</f>
        <v>0</v>
      </c>
      <c r="H55" s="119">
        <f t="shared" si="4"/>
        <v>-18.3</v>
      </c>
      <c r="I55" s="117">
        <v>8</v>
      </c>
      <c r="J55" s="261">
        <f>'[15]Degree Days 2020'!J55</f>
        <v>29</v>
      </c>
      <c r="K55" s="261">
        <f>'[15]Degree Days 2020'!K55</f>
        <v>25</v>
      </c>
      <c r="L55" s="119">
        <f t="shared" si="6"/>
        <v>8.6999999999999993</v>
      </c>
      <c r="M55" s="117">
        <v>8</v>
      </c>
      <c r="N55" s="261">
        <f>'[5]General information '!B12</f>
        <v>0</v>
      </c>
      <c r="O55" s="261">
        <f>'[5]General information '!C12</f>
        <v>0</v>
      </c>
      <c r="P55" s="119">
        <f t="shared" si="7"/>
        <v>-18.3</v>
      </c>
      <c r="Q55" s="117">
        <v>8</v>
      </c>
      <c r="R55" s="261">
        <f>'[2]General information '!B12</f>
        <v>26</v>
      </c>
      <c r="S55" s="261">
        <f>'[2]General information '!C12</f>
        <v>19</v>
      </c>
      <c r="T55" s="119">
        <f t="shared" si="8"/>
        <v>4.1999999999999993</v>
      </c>
      <c r="U55" s="117">
        <v>8</v>
      </c>
      <c r="V55" s="261">
        <f>'General information '!B12</f>
        <v>20</v>
      </c>
      <c r="W55" s="261">
        <f>'General information '!C12</f>
        <v>13</v>
      </c>
      <c r="X55" s="119">
        <f t="shared" si="5"/>
        <v>-1.8000000000000007</v>
      </c>
    </row>
    <row r="56" spans="1:24">
      <c r="A56" s="117">
        <v>9</v>
      </c>
      <c r="B56" s="261">
        <f>'[14]Degree Days 2020'!B56</f>
        <v>30</v>
      </c>
      <c r="C56" s="261">
        <f>'[14]Degree Days 2020'!C56</f>
        <v>28</v>
      </c>
      <c r="D56" s="119">
        <f t="shared" si="3"/>
        <v>10.7</v>
      </c>
      <c r="E56" s="117">
        <v>9</v>
      </c>
      <c r="F56" s="261">
        <f>'[1]Degree Days 2020'!F56</f>
        <v>0</v>
      </c>
      <c r="G56" s="261">
        <f>'[1]Degree Days 2020'!G56</f>
        <v>0</v>
      </c>
      <c r="H56" s="119">
        <f t="shared" si="4"/>
        <v>-18.3</v>
      </c>
      <c r="I56" s="117">
        <v>9</v>
      </c>
      <c r="J56" s="261">
        <f>'[15]Degree Days 2020'!J56</f>
        <v>29</v>
      </c>
      <c r="K56" s="261">
        <f>'[15]Degree Days 2020'!K56</f>
        <v>25</v>
      </c>
      <c r="L56" s="119">
        <f t="shared" si="6"/>
        <v>8.6999999999999993</v>
      </c>
      <c r="M56" s="117">
        <v>9</v>
      </c>
      <c r="N56" s="261">
        <f>'[5]General information '!B13</f>
        <v>0</v>
      </c>
      <c r="O56" s="261">
        <f>'[5]General information '!C13</f>
        <v>0</v>
      </c>
      <c r="P56" s="119">
        <f t="shared" si="7"/>
        <v>-18.3</v>
      </c>
      <c r="Q56" s="117">
        <v>9</v>
      </c>
      <c r="R56" s="261">
        <f>'[2]General information '!B13</f>
        <v>28</v>
      </c>
      <c r="S56" s="261">
        <f>'[2]General information '!C13</f>
        <v>20</v>
      </c>
      <c r="T56" s="119">
        <f t="shared" si="8"/>
        <v>5.6999999999999993</v>
      </c>
      <c r="U56" s="117">
        <v>9</v>
      </c>
      <c r="V56" s="261">
        <f>'General information '!B13</f>
        <v>19</v>
      </c>
      <c r="W56" s="261">
        <f>'General information '!C13</f>
        <v>15</v>
      </c>
      <c r="X56" s="119">
        <f t="shared" si="5"/>
        <v>-1.3000000000000007</v>
      </c>
    </row>
    <row r="57" spans="1:24">
      <c r="A57" s="117">
        <v>10</v>
      </c>
      <c r="B57" s="261">
        <f>'[14]Degree Days 2020'!B57</f>
        <v>31</v>
      </c>
      <c r="C57" s="261">
        <f>'[14]Degree Days 2020'!C57</f>
        <v>28</v>
      </c>
      <c r="D57" s="119">
        <f t="shared" ref="D57:D78" si="9">(B57+C57)/2-18.3</f>
        <v>11.2</v>
      </c>
      <c r="E57" s="117">
        <v>10</v>
      </c>
      <c r="F57" s="261">
        <f>'[1]Degree Days 2020'!F57</f>
        <v>0</v>
      </c>
      <c r="G57" s="261">
        <f>'[1]Degree Days 2020'!G57</f>
        <v>0</v>
      </c>
      <c r="H57" s="119">
        <f t="shared" si="4"/>
        <v>-18.3</v>
      </c>
      <c r="I57" s="117">
        <v>10</v>
      </c>
      <c r="J57" s="261">
        <f>'[15]Degree Days 2020'!J57</f>
        <v>0</v>
      </c>
      <c r="K57" s="261">
        <f>'[15]Degree Days 2020'!K57</f>
        <v>0</v>
      </c>
      <c r="L57" s="119">
        <f t="shared" si="6"/>
        <v>-18.3</v>
      </c>
      <c r="M57" s="117">
        <v>10</v>
      </c>
      <c r="N57" s="261">
        <f>'[5]General information '!B14</f>
        <v>29</v>
      </c>
      <c r="O57" s="261">
        <f>'[5]General information '!C14</f>
        <v>23</v>
      </c>
      <c r="P57" s="119">
        <f t="shared" si="7"/>
        <v>7.6999999999999993</v>
      </c>
      <c r="Q57" s="117">
        <v>10</v>
      </c>
      <c r="R57" s="261">
        <f>'[2]General information '!B14</f>
        <v>26</v>
      </c>
      <c r="S57" s="261">
        <f>'[2]General information '!C14</f>
        <v>19</v>
      </c>
      <c r="T57" s="119">
        <f t="shared" si="8"/>
        <v>4.1999999999999993</v>
      </c>
      <c r="U57" s="117">
        <v>10</v>
      </c>
      <c r="V57" s="261">
        <f>'General information '!B14</f>
        <v>0</v>
      </c>
      <c r="W57" s="261">
        <f>'General information '!C14</f>
        <v>0</v>
      </c>
      <c r="X57" s="119">
        <f t="shared" si="5"/>
        <v>-18.3</v>
      </c>
    </row>
    <row r="58" spans="1:24">
      <c r="A58" s="117">
        <v>11</v>
      </c>
      <c r="B58" s="261">
        <f>'[14]Degree Days 2020'!B58</f>
        <v>30</v>
      </c>
      <c r="C58" s="261">
        <f>'[14]Degree Days 2020'!C58</f>
        <v>26</v>
      </c>
      <c r="D58" s="119">
        <f t="shared" si="9"/>
        <v>9.6999999999999993</v>
      </c>
      <c r="E58" s="117">
        <v>11</v>
      </c>
      <c r="F58" s="261">
        <f>'[1]Degree Days 2020'!F58</f>
        <v>29</v>
      </c>
      <c r="G58" s="261">
        <f>'[1]Degree Days 2020'!G58</f>
        <v>29</v>
      </c>
      <c r="H58" s="119">
        <f t="shared" si="4"/>
        <v>10.7</v>
      </c>
      <c r="I58" s="117">
        <v>11</v>
      </c>
      <c r="J58" s="261">
        <f>'[15]Degree Days 2020'!J58</f>
        <v>0</v>
      </c>
      <c r="K58" s="261">
        <f>'[15]Degree Days 2020'!K58</f>
        <v>0</v>
      </c>
      <c r="L58" s="119">
        <f t="shared" si="6"/>
        <v>-18.3</v>
      </c>
      <c r="M58" s="117">
        <v>11</v>
      </c>
      <c r="N58" s="261">
        <f>'[5]General information '!B15</f>
        <v>27</v>
      </c>
      <c r="O58" s="261">
        <f>'[5]General information '!C15</f>
        <v>23</v>
      </c>
      <c r="P58" s="119">
        <f t="shared" si="7"/>
        <v>6.6999999999999993</v>
      </c>
      <c r="Q58" s="117">
        <v>11</v>
      </c>
      <c r="R58" s="261">
        <f>'[2]General information '!B15</f>
        <v>24</v>
      </c>
      <c r="S58" s="261">
        <f>'[2]General information '!C15</f>
        <v>13</v>
      </c>
      <c r="T58" s="119">
        <f t="shared" si="8"/>
        <v>0.19999999999999929</v>
      </c>
      <c r="U58" s="117">
        <v>11</v>
      </c>
      <c r="V58" s="261">
        <f>'General information '!B15</f>
        <v>0</v>
      </c>
      <c r="W58" s="261">
        <f>'General information '!C15</f>
        <v>0</v>
      </c>
      <c r="X58" s="119">
        <f t="shared" si="5"/>
        <v>-18.3</v>
      </c>
    </row>
    <row r="59" spans="1:24">
      <c r="A59" s="117">
        <v>12</v>
      </c>
      <c r="B59" s="261">
        <f>'[14]Degree Days 2020'!B59</f>
        <v>31</v>
      </c>
      <c r="C59" s="261">
        <f>'[14]Degree Days 2020'!C59</f>
        <v>26</v>
      </c>
      <c r="D59" s="119">
        <f t="shared" si="9"/>
        <v>10.199999999999999</v>
      </c>
      <c r="E59" s="117">
        <v>12</v>
      </c>
      <c r="F59" s="261">
        <f>'[1]Degree Days 2020'!F59</f>
        <v>29</v>
      </c>
      <c r="G59" s="261">
        <f>'[1]Degree Days 2020'!G59</f>
        <v>32</v>
      </c>
      <c r="H59" s="119">
        <f t="shared" si="4"/>
        <v>12.2</v>
      </c>
      <c r="I59" s="117">
        <v>12</v>
      </c>
      <c r="J59" s="261">
        <f>'[15]Degree Days 2020'!J59</f>
        <v>0</v>
      </c>
      <c r="K59" s="261">
        <f>'[15]Degree Days 2020'!K59</f>
        <v>0</v>
      </c>
      <c r="L59" s="119">
        <f t="shared" si="6"/>
        <v>-18.3</v>
      </c>
      <c r="M59" s="117">
        <v>12</v>
      </c>
      <c r="N59" s="261">
        <f>'[5]General information '!B16</f>
        <v>28</v>
      </c>
      <c r="O59" s="261">
        <f>'[5]General information '!C16</f>
        <v>22</v>
      </c>
      <c r="P59" s="119">
        <f t="shared" si="7"/>
        <v>6.6999999999999993</v>
      </c>
      <c r="Q59" s="117">
        <v>12</v>
      </c>
      <c r="R59" s="261">
        <f>'[2]General information '!B16</f>
        <v>0</v>
      </c>
      <c r="S59" s="261">
        <f>'[2]General information '!C16</f>
        <v>0</v>
      </c>
      <c r="T59" s="119">
        <f t="shared" si="8"/>
        <v>-18.3</v>
      </c>
      <c r="U59" s="117">
        <v>12</v>
      </c>
      <c r="V59" s="261">
        <f>'General information '!B16</f>
        <v>22</v>
      </c>
      <c r="W59" s="261">
        <f>'General information '!C16</f>
        <v>15</v>
      </c>
      <c r="X59" s="119">
        <f t="shared" si="5"/>
        <v>0.19999999999999929</v>
      </c>
    </row>
    <row r="60" spans="1:24">
      <c r="A60" s="117">
        <v>13</v>
      </c>
      <c r="B60" s="261">
        <f>'[14]Degree Days 2020'!B60</f>
        <v>31</v>
      </c>
      <c r="C60" s="261">
        <f>'[14]Degree Days 2020'!C60</f>
        <v>27</v>
      </c>
      <c r="D60" s="119">
        <f t="shared" si="9"/>
        <v>10.7</v>
      </c>
      <c r="E60" s="117">
        <v>13</v>
      </c>
      <c r="F60" s="261">
        <f>'[1]Degree Days 2020'!F60</f>
        <v>0</v>
      </c>
      <c r="G60" s="261">
        <f>'[1]Degree Days 2020'!G60</f>
        <v>0</v>
      </c>
      <c r="H60" s="119">
        <f t="shared" si="4"/>
        <v>-18.3</v>
      </c>
      <c r="I60" s="117">
        <v>13</v>
      </c>
      <c r="J60" s="261">
        <f>'[15]Degree Days 2020'!J60</f>
        <v>29</v>
      </c>
      <c r="K60" s="261">
        <f>'[15]Degree Days 2020'!K60</f>
        <v>25</v>
      </c>
      <c r="L60" s="119">
        <f t="shared" si="6"/>
        <v>8.6999999999999993</v>
      </c>
      <c r="M60" s="117">
        <v>13</v>
      </c>
      <c r="N60" s="261">
        <f>'[5]General information '!B17</f>
        <v>0</v>
      </c>
      <c r="O60" s="261">
        <f>'[5]General information '!C17</f>
        <v>0</v>
      </c>
      <c r="P60" s="119">
        <f t="shared" si="7"/>
        <v>-18.3</v>
      </c>
      <c r="Q60" s="117">
        <v>13</v>
      </c>
      <c r="R60" s="261">
        <f>'[2]General information '!B17</f>
        <v>0</v>
      </c>
      <c r="S60" s="261">
        <f>'[2]General information '!C17</f>
        <v>0</v>
      </c>
      <c r="T60" s="119">
        <f t="shared" si="8"/>
        <v>-18.3</v>
      </c>
      <c r="U60" s="117">
        <v>13</v>
      </c>
      <c r="V60" s="261">
        <f>'General information '!B17</f>
        <v>23</v>
      </c>
      <c r="W60" s="261">
        <f>'General information '!C17</f>
        <v>17</v>
      </c>
      <c r="X60" s="119">
        <f t="shared" si="5"/>
        <v>1.6999999999999993</v>
      </c>
    </row>
    <row r="61" spans="1:24">
      <c r="A61" s="117">
        <v>14</v>
      </c>
      <c r="B61" s="261">
        <f>'[14]Degree Days 2020'!B61</f>
        <v>30</v>
      </c>
      <c r="C61" s="261">
        <f>'[14]Degree Days 2020'!C61</f>
        <v>26</v>
      </c>
      <c r="D61" s="119">
        <f t="shared" si="9"/>
        <v>9.6999999999999993</v>
      </c>
      <c r="E61" s="117">
        <v>14</v>
      </c>
      <c r="F61" s="261">
        <f>'[1]Degree Days 2020'!F61</f>
        <v>0</v>
      </c>
      <c r="G61" s="261">
        <f>'[1]Degree Days 2020'!G61</f>
        <v>0</v>
      </c>
      <c r="H61" s="119">
        <f t="shared" si="4"/>
        <v>-18.3</v>
      </c>
      <c r="I61" s="117">
        <v>14</v>
      </c>
      <c r="J61" s="261">
        <f>'[15]Degree Days 2020'!J61</f>
        <v>30</v>
      </c>
      <c r="K61" s="261">
        <f>'[15]Degree Days 2020'!K61</f>
        <v>25</v>
      </c>
      <c r="L61" s="119">
        <f t="shared" si="6"/>
        <v>9.1999999999999993</v>
      </c>
      <c r="M61" s="117">
        <v>14</v>
      </c>
      <c r="N61" s="261">
        <f>'[5]General information '!B18</f>
        <v>0</v>
      </c>
      <c r="O61" s="261">
        <f>'[5]General information '!C18</f>
        <v>0</v>
      </c>
      <c r="P61" s="119">
        <f t="shared" si="7"/>
        <v>-18.3</v>
      </c>
      <c r="Q61" s="117">
        <v>14</v>
      </c>
      <c r="R61" s="261">
        <f>'[2]General information '!B18</f>
        <v>25</v>
      </c>
      <c r="S61" s="261">
        <f>'[2]General information '!C18</f>
        <v>20</v>
      </c>
      <c r="T61" s="119">
        <f t="shared" si="8"/>
        <v>4.1999999999999993</v>
      </c>
      <c r="U61" s="117">
        <v>14</v>
      </c>
      <c r="V61" s="261">
        <f>'General information '!B18</f>
        <v>21</v>
      </c>
      <c r="W61" s="261">
        <f>'General information '!C18</f>
        <v>17</v>
      </c>
      <c r="X61" s="119">
        <f t="shared" si="5"/>
        <v>0.69999999999999929</v>
      </c>
    </row>
    <row r="62" spans="1:24">
      <c r="A62" s="117">
        <v>15</v>
      </c>
      <c r="B62" s="261">
        <f>'[14]Degree Days 2020'!B62</f>
        <v>28</v>
      </c>
      <c r="C62" s="261">
        <f>'[14]Degree Days 2020'!C62</f>
        <v>26</v>
      </c>
      <c r="D62" s="119">
        <f t="shared" si="9"/>
        <v>8.6999999999999993</v>
      </c>
      <c r="E62" s="117">
        <v>15</v>
      </c>
      <c r="F62" s="261">
        <f>'[1]Degree Days 2020'!F62</f>
        <v>0</v>
      </c>
      <c r="G62" s="261">
        <f>'[1]Degree Days 2020'!G62</f>
        <v>0</v>
      </c>
      <c r="H62" s="119">
        <f t="shared" si="4"/>
        <v>-18.3</v>
      </c>
      <c r="I62" s="117">
        <v>15</v>
      </c>
      <c r="J62" s="261">
        <f>'[15]Degree Days 2020'!J62</f>
        <v>29</v>
      </c>
      <c r="K62" s="261">
        <f>'[15]Degree Days 2020'!K62</f>
        <v>24</v>
      </c>
      <c r="L62" s="119">
        <f t="shared" si="6"/>
        <v>8.1999999999999993</v>
      </c>
      <c r="M62" s="117">
        <v>15</v>
      </c>
      <c r="N62" s="261">
        <f>'[5]General information '!B19</f>
        <v>0</v>
      </c>
      <c r="O62" s="261">
        <f>'[5]General information '!C19</f>
        <v>0</v>
      </c>
      <c r="P62" s="119">
        <f t="shared" si="7"/>
        <v>-18.3</v>
      </c>
      <c r="Q62" s="117">
        <v>15</v>
      </c>
      <c r="R62" s="261">
        <f>'[2]General information '!B19</f>
        <v>27</v>
      </c>
      <c r="S62" s="261">
        <f>'[2]General information '!C19</f>
        <v>21</v>
      </c>
      <c r="T62" s="119">
        <f t="shared" si="8"/>
        <v>5.6999999999999993</v>
      </c>
      <c r="U62" s="117">
        <v>15</v>
      </c>
      <c r="V62" s="261">
        <f>'General information '!B19</f>
        <v>20</v>
      </c>
      <c r="W62" s="261">
        <f>'General information '!C19</f>
        <v>16</v>
      </c>
      <c r="X62" s="119">
        <f t="shared" si="5"/>
        <v>-0.30000000000000071</v>
      </c>
    </row>
    <row r="63" spans="1:24">
      <c r="A63" s="117">
        <v>16</v>
      </c>
      <c r="B63" s="261">
        <f>'[14]Degree Days 2020'!B63</f>
        <v>30</v>
      </c>
      <c r="C63" s="261">
        <f>'[14]Degree Days 2020'!C63</f>
        <v>26</v>
      </c>
      <c r="D63" s="119">
        <f t="shared" si="9"/>
        <v>9.6999999999999993</v>
      </c>
      <c r="E63" s="117">
        <v>16</v>
      </c>
      <c r="F63" s="261">
        <f>'[1]Degree Days 2020'!F63</f>
        <v>0</v>
      </c>
      <c r="G63" s="261">
        <f>'[1]Degree Days 2020'!G63</f>
        <v>0</v>
      </c>
      <c r="H63" s="119">
        <f t="shared" si="4"/>
        <v>-18.3</v>
      </c>
      <c r="I63" s="117">
        <v>16</v>
      </c>
      <c r="J63" s="261">
        <f>'[15]Degree Days 2020'!J63</f>
        <v>30</v>
      </c>
      <c r="K63" s="261">
        <f>'[15]Degree Days 2020'!K63</f>
        <v>26</v>
      </c>
      <c r="L63" s="119">
        <f t="shared" si="6"/>
        <v>9.6999999999999993</v>
      </c>
      <c r="M63" s="117">
        <v>16</v>
      </c>
      <c r="N63" s="261">
        <f>'[5]General information '!B20</f>
        <v>0</v>
      </c>
      <c r="O63" s="261">
        <f>'[5]General information '!C20</f>
        <v>0</v>
      </c>
      <c r="P63" s="119">
        <f t="shared" si="7"/>
        <v>-18.3</v>
      </c>
      <c r="Q63" s="117">
        <v>16</v>
      </c>
      <c r="R63" s="261">
        <f>'[2]General information '!B20</f>
        <v>24</v>
      </c>
      <c r="S63" s="261">
        <f>'[2]General information '!C20</f>
        <v>19</v>
      </c>
      <c r="T63" s="119">
        <f t="shared" si="8"/>
        <v>3.1999999999999993</v>
      </c>
      <c r="U63" s="117">
        <v>16</v>
      </c>
      <c r="V63" s="261">
        <f>'General information '!B20</f>
        <v>18</v>
      </c>
      <c r="W63" s="261">
        <f>'General information '!C20</f>
        <v>13</v>
      </c>
      <c r="X63" s="119">
        <f t="shared" si="5"/>
        <v>-2.8000000000000007</v>
      </c>
    </row>
    <row r="64" spans="1:24">
      <c r="A64" s="117">
        <v>17</v>
      </c>
      <c r="B64" s="261">
        <f>'[14]Degree Days 2020'!B64</f>
        <v>30</v>
      </c>
      <c r="C64" s="261">
        <f>'[14]Degree Days 2020'!C64</f>
        <v>26</v>
      </c>
      <c r="D64" s="119">
        <f t="shared" si="9"/>
        <v>9.6999999999999993</v>
      </c>
      <c r="E64" s="117">
        <v>17</v>
      </c>
      <c r="F64" s="261">
        <f>'[1]Degree Days 2020'!F64</f>
        <v>29</v>
      </c>
      <c r="G64" s="261">
        <f>'[1]Degree Days 2020'!G64</f>
        <v>32</v>
      </c>
      <c r="H64" s="119">
        <f t="shared" si="4"/>
        <v>12.2</v>
      </c>
      <c r="I64" s="117">
        <v>17</v>
      </c>
      <c r="J64" s="261">
        <f>'[15]Degree Days 2020'!J64</f>
        <v>28</v>
      </c>
      <c r="K64" s="261">
        <f>'[15]Degree Days 2020'!K64</f>
        <v>23</v>
      </c>
      <c r="L64" s="119">
        <f t="shared" si="6"/>
        <v>7.1999999999999993</v>
      </c>
      <c r="M64" s="117">
        <v>17</v>
      </c>
      <c r="N64" s="261">
        <f>'[5]General information '!B21</f>
        <v>0</v>
      </c>
      <c r="O64" s="261">
        <f>'[5]General information '!C21</f>
        <v>0</v>
      </c>
      <c r="P64" s="119">
        <f t="shared" si="7"/>
        <v>-18.3</v>
      </c>
      <c r="Q64" s="117">
        <v>17</v>
      </c>
      <c r="R64" s="261">
        <f>'[2]General information '!B21</f>
        <v>26</v>
      </c>
      <c r="S64" s="261">
        <f>'[2]General information '!C21</f>
        <v>19</v>
      </c>
      <c r="T64" s="119">
        <f t="shared" si="8"/>
        <v>4.1999999999999993</v>
      </c>
      <c r="U64" s="117">
        <v>17</v>
      </c>
      <c r="V64" s="261">
        <f>'General information '!B21</f>
        <v>0</v>
      </c>
      <c r="W64" s="261">
        <f>'General information '!C21</f>
        <v>0</v>
      </c>
      <c r="X64" s="119">
        <f t="shared" si="5"/>
        <v>-18.3</v>
      </c>
    </row>
    <row r="65" spans="1:24">
      <c r="A65" s="117">
        <v>18</v>
      </c>
      <c r="B65" s="261">
        <f>'[14]Degree Days 2020'!B65</f>
        <v>30</v>
      </c>
      <c r="C65" s="261">
        <f>'[14]Degree Days 2020'!C65</f>
        <v>25</v>
      </c>
      <c r="D65" s="119">
        <f t="shared" si="9"/>
        <v>9.1999999999999993</v>
      </c>
      <c r="E65" s="117">
        <v>18</v>
      </c>
      <c r="F65" s="261">
        <f>'[1]Degree Days 2020'!F65</f>
        <v>0</v>
      </c>
      <c r="G65" s="261">
        <f>'[1]Degree Days 2020'!G65</f>
        <v>0</v>
      </c>
      <c r="H65" s="119">
        <f t="shared" si="4"/>
        <v>-18.3</v>
      </c>
      <c r="I65" s="117">
        <v>18</v>
      </c>
      <c r="J65" s="261">
        <f>'[15]Degree Days 2020'!J65</f>
        <v>0</v>
      </c>
      <c r="K65" s="261">
        <f>'[15]Degree Days 2020'!K65</f>
        <v>0</v>
      </c>
      <c r="L65" s="119">
        <f t="shared" si="6"/>
        <v>-18.3</v>
      </c>
      <c r="M65" s="117">
        <v>18</v>
      </c>
      <c r="N65" s="261">
        <f>'[5]General information '!B22</f>
        <v>26</v>
      </c>
      <c r="O65" s="261">
        <f>'[5]General information '!C22</f>
        <v>22</v>
      </c>
      <c r="P65" s="119">
        <f t="shared" si="7"/>
        <v>5.6999999999999993</v>
      </c>
      <c r="Q65" s="117">
        <v>18</v>
      </c>
      <c r="R65" s="261">
        <f>'[2]General information '!B22</f>
        <v>23</v>
      </c>
      <c r="S65" s="261">
        <f>'[2]General information '!C22</f>
        <v>18</v>
      </c>
      <c r="T65" s="119">
        <f t="shared" si="8"/>
        <v>2.1999999999999993</v>
      </c>
      <c r="U65" s="117">
        <v>18</v>
      </c>
      <c r="V65" s="261">
        <f>'General information '!B22</f>
        <v>0</v>
      </c>
      <c r="W65" s="261">
        <f>'General information '!C22</f>
        <v>0</v>
      </c>
      <c r="X65" s="119">
        <f t="shared" si="5"/>
        <v>-18.3</v>
      </c>
    </row>
    <row r="66" spans="1:24">
      <c r="A66" s="117">
        <v>19</v>
      </c>
      <c r="B66" s="261">
        <f>'[14]Degree Days 2020'!B66</f>
        <v>31</v>
      </c>
      <c r="C66" s="261">
        <f>'[14]Degree Days 2020'!C66</f>
        <v>26</v>
      </c>
      <c r="D66" s="119">
        <f t="shared" si="9"/>
        <v>10.199999999999999</v>
      </c>
      <c r="E66" s="117">
        <v>19</v>
      </c>
      <c r="F66" s="261">
        <f>'[1]Degree Days 2020'!F66</f>
        <v>0</v>
      </c>
      <c r="G66" s="261">
        <f>'[1]Degree Days 2020'!G66</f>
        <v>0</v>
      </c>
      <c r="H66" s="119">
        <f t="shared" si="4"/>
        <v>-18.3</v>
      </c>
      <c r="I66" s="117">
        <v>19</v>
      </c>
      <c r="J66" s="261">
        <f>'[15]Degree Days 2020'!J66</f>
        <v>29</v>
      </c>
      <c r="K66" s="261">
        <f>'[15]Degree Days 2020'!K66</f>
        <v>24</v>
      </c>
      <c r="L66" s="119">
        <f t="shared" si="6"/>
        <v>8.1999999999999993</v>
      </c>
      <c r="M66" s="117">
        <v>19</v>
      </c>
      <c r="N66" s="261">
        <f>'[5]General information '!B23</f>
        <v>26</v>
      </c>
      <c r="O66" s="261">
        <f>'[5]General information '!C23</f>
        <v>22</v>
      </c>
      <c r="P66" s="119">
        <f t="shared" si="7"/>
        <v>5.6999999999999993</v>
      </c>
      <c r="Q66" s="117">
        <v>19</v>
      </c>
      <c r="R66" s="261">
        <f>'[2]General information '!B23</f>
        <v>0</v>
      </c>
      <c r="S66" s="261">
        <f>'[2]General information '!C23</f>
        <v>0</v>
      </c>
      <c r="T66" s="119">
        <f t="shared" si="8"/>
        <v>-18.3</v>
      </c>
      <c r="U66" s="117">
        <v>19</v>
      </c>
      <c r="V66" s="261">
        <f>'General information '!B23</f>
        <v>19</v>
      </c>
      <c r="W66" s="261">
        <f>'General information '!C23</f>
        <v>14</v>
      </c>
      <c r="X66" s="119">
        <f t="shared" si="5"/>
        <v>-1.8000000000000007</v>
      </c>
    </row>
    <row r="67" spans="1:24">
      <c r="A67" s="117">
        <v>20</v>
      </c>
      <c r="B67" s="261">
        <f>'[14]Degree Days 2020'!B67</f>
        <v>31</v>
      </c>
      <c r="C67" s="261">
        <f>'[14]Degree Days 2020'!C67</f>
        <v>27</v>
      </c>
      <c r="D67" s="119">
        <f t="shared" si="9"/>
        <v>10.7</v>
      </c>
      <c r="E67" s="117">
        <v>20</v>
      </c>
      <c r="F67" s="261">
        <f>'[1]Degree Days 2020'!F67</f>
        <v>0</v>
      </c>
      <c r="G67" s="261">
        <f>'[1]Degree Days 2020'!G67</f>
        <v>0</v>
      </c>
      <c r="H67" s="119">
        <f t="shared" si="4"/>
        <v>-18.3</v>
      </c>
      <c r="I67" s="117">
        <v>20</v>
      </c>
      <c r="J67" s="261">
        <f>'[15]Degree Days 2020'!J67</f>
        <v>29</v>
      </c>
      <c r="K67" s="261">
        <f>'[15]Degree Days 2020'!K67</f>
        <v>25</v>
      </c>
      <c r="L67" s="119">
        <f t="shared" si="6"/>
        <v>8.6999999999999993</v>
      </c>
      <c r="M67" s="117">
        <v>20</v>
      </c>
      <c r="N67" s="261">
        <f>'[5]General information '!B24</f>
        <v>26</v>
      </c>
      <c r="O67" s="261">
        <f>'[5]General information '!C24</f>
        <v>21</v>
      </c>
      <c r="P67" s="119">
        <f t="shared" si="7"/>
        <v>5.1999999999999993</v>
      </c>
      <c r="Q67" s="117">
        <v>20</v>
      </c>
      <c r="R67" s="261">
        <f>'[2]General information '!B24</f>
        <v>0</v>
      </c>
      <c r="S67" s="261">
        <f>'[2]General information '!C24</f>
        <v>0</v>
      </c>
      <c r="T67" s="119">
        <f t="shared" si="8"/>
        <v>-18.3</v>
      </c>
      <c r="U67" s="117">
        <v>20</v>
      </c>
      <c r="V67" s="261">
        <f>'General information '!B24</f>
        <v>17</v>
      </c>
      <c r="W67" s="261">
        <f>'General information '!C24</f>
        <v>9</v>
      </c>
      <c r="X67" s="119">
        <f t="shared" si="5"/>
        <v>-5.3000000000000007</v>
      </c>
    </row>
    <row r="68" spans="1:24">
      <c r="A68" s="117">
        <v>21</v>
      </c>
      <c r="B68" s="261">
        <f>'[14]Degree Days 2020'!B68</f>
        <v>31</v>
      </c>
      <c r="C68" s="261">
        <f>'[14]Degree Days 2020'!C68</f>
        <v>26</v>
      </c>
      <c r="D68" s="119">
        <f t="shared" si="9"/>
        <v>10.199999999999999</v>
      </c>
      <c r="E68" s="117">
        <v>21</v>
      </c>
      <c r="F68" s="261">
        <f>'[1]Degree Days 2020'!F68</f>
        <v>0</v>
      </c>
      <c r="G68" s="261">
        <f>'[1]Degree Days 2020'!G68</f>
        <v>0</v>
      </c>
      <c r="H68" s="119">
        <f t="shared" si="4"/>
        <v>-18.3</v>
      </c>
      <c r="I68" s="117">
        <v>21</v>
      </c>
      <c r="J68" s="261">
        <f>'[15]Degree Days 2020'!J68</f>
        <v>30</v>
      </c>
      <c r="K68" s="261">
        <f>'[15]Degree Days 2020'!K68</f>
        <v>25</v>
      </c>
      <c r="L68" s="119">
        <f t="shared" si="6"/>
        <v>9.1999999999999993</v>
      </c>
      <c r="M68" s="117">
        <v>21</v>
      </c>
      <c r="N68" s="261">
        <f>'[5]General information '!B25</f>
        <v>27</v>
      </c>
      <c r="O68" s="261">
        <f>'[5]General information '!C25</f>
        <v>21</v>
      </c>
      <c r="P68" s="119">
        <f t="shared" si="7"/>
        <v>5.6999999999999993</v>
      </c>
      <c r="Q68" s="117">
        <v>21</v>
      </c>
      <c r="R68" s="261">
        <f>'[2]General information '!B25</f>
        <v>0</v>
      </c>
      <c r="S68" s="261">
        <f>'[2]General information '!C25</f>
        <v>0</v>
      </c>
      <c r="T68" s="119">
        <f t="shared" si="8"/>
        <v>-18.3</v>
      </c>
      <c r="U68" s="117">
        <v>21</v>
      </c>
      <c r="V68" s="261">
        <f>'General information '!B25</f>
        <v>18</v>
      </c>
      <c r="W68" s="261">
        <f>'General information '!C25</f>
        <v>14</v>
      </c>
      <c r="X68" s="119">
        <f t="shared" si="5"/>
        <v>-2.3000000000000007</v>
      </c>
    </row>
    <row r="69" spans="1:24">
      <c r="A69" s="117">
        <v>22</v>
      </c>
      <c r="B69" s="261">
        <f>'[14]Degree Days 2020'!B69</f>
        <v>0</v>
      </c>
      <c r="C69" s="261">
        <f>'[14]Degree Days 2020'!C69</f>
        <v>0</v>
      </c>
      <c r="D69" s="119">
        <f t="shared" si="9"/>
        <v>-18.3</v>
      </c>
      <c r="E69" s="117">
        <v>22</v>
      </c>
      <c r="F69" s="261">
        <f>'[1]Degree Days 2020'!F69</f>
        <v>28</v>
      </c>
      <c r="G69" s="261">
        <f>'[1]Degree Days 2020'!G69</f>
        <v>31</v>
      </c>
      <c r="H69" s="119">
        <f t="shared" si="4"/>
        <v>11.2</v>
      </c>
      <c r="I69" s="117">
        <v>22</v>
      </c>
      <c r="J69" s="261">
        <f>'[15]Degree Days 2020'!J69</f>
        <v>31</v>
      </c>
      <c r="K69" s="261">
        <f>'[15]Degree Days 2020'!K69</f>
        <v>25</v>
      </c>
      <c r="L69" s="119">
        <f t="shared" si="6"/>
        <v>9.6999999999999993</v>
      </c>
      <c r="M69" s="117">
        <v>22</v>
      </c>
      <c r="N69" s="261">
        <f>'[5]General information '!B26</f>
        <v>0</v>
      </c>
      <c r="O69" s="261">
        <f>'[5]General information '!C26</f>
        <v>0</v>
      </c>
      <c r="P69" s="119">
        <f t="shared" si="7"/>
        <v>-18.3</v>
      </c>
      <c r="Q69" s="117">
        <v>22</v>
      </c>
      <c r="R69" s="261">
        <f>'[2]General information '!B26</f>
        <v>24</v>
      </c>
      <c r="S69" s="261">
        <f>'[2]General information '!C26</f>
        <v>17</v>
      </c>
      <c r="T69" s="119">
        <f>(R69+S69)/2-18.3</f>
        <v>2.1999999999999993</v>
      </c>
      <c r="U69" s="117">
        <v>22</v>
      </c>
      <c r="V69" s="261">
        <f>'General information '!B26</f>
        <v>16</v>
      </c>
      <c r="W69" s="261">
        <f>'General information '!C26</f>
        <v>13</v>
      </c>
      <c r="X69" s="119">
        <f t="shared" si="5"/>
        <v>-3.8000000000000007</v>
      </c>
    </row>
    <row r="70" spans="1:24">
      <c r="A70" s="117">
        <v>23</v>
      </c>
      <c r="B70" s="261">
        <f>'[14]Degree Days 2020'!B70</f>
        <v>0</v>
      </c>
      <c r="C70" s="261">
        <f>'[14]Degree Days 2020'!C70</f>
        <v>0</v>
      </c>
      <c r="D70" s="119">
        <f t="shared" si="9"/>
        <v>-18.3</v>
      </c>
      <c r="E70" s="117">
        <v>23</v>
      </c>
      <c r="F70" s="261">
        <f>'[1]Degree Days 2020'!F70</f>
        <v>31</v>
      </c>
      <c r="G70" s="261">
        <f>'[1]Degree Days 2020'!G70</f>
        <v>28</v>
      </c>
      <c r="H70" s="119">
        <f t="shared" si="4"/>
        <v>11.2</v>
      </c>
      <c r="I70" s="117">
        <v>23</v>
      </c>
      <c r="J70" s="261">
        <f>'[15]Degree Days 2020'!J70</f>
        <v>0</v>
      </c>
      <c r="K70" s="261">
        <f>'[15]Degree Days 2020'!K70</f>
        <v>0</v>
      </c>
      <c r="L70" s="119">
        <f t="shared" si="6"/>
        <v>-18.3</v>
      </c>
      <c r="M70" s="117">
        <v>23</v>
      </c>
      <c r="N70" s="261">
        <f>'[5]General information '!B27</f>
        <v>0</v>
      </c>
      <c r="O70" s="261">
        <f>'[5]General information '!C27</f>
        <v>0</v>
      </c>
      <c r="P70" s="119">
        <f t="shared" si="7"/>
        <v>-18.3</v>
      </c>
      <c r="Q70" s="117">
        <v>23</v>
      </c>
      <c r="R70" s="261">
        <f>'[2]General information '!B27</f>
        <v>23</v>
      </c>
      <c r="S70" s="261">
        <f>'[2]General information '!C27</f>
        <v>16</v>
      </c>
      <c r="T70" s="119">
        <f t="shared" si="8"/>
        <v>1.1999999999999993</v>
      </c>
      <c r="U70" s="117">
        <v>23</v>
      </c>
      <c r="V70" s="261">
        <f>'General information '!B27</f>
        <v>15</v>
      </c>
      <c r="W70" s="261">
        <f>'General information '!C27</f>
        <v>11</v>
      </c>
      <c r="X70" s="119">
        <f t="shared" si="5"/>
        <v>-5.3000000000000007</v>
      </c>
    </row>
    <row r="71" spans="1:24">
      <c r="A71" s="117">
        <v>24</v>
      </c>
      <c r="B71" s="261">
        <f>'[14]Degree Days 2020'!B71</f>
        <v>0</v>
      </c>
      <c r="C71" s="261">
        <f>'[14]Degree Days 2020'!C71</f>
        <v>0</v>
      </c>
      <c r="D71" s="119">
        <f t="shared" si="9"/>
        <v>-18.3</v>
      </c>
      <c r="E71" s="117">
        <v>24</v>
      </c>
      <c r="F71" s="261">
        <f>'[1]Degree Days 2020'!F71</f>
        <v>30</v>
      </c>
      <c r="G71" s="261">
        <f>'[1]Degree Days 2020'!G71</f>
        <v>26</v>
      </c>
      <c r="H71" s="119">
        <f t="shared" si="4"/>
        <v>9.6999999999999993</v>
      </c>
      <c r="I71" s="117">
        <v>24</v>
      </c>
      <c r="J71" s="261">
        <f>'[15]Degree Days 2020'!J71</f>
        <v>0</v>
      </c>
      <c r="K71" s="261">
        <f>'[15]Degree Days 2020'!K71</f>
        <v>0</v>
      </c>
      <c r="L71" s="119">
        <f t="shared" si="6"/>
        <v>-18.3</v>
      </c>
      <c r="M71" s="117">
        <v>24</v>
      </c>
      <c r="N71" s="261">
        <f>'[5]General information '!B28</f>
        <v>26</v>
      </c>
      <c r="O71" s="261">
        <f>'[5]General information '!C28</f>
        <v>21</v>
      </c>
      <c r="P71" s="119">
        <f t="shared" si="7"/>
        <v>5.1999999999999993</v>
      </c>
      <c r="Q71" s="117">
        <v>24</v>
      </c>
      <c r="R71" s="261">
        <f>'[2]General information '!B28</f>
        <v>23</v>
      </c>
      <c r="S71" s="261">
        <f>'[2]General information '!C28</f>
        <v>17</v>
      </c>
      <c r="T71" s="119">
        <f t="shared" si="8"/>
        <v>1.6999999999999993</v>
      </c>
      <c r="U71" s="117">
        <v>24</v>
      </c>
      <c r="V71" s="261">
        <f>'General information '!B28</f>
        <v>0</v>
      </c>
      <c r="W71" s="261">
        <f>'General information '!C28</f>
        <v>0</v>
      </c>
      <c r="X71" s="119">
        <f t="shared" si="5"/>
        <v>-18.3</v>
      </c>
    </row>
    <row r="72" spans="1:24">
      <c r="A72" s="117">
        <v>25</v>
      </c>
      <c r="B72" s="261">
        <f>'[14]Degree Days 2020'!B72</f>
        <v>0</v>
      </c>
      <c r="C72" s="261">
        <f>'[14]Degree Days 2020'!C72</f>
        <v>0</v>
      </c>
      <c r="D72" s="119">
        <f t="shared" si="9"/>
        <v>-18.3</v>
      </c>
      <c r="E72" s="117">
        <v>25</v>
      </c>
      <c r="F72" s="261">
        <f>'[1]Degree Days 2020'!F72</f>
        <v>30</v>
      </c>
      <c r="G72" s="261">
        <f>'[1]Degree Days 2020'!G72</f>
        <v>26</v>
      </c>
      <c r="H72" s="119">
        <f t="shared" si="4"/>
        <v>9.6999999999999993</v>
      </c>
      <c r="I72" s="117">
        <v>25</v>
      </c>
      <c r="J72" s="261">
        <f>'[15]Degree Days 2020'!J72</f>
        <v>0</v>
      </c>
      <c r="K72" s="261">
        <f>'[15]Degree Days 2020'!K72</f>
        <v>0</v>
      </c>
      <c r="L72" s="119">
        <f t="shared" si="6"/>
        <v>-18.3</v>
      </c>
      <c r="M72" s="117">
        <v>25</v>
      </c>
      <c r="N72" s="261">
        <f>'[5]General information '!B29</f>
        <v>25</v>
      </c>
      <c r="O72" s="261">
        <f>'[5]General information '!C29</f>
        <v>21</v>
      </c>
      <c r="P72" s="119">
        <f t="shared" si="7"/>
        <v>4.6999999999999993</v>
      </c>
      <c r="Q72" s="117">
        <v>25</v>
      </c>
      <c r="R72" s="261">
        <f>'[2]General information '!B29</f>
        <v>22</v>
      </c>
      <c r="S72" s="261">
        <f>'[2]General information '!C29</f>
        <v>18</v>
      </c>
      <c r="T72" s="119">
        <f t="shared" si="8"/>
        <v>1.6999999999999993</v>
      </c>
      <c r="U72" s="117">
        <v>25</v>
      </c>
      <c r="V72" s="261">
        <f>'General information '!B29</f>
        <v>0</v>
      </c>
      <c r="W72" s="261">
        <f>'General information '!C29</f>
        <v>0</v>
      </c>
      <c r="X72" s="119">
        <f t="shared" si="5"/>
        <v>-18.3</v>
      </c>
    </row>
    <row r="73" spans="1:24">
      <c r="A73" s="117">
        <v>26</v>
      </c>
      <c r="B73" s="261">
        <f>'[14]Degree Days 2020'!B73</f>
        <v>0</v>
      </c>
      <c r="C73" s="261">
        <f>'[14]Degree Days 2020'!C73</f>
        <v>0</v>
      </c>
      <c r="D73" s="119">
        <f t="shared" si="9"/>
        <v>-18.3</v>
      </c>
      <c r="E73" s="117">
        <v>26</v>
      </c>
      <c r="F73" s="261">
        <f>'[1]Degree Days 2020'!F73</f>
        <v>30</v>
      </c>
      <c r="G73" s="261">
        <f>'[1]Degree Days 2020'!G73</f>
        <v>28</v>
      </c>
      <c r="H73" s="119">
        <f t="shared" si="4"/>
        <v>10.7</v>
      </c>
      <c r="I73" s="117">
        <v>26</v>
      </c>
      <c r="J73" s="261">
        <f>'[15]Degree Days 2020'!J73</f>
        <v>28</v>
      </c>
      <c r="K73" s="261">
        <f>'[15]Degree Days 2020'!K73</f>
        <v>23</v>
      </c>
      <c r="L73" s="119">
        <f t="shared" si="6"/>
        <v>7.1999999999999993</v>
      </c>
      <c r="M73" s="117">
        <v>26</v>
      </c>
      <c r="N73" s="261">
        <f>'[5]General information '!B30</f>
        <v>26</v>
      </c>
      <c r="O73" s="261">
        <f>'[5]General information '!C30</f>
        <v>21</v>
      </c>
      <c r="P73" s="119">
        <f t="shared" si="7"/>
        <v>5.1999999999999993</v>
      </c>
      <c r="Q73" s="117">
        <v>26</v>
      </c>
      <c r="R73" s="261">
        <f>'[2]General information '!B30</f>
        <v>0</v>
      </c>
      <c r="S73" s="261">
        <f>'[2]General information '!C30</f>
        <v>0</v>
      </c>
      <c r="T73" s="119">
        <f t="shared" si="8"/>
        <v>-18.3</v>
      </c>
      <c r="U73" s="117">
        <v>26</v>
      </c>
      <c r="V73" s="261">
        <f>'General information '!B30</f>
        <v>0</v>
      </c>
      <c r="W73" s="261">
        <f>'General information '!C30</f>
        <v>0</v>
      </c>
      <c r="X73" s="119">
        <f t="shared" si="5"/>
        <v>-18.3</v>
      </c>
    </row>
    <row r="74" spans="1:24">
      <c r="A74" s="117">
        <v>27</v>
      </c>
      <c r="B74" s="261">
        <f>'[14]Degree Days 2020'!B74</f>
        <v>31</v>
      </c>
      <c r="C74" s="261">
        <f>'[14]Degree Days 2020'!C74</f>
        <v>26</v>
      </c>
      <c r="D74" s="119">
        <f t="shared" si="9"/>
        <v>10.199999999999999</v>
      </c>
      <c r="E74" s="117">
        <v>27</v>
      </c>
      <c r="F74" s="261">
        <f>'[1]Degree Days 2020'!F74</f>
        <v>0</v>
      </c>
      <c r="G74" s="261">
        <f>'[1]Degree Days 2020'!G74</f>
        <v>0</v>
      </c>
      <c r="H74" s="119">
        <f t="shared" si="4"/>
        <v>-18.3</v>
      </c>
      <c r="I74" s="117">
        <v>27</v>
      </c>
      <c r="J74" s="261">
        <f>'[15]Degree Days 2020'!J74</f>
        <v>0</v>
      </c>
      <c r="K74" s="261">
        <f>'[15]Degree Days 2020'!K74</f>
        <v>0</v>
      </c>
      <c r="L74" s="119">
        <f t="shared" si="6"/>
        <v>-18.3</v>
      </c>
      <c r="M74" s="117">
        <v>27</v>
      </c>
      <c r="N74" s="261">
        <f>'[5]General information '!B31</f>
        <v>26</v>
      </c>
      <c r="O74" s="261">
        <f>'[5]General information '!C31</f>
        <v>21</v>
      </c>
      <c r="P74" s="119">
        <f t="shared" si="7"/>
        <v>5.1999999999999993</v>
      </c>
      <c r="Q74" s="117">
        <v>27</v>
      </c>
      <c r="R74" s="261">
        <f>'[2]General information '!B31</f>
        <v>0</v>
      </c>
      <c r="S74" s="261">
        <f>'[2]General information '!C31</f>
        <v>0</v>
      </c>
      <c r="T74" s="119">
        <f t="shared" si="8"/>
        <v>-18.3</v>
      </c>
      <c r="U74" s="117">
        <v>27</v>
      </c>
      <c r="V74" s="261">
        <f>'General information '!B31</f>
        <v>19</v>
      </c>
      <c r="W74" s="261">
        <f>'General information '!C31</f>
        <v>12</v>
      </c>
      <c r="X74" s="119">
        <f t="shared" si="5"/>
        <v>-2.8000000000000007</v>
      </c>
    </row>
    <row r="75" spans="1:24">
      <c r="A75" s="117">
        <v>28</v>
      </c>
      <c r="B75" s="261">
        <f>'[14]Degree Days 2020'!B75</f>
        <v>32</v>
      </c>
      <c r="C75" s="261">
        <f>'[14]Degree Days 2020'!C75</f>
        <v>29</v>
      </c>
      <c r="D75" s="119">
        <f t="shared" si="9"/>
        <v>12.2</v>
      </c>
      <c r="E75" s="117">
        <v>28</v>
      </c>
      <c r="F75" s="261">
        <f>'[1]Degree Days 2020'!F75</f>
        <v>0</v>
      </c>
      <c r="G75" s="261">
        <f>'[1]Degree Days 2020'!G75</f>
        <v>0</v>
      </c>
      <c r="H75" s="119">
        <f t="shared" si="4"/>
        <v>-18.3</v>
      </c>
      <c r="I75" s="117">
        <v>28</v>
      </c>
      <c r="J75" s="261">
        <f>'[15]Degree Days 2020'!J75</f>
        <v>28</v>
      </c>
      <c r="K75" s="261">
        <f>'[15]Degree Days 2020'!K75</f>
        <v>24</v>
      </c>
      <c r="L75" s="119">
        <f t="shared" si="6"/>
        <v>7.6999999999999993</v>
      </c>
      <c r="M75" s="117">
        <v>28</v>
      </c>
      <c r="N75" s="261">
        <f>'[5]General information '!B32</f>
        <v>28</v>
      </c>
      <c r="O75" s="261">
        <f>'[5]General information '!C32</f>
        <v>20</v>
      </c>
      <c r="P75" s="119">
        <f t="shared" si="7"/>
        <v>5.6999999999999993</v>
      </c>
      <c r="Q75" s="117">
        <v>28</v>
      </c>
      <c r="R75" s="261">
        <f>'[2]General information '!B32</f>
        <v>25</v>
      </c>
      <c r="S75" s="261">
        <f>'[2]General information '!C32</f>
        <v>18</v>
      </c>
      <c r="T75" s="119">
        <f t="shared" si="8"/>
        <v>3.1999999999999993</v>
      </c>
      <c r="U75" s="117">
        <v>28</v>
      </c>
      <c r="V75" s="261">
        <f>'General information '!B32</f>
        <v>19</v>
      </c>
      <c r="W75" s="261">
        <f>'General information '!C32</f>
        <v>13</v>
      </c>
      <c r="X75" s="119">
        <f t="shared" si="5"/>
        <v>-2.3000000000000007</v>
      </c>
    </row>
    <row r="76" spans="1:24">
      <c r="A76" s="117">
        <v>29</v>
      </c>
      <c r="B76" s="261">
        <f>'[14]Degree Days 2020'!B76</f>
        <v>32</v>
      </c>
      <c r="C76" s="261">
        <f>'[14]Degree Days 2020'!C76</f>
        <v>27</v>
      </c>
      <c r="D76" s="119">
        <f t="shared" si="9"/>
        <v>11.2</v>
      </c>
      <c r="E76" s="117">
        <v>29</v>
      </c>
      <c r="F76" s="261">
        <f>'[1]Degree Days 2020'!F76</f>
        <v>0</v>
      </c>
      <c r="G76" s="261">
        <f>'[1]Degree Days 2020'!G76</f>
        <v>0</v>
      </c>
      <c r="H76" s="119">
        <f t="shared" si="4"/>
        <v>-18.3</v>
      </c>
      <c r="I76" s="117">
        <v>29</v>
      </c>
      <c r="J76" s="261">
        <f>'[15]Degree Days 2020'!J76</f>
        <v>28</v>
      </c>
      <c r="K76" s="261">
        <f>'[15]Degree Days 2020'!K76</f>
        <v>25</v>
      </c>
      <c r="L76" s="119">
        <f t="shared" si="6"/>
        <v>8.1999999999999993</v>
      </c>
      <c r="M76" s="117">
        <v>29</v>
      </c>
      <c r="N76" s="261">
        <f>'[5]General information '!B33</f>
        <v>0</v>
      </c>
      <c r="O76" s="261">
        <f>'[5]General information '!C33</f>
        <v>0</v>
      </c>
      <c r="P76" s="119">
        <f t="shared" si="7"/>
        <v>-18.3</v>
      </c>
      <c r="Q76" s="117">
        <v>29</v>
      </c>
      <c r="R76" s="261">
        <f>'[2]General information '!B33</f>
        <v>25</v>
      </c>
      <c r="S76" s="261">
        <f>'[2]General information '!C33</f>
        <v>18</v>
      </c>
      <c r="T76" s="119">
        <f t="shared" si="8"/>
        <v>3.1999999999999993</v>
      </c>
      <c r="U76" s="117">
        <v>29</v>
      </c>
      <c r="V76" s="261">
        <f>'General information '!B33</f>
        <v>19</v>
      </c>
      <c r="W76" s="261">
        <f>'General information '!C33</f>
        <v>14</v>
      </c>
      <c r="X76" s="119">
        <f t="shared" si="5"/>
        <v>-1.8000000000000007</v>
      </c>
    </row>
    <row r="77" spans="1:24">
      <c r="A77" s="117">
        <v>30</v>
      </c>
      <c r="B77" s="261">
        <f>'[14]Degree Days 2020'!B77</f>
        <v>31</v>
      </c>
      <c r="C77" s="261">
        <f>'[14]Degree Days 2020'!C77</f>
        <v>29</v>
      </c>
      <c r="D77" s="119">
        <f t="shared" si="9"/>
        <v>11.7</v>
      </c>
      <c r="E77" s="117">
        <v>30</v>
      </c>
      <c r="F77" s="261">
        <f>'[1]Degree Days 2020'!F77</f>
        <v>31</v>
      </c>
      <c r="G77" s="261">
        <f>'[1]Degree Days 2020'!G77</f>
        <v>26</v>
      </c>
      <c r="H77" s="119">
        <f t="shared" si="4"/>
        <v>10.199999999999999</v>
      </c>
      <c r="I77" s="117">
        <v>30</v>
      </c>
      <c r="J77" s="261">
        <f>'[15]Degree Days 2020'!J77</f>
        <v>28</v>
      </c>
      <c r="K77" s="261">
        <f>'[15]Degree Days 2020'!K77</f>
        <v>24</v>
      </c>
      <c r="L77" s="119">
        <f t="shared" si="6"/>
        <v>7.6999999999999993</v>
      </c>
      <c r="M77" s="117">
        <v>30</v>
      </c>
      <c r="N77" s="261">
        <f>'[5]General information '!B34</f>
        <v>0</v>
      </c>
      <c r="O77" s="261">
        <f>'[5]General information '!C34</f>
        <v>0</v>
      </c>
      <c r="P77" s="119">
        <f t="shared" si="7"/>
        <v>-18.3</v>
      </c>
      <c r="Q77" s="117">
        <v>30</v>
      </c>
      <c r="R77" s="261">
        <f>'[2]General information '!B34</f>
        <v>28</v>
      </c>
      <c r="S77" s="261">
        <f>'[2]General information '!C34</f>
        <v>19</v>
      </c>
      <c r="T77" s="119">
        <f t="shared" si="8"/>
        <v>5.1999999999999993</v>
      </c>
      <c r="U77" s="117">
        <v>30</v>
      </c>
      <c r="V77" s="261">
        <f>'General information '!B34</f>
        <v>0</v>
      </c>
      <c r="W77" s="261">
        <f>'General information '!C34</f>
        <v>0</v>
      </c>
      <c r="X77" s="119">
        <f t="shared" si="5"/>
        <v>-18.3</v>
      </c>
    </row>
    <row r="78" spans="1:24">
      <c r="A78" s="120">
        <v>31</v>
      </c>
      <c r="B78" s="261">
        <f>'[14]Degree Days 2020'!B78</f>
        <v>31</v>
      </c>
      <c r="C78" s="261">
        <f>'[14]Degree Days 2020'!C78</f>
        <v>28</v>
      </c>
      <c r="D78" s="119">
        <f t="shared" si="9"/>
        <v>11.2</v>
      </c>
      <c r="E78" s="120">
        <v>31</v>
      </c>
      <c r="F78" s="261">
        <f>'[1]Degree Days 2020'!F78</f>
        <v>31</v>
      </c>
      <c r="G78" s="261">
        <f>'[1]Degree Days 2020'!G78</f>
        <v>27</v>
      </c>
      <c r="H78" s="119">
        <f t="shared" si="4"/>
        <v>10.7</v>
      </c>
      <c r="I78" s="120"/>
      <c r="J78" s="261"/>
      <c r="K78" s="261"/>
      <c r="L78" s="122"/>
      <c r="M78" s="120">
        <v>31</v>
      </c>
      <c r="N78" s="261">
        <f>'[5]General information '!B35</f>
        <v>28</v>
      </c>
      <c r="O78" s="261">
        <f>'[5]General information '!C35</f>
        <v>21</v>
      </c>
      <c r="P78" s="122">
        <f t="shared" si="7"/>
        <v>6.1999999999999993</v>
      </c>
      <c r="Q78" s="120"/>
      <c r="R78" s="261"/>
      <c r="S78" s="261"/>
      <c r="T78" s="122"/>
      <c r="U78" s="120">
        <v>31</v>
      </c>
      <c r="V78" s="261">
        <f>'General information '!B35</f>
        <v>0</v>
      </c>
      <c r="W78" s="261">
        <f>'General information '!C35</f>
        <v>0</v>
      </c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-183.00000000000003</v>
      </c>
      <c r="K81" s="119">
        <f>SUMIF(L48:L78,"&gt;0")</f>
        <v>176.99999999999997</v>
      </c>
      <c r="L81" s="130"/>
      <c r="M81" s="129"/>
      <c r="N81" s="119">
        <f>SUMIF(P48:P78,"&lt;0")</f>
        <v>-237.90000000000006</v>
      </c>
      <c r="O81" s="119">
        <f>SUMIF(P48:P78,"&gt;0")</f>
        <v>111.60000000000004</v>
      </c>
      <c r="P81" s="130"/>
      <c r="Q81" s="129"/>
      <c r="R81" s="119">
        <f>SUMIF(T48:T78,"&lt;0")</f>
        <v>-164.70000000000002</v>
      </c>
      <c r="S81" s="119">
        <f>SUMIF(T48:T78,"&gt;0")</f>
        <v>78.700000000000031</v>
      </c>
      <c r="T81" s="130"/>
      <c r="U81" s="129"/>
      <c r="V81" s="119">
        <f>SUMIF(X48:X78,"&lt;0")</f>
        <v>-233.20000000000007</v>
      </c>
      <c r="W81" s="119">
        <f>SUMIF(X48:X78,"&gt;0")</f>
        <v>6.399999999999995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2" t="s">
        <v>174</v>
      </c>
      <c r="O84" s="712" t="s">
        <v>175</v>
      </c>
      <c r="P84" s="134"/>
      <c r="T84" s="134"/>
      <c r="X84" s="134"/>
    </row>
    <row r="85" spans="1:24" ht="20.25" thickBot="1">
      <c r="D85" s="134"/>
      <c r="I85" s="714" t="s">
        <v>182</v>
      </c>
      <c r="J85" s="715"/>
      <c r="K85" s="715"/>
      <c r="L85" s="715"/>
      <c r="N85" s="713"/>
      <c r="O85" s="713"/>
      <c r="P85" s="134"/>
      <c r="R85" s="17"/>
      <c r="S85" s="17"/>
      <c r="T85" s="140"/>
      <c r="U85" s="141"/>
      <c r="X85" s="134"/>
    </row>
    <row r="86" spans="1:24" ht="18.75" thickBot="1">
      <c r="D86" s="134"/>
      <c r="I86" s="716" t="s">
        <v>183</v>
      </c>
      <c r="J86" s="716"/>
      <c r="K86" s="716"/>
      <c r="L86" s="716"/>
      <c r="N86" s="142">
        <f>B43+F43+J43+N43+R43+V43+B81+F81+J81+N81+R81+V81</f>
        <v>-1558.2</v>
      </c>
      <c r="O86" s="142">
        <f>C43+G43+K43+O43+S43+W43+C81+G81+K81+O81+S81+W81</f>
        <v>1203.7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6"/>
      <c r="C88" s="706"/>
      <c r="D88" s="706"/>
      <c r="E88" s="706"/>
      <c r="F88" s="706"/>
      <c r="G88" s="706"/>
      <c r="H88" s="706"/>
      <c r="I88" s="706"/>
      <c r="J88" s="706"/>
      <c r="K88" s="706"/>
      <c r="L88" s="706"/>
      <c r="M88" s="706"/>
      <c r="N88" s="706"/>
      <c r="O88" s="706"/>
      <c r="P88" s="706"/>
      <c r="Q88" s="706"/>
      <c r="R88" s="706"/>
      <c r="S88" s="706"/>
      <c r="T88" s="706"/>
      <c r="U88" s="706"/>
      <c r="V88" s="706"/>
      <c r="W88" s="70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J35" sqref="J35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0" t="s">
        <v>214</v>
      </c>
      <c r="B2" s="720"/>
      <c r="C2" s="720"/>
      <c r="D2" s="720"/>
      <c r="E2" s="720"/>
      <c r="F2" s="720"/>
      <c r="G2" s="720"/>
      <c r="H2" s="720"/>
      <c r="I2" s="720"/>
    </row>
    <row r="3" spans="1:11">
      <c r="A3" s="193">
        <v>44551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29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332</v>
      </c>
      <c r="C7" s="184">
        <v>8200</v>
      </c>
      <c r="D7" s="187">
        <f>SUM(C7)*D4</f>
        <v>12361500</v>
      </c>
      <c r="E7" s="185">
        <f>SUM(I7/G4)</f>
        <v>300.0344827586207</v>
      </c>
      <c r="F7" s="185">
        <f>SUM(E7*F4)</f>
        <v>9301.0689655172409</v>
      </c>
      <c r="G7" s="478">
        <v>8200</v>
      </c>
      <c r="H7" s="189">
        <v>8200</v>
      </c>
      <c r="I7" s="185">
        <f>'[16]Budget 2021'!$I$15</f>
        <v>8701</v>
      </c>
      <c r="J7" s="265"/>
    </row>
    <row r="8" spans="1:11">
      <c r="A8" s="190" t="s">
        <v>217</v>
      </c>
      <c r="B8" s="336">
        <f>tanks!AT37</f>
        <v>35000</v>
      </c>
      <c r="C8" s="466">
        <f>SUM(tanks!AU37)</f>
        <v>0.61225000000000007</v>
      </c>
      <c r="D8" s="191">
        <f>SUM(B8*C8)*D4</f>
        <v>32303840.625000004</v>
      </c>
      <c r="E8" s="192">
        <f>SUM(D8/D4/F4)</f>
        <v>691.25000000000011</v>
      </c>
      <c r="F8" s="192">
        <f>SUM(E8*F4)</f>
        <v>21428.750000000004</v>
      </c>
      <c r="G8" s="574">
        <f>E8*$G$4</f>
        <v>20046.250000000004</v>
      </c>
      <c r="H8" s="189">
        <v>30289.9</v>
      </c>
      <c r="I8" s="192">
        <f>'[16]Budget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3944</v>
      </c>
      <c r="C10" s="181"/>
      <c r="D10" s="183">
        <f>'EDl log'!AB30</f>
        <v>7701501</v>
      </c>
      <c r="E10" s="182">
        <f>SUM(D10/D4/F4)</f>
        <v>164.79967902423365</v>
      </c>
      <c r="F10" s="182">
        <f>SUM(E10*F4)</f>
        <v>5108.7900497512437</v>
      </c>
      <c r="G10" s="478">
        <f>E10*$G$4</f>
        <v>4779.1906917027763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1156.0841617828544</v>
      </c>
      <c r="F12" s="180">
        <f>SUM(F6:F10)</f>
        <v>35838.609015268492</v>
      </c>
      <c r="G12" s="179">
        <f>SUM(G6:G10)</f>
        <v>33025.440691702781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2020'!K81</f>
        <v>176.99999999999997</v>
      </c>
      <c r="C14" s="416">
        <f>'[17]Utility Cost '!B14</f>
        <v>246.49999999999986</v>
      </c>
      <c r="D14" s="170"/>
      <c r="E14" s="416">
        <f>B14-C14</f>
        <v>-69.499999999999886</v>
      </c>
      <c r="F14" s="477">
        <v>0</v>
      </c>
      <c r="G14" s="405"/>
      <c r="H14" s="406">
        <f>SUM(G12-H12)</f>
        <v>-47103.459308297213</v>
      </c>
      <c r="I14" s="406">
        <f>SUM(G12-I12)</f>
        <v>-18218.479028727328</v>
      </c>
    </row>
    <row r="15" spans="1:11">
      <c r="A15" s="428" t="s">
        <v>301</v>
      </c>
      <c r="B15" s="97">
        <f>'Degree Days 2020'!J81</f>
        <v>-183.00000000000003</v>
      </c>
      <c r="C15" s="416">
        <f>'[17]Utility Cost '!B15</f>
        <v>-1.8000000000000007</v>
      </c>
      <c r="D15" s="170"/>
      <c r="E15" s="416">
        <f>B15-C15</f>
        <v>-181.20000000000002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30.954545454545453</v>
      </c>
      <c r="C16" s="416">
        <f>'[17]Utility Cost '!B16</f>
        <v>16.903225806451612</v>
      </c>
      <c r="D16" s="415"/>
      <c r="E16" s="580">
        <f>B16-C16</f>
        <v>14.051319648093841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416">
        <f>'[17]Utility Cost '!B17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218</v>
      </c>
      <c r="C18" s="416">
        <f>'[17]Utility Cost '!B18</f>
        <v>112</v>
      </c>
      <c r="D18" s="413">
        <f>'[18]Other Fuel Calculation 2021'!$G$116</f>
        <v>202.66666666666666</v>
      </c>
      <c r="E18" s="492">
        <f>B18-C18</f>
        <v>106</v>
      </c>
      <c r="F18" s="495">
        <f>B18-D18</f>
        <v>15.333333333333343</v>
      </c>
    </row>
    <row r="19" spans="1:10">
      <c r="A19" s="489" t="s">
        <v>412</v>
      </c>
      <c r="B19" s="493">
        <f>GEN!AL34</f>
        <v>20</v>
      </c>
      <c r="C19" s="416">
        <f>'[17]Utility Cost '!B19</f>
        <v>3.6129032258064515</v>
      </c>
      <c r="D19" s="413"/>
      <c r="E19" s="492"/>
      <c r="F19" s="495"/>
    </row>
    <row r="20" spans="1:10">
      <c r="A20" s="489" t="s">
        <v>406</v>
      </c>
      <c r="B20" s="487">
        <f>B18/B19</f>
        <v>10.9</v>
      </c>
      <c r="C20" s="416">
        <f>'[17]Utility Cost '!B20</f>
        <v>0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4"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Sheet3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2021-12-30T09:53:25Z</dcterms:modified>
</cp:coreProperties>
</file>