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I25" i="3"/>
  <c r="J27" i="2"/>
  <c r="I27" i="2"/>
  <c r="H27" i="2"/>
  <c r="L26" i="3"/>
  <c r="I26" i="3"/>
  <c r="G26" i="3"/>
  <c r="E26" i="3"/>
  <c r="J26" i="2"/>
  <c r="I26" i="2"/>
  <c r="H26" i="2"/>
  <c r="F26" i="2"/>
  <c r="E26" i="2"/>
  <c r="L25" i="3"/>
  <c r="K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L23" i="3"/>
  <c r="I23" i="3"/>
  <c r="G23" i="3"/>
  <c r="E23" i="3"/>
  <c r="K23" i="3"/>
  <c r="L22" i="3"/>
  <c r="K22" i="3"/>
  <c r="I22" i="3"/>
  <c r="G22" i="3"/>
  <c r="E22" i="3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<sst xmlns="http://schemas.openxmlformats.org/spreadsheetml/2006/main" count="106" uniqueCount="37">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</sst>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5" sqref="P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9636.3000000000466</v>
      </c>
      <c r="F18" s="25">
        <v>0.11799999999999999</v>
      </c>
      <c r="G18" s="27">
        <f>(('10 - 2019'!E23-'10 - 2019'!E22)+('10 - 2019'!F23-'10 - 2019'!F22)+('10 - 2019'!G23-'10 - 2019'!G22))*1.81</f>
        <v>134.26580000000135</v>
      </c>
      <c r="H18" s="25">
        <v>0.99</v>
      </c>
      <c r="I18" s="27">
        <f>'10 - 2019'!J23-'10 - 2019'!J22</f>
        <v>29374</v>
      </c>
      <c r="J18" s="25">
        <v>8.1000000000000003E-2</v>
      </c>
      <c r="K18" s="27">
        <f>'10 - 2019'!H23-'10 - 2019'!H22</f>
        <v>0</v>
      </c>
      <c r="L18" s="27">
        <f>'10 - 2019'!I23-'10 - 2019'!I22</f>
        <v>112</v>
      </c>
      <c r="M18" s="26">
        <v>4.393629424766913</v>
      </c>
      <c r="N18" s="27">
        <v>67</v>
      </c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10925.699999999953</v>
      </c>
      <c r="F19" s="25">
        <v>0.11799999999999999</v>
      </c>
      <c r="G19" s="27">
        <f>(('10 - 2019'!E24-'10 - 2019'!E23)+('10 - 2019'!F24-'10 - 2019'!F23)+('10 - 2019'!G24-'10 - 2019'!G23))*1.81</f>
        <v>140.61890000000051</v>
      </c>
      <c r="H19" s="25">
        <v>0.99</v>
      </c>
      <c r="I19" s="27">
        <f>'10 - 2019'!J24-'10 - 2019'!J23</f>
        <v>35133</v>
      </c>
      <c r="J19" s="25">
        <v>8.1000000000000003E-2</v>
      </c>
      <c r="K19" s="27">
        <f>'10 - 2019'!H24-'10 - 2019'!H23</f>
        <v>0</v>
      </c>
      <c r="L19" s="27">
        <f>'10 - 2019'!I24-'10 - 2019'!I23</f>
        <v>113</v>
      </c>
      <c r="M19" s="26">
        <v>4.393629424766913</v>
      </c>
      <c r="N19" s="27">
        <v>68</v>
      </c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8397.3000000000466</v>
      </c>
      <c r="F20" s="25">
        <v>0.11799999999999999</v>
      </c>
      <c r="G20" s="27">
        <f>(('10 - 2019'!E25-'10 - 2019'!E24)+('10 - 2019'!F25-'10 - 2019'!F24)+('10 - 2019'!G25-'10 - 2019'!G24))*1.81</f>
        <v>111.31500000000206</v>
      </c>
      <c r="H20" s="25">
        <v>0.99</v>
      </c>
      <c r="I20" s="27">
        <f>'10 - 2019'!J25-'10 - 2019'!J24</f>
        <v>25479</v>
      </c>
      <c r="J20" s="25">
        <v>8.1000000000000003E-2</v>
      </c>
      <c r="K20" s="27">
        <f>'10 - 2019'!H25-'10 - 2019'!H24</f>
        <v>0</v>
      </c>
      <c r="L20" s="27">
        <f>'10 - 2019'!I25-'10 - 2019'!I24</f>
        <v>112</v>
      </c>
      <c r="M20" s="26">
        <v>4.393629424766913</v>
      </c>
      <c r="N20" s="27">
        <v>56</v>
      </c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v>0</v>
      </c>
      <c r="F21" s="25">
        <v>0.11799999999999999</v>
      </c>
      <c r="G21" s="27">
        <v>0</v>
      </c>
      <c r="H21" s="25">
        <v>0.99</v>
      </c>
      <c r="I21" s="27">
        <v>0</v>
      </c>
      <c r="J21" s="25">
        <v>8.1000000000000003E-2</v>
      </c>
      <c r="K21" s="27">
        <v>0</v>
      </c>
      <c r="L21" s="27">
        <v>0</v>
      </c>
      <c r="M21" s="26">
        <v>4.3936294247669103</v>
      </c>
      <c r="N21" s="6"/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0</v>
      </c>
      <c r="F22" s="25">
        <v>0.11799999999999999</v>
      </c>
      <c r="G22" s="27">
        <f>(('10 - 2019'!E27-'10 - 2019'!E26)+('10 - 2019'!F27-'10 - 2019'!F26)+('10 - 2019'!G27-'10 - 2019'!G26))*1.81</f>
        <v>0</v>
      </c>
      <c r="H22" s="25">
        <v>0.99</v>
      </c>
      <c r="I22" s="27">
        <f>'10 - 2019'!J27-'10 - 2019'!J26</f>
        <v>0</v>
      </c>
      <c r="J22" s="25">
        <v>8.1000000000000003E-2</v>
      </c>
      <c r="K22" s="27">
        <f>'10 - 2019'!H27-'10 - 2019'!H26</f>
        <v>0</v>
      </c>
      <c r="L22" s="27">
        <f>'10 - 2019'!I27-'10 - 2019'!I26</f>
        <v>0</v>
      </c>
      <c r="M22" s="26">
        <v>4.3936294247669103</v>
      </c>
      <c r="N22" s="6"/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0</v>
      </c>
      <c r="F23" s="25">
        <v>0.11799999999999999</v>
      </c>
      <c r="G23" s="27">
        <f>(('10 - 2019'!E28-'10 - 2019'!E27)+('10 - 2019'!F28-'10 - 2019'!F27)+('10 - 2019'!G28-'10 - 2019'!G27))*1.81</f>
        <v>0</v>
      </c>
      <c r="H23" s="25">
        <v>0.99</v>
      </c>
      <c r="I23" s="27">
        <f>'10 - 2019'!J28-'10 - 2019'!J27</f>
        <v>0</v>
      </c>
      <c r="J23" s="25">
        <v>8.1000000000000003E-2</v>
      </c>
      <c r="K23" s="27">
        <f>'10 - 2019'!H28-'10 - 2019'!H27</f>
        <v>0</v>
      </c>
      <c r="L23" s="27">
        <f>'10 - 2019'!I28-'10 - 2019'!I27</f>
        <v>0</v>
      </c>
      <c r="M23" s="26">
        <v>4.3936294247669103</v>
      </c>
      <c r="N23" s="6"/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0</v>
      </c>
      <c r="F24" s="25">
        <v>0.11799999999999999</v>
      </c>
      <c r="G24" s="27">
        <f>(('10 - 2019'!E29-'10 - 2019'!E28)+('10 - 2019'!F29-'10 - 2019'!F28)+('10 - 2019'!G29-'10 - 2019'!G28))*1.81</f>
        <v>0</v>
      </c>
      <c r="H24" s="25">
        <v>0.99</v>
      </c>
      <c r="I24" s="27">
        <f>'10 - 2019'!J29-'10 - 2019'!J28</f>
        <v>0</v>
      </c>
      <c r="J24" s="25">
        <v>8.1000000000000003E-2</v>
      </c>
      <c r="K24" s="27">
        <f>'10 - 2019'!H29-'10 - 2019'!H28</f>
        <v>0</v>
      </c>
      <c r="L24" s="27">
        <f>'10 - 2019'!I29-'10 - 2019'!I28</f>
        <v>0</v>
      </c>
      <c r="M24" s="26">
        <v>4.3936294247669103</v>
      </c>
      <c r="N24" s="6"/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0</v>
      </c>
      <c r="F25" s="25">
        <v>0.11799999999999999</v>
      </c>
      <c r="G25" s="27">
        <f>(('10 - 2019'!E30-'10 - 2019'!E29)+('10 - 2019'!F30-'10 - 2019'!F29)+('10 - 2019'!G30-'10 - 2019'!G29))*1.81</f>
        <v>0</v>
      </c>
      <c r="H25" s="25">
        <v>0.99</v>
      </c>
      <c r="I25" s="27">
        <f>'10 - 2019'!J30-'10 - 2019'!J29</f>
        <v>0</v>
      </c>
      <c r="J25" s="25">
        <v>8.1000000000000003E-2</v>
      </c>
      <c r="K25" s="27">
        <f>'10 - 2019'!H30-'10 - 2019'!H29</f>
        <v>0</v>
      </c>
      <c r="L25" s="27">
        <f>'10 - 2019'!I30-'10 - 2019'!I29</f>
        <v>0</v>
      </c>
      <c r="M25" s="26">
        <v>4.3936294247669103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0</v>
      </c>
      <c r="F26" s="25">
        <v>0.11799999999999999</v>
      </c>
      <c r="G26" s="27">
        <f>(('10 - 2019'!E31-'10 - 2019'!E30)+('10 - 2019'!F31-'10 - 2019'!F30)+('10 - 2019'!G31-'10 - 2019'!G30))*1.81</f>
        <v>0</v>
      </c>
      <c r="H26" s="25">
        <v>0.99</v>
      </c>
      <c r="I26" s="27">
        <f>'10 - 2019'!J31-'10 - 2019'!J30</f>
        <v>0</v>
      </c>
      <c r="J26" s="25">
        <v>8.1000000000000003E-2</v>
      </c>
      <c r="K26" s="27">
        <v>0</v>
      </c>
      <c r="L26" s="27">
        <f>'10 - 2019'!I31-'10 - 2019'!I30</f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20" sqref="O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3337.3000000000029</v>
      </c>
      <c r="F18" s="27">
        <f>'10 - 2019'!C23-'10 - 2019'!C22</f>
        <v>6299</v>
      </c>
      <c r="G18" s="25">
        <v>0.11799999999999999</v>
      </c>
      <c r="H18" s="27">
        <f>'10 - 2019'!E23-'10 - 2019'!E22</f>
        <v>30.630000000000109</v>
      </c>
      <c r="I18" s="27">
        <f>'10 - 2019'!F23-'10 - 2019'!F22</f>
        <v>6.9400000000000546</v>
      </c>
      <c r="J18" s="27">
        <f>'10 - 2019'!G23-'10 - 2019'!G22</f>
        <v>36.610000000000582</v>
      </c>
      <c r="K18" s="25">
        <v>0.74</v>
      </c>
      <c r="L18" s="27">
        <v>67</v>
      </c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3803.6999999999971</v>
      </c>
      <c r="F19" s="27">
        <f>'10 - 2019'!C24-'10 - 2019'!C23</f>
        <v>7122</v>
      </c>
      <c r="G19" s="25">
        <v>0.11799999999999999</v>
      </c>
      <c r="H19" s="27">
        <f>'10 - 2019'!E24-'10 - 2019'!E23</f>
        <v>29.420000000000073</v>
      </c>
      <c r="I19" s="27">
        <f>'10 - 2019'!F24-'10 - 2019'!F23</f>
        <v>7.5899999999999181</v>
      </c>
      <c r="J19" s="27">
        <f>'10 - 2019'!G24-'10 - 2019'!G23</f>
        <v>40.680000000000291</v>
      </c>
      <c r="K19" s="25">
        <v>0.74</v>
      </c>
      <c r="L19" s="6">
        <v>68</v>
      </c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2988.3000000000029</v>
      </c>
      <c r="F20" s="27">
        <f>'10 - 2019'!C25-'10 - 2019'!C24</f>
        <v>5409</v>
      </c>
      <c r="G20" s="25">
        <v>0.11799999999999999</v>
      </c>
      <c r="H20" s="27">
        <f>'10 - 2019'!E25-'10 - 2019'!E24</f>
        <v>22.050000000000182</v>
      </c>
      <c r="I20" s="27">
        <f>'10 - 2019'!F25-'10 - 2019'!F24</f>
        <v>6.4100000000000819</v>
      </c>
      <c r="J20" s="27">
        <f>'10 - 2019'!G25-'10 - 2019'!G24</f>
        <v>33.040000000000873</v>
      </c>
      <c r="K20" s="25">
        <v>0.74</v>
      </c>
      <c r="L20" s="6">
        <v>56</v>
      </c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v>0</v>
      </c>
      <c r="F21" s="27">
        <v>0</v>
      </c>
      <c r="G21" s="25">
        <v>0.11799999999999999</v>
      </c>
      <c r="H21" s="27">
        <v>0</v>
      </c>
      <c r="I21" s="27">
        <v>0</v>
      </c>
      <c r="J21" s="27"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0</v>
      </c>
      <c r="F22" s="27">
        <f>'10 - 2019'!C27-'10 - 2019'!C26</f>
        <v>0</v>
      </c>
      <c r="G22" s="25">
        <v>0.11799999999999999</v>
      </c>
      <c r="H22" s="27">
        <f>'10 - 2019'!E27-'10 - 2019'!E26</f>
        <v>0</v>
      </c>
      <c r="I22" s="27">
        <f>'10 - 2019'!F27-'10 - 2019'!F26</f>
        <v>0</v>
      </c>
      <c r="J22" s="27">
        <f>'10 - 2019'!G27-'10 - 2019'!G26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0</v>
      </c>
      <c r="F23" s="27">
        <f>'10 - 2019'!C28-'10 - 2019'!C27</f>
        <v>0</v>
      </c>
      <c r="G23" s="25">
        <v>0.11799999999999999</v>
      </c>
      <c r="H23" s="27">
        <f>'10 - 2019'!E28-'10 - 2019'!E27</f>
        <v>0</v>
      </c>
      <c r="I23" s="27">
        <f>'10 - 2019'!F28-'10 - 2019'!F27</f>
        <v>0</v>
      </c>
      <c r="J23" s="27">
        <f>'10 - 2019'!G28-'10 - 2019'!G27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0</v>
      </c>
      <c r="F24" s="27">
        <f>'10 - 2019'!C29-'10 - 2019'!C28</f>
        <v>0</v>
      </c>
      <c r="G24" s="25">
        <v>0.11799999999999999</v>
      </c>
      <c r="H24" s="27">
        <f>'10 - 2019'!E29-'10 - 2019'!E28</f>
        <v>0</v>
      </c>
      <c r="I24" s="27">
        <f>'10 - 2019'!F29-'10 - 2019'!F28</f>
        <v>0</v>
      </c>
      <c r="J24" s="27">
        <f>'10 - 2019'!G29-'10 - 2019'!G28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0</v>
      </c>
      <c r="F25" s="27">
        <f>'10 - 2019'!C30-'10 - 2019'!C29</f>
        <v>0</v>
      </c>
      <c r="G25" s="25">
        <v>0.11799999999999999</v>
      </c>
      <c r="H25" s="27">
        <f>'10 - 2019'!E30-'10 - 2019'!E29</f>
        <v>0</v>
      </c>
      <c r="I25" s="27">
        <f>'10 - 2019'!F30-'10 - 2019'!F29</f>
        <v>0</v>
      </c>
      <c r="J25" s="27">
        <f>'10 - 2019'!G30-'10 - 2019'!G29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0</v>
      </c>
      <c r="F26" s="27">
        <f>'10 - 2019'!C31-'10 - 2019'!C30</f>
        <v>0</v>
      </c>
      <c r="G26" s="25">
        <v>0.11799999999999999</v>
      </c>
      <c r="H26" s="27">
        <f>'10 - 2019'!E31-'10 - 2019'!E30</f>
        <v>0</v>
      </c>
      <c r="I26" s="27">
        <f>'10 - 2019'!F31-'10 - 2019'!F30</f>
        <v>0</v>
      </c>
      <c r="J26" s="27">
        <f>'10 - 2019'!G31-'10 - 2019'!G30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4" sqref="B24:J2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>
        <v>93493</v>
      </c>
      <c r="C23" s="22">
        <v>798439</v>
      </c>
      <c r="D23" s="17">
        <v>0.79</v>
      </c>
      <c r="E23" s="30">
        <v>6834.34</v>
      </c>
      <c r="F23" s="30">
        <v>1226.19</v>
      </c>
      <c r="G23" s="18">
        <v>12259.32</v>
      </c>
      <c r="H23" s="16">
        <v>14528</v>
      </c>
      <c r="I23" s="16">
        <v>75155</v>
      </c>
      <c r="J23" s="16">
        <v>35814416</v>
      </c>
      <c r="K23" s="19"/>
      <c r="L23" s="35"/>
    </row>
    <row r="24" spans="1:16" ht="12.75" customHeight="1" x14ac:dyDescent="0.25">
      <c r="A24" s="50">
        <v>43756</v>
      </c>
      <c r="B24" s="18">
        <v>97296.7</v>
      </c>
      <c r="C24" s="18">
        <v>805561</v>
      </c>
      <c r="D24" s="29">
        <v>0.72</v>
      </c>
      <c r="E24" s="30">
        <v>6863.76</v>
      </c>
      <c r="F24" s="30">
        <v>1233.78</v>
      </c>
      <c r="G24" s="18">
        <v>12300</v>
      </c>
      <c r="H24" s="16">
        <v>14528</v>
      </c>
      <c r="I24" s="16">
        <v>75268</v>
      </c>
      <c r="J24" s="16">
        <v>35849549</v>
      </c>
      <c r="K24" s="28"/>
      <c r="L24" s="35"/>
    </row>
    <row r="25" spans="1:16" ht="12.75" customHeight="1" x14ac:dyDescent="0.25">
      <c r="A25" s="50">
        <v>43757</v>
      </c>
      <c r="B25" s="16">
        <v>100285</v>
      </c>
      <c r="C25" s="16">
        <v>810970</v>
      </c>
      <c r="D25" s="17">
        <v>0.66</v>
      </c>
      <c r="E25" s="30">
        <v>6885.81</v>
      </c>
      <c r="F25" s="30">
        <v>1240.19</v>
      </c>
      <c r="G25" s="18">
        <v>12333.04</v>
      </c>
      <c r="H25" s="16">
        <v>14528</v>
      </c>
      <c r="I25" s="16">
        <v>75380</v>
      </c>
      <c r="J25" s="16">
        <v>35875028</v>
      </c>
      <c r="K25" s="19"/>
      <c r="L25" s="34"/>
    </row>
    <row r="26" spans="1:16" ht="12.75" customHeight="1" x14ac:dyDescent="0.25">
      <c r="A26" s="50">
        <v>43758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43759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43760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43761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43762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2019-10-19T04:46:31Z</dcterms:modified>
</cp:coreProperties>
</file>