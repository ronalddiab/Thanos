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filterPrivacy="1" defaultThemeVersion="124226"/>
  <xr:revisionPtr revIDLastSave="0" documentId="13_ncr:1_{7B46A100-CCB0-41BE-97B8-5EC9D29B9CF4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H2" i="6" l="1"/>
  <c r="G33" i="6"/>
  <c r="L2" i="6" l="1"/>
  <c r="K2" i="6" l="1"/>
  <c r="G5" i="8" l="1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" i="4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4" i="2"/>
  <c r="X35" i="1"/>
  <c r="W35" i="1"/>
  <c r="V35" i="1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2" i="6"/>
  <c r="B34" i="4" l="1"/>
  <c r="B35" i="8"/>
  <c r="O33" i="6"/>
  <c r="N33" i="6"/>
  <c r="M33" i="6"/>
  <c r="E33" i="6"/>
  <c r="F2" i="6" s="1"/>
  <c r="B36" i="4" s="1"/>
  <c r="D5" i="2" l="1"/>
  <c r="D4" i="4" s="1"/>
  <c r="D6" i="2"/>
  <c r="D5" i="4" s="1"/>
  <c r="D7" i="2"/>
  <c r="D6" i="4" s="1"/>
  <c r="D8" i="2"/>
  <c r="D7" i="4" s="1"/>
  <c r="D9" i="2"/>
  <c r="D8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K33" i="8"/>
  <c r="M33" i="8"/>
  <c r="O33" i="8"/>
  <c r="S33" i="8"/>
  <c r="U33" i="8"/>
  <c r="V33" i="8" s="1"/>
  <c r="W33" i="8"/>
  <c r="E34" i="8"/>
  <c r="I34" i="8"/>
  <c r="K34" i="8"/>
  <c r="M34" i="8"/>
  <c r="O34" i="8"/>
  <c r="S34" i="8"/>
  <c r="U34" i="8"/>
  <c r="W34" i="8"/>
  <c r="C33" i="8"/>
  <c r="H33" i="8" s="1"/>
  <c r="C34" i="8"/>
  <c r="T33" i="8" l="1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V32" i="8" s="1"/>
  <c r="S32" i="8"/>
  <c r="O32" i="8"/>
  <c r="M32" i="8"/>
  <c r="K32" i="8"/>
  <c r="I32" i="8"/>
  <c r="E32" i="8"/>
  <c r="C32" i="8"/>
  <c r="A32" i="8"/>
  <c r="W31" i="8"/>
  <c r="U31" i="8"/>
  <c r="S31" i="8"/>
  <c r="Q31" i="8"/>
  <c r="R31" i="8" s="1"/>
  <c r="O31" i="8"/>
  <c r="M31" i="8"/>
  <c r="K31" i="8"/>
  <c r="I31" i="8"/>
  <c r="E31" i="8"/>
  <c r="C31" i="8"/>
  <c r="A31" i="8"/>
  <c r="W30" i="8"/>
  <c r="X30" i="8" s="1"/>
  <c r="U30" i="8"/>
  <c r="S30" i="8"/>
  <c r="Q30" i="8"/>
  <c r="R30" i="8" s="1"/>
  <c r="O30" i="8"/>
  <c r="P30" i="8" s="1"/>
  <c r="M30" i="8"/>
  <c r="K30" i="8"/>
  <c r="I30" i="8"/>
  <c r="E30" i="8"/>
  <c r="C30" i="8"/>
  <c r="A30" i="8"/>
  <c r="W29" i="8"/>
  <c r="U29" i="8"/>
  <c r="S29" i="8"/>
  <c r="Q29" i="8"/>
  <c r="O29" i="8"/>
  <c r="M29" i="8"/>
  <c r="K29" i="8"/>
  <c r="I29" i="8"/>
  <c r="E29" i="8"/>
  <c r="C29" i="8"/>
  <c r="A29" i="8"/>
  <c r="W28" i="8"/>
  <c r="U28" i="8"/>
  <c r="S28" i="8"/>
  <c r="T28" i="8" s="1"/>
  <c r="Q28" i="8"/>
  <c r="O28" i="8"/>
  <c r="M28" i="8"/>
  <c r="K28" i="8"/>
  <c r="I28" i="8"/>
  <c r="E28" i="8"/>
  <c r="C28" i="8"/>
  <c r="A28" i="8"/>
  <c r="W27" i="8"/>
  <c r="U27" i="8"/>
  <c r="S27" i="8"/>
  <c r="Q27" i="8"/>
  <c r="R27" i="8" s="1"/>
  <c r="O27" i="8"/>
  <c r="M27" i="8"/>
  <c r="K27" i="8"/>
  <c r="I27" i="8"/>
  <c r="E27" i="8"/>
  <c r="C27" i="8"/>
  <c r="A27" i="8"/>
  <c r="W26" i="8"/>
  <c r="X26" i="8" s="1"/>
  <c r="U26" i="8"/>
  <c r="S26" i="8"/>
  <c r="T26" i="8" s="1"/>
  <c r="Q26" i="8"/>
  <c r="R26" i="8" s="1"/>
  <c r="O26" i="8"/>
  <c r="P26" i="8" s="1"/>
  <c r="M26" i="8"/>
  <c r="K26" i="8"/>
  <c r="I26" i="8"/>
  <c r="J26" i="8" s="1"/>
  <c r="E26" i="8"/>
  <c r="C26" i="8"/>
  <c r="A26" i="8"/>
  <c r="W25" i="8"/>
  <c r="U25" i="8"/>
  <c r="S25" i="8"/>
  <c r="Q25" i="8"/>
  <c r="O25" i="8"/>
  <c r="M25" i="8"/>
  <c r="K25" i="8"/>
  <c r="I25" i="8"/>
  <c r="E25" i="8"/>
  <c r="C25" i="8"/>
  <c r="A25" i="8"/>
  <c r="W24" i="8"/>
  <c r="U24" i="8"/>
  <c r="S24" i="8"/>
  <c r="T24" i="8" s="1"/>
  <c r="Q24" i="8"/>
  <c r="O24" i="8"/>
  <c r="M24" i="8"/>
  <c r="K24" i="8"/>
  <c r="I24" i="8"/>
  <c r="E24" i="8"/>
  <c r="C24" i="8"/>
  <c r="A24" i="8"/>
  <c r="W23" i="8"/>
  <c r="U23" i="8"/>
  <c r="S23" i="8"/>
  <c r="Q23" i="8"/>
  <c r="R23" i="8" s="1"/>
  <c r="O23" i="8"/>
  <c r="M23" i="8"/>
  <c r="K23" i="8"/>
  <c r="I23" i="8"/>
  <c r="J23" i="8" s="1"/>
  <c r="E23" i="8"/>
  <c r="C23" i="8"/>
  <c r="A23" i="8"/>
  <c r="W22" i="8"/>
  <c r="X22" i="8" s="1"/>
  <c r="U22" i="8"/>
  <c r="S22" i="8"/>
  <c r="T22" i="8" s="1"/>
  <c r="Q22" i="8"/>
  <c r="R22" i="8" s="1"/>
  <c r="O22" i="8"/>
  <c r="P22" i="8" s="1"/>
  <c r="M22" i="8"/>
  <c r="K22" i="8"/>
  <c r="I22" i="8"/>
  <c r="J22" i="8" s="1"/>
  <c r="E22" i="8"/>
  <c r="C22" i="8"/>
  <c r="A22" i="8"/>
  <c r="W21" i="8"/>
  <c r="U21" i="8"/>
  <c r="S21" i="8"/>
  <c r="Q21" i="8"/>
  <c r="O21" i="8"/>
  <c r="M21" i="8"/>
  <c r="K21" i="8"/>
  <c r="I21" i="8"/>
  <c r="E21" i="8"/>
  <c r="C21" i="8"/>
  <c r="A21" i="8"/>
  <c r="W20" i="8"/>
  <c r="U20" i="8"/>
  <c r="S20" i="8"/>
  <c r="T20" i="8" s="1"/>
  <c r="Q20" i="8"/>
  <c r="O20" i="8"/>
  <c r="P20" i="8" s="1"/>
  <c r="M20" i="8"/>
  <c r="K20" i="8"/>
  <c r="I20" i="8"/>
  <c r="E20" i="8"/>
  <c r="C20" i="8"/>
  <c r="A20" i="8"/>
  <c r="W19" i="8"/>
  <c r="U19" i="8"/>
  <c r="S19" i="8"/>
  <c r="Q19" i="8"/>
  <c r="R19" i="8" s="1"/>
  <c r="O19" i="8"/>
  <c r="M19" i="8"/>
  <c r="K19" i="8"/>
  <c r="I19" i="8"/>
  <c r="J19" i="8" s="1"/>
  <c r="E19" i="8"/>
  <c r="C19" i="8"/>
  <c r="A19" i="8"/>
  <c r="W18" i="8"/>
  <c r="X18" i="8" s="1"/>
  <c r="U18" i="8"/>
  <c r="S18" i="8"/>
  <c r="T18" i="8" s="1"/>
  <c r="Q18" i="8"/>
  <c r="R18" i="8" s="1"/>
  <c r="O18" i="8"/>
  <c r="P18" i="8" s="1"/>
  <c r="M18" i="8"/>
  <c r="K18" i="8"/>
  <c r="I18" i="8"/>
  <c r="J18" i="8" s="1"/>
  <c r="E18" i="8"/>
  <c r="C18" i="8"/>
  <c r="A18" i="8"/>
  <c r="W17" i="8"/>
  <c r="U17" i="8"/>
  <c r="S17" i="8"/>
  <c r="Q17" i="8"/>
  <c r="O17" i="8"/>
  <c r="M17" i="8"/>
  <c r="K17" i="8"/>
  <c r="I17" i="8"/>
  <c r="E17" i="8"/>
  <c r="C17" i="8"/>
  <c r="A17" i="8"/>
  <c r="W16" i="8"/>
  <c r="X16" i="8" s="1"/>
  <c r="U16" i="8"/>
  <c r="S16" i="8"/>
  <c r="T16" i="8" s="1"/>
  <c r="Q16" i="8"/>
  <c r="O16" i="8"/>
  <c r="P16" i="8" s="1"/>
  <c r="M16" i="8"/>
  <c r="K16" i="8"/>
  <c r="I16" i="8"/>
  <c r="E16" i="8"/>
  <c r="C16" i="8"/>
  <c r="A16" i="8"/>
  <c r="W15" i="8"/>
  <c r="U15" i="8"/>
  <c r="S15" i="8"/>
  <c r="Q15" i="8"/>
  <c r="R15" i="8" s="1"/>
  <c r="O15" i="8"/>
  <c r="M15" i="8"/>
  <c r="K15" i="8"/>
  <c r="I15" i="8"/>
  <c r="J15" i="8" s="1"/>
  <c r="E15" i="8"/>
  <c r="C15" i="8"/>
  <c r="A15" i="8"/>
  <c r="W14" i="8"/>
  <c r="X14" i="8" s="1"/>
  <c r="U14" i="8"/>
  <c r="S14" i="8"/>
  <c r="T14" i="8" s="1"/>
  <c r="Q14" i="8"/>
  <c r="R14" i="8" s="1"/>
  <c r="O14" i="8"/>
  <c r="P14" i="8" s="1"/>
  <c r="M14" i="8"/>
  <c r="K14" i="8"/>
  <c r="I14" i="8"/>
  <c r="J14" i="8" s="1"/>
  <c r="E14" i="8"/>
  <c r="C14" i="8"/>
  <c r="A14" i="8"/>
  <c r="W13" i="8"/>
  <c r="U13" i="8"/>
  <c r="S13" i="8"/>
  <c r="Q13" i="8"/>
  <c r="O13" i="8"/>
  <c r="M13" i="8"/>
  <c r="K13" i="8"/>
  <c r="I13" i="8"/>
  <c r="E13" i="8"/>
  <c r="C13" i="8"/>
  <c r="A13" i="8"/>
  <c r="W12" i="8"/>
  <c r="X12" i="8" s="1"/>
  <c r="U12" i="8"/>
  <c r="S12" i="8"/>
  <c r="T12" i="8" s="1"/>
  <c r="Q12" i="8"/>
  <c r="O12" i="8"/>
  <c r="P12" i="8" s="1"/>
  <c r="M12" i="8"/>
  <c r="K12" i="8"/>
  <c r="I12" i="8"/>
  <c r="E12" i="8"/>
  <c r="C12" i="8"/>
  <c r="A12" i="8"/>
  <c r="W11" i="8"/>
  <c r="U11" i="8"/>
  <c r="S11" i="8"/>
  <c r="Q11" i="8"/>
  <c r="R11" i="8" s="1"/>
  <c r="O11" i="8"/>
  <c r="M11" i="8"/>
  <c r="K11" i="8"/>
  <c r="I11" i="8"/>
  <c r="J11" i="8" s="1"/>
  <c r="E11" i="8"/>
  <c r="C11" i="8"/>
  <c r="A11" i="8"/>
  <c r="W10" i="8"/>
  <c r="X10" i="8" s="1"/>
  <c r="U10" i="8"/>
  <c r="S10" i="8"/>
  <c r="T10" i="8" s="1"/>
  <c r="Q10" i="8"/>
  <c r="R10" i="8" s="1"/>
  <c r="O10" i="8"/>
  <c r="P10" i="8" s="1"/>
  <c r="M10" i="8"/>
  <c r="K10" i="8"/>
  <c r="I10" i="8"/>
  <c r="J10" i="8" s="1"/>
  <c r="E10" i="8"/>
  <c r="C10" i="8"/>
  <c r="A10" i="8"/>
  <c r="W9" i="8"/>
  <c r="U9" i="8"/>
  <c r="S9" i="8"/>
  <c r="Q9" i="8"/>
  <c r="O9" i="8"/>
  <c r="M9" i="8"/>
  <c r="K9" i="8"/>
  <c r="I9" i="8"/>
  <c r="E9" i="8"/>
  <c r="C9" i="8"/>
  <c r="A9" i="8"/>
  <c r="W8" i="8"/>
  <c r="X8" i="8" s="1"/>
  <c r="U8" i="8"/>
  <c r="S8" i="8"/>
  <c r="T8" i="8" s="1"/>
  <c r="Q8" i="8"/>
  <c r="O8" i="8"/>
  <c r="P8" i="8" s="1"/>
  <c r="M8" i="8"/>
  <c r="K8" i="8"/>
  <c r="I8" i="8"/>
  <c r="E8" i="8"/>
  <c r="C8" i="8"/>
  <c r="A8" i="8"/>
  <c r="W7" i="8"/>
  <c r="U7" i="8"/>
  <c r="S7" i="8"/>
  <c r="Q7" i="8"/>
  <c r="R7" i="8" s="1"/>
  <c r="O7" i="8"/>
  <c r="M7" i="8"/>
  <c r="K7" i="8"/>
  <c r="I7" i="8"/>
  <c r="J7" i="8" s="1"/>
  <c r="E7" i="8"/>
  <c r="C7" i="8"/>
  <c r="A7" i="8"/>
  <c r="W6" i="8"/>
  <c r="X6" i="8" s="1"/>
  <c r="U6" i="8"/>
  <c r="S6" i="8"/>
  <c r="T6" i="8" s="1"/>
  <c r="Q6" i="8"/>
  <c r="R6" i="8" s="1"/>
  <c r="O6" i="8"/>
  <c r="P6" i="8" s="1"/>
  <c r="M6" i="8"/>
  <c r="K6" i="8"/>
  <c r="I6" i="8"/>
  <c r="J6" i="8" s="1"/>
  <c r="E6" i="8"/>
  <c r="C6" i="8"/>
  <c r="A6" i="8"/>
  <c r="W5" i="8"/>
  <c r="U5" i="8"/>
  <c r="S5" i="8"/>
  <c r="Q5" i="8"/>
  <c r="O5" i="8"/>
  <c r="M5" i="8"/>
  <c r="K5" i="8"/>
  <c r="I5" i="8"/>
  <c r="E5" i="8"/>
  <c r="C5" i="8"/>
  <c r="A5" i="8"/>
  <c r="W4" i="8"/>
  <c r="U4" i="8"/>
  <c r="S4" i="8"/>
  <c r="Q4" i="8"/>
  <c r="G4" i="8"/>
  <c r="O4" i="8"/>
  <c r="M4" i="8"/>
  <c r="K4" i="8"/>
  <c r="I4" i="8"/>
  <c r="E4" i="8"/>
  <c r="C4" i="8"/>
  <c r="A4" i="8"/>
  <c r="D5" i="8" l="1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2" i="6" s="1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C18" i="2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U9" i="2"/>
  <c r="L8" i="3" s="1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F8" i="3" s="1"/>
  <c r="C9" i="2"/>
  <c r="V9" i="2" s="1"/>
  <c r="F20" i="2"/>
  <c r="F19" i="2"/>
  <c r="Q5" i="2"/>
  <c r="Q6" i="2"/>
  <c r="Q7" i="2"/>
  <c r="Q8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8" i="2"/>
  <c r="O8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O35" i="2" s="1"/>
  <c r="N4" i="2"/>
  <c r="I5" i="2"/>
  <c r="J5" i="2"/>
  <c r="I6" i="2"/>
  <c r="J6" i="2"/>
  <c r="I7" i="2"/>
  <c r="G6" i="4" s="1"/>
  <c r="I8" i="2"/>
  <c r="J8" i="2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8" i="2"/>
  <c r="C12" i="2"/>
  <c r="C13" i="2"/>
  <c r="C14" i="2"/>
  <c r="C15" i="2"/>
  <c r="C16" i="2"/>
  <c r="C17" i="2"/>
  <c r="C17" i="4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U8" i="2"/>
  <c r="L7" i="3" s="1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8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F8" i="2"/>
  <c r="G8" i="2"/>
  <c r="H8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H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F35" i="2" s="1"/>
  <c r="L5" i="2"/>
  <c r="L6" i="2"/>
  <c r="L7" i="2"/>
  <c r="L8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8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P35" i="2" s="1"/>
  <c r="E12" i="3"/>
  <c r="E14" i="3"/>
  <c r="E5" i="2"/>
  <c r="E6" i="2"/>
  <c r="F5" i="3" s="1"/>
  <c r="E7" i="2"/>
  <c r="E6" i="4" s="1"/>
  <c r="E8" i="2"/>
  <c r="E7" i="4" s="1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8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K35" i="2" s="1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8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8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T35" i="2" s="1"/>
  <c r="S5" i="2"/>
  <c r="S6" i="2"/>
  <c r="S7" i="2"/>
  <c r="S8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32" i="2" l="1"/>
  <c r="V24" i="2"/>
  <c r="V16" i="2"/>
  <c r="M15" i="3" s="1"/>
  <c r="F4" i="3"/>
  <c r="V5" i="2"/>
  <c r="M35" i="2"/>
  <c r="V31" i="2"/>
  <c r="V23" i="2"/>
  <c r="M22" i="3" s="1"/>
  <c r="V15" i="2"/>
  <c r="I35" i="2"/>
  <c r="S35" i="2"/>
  <c r="R35" i="2"/>
  <c r="E3" i="4"/>
  <c r="E35" i="2"/>
  <c r="V4" i="2"/>
  <c r="M3" i="3" s="1"/>
  <c r="F17" i="3"/>
  <c r="V18" i="2"/>
  <c r="L35" i="2"/>
  <c r="H35" i="2"/>
  <c r="V30" i="2"/>
  <c r="V26" i="2"/>
  <c r="M25" i="3" s="1"/>
  <c r="D21" i="3"/>
  <c r="V22" i="2"/>
  <c r="M21" i="3" s="1"/>
  <c r="V14" i="2"/>
  <c r="M13" i="3" s="1"/>
  <c r="V7" i="2"/>
  <c r="J35" i="2"/>
  <c r="V10" i="2"/>
  <c r="V11" i="2"/>
  <c r="M10" i="3" s="1"/>
  <c r="V28" i="2"/>
  <c r="V20" i="2"/>
  <c r="C11" i="4"/>
  <c r="V12" i="2"/>
  <c r="M11" i="3" s="1"/>
  <c r="G35" i="2"/>
  <c r="V27" i="2"/>
  <c r="V19" i="2"/>
  <c r="V8" i="2"/>
  <c r="M7" i="3" s="1"/>
  <c r="Q35" i="2"/>
  <c r="K3" i="4"/>
  <c r="U35" i="2"/>
  <c r="V29" i="2"/>
  <c r="M28" i="3" s="1"/>
  <c r="V25" i="2"/>
  <c r="C20" i="4"/>
  <c r="V21" i="2"/>
  <c r="V17" i="2"/>
  <c r="C12" i="4"/>
  <c r="V13" i="2"/>
  <c r="V6" i="2"/>
  <c r="M5" i="3" s="1"/>
  <c r="C35" i="2"/>
  <c r="N35" i="2"/>
  <c r="C34" i="3"/>
  <c r="C31" i="4"/>
  <c r="C26" i="4"/>
  <c r="D24" i="3"/>
  <c r="C23" i="4"/>
  <c r="M20" i="3"/>
  <c r="C30" i="4"/>
  <c r="C25" i="4"/>
  <c r="C29" i="4"/>
  <c r="H15" i="4"/>
  <c r="D28" i="3"/>
  <c r="E8" i="3"/>
  <c r="D27" i="3"/>
  <c r="M27" i="3"/>
  <c r="D19" i="3"/>
  <c r="C18" i="4"/>
  <c r="C15" i="4"/>
  <c r="H29" i="3"/>
  <c r="C14" i="4"/>
  <c r="M14" i="3"/>
  <c r="C13" i="4"/>
  <c r="M17" i="3"/>
  <c r="K17" i="4"/>
  <c r="H17" i="4"/>
  <c r="F14" i="3"/>
  <c r="D11" i="3"/>
  <c r="D8" i="3"/>
  <c r="D12" i="3"/>
  <c r="M12" i="3"/>
  <c r="D7" i="3"/>
  <c r="M6" i="3"/>
  <c r="D5" i="3"/>
  <c r="D9" i="3"/>
  <c r="M9" i="3"/>
  <c r="M4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<sst xmlns="http://schemas.openxmlformats.org/spreadsheetml/2006/main" count="201" uniqueCount="128">
  <si>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</si>
  <si>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</si>
  <si>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</si>
  <si>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</si>
  <si>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</si>
  <si>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</si>
  <si>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</si>
  <si>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</si>
  <si>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</si>
  <si>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</si>
  <si>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</si>
  <si>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</si>
  <si>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</si>
  <si>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</si>
  <si>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</si>
  <si>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</si>
  <si>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</si>
  <si>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</si>
  <si>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</si>
  <si>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</si>
  <si>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</si>
  <si>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</si>
  <si>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</si>
  <si>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</si>
  <si>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</si>
  <si>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</si>
  <si>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</si>
  <si>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</si>
  <si>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</si>
  <si>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</si>
  <si>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</si>
  <si>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</si>
  <si>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</si>
  <si>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</si>
  <si>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</si>
  <si>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</si>
  <si>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</si>
  <si>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</si>
  <si>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</si>
  <si>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</si>
  <si>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</si>
  <si>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</si>
  <si>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</si>
  <si>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</si>
  <si>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</si>
  <si>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</si>
  <si>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</si>
  <si>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</si>
  <si>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</si>
  <si>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</si>
  <si>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</si>
  <si>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</si>
  <si>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</si>
  <si>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</si>
  <si>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</si>
  <si>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</si>
  <si>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</si>
  <si>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</si>
  <si>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</si>
  <si>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</si>
  <si>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</si>
  <si>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</si>
  <si>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</si>
  <si>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</si>
  <si>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</si>
  <si>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</si>
  <si>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</si>
  <si>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</si>
  <si>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</si>
  <si>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</si>
  <si>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</si>
  <si>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</si>
  <si>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</si>
  <si>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</si>
  <si>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</si>
  <si>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</si>
  <si>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</si>
  <si>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</si>
  <si>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</si>
  <si>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</si>
  <si>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</si>
  <si>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</si>
  <si>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</si>
  <si>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</si>
  <si>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</si>
  <si>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</si>
  <si>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</si>
  <si>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</si>
  <si>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</si>
  <si>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</si>
  <si>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</si>
  <si>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</si>
  <si>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</si>
  <si>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</si>
  <si>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</si>
  <si>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</si>
  <si>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</si>
  <si>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</si>
  <si>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</si>
  <si>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</si>
  <si>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</si>
  <si>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</si>
  <si>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</si>
  <si>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</si>
  <si>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</si>
  <si>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</si>
  <si>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</si>
  <si>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</si>
  <si>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</si>
  <si>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</si>
  <si>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</si>
  <si>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</si>
  <si>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</si>
  <si>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</si>
  <si>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</si>
  <si>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</si>
  <si>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</si>
  <si>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</si>
  <si>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</si>
  <si>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</si>
  <si>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</si>
  <si>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</si>
  <si>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>Water Tariff  $/m3</t>
  </si>
  <si>
    <t xml:space="preserve">Water Utility   (m3) </t>
  </si>
  <si>
    <t xml:space="preserve">LPG (Kg) </t>
  </si>
  <si>
    <t>LPG $/Kg</t>
  </si>
  <si>
    <t xml:space="preserve">Total Fuel Oil  (Liters) </t>
  </si>
  <si>
    <t>Fuel Oil  $/Liter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</si>
</sst>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3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1" fontId="6" fillId="0" borderId="1" xfId="1" applyNumberForma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14790.000000000018</c:v>
                </c:pt>
                <c:pt idx="1">
                  <c:v>73099.999999999942</c:v>
                </c:pt>
                <c:pt idx="2">
                  <c:v>7859.9999999999836</c:v>
                </c:pt>
                <c:pt idx="3">
                  <c:v>23590.000000000029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835</c:v>
                </c:pt>
                <c:pt idx="1">
                  <c:v>0.17612318076355199</c:v>
                </c:pt>
                <c:pt idx="2" formatCode="_(* #,##0.00_);_(* \(#,##0.00\);_(* &quot;-&quot;??_);_(@_)">
                  <c:v>5641</c:v>
                </c:pt>
                <c:pt idx="3">
                  <c:v>1.1898333684876607</c:v>
                </c:pt>
                <c:pt idx="4" formatCode="0.00">
                  <c:v>113</c:v>
                </c:pt>
                <c:pt idx="5">
                  <c:v>2.383463404345075E-2</c:v>
                </c:pt>
                <c:pt idx="6" formatCode="0.00">
                  <c:v>510</c:v>
                </c:pt>
                <c:pt idx="7">
                  <c:v>0.1075722421430078</c:v>
                </c:pt>
                <c:pt idx="8" formatCode="0.00">
                  <c:v>170</c:v>
                </c:pt>
                <c:pt idx="9">
                  <c:v>3.5857414047669268E-2</c:v>
                </c:pt>
                <c:pt idx="10" formatCode="0.00">
                  <c:v>52</c:v>
                </c:pt>
                <c:pt idx="11">
                  <c:v>1.0968150179287071E-2</c:v>
                </c:pt>
                <c:pt idx="12" formatCode="0.00">
                  <c:v>29</c:v>
                </c:pt>
                <c:pt idx="13">
                  <c:v>6.1168529846024047E-3</c:v>
                </c:pt>
                <c:pt idx="14" formatCode="_(* #,##0.00_);_(* \(#,##0.00\);_(* &quot;-&quot;??_);_(@_)">
                  <c:v>1749</c:v>
                </c:pt>
                <c:pt idx="15">
                  <c:v>0.36890951276102091</c:v>
                </c:pt>
                <c:pt idx="16" formatCode="0.00">
                  <c:v>630</c:v>
                </c:pt>
                <c:pt idx="17">
                  <c:v>0.13288335794136258</c:v>
                </c:pt>
                <c:pt idx="18" formatCode="0.00">
                  <c:v>299</c:v>
                </c:pt>
                <c:pt idx="19">
                  <c:v>6.3066863530900658E-2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8770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4741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10028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787456"/>
        <c:axId val="138817920"/>
      </c:barChart>
      <c:catAx>
        <c:axId val="1387874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38817920"/>
        <c:crosses val="autoZero"/>
        <c:auto val="1"/>
        <c:lblAlgn val="ctr"/>
        <c:lblOffset val="100"/>
        <c:noMultiLvlLbl val="0"/>
      </c:catAx>
      <c:valAx>
        <c:axId val="138817920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38787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zoomScale="85" zoomScaleNormal="85" workbookViewId="0">
      <selection activeCell="G8" sqref="G8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4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126</v>
      </c>
      <c r="H1" s="42" t="s">
        <v>127</v>
      </c>
      <c r="I1" s="41" t="s">
        <v>123</v>
      </c>
      <c r="J1" s="43" t="s">
        <v>122</v>
      </c>
      <c r="K1" s="41" t="s">
        <v>124</v>
      </c>
      <c r="L1" s="43" t="s">
        <v>125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12</v>
      </c>
      <c r="D2" s="46">
        <v>2020</v>
      </c>
      <c r="E2" s="138">
        <v>20180</v>
      </c>
      <c r="F2" s="49">
        <f>F33/E33</f>
        <v>0.13923730550638214</v>
      </c>
      <c r="G2" s="138">
        <v>5697</v>
      </c>
      <c r="H2" s="49">
        <f>H33/G33</f>
        <v>0.4453480216384178</v>
      </c>
      <c r="I2" s="48">
        <f>'Water consumption'!B4</f>
        <v>290</v>
      </c>
      <c r="J2" s="77">
        <f>J33/I33</f>
        <v>0.40408095781071834</v>
      </c>
      <c r="K2" s="77">
        <f>K33/31</f>
        <v>256.12903225806451</v>
      </c>
      <c r="L2" s="77">
        <f>L33/K33</f>
        <v>1.5287027707808565</v>
      </c>
      <c r="M2" s="73">
        <v>23</v>
      </c>
      <c r="N2" s="73">
        <v>61</v>
      </c>
      <c r="O2" s="73">
        <v>132</v>
      </c>
    </row>
    <row r="3" spans="1:15" ht="15" x14ac:dyDescent="0.25">
      <c r="A3" s="45" t="s">
        <v>9</v>
      </c>
      <c r="B3" s="46">
        <f>B2+1</f>
        <v>2</v>
      </c>
      <c r="C3" s="47">
        <v>12</v>
      </c>
      <c r="D3" s="46">
        <v>2020</v>
      </c>
      <c r="E3" s="138">
        <v>18949.999999999593</v>
      </c>
      <c r="F3" s="49">
        <v>0.13923730550638214</v>
      </c>
      <c r="G3" s="138">
        <v>5414</v>
      </c>
      <c r="H3" s="49">
        <v>0.4453480216384178</v>
      </c>
      <c r="I3" s="48">
        <f>'Water consumption'!B5</f>
        <v>275</v>
      </c>
      <c r="J3" s="77">
        <v>0.40408095781071834</v>
      </c>
      <c r="K3" s="77">
        <v>256.12903225806451</v>
      </c>
      <c r="L3" s="77">
        <v>1.5287027707808565</v>
      </c>
      <c r="M3" s="73">
        <v>20</v>
      </c>
      <c r="N3" s="73">
        <v>49</v>
      </c>
      <c r="O3" s="73">
        <v>130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12</v>
      </c>
      <c r="D4" s="46">
        <v>2020</v>
      </c>
      <c r="E4" s="138">
        <v>21390.000000000557</v>
      </c>
      <c r="F4" s="49">
        <v>0.13923730550638214</v>
      </c>
      <c r="G4" s="138">
        <v>6138</v>
      </c>
      <c r="H4" s="49">
        <v>0.4453480216384178</v>
      </c>
      <c r="I4" s="48">
        <f>'Water consumption'!B6</f>
        <v>216</v>
      </c>
      <c r="J4" s="77">
        <v>0.40408095781071834</v>
      </c>
      <c r="K4" s="77">
        <v>256.12903225806451</v>
      </c>
      <c r="L4" s="77">
        <v>1.5287027707808565</v>
      </c>
      <c r="M4" s="73">
        <v>21</v>
      </c>
      <c r="N4" s="73">
        <v>48</v>
      </c>
      <c r="O4" s="73">
        <v>118</v>
      </c>
    </row>
    <row r="5" spans="1:15" ht="15" x14ac:dyDescent="0.25">
      <c r="A5" s="45" t="s">
        <v>9</v>
      </c>
      <c r="B5" s="46">
        <f t="shared" si="0"/>
        <v>4</v>
      </c>
      <c r="C5" s="47">
        <v>12</v>
      </c>
      <c r="D5" s="46">
        <v>2020</v>
      </c>
      <c r="E5" s="138">
        <v>21479.999999999563</v>
      </c>
      <c r="F5" s="49">
        <v>0.13923730550638214</v>
      </c>
      <c r="G5" s="138">
        <v>5695</v>
      </c>
      <c r="H5" s="49">
        <v>0.4453480216384178</v>
      </c>
      <c r="I5" s="48">
        <f>'Water consumption'!B7</f>
        <v>243</v>
      </c>
      <c r="J5" s="77">
        <v>0.40408095781071834</v>
      </c>
      <c r="K5" s="77">
        <v>256.12903225806451</v>
      </c>
      <c r="L5" s="77">
        <v>1.5287027707808565</v>
      </c>
      <c r="M5" s="73">
        <v>24</v>
      </c>
      <c r="N5" s="73">
        <v>51</v>
      </c>
      <c r="O5" s="73">
        <v>132</v>
      </c>
    </row>
    <row r="6" spans="1:15" ht="15" x14ac:dyDescent="0.25">
      <c r="A6" s="45" t="s">
        <v>9</v>
      </c>
      <c r="B6" s="46">
        <f t="shared" si="0"/>
        <v>5</v>
      </c>
      <c r="C6" s="47">
        <v>12</v>
      </c>
      <c r="D6" s="46">
        <v>2020</v>
      </c>
      <c r="E6" s="138">
        <v>19229.999999999338</v>
      </c>
      <c r="F6" s="49">
        <v>0.13923730550638214</v>
      </c>
      <c r="G6" s="138">
        <v>5801</v>
      </c>
      <c r="H6" s="49">
        <v>0.4453480216384178</v>
      </c>
      <c r="I6" s="48">
        <f>'Water consumption'!B8</f>
        <v>219</v>
      </c>
      <c r="J6" s="77">
        <v>0.40408095781071834</v>
      </c>
      <c r="K6" s="77">
        <v>256.12903225806451</v>
      </c>
      <c r="L6" s="77">
        <v>1.5287027707808565</v>
      </c>
      <c r="M6" s="73">
        <v>22</v>
      </c>
      <c r="N6" s="73">
        <v>50</v>
      </c>
      <c r="O6" s="73">
        <v>129</v>
      </c>
    </row>
    <row r="7" spans="1:15" ht="15" x14ac:dyDescent="0.25">
      <c r="A7" s="45" t="s">
        <v>9</v>
      </c>
      <c r="B7" s="46">
        <f t="shared" si="0"/>
        <v>6</v>
      </c>
      <c r="C7" s="47">
        <v>12</v>
      </c>
      <c r="D7" s="46">
        <v>2020</v>
      </c>
      <c r="E7" s="138">
        <v>23370.000000000116</v>
      </c>
      <c r="F7" s="49">
        <v>0.13923730550638214</v>
      </c>
      <c r="G7" s="138">
        <v>5941</v>
      </c>
      <c r="H7" s="49">
        <v>0.4453480216384178</v>
      </c>
      <c r="I7" s="48">
        <f>'Water consumption'!B9</f>
        <v>243</v>
      </c>
      <c r="J7" s="77">
        <v>0.40408095781071834</v>
      </c>
      <c r="K7" s="77">
        <v>256.12903225806451</v>
      </c>
      <c r="L7" s="77">
        <v>1.5287027707808565</v>
      </c>
      <c r="M7" s="73">
        <v>21</v>
      </c>
      <c r="N7" s="73">
        <v>47</v>
      </c>
      <c r="O7" s="73">
        <v>126</v>
      </c>
    </row>
    <row r="8" spans="1:15" ht="15" x14ac:dyDescent="0.25">
      <c r="A8" s="45" t="s">
        <v>9</v>
      </c>
      <c r="B8" s="46">
        <f t="shared" si="0"/>
        <v>7</v>
      </c>
      <c r="C8" s="47">
        <v>12</v>
      </c>
      <c r="D8" s="46">
        <v>2020</v>
      </c>
      <c r="E8" s="138">
        <v>21099.999999999909</v>
      </c>
      <c r="F8" s="49">
        <v>0.13923730550638214</v>
      </c>
      <c r="G8" s="138">
        <v>5745</v>
      </c>
      <c r="H8" s="49">
        <v>0.4453480216384178</v>
      </c>
      <c r="I8" s="48">
        <f>'Water consumption'!B10</f>
        <v>290</v>
      </c>
      <c r="J8" s="77">
        <v>0.40408095781071834</v>
      </c>
      <c r="K8" s="77">
        <v>256.12903225806451</v>
      </c>
      <c r="L8" s="77">
        <v>1.5287027707808565</v>
      </c>
      <c r="M8" s="73">
        <v>27</v>
      </c>
      <c r="N8" s="73">
        <v>59</v>
      </c>
      <c r="O8" s="73">
        <v>180</v>
      </c>
    </row>
    <row r="9" spans="1:15" ht="15" x14ac:dyDescent="0.25">
      <c r="A9" s="45" t="s">
        <v>9</v>
      </c>
      <c r="B9" s="46">
        <f t="shared" si="0"/>
        <v>8</v>
      </c>
      <c r="C9" s="47">
        <v>12</v>
      </c>
      <c r="D9" s="46">
        <v>2020</v>
      </c>
      <c r="E9" s="138">
        <v>21270.000000000211</v>
      </c>
      <c r="F9" s="49">
        <v>0.13923730550638214</v>
      </c>
      <c r="G9" s="138">
        <v>5041</v>
      </c>
      <c r="H9" s="49">
        <v>0.4453480216384178</v>
      </c>
      <c r="I9" s="48">
        <f>'Water consumption'!B11</f>
        <v>304</v>
      </c>
      <c r="J9" s="77">
        <v>0.40408095781071834</v>
      </c>
      <c r="K9" s="77">
        <v>256.12903225806451</v>
      </c>
      <c r="L9" s="77">
        <v>1.5287027707808565</v>
      </c>
      <c r="M9" s="73">
        <v>28</v>
      </c>
      <c r="N9" s="73">
        <v>62</v>
      </c>
      <c r="O9" s="73">
        <v>183</v>
      </c>
    </row>
    <row r="10" spans="1:15" ht="15" x14ac:dyDescent="0.25">
      <c r="A10" s="45" t="s">
        <v>9</v>
      </c>
      <c r="B10" s="46">
        <f t="shared" si="0"/>
        <v>9</v>
      </c>
      <c r="C10" s="47">
        <v>12</v>
      </c>
      <c r="D10" s="46">
        <v>2020</v>
      </c>
      <c r="E10" s="138">
        <v>20759.999999999534</v>
      </c>
      <c r="F10" s="49">
        <v>0.13923730550638214</v>
      </c>
      <c r="G10" s="138">
        <v>6193</v>
      </c>
      <c r="H10" s="49">
        <v>0.4453480216384178</v>
      </c>
      <c r="I10" s="48">
        <f>'Water consumption'!B12</f>
        <v>293</v>
      </c>
      <c r="J10" s="77">
        <v>0.40408095781071834</v>
      </c>
      <c r="K10" s="77">
        <v>256.12903225806451</v>
      </c>
      <c r="L10" s="77">
        <v>1.5287027707808565</v>
      </c>
      <c r="M10" s="73">
        <v>23</v>
      </c>
      <c r="N10" s="73">
        <v>65</v>
      </c>
      <c r="O10" s="73">
        <v>166</v>
      </c>
    </row>
    <row r="11" spans="1:15" ht="15" x14ac:dyDescent="0.25">
      <c r="A11" s="45" t="s">
        <v>9</v>
      </c>
      <c r="B11" s="46">
        <f t="shared" si="0"/>
        <v>10</v>
      </c>
      <c r="C11" s="47">
        <v>12</v>
      </c>
      <c r="D11" s="46">
        <v>2020</v>
      </c>
      <c r="E11" s="138">
        <v>15930.000000000746</v>
      </c>
      <c r="F11" s="49">
        <v>0.13923730550638214</v>
      </c>
      <c r="G11" s="138">
        <v>6288</v>
      </c>
      <c r="H11" s="49">
        <v>0.4453480216384178</v>
      </c>
      <c r="I11" s="48">
        <f>'Water consumption'!B13</f>
        <v>315</v>
      </c>
      <c r="J11" s="77">
        <v>0.40408095781071834</v>
      </c>
      <c r="K11" s="77">
        <v>256.12903225806451</v>
      </c>
      <c r="L11" s="77">
        <v>1.5287027707808565</v>
      </c>
      <c r="M11" s="73">
        <v>19</v>
      </c>
      <c r="N11" s="73">
        <v>45</v>
      </c>
      <c r="O11" s="73">
        <v>145</v>
      </c>
    </row>
    <row r="12" spans="1:15" ht="15" x14ac:dyDescent="0.25">
      <c r="A12" s="45" t="s">
        <v>9</v>
      </c>
      <c r="B12" s="46">
        <f t="shared" si="0"/>
        <v>11</v>
      </c>
      <c r="C12" s="47">
        <v>12</v>
      </c>
      <c r="D12" s="46">
        <v>2020</v>
      </c>
      <c r="E12" s="138">
        <v>20180.000000000746</v>
      </c>
      <c r="F12" s="49">
        <v>0.13923730550638214</v>
      </c>
      <c r="G12" s="138">
        <v>5403</v>
      </c>
      <c r="H12" s="49">
        <v>0.4453480216384178</v>
      </c>
      <c r="I12" s="48">
        <f>'Water consumption'!B14</f>
        <v>276</v>
      </c>
      <c r="J12" s="77">
        <v>0.40408095781071834</v>
      </c>
      <c r="K12" s="77">
        <v>256.12903225806451</v>
      </c>
      <c r="L12" s="77">
        <v>1.5287027707808565</v>
      </c>
      <c r="M12" s="73">
        <v>24</v>
      </c>
      <c r="N12" s="73">
        <v>59</v>
      </c>
      <c r="O12" s="73">
        <v>167</v>
      </c>
    </row>
    <row r="13" spans="1:15" ht="15" x14ac:dyDescent="0.25">
      <c r="A13" s="45" t="s">
        <v>9</v>
      </c>
      <c r="B13" s="46">
        <f t="shared" si="0"/>
        <v>12</v>
      </c>
      <c r="C13" s="47">
        <v>12</v>
      </c>
      <c r="D13" s="46">
        <v>2020</v>
      </c>
      <c r="E13" s="138">
        <v>17059.999999999716</v>
      </c>
      <c r="F13" s="49">
        <v>0.13923730550638214</v>
      </c>
      <c r="G13" s="138">
        <v>5255</v>
      </c>
      <c r="H13" s="49">
        <v>0.4453480216384178</v>
      </c>
      <c r="I13" s="48">
        <f>'Water consumption'!B15</f>
        <v>283</v>
      </c>
      <c r="J13" s="77">
        <v>0.40408095781071834</v>
      </c>
      <c r="K13" s="77">
        <v>256.12903225806451</v>
      </c>
      <c r="L13" s="77">
        <v>1.5287027707808565</v>
      </c>
      <c r="M13" s="73">
        <v>23</v>
      </c>
      <c r="N13" s="73">
        <v>54</v>
      </c>
      <c r="O13" s="73">
        <v>160</v>
      </c>
    </row>
    <row r="14" spans="1:15" ht="15" x14ac:dyDescent="0.25">
      <c r="A14" s="45" t="s">
        <v>9</v>
      </c>
      <c r="B14" s="46">
        <f t="shared" si="0"/>
        <v>13</v>
      </c>
      <c r="C14" s="47">
        <v>12</v>
      </c>
      <c r="D14" s="46">
        <v>2020</v>
      </c>
      <c r="E14" s="138">
        <v>23059.999999999265</v>
      </c>
      <c r="F14" s="49">
        <v>0.13923730550638214</v>
      </c>
      <c r="G14" s="138">
        <v>5140</v>
      </c>
      <c r="H14" s="49">
        <v>0.4453480216384178</v>
      </c>
      <c r="I14" s="48">
        <f>'Water consumption'!B16</f>
        <v>294</v>
      </c>
      <c r="J14" s="77">
        <v>0.40408095781071834</v>
      </c>
      <c r="K14" s="77">
        <v>256.12903225806451</v>
      </c>
      <c r="L14" s="77">
        <v>1.5287027707808565</v>
      </c>
      <c r="M14" s="73">
        <v>31</v>
      </c>
      <c r="N14" s="73">
        <v>81</v>
      </c>
      <c r="O14" s="73">
        <v>211</v>
      </c>
    </row>
    <row r="15" spans="1:15" ht="15" x14ac:dyDescent="0.25">
      <c r="A15" s="45" t="s">
        <v>9</v>
      </c>
      <c r="B15" s="46">
        <f t="shared" si="0"/>
        <v>14</v>
      </c>
      <c r="C15" s="47">
        <v>12</v>
      </c>
      <c r="D15" s="46">
        <v>2020</v>
      </c>
      <c r="E15" s="138">
        <v>20710.000000000946</v>
      </c>
      <c r="F15" s="49">
        <v>0.13923730550638214</v>
      </c>
      <c r="G15" s="138">
        <v>5646</v>
      </c>
      <c r="H15" s="49">
        <v>0.4453480216384178</v>
      </c>
      <c r="I15" s="48">
        <f>'Water consumption'!B17</f>
        <v>338</v>
      </c>
      <c r="J15" s="77">
        <v>0.40408095781071834</v>
      </c>
      <c r="K15" s="77">
        <v>256.12903225806451</v>
      </c>
      <c r="L15" s="77">
        <v>1.5287027707808565</v>
      </c>
      <c r="M15" s="73">
        <v>33</v>
      </c>
      <c r="N15" s="73">
        <v>99</v>
      </c>
      <c r="O15" s="73">
        <v>247</v>
      </c>
    </row>
    <row r="16" spans="1:15" ht="15" x14ac:dyDescent="0.25">
      <c r="A16" s="45" t="s">
        <v>9</v>
      </c>
      <c r="B16" s="46">
        <f t="shared" si="0"/>
        <v>15</v>
      </c>
      <c r="C16" s="47">
        <v>12</v>
      </c>
      <c r="D16" s="46">
        <v>2020</v>
      </c>
      <c r="E16" s="138">
        <v>20589.999999999236</v>
      </c>
      <c r="F16" s="49">
        <v>0.13923730550638214</v>
      </c>
      <c r="G16" s="138">
        <v>4941</v>
      </c>
      <c r="H16" s="49">
        <v>0.4453480216384178</v>
      </c>
      <c r="I16" s="48">
        <f>'Water consumption'!B18</f>
        <v>275</v>
      </c>
      <c r="J16" s="77">
        <v>0.40408095781071834</v>
      </c>
      <c r="K16" s="77">
        <v>256.12903225806451</v>
      </c>
      <c r="L16" s="77">
        <v>1.5287027707808565</v>
      </c>
      <c r="M16" s="73">
        <v>36</v>
      </c>
      <c r="N16" s="73">
        <v>106</v>
      </c>
      <c r="O16" s="73">
        <v>273</v>
      </c>
    </row>
    <row r="17" spans="1:15" ht="15" x14ac:dyDescent="0.25">
      <c r="A17" s="45" t="s">
        <v>9</v>
      </c>
      <c r="B17" s="46">
        <f t="shared" si="0"/>
        <v>16</v>
      </c>
      <c r="C17" s="47">
        <v>12</v>
      </c>
      <c r="D17" s="46">
        <v>2020</v>
      </c>
      <c r="E17" s="138">
        <v>21750.000000000451</v>
      </c>
      <c r="F17" s="49">
        <v>0.13923730550638214</v>
      </c>
      <c r="G17" s="138">
        <v>5562</v>
      </c>
      <c r="H17" s="49">
        <v>0.4453480216384178</v>
      </c>
      <c r="I17" s="48">
        <f>'Water consumption'!B19</f>
        <v>84</v>
      </c>
      <c r="J17" s="77">
        <v>0.40408095781071834</v>
      </c>
      <c r="K17" s="77">
        <v>256.12903225806451</v>
      </c>
      <c r="L17" s="77">
        <v>1.5287027707808565</v>
      </c>
      <c r="M17" s="73">
        <v>37</v>
      </c>
      <c r="N17" s="73">
        <v>108</v>
      </c>
      <c r="O17" s="73">
        <v>293</v>
      </c>
    </row>
    <row r="18" spans="1:15" ht="15" x14ac:dyDescent="0.25">
      <c r="A18" s="45" t="s">
        <v>9</v>
      </c>
      <c r="B18" s="46">
        <f t="shared" si="0"/>
        <v>17</v>
      </c>
      <c r="C18" s="47">
        <v>12</v>
      </c>
      <c r="D18" s="46">
        <v>2020</v>
      </c>
      <c r="E18" s="138">
        <v>20270.000000000211</v>
      </c>
      <c r="F18" s="49">
        <v>0.13923730550638214</v>
      </c>
      <c r="G18" s="138">
        <v>6508</v>
      </c>
      <c r="H18" s="49">
        <v>0.4453480216384178</v>
      </c>
      <c r="I18" s="48">
        <f>'Water consumption'!B20</f>
        <v>520</v>
      </c>
      <c r="J18" s="77">
        <v>0.40408095781071834</v>
      </c>
      <c r="K18" s="77">
        <v>256.12903225806451</v>
      </c>
      <c r="L18" s="77">
        <v>1.5287027707808565</v>
      </c>
      <c r="M18" s="73">
        <v>33</v>
      </c>
      <c r="N18" s="73">
        <v>99</v>
      </c>
      <c r="O18" s="73">
        <v>229</v>
      </c>
    </row>
    <row r="19" spans="1:15" ht="15" x14ac:dyDescent="0.25">
      <c r="A19" s="45" t="s">
        <v>9</v>
      </c>
      <c r="B19" s="46">
        <f t="shared" si="0"/>
        <v>18</v>
      </c>
      <c r="C19" s="47">
        <v>12</v>
      </c>
      <c r="D19" s="46">
        <v>2020</v>
      </c>
      <c r="E19" s="138">
        <v>21849.99999999968</v>
      </c>
      <c r="F19" s="49">
        <v>0.13923730550638214</v>
      </c>
      <c r="G19" s="138">
        <v>5360</v>
      </c>
      <c r="H19" s="49">
        <v>0.4453480216384178</v>
      </c>
      <c r="I19" s="48">
        <f>'Water consumption'!B21</f>
        <v>346</v>
      </c>
      <c r="J19" s="77">
        <v>0.40408095781071834</v>
      </c>
      <c r="K19" s="77">
        <v>256.12903225806451</v>
      </c>
      <c r="L19" s="77">
        <v>1.5287027707808565</v>
      </c>
      <c r="M19" s="73">
        <v>37</v>
      </c>
      <c r="N19" s="73">
        <v>108</v>
      </c>
      <c r="O19" s="73">
        <v>275</v>
      </c>
    </row>
    <row r="20" spans="1:15" ht="15" x14ac:dyDescent="0.25">
      <c r="A20" s="45" t="s">
        <v>9</v>
      </c>
      <c r="B20" s="46">
        <f t="shared" si="0"/>
        <v>19</v>
      </c>
      <c r="C20" s="47">
        <v>12</v>
      </c>
      <c r="D20" s="46">
        <v>2020</v>
      </c>
      <c r="E20" s="138">
        <v>23379.999999999884</v>
      </c>
      <c r="F20" s="49">
        <v>0.13923730550638214</v>
      </c>
      <c r="G20" s="138">
        <v>7155</v>
      </c>
      <c r="H20" s="49">
        <v>0.4453480216384178</v>
      </c>
      <c r="I20" s="48">
        <f>'Water consumption'!B22</f>
        <v>331</v>
      </c>
      <c r="J20" s="77">
        <v>0.40408095781071834</v>
      </c>
      <c r="K20" s="77">
        <v>256.12903225806451</v>
      </c>
      <c r="L20" s="77">
        <v>1.5287027707808565</v>
      </c>
      <c r="M20" s="73">
        <v>48</v>
      </c>
      <c r="N20" s="73">
        <v>144</v>
      </c>
      <c r="O20" s="73">
        <v>376</v>
      </c>
    </row>
    <row r="21" spans="1:15" ht="15" x14ac:dyDescent="0.25">
      <c r="A21" s="45" t="s">
        <v>9</v>
      </c>
      <c r="B21" s="46">
        <f t="shared" si="0"/>
        <v>20</v>
      </c>
      <c r="C21" s="47">
        <v>12</v>
      </c>
      <c r="D21" s="46">
        <v>2020</v>
      </c>
      <c r="E21" s="138">
        <v>20300.000000000637</v>
      </c>
      <c r="F21" s="49">
        <v>0.13923730550638214</v>
      </c>
      <c r="G21" s="138">
        <v>5282</v>
      </c>
      <c r="H21" s="49">
        <v>0.4453480216384178</v>
      </c>
      <c r="I21" s="48">
        <f>'Water consumption'!B23</f>
        <v>269</v>
      </c>
      <c r="J21" s="77">
        <v>0.40408095781071834</v>
      </c>
      <c r="K21" s="77">
        <v>256.12903225806451</v>
      </c>
      <c r="L21" s="77">
        <v>1.5287027707808565</v>
      </c>
      <c r="M21" s="73">
        <v>49</v>
      </c>
      <c r="N21" s="73">
        <v>139</v>
      </c>
      <c r="O21" s="73">
        <v>370</v>
      </c>
    </row>
    <row r="22" spans="1:15" ht="15" x14ac:dyDescent="0.25">
      <c r="A22" s="45" t="s">
        <v>9</v>
      </c>
      <c r="B22" s="46">
        <f t="shared" si="0"/>
        <v>21</v>
      </c>
      <c r="C22" s="47">
        <v>12</v>
      </c>
      <c r="D22" s="46">
        <v>2020</v>
      </c>
      <c r="E22" s="138">
        <v>18559.999999999491</v>
      </c>
      <c r="F22" s="49">
        <v>0.13923730550638214</v>
      </c>
      <c r="G22" s="138">
        <v>5484</v>
      </c>
      <c r="H22" s="49">
        <v>0.4453480216384178</v>
      </c>
      <c r="I22" s="48">
        <f>'Water consumption'!B24</f>
        <v>275</v>
      </c>
      <c r="J22" s="77">
        <v>0.40408095781071834</v>
      </c>
      <c r="K22" s="77">
        <v>256.12903225806451</v>
      </c>
      <c r="L22" s="77">
        <v>1.5287027707808565</v>
      </c>
      <c r="M22" s="73">
        <v>40</v>
      </c>
      <c r="N22" s="73">
        <v>113</v>
      </c>
      <c r="O22" s="73">
        <v>340</v>
      </c>
    </row>
    <row r="23" spans="1:15" ht="15" x14ac:dyDescent="0.25">
      <c r="A23" s="45" t="s">
        <v>9</v>
      </c>
      <c r="B23" s="46">
        <f t="shared" si="0"/>
        <v>22</v>
      </c>
      <c r="C23" s="47">
        <v>12</v>
      </c>
      <c r="D23" s="46">
        <v>2020</v>
      </c>
      <c r="E23" s="138">
        <v>23550.000000000182</v>
      </c>
      <c r="F23" s="49">
        <v>0.13923730550638214</v>
      </c>
      <c r="G23" s="138">
        <v>4726</v>
      </c>
      <c r="H23" s="49">
        <v>0.4453480216384178</v>
      </c>
      <c r="I23" s="48">
        <f>'Water consumption'!B25</f>
        <v>301</v>
      </c>
      <c r="J23" s="77">
        <v>0.40408095781071834</v>
      </c>
      <c r="K23" s="77">
        <v>256.12903225806451</v>
      </c>
      <c r="L23" s="77">
        <v>1.5287027707808565</v>
      </c>
      <c r="M23" s="73">
        <v>41</v>
      </c>
      <c r="N23" s="73">
        <v>111</v>
      </c>
      <c r="O23" s="73">
        <v>285</v>
      </c>
    </row>
    <row r="24" spans="1:15" ht="15" x14ac:dyDescent="0.25">
      <c r="A24" s="45" t="s">
        <v>9</v>
      </c>
      <c r="B24" s="46">
        <f t="shared" si="0"/>
        <v>23</v>
      </c>
      <c r="C24" s="47">
        <v>12</v>
      </c>
      <c r="D24" s="46">
        <v>2020</v>
      </c>
      <c r="E24" s="138">
        <v>15139.999999999418</v>
      </c>
      <c r="F24" s="49">
        <v>0.13923730550638214</v>
      </c>
      <c r="G24" s="138">
        <v>5044</v>
      </c>
      <c r="H24" s="49">
        <v>0.4453480216384178</v>
      </c>
      <c r="I24" s="48">
        <f>'Water consumption'!B26</f>
        <v>246</v>
      </c>
      <c r="J24" s="77">
        <v>0.40408095781071834</v>
      </c>
      <c r="K24" s="77">
        <v>256.12903225806451</v>
      </c>
      <c r="L24" s="77">
        <v>1.5287027707808565</v>
      </c>
      <c r="M24" s="73">
        <v>38</v>
      </c>
      <c r="N24" s="73">
        <v>109</v>
      </c>
      <c r="O24" s="73">
        <v>286</v>
      </c>
    </row>
    <row r="25" spans="1:15" ht="15" x14ac:dyDescent="0.25">
      <c r="A25" s="45" t="s">
        <v>9</v>
      </c>
      <c r="B25" s="46">
        <f t="shared" si="0"/>
        <v>24</v>
      </c>
      <c r="C25" s="47">
        <v>12</v>
      </c>
      <c r="D25" s="46">
        <v>2020</v>
      </c>
      <c r="E25" s="138">
        <v>20650.000000000091</v>
      </c>
      <c r="F25" s="49">
        <v>0.13923730550638214</v>
      </c>
      <c r="G25" s="138">
        <v>6292</v>
      </c>
      <c r="H25" s="49">
        <v>0.4453480216384178</v>
      </c>
      <c r="I25" s="48">
        <f>'Water consumption'!B27</f>
        <v>252</v>
      </c>
      <c r="J25" s="77">
        <v>0.40408095781071834</v>
      </c>
      <c r="K25" s="77">
        <v>256.12903225806451</v>
      </c>
      <c r="L25" s="77">
        <v>1.5287027707808565</v>
      </c>
      <c r="M25" s="73">
        <v>34</v>
      </c>
      <c r="N25" s="73">
        <v>99</v>
      </c>
      <c r="O25" s="73">
        <v>264</v>
      </c>
    </row>
    <row r="26" spans="1:15" ht="15" x14ac:dyDescent="0.25">
      <c r="A26" s="45" t="s">
        <v>9</v>
      </c>
      <c r="B26" s="46">
        <f>B25+1</f>
        <v>25</v>
      </c>
      <c r="C26" s="47">
        <v>12</v>
      </c>
      <c r="D26" s="46">
        <v>2020</v>
      </c>
      <c r="E26" s="138">
        <v>21620.000000000116</v>
      </c>
      <c r="F26" s="49">
        <v>0.13923730550638214</v>
      </c>
      <c r="G26" s="138">
        <v>5425</v>
      </c>
      <c r="H26" s="49">
        <v>0.4453480216384178</v>
      </c>
      <c r="I26" s="48">
        <f>'Water consumption'!B28</f>
        <v>248</v>
      </c>
      <c r="J26" s="77">
        <v>0.40408095781071834</v>
      </c>
      <c r="K26" s="77">
        <v>256.12903225806451</v>
      </c>
      <c r="L26" s="77">
        <v>1.5287027707808565</v>
      </c>
      <c r="M26" s="73">
        <v>38</v>
      </c>
      <c r="N26" s="73">
        <v>109</v>
      </c>
      <c r="O26" s="73">
        <v>265</v>
      </c>
    </row>
    <row r="27" spans="1:15" ht="15" x14ac:dyDescent="0.25">
      <c r="A27" s="45" t="s">
        <v>9</v>
      </c>
      <c r="B27" s="46">
        <f t="shared" si="0"/>
        <v>26</v>
      </c>
      <c r="C27" s="47">
        <v>12</v>
      </c>
      <c r="D27" s="46">
        <v>2020</v>
      </c>
      <c r="E27" s="138">
        <v>22789.999999999964</v>
      </c>
      <c r="F27" s="49">
        <v>0.13923730550638214</v>
      </c>
      <c r="G27" s="138">
        <v>6328</v>
      </c>
      <c r="H27" s="49">
        <v>0.4453480216384178</v>
      </c>
      <c r="I27" s="48">
        <f>'Water consumption'!B29</f>
        <v>297</v>
      </c>
      <c r="J27" s="77">
        <v>0.40408095781071834</v>
      </c>
      <c r="K27" s="77">
        <v>256.12903225806451</v>
      </c>
      <c r="L27" s="77">
        <v>1.5287027707808565</v>
      </c>
      <c r="M27" s="73">
        <v>42</v>
      </c>
      <c r="N27" s="73">
        <v>117</v>
      </c>
      <c r="O27" s="73">
        <v>317</v>
      </c>
    </row>
    <row r="28" spans="1:15" ht="15" x14ac:dyDescent="0.25">
      <c r="A28" s="45" t="s">
        <v>9</v>
      </c>
      <c r="B28" s="46">
        <f t="shared" si="0"/>
        <v>27</v>
      </c>
      <c r="C28" s="47">
        <v>12</v>
      </c>
      <c r="D28" s="46">
        <v>2020</v>
      </c>
      <c r="E28" s="138">
        <v>22569.999999999483</v>
      </c>
      <c r="F28" s="49">
        <v>0.13923730550638214</v>
      </c>
      <c r="G28" s="138">
        <v>6402</v>
      </c>
      <c r="H28" s="49">
        <v>0.4453480216384178</v>
      </c>
      <c r="I28" s="48">
        <f>'Water consumption'!B30</f>
        <v>274</v>
      </c>
      <c r="J28" s="77">
        <v>0.40408095781071834</v>
      </c>
      <c r="K28" s="77">
        <v>256.12903225806451</v>
      </c>
      <c r="L28" s="77">
        <v>1.5287027707808565</v>
      </c>
      <c r="M28" s="73">
        <v>54</v>
      </c>
      <c r="N28" s="73">
        <v>162</v>
      </c>
      <c r="O28" s="73">
        <v>386</v>
      </c>
    </row>
    <row r="29" spans="1:15" ht="15" x14ac:dyDescent="0.25">
      <c r="A29" s="45" t="s">
        <v>9</v>
      </c>
      <c r="B29" s="46">
        <f t="shared" si="0"/>
        <v>28</v>
      </c>
      <c r="C29" s="47">
        <v>12</v>
      </c>
      <c r="D29" s="46">
        <v>2020</v>
      </c>
      <c r="E29" s="138">
        <v>19190.000000000964</v>
      </c>
      <c r="F29" s="49">
        <v>0.13923730550638214</v>
      </c>
      <c r="G29" s="138">
        <v>4905</v>
      </c>
      <c r="H29" s="49">
        <v>0.4453480216384178</v>
      </c>
      <c r="I29" s="48">
        <f>'Water consumption'!B31</f>
        <v>266</v>
      </c>
      <c r="J29" s="77">
        <v>0.40408095781071834</v>
      </c>
      <c r="K29" s="77">
        <v>256.12903225806451</v>
      </c>
      <c r="L29" s="77">
        <v>1.5287027707808565</v>
      </c>
      <c r="M29" s="73">
        <v>58</v>
      </c>
      <c r="N29" s="73">
        <v>167</v>
      </c>
      <c r="O29" s="73">
        <v>419</v>
      </c>
    </row>
    <row r="30" spans="1:15" ht="15" x14ac:dyDescent="0.25">
      <c r="A30" s="45" t="s">
        <v>9</v>
      </c>
      <c r="B30" s="46">
        <f t="shared" si="0"/>
        <v>29</v>
      </c>
      <c r="C30" s="47">
        <v>12</v>
      </c>
      <c r="D30" s="46">
        <v>2020</v>
      </c>
      <c r="E30" s="138">
        <v>21219.999999999571</v>
      </c>
      <c r="F30" s="49">
        <v>0.13923730550638214</v>
      </c>
      <c r="G30" s="138">
        <v>6296</v>
      </c>
      <c r="H30" s="49">
        <v>0.4453480216384178</v>
      </c>
      <c r="I30" s="48">
        <f>'Water consumption'!B32</f>
        <v>328</v>
      </c>
      <c r="J30" s="77">
        <v>0.40408095781071834</v>
      </c>
      <c r="K30" s="77">
        <v>256.12903225806451</v>
      </c>
      <c r="L30" s="77">
        <v>1.5287027707808565</v>
      </c>
      <c r="M30" s="73">
        <v>63</v>
      </c>
      <c r="N30" s="73">
        <v>176</v>
      </c>
      <c r="O30" s="73">
        <v>453</v>
      </c>
    </row>
    <row r="31" spans="1:15" ht="15" x14ac:dyDescent="0.25">
      <c r="A31" s="45" t="s">
        <v>9</v>
      </c>
      <c r="B31" s="46">
        <f t="shared" si="0"/>
        <v>30</v>
      </c>
      <c r="C31" s="47">
        <v>12</v>
      </c>
      <c r="D31" s="46">
        <v>2020</v>
      </c>
      <c r="E31" s="138">
        <v>23330.000000000153</v>
      </c>
      <c r="F31" s="49">
        <v>0.13923730550638214</v>
      </c>
      <c r="G31" s="138">
        <v>6377</v>
      </c>
      <c r="H31" s="49">
        <v>0.4453480216384178</v>
      </c>
      <c r="I31" s="48">
        <f>'Water consumption'!B33</f>
        <v>260</v>
      </c>
      <c r="J31" s="77">
        <v>0.40408095781071834</v>
      </c>
      <c r="K31" s="77">
        <v>256.12903225806451</v>
      </c>
      <c r="L31" s="77">
        <v>1.5287027707808565</v>
      </c>
      <c r="M31" s="73">
        <v>63</v>
      </c>
      <c r="N31" s="73">
        <v>177</v>
      </c>
      <c r="O31" s="73">
        <v>463</v>
      </c>
    </row>
    <row r="32" spans="1:15" ht="15" x14ac:dyDescent="0.25">
      <c r="A32" s="45" t="s">
        <v>9</v>
      </c>
      <c r="B32" s="46">
        <f t="shared" si="0"/>
        <v>31</v>
      </c>
      <c r="C32" s="47">
        <v>12</v>
      </c>
      <c r="D32" s="46">
        <v>2020</v>
      </c>
      <c r="E32" s="138">
        <v>22550.000000000411</v>
      </c>
      <c r="F32" s="49">
        <v>0.13923730550638214</v>
      </c>
      <c r="G32" s="138">
        <v>6163</v>
      </c>
      <c r="H32" s="49">
        <v>0.4453480216384178</v>
      </c>
      <c r="I32" s="48">
        <f>'Water consumption'!B34</f>
        <v>319</v>
      </c>
      <c r="J32" s="77">
        <v>0.40408095781071834</v>
      </c>
      <c r="K32" s="77">
        <v>256.12903225806451</v>
      </c>
      <c r="L32" s="77">
        <v>1.5287027707808565</v>
      </c>
      <c r="M32" s="73">
        <v>66</v>
      </c>
      <c r="N32" s="73">
        <v>189</v>
      </c>
      <c r="O32" s="73">
        <v>483</v>
      </c>
    </row>
    <row r="33" spans="1:15" ht="18.75" customHeight="1" x14ac:dyDescent="0.2">
      <c r="A33" s="108" t="s">
        <v>53</v>
      </c>
      <c r="B33" s="108"/>
      <c r="C33" s="108"/>
      <c r="D33" s="108"/>
      <c r="E33" s="102">
        <f>SUM(E2:E32)</f>
        <v>643980.00000000023</v>
      </c>
      <c r="F33" s="105">
        <v>89666.04</v>
      </c>
      <c r="G33" s="102">
        <f>SUM(G2:G32)</f>
        <v>177647</v>
      </c>
      <c r="H33" s="103">
        <v>79114.740000000005</v>
      </c>
      <c r="I33" s="104">
        <f>SUM(I2:I32)</f>
        <v>8770</v>
      </c>
      <c r="J33" s="105">
        <v>3543.79</v>
      </c>
      <c r="K33" s="106">
        <v>7940</v>
      </c>
      <c r="L33" s="103">
        <v>12137.9</v>
      </c>
      <c r="M33" s="107">
        <f t="shared" ref="M33:O33" si="1">SUM(M2:M32)</f>
        <v>1116</v>
      </c>
      <c r="N33" s="107">
        <f t="shared" si="1"/>
        <v>3063</v>
      </c>
      <c r="O33" s="107">
        <f t="shared" si="1"/>
        <v>8003</v>
      </c>
    </row>
  </sheetData>
  <mergeCells count="1">
    <mergeCell ref="A33:D33"/>
  </mergeCells>
  <pageMargins left="0.2" right="0.2" top="0.75" bottom="0.75" header="0.3" footer="0.3"/>
  <pageSetup scale="80" orientation="portrait" r:id="rId1"/>
  <ignoredErrors>
    <ignoredError sqref="K2 I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V38" sqref="V38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2" t="s">
        <v>10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78"/>
      <c r="V1" s="78"/>
    </row>
    <row r="2" spans="1:25" s="17" customFormat="1" ht="33" customHeight="1" x14ac:dyDescent="0.25">
      <c r="A2" s="29" t="s">
        <v>2</v>
      </c>
      <c r="B2" s="109" t="s">
        <v>11</v>
      </c>
      <c r="C2" s="109" t="s">
        <v>12</v>
      </c>
      <c r="D2" s="109" t="s">
        <v>13</v>
      </c>
      <c r="E2" s="109" t="s">
        <v>14</v>
      </c>
      <c r="F2" s="109" t="s">
        <v>15</v>
      </c>
      <c r="G2" s="114" t="s">
        <v>16</v>
      </c>
      <c r="H2" s="116" t="s">
        <v>17</v>
      </c>
      <c r="I2" s="109" t="s">
        <v>18</v>
      </c>
      <c r="J2" s="119" t="s">
        <v>19</v>
      </c>
      <c r="K2" s="120"/>
      <c r="L2" s="121"/>
      <c r="M2" s="114" t="s">
        <v>20</v>
      </c>
      <c r="N2" s="116" t="s">
        <v>21</v>
      </c>
      <c r="O2" s="117" t="s">
        <v>22</v>
      </c>
      <c r="P2" s="116" t="s">
        <v>23</v>
      </c>
      <c r="Q2" s="122" t="s">
        <v>24</v>
      </c>
      <c r="R2" s="109" t="s">
        <v>25</v>
      </c>
      <c r="S2" s="109" t="s">
        <v>26</v>
      </c>
      <c r="T2" s="109" t="s">
        <v>27</v>
      </c>
      <c r="V2" s="111" t="s">
        <v>6</v>
      </c>
      <c r="W2" s="111" t="s">
        <v>7</v>
      </c>
      <c r="X2" s="111" t="s">
        <v>8</v>
      </c>
    </row>
    <row r="3" spans="1:25" s="17" customFormat="1" ht="45" customHeight="1" x14ac:dyDescent="0.25">
      <c r="A3" s="30"/>
      <c r="B3" s="110"/>
      <c r="C3" s="110"/>
      <c r="D3" s="110"/>
      <c r="E3" s="110"/>
      <c r="F3" s="110"/>
      <c r="G3" s="115"/>
      <c r="H3" s="116"/>
      <c r="I3" s="110"/>
      <c r="J3" s="18" t="s">
        <v>28</v>
      </c>
      <c r="K3" s="18" t="s">
        <v>29</v>
      </c>
      <c r="L3" s="18" t="s">
        <v>30</v>
      </c>
      <c r="M3" s="115"/>
      <c r="N3" s="116"/>
      <c r="O3" s="118"/>
      <c r="P3" s="116"/>
      <c r="Q3" s="123"/>
      <c r="R3" s="110"/>
      <c r="S3" s="110"/>
      <c r="T3" s="110"/>
      <c r="V3" s="111"/>
      <c r="W3" s="111"/>
      <c r="X3" s="111"/>
    </row>
    <row r="4" spans="1:25" ht="21" customHeight="1" x14ac:dyDescent="0.25">
      <c r="A4" s="8">
        <v>44166</v>
      </c>
      <c r="B4" s="1">
        <v>719.2</v>
      </c>
      <c r="C4" s="1">
        <v>179.59</v>
      </c>
      <c r="D4" s="1">
        <v>6934727.3499999996</v>
      </c>
      <c r="E4" s="1">
        <v>0</v>
      </c>
      <c r="F4" s="1">
        <v>1.8624000000000001</v>
      </c>
      <c r="G4" s="1">
        <v>559.72</v>
      </c>
      <c r="H4" s="1">
        <v>457.83</v>
      </c>
      <c r="I4" s="1">
        <v>174.18</v>
      </c>
      <c r="J4" s="1">
        <v>265.27999999999997</v>
      </c>
      <c r="K4" s="1">
        <v>273.89</v>
      </c>
      <c r="L4" s="1">
        <v>187.71</v>
      </c>
      <c r="M4" s="1">
        <v>366.37</v>
      </c>
      <c r="N4" s="1">
        <v>309.54000000000002</v>
      </c>
      <c r="O4" s="1">
        <v>100.31</v>
      </c>
      <c r="P4" s="1">
        <v>421.53</v>
      </c>
      <c r="Q4" s="1">
        <v>310.7</v>
      </c>
      <c r="R4" s="1">
        <v>109.4</v>
      </c>
      <c r="S4" s="1">
        <v>87.031999999999996</v>
      </c>
      <c r="T4" s="1">
        <v>319.95</v>
      </c>
      <c r="V4" s="72">
        <v>23</v>
      </c>
      <c r="W4" s="72">
        <v>61</v>
      </c>
      <c r="X4" s="72">
        <v>132</v>
      </c>
      <c r="Y4" s="17"/>
    </row>
    <row r="5" spans="1:25" ht="21" customHeight="1" x14ac:dyDescent="0.25">
      <c r="A5" s="8">
        <v>44167</v>
      </c>
      <c r="B5" s="1">
        <v>720.31</v>
      </c>
      <c r="C5" s="1">
        <v>179.83</v>
      </c>
      <c r="D5" s="1">
        <v>6938965.75</v>
      </c>
      <c r="E5" s="1">
        <v>0</v>
      </c>
      <c r="F5" s="1">
        <v>1.8647</v>
      </c>
      <c r="G5" s="1">
        <v>560.47</v>
      </c>
      <c r="H5" s="1">
        <v>458.63</v>
      </c>
      <c r="I5" s="1">
        <v>174.41</v>
      </c>
      <c r="J5" s="1">
        <v>265.33999999999997</v>
      </c>
      <c r="K5" s="1">
        <v>274.17</v>
      </c>
      <c r="L5" s="1">
        <v>187.88</v>
      </c>
      <c r="M5" s="1">
        <v>367.01</v>
      </c>
      <c r="N5" s="1">
        <v>310.23</v>
      </c>
      <c r="O5" s="1">
        <v>100.52</v>
      </c>
      <c r="P5" s="1">
        <v>422.33</v>
      </c>
      <c r="Q5" s="1">
        <v>311.26</v>
      </c>
      <c r="R5" s="1">
        <v>109.53</v>
      </c>
      <c r="S5" s="1">
        <v>87.162000000000006</v>
      </c>
      <c r="T5" s="1">
        <v>320.25</v>
      </c>
      <c r="V5" s="72">
        <v>20</v>
      </c>
      <c r="W5" s="72">
        <v>49</v>
      </c>
      <c r="X5" s="72">
        <v>130</v>
      </c>
      <c r="Y5" s="17"/>
    </row>
    <row r="6" spans="1:25" ht="21" customHeight="1" x14ac:dyDescent="0.25">
      <c r="A6" s="8">
        <v>44168</v>
      </c>
      <c r="B6" s="1">
        <v>721.29</v>
      </c>
      <c r="C6" s="1">
        <v>180.07</v>
      </c>
      <c r="D6" s="1">
        <v>6942343.5</v>
      </c>
      <c r="E6" s="1">
        <v>0</v>
      </c>
      <c r="F6" s="1">
        <v>1.8666</v>
      </c>
      <c r="G6" s="1">
        <v>561.14</v>
      </c>
      <c r="H6" s="1">
        <v>459.36</v>
      </c>
      <c r="I6" s="1">
        <v>174.61</v>
      </c>
      <c r="J6" s="1">
        <v>265.45</v>
      </c>
      <c r="K6" s="1">
        <v>274.39</v>
      </c>
      <c r="L6" s="1">
        <v>188.06</v>
      </c>
      <c r="M6" s="1">
        <v>367.56</v>
      </c>
      <c r="N6" s="1">
        <v>310.85000000000002</v>
      </c>
      <c r="O6" s="1">
        <v>100.73</v>
      </c>
      <c r="P6" s="1">
        <v>423.12</v>
      </c>
      <c r="Q6" s="1">
        <v>311.77999999999997</v>
      </c>
      <c r="R6" s="1">
        <v>109.71</v>
      </c>
      <c r="S6" s="1">
        <v>87.283000000000001</v>
      </c>
      <c r="T6" s="1">
        <v>320.70999999999998</v>
      </c>
      <c r="V6" s="72">
        <v>21</v>
      </c>
      <c r="W6" s="72">
        <v>48</v>
      </c>
      <c r="X6" s="72">
        <v>118</v>
      </c>
      <c r="Y6" s="17"/>
    </row>
    <row r="7" spans="1:25" ht="21" customHeight="1" x14ac:dyDescent="0.25">
      <c r="A7" s="8">
        <v>44169</v>
      </c>
      <c r="B7" s="1">
        <v>722.51</v>
      </c>
      <c r="C7" s="1">
        <v>180.31</v>
      </c>
      <c r="D7" s="1">
        <v>6946343.5199999996</v>
      </c>
      <c r="E7" s="1">
        <v>0</v>
      </c>
      <c r="F7" s="1">
        <v>1.8689</v>
      </c>
      <c r="G7" s="1">
        <v>562.05999999999995</v>
      </c>
      <c r="H7" s="1">
        <v>460.38</v>
      </c>
      <c r="I7" s="1">
        <v>174.86</v>
      </c>
      <c r="J7" s="1">
        <v>265.58</v>
      </c>
      <c r="K7" s="1">
        <v>274.62</v>
      </c>
      <c r="L7" s="1">
        <v>188.24</v>
      </c>
      <c r="M7" s="1">
        <v>368.38</v>
      </c>
      <c r="N7" s="1">
        <v>311.70999999999998</v>
      </c>
      <c r="O7" s="1">
        <v>100.75</v>
      </c>
      <c r="P7" s="1">
        <v>424.27</v>
      </c>
      <c r="Q7" s="1">
        <v>312.5</v>
      </c>
      <c r="R7" s="1">
        <v>109.92</v>
      </c>
      <c r="S7" s="1">
        <v>87.418999999999997</v>
      </c>
      <c r="T7" s="1">
        <v>321.02</v>
      </c>
      <c r="V7" s="72">
        <v>24</v>
      </c>
      <c r="W7" s="72">
        <v>51</v>
      </c>
      <c r="X7" s="72">
        <v>132</v>
      </c>
      <c r="Y7" s="17"/>
    </row>
    <row r="8" spans="1:25" ht="21" customHeight="1" x14ac:dyDescent="0.25">
      <c r="A8" s="8">
        <v>44170</v>
      </c>
      <c r="B8" s="1">
        <v>723.64</v>
      </c>
      <c r="C8" s="1">
        <v>180.51</v>
      </c>
      <c r="D8" s="1">
        <v>6952633.1500000004</v>
      </c>
      <c r="E8" s="1">
        <v>0</v>
      </c>
      <c r="F8" s="1">
        <v>1.8709</v>
      </c>
      <c r="G8" s="1">
        <v>562.92999999999995</v>
      </c>
      <c r="H8" s="1">
        <v>461.32</v>
      </c>
      <c r="I8" s="1">
        <v>175.12</v>
      </c>
      <c r="J8" s="1">
        <v>265.7</v>
      </c>
      <c r="K8" s="1">
        <v>274.85000000000002</v>
      </c>
      <c r="L8" s="1">
        <v>188.42</v>
      </c>
      <c r="M8" s="1">
        <v>369.11</v>
      </c>
      <c r="N8" s="1">
        <v>312.44</v>
      </c>
      <c r="O8" s="1">
        <v>101.17</v>
      </c>
      <c r="P8" s="1">
        <v>425.36</v>
      </c>
      <c r="Q8" s="1">
        <v>313.14</v>
      </c>
      <c r="R8" s="1">
        <v>110.04</v>
      </c>
      <c r="S8" s="1">
        <v>87.537000000000006</v>
      </c>
      <c r="T8" s="1">
        <v>321.31</v>
      </c>
      <c r="V8" s="72">
        <v>22</v>
      </c>
      <c r="W8" s="72">
        <v>50</v>
      </c>
      <c r="X8" s="72">
        <v>129</v>
      </c>
      <c r="Y8" s="17"/>
    </row>
    <row r="9" spans="1:25" ht="21" customHeight="1" x14ac:dyDescent="0.25">
      <c r="A9" s="8">
        <v>44171</v>
      </c>
      <c r="B9" s="1">
        <v>724.83</v>
      </c>
      <c r="C9" s="1">
        <v>180.75</v>
      </c>
      <c r="D9" s="1">
        <v>6958929.3799999999</v>
      </c>
      <c r="E9" s="1">
        <v>0</v>
      </c>
      <c r="F9" s="1">
        <v>1.8731</v>
      </c>
      <c r="G9" s="1">
        <v>563.69000000000005</v>
      </c>
      <c r="H9" s="1">
        <v>462.27</v>
      </c>
      <c r="I9" s="1">
        <v>175.37</v>
      </c>
      <c r="J9" s="1">
        <v>265.83999999999997</v>
      </c>
      <c r="K9" s="1">
        <v>275.10000000000002</v>
      </c>
      <c r="L9" s="1">
        <v>188.59</v>
      </c>
      <c r="M9" s="1">
        <v>369.82</v>
      </c>
      <c r="N9" s="1">
        <v>313.11</v>
      </c>
      <c r="O9" s="1">
        <v>101.38</v>
      </c>
      <c r="P9" s="1">
        <v>426.96</v>
      </c>
      <c r="Q9" s="1">
        <v>313.81</v>
      </c>
      <c r="R9" s="1">
        <v>110.16</v>
      </c>
      <c r="S9" s="1">
        <v>87.665000000000006</v>
      </c>
      <c r="T9" s="1">
        <v>321.81</v>
      </c>
      <c r="V9" s="72">
        <v>21</v>
      </c>
      <c r="W9" s="72">
        <v>47</v>
      </c>
      <c r="X9" s="72">
        <v>126</v>
      </c>
      <c r="Y9" s="17"/>
    </row>
    <row r="10" spans="1:25" ht="21" customHeight="1" x14ac:dyDescent="0.25">
      <c r="A10" s="8">
        <v>44172</v>
      </c>
      <c r="B10" s="1">
        <v>726.04</v>
      </c>
      <c r="C10" s="1">
        <v>180.93</v>
      </c>
      <c r="D10" s="1">
        <v>6965219.4800000004</v>
      </c>
      <c r="E10" s="1">
        <v>0</v>
      </c>
      <c r="F10" s="1">
        <v>1.8753</v>
      </c>
      <c r="G10" s="1">
        <v>564.4</v>
      </c>
      <c r="H10" s="1">
        <v>463.2</v>
      </c>
      <c r="I10" s="1">
        <v>175.62</v>
      </c>
      <c r="J10" s="1">
        <v>265.95999999999998</v>
      </c>
      <c r="K10" s="1">
        <v>275.37</v>
      </c>
      <c r="L10" s="1">
        <v>188.78</v>
      </c>
      <c r="M10" s="1">
        <v>370.54</v>
      </c>
      <c r="N10" s="1">
        <v>313.85000000000002</v>
      </c>
      <c r="O10" s="1">
        <v>101.63</v>
      </c>
      <c r="P10" s="1">
        <v>427.42</v>
      </c>
      <c r="Q10" s="1">
        <v>314.45</v>
      </c>
      <c r="R10" s="1">
        <v>110.27</v>
      </c>
      <c r="S10" s="1">
        <v>87.789000000000001</v>
      </c>
      <c r="T10" s="1">
        <v>322.16000000000003</v>
      </c>
      <c r="V10" s="72">
        <v>27</v>
      </c>
      <c r="W10" s="72">
        <v>59</v>
      </c>
      <c r="X10" s="72">
        <v>180</v>
      </c>
      <c r="Y10" s="17"/>
    </row>
    <row r="11" spans="1:25" ht="21" customHeight="1" x14ac:dyDescent="0.25">
      <c r="A11" s="8">
        <v>44173</v>
      </c>
      <c r="B11" s="1">
        <v>727.34</v>
      </c>
      <c r="C11" s="1">
        <v>181.16</v>
      </c>
      <c r="D11" s="1">
        <v>6970847.9000000004</v>
      </c>
      <c r="E11" s="1">
        <v>0</v>
      </c>
      <c r="F11" s="1">
        <v>1.8775999999999999</v>
      </c>
      <c r="G11" s="1">
        <v>565.26</v>
      </c>
      <c r="H11" s="1">
        <v>464.08</v>
      </c>
      <c r="I11" s="1">
        <v>175.88</v>
      </c>
      <c r="J11" s="1">
        <v>266.16000000000003</v>
      </c>
      <c r="K11" s="1">
        <v>275.66000000000003</v>
      </c>
      <c r="L11" s="1">
        <v>188.99</v>
      </c>
      <c r="M11" s="1">
        <v>371.25</v>
      </c>
      <c r="N11" s="1">
        <v>314.64999999999998</v>
      </c>
      <c r="O11" s="1">
        <v>101.86</v>
      </c>
      <c r="P11" s="1">
        <v>428.36</v>
      </c>
      <c r="Q11" s="1">
        <v>315.14</v>
      </c>
      <c r="R11" s="1">
        <v>110.47</v>
      </c>
      <c r="S11" s="1">
        <v>87.918000000000006</v>
      </c>
      <c r="T11" s="1">
        <v>322.64999999999998</v>
      </c>
      <c r="V11" s="72">
        <v>28</v>
      </c>
      <c r="W11" s="72">
        <v>62</v>
      </c>
      <c r="X11" s="72">
        <v>183</v>
      </c>
      <c r="Y11" s="17"/>
    </row>
    <row r="12" spans="1:25" ht="21" customHeight="1" x14ac:dyDescent="0.25">
      <c r="A12" s="8">
        <v>44174</v>
      </c>
      <c r="B12" s="1">
        <v>728.56</v>
      </c>
      <c r="C12" s="1">
        <v>181.39</v>
      </c>
      <c r="D12" s="1">
        <v>6975537.3200000003</v>
      </c>
      <c r="E12" s="1">
        <v>0</v>
      </c>
      <c r="F12" s="1">
        <v>1.8796999999999999</v>
      </c>
      <c r="G12" s="1">
        <v>566.01</v>
      </c>
      <c r="H12" s="1">
        <v>464.89</v>
      </c>
      <c r="I12" s="1">
        <v>176.12</v>
      </c>
      <c r="J12" s="1">
        <v>266.27</v>
      </c>
      <c r="K12" s="1">
        <v>275.93</v>
      </c>
      <c r="L12" s="1">
        <v>189.16</v>
      </c>
      <c r="M12" s="1">
        <v>371.9</v>
      </c>
      <c r="N12" s="1">
        <v>315.42</v>
      </c>
      <c r="O12" s="1">
        <v>102.06</v>
      </c>
      <c r="P12" s="1">
        <v>429.18</v>
      </c>
      <c r="Q12" s="1">
        <v>315.8</v>
      </c>
      <c r="R12" s="1">
        <v>110.57</v>
      </c>
      <c r="S12" s="1">
        <v>88.049000000000007</v>
      </c>
      <c r="T12" s="1">
        <v>322.99</v>
      </c>
      <c r="V12" s="72">
        <v>23</v>
      </c>
      <c r="W12" s="72">
        <v>65</v>
      </c>
      <c r="X12" s="72">
        <v>166</v>
      </c>
      <c r="Y12" s="17"/>
    </row>
    <row r="13" spans="1:25" ht="21" customHeight="1" x14ac:dyDescent="0.25">
      <c r="A13" s="8">
        <v>44175</v>
      </c>
      <c r="B13" s="1">
        <v>729.82</v>
      </c>
      <c r="C13" s="1">
        <v>181.62</v>
      </c>
      <c r="D13" s="1">
        <v>6980772.7999999998</v>
      </c>
      <c r="E13" s="1">
        <v>0</v>
      </c>
      <c r="F13" s="1">
        <v>1.8818999999999999</v>
      </c>
      <c r="G13" s="1">
        <v>566.82000000000005</v>
      </c>
      <c r="H13" s="1">
        <v>465.8</v>
      </c>
      <c r="I13" s="1">
        <v>176.4</v>
      </c>
      <c r="J13" s="1">
        <v>266.41000000000003</v>
      </c>
      <c r="K13" s="1">
        <v>276.18</v>
      </c>
      <c r="L13" s="1">
        <v>189.36</v>
      </c>
      <c r="M13" s="1">
        <v>372.65</v>
      </c>
      <c r="N13" s="1">
        <v>316.35000000000002</v>
      </c>
      <c r="O13" s="1">
        <v>102.28</v>
      </c>
      <c r="P13" s="1">
        <v>430.07</v>
      </c>
      <c r="Q13" s="1">
        <v>316.56</v>
      </c>
      <c r="R13" s="1">
        <v>110.73</v>
      </c>
      <c r="S13" s="1">
        <v>88.180999999999997</v>
      </c>
      <c r="T13" s="1">
        <v>323.45999999999998</v>
      </c>
      <c r="V13" s="72">
        <v>19</v>
      </c>
      <c r="W13" s="72">
        <v>45</v>
      </c>
      <c r="X13" s="72">
        <v>145</v>
      </c>
      <c r="Y13" s="17"/>
    </row>
    <row r="14" spans="1:25" ht="21" customHeight="1" x14ac:dyDescent="0.25">
      <c r="A14" s="8">
        <v>44176</v>
      </c>
      <c r="B14" s="1">
        <v>731.08</v>
      </c>
      <c r="C14" s="1">
        <v>181.86</v>
      </c>
      <c r="D14" s="1">
        <v>6985414.7400000002</v>
      </c>
      <c r="E14" s="1">
        <v>0</v>
      </c>
      <c r="F14" s="1">
        <v>1.8841000000000001</v>
      </c>
      <c r="G14" s="1">
        <v>567.59</v>
      </c>
      <c r="H14" s="1">
        <v>466.58</v>
      </c>
      <c r="I14" s="1">
        <v>176.66</v>
      </c>
      <c r="J14" s="1">
        <v>266.61</v>
      </c>
      <c r="K14" s="1">
        <v>276.44</v>
      </c>
      <c r="L14" s="1">
        <v>189.61</v>
      </c>
      <c r="M14" s="1">
        <v>373.3</v>
      </c>
      <c r="N14" s="1">
        <v>317.11</v>
      </c>
      <c r="O14" s="1">
        <v>102.48</v>
      </c>
      <c r="P14" s="1">
        <v>430.86</v>
      </c>
      <c r="Q14" s="1">
        <v>317.22000000000003</v>
      </c>
      <c r="R14" s="1">
        <v>110.9</v>
      </c>
      <c r="S14" s="1">
        <v>88.322999999999993</v>
      </c>
      <c r="T14" s="1">
        <v>323.83</v>
      </c>
      <c r="V14" s="72">
        <v>24</v>
      </c>
      <c r="W14" s="72">
        <v>59</v>
      </c>
      <c r="X14" s="72">
        <v>167</v>
      </c>
      <c r="Y14" s="17"/>
    </row>
    <row r="15" spans="1:25" ht="21" customHeight="1" x14ac:dyDescent="0.25">
      <c r="A15" s="8">
        <v>44177</v>
      </c>
      <c r="B15" s="1">
        <v>732.17</v>
      </c>
      <c r="C15" s="1">
        <v>182.08</v>
      </c>
      <c r="D15" s="1">
        <v>6989526.4800000004</v>
      </c>
      <c r="E15" s="1">
        <v>0</v>
      </c>
      <c r="F15" s="1">
        <v>1.8861000000000001</v>
      </c>
      <c r="G15" s="1">
        <v>568.35</v>
      </c>
      <c r="H15" s="1">
        <v>467.27</v>
      </c>
      <c r="I15" s="1">
        <v>176.87</v>
      </c>
      <c r="J15" s="1">
        <v>266.68</v>
      </c>
      <c r="K15" s="1">
        <v>276.62</v>
      </c>
      <c r="L15" s="1">
        <v>189.77</v>
      </c>
      <c r="M15" s="1">
        <v>373.91</v>
      </c>
      <c r="N15" s="1">
        <v>317.77</v>
      </c>
      <c r="O15" s="1">
        <v>102.68</v>
      </c>
      <c r="P15" s="1">
        <v>431.54</v>
      </c>
      <c r="Q15" s="1">
        <v>317.72000000000003</v>
      </c>
      <c r="R15" s="1">
        <v>111.13</v>
      </c>
      <c r="S15" s="1">
        <v>88.453999999999994</v>
      </c>
      <c r="T15" s="1">
        <v>324.16000000000003</v>
      </c>
      <c r="V15" s="72">
        <v>23</v>
      </c>
      <c r="W15" s="72">
        <v>54</v>
      </c>
      <c r="X15" s="72">
        <v>160</v>
      </c>
      <c r="Y15" s="17"/>
    </row>
    <row r="16" spans="1:25" ht="21" customHeight="1" x14ac:dyDescent="0.25">
      <c r="A16" s="8">
        <v>44178</v>
      </c>
      <c r="B16" s="1">
        <v>733.22</v>
      </c>
      <c r="C16" s="1">
        <v>182.33</v>
      </c>
      <c r="D16" s="1">
        <v>6993497.9400000004</v>
      </c>
      <c r="E16" s="1">
        <v>0</v>
      </c>
      <c r="F16" s="1">
        <v>1.8883000000000001</v>
      </c>
      <c r="G16" s="1">
        <v>569.03</v>
      </c>
      <c r="H16" s="1">
        <v>467.87</v>
      </c>
      <c r="I16" s="1">
        <v>177.1</v>
      </c>
      <c r="J16" s="1">
        <v>267.05</v>
      </c>
      <c r="K16" s="1">
        <v>276.91000000000003</v>
      </c>
      <c r="L16" s="1">
        <v>190</v>
      </c>
      <c r="M16" s="1">
        <v>374.49</v>
      </c>
      <c r="N16" s="1">
        <v>318.35000000000002</v>
      </c>
      <c r="O16" s="1">
        <v>102.87</v>
      </c>
      <c r="P16" s="1">
        <v>432.21</v>
      </c>
      <c r="Q16" s="1">
        <v>318.26</v>
      </c>
      <c r="R16" s="1">
        <v>111.29</v>
      </c>
      <c r="S16" s="1">
        <v>88.596999999999994</v>
      </c>
      <c r="T16" s="1">
        <v>324.63</v>
      </c>
      <c r="V16" s="72">
        <v>31</v>
      </c>
      <c r="W16" s="72">
        <v>81</v>
      </c>
      <c r="X16" s="72">
        <v>211</v>
      </c>
      <c r="Y16" s="17"/>
    </row>
    <row r="17" spans="1:25" ht="21" customHeight="1" x14ac:dyDescent="0.25">
      <c r="A17" s="8">
        <v>44179</v>
      </c>
      <c r="B17" s="1">
        <v>734.2</v>
      </c>
      <c r="C17" s="1">
        <v>182.55</v>
      </c>
      <c r="D17" s="1">
        <v>6997876.7699999996</v>
      </c>
      <c r="E17" s="1">
        <v>0</v>
      </c>
      <c r="F17" s="1">
        <v>1.8905000000000001</v>
      </c>
      <c r="G17" s="1">
        <v>569.66999999999996</v>
      </c>
      <c r="H17" s="1">
        <v>468.57</v>
      </c>
      <c r="I17" s="1">
        <v>177.33</v>
      </c>
      <c r="J17" s="1">
        <v>267.17</v>
      </c>
      <c r="K17" s="1">
        <v>277.14999999999998</v>
      </c>
      <c r="L17" s="1">
        <v>190.17</v>
      </c>
      <c r="M17" s="1">
        <v>375.07</v>
      </c>
      <c r="N17" s="1">
        <v>318.95999999999998</v>
      </c>
      <c r="O17" s="1">
        <v>103.07</v>
      </c>
      <c r="P17" s="1">
        <v>432.94</v>
      </c>
      <c r="Q17" s="1">
        <v>318.89999999999998</v>
      </c>
      <c r="R17" s="1">
        <v>111.42</v>
      </c>
      <c r="S17" s="1">
        <v>88.73</v>
      </c>
      <c r="T17" s="1">
        <v>325.02999999999997</v>
      </c>
      <c r="V17" s="72">
        <v>33</v>
      </c>
      <c r="W17" s="72">
        <v>99</v>
      </c>
      <c r="X17" s="72">
        <v>247</v>
      </c>
      <c r="Y17" s="17"/>
    </row>
    <row r="18" spans="1:25" ht="21" customHeight="1" x14ac:dyDescent="0.25">
      <c r="A18" s="8">
        <v>44180</v>
      </c>
      <c r="B18" s="1">
        <v>735.3</v>
      </c>
      <c r="C18" s="1">
        <v>182.8</v>
      </c>
      <c r="D18" s="1">
        <v>7002966.6799999997</v>
      </c>
      <c r="E18" s="1">
        <v>0</v>
      </c>
      <c r="F18" s="1">
        <v>1.8928</v>
      </c>
      <c r="G18" s="1">
        <v>570.39</v>
      </c>
      <c r="H18" s="1">
        <v>469.31</v>
      </c>
      <c r="I18" s="1">
        <v>177.58</v>
      </c>
      <c r="J18" s="1">
        <v>267.27999999999997</v>
      </c>
      <c r="K18" s="1">
        <v>277.45</v>
      </c>
      <c r="L18" s="1">
        <v>190.37</v>
      </c>
      <c r="M18" s="1">
        <v>375.71</v>
      </c>
      <c r="N18" s="1">
        <v>319.69</v>
      </c>
      <c r="O18" s="1">
        <v>103.26</v>
      </c>
      <c r="P18" s="1">
        <v>433.65</v>
      </c>
      <c r="Q18" s="1">
        <v>319.61</v>
      </c>
      <c r="R18" s="1">
        <v>111.55</v>
      </c>
      <c r="S18" s="1">
        <v>88.96</v>
      </c>
      <c r="T18" s="1">
        <v>325.56</v>
      </c>
      <c r="V18" s="72">
        <v>36</v>
      </c>
      <c r="W18" s="72">
        <v>106</v>
      </c>
      <c r="X18" s="72">
        <v>273</v>
      </c>
      <c r="Y18" s="17"/>
    </row>
    <row r="19" spans="1:25" ht="21" customHeight="1" x14ac:dyDescent="0.25">
      <c r="A19" s="8">
        <v>44181</v>
      </c>
      <c r="B19" s="1">
        <v>736.38</v>
      </c>
      <c r="C19" s="1">
        <v>183.07</v>
      </c>
      <c r="D19" s="1">
        <v>7008065.1500000004</v>
      </c>
      <c r="E19" s="1">
        <v>0</v>
      </c>
      <c r="F19" s="1">
        <v>1.8952</v>
      </c>
      <c r="G19" s="1">
        <v>571.15</v>
      </c>
      <c r="H19" s="1">
        <v>470.09</v>
      </c>
      <c r="I19" s="1">
        <v>177.8</v>
      </c>
      <c r="J19" s="1">
        <v>267.45999999999998</v>
      </c>
      <c r="K19" s="1">
        <v>277.70999999999998</v>
      </c>
      <c r="L19" s="1">
        <v>190.54</v>
      </c>
      <c r="M19" s="1">
        <v>376.36</v>
      </c>
      <c r="N19" s="1">
        <v>320.42</v>
      </c>
      <c r="O19" s="1">
        <v>103.49</v>
      </c>
      <c r="P19" s="1">
        <v>434.37</v>
      </c>
      <c r="Q19" s="1">
        <v>320.33999999999997</v>
      </c>
      <c r="R19" s="1">
        <v>111.66</v>
      </c>
      <c r="S19" s="1">
        <v>89.001000000000005</v>
      </c>
      <c r="T19" s="1">
        <v>326.07</v>
      </c>
      <c r="V19" s="72">
        <v>37</v>
      </c>
      <c r="W19" s="72">
        <v>108</v>
      </c>
      <c r="X19" s="72">
        <v>293</v>
      </c>
      <c r="Y19" s="17"/>
    </row>
    <row r="20" spans="1:25" ht="21" customHeight="1" x14ac:dyDescent="0.25">
      <c r="A20" s="8">
        <v>44182</v>
      </c>
      <c r="B20" s="1">
        <v>737.56</v>
      </c>
      <c r="C20" s="1">
        <v>183.34</v>
      </c>
      <c r="D20" s="1">
        <v>7013374</v>
      </c>
      <c r="E20" s="1">
        <v>0</v>
      </c>
      <c r="F20" s="1">
        <v>1.8997999999999999</v>
      </c>
      <c r="G20" s="1">
        <v>571.91</v>
      </c>
      <c r="H20" s="1">
        <v>470.9</v>
      </c>
      <c r="I20" s="1">
        <v>178.04</v>
      </c>
      <c r="J20" s="1">
        <v>267.70999999999998</v>
      </c>
      <c r="K20" s="1">
        <v>278.05</v>
      </c>
      <c r="L20" s="1">
        <v>190.77</v>
      </c>
      <c r="M20" s="1">
        <v>377.06</v>
      </c>
      <c r="N20" s="1">
        <v>321.22000000000003</v>
      </c>
      <c r="O20" s="1">
        <v>103.73</v>
      </c>
      <c r="P20" s="1">
        <v>435.26</v>
      </c>
      <c r="Q20" s="1">
        <v>321.06</v>
      </c>
      <c r="R20" s="1">
        <v>111.83</v>
      </c>
      <c r="S20" s="1">
        <v>89.114000000000004</v>
      </c>
      <c r="T20" s="1">
        <v>326.57</v>
      </c>
      <c r="V20" s="72">
        <v>33</v>
      </c>
      <c r="W20" s="72">
        <v>99</v>
      </c>
      <c r="X20" s="72">
        <v>229</v>
      </c>
      <c r="Y20" s="17"/>
    </row>
    <row r="21" spans="1:25" ht="21" customHeight="1" x14ac:dyDescent="0.25">
      <c r="A21" s="8">
        <v>44183</v>
      </c>
      <c r="B21" s="1">
        <v>738.66</v>
      </c>
      <c r="C21" s="1">
        <v>183.58</v>
      </c>
      <c r="D21" s="1">
        <v>7017980</v>
      </c>
      <c r="E21" s="1">
        <v>0</v>
      </c>
      <c r="F21" s="1">
        <v>1.901</v>
      </c>
      <c r="G21" s="1">
        <v>572.65</v>
      </c>
      <c r="H21" s="1">
        <v>471.57</v>
      </c>
      <c r="I21" s="1">
        <v>178.26</v>
      </c>
      <c r="J21" s="1">
        <v>267.89</v>
      </c>
      <c r="K21" s="1">
        <v>278.33999999999997</v>
      </c>
      <c r="L21" s="1">
        <v>191</v>
      </c>
      <c r="M21" s="1">
        <v>377.68</v>
      </c>
      <c r="N21" s="1">
        <v>321.89</v>
      </c>
      <c r="O21" s="1">
        <v>103.94</v>
      </c>
      <c r="P21" s="1">
        <v>435.97</v>
      </c>
      <c r="Q21" s="1">
        <v>321.7</v>
      </c>
      <c r="R21" s="1">
        <v>111.93</v>
      </c>
      <c r="S21" s="1">
        <v>89.268000000000001</v>
      </c>
      <c r="T21" s="1">
        <v>327.08999999999997</v>
      </c>
      <c r="V21" s="72">
        <v>37</v>
      </c>
      <c r="W21" s="72">
        <v>108</v>
      </c>
      <c r="X21" s="72">
        <v>275</v>
      </c>
      <c r="Y21" s="17"/>
    </row>
    <row r="22" spans="1:25" ht="21" customHeight="1" x14ac:dyDescent="0.25">
      <c r="A22" s="8">
        <v>44184</v>
      </c>
      <c r="B22" s="1">
        <v>739.84</v>
      </c>
      <c r="C22" s="1">
        <v>183.85</v>
      </c>
      <c r="D22" s="1">
        <v>7023478</v>
      </c>
      <c r="E22" s="1">
        <v>0</v>
      </c>
      <c r="F22" s="1">
        <v>1.9025000000000001</v>
      </c>
      <c r="G22" s="1">
        <v>573.52</v>
      </c>
      <c r="H22" s="1">
        <v>472.45</v>
      </c>
      <c r="I22" s="1">
        <v>178.49</v>
      </c>
      <c r="J22" s="1">
        <v>267.95999999999998</v>
      </c>
      <c r="K22" s="1">
        <v>278.62</v>
      </c>
      <c r="L22" s="1">
        <v>191.22</v>
      </c>
      <c r="M22" s="1">
        <v>378.46</v>
      </c>
      <c r="N22" s="1">
        <v>322.64999999999998</v>
      </c>
      <c r="O22" s="1">
        <v>104.14</v>
      </c>
      <c r="P22" s="1">
        <v>436.72</v>
      </c>
      <c r="Q22" s="1">
        <v>322.42</v>
      </c>
      <c r="R22" s="28">
        <v>112.04</v>
      </c>
      <c r="S22" s="28">
        <v>89.406999999999996</v>
      </c>
      <c r="T22" s="1">
        <v>327.60000000000002</v>
      </c>
      <c r="V22" s="72">
        <v>48</v>
      </c>
      <c r="W22" s="72">
        <v>144</v>
      </c>
      <c r="X22" s="72">
        <v>376</v>
      </c>
      <c r="Y22" s="17"/>
    </row>
    <row r="23" spans="1:25" ht="21" customHeight="1" x14ac:dyDescent="0.25">
      <c r="A23" s="8">
        <v>44185</v>
      </c>
      <c r="B23" s="1">
        <v>741.05</v>
      </c>
      <c r="C23" s="1">
        <v>184.11</v>
      </c>
      <c r="D23" s="1">
        <v>7029550.9299999997</v>
      </c>
      <c r="E23" s="1">
        <v>0</v>
      </c>
      <c r="F23" s="1">
        <v>1.905</v>
      </c>
      <c r="G23" s="1">
        <v>574.49</v>
      </c>
      <c r="H23" s="1">
        <v>473.36</v>
      </c>
      <c r="I23" s="1">
        <v>178.73</v>
      </c>
      <c r="J23" s="1">
        <v>268.27999999999997</v>
      </c>
      <c r="K23" s="1">
        <v>278.95999999999998</v>
      </c>
      <c r="L23" s="1">
        <v>191.46</v>
      </c>
      <c r="M23" s="1">
        <v>379.28</v>
      </c>
      <c r="N23" s="1">
        <v>323.43</v>
      </c>
      <c r="O23" s="1">
        <v>104.39</v>
      </c>
      <c r="P23" s="1">
        <v>437.59</v>
      </c>
      <c r="Q23" s="1">
        <v>323.20999999999998</v>
      </c>
      <c r="R23" s="1">
        <v>112.15</v>
      </c>
      <c r="S23" s="1">
        <v>89.546000000000006</v>
      </c>
      <c r="T23" s="1">
        <v>328.15</v>
      </c>
      <c r="V23" s="72">
        <v>49</v>
      </c>
      <c r="W23" s="72">
        <v>139</v>
      </c>
      <c r="X23" s="72">
        <v>370</v>
      </c>
      <c r="Y23" s="17"/>
    </row>
    <row r="24" spans="1:25" ht="21" customHeight="1" x14ac:dyDescent="0.25">
      <c r="A24" s="8">
        <v>44186</v>
      </c>
      <c r="B24" s="1">
        <v>742.1</v>
      </c>
      <c r="C24" s="1">
        <v>184.39</v>
      </c>
      <c r="D24" s="1">
        <v>7034166.5300000003</v>
      </c>
      <c r="E24" s="1">
        <v>0</v>
      </c>
      <c r="F24" s="1">
        <v>1.9075</v>
      </c>
      <c r="G24" s="1">
        <v>575.22</v>
      </c>
      <c r="H24" s="1">
        <v>473.99</v>
      </c>
      <c r="I24" s="1">
        <v>178.94</v>
      </c>
      <c r="J24" s="1">
        <v>268.45999999999998</v>
      </c>
      <c r="K24" s="1">
        <v>279.32</v>
      </c>
      <c r="L24" s="1">
        <v>191.69</v>
      </c>
      <c r="M24" s="1">
        <v>379.89</v>
      </c>
      <c r="N24" s="1">
        <v>324.02999999999997</v>
      </c>
      <c r="O24" s="1">
        <v>104.64</v>
      </c>
      <c r="P24" s="1">
        <v>438.3</v>
      </c>
      <c r="Q24" s="1">
        <v>323.86</v>
      </c>
      <c r="R24" s="1">
        <v>112.27</v>
      </c>
      <c r="S24" s="1">
        <v>89.688999999999993</v>
      </c>
      <c r="T24" s="1">
        <v>328.49</v>
      </c>
      <c r="V24" s="72">
        <v>40</v>
      </c>
      <c r="W24" s="72">
        <v>113</v>
      </c>
      <c r="X24" s="72">
        <v>340</v>
      </c>
      <c r="Y24" s="17"/>
    </row>
    <row r="25" spans="1:25" ht="21" customHeight="1" x14ac:dyDescent="0.25">
      <c r="A25" s="8">
        <v>44187</v>
      </c>
      <c r="B25" s="1">
        <v>743.05</v>
      </c>
      <c r="C25" s="1">
        <v>184.68</v>
      </c>
      <c r="D25" s="1">
        <v>7038396.7599999998</v>
      </c>
      <c r="E25" s="1">
        <v>0</v>
      </c>
      <c r="F25" s="1">
        <v>1.91</v>
      </c>
      <c r="G25" s="1">
        <v>575.83000000000004</v>
      </c>
      <c r="H25" s="1">
        <v>474.53</v>
      </c>
      <c r="I25" s="1">
        <v>179.17</v>
      </c>
      <c r="J25" s="1">
        <v>268.95</v>
      </c>
      <c r="K25" s="1">
        <v>279.72000000000003</v>
      </c>
      <c r="L25" s="1">
        <v>192.03</v>
      </c>
      <c r="M25" s="1">
        <v>380.45</v>
      </c>
      <c r="N25" s="1">
        <v>324.60000000000002</v>
      </c>
      <c r="O25" s="1">
        <v>104.88</v>
      </c>
      <c r="P25" s="1">
        <v>438.9</v>
      </c>
      <c r="Q25" s="1">
        <v>324.45999999999998</v>
      </c>
      <c r="R25" s="1">
        <v>112.48</v>
      </c>
      <c r="S25" s="1">
        <v>89.823999999999998</v>
      </c>
      <c r="T25" s="1">
        <v>329.02</v>
      </c>
      <c r="V25" s="72">
        <v>41</v>
      </c>
      <c r="W25" s="72">
        <v>111</v>
      </c>
      <c r="X25" s="72">
        <v>285</v>
      </c>
      <c r="Y25" s="17"/>
    </row>
    <row r="26" spans="1:25" ht="21" customHeight="1" x14ac:dyDescent="0.25">
      <c r="A26" s="8">
        <v>44188</v>
      </c>
      <c r="B26" s="1">
        <v>744.1</v>
      </c>
      <c r="C26" s="1">
        <v>184.98</v>
      </c>
      <c r="D26" s="1">
        <v>7042572.5300000003</v>
      </c>
      <c r="E26" s="1">
        <v>0</v>
      </c>
      <c r="F26" s="1">
        <v>1.9124000000000001</v>
      </c>
      <c r="G26" s="1">
        <v>576.53</v>
      </c>
      <c r="H26" s="1">
        <v>475.16</v>
      </c>
      <c r="I26" s="1">
        <v>179.34</v>
      </c>
      <c r="J26" s="1">
        <v>269.19</v>
      </c>
      <c r="K26" s="1">
        <v>280.08</v>
      </c>
      <c r="L26" s="1">
        <v>192.31</v>
      </c>
      <c r="M26" s="1">
        <v>381.12</v>
      </c>
      <c r="N26" s="1">
        <v>325.33</v>
      </c>
      <c r="O26" s="1">
        <v>105.13</v>
      </c>
      <c r="P26" s="1">
        <v>439.6</v>
      </c>
      <c r="Q26" s="1">
        <v>325.05</v>
      </c>
      <c r="R26" s="1">
        <v>112.69</v>
      </c>
      <c r="S26" s="1">
        <v>89.965000000000003</v>
      </c>
      <c r="T26" s="1">
        <v>329.58</v>
      </c>
      <c r="V26" s="72">
        <v>38</v>
      </c>
      <c r="W26" s="72">
        <v>109</v>
      </c>
      <c r="X26" s="72">
        <v>286</v>
      </c>
      <c r="Y26" s="17"/>
    </row>
    <row r="27" spans="1:25" ht="21" customHeight="1" x14ac:dyDescent="0.25">
      <c r="A27" s="8">
        <v>44189</v>
      </c>
      <c r="B27" s="1">
        <v>745.19</v>
      </c>
      <c r="C27" s="1">
        <v>185.24</v>
      </c>
      <c r="D27" s="1">
        <v>7046486.5300000003</v>
      </c>
      <c r="E27" s="1">
        <v>0</v>
      </c>
      <c r="F27" s="1">
        <v>1.9149</v>
      </c>
      <c r="G27" s="1">
        <v>577.16</v>
      </c>
      <c r="H27" s="1">
        <v>475.81</v>
      </c>
      <c r="I27" s="1">
        <v>179.54</v>
      </c>
      <c r="J27" s="1">
        <v>269.47000000000003</v>
      </c>
      <c r="K27" s="1">
        <v>280.51</v>
      </c>
      <c r="L27" s="1">
        <v>192.6</v>
      </c>
      <c r="M27" s="1">
        <v>381.74</v>
      </c>
      <c r="N27" s="1">
        <v>325.89</v>
      </c>
      <c r="O27" s="1">
        <v>105.37</v>
      </c>
      <c r="P27" s="1">
        <v>440.32</v>
      </c>
      <c r="Q27" s="1">
        <v>325.61</v>
      </c>
      <c r="R27" s="1">
        <v>112.86</v>
      </c>
      <c r="S27" s="1">
        <v>90.093999999999994</v>
      </c>
      <c r="T27" s="1">
        <v>330.12</v>
      </c>
      <c r="V27" s="72">
        <v>34</v>
      </c>
      <c r="W27" s="72">
        <v>99</v>
      </c>
      <c r="X27" s="72">
        <v>264</v>
      </c>
      <c r="Y27" s="17"/>
    </row>
    <row r="28" spans="1:25" ht="21" customHeight="1" x14ac:dyDescent="0.25">
      <c r="A28" s="8">
        <v>44190</v>
      </c>
      <c r="B28" s="1">
        <v>746.34</v>
      </c>
      <c r="C28" s="1">
        <v>185.5</v>
      </c>
      <c r="D28" s="1">
        <v>7051463.8300000001</v>
      </c>
      <c r="E28" s="1">
        <v>7623428.1200000001</v>
      </c>
      <c r="F28" s="1">
        <v>1.9173</v>
      </c>
      <c r="G28" s="1">
        <v>577.84</v>
      </c>
      <c r="H28" s="1">
        <v>476.53</v>
      </c>
      <c r="I28" s="1">
        <v>179.77</v>
      </c>
      <c r="J28" s="1">
        <v>269.72000000000003</v>
      </c>
      <c r="K28" s="1">
        <v>280.92</v>
      </c>
      <c r="L28" s="1">
        <v>192.88</v>
      </c>
      <c r="M28" s="1">
        <v>382.37</v>
      </c>
      <c r="N28" s="1">
        <v>326.58999999999997</v>
      </c>
      <c r="O28" s="1">
        <v>105.59</v>
      </c>
      <c r="P28" s="1">
        <v>441.17</v>
      </c>
      <c r="Q28" s="1">
        <v>326.24</v>
      </c>
      <c r="R28" s="1">
        <v>112.97</v>
      </c>
      <c r="S28" s="1">
        <v>90.23</v>
      </c>
      <c r="T28" s="1">
        <v>330.81</v>
      </c>
      <c r="V28" s="72">
        <v>38</v>
      </c>
      <c r="W28" s="72">
        <v>109</v>
      </c>
      <c r="X28" s="72">
        <v>265</v>
      </c>
      <c r="Y28" s="17"/>
    </row>
    <row r="29" spans="1:25" ht="21" customHeight="1" x14ac:dyDescent="0.25">
      <c r="A29" s="8">
        <v>44191</v>
      </c>
      <c r="B29" s="1">
        <v>747.68</v>
      </c>
      <c r="C29" s="1">
        <v>185.81</v>
      </c>
      <c r="D29" s="1">
        <v>7054221.6799999997</v>
      </c>
      <c r="E29" s="1">
        <v>7626836.5099999998</v>
      </c>
      <c r="F29" s="1">
        <v>1.9198</v>
      </c>
      <c r="G29" s="1">
        <v>578.70000000000005</v>
      </c>
      <c r="H29" s="1">
        <v>477.43</v>
      </c>
      <c r="I29" s="1">
        <v>180.05</v>
      </c>
      <c r="J29" s="1">
        <v>270.05</v>
      </c>
      <c r="K29" s="1">
        <v>281.3</v>
      </c>
      <c r="L29" s="1">
        <v>193.15</v>
      </c>
      <c r="M29" s="1">
        <v>383.15</v>
      </c>
      <c r="N29" s="1">
        <v>327.47000000000003</v>
      </c>
      <c r="O29" s="1">
        <v>105.83</v>
      </c>
      <c r="P29" s="1">
        <v>442.13</v>
      </c>
      <c r="Q29" s="1">
        <v>327.07</v>
      </c>
      <c r="R29" s="1">
        <v>113.19</v>
      </c>
      <c r="S29" s="1">
        <v>90.37</v>
      </c>
      <c r="T29" s="1">
        <v>331.36</v>
      </c>
      <c r="V29" s="72">
        <v>42</v>
      </c>
      <c r="W29" s="72">
        <v>117</v>
      </c>
      <c r="X29" s="72">
        <v>317</v>
      </c>
      <c r="Y29" s="17"/>
    </row>
    <row r="30" spans="1:25" ht="21" customHeight="1" x14ac:dyDescent="0.25">
      <c r="A30" s="8">
        <v>44192</v>
      </c>
      <c r="B30" s="1">
        <v>748.88</v>
      </c>
      <c r="C30" s="1">
        <v>186.08</v>
      </c>
      <c r="D30" s="1">
        <v>7056456.2699999996</v>
      </c>
      <c r="E30" s="1">
        <v>7629831.6399999997</v>
      </c>
      <c r="F30" s="1">
        <v>1.9224000000000001</v>
      </c>
      <c r="G30" s="1">
        <v>579.59</v>
      </c>
      <c r="H30" s="1">
        <v>478.28</v>
      </c>
      <c r="I30" s="1">
        <v>180.33</v>
      </c>
      <c r="J30" s="1">
        <v>270.41000000000003</v>
      </c>
      <c r="K30" s="1">
        <v>281.7</v>
      </c>
      <c r="L30" s="1">
        <v>193.42</v>
      </c>
      <c r="M30" s="1">
        <v>383.93</v>
      </c>
      <c r="N30" s="1">
        <v>328.29</v>
      </c>
      <c r="O30" s="1">
        <v>106.08</v>
      </c>
      <c r="P30" s="1">
        <v>442.97</v>
      </c>
      <c r="Q30" s="1">
        <v>327.9</v>
      </c>
      <c r="R30" s="1">
        <v>113.36</v>
      </c>
      <c r="S30" s="1">
        <v>90.510999999999996</v>
      </c>
      <c r="T30" s="1">
        <v>331.69</v>
      </c>
      <c r="V30" s="72">
        <v>54</v>
      </c>
      <c r="W30" s="72">
        <v>162</v>
      </c>
      <c r="X30" s="72">
        <v>386</v>
      </c>
      <c r="Y30" s="17"/>
    </row>
    <row r="31" spans="1:25" ht="21" customHeight="1" x14ac:dyDescent="0.25">
      <c r="A31" s="8">
        <v>44193</v>
      </c>
      <c r="B31" s="1">
        <v>750.01</v>
      </c>
      <c r="C31" s="1">
        <v>186.35</v>
      </c>
      <c r="D31" s="1">
        <v>7058503.5</v>
      </c>
      <c r="E31" s="1">
        <v>7632435.9699999997</v>
      </c>
      <c r="F31" s="1">
        <v>1.9249000000000001</v>
      </c>
      <c r="G31" s="1">
        <v>580.51</v>
      </c>
      <c r="H31" s="1">
        <v>479.04</v>
      </c>
      <c r="I31" s="1">
        <v>180.58</v>
      </c>
      <c r="J31" s="1">
        <v>270.73</v>
      </c>
      <c r="K31" s="1">
        <v>282.08999999999997</v>
      </c>
      <c r="L31" s="1">
        <v>193.67</v>
      </c>
      <c r="M31" s="1">
        <v>384.71</v>
      </c>
      <c r="N31" s="1">
        <v>329.02</v>
      </c>
      <c r="O31" s="1">
        <v>106.32</v>
      </c>
      <c r="P31" s="1">
        <v>443.84</v>
      </c>
      <c r="Q31" s="1">
        <v>328.64</v>
      </c>
      <c r="R31" s="1">
        <v>113.59</v>
      </c>
      <c r="S31" s="1">
        <v>90.662000000000006</v>
      </c>
      <c r="T31" s="1">
        <v>332.43</v>
      </c>
      <c r="V31" s="72">
        <v>58</v>
      </c>
      <c r="W31" s="72">
        <v>167</v>
      </c>
      <c r="X31" s="72">
        <v>419</v>
      </c>
      <c r="Y31" s="17"/>
    </row>
    <row r="32" spans="1:25" ht="21" customHeight="1" x14ac:dyDescent="0.25">
      <c r="A32" s="8">
        <v>44194</v>
      </c>
      <c r="B32" s="1">
        <v>750.98</v>
      </c>
      <c r="C32" s="1">
        <v>186.6</v>
      </c>
      <c r="D32" s="1">
        <v>7060194.9199999999</v>
      </c>
      <c r="E32" s="1">
        <v>7634946.8300000001</v>
      </c>
      <c r="F32" s="1">
        <v>1.9273</v>
      </c>
      <c r="G32" s="1">
        <v>581.19000000000005</v>
      </c>
      <c r="H32" s="1">
        <v>479.64</v>
      </c>
      <c r="I32" s="1">
        <v>180.75</v>
      </c>
      <c r="J32" s="1">
        <v>271.01</v>
      </c>
      <c r="K32" s="1">
        <v>282.64</v>
      </c>
      <c r="L32" s="1">
        <v>193.94</v>
      </c>
      <c r="M32" s="1">
        <v>385.32</v>
      </c>
      <c r="N32" s="1">
        <v>329.56</v>
      </c>
      <c r="O32" s="1">
        <v>106.57</v>
      </c>
      <c r="P32" s="1">
        <v>444.55</v>
      </c>
      <c r="Q32" s="1">
        <v>329.19</v>
      </c>
      <c r="R32" s="1">
        <v>113.78</v>
      </c>
      <c r="S32" s="1">
        <v>90.781999999999996</v>
      </c>
      <c r="T32" s="1">
        <v>332.92</v>
      </c>
      <c r="V32" s="72">
        <v>63</v>
      </c>
      <c r="W32" s="72">
        <v>176</v>
      </c>
      <c r="X32" s="72">
        <v>453</v>
      </c>
      <c r="Y32" s="17"/>
    </row>
    <row r="33" spans="1:25" ht="19.5" customHeight="1" x14ac:dyDescent="0.25">
      <c r="A33" s="8">
        <v>44195</v>
      </c>
      <c r="B33" s="1">
        <v>752.15</v>
      </c>
      <c r="C33" s="1">
        <v>186.88</v>
      </c>
      <c r="D33" s="1">
        <v>7062104.6399999997</v>
      </c>
      <c r="E33" s="1">
        <v>7637953.5899999999</v>
      </c>
      <c r="F33" s="1">
        <v>1.9298999999999999</v>
      </c>
      <c r="G33" s="1">
        <v>581.91999999999996</v>
      </c>
      <c r="H33" s="1">
        <v>480.36</v>
      </c>
      <c r="I33" s="1">
        <v>181.02</v>
      </c>
      <c r="J33" s="1">
        <v>271.44</v>
      </c>
      <c r="K33" s="1">
        <v>282.81</v>
      </c>
      <c r="L33" s="1">
        <v>194.24</v>
      </c>
      <c r="M33" s="1">
        <v>386</v>
      </c>
      <c r="N33" s="1">
        <v>330.26</v>
      </c>
      <c r="O33" s="1">
        <v>106.83</v>
      </c>
      <c r="P33" s="1">
        <v>445.4</v>
      </c>
      <c r="Q33" s="1">
        <v>329.91</v>
      </c>
      <c r="R33" s="1">
        <v>113.92</v>
      </c>
      <c r="S33" s="1">
        <v>90.938000000000002</v>
      </c>
      <c r="T33" s="1">
        <v>333.57</v>
      </c>
      <c r="V33" s="72">
        <v>63</v>
      </c>
      <c r="W33" s="72">
        <v>177</v>
      </c>
      <c r="X33" s="72">
        <v>463</v>
      </c>
      <c r="Y33" s="17"/>
    </row>
    <row r="34" spans="1:25" ht="19.5" customHeight="1" x14ac:dyDescent="0.25">
      <c r="A34" s="8">
        <v>44196</v>
      </c>
      <c r="B34" s="1">
        <v>753.38</v>
      </c>
      <c r="C34" s="1">
        <v>187.16</v>
      </c>
      <c r="D34" s="1">
        <v>7064437.7699999996</v>
      </c>
      <c r="E34" s="1">
        <v>7641251.6500000004</v>
      </c>
      <c r="F34" s="1">
        <v>1.9327000000000001</v>
      </c>
      <c r="G34" s="1">
        <v>582.72</v>
      </c>
      <c r="H34" s="1">
        <v>481.2</v>
      </c>
      <c r="I34" s="1">
        <v>181.31</v>
      </c>
      <c r="J34" s="1">
        <v>271.76</v>
      </c>
      <c r="K34" s="1">
        <v>283.23</v>
      </c>
      <c r="L34" s="1">
        <v>194.51</v>
      </c>
      <c r="M34" s="1">
        <v>386.68</v>
      </c>
      <c r="N34" s="1">
        <v>331.05</v>
      </c>
      <c r="O34" s="1">
        <v>107.08</v>
      </c>
      <c r="P34" s="1">
        <v>446.35</v>
      </c>
      <c r="Q34" s="1">
        <v>330.62</v>
      </c>
      <c r="R34" s="1">
        <v>114.09</v>
      </c>
      <c r="S34" s="1">
        <v>91.07</v>
      </c>
      <c r="T34" s="1">
        <v>334.17</v>
      </c>
      <c r="V34" s="72">
        <v>66</v>
      </c>
      <c r="W34" s="72">
        <v>189</v>
      </c>
      <c r="X34" s="72">
        <v>483</v>
      </c>
    </row>
    <row r="35" spans="1:25" ht="21" customHeight="1" x14ac:dyDescent="0.25">
      <c r="A35" s="8">
        <v>44197</v>
      </c>
      <c r="B35" s="1">
        <v>754.53</v>
      </c>
      <c r="C35" s="1">
        <v>187.45</v>
      </c>
      <c r="D35" s="1">
        <v>7066749.8099999996</v>
      </c>
      <c r="E35" s="1">
        <v>7644266.0700000003</v>
      </c>
      <c r="F35" s="1">
        <v>1.9355</v>
      </c>
      <c r="G35" s="1">
        <v>583.6</v>
      </c>
      <c r="H35" s="1">
        <v>482.03</v>
      </c>
      <c r="I35" s="1">
        <v>181.59</v>
      </c>
      <c r="J35" s="1">
        <v>272.08999999999997</v>
      </c>
      <c r="K35" s="1">
        <v>283.61</v>
      </c>
      <c r="L35" s="1">
        <v>194.77</v>
      </c>
      <c r="M35" s="1">
        <v>387.46</v>
      </c>
      <c r="N35" s="1">
        <v>331.81</v>
      </c>
      <c r="O35" s="1">
        <v>107.36</v>
      </c>
      <c r="P35" s="1">
        <v>447.39</v>
      </c>
      <c r="Q35" s="1">
        <v>331.31</v>
      </c>
      <c r="R35" s="1">
        <v>114.3</v>
      </c>
      <c r="S35" s="1">
        <v>91.218000000000004</v>
      </c>
      <c r="T35" s="1">
        <v>334.74</v>
      </c>
      <c r="V35" s="79">
        <f>SUM(V4:V34)</f>
        <v>1116</v>
      </c>
      <c r="W35" s="79">
        <f>SUM(W4:W34)</f>
        <v>3063</v>
      </c>
      <c r="X35" s="79">
        <f>SUM(X4:X34)</f>
        <v>8003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G10" activePane="bottomRight" state="frozen"/>
      <selection pane="topRight" activeCell="C1" sqref="C1"/>
      <selection pane="bottomLeft" activeCell="A4" sqref="A4"/>
      <selection pane="bottomRight" activeCell="B35" sqref="B35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3" customWidth="1"/>
  </cols>
  <sheetData>
    <row r="2" spans="1:22" x14ac:dyDescent="0.25">
      <c r="A2" s="117" t="s">
        <v>32</v>
      </c>
      <c r="B2" s="109" t="s">
        <v>33</v>
      </c>
      <c r="C2" s="109" t="s">
        <v>34</v>
      </c>
      <c r="D2" s="109" t="s">
        <v>120</v>
      </c>
      <c r="E2" s="117" t="s">
        <v>35</v>
      </c>
      <c r="F2" s="124" t="s">
        <v>36</v>
      </c>
      <c r="G2" s="125"/>
      <c r="H2" s="126"/>
      <c r="I2" s="127" t="s">
        <v>37</v>
      </c>
      <c r="J2" s="127" t="s">
        <v>38</v>
      </c>
      <c r="K2" s="127" t="s">
        <v>39</v>
      </c>
      <c r="L2" s="127" t="s">
        <v>40</v>
      </c>
      <c r="M2" s="128" t="s">
        <v>41</v>
      </c>
      <c r="N2" s="128"/>
      <c r="O2" s="128"/>
      <c r="P2" s="128"/>
      <c r="Q2" s="128"/>
      <c r="R2" s="128"/>
      <c r="S2" s="127" t="s">
        <v>42</v>
      </c>
      <c r="T2" s="127"/>
      <c r="U2" s="129" t="s">
        <v>43</v>
      </c>
      <c r="V2" s="127" t="s">
        <v>44</v>
      </c>
    </row>
    <row r="3" spans="1:22" x14ac:dyDescent="0.25">
      <c r="A3" s="118"/>
      <c r="B3" s="110"/>
      <c r="C3" s="110"/>
      <c r="D3" s="110"/>
      <c r="E3" s="118"/>
      <c r="F3" s="6" t="s">
        <v>28</v>
      </c>
      <c r="G3" s="6" t="s">
        <v>29</v>
      </c>
      <c r="H3" s="6" t="s">
        <v>30</v>
      </c>
      <c r="I3" s="127"/>
      <c r="J3" s="127"/>
      <c r="K3" s="127"/>
      <c r="L3" s="127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29"/>
      <c r="V3" s="127"/>
    </row>
    <row r="4" spans="1:22" x14ac:dyDescent="0.25">
      <c r="A4" s="3">
        <f>'Kwh Reading'!A4</f>
        <v>44166</v>
      </c>
      <c r="B4" s="26">
        <f>TOTAL!E2</f>
        <v>20180</v>
      </c>
      <c r="C4" s="4">
        <f>('Kwh Reading'!T5-'Kwh Reading'!T4)*1000</f>
        <v>300.00000000001137</v>
      </c>
      <c r="D4" s="2">
        <f>('Kwh Reading'!F5-'Kwh Reading'!F4)*1000000</f>
        <v>2299.9999999999686</v>
      </c>
      <c r="E4" s="2">
        <f>('Kwh Reading'!C5-'Kwh Reading'!C4)*1000</f>
        <v>240.00000000000909</v>
      </c>
      <c r="F4" s="2">
        <f>('Kwh Reading'!J5-'Kwh Reading'!J4)*1000</f>
        <v>60.000000000002274</v>
      </c>
      <c r="G4" s="2">
        <f>('Kwh Reading'!K5-'Kwh Reading'!K4)*1000</f>
        <v>280.00000000002956</v>
      </c>
      <c r="H4" s="2">
        <f>('Kwh Reading'!L5-'Kwh Reading'!L4)*1000</f>
        <v>169.99999999998749</v>
      </c>
      <c r="I4" s="2">
        <f>('Kwh Reading'!R5-'Kwh Reading'!R4)*1000</f>
        <v>129.99999999999545</v>
      </c>
      <c r="J4" s="2">
        <f>('Kwh Reading'!S5-'Kwh Reading'!S4)*1000</f>
        <v>130.00000000000966</v>
      </c>
      <c r="K4" s="2">
        <f>('Kwh Reading'!I5-'Kwh Reading'!I4)*1000</f>
        <v>229.99999999998977</v>
      </c>
      <c r="L4" s="2">
        <f>('Kwh Reading'!B5-'Kwh Reading'!B4)*1000</f>
        <v>1109.9999999999</v>
      </c>
      <c r="M4" s="2">
        <f>('Kwh Reading'!M5-'Kwh Reading'!M4)*1000</f>
        <v>639.99999999998636</v>
      </c>
      <c r="N4" s="2">
        <f>('Kwh Reading'!H5-'Kwh Reading'!H4)*1000</f>
        <v>800.00000000001137</v>
      </c>
      <c r="O4" s="2">
        <f>('Kwh Reading'!P5-'Kwh Reading'!P4)*1000</f>
        <v>800.00000000001137</v>
      </c>
      <c r="P4" s="2">
        <f>('Kwh Reading'!G5-'Kwh Reading'!G4)*1000</f>
        <v>750</v>
      </c>
      <c r="Q4" s="2">
        <f>('Kwh Reading'!Q5-'Kwh Reading'!Q4)*1000</f>
        <v>560.00000000000227</v>
      </c>
      <c r="R4" s="2">
        <f>('Kwh Reading'!N5-'Kwh Reading'!N4)*1000</f>
        <v>689.99999999999773</v>
      </c>
      <c r="S4" s="2">
        <f>'Kwh Reading'!E5-'Kwh Reading'!E4</f>
        <v>0</v>
      </c>
      <c r="T4" s="2">
        <f>'Kwh Reading'!D5-'Kwh Reading'!D4</f>
        <v>4238.4000000003725</v>
      </c>
      <c r="U4" s="27">
        <f>('Kwh Reading'!O5-'Kwh Reading'!O4)*1000</f>
        <v>209.99999999999375</v>
      </c>
      <c r="V4" s="16">
        <f>B4-(SUM(C4:U4))</f>
        <v>6541.5999999997221</v>
      </c>
    </row>
    <row r="5" spans="1:22" x14ac:dyDescent="0.25">
      <c r="A5" s="3">
        <f>'Kwh Reading'!A5</f>
        <v>44167</v>
      </c>
      <c r="B5" s="26">
        <f>TOTAL!E3</f>
        <v>18949.999999999593</v>
      </c>
      <c r="C5" s="4">
        <f>('Kwh Reading'!T6-'Kwh Reading'!T5)*1000</f>
        <v>459.99999999997954</v>
      </c>
      <c r="D5" s="2">
        <f>('Kwh Reading'!F6-'Kwh Reading'!F5)*1000000</f>
        <v>1900.0000000000127</v>
      </c>
      <c r="E5" s="2">
        <f>('Kwh Reading'!C6-'Kwh Reading'!C5)*1000</f>
        <v>239.99999999998067</v>
      </c>
      <c r="F5" s="2">
        <f>('Kwh Reading'!J6-'Kwh Reading'!J5)*1000</f>
        <v>110.00000000001364</v>
      </c>
      <c r="G5" s="2">
        <f>('Kwh Reading'!K6-'Kwh Reading'!K5)*1000</f>
        <v>219.99999999997044</v>
      </c>
      <c r="H5" s="2">
        <f>('Kwh Reading'!L6-'Kwh Reading'!L5)*1000</f>
        <v>180.00000000000682</v>
      </c>
      <c r="I5" s="2">
        <f>('Kwh Reading'!R6-'Kwh Reading'!R5)*1000</f>
        <v>179.99999999999261</v>
      </c>
      <c r="J5" s="2">
        <f>('Kwh Reading'!S6-'Kwh Reading'!S5)*1000</f>
        <v>120.99999999999511</v>
      </c>
      <c r="K5" s="2">
        <f>('Kwh Reading'!I6-'Kwh Reading'!I5)*1000</f>
        <v>200.00000000001705</v>
      </c>
      <c r="L5" s="2">
        <f>('Kwh Reading'!B6-'Kwh Reading'!B5)*1000</f>
        <v>980.00000000001819</v>
      </c>
      <c r="M5" s="2">
        <f>('Kwh Reading'!M6-'Kwh Reading'!M5)*1000</f>
        <v>550.00000000001137</v>
      </c>
      <c r="N5" s="2">
        <f>('Kwh Reading'!H6-'Kwh Reading'!H5)*1000</f>
        <v>730.00000000001819</v>
      </c>
      <c r="O5" s="2">
        <f>('Kwh Reading'!P6-'Kwh Reading'!P5)*1000</f>
        <v>790.00000000002046</v>
      </c>
      <c r="P5" s="2">
        <f>('Kwh Reading'!G6-'Kwh Reading'!G5)*1000</f>
        <v>669.99999999995907</v>
      </c>
      <c r="Q5" s="2">
        <f>('Kwh Reading'!Q6-'Kwh Reading'!Q5)*1000</f>
        <v>519.99999999998181</v>
      </c>
      <c r="R5" s="2">
        <f>('Kwh Reading'!N6-'Kwh Reading'!N5)*1000</f>
        <v>620.00000000000455</v>
      </c>
      <c r="S5" s="2">
        <f>'Kwh Reading'!E6-'Kwh Reading'!E5</f>
        <v>0</v>
      </c>
      <c r="T5" s="2">
        <f>'Kwh Reading'!D6-'Kwh Reading'!D5</f>
        <v>3377.75</v>
      </c>
      <c r="U5" s="27">
        <f>('Kwh Reading'!O6-'Kwh Reading'!O5)*1000</f>
        <v>210.00000000000796</v>
      </c>
      <c r="V5" s="16">
        <f>B5-(SUM(C5:U5))</f>
        <v>6891.2499999996035</v>
      </c>
    </row>
    <row r="6" spans="1:22" x14ac:dyDescent="0.25">
      <c r="A6" s="3">
        <f>'Kwh Reading'!A6</f>
        <v>44168</v>
      </c>
      <c r="B6" s="26">
        <f>TOTAL!E4</f>
        <v>21390.000000000557</v>
      </c>
      <c r="C6" s="4">
        <f>('Kwh Reading'!T7-'Kwh Reading'!T6)*1000</f>
        <v>310.00000000000227</v>
      </c>
      <c r="D6" s="2">
        <f>('Kwh Reading'!F7-'Kwh Reading'!F6)*1000000</f>
        <v>2299.9999999999686</v>
      </c>
      <c r="E6" s="2">
        <f>('Kwh Reading'!C7-'Kwh Reading'!C6)*1000</f>
        <v>240.00000000000909</v>
      </c>
      <c r="F6" s="2">
        <f>('Kwh Reading'!J7-'Kwh Reading'!J6)*1000</f>
        <v>129.99999999999545</v>
      </c>
      <c r="G6" s="2">
        <f>('Kwh Reading'!K7-'Kwh Reading'!K6)*1000</f>
        <v>230.00000000001819</v>
      </c>
      <c r="H6" s="2">
        <f>('Kwh Reading'!L7-'Kwh Reading'!L6)*1000</f>
        <v>180.00000000000682</v>
      </c>
      <c r="I6" s="2">
        <f>('Kwh Reading'!R7-'Kwh Reading'!R6)*1000</f>
        <v>210.00000000000796</v>
      </c>
      <c r="J6" s="2">
        <f>('Kwh Reading'!S7-'Kwh Reading'!S6)*1000</f>
        <v>135.99999999999568</v>
      </c>
      <c r="K6" s="2">
        <f>('Kwh Reading'!I7-'Kwh Reading'!I6)*1000</f>
        <v>250</v>
      </c>
      <c r="L6" s="2">
        <f>('Kwh Reading'!B7-'Kwh Reading'!B6)*1000</f>
        <v>1220.0000000000273</v>
      </c>
      <c r="M6" s="2">
        <f>('Kwh Reading'!M7-'Kwh Reading'!M6)*1000</f>
        <v>819.99999999999318</v>
      </c>
      <c r="N6" s="2">
        <f>('Kwh Reading'!H7-'Kwh Reading'!H6)*1000</f>
        <v>1019.9999999999818</v>
      </c>
      <c r="O6" s="2">
        <f>('Kwh Reading'!P7-'Kwh Reading'!P6)*1000</f>
        <v>1149.9999999999773</v>
      </c>
      <c r="P6" s="2">
        <f>('Kwh Reading'!G7-'Kwh Reading'!G6)*1000</f>
        <v>919.99999999995907</v>
      </c>
      <c r="Q6" s="2">
        <f>('Kwh Reading'!Q7-'Kwh Reading'!Q6)*1000</f>
        <v>720.00000000002728</v>
      </c>
      <c r="R6" s="2">
        <f>('Kwh Reading'!N7-'Kwh Reading'!N6)*1000</f>
        <v>859.9999999999568</v>
      </c>
      <c r="S6" s="2">
        <f>'Kwh Reading'!E7-'Kwh Reading'!E6</f>
        <v>0</v>
      </c>
      <c r="T6" s="2">
        <f>'Kwh Reading'!D7-'Kwh Reading'!D6</f>
        <v>4000.019999999553</v>
      </c>
      <c r="U6" s="27">
        <f>('Kwh Reading'!O7-'Kwh Reading'!O6)*1000</f>
        <v>19.999999999996021</v>
      </c>
      <c r="V6" s="16">
        <f t="shared" ref="V6:V34" si="0">B6-(SUM(C6:U6))</f>
        <v>6673.9800000010819</v>
      </c>
    </row>
    <row r="7" spans="1:22" x14ac:dyDescent="0.25">
      <c r="A7" s="3">
        <f>'Kwh Reading'!A7</f>
        <v>44169</v>
      </c>
      <c r="B7" s="26">
        <f>TOTAL!E5</f>
        <v>21479.999999999563</v>
      </c>
      <c r="C7" s="4">
        <f>('Kwh Reading'!T8-'Kwh Reading'!T7)*1000</f>
        <v>290.00000000002046</v>
      </c>
      <c r="D7" s="2">
        <f>('Kwh Reading'!F8-'Kwh Reading'!F7)*1000000</f>
        <v>2000.0000000000018</v>
      </c>
      <c r="E7" s="2">
        <f>('Kwh Reading'!C8-'Kwh Reading'!C7)*1000</f>
        <v>199.99999999998863</v>
      </c>
      <c r="F7" s="2">
        <f>('Kwh Reading'!J8-'Kwh Reading'!J7)*1000</f>
        <v>120.00000000000455</v>
      </c>
      <c r="G7" s="2">
        <f>('Kwh Reading'!K8-'Kwh Reading'!K7)*1000</f>
        <v>230.00000000001819</v>
      </c>
      <c r="H7" s="2">
        <f>('Kwh Reading'!L8-'Kwh Reading'!L7)*1000</f>
        <v>179.9999999999784</v>
      </c>
      <c r="I7" s="2">
        <f>('Kwh Reading'!R8-'Kwh Reading'!R7)*1000</f>
        <v>120.00000000000455</v>
      </c>
      <c r="J7" s="2">
        <f>('Kwh Reading'!S8-'Kwh Reading'!S7)*1000</f>
        <v>118.00000000000921</v>
      </c>
      <c r="K7" s="2">
        <f>('Kwh Reading'!I8-'Kwh Reading'!I7)*1000</f>
        <v>259.99999999999091</v>
      </c>
      <c r="L7" s="2">
        <f>('Kwh Reading'!B8-'Kwh Reading'!B7)*1000</f>
        <v>1129.9999999999955</v>
      </c>
      <c r="M7" s="2">
        <f>('Kwh Reading'!M8-'Kwh Reading'!M7)*1000</f>
        <v>730.00000000001819</v>
      </c>
      <c r="N7" s="2">
        <f>('Kwh Reading'!H8-'Kwh Reading'!H7)*1000</f>
        <v>939.99999999999773</v>
      </c>
      <c r="O7" s="2">
        <f>('Kwh Reading'!P8-'Kwh Reading'!P7)*1000</f>
        <v>1090.0000000000318</v>
      </c>
      <c r="P7" s="2">
        <f>('Kwh Reading'!G8-'Kwh Reading'!G7)*1000</f>
        <v>870.00000000000455</v>
      </c>
      <c r="Q7" s="2">
        <f>('Kwh Reading'!Q8-'Kwh Reading'!Q7)*1000</f>
        <v>639.99999999998636</v>
      </c>
      <c r="R7" s="2">
        <f>('Kwh Reading'!N8-'Kwh Reading'!N7)*1000</f>
        <v>730.00000000001819</v>
      </c>
      <c r="S7" s="2">
        <f>'Kwh Reading'!E8-'Kwh Reading'!E7</f>
        <v>0</v>
      </c>
      <c r="T7" s="2">
        <f>'Kwh Reading'!D8-'Kwh Reading'!D7</f>
        <v>6289.6300000008196</v>
      </c>
      <c r="U7" s="27">
        <f>('Kwh Reading'!O8-'Kwh Reading'!O7)*1000</f>
        <v>420.00000000000171</v>
      </c>
      <c r="V7" s="16">
        <f t="shared" si="0"/>
        <v>5122.3699999986729</v>
      </c>
    </row>
    <row r="8" spans="1:22" x14ac:dyDescent="0.25">
      <c r="A8" s="3">
        <f>'Kwh Reading'!A8</f>
        <v>44170</v>
      </c>
      <c r="B8" s="26">
        <f>TOTAL!E6</f>
        <v>19229.999999999338</v>
      </c>
      <c r="C8" s="4">
        <f>('Kwh Reading'!T9-'Kwh Reading'!T8)*1000</f>
        <v>500</v>
      </c>
      <c r="D8" s="2">
        <f>('Kwh Reading'!F9-'Kwh Reading'!F8)*1000000</f>
        <v>2199.9999999999795</v>
      </c>
      <c r="E8" s="2">
        <f>('Kwh Reading'!C9-'Kwh Reading'!C8)*1000</f>
        <v>240.00000000000909</v>
      </c>
      <c r="F8" s="2">
        <f>('Kwh Reading'!J9-'Kwh Reading'!J8)*1000</f>
        <v>139.99999999998636</v>
      </c>
      <c r="G8" s="2">
        <f>('Kwh Reading'!K9-'Kwh Reading'!K8)*1000</f>
        <v>250</v>
      </c>
      <c r="H8" s="2">
        <f>('Kwh Reading'!L9-'Kwh Reading'!L8)*1000</f>
        <v>170.00000000001592</v>
      </c>
      <c r="I8" s="2">
        <f>('Kwh Reading'!R9-'Kwh Reading'!R8)*1000</f>
        <v>119.99999999999034</v>
      </c>
      <c r="J8" s="2">
        <f>('Kwh Reading'!S9-'Kwh Reading'!S8)*1000</f>
        <v>128.00000000000011</v>
      </c>
      <c r="K8" s="2">
        <f>('Kwh Reading'!I9-'Kwh Reading'!I8)*1000</f>
        <v>250</v>
      </c>
      <c r="L8" s="2">
        <f>('Kwh Reading'!B9-'Kwh Reading'!B8)*1000</f>
        <v>1190.0000000000546</v>
      </c>
      <c r="M8" s="2">
        <f>('Kwh Reading'!M9-'Kwh Reading'!M8)*1000</f>
        <v>709.99999999997954</v>
      </c>
      <c r="N8" s="2">
        <f>('Kwh Reading'!H9-'Kwh Reading'!H8)*1000</f>
        <v>949.99999999998863</v>
      </c>
      <c r="O8" s="2">
        <f>('Kwh Reading'!P9-'Kwh Reading'!P8)*1000</f>
        <v>1599.9999999999659</v>
      </c>
      <c r="P8" s="2">
        <f>('Kwh Reading'!G9-'Kwh Reading'!G8)*1000</f>
        <v>760.00000000010459</v>
      </c>
      <c r="Q8" s="2">
        <f>('Kwh Reading'!Q9-'Kwh Reading'!Q8)*1000</f>
        <v>670.00000000001592</v>
      </c>
      <c r="R8" s="2">
        <f>('Kwh Reading'!N9-'Kwh Reading'!N8)*1000</f>
        <v>670.00000000001592</v>
      </c>
      <c r="S8" s="2">
        <f>'Kwh Reading'!E9-'Kwh Reading'!E8</f>
        <v>0</v>
      </c>
      <c r="T8" s="2">
        <f>'Kwh Reading'!D9-'Kwh Reading'!D8</f>
        <v>6296.2299999995157</v>
      </c>
      <c r="U8" s="27">
        <f>('Kwh Reading'!O9-'Kwh Reading'!O8)*1000</f>
        <v>209.99999999999375</v>
      </c>
      <c r="V8" s="16">
        <f t="shared" si="0"/>
        <v>2175.7699999997203</v>
      </c>
    </row>
    <row r="9" spans="1:22" x14ac:dyDescent="0.25">
      <c r="A9" s="3">
        <f>'Kwh Reading'!A9</f>
        <v>44171</v>
      </c>
      <c r="B9" s="26">
        <f>TOTAL!E7</f>
        <v>23370.000000000116</v>
      </c>
      <c r="C9" s="4">
        <f>('Kwh Reading'!T10-'Kwh Reading'!T9)*1000</f>
        <v>350.00000000002274</v>
      </c>
      <c r="D9" s="2">
        <f>('Kwh Reading'!F10-'Kwh Reading'!F9)*1000000</f>
        <v>2199.9999999999795</v>
      </c>
      <c r="E9" s="2">
        <f>('Kwh Reading'!C10-'Kwh Reading'!C9)*1000</f>
        <v>180.00000000000682</v>
      </c>
      <c r="F9" s="2">
        <f>('Kwh Reading'!J10-'Kwh Reading'!J9)*1000</f>
        <v>120.00000000000455</v>
      </c>
      <c r="G9" s="2">
        <f>('Kwh Reading'!K10-'Kwh Reading'!K9)*1000</f>
        <v>269.99999999998181</v>
      </c>
      <c r="H9" s="2">
        <f>('Kwh Reading'!L10-'Kwh Reading'!L9)*1000</f>
        <v>189.99999999999773</v>
      </c>
      <c r="I9" s="2">
        <f>('Kwh Reading'!R10-'Kwh Reading'!R9)*1000</f>
        <v>109.99999999999943</v>
      </c>
      <c r="J9" s="2">
        <f>('Kwh Reading'!S10-'Kwh Reading'!S9)*1000</f>
        <v>123.99999999999523</v>
      </c>
      <c r="K9" s="2">
        <f>('Kwh Reading'!I10-'Kwh Reading'!I9)*1000</f>
        <v>250</v>
      </c>
      <c r="L9" s="2">
        <f>('Kwh Reading'!B10-'Kwh Reading'!B9)*1000</f>
        <v>1209.9999999999227</v>
      </c>
      <c r="M9" s="2">
        <f>('Kwh Reading'!M10-'Kwh Reading'!M9)*1000</f>
        <v>720.00000000002728</v>
      </c>
      <c r="N9" s="2">
        <f>('Kwh Reading'!H10-'Kwh Reading'!H9)*1000</f>
        <v>930.00000000000682</v>
      </c>
      <c r="O9" s="2">
        <f>('Kwh Reading'!P10-'Kwh Reading'!P9)*1000</f>
        <v>460.00000000003638</v>
      </c>
      <c r="P9" s="2">
        <f>('Kwh Reading'!G10-'Kwh Reading'!G9)*1000</f>
        <v>709.99999999992269</v>
      </c>
      <c r="Q9" s="2">
        <f>('Kwh Reading'!Q10-'Kwh Reading'!Q9)*1000</f>
        <v>639.99999999998636</v>
      </c>
      <c r="R9" s="2">
        <f>('Kwh Reading'!N10-'Kwh Reading'!N9)*1000</f>
        <v>740.00000000000909</v>
      </c>
      <c r="S9" s="2">
        <f>'Kwh Reading'!E10-'Kwh Reading'!E9</f>
        <v>0</v>
      </c>
      <c r="T9" s="2">
        <f>'Kwh Reading'!D10-'Kwh Reading'!D9</f>
        <v>6290.1000000005588</v>
      </c>
      <c r="U9" s="27">
        <f>('Kwh Reading'!O10-'Kwh Reading'!O9)*1000</f>
        <v>250</v>
      </c>
      <c r="V9" s="16">
        <f t="shared" si="0"/>
        <v>7625.8999999996577</v>
      </c>
    </row>
    <row r="10" spans="1:22" x14ac:dyDescent="0.25">
      <c r="A10" s="3">
        <f>'Kwh Reading'!A10</f>
        <v>44172</v>
      </c>
      <c r="B10" s="26">
        <f>TOTAL!E8</f>
        <v>21099.999999999909</v>
      </c>
      <c r="C10" s="4">
        <f>('Kwh Reading'!T11-'Kwh Reading'!T10)*1000</f>
        <v>489.99999999995225</v>
      </c>
      <c r="D10" s="2">
        <f>('Kwh Reading'!F11-'Kwh Reading'!F10)*1000000</f>
        <v>2299.9999999999686</v>
      </c>
      <c r="E10" s="2">
        <f>('Kwh Reading'!C11-'Kwh Reading'!C10)*1000</f>
        <v>229.99999999998977</v>
      </c>
      <c r="F10" s="2">
        <f>('Kwh Reading'!J11-'Kwh Reading'!J10)*1000</f>
        <v>200.00000000004547</v>
      </c>
      <c r="G10" s="2">
        <f>('Kwh Reading'!K11-'Kwh Reading'!K10)*1000</f>
        <v>290.00000000002046</v>
      </c>
      <c r="H10" s="2">
        <f>('Kwh Reading'!L11-'Kwh Reading'!L10)*1000</f>
        <v>210.00000000000796</v>
      </c>
      <c r="I10" s="2">
        <f>('Kwh Reading'!R11-'Kwh Reading'!R10)*1000</f>
        <v>200.00000000000284</v>
      </c>
      <c r="J10" s="2">
        <f>('Kwh Reading'!S11-'Kwh Reading'!S10)*1000</f>
        <v>129.00000000000489</v>
      </c>
      <c r="K10" s="2">
        <f>('Kwh Reading'!I11-'Kwh Reading'!I10)*1000</f>
        <v>259.99999999999091</v>
      </c>
      <c r="L10" s="2">
        <f>('Kwh Reading'!B11-'Kwh Reading'!B10)*1000</f>
        <v>1300.0000000000682</v>
      </c>
      <c r="M10" s="2">
        <f>('Kwh Reading'!M11-'Kwh Reading'!M10)*1000</f>
        <v>709.99999999997954</v>
      </c>
      <c r="N10" s="2">
        <f>('Kwh Reading'!H11-'Kwh Reading'!H10)*1000</f>
        <v>879.99999999999545</v>
      </c>
      <c r="O10" s="2">
        <f>('Kwh Reading'!P11-'Kwh Reading'!P10)*1000</f>
        <v>939.99999999999773</v>
      </c>
      <c r="P10" s="2">
        <f>('Kwh Reading'!G11-'Kwh Reading'!G10)*1000</f>
        <v>860.00000000001364</v>
      </c>
      <c r="Q10" s="2">
        <f>('Kwh Reading'!Q11-'Kwh Reading'!Q10)*1000</f>
        <v>689.99999999999773</v>
      </c>
      <c r="R10" s="2">
        <f>('Kwh Reading'!N11-'Kwh Reading'!N10)*1000</f>
        <v>799.99999999995453</v>
      </c>
      <c r="S10" s="34">
        <f>'Kwh Reading'!E11-'Kwh Reading'!E10</f>
        <v>0</v>
      </c>
      <c r="T10" s="34">
        <f>'Kwh Reading'!D11-'Kwh Reading'!D10</f>
        <v>5628.4199999999255</v>
      </c>
      <c r="U10" s="27">
        <f>('Kwh Reading'!O11-'Kwh Reading'!O10)*1000</f>
        <v>230.00000000000398</v>
      </c>
      <c r="V10" s="16">
        <f t="shared" si="0"/>
        <v>4752.5799999999908</v>
      </c>
    </row>
    <row r="11" spans="1:22" x14ac:dyDescent="0.25">
      <c r="A11" s="3">
        <f>'Kwh Reading'!A11</f>
        <v>44173</v>
      </c>
      <c r="B11" s="26">
        <f>TOTAL!E9</f>
        <v>21270.000000000211</v>
      </c>
      <c r="C11" s="4">
        <f>('Kwh Reading'!T12-'Kwh Reading'!T11)*1000</f>
        <v>340.00000000003183</v>
      </c>
      <c r="D11" s="2">
        <f>('Kwh Reading'!F12-'Kwh Reading'!F11)*1000000</f>
        <v>2099.9999999999909</v>
      </c>
      <c r="E11" s="2">
        <f>('Kwh Reading'!C12-'Kwh Reading'!C11)*1000</f>
        <v>229.99999999998977</v>
      </c>
      <c r="F11" s="2">
        <f>('Kwh Reading'!J12-'Kwh Reading'!J11)*1000</f>
        <v>109.9999999999568</v>
      </c>
      <c r="G11" s="2">
        <f>('Kwh Reading'!K12-'Kwh Reading'!K11)*1000</f>
        <v>269.99999999998181</v>
      </c>
      <c r="H11" s="2">
        <f>('Kwh Reading'!L12-'Kwh Reading'!L11)*1000</f>
        <v>169.99999999998749</v>
      </c>
      <c r="I11" s="2">
        <f>('Kwh Reading'!R12-'Kwh Reading'!R11)*1000</f>
        <v>99.999999999994316</v>
      </c>
      <c r="J11" s="2">
        <f>('Kwh Reading'!S12-'Kwh Reading'!S11)*1000</f>
        <v>131.00000000000023</v>
      </c>
      <c r="K11" s="2">
        <f>('Kwh Reading'!I12-'Kwh Reading'!I11)*1000</f>
        <v>240.00000000000909</v>
      </c>
      <c r="L11" s="2">
        <f>('Kwh Reading'!B12-'Kwh Reading'!B11)*1000</f>
        <v>1219.9999999999136</v>
      </c>
      <c r="M11" s="2">
        <f>('Kwh Reading'!M12-'Kwh Reading'!M11)*1000</f>
        <v>649.99999999997726</v>
      </c>
      <c r="N11" s="2">
        <f>('Kwh Reading'!H12-'Kwh Reading'!H11)*1000</f>
        <v>810.00000000000227</v>
      </c>
      <c r="O11" s="2">
        <f>('Kwh Reading'!P12-'Kwh Reading'!P11)*1000</f>
        <v>819.99999999999318</v>
      </c>
      <c r="P11" s="2">
        <f>('Kwh Reading'!G12-'Kwh Reading'!G11)*1000</f>
        <v>750</v>
      </c>
      <c r="Q11" s="2">
        <f>('Kwh Reading'!Q12-'Kwh Reading'!Q11)*1000</f>
        <v>660.00000000002501</v>
      </c>
      <c r="R11" s="2">
        <f>('Kwh Reading'!N12-'Kwh Reading'!N11)*1000</f>
        <v>770.00000000003865</v>
      </c>
      <c r="S11" s="34">
        <f>'Kwh Reading'!E12-'Kwh Reading'!E11</f>
        <v>0</v>
      </c>
      <c r="T11" s="34">
        <f>'Kwh Reading'!D12-'Kwh Reading'!D11</f>
        <v>4689.4199999999255</v>
      </c>
      <c r="U11" s="27">
        <f>('Kwh Reading'!O12-'Kwh Reading'!O11)*1000</f>
        <v>200.00000000000284</v>
      </c>
      <c r="V11" s="16">
        <f t="shared" si="0"/>
        <v>7009.5800000003892</v>
      </c>
    </row>
    <row r="12" spans="1:22" x14ac:dyDescent="0.25">
      <c r="A12" s="3">
        <f>'Kwh Reading'!A12</f>
        <v>44174</v>
      </c>
      <c r="B12" s="26">
        <f>TOTAL!E10</f>
        <v>20759.999999999534</v>
      </c>
      <c r="C12" s="4">
        <f>('Kwh Reading'!T13-'Kwh Reading'!T12)*1000</f>
        <v>469.99999999997044</v>
      </c>
      <c r="D12" s="2">
        <f>('Kwh Reading'!F13-'Kwh Reading'!F12)*1000000</f>
        <v>2199.9999999999795</v>
      </c>
      <c r="E12" s="2">
        <f>('Kwh Reading'!C13-'Kwh Reading'!C12)*1000</f>
        <v>230.00000000001819</v>
      </c>
      <c r="F12" s="2">
        <f>('Kwh Reading'!J13-'Kwh Reading'!J12)*1000</f>
        <v>140.0000000000432</v>
      </c>
      <c r="G12" s="2">
        <f>('Kwh Reading'!K13-'Kwh Reading'!K12)*1000</f>
        <v>250</v>
      </c>
      <c r="H12" s="2">
        <f>('Kwh Reading'!L13-'Kwh Reading'!L12)*1000</f>
        <v>200.00000000001705</v>
      </c>
      <c r="I12" s="2">
        <f>('Kwh Reading'!R13-'Kwh Reading'!R12)*1000</f>
        <v>160.0000000000108</v>
      </c>
      <c r="J12" s="2">
        <f>('Kwh Reading'!S13-'Kwh Reading'!S12)*1000</f>
        <v>131.99999999999079</v>
      </c>
      <c r="K12" s="2">
        <f>('Kwh Reading'!I13-'Kwh Reading'!I12)*1000</f>
        <v>280.00000000000114</v>
      </c>
      <c r="L12" s="2">
        <f>('Kwh Reading'!B13-'Kwh Reading'!B12)*1000</f>
        <v>1260.0000000001046</v>
      </c>
      <c r="M12" s="2">
        <f>('Kwh Reading'!M13-'Kwh Reading'!M12)*1000</f>
        <v>750</v>
      </c>
      <c r="N12" s="2">
        <f>('Kwh Reading'!H13-'Kwh Reading'!H12)*1000</f>
        <v>910.00000000002501</v>
      </c>
      <c r="O12" s="2">
        <f>('Kwh Reading'!P13-'Kwh Reading'!P12)*1000</f>
        <v>889.99999999998636</v>
      </c>
      <c r="P12" s="2">
        <f>('Kwh Reading'!G13-'Kwh Reading'!G12)*1000</f>
        <v>810.00000000005912</v>
      </c>
      <c r="Q12" s="2">
        <f>('Kwh Reading'!Q13-'Kwh Reading'!Q12)*1000</f>
        <v>759.99999999999091</v>
      </c>
      <c r="R12" s="2">
        <f>('Kwh Reading'!N13-'Kwh Reading'!N12)*1000</f>
        <v>930.00000000000682</v>
      </c>
      <c r="S12" s="34">
        <f>'Kwh Reading'!E13-'Kwh Reading'!E12</f>
        <v>0</v>
      </c>
      <c r="T12" s="34">
        <f>'Kwh Reading'!D13-'Kwh Reading'!D12</f>
        <v>5235.4799999995157</v>
      </c>
      <c r="U12" s="27">
        <f>('Kwh Reading'!O13-'Kwh Reading'!O12)*1000</f>
        <v>219.99999999999886</v>
      </c>
      <c r="V12" s="16">
        <f t="shared" si="0"/>
        <v>4932.5199999998167</v>
      </c>
    </row>
    <row r="13" spans="1:22" x14ac:dyDescent="0.25">
      <c r="A13" s="3">
        <f>'Kwh Reading'!A13</f>
        <v>44175</v>
      </c>
      <c r="B13" s="26">
        <f>TOTAL!E11</f>
        <v>15930.000000000746</v>
      </c>
      <c r="C13" s="4">
        <f>('Kwh Reading'!T14-'Kwh Reading'!T13)*1000</f>
        <v>370.00000000000455</v>
      </c>
      <c r="D13" s="2">
        <f>('Kwh Reading'!F14-'Kwh Reading'!F13)*1000000</f>
        <v>2200.0000000002019</v>
      </c>
      <c r="E13" s="2">
        <f>('Kwh Reading'!C14-'Kwh Reading'!C13)*1000</f>
        <v>240.00000000000909</v>
      </c>
      <c r="F13" s="2">
        <f>('Kwh Reading'!J14-'Kwh Reading'!J13)*1000</f>
        <v>199.99999999998863</v>
      </c>
      <c r="G13" s="2">
        <f>('Kwh Reading'!K14-'Kwh Reading'!K13)*1000</f>
        <v>259.99999999999091</v>
      </c>
      <c r="H13" s="2">
        <f>('Kwh Reading'!L14-'Kwh Reading'!L13)*1000</f>
        <v>250</v>
      </c>
      <c r="I13" s="2">
        <f>('Kwh Reading'!R14-'Kwh Reading'!R13)*1000</f>
        <v>170.00000000000171</v>
      </c>
      <c r="J13" s="2">
        <f>('Kwh Reading'!S14-'Kwh Reading'!S13)*1000</f>
        <v>141.99999999999591</v>
      </c>
      <c r="K13" s="2">
        <f>('Kwh Reading'!I14-'Kwh Reading'!I13)*1000</f>
        <v>259.99999999999091</v>
      </c>
      <c r="L13" s="2">
        <f>('Kwh Reading'!B14-'Kwh Reading'!B13)*1000</f>
        <v>1259.9999999999909</v>
      </c>
      <c r="M13" s="2">
        <f>('Kwh Reading'!M14-'Kwh Reading'!M13)*1000</f>
        <v>650.00000000003411</v>
      </c>
      <c r="N13" s="2">
        <f>('Kwh Reading'!H14-'Kwh Reading'!H13)*1000</f>
        <v>779.99999999997272</v>
      </c>
      <c r="O13" s="2">
        <f>('Kwh Reading'!P14-'Kwh Reading'!P13)*1000</f>
        <v>790.00000000002046</v>
      </c>
      <c r="P13" s="2">
        <f>('Kwh Reading'!G14-'Kwh Reading'!G13)*1000</f>
        <v>769.99999999998181</v>
      </c>
      <c r="Q13" s="2">
        <f>('Kwh Reading'!Q14-'Kwh Reading'!Q13)*1000</f>
        <v>660.00000000002501</v>
      </c>
      <c r="R13" s="2">
        <f>('Kwh Reading'!N14-'Kwh Reading'!N13)*1000</f>
        <v>759.99999999999091</v>
      </c>
      <c r="S13" s="34">
        <f>'Kwh Reading'!E14-'Kwh Reading'!E13</f>
        <v>0</v>
      </c>
      <c r="T13" s="34">
        <f>'Kwh Reading'!D14-'Kwh Reading'!D13</f>
        <v>4641.9400000004098</v>
      </c>
      <c r="U13" s="27">
        <f>('Kwh Reading'!O14-'Kwh Reading'!O13)*1000</f>
        <v>200.00000000000284</v>
      </c>
      <c r="V13" s="16">
        <f t="shared" si="0"/>
        <v>1326.0600000001323</v>
      </c>
    </row>
    <row r="14" spans="1:22" x14ac:dyDescent="0.25">
      <c r="A14" s="3">
        <f>'Kwh Reading'!A14</f>
        <v>44176</v>
      </c>
      <c r="B14" s="26">
        <f>TOTAL!E12</f>
        <v>20180.000000000746</v>
      </c>
      <c r="C14" s="4">
        <f>('Kwh Reading'!T15-'Kwh Reading'!T14)*1000</f>
        <v>330.00000000004093</v>
      </c>
      <c r="D14" s="2">
        <f>('Kwh Reading'!F15-'Kwh Reading'!F14)*1000000</f>
        <v>2000.0000000000018</v>
      </c>
      <c r="E14" s="2">
        <f>('Kwh Reading'!C15-'Kwh Reading'!C14)*1000</f>
        <v>219.99999999999886</v>
      </c>
      <c r="F14" s="2">
        <f>('Kwh Reading'!J15-'Kwh Reading'!J14)*1000</f>
        <v>69.999999999993179</v>
      </c>
      <c r="G14" s="2">
        <f>('Kwh Reading'!K15-'Kwh Reading'!K14)*1000</f>
        <v>180.00000000000682</v>
      </c>
      <c r="H14" s="2">
        <f>('Kwh Reading'!L15-'Kwh Reading'!L14)*1000</f>
        <v>159.99999999999659</v>
      </c>
      <c r="I14" s="2">
        <f>('Kwh Reading'!R15-'Kwh Reading'!R14)*1000</f>
        <v>229.99999999998977</v>
      </c>
      <c r="J14" s="2">
        <f>('Kwh Reading'!S15-'Kwh Reading'!S14)*1000</f>
        <v>131.00000000000023</v>
      </c>
      <c r="K14" s="2">
        <f>('Kwh Reading'!I15-'Kwh Reading'!I14)*1000</f>
        <v>210.00000000000796</v>
      </c>
      <c r="L14" s="2">
        <f>('Kwh Reading'!B15-'Kwh Reading'!B14)*1000</f>
        <v>1089.9999999999181</v>
      </c>
      <c r="M14" s="2">
        <f>('Kwh Reading'!M15-'Kwh Reading'!M14)*1000</f>
        <v>610.00000000001364</v>
      </c>
      <c r="N14" s="2">
        <f>('Kwh Reading'!H15-'Kwh Reading'!H14)*1000</f>
        <v>689.99999999999773</v>
      </c>
      <c r="O14" s="2">
        <f>('Kwh Reading'!P15-'Kwh Reading'!P14)*1000</f>
        <v>680.00000000000682</v>
      </c>
      <c r="P14" s="2">
        <f>('Kwh Reading'!G15-'Kwh Reading'!G14)*1000</f>
        <v>759.99999999999091</v>
      </c>
      <c r="Q14" s="2">
        <f>('Kwh Reading'!Q15-'Kwh Reading'!Q14)*1000</f>
        <v>500</v>
      </c>
      <c r="R14" s="2">
        <f>('Kwh Reading'!N15-'Kwh Reading'!N14)*1000</f>
        <v>659.99999999996817</v>
      </c>
      <c r="S14" s="34">
        <f>'Kwh Reading'!E15-'Kwh Reading'!E14</f>
        <v>0</v>
      </c>
      <c r="T14" s="34">
        <f>'Kwh Reading'!D15-'Kwh Reading'!D14</f>
        <v>4111.7400000002235</v>
      </c>
      <c r="U14" s="27">
        <f>('Kwh Reading'!O15-'Kwh Reading'!O14)*1000</f>
        <v>200.00000000000284</v>
      </c>
      <c r="V14" s="16">
        <f t="shared" si="0"/>
        <v>7347.2600000005878</v>
      </c>
    </row>
    <row r="15" spans="1:22" x14ac:dyDescent="0.25">
      <c r="A15" s="3">
        <f>'Kwh Reading'!A15</f>
        <v>44177</v>
      </c>
      <c r="B15" s="26">
        <f>TOTAL!E13</f>
        <v>17059.999999999716</v>
      </c>
      <c r="C15" s="4">
        <f>('Kwh Reading'!T16-'Kwh Reading'!T15)*1000</f>
        <v>469.99999999997044</v>
      </c>
      <c r="D15" s="2">
        <f>('Kwh Reading'!F16-'Kwh Reading'!F15)*1000000</f>
        <v>2199.9999999999795</v>
      </c>
      <c r="E15" s="2">
        <f>('Kwh Reading'!C16-'Kwh Reading'!C15)*1000</f>
        <v>250</v>
      </c>
      <c r="F15" s="2">
        <f>('Kwh Reading'!J16-'Kwh Reading'!J15)*1000</f>
        <v>370.00000000000455</v>
      </c>
      <c r="G15" s="2">
        <f>('Kwh Reading'!K16-'Kwh Reading'!K15)*1000</f>
        <v>290.00000000002046</v>
      </c>
      <c r="H15" s="2">
        <f>('Kwh Reading'!L16-'Kwh Reading'!L15)*1000</f>
        <v>229.99999999998977</v>
      </c>
      <c r="I15" s="2">
        <f>('Kwh Reading'!R16-'Kwh Reading'!R15)*1000</f>
        <v>160.0000000000108</v>
      </c>
      <c r="J15" s="2">
        <f>('Kwh Reading'!S16-'Kwh Reading'!S15)*1000</f>
        <v>143.00000000000068</v>
      </c>
      <c r="K15" s="2">
        <f>('Kwh Reading'!I16-'Kwh Reading'!I15)*1000</f>
        <v>229.99999999998977</v>
      </c>
      <c r="L15" s="2">
        <f>('Kwh Reading'!B16-'Kwh Reading'!B15)*1000</f>
        <v>1050.0000000000682</v>
      </c>
      <c r="M15" s="2">
        <f>('Kwh Reading'!M16-'Kwh Reading'!M15)*1000</f>
        <v>579.99999999998408</v>
      </c>
      <c r="N15" s="2">
        <f>('Kwh Reading'!H16-'Kwh Reading'!H15)*1000</f>
        <v>600.00000000002274</v>
      </c>
      <c r="O15" s="2">
        <f>('Kwh Reading'!P16-'Kwh Reading'!P15)*1000</f>
        <v>669.99999999995907</v>
      </c>
      <c r="P15" s="2">
        <f>('Kwh Reading'!G16-'Kwh Reading'!G15)*1000</f>
        <v>679.99999999994998</v>
      </c>
      <c r="Q15" s="2">
        <f>('Kwh Reading'!Q16-'Kwh Reading'!Q15)*1000</f>
        <v>539.99999999996362</v>
      </c>
      <c r="R15" s="2">
        <f>('Kwh Reading'!N16-'Kwh Reading'!N15)*1000</f>
        <v>580.00000000004093</v>
      </c>
      <c r="S15" s="34">
        <f>'Kwh Reading'!E16-'Kwh Reading'!E15</f>
        <v>0</v>
      </c>
      <c r="T15" s="34">
        <f>'Kwh Reading'!D16-'Kwh Reading'!D15</f>
        <v>3971.4599999999627</v>
      </c>
      <c r="U15" s="27">
        <f>('Kwh Reading'!O16-'Kwh Reading'!O15)*1000</f>
        <v>189.99999999999773</v>
      </c>
      <c r="V15" s="16">
        <f t="shared" si="0"/>
        <v>3855.5399999998026</v>
      </c>
    </row>
    <row r="16" spans="1:22" x14ac:dyDescent="0.25">
      <c r="A16" s="3">
        <f>'Kwh Reading'!A16</f>
        <v>44178</v>
      </c>
      <c r="B16" s="26">
        <f>TOTAL!E14</f>
        <v>23059.999999999265</v>
      </c>
      <c r="C16" s="4">
        <f>('Kwh Reading'!T17-'Kwh Reading'!T16)*1000</f>
        <v>399.99999999997726</v>
      </c>
      <c r="D16" s="2">
        <f>('Kwh Reading'!F17-'Kwh Reading'!F16)*1000000</f>
        <v>2199.9999999999795</v>
      </c>
      <c r="E16" s="2">
        <f>('Kwh Reading'!C17-'Kwh Reading'!C16)*1000</f>
        <v>219.99999999999886</v>
      </c>
      <c r="F16" s="2">
        <f>('Kwh Reading'!J17-'Kwh Reading'!J16)*1000</f>
        <v>120.00000000000455</v>
      </c>
      <c r="G16" s="2">
        <f>('Kwh Reading'!K17-'Kwh Reading'!K16)*1000</f>
        <v>239.99999999995225</v>
      </c>
      <c r="H16" s="2">
        <f>('Kwh Reading'!L17-'Kwh Reading'!L16)*1000</f>
        <v>169.99999999998749</v>
      </c>
      <c r="I16" s="2">
        <f>('Kwh Reading'!R17-'Kwh Reading'!R16)*1000</f>
        <v>129.99999999999545</v>
      </c>
      <c r="J16" s="2">
        <f>('Kwh Reading'!S17-'Kwh Reading'!S16)*1000</f>
        <v>133.00000000000978</v>
      </c>
      <c r="K16" s="2">
        <f>('Kwh Reading'!I17-'Kwh Reading'!I16)*1000</f>
        <v>230.00000000001819</v>
      </c>
      <c r="L16" s="2">
        <f>('Kwh Reading'!B17-'Kwh Reading'!B16)*1000</f>
        <v>980.00000000001819</v>
      </c>
      <c r="M16" s="2">
        <f>('Kwh Reading'!M17-'Kwh Reading'!M16)*1000</f>
        <v>579.99999999998408</v>
      </c>
      <c r="N16" s="2">
        <f>('Kwh Reading'!H17-'Kwh Reading'!H16)*1000</f>
        <v>699.99999999998863</v>
      </c>
      <c r="O16" s="2">
        <f>('Kwh Reading'!P17-'Kwh Reading'!P16)*1000</f>
        <v>730.00000000001819</v>
      </c>
      <c r="P16" s="2">
        <f>('Kwh Reading'!G17-'Kwh Reading'!G16)*1000</f>
        <v>639.99999999998636</v>
      </c>
      <c r="Q16" s="2">
        <f>('Kwh Reading'!Q17-'Kwh Reading'!Q16)*1000</f>
        <v>639.99999999998636</v>
      </c>
      <c r="R16" s="2">
        <f>('Kwh Reading'!N17-'Kwh Reading'!N16)*1000</f>
        <v>609.9999999999568</v>
      </c>
      <c r="S16" s="34">
        <f>'Kwh Reading'!E17-'Kwh Reading'!E16</f>
        <v>0</v>
      </c>
      <c r="T16" s="34">
        <f>'Kwh Reading'!D17-'Kwh Reading'!D16</f>
        <v>4378.8299999991432</v>
      </c>
      <c r="U16" s="27">
        <f>('Kwh Reading'!O17-'Kwh Reading'!O16)*1000</f>
        <v>199.99999999998863</v>
      </c>
      <c r="V16" s="16">
        <f t="shared" si="0"/>
        <v>9758.1700000002711</v>
      </c>
    </row>
    <row r="17" spans="1:22" x14ac:dyDescent="0.25">
      <c r="A17" s="3">
        <f>'Kwh Reading'!A17</f>
        <v>44179</v>
      </c>
      <c r="B17" s="26">
        <f>TOTAL!E15</f>
        <v>20710.000000000946</v>
      </c>
      <c r="C17" s="4">
        <f>('Kwh Reading'!T18-'Kwh Reading'!T17)*1000</f>
        <v>530.00000000002956</v>
      </c>
      <c r="D17" s="2">
        <f>('Kwh Reading'!F18-'Kwh Reading'!F17)*1000000</f>
        <v>2299.9999999999686</v>
      </c>
      <c r="E17" s="2">
        <f>('Kwh Reading'!C18-'Kwh Reading'!C17)*1000</f>
        <v>250</v>
      </c>
      <c r="F17" s="2">
        <f>('Kwh Reading'!J18-'Kwh Reading'!J17)*1000</f>
        <v>109.9999999999568</v>
      </c>
      <c r="G17" s="2">
        <f>('Kwh Reading'!K18-'Kwh Reading'!K17)*1000</f>
        <v>300.00000000001137</v>
      </c>
      <c r="H17" s="2">
        <f>('Kwh Reading'!L18-'Kwh Reading'!L17)*1000</f>
        <v>200.00000000001705</v>
      </c>
      <c r="I17" s="2">
        <f>('Kwh Reading'!R18-'Kwh Reading'!R17)*1000</f>
        <v>129.99999999999545</v>
      </c>
      <c r="J17" s="2">
        <f>('Kwh Reading'!S18-'Kwh Reading'!S17)*1000</f>
        <v>229.99999999998977</v>
      </c>
      <c r="K17" s="2">
        <f>('Kwh Reading'!I18-'Kwh Reading'!I17)*1000</f>
        <v>250</v>
      </c>
      <c r="L17" s="2">
        <f>('Kwh Reading'!B18-'Kwh Reading'!B17)*1000</f>
        <v>1099.9999999999091</v>
      </c>
      <c r="M17" s="2">
        <f>('Kwh Reading'!M18-'Kwh Reading'!M17)*1000</f>
        <v>639.99999999998636</v>
      </c>
      <c r="N17" s="2">
        <f>('Kwh Reading'!H18-'Kwh Reading'!H17)*1000</f>
        <v>740.00000000000909</v>
      </c>
      <c r="O17" s="2">
        <f>('Kwh Reading'!P18-'Kwh Reading'!P17)*1000</f>
        <v>709.99999999997954</v>
      </c>
      <c r="P17" s="2">
        <f>('Kwh Reading'!G18-'Kwh Reading'!G17)*1000</f>
        <v>720.00000000002728</v>
      </c>
      <c r="Q17" s="2">
        <f>('Kwh Reading'!Q18-'Kwh Reading'!Q17)*1000</f>
        <v>710.00000000003638</v>
      </c>
      <c r="R17" s="2">
        <f>('Kwh Reading'!N18-'Kwh Reading'!N17)*1000</f>
        <v>730.00000000001819</v>
      </c>
      <c r="S17" s="34">
        <f>'Kwh Reading'!E18-'Kwh Reading'!E17</f>
        <v>0</v>
      </c>
      <c r="T17" s="34">
        <f>'Kwh Reading'!D18-'Kwh Reading'!D17</f>
        <v>5089.910000000149</v>
      </c>
      <c r="U17" s="27">
        <f>('Kwh Reading'!O18-'Kwh Reading'!O17)*1000</f>
        <v>190.00000000001194</v>
      </c>
      <c r="V17" s="16">
        <f t="shared" si="0"/>
        <v>5780.0900000008496</v>
      </c>
    </row>
    <row r="18" spans="1:22" x14ac:dyDescent="0.25">
      <c r="A18" s="3">
        <f>'Kwh Reading'!A18</f>
        <v>44180</v>
      </c>
      <c r="B18" s="26">
        <f>TOTAL!E16</f>
        <v>20589.999999999236</v>
      </c>
      <c r="C18" s="4">
        <f>('Kwh Reading'!T19-'Kwh Reading'!T18)*1000</f>
        <v>509.99999999999091</v>
      </c>
      <c r="D18" s="2">
        <f>('Kwh Reading'!F19-'Kwh Reading'!F18)*1000000</f>
        <v>2399.9999999999577</v>
      </c>
      <c r="E18" s="2">
        <f>('Kwh Reading'!C19-'Kwh Reading'!C18)*1000</f>
        <v>269.99999999998181</v>
      </c>
      <c r="F18" s="2">
        <f>('Kwh Reading'!J19-'Kwh Reading'!J18)*1000</f>
        <v>180.00000000000682</v>
      </c>
      <c r="G18" s="2">
        <f>('Kwh Reading'!K19-'Kwh Reading'!K18)*1000</f>
        <v>259.99999999999091</v>
      </c>
      <c r="H18" s="2">
        <f>('Kwh Reading'!L19-'Kwh Reading'!L18)*1000</f>
        <v>169.99999999998749</v>
      </c>
      <c r="I18" s="2">
        <f>('Kwh Reading'!R19-'Kwh Reading'!R18)*1000</f>
        <v>109.99999999999943</v>
      </c>
      <c r="J18" s="2">
        <f>('Kwh Reading'!S19-'Kwh Reading'!S18)*1000</f>
        <v>41.000000000011028</v>
      </c>
      <c r="K18" s="2">
        <f>('Kwh Reading'!I19-'Kwh Reading'!I18)*1000</f>
        <v>219.99999999999886</v>
      </c>
      <c r="L18" s="2">
        <f>('Kwh Reading'!B19-'Kwh Reading'!B18)*1000</f>
        <v>1080.0000000000409</v>
      </c>
      <c r="M18" s="2">
        <f>('Kwh Reading'!M19-'Kwh Reading'!M18)*1000</f>
        <v>650.00000000003411</v>
      </c>
      <c r="N18" s="2">
        <f>('Kwh Reading'!H19-'Kwh Reading'!H18)*1000</f>
        <v>779.99999999997272</v>
      </c>
      <c r="O18" s="2">
        <f>('Kwh Reading'!P19-'Kwh Reading'!P18)*1000</f>
        <v>720.00000000002728</v>
      </c>
      <c r="P18" s="2">
        <f>('Kwh Reading'!G19-'Kwh Reading'!G18)*1000</f>
        <v>759.99999999999091</v>
      </c>
      <c r="Q18" s="2">
        <f>('Kwh Reading'!Q19-'Kwh Reading'!Q18)*1000</f>
        <v>729.99999999996135</v>
      </c>
      <c r="R18" s="2">
        <f>('Kwh Reading'!N19-'Kwh Reading'!N18)*1000</f>
        <v>730.00000000001819</v>
      </c>
      <c r="S18" s="34">
        <f>'Kwh Reading'!E19-'Kwh Reading'!E18</f>
        <v>0</v>
      </c>
      <c r="T18" s="34">
        <f>'Kwh Reading'!D19-'Kwh Reading'!D18</f>
        <v>5098.4700000006706</v>
      </c>
      <c r="U18" s="27">
        <f>('Kwh Reading'!O19-'Kwh Reading'!O18)*1000</f>
        <v>229.99999999998977</v>
      </c>
      <c r="V18" s="16">
        <f t="shared" si="0"/>
        <v>5650.5299999986055</v>
      </c>
    </row>
    <row r="19" spans="1:22" x14ac:dyDescent="0.25">
      <c r="A19" s="3">
        <f>'Kwh Reading'!A19</f>
        <v>44181</v>
      </c>
      <c r="B19" s="26">
        <f>TOTAL!E17</f>
        <v>21750.000000000451</v>
      </c>
      <c r="C19" s="4">
        <f>('Kwh Reading'!T20-'Kwh Reading'!T19)*1000</f>
        <v>500</v>
      </c>
      <c r="D19" s="2">
        <f>('Kwh Reading'!F20-'Kwh Reading'!F19)*1000000</f>
        <v>4599.9999999999372</v>
      </c>
      <c r="E19" s="2">
        <f>('Kwh Reading'!C20-'Kwh Reading'!C19)*1000</f>
        <v>270.00000000001023</v>
      </c>
      <c r="F19" s="2">
        <f>('Kwh Reading'!J20-'Kwh Reading'!J19)*1000</f>
        <v>250</v>
      </c>
      <c r="G19" s="2">
        <f>('Kwh Reading'!K20-'Kwh Reading'!K19)*1000</f>
        <v>340.00000000003183</v>
      </c>
      <c r="H19" s="2">
        <f>('Kwh Reading'!L20-'Kwh Reading'!L19)*1000</f>
        <v>230.00000000001819</v>
      </c>
      <c r="I19" s="2">
        <f>('Kwh Reading'!R20-'Kwh Reading'!R19)*1000</f>
        <v>170.00000000000171</v>
      </c>
      <c r="J19" s="2">
        <f>('Kwh Reading'!S20-'Kwh Reading'!S19)*1000</f>
        <v>112.99999999999955</v>
      </c>
      <c r="K19" s="2">
        <f>('Kwh Reading'!I20-'Kwh Reading'!I19)*1000</f>
        <v>239.99999999998067</v>
      </c>
      <c r="L19" s="2">
        <f>('Kwh Reading'!B20-'Kwh Reading'!B19)*1000</f>
        <v>1179.99999999995</v>
      </c>
      <c r="M19" s="2">
        <f>('Kwh Reading'!M20-'Kwh Reading'!M19)*1000</f>
        <v>699.99999999998863</v>
      </c>
      <c r="N19" s="2">
        <f>('Kwh Reading'!H20-'Kwh Reading'!H19)*1000</f>
        <v>810.00000000000227</v>
      </c>
      <c r="O19" s="2">
        <f>('Kwh Reading'!P20-'Kwh Reading'!P19)*1000</f>
        <v>889.99999999998636</v>
      </c>
      <c r="P19" s="2">
        <f>('Kwh Reading'!G20-'Kwh Reading'!G19)*1000</f>
        <v>759.99999999999091</v>
      </c>
      <c r="Q19" s="2">
        <f>('Kwh Reading'!Q20-'Kwh Reading'!Q19)*1000</f>
        <v>720.00000000002728</v>
      </c>
      <c r="R19" s="2">
        <f>('Kwh Reading'!N20-'Kwh Reading'!N19)*1000</f>
        <v>800.00000000001137</v>
      </c>
      <c r="S19" s="34">
        <f>'Kwh Reading'!E20-'Kwh Reading'!E19</f>
        <v>0</v>
      </c>
      <c r="T19" s="34">
        <f>'Kwh Reading'!D20-'Kwh Reading'!D19</f>
        <v>5308.8499999996275</v>
      </c>
      <c r="U19" s="27">
        <f>('Kwh Reading'!O20-'Kwh Reading'!O19)*1000</f>
        <v>240.00000000000909</v>
      </c>
      <c r="V19" s="16">
        <f t="shared" si="0"/>
        <v>3628.1500000008818</v>
      </c>
    </row>
    <row r="20" spans="1:22" x14ac:dyDescent="0.25">
      <c r="A20" s="3">
        <f>'Kwh Reading'!A20</f>
        <v>44182</v>
      </c>
      <c r="B20" s="26">
        <f>TOTAL!E18</f>
        <v>20270.000000000211</v>
      </c>
      <c r="C20" s="4">
        <f>('Kwh Reading'!T21-'Kwh Reading'!T20)*1000</f>
        <v>519.99999999998181</v>
      </c>
      <c r="D20" s="2">
        <f>('Kwh Reading'!F21-'Kwh Reading'!F20)*1000000</f>
        <v>1200.0000000000898</v>
      </c>
      <c r="E20" s="2">
        <f>('Kwh Reading'!C21-'Kwh Reading'!C20)*1000</f>
        <v>240.00000000000909</v>
      </c>
      <c r="F20" s="2">
        <f>('Kwh Reading'!J21-'Kwh Reading'!J20)*1000</f>
        <v>180.00000000000682</v>
      </c>
      <c r="G20" s="2">
        <f>('Kwh Reading'!K21-'Kwh Reading'!K20)*1000</f>
        <v>289.99999999996362</v>
      </c>
      <c r="H20" s="2">
        <f>('Kwh Reading'!L21-'Kwh Reading'!L20)*1000</f>
        <v>229.99999999998977</v>
      </c>
      <c r="I20" s="2">
        <f>('Kwh Reading'!R21-'Kwh Reading'!R20)*1000</f>
        <v>100.00000000000853</v>
      </c>
      <c r="J20" s="2">
        <f>('Kwh Reading'!S21-'Kwh Reading'!S20)*1000</f>
        <v>153.99999999999636</v>
      </c>
      <c r="K20" s="2">
        <f>('Kwh Reading'!I21-'Kwh Reading'!I20)*1000</f>
        <v>219.99999999999886</v>
      </c>
      <c r="L20" s="2">
        <f>('Kwh Reading'!B21-'Kwh Reading'!B20)*1000</f>
        <v>1100.0000000000227</v>
      </c>
      <c r="M20" s="2">
        <f>('Kwh Reading'!M21-'Kwh Reading'!M20)*1000</f>
        <v>620.00000000000455</v>
      </c>
      <c r="N20" s="2">
        <f>('Kwh Reading'!H21-'Kwh Reading'!H20)*1000</f>
        <v>670.00000000001592</v>
      </c>
      <c r="O20" s="2">
        <f>('Kwh Reading'!P21-'Kwh Reading'!P20)*1000</f>
        <v>710.00000000003638</v>
      </c>
      <c r="P20" s="2">
        <f>('Kwh Reading'!G21-'Kwh Reading'!G20)*1000</f>
        <v>740.00000000000909</v>
      </c>
      <c r="Q20" s="2">
        <f>('Kwh Reading'!Q21-'Kwh Reading'!Q20)*1000</f>
        <v>639.99999999998636</v>
      </c>
      <c r="R20" s="2">
        <f>('Kwh Reading'!N21-'Kwh Reading'!N20)*1000</f>
        <v>669.99999999995907</v>
      </c>
      <c r="S20" s="34">
        <f>'Kwh Reading'!E21-'Kwh Reading'!E20</f>
        <v>0</v>
      </c>
      <c r="T20" s="34">
        <f>'Kwh Reading'!D21-'Kwh Reading'!D20</f>
        <v>4606</v>
      </c>
      <c r="U20" s="27">
        <f>('Kwh Reading'!O21-'Kwh Reading'!O20)*1000</f>
        <v>209.99999999999375</v>
      </c>
      <c r="V20" s="16">
        <f t="shared" si="0"/>
        <v>7170.0000000001382</v>
      </c>
    </row>
    <row r="21" spans="1:22" ht="16.5" customHeight="1" x14ac:dyDescent="0.25">
      <c r="A21" s="3">
        <f>'Kwh Reading'!A21</f>
        <v>44183</v>
      </c>
      <c r="B21" s="26">
        <f>TOTAL!E19</f>
        <v>21849.99999999968</v>
      </c>
      <c r="C21" s="4">
        <f>('Kwh Reading'!T22-'Kwh Reading'!T21)*1000</f>
        <v>510.00000000004775</v>
      </c>
      <c r="D21" s="2">
        <f>('Kwh Reading'!F22-'Kwh Reading'!F21)*1000000</f>
        <v>1500.0000000000568</v>
      </c>
      <c r="E21" s="2">
        <f>('Kwh Reading'!C22-'Kwh Reading'!C21)*1000</f>
        <v>269.99999999998181</v>
      </c>
      <c r="F21" s="2">
        <f>('Kwh Reading'!J22-'Kwh Reading'!J21)*1000</f>
        <v>69.999999999993179</v>
      </c>
      <c r="G21" s="2">
        <f>('Kwh Reading'!K22-'Kwh Reading'!K21)*1000</f>
        <v>280.00000000002956</v>
      </c>
      <c r="H21" s="2">
        <f>('Kwh Reading'!L22-'Kwh Reading'!L21)*1000</f>
        <v>219.99999999999886</v>
      </c>
      <c r="I21" s="2">
        <f>('Kwh Reading'!R22-'Kwh Reading'!R21)*1000</f>
        <v>109.99999999999943</v>
      </c>
      <c r="J21" s="2">
        <f>('Kwh Reading'!S22-'Kwh Reading'!S21)*1000</f>
        <v>138.99999999999579</v>
      </c>
      <c r="K21" s="2">
        <f>('Kwh Reading'!I22-'Kwh Reading'!I21)*1000</f>
        <v>230.00000000001819</v>
      </c>
      <c r="L21" s="2">
        <f>('Kwh Reading'!B22-'Kwh Reading'!B21)*1000</f>
        <v>1180.0000000000637</v>
      </c>
      <c r="M21" s="2">
        <f>('Kwh Reading'!M22-'Kwh Reading'!M21)*1000</f>
        <v>779.99999999997272</v>
      </c>
      <c r="N21" s="2">
        <f>('Kwh Reading'!H22-'Kwh Reading'!H21)*1000</f>
        <v>879.99999999999545</v>
      </c>
      <c r="O21" s="2">
        <f>('Kwh Reading'!P22-'Kwh Reading'!P21)*1000</f>
        <v>750</v>
      </c>
      <c r="P21" s="2">
        <f>('Kwh Reading'!G22-'Kwh Reading'!G21)*1000</f>
        <v>870.00000000000455</v>
      </c>
      <c r="Q21" s="2">
        <f>('Kwh Reading'!Q22-'Kwh Reading'!Q21)*1000</f>
        <v>720.00000000002728</v>
      </c>
      <c r="R21" s="2">
        <f>('Kwh Reading'!N22-'Kwh Reading'!N21)*1000</f>
        <v>759.99999999999091</v>
      </c>
      <c r="S21" s="34">
        <f>'Kwh Reading'!E22-'Kwh Reading'!E21</f>
        <v>0</v>
      </c>
      <c r="T21" s="34">
        <f>'Kwh Reading'!D22-'Kwh Reading'!D21</f>
        <v>5498</v>
      </c>
      <c r="U21" s="27">
        <f>('Kwh Reading'!O22-'Kwh Reading'!O21)*1000</f>
        <v>200.00000000000284</v>
      </c>
      <c r="V21" s="16">
        <f t="shared" si="0"/>
        <v>6882.9999999994998</v>
      </c>
    </row>
    <row r="22" spans="1:22" x14ac:dyDescent="0.25">
      <c r="A22" s="3">
        <f>'Kwh Reading'!A22</f>
        <v>44184</v>
      </c>
      <c r="B22" s="26">
        <f>TOTAL!E20</f>
        <v>23379.999999999884</v>
      </c>
      <c r="C22" s="4">
        <f>('Kwh Reading'!T23-'Kwh Reading'!T22)*1000</f>
        <v>549.99999999995453</v>
      </c>
      <c r="D22" s="2">
        <f>('Kwh Reading'!F23-'Kwh Reading'!F22)*1000000</f>
        <v>2499.9999999999468</v>
      </c>
      <c r="E22" s="2">
        <f>('Kwh Reading'!C23-'Kwh Reading'!C22)*1000</f>
        <v>260.00000000001933</v>
      </c>
      <c r="F22" s="2">
        <f>('Kwh Reading'!J23-'Kwh Reading'!J22)*1000</f>
        <v>319.99999999999318</v>
      </c>
      <c r="G22" s="2">
        <f>('Kwh Reading'!K23-'Kwh Reading'!K22)*1000</f>
        <v>339.99999999997499</v>
      </c>
      <c r="H22" s="2">
        <f>('Kwh Reading'!L23-'Kwh Reading'!L22)*1000</f>
        <v>240.00000000000909</v>
      </c>
      <c r="I22" s="2">
        <f>('Kwh Reading'!R23-'Kwh Reading'!R22)*1000</f>
        <v>109.99999999999943</v>
      </c>
      <c r="J22" s="2">
        <f>('Kwh Reading'!S23-'Kwh Reading'!S22)*1000</f>
        <v>139.00000000001</v>
      </c>
      <c r="K22" s="2">
        <f>('Kwh Reading'!I23-'Kwh Reading'!I22)*1000</f>
        <v>239.99999999998067</v>
      </c>
      <c r="L22" s="2">
        <f>('Kwh Reading'!B23-'Kwh Reading'!B22)*1000</f>
        <v>1209.9999999999227</v>
      </c>
      <c r="M22" s="2">
        <f>('Kwh Reading'!M23-'Kwh Reading'!M22)*1000</f>
        <v>819.99999999999318</v>
      </c>
      <c r="N22" s="2">
        <f>('Kwh Reading'!H23-'Kwh Reading'!H22)*1000</f>
        <v>910.00000000002501</v>
      </c>
      <c r="O22" s="2">
        <f>('Kwh Reading'!P23-'Kwh Reading'!P22)*1000</f>
        <v>869.9999999999477</v>
      </c>
      <c r="P22" s="2">
        <f>('Kwh Reading'!G23-'Kwh Reading'!G22)*1000</f>
        <v>970.00000000002728</v>
      </c>
      <c r="Q22" s="2">
        <f>('Kwh Reading'!Q23-'Kwh Reading'!Q22)*1000</f>
        <v>789.99999999996362</v>
      </c>
      <c r="R22" s="2">
        <f>('Kwh Reading'!N23-'Kwh Reading'!N22)*1000</f>
        <v>780.00000000002956</v>
      </c>
      <c r="S22" s="34">
        <f>'Kwh Reading'!E23-'Kwh Reading'!E22</f>
        <v>0</v>
      </c>
      <c r="T22" s="34">
        <f>'Kwh Reading'!D23-'Kwh Reading'!D22</f>
        <v>6072.929999999702</v>
      </c>
      <c r="U22" s="27">
        <f>('Kwh Reading'!O23-'Kwh Reading'!O22)*1000</f>
        <v>250</v>
      </c>
      <c r="V22" s="16">
        <f t="shared" si="0"/>
        <v>6008.0700000003853</v>
      </c>
    </row>
    <row r="23" spans="1:22" x14ac:dyDescent="0.25">
      <c r="A23" s="3">
        <f>'Kwh Reading'!A23</f>
        <v>44185</v>
      </c>
      <c r="B23" s="26">
        <f>TOTAL!E21</f>
        <v>20300.000000000637</v>
      </c>
      <c r="C23" s="4">
        <f>('Kwh Reading'!T24-'Kwh Reading'!T23)*1000</f>
        <v>340.00000000003183</v>
      </c>
      <c r="D23" s="2">
        <f>('Kwh Reading'!F24-'Kwh Reading'!F23)*1000000</f>
        <v>2499.9999999999468</v>
      </c>
      <c r="E23" s="2">
        <f>('Kwh Reading'!C24-'Kwh Reading'!C23)*1000</f>
        <v>279.99999999997272</v>
      </c>
      <c r="F23" s="2">
        <f>('Kwh Reading'!J24-'Kwh Reading'!J23)*1000</f>
        <v>180.00000000000682</v>
      </c>
      <c r="G23" s="2">
        <f>('Kwh Reading'!K24-'Kwh Reading'!K23)*1000</f>
        <v>360.00000000001364</v>
      </c>
      <c r="H23" s="2">
        <f>('Kwh Reading'!L24-'Kwh Reading'!L23)*1000</f>
        <v>229.99999999998977</v>
      </c>
      <c r="I23" s="2">
        <f>('Kwh Reading'!R24-'Kwh Reading'!R23)*1000</f>
        <v>119.99999999999034</v>
      </c>
      <c r="J23" s="2">
        <f>('Kwh Reading'!S24-'Kwh Reading'!S23)*1000</f>
        <v>142.99999999998647</v>
      </c>
      <c r="K23" s="2">
        <f>('Kwh Reading'!I24-'Kwh Reading'!I23)*1000</f>
        <v>210.00000000000796</v>
      </c>
      <c r="L23" s="2">
        <f>('Kwh Reading'!B24-'Kwh Reading'!B23)*1000</f>
        <v>1050.0000000000682</v>
      </c>
      <c r="M23" s="2">
        <f>('Kwh Reading'!M24-'Kwh Reading'!M23)*1000</f>
        <v>610.00000000001364</v>
      </c>
      <c r="N23" s="2">
        <f>('Kwh Reading'!H24-'Kwh Reading'!H23)*1000</f>
        <v>629.99999999999545</v>
      </c>
      <c r="O23" s="2">
        <f>('Kwh Reading'!P24-'Kwh Reading'!P23)*1000</f>
        <v>710.00000000003638</v>
      </c>
      <c r="P23" s="2">
        <f>('Kwh Reading'!G24-'Kwh Reading'!G23)*1000</f>
        <v>730.00000000001819</v>
      </c>
      <c r="Q23" s="2">
        <f>('Kwh Reading'!Q24-'Kwh Reading'!Q23)*1000</f>
        <v>650.00000000003411</v>
      </c>
      <c r="R23" s="2">
        <f>('Kwh Reading'!N24-'Kwh Reading'!N23)*1000</f>
        <v>599.99999999996589</v>
      </c>
      <c r="S23" s="34">
        <f>'Kwh Reading'!E24-'Kwh Reading'!E23</f>
        <v>0</v>
      </c>
      <c r="T23" s="34">
        <f>'Kwh Reading'!D24-'Kwh Reading'!D23</f>
        <v>4615.6000000005588</v>
      </c>
      <c r="U23" s="27">
        <f>('Kwh Reading'!O24-'Kwh Reading'!O23)*1000</f>
        <v>250</v>
      </c>
      <c r="V23" s="16">
        <f t="shared" si="0"/>
        <v>6091.4</v>
      </c>
    </row>
    <row r="24" spans="1:22" x14ac:dyDescent="0.25">
      <c r="A24" s="3">
        <f>'Kwh Reading'!A24</f>
        <v>44186</v>
      </c>
      <c r="B24" s="26">
        <f>TOTAL!E22</f>
        <v>18559.999999999491</v>
      </c>
      <c r="C24" s="4">
        <f>('Kwh Reading'!T25-'Kwh Reading'!T24)*1000</f>
        <v>529.99999999997272</v>
      </c>
      <c r="D24" s="2">
        <f>('Kwh Reading'!F25-'Kwh Reading'!F24)*1000000</f>
        <v>2499.9999999999468</v>
      </c>
      <c r="E24" s="2">
        <f>('Kwh Reading'!C25-'Kwh Reading'!C24)*1000</f>
        <v>290.00000000002046</v>
      </c>
      <c r="F24" s="2">
        <f>('Kwh Reading'!J25-'Kwh Reading'!J24)*1000</f>
        <v>490.00000000000909</v>
      </c>
      <c r="G24" s="2">
        <f>('Kwh Reading'!K25-'Kwh Reading'!K24)*1000</f>
        <v>400.00000000003411</v>
      </c>
      <c r="H24" s="2">
        <f>('Kwh Reading'!L25-'Kwh Reading'!L24)*1000</f>
        <v>340.00000000000341</v>
      </c>
      <c r="I24" s="2">
        <f>('Kwh Reading'!R25-'Kwh Reading'!R24)*1000</f>
        <v>210.00000000000796</v>
      </c>
      <c r="J24" s="2">
        <f>('Kwh Reading'!S25-'Kwh Reading'!S24)*1000</f>
        <v>135.00000000000512</v>
      </c>
      <c r="K24" s="2">
        <f>('Kwh Reading'!I25-'Kwh Reading'!I24)*1000</f>
        <v>229.99999999998977</v>
      </c>
      <c r="L24" s="2">
        <f>('Kwh Reading'!B25-'Kwh Reading'!B24)*1000</f>
        <v>949.99999999993179</v>
      </c>
      <c r="M24" s="2">
        <f>('Kwh Reading'!M25-'Kwh Reading'!M24)*1000</f>
        <v>560.00000000000227</v>
      </c>
      <c r="N24" s="2">
        <f>('Kwh Reading'!H25-'Kwh Reading'!H24)*1000</f>
        <v>539.99999999996362</v>
      </c>
      <c r="O24" s="2">
        <f>('Kwh Reading'!P25-'Kwh Reading'!P24)*1000</f>
        <v>599.99999999996589</v>
      </c>
      <c r="P24" s="2">
        <f>('Kwh Reading'!G25-'Kwh Reading'!G24)*1000</f>
        <v>610.00000000001364</v>
      </c>
      <c r="Q24" s="2">
        <f>('Kwh Reading'!Q25-'Kwh Reading'!Q24)*1000</f>
        <v>599.99999999996589</v>
      </c>
      <c r="R24" s="2">
        <f>('Kwh Reading'!N25-'Kwh Reading'!N24)*1000</f>
        <v>570.00000000005002</v>
      </c>
      <c r="S24" s="2">
        <f>'Kwh Reading'!E25-'Kwh Reading'!E24</f>
        <v>0</v>
      </c>
      <c r="T24" s="2">
        <f>'Kwh Reading'!D25-'Kwh Reading'!D24</f>
        <v>4230.2299999995157</v>
      </c>
      <c r="U24" s="27">
        <f>('Kwh Reading'!O25-'Kwh Reading'!O24)*1000</f>
        <v>239.99999999999488</v>
      </c>
      <c r="V24" s="16">
        <f t="shared" si="0"/>
        <v>4534.7700000000968</v>
      </c>
    </row>
    <row r="25" spans="1:22" x14ac:dyDescent="0.25">
      <c r="A25" s="3">
        <f>'Kwh Reading'!A25</f>
        <v>44187</v>
      </c>
      <c r="B25" s="26">
        <f>TOTAL!E23</f>
        <v>23550.000000000182</v>
      </c>
      <c r="C25" s="4">
        <f>('Kwh Reading'!T26-'Kwh Reading'!T25)*1000</f>
        <v>560.00000000000227</v>
      </c>
      <c r="D25" s="2">
        <f>('Kwh Reading'!F26-'Kwh Reading'!F25)*1000000</f>
        <v>2400.0000000001796</v>
      </c>
      <c r="E25" s="2">
        <f>('Kwh Reading'!C26-'Kwh Reading'!C25)*1000</f>
        <v>299.99999999998295</v>
      </c>
      <c r="F25" s="2">
        <f>('Kwh Reading'!J26-'Kwh Reading'!J25)*1000</f>
        <v>240.00000000000909</v>
      </c>
      <c r="G25" s="2">
        <f>('Kwh Reading'!K26-'Kwh Reading'!K25)*1000</f>
        <v>359.9999999999568</v>
      </c>
      <c r="H25" s="2">
        <f>('Kwh Reading'!L26-'Kwh Reading'!L25)*1000</f>
        <v>280.00000000000114</v>
      </c>
      <c r="I25" s="2">
        <f>('Kwh Reading'!R26-'Kwh Reading'!R25)*1000</f>
        <v>209.99999999999375</v>
      </c>
      <c r="J25" s="2">
        <f>('Kwh Reading'!S26-'Kwh Reading'!S25)*1000</f>
        <v>141.00000000000534</v>
      </c>
      <c r="K25" s="2">
        <f>('Kwh Reading'!I26-'Kwh Reading'!I25)*1000</f>
        <v>170.00000000001592</v>
      </c>
      <c r="L25" s="2">
        <f>('Kwh Reading'!B26-'Kwh Reading'!B25)*1000</f>
        <v>1050.0000000000682</v>
      </c>
      <c r="M25" s="2">
        <f>('Kwh Reading'!M26-'Kwh Reading'!M25)*1000</f>
        <v>670.00000000001592</v>
      </c>
      <c r="N25" s="2">
        <f>('Kwh Reading'!H26-'Kwh Reading'!H25)*1000</f>
        <v>630.0000000000523</v>
      </c>
      <c r="O25" s="2">
        <f>('Kwh Reading'!P26-'Kwh Reading'!P25)*1000</f>
        <v>700.00000000004547</v>
      </c>
      <c r="P25" s="2">
        <f>('Kwh Reading'!G26-'Kwh Reading'!G25)*1000</f>
        <v>699.99999999993179</v>
      </c>
      <c r="Q25" s="2">
        <f>('Kwh Reading'!Q26-'Kwh Reading'!Q25)*1000</f>
        <v>590.00000000003183</v>
      </c>
      <c r="R25" s="2">
        <f>('Kwh Reading'!N26-'Kwh Reading'!N25)*1000</f>
        <v>729.99999999996135</v>
      </c>
      <c r="S25" s="2">
        <f>'Kwh Reading'!E26-'Kwh Reading'!E25</f>
        <v>0</v>
      </c>
      <c r="T25" s="2">
        <f>'Kwh Reading'!D26-'Kwh Reading'!D25</f>
        <v>4175.7700000004843</v>
      </c>
      <c r="U25" s="27">
        <f>('Kwh Reading'!O26-'Kwh Reading'!O25)*1000</f>
        <v>250</v>
      </c>
      <c r="V25" s="16">
        <f t="shared" si="0"/>
        <v>9393.2299999994411</v>
      </c>
    </row>
    <row r="26" spans="1:22" x14ac:dyDescent="0.25">
      <c r="A26" s="3">
        <f>'Kwh Reading'!A26</f>
        <v>44188</v>
      </c>
      <c r="B26" s="26">
        <f>TOTAL!E24</f>
        <v>15139.999999999418</v>
      </c>
      <c r="C26" s="4">
        <f>('Kwh Reading'!T27-'Kwh Reading'!T26)*1000</f>
        <v>540.00000000002046</v>
      </c>
      <c r="D26" s="2">
        <f>('Kwh Reading'!F27-'Kwh Reading'!F26)*1000000</f>
        <v>2499.9999999999468</v>
      </c>
      <c r="E26" s="2">
        <f>('Kwh Reading'!C27-'Kwh Reading'!C26)*1000</f>
        <v>260.00000000001933</v>
      </c>
      <c r="F26" s="2">
        <f>('Kwh Reading'!J27-'Kwh Reading'!J26)*1000</f>
        <v>280.00000000002956</v>
      </c>
      <c r="G26" s="2">
        <f>('Kwh Reading'!K27-'Kwh Reading'!K26)*1000</f>
        <v>430.00000000000682</v>
      </c>
      <c r="H26" s="2">
        <f>('Kwh Reading'!L27-'Kwh Reading'!L26)*1000</f>
        <v>289.99999999999204</v>
      </c>
      <c r="I26" s="2">
        <f>('Kwh Reading'!R27-'Kwh Reading'!R26)*1000</f>
        <v>170.00000000000171</v>
      </c>
      <c r="J26" s="2">
        <f>('Kwh Reading'!S27-'Kwh Reading'!S26)*1000</f>
        <v>128.99999999999068</v>
      </c>
      <c r="K26" s="2">
        <f>('Kwh Reading'!I27-'Kwh Reading'!I26)*1000</f>
        <v>199.99999999998863</v>
      </c>
      <c r="L26" s="2">
        <f>('Kwh Reading'!B27-'Kwh Reading'!B26)*1000</f>
        <v>1090.0000000000318</v>
      </c>
      <c r="M26" s="2">
        <f>('Kwh Reading'!M27-'Kwh Reading'!M26)*1000</f>
        <v>620.00000000000455</v>
      </c>
      <c r="N26" s="2">
        <f>('Kwh Reading'!H27-'Kwh Reading'!H26)*1000</f>
        <v>649.99999999997726</v>
      </c>
      <c r="O26" s="2">
        <f>('Kwh Reading'!P27-'Kwh Reading'!P26)*1000</f>
        <v>719.99999999997044</v>
      </c>
      <c r="P26" s="2">
        <f>('Kwh Reading'!G27-'Kwh Reading'!G26)*1000</f>
        <v>629.99999999999545</v>
      </c>
      <c r="Q26" s="2">
        <f>('Kwh Reading'!Q27-'Kwh Reading'!Q26)*1000</f>
        <v>560.00000000000227</v>
      </c>
      <c r="R26" s="2">
        <f>('Kwh Reading'!N27-'Kwh Reading'!N26)*1000</f>
        <v>560.00000000000227</v>
      </c>
      <c r="S26" s="2">
        <f>'Kwh Reading'!E27-'Kwh Reading'!E26</f>
        <v>0</v>
      </c>
      <c r="T26" s="2">
        <f>'Kwh Reading'!D27-'Kwh Reading'!D26</f>
        <v>3914</v>
      </c>
      <c r="U26" s="27">
        <f>('Kwh Reading'!O27-'Kwh Reading'!O26)*1000</f>
        <v>240.00000000000909</v>
      </c>
      <c r="V26" s="16">
        <f t="shared" si="0"/>
        <v>1356.9999999994307</v>
      </c>
    </row>
    <row r="27" spans="1:22" x14ac:dyDescent="0.25">
      <c r="A27" s="3">
        <f>'Kwh Reading'!A27</f>
        <v>44189</v>
      </c>
      <c r="B27" s="26">
        <f>TOTAL!E25</f>
        <v>20650.000000000091</v>
      </c>
      <c r="C27" s="4">
        <f>('Kwh Reading'!T28-'Kwh Reading'!T27)*1000</f>
        <v>689.99999999999773</v>
      </c>
      <c r="D27" s="2">
        <f>('Kwh Reading'!F28-'Kwh Reading'!F27)*1000000</f>
        <v>2399.9999999999577</v>
      </c>
      <c r="E27" s="2">
        <f>('Kwh Reading'!C28-'Kwh Reading'!C27)*1000</f>
        <v>259.99999999999091</v>
      </c>
      <c r="F27" s="2">
        <f>('Kwh Reading'!J28-'Kwh Reading'!J27)*1000</f>
        <v>250</v>
      </c>
      <c r="G27" s="2">
        <f>('Kwh Reading'!K28-'Kwh Reading'!K27)*1000</f>
        <v>410.00000000002501</v>
      </c>
      <c r="H27" s="2">
        <f>('Kwh Reading'!L28-'Kwh Reading'!L27)*1000</f>
        <v>280.00000000000114</v>
      </c>
      <c r="I27" s="2">
        <f>('Kwh Reading'!R28-'Kwh Reading'!R27)*1000</f>
        <v>109.99999999999943</v>
      </c>
      <c r="J27" s="2">
        <f>('Kwh Reading'!S28-'Kwh Reading'!S27)*1000</f>
        <v>136.00000000000989</v>
      </c>
      <c r="K27" s="2">
        <f>('Kwh Reading'!I28-'Kwh Reading'!I27)*1000</f>
        <v>230.00000000001819</v>
      </c>
      <c r="L27" s="2">
        <f>('Kwh Reading'!B28-'Kwh Reading'!B27)*1000</f>
        <v>1149.9999999999773</v>
      </c>
      <c r="M27" s="2">
        <f>('Kwh Reading'!M28-'Kwh Reading'!M27)*1000</f>
        <v>629.99999999999545</v>
      </c>
      <c r="N27" s="2">
        <f>('Kwh Reading'!H28-'Kwh Reading'!H27)*1000</f>
        <v>719.99999999997044</v>
      </c>
      <c r="O27" s="2">
        <f>('Kwh Reading'!P28-'Kwh Reading'!P27)*1000</f>
        <v>850.00000000002274</v>
      </c>
      <c r="P27" s="2">
        <f>('Kwh Reading'!G28-'Kwh Reading'!G27)*1000</f>
        <v>680.00000000006366</v>
      </c>
      <c r="Q27" s="2">
        <f>('Kwh Reading'!Q28-'Kwh Reading'!Q27)*1000</f>
        <v>629.99999999999545</v>
      </c>
      <c r="R27" s="2">
        <f>('Kwh Reading'!N28-'Kwh Reading'!N27)*1000</f>
        <v>699.99999999998863</v>
      </c>
      <c r="S27" s="2">
        <v>0</v>
      </c>
      <c r="T27" s="2">
        <f>'Kwh Reading'!D28-'Kwh Reading'!D27</f>
        <v>4977.2999999998137</v>
      </c>
      <c r="U27" s="27">
        <f>('Kwh Reading'!O28-'Kwh Reading'!O27)*1000</f>
        <v>219.99999999999886</v>
      </c>
      <c r="V27" s="16">
        <f t="shared" si="0"/>
        <v>5326.7000000002645</v>
      </c>
    </row>
    <row r="28" spans="1:22" x14ac:dyDescent="0.25">
      <c r="A28" s="3">
        <f>'Kwh Reading'!A28</f>
        <v>44190</v>
      </c>
      <c r="B28" s="26">
        <f>TOTAL!E26</f>
        <v>21620.000000000116</v>
      </c>
      <c r="C28" s="4">
        <f>('Kwh Reading'!T29-'Kwh Reading'!T28)*1000</f>
        <v>550.00000000001137</v>
      </c>
      <c r="D28" s="2">
        <f>('Kwh Reading'!F29-'Kwh Reading'!F28)*1000000</f>
        <v>2499.9999999999468</v>
      </c>
      <c r="E28" s="2">
        <f>('Kwh Reading'!C29-'Kwh Reading'!C28)*1000</f>
        <v>310.00000000000227</v>
      </c>
      <c r="F28" s="2">
        <f>('Kwh Reading'!J29-'Kwh Reading'!J28)*1000</f>
        <v>329.99999999998408</v>
      </c>
      <c r="G28" s="2">
        <f>('Kwh Reading'!K29-'Kwh Reading'!K28)*1000</f>
        <v>379.99999999999545</v>
      </c>
      <c r="H28" s="2">
        <f>('Kwh Reading'!L29-'Kwh Reading'!L28)*1000</f>
        <v>270.00000000001023</v>
      </c>
      <c r="I28" s="2">
        <f>('Kwh Reading'!R29-'Kwh Reading'!R28)*1000</f>
        <v>219.99999999999886</v>
      </c>
      <c r="J28" s="2">
        <f>('Kwh Reading'!S29-'Kwh Reading'!S28)*1000</f>
        <v>140.00000000000057</v>
      </c>
      <c r="K28" s="2">
        <f>('Kwh Reading'!I29-'Kwh Reading'!I28)*1000</f>
        <v>280.00000000000114</v>
      </c>
      <c r="L28" s="2">
        <f>('Kwh Reading'!B29-'Kwh Reading'!B28)*1000</f>
        <v>1339.9999999999181</v>
      </c>
      <c r="M28" s="2">
        <f>('Kwh Reading'!M29-'Kwh Reading'!M28)*1000</f>
        <v>779.99999999997272</v>
      </c>
      <c r="N28" s="2">
        <f>('Kwh Reading'!H29-'Kwh Reading'!H28)*1000</f>
        <v>900.00000000003411</v>
      </c>
      <c r="O28" s="2">
        <f>('Kwh Reading'!P29-'Kwh Reading'!P28)*1000</f>
        <v>959.99999999997954</v>
      </c>
      <c r="P28" s="2">
        <f>('Kwh Reading'!G29-'Kwh Reading'!G28)*1000</f>
        <v>860.00000000001364</v>
      </c>
      <c r="Q28" s="2">
        <f>('Kwh Reading'!Q29-'Kwh Reading'!Q28)*1000</f>
        <v>829.99999999998408</v>
      </c>
      <c r="R28" s="2">
        <f>('Kwh Reading'!N29-'Kwh Reading'!N28)*1000</f>
        <v>880.0000000000523</v>
      </c>
      <c r="S28" s="2">
        <f>'Kwh Reading'!E29-'Kwh Reading'!E28</f>
        <v>3408.3899999996647</v>
      </c>
      <c r="T28" s="2">
        <f>'Kwh Reading'!D29-'Kwh Reading'!D28</f>
        <v>2757.8499999996275</v>
      </c>
      <c r="U28" s="27">
        <f>('Kwh Reading'!O29-'Kwh Reading'!O28)*1000</f>
        <v>239.99999999999488</v>
      </c>
      <c r="V28" s="16">
        <f t="shared" si="0"/>
        <v>3683.7600000009224</v>
      </c>
    </row>
    <row r="29" spans="1:22" x14ac:dyDescent="0.25">
      <c r="A29" s="3">
        <f>'Kwh Reading'!A29</f>
        <v>44191</v>
      </c>
      <c r="B29" s="26">
        <f>TOTAL!E27</f>
        <v>22789.999999999964</v>
      </c>
      <c r="C29" s="4">
        <f>('Kwh Reading'!T30-'Kwh Reading'!T29)*1000</f>
        <v>329.99999999998408</v>
      </c>
      <c r="D29" s="2">
        <f>('Kwh Reading'!F30-'Kwh Reading'!F29)*1000000</f>
        <v>2600.0000000001578</v>
      </c>
      <c r="E29" s="2">
        <f>('Kwh Reading'!C30-'Kwh Reading'!C29)*1000</f>
        <v>270.00000000001023</v>
      </c>
      <c r="F29" s="2">
        <f>('Kwh Reading'!J30-'Kwh Reading'!J29)*1000</f>
        <v>360.00000000001364</v>
      </c>
      <c r="G29" s="2">
        <f>('Kwh Reading'!K30-'Kwh Reading'!K29)*1000</f>
        <v>399.99999999997726</v>
      </c>
      <c r="H29" s="2">
        <f>('Kwh Reading'!L30-'Kwh Reading'!L29)*1000</f>
        <v>269.99999999998181</v>
      </c>
      <c r="I29" s="2">
        <f>('Kwh Reading'!R30-'Kwh Reading'!R29)*1000</f>
        <v>170.00000000000171</v>
      </c>
      <c r="J29" s="2">
        <f>('Kwh Reading'!S30-'Kwh Reading'!S29)*1000</f>
        <v>140.99999999999113</v>
      </c>
      <c r="K29" s="2">
        <f>('Kwh Reading'!I30-'Kwh Reading'!I29)*1000</f>
        <v>280.00000000000114</v>
      </c>
      <c r="L29" s="2">
        <f>('Kwh Reading'!B30-'Kwh Reading'!B29)*1000</f>
        <v>1200.0000000000455</v>
      </c>
      <c r="M29" s="2">
        <f>('Kwh Reading'!M30-'Kwh Reading'!M29)*1000</f>
        <v>780.00000000002956</v>
      </c>
      <c r="N29" s="2">
        <f>('Kwh Reading'!H30-'Kwh Reading'!H29)*1000</f>
        <v>849.99999999996589</v>
      </c>
      <c r="O29" s="2">
        <f>('Kwh Reading'!P30-'Kwh Reading'!P29)*1000</f>
        <v>840.00000000003183</v>
      </c>
      <c r="P29" s="2">
        <f>('Kwh Reading'!G30-'Kwh Reading'!G29)*1000</f>
        <v>889.99999999998636</v>
      </c>
      <c r="Q29" s="2">
        <f>('Kwh Reading'!Q30-'Kwh Reading'!Q29)*1000</f>
        <v>829.99999999998408</v>
      </c>
      <c r="R29" s="2">
        <f>('Kwh Reading'!N30-'Kwh Reading'!N29)*1000</f>
        <v>819.99999999999318</v>
      </c>
      <c r="S29" s="2">
        <f>'Kwh Reading'!E30-'Kwh Reading'!E29</f>
        <v>2995.1299999998882</v>
      </c>
      <c r="T29" s="2">
        <f>'Kwh Reading'!D30-'Kwh Reading'!D29</f>
        <v>2234.589999999851</v>
      </c>
      <c r="U29" s="27">
        <f>('Kwh Reading'!O30-'Kwh Reading'!O29)*1000</f>
        <v>250</v>
      </c>
      <c r="V29" s="16">
        <f t="shared" si="0"/>
        <v>6279.2800000000716</v>
      </c>
    </row>
    <row r="30" spans="1:22" x14ac:dyDescent="0.25">
      <c r="A30" s="3">
        <f>'Kwh Reading'!A30</f>
        <v>44192</v>
      </c>
      <c r="B30" s="26">
        <f>TOTAL!E28</f>
        <v>22569.999999999483</v>
      </c>
      <c r="C30" s="4">
        <f>('Kwh Reading'!T31-'Kwh Reading'!T30)*1000</f>
        <v>740.00000000000909</v>
      </c>
      <c r="D30" s="2">
        <f>('Kwh Reading'!F31-'Kwh Reading'!F30)*1000000</f>
        <v>2499.9999999999468</v>
      </c>
      <c r="E30" s="2">
        <f>('Kwh Reading'!C31-'Kwh Reading'!C30)*1000</f>
        <v>269.99999999998181</v>
      </c>
      <c r="F30" s="2">
        <f>('Kwh Reading'!J31-'Kwh Reading'!J30)*1000</f>
        <v>319.99999999999318</v>
      </c>
      <c r="G30" s="2">
        <f>('Kwh Reading'!K31-'Kwh Reading'!K30)*1000</f>
        <v>389.99999999998636</v>
      </c>
      <c r="H30" s="2">
        <f>('Kwh Reading'!L31-'Kwh Reading'!L30)*1000</f>
        <v>250</v>
      </c>
      <c r="I30" s="2">
        <f>('Kwh Reading'!R31-'Kwh Reading'!R30)*1000</f>
        <v>230.00000000000398</v>
      </c>
      <c r="J30" s="2">
        <f>('Kwh Reading'!S31-'Kwh Reading'!S30)*1000</f>
        <v>151.00000000001046</v>
      </c>
      <c r="K30" s="2">
        <f>('Kwh Reading'!I31-'Kwh Reading'!I30)*1000</f>
        <v>250</v>
      </c>
      <c r="L30" s="2">
        <f>('Kwh Reading'!B31-'Kwh Reading'!B30)*1000</f>
        <v>1129.9999999999955</v>
      </c>
      <c r="M30" s="2">
        <f>('Kwh Reading'!M31-'Kwh Reading'!M30)*1000</f>
        <v>779.99999999997272</v>
      </c>
      <c r="N30" s="2">
        <f>('Kwh Reading'!H31-'Kwh Reading'!H30)*1000</f>
        <v>760.00000000004775</v>
      </c>
      <c r="O30" s="2">
        <f>('Kwh Reading'!P31-'Kwh Reading'!P30)*1000</f>
        <v>869.9999999999477</v>
      </c>
      <c r="P30" s="2">
        <f>('Kwh Reading'!G31-'Kwh Reading'!G30)*1000</f>
        <v>919.99999999995907</v>
      </c>
      <c r="Q30" s="2">
        <f>('Kwh Reading'!Q31-'Kwh Reading'!Q30)*1000</f>
        <v>740.00000000000909</v>
      </c>
      <c r="R30" s="2">
        <f>('Kwh Reading'!N31-'Kwh Reading'!N30)*1000</f>
        <v>729.99999999996135</v>
      </c>
      <c r="S30" s="2">
        <f>'Kwh Reading'!E31-'Kwh Reading'!E30</f>
        <v>2604.3300000000745</v>
      </c>
      <c r="T30" s="2">
        <f>'Kwh Reading'!D31-'Kwh Reading'!D30</f>
        <v>2047.230000000447</v>
      </c>
      <c r="U30" s="27">
        <f>('Kwh Reading'!O31-'Kwh Reading'!O30)*1000</f>
        <v>239.99999999999488</v>
      </c>
      <c r="V30" s="16">
        <f t="shared" si="0"/>
        <v>6647.4399999991419</v>
      </c>
    </row>
    <row r="31" spans="1:22" x14ac:dyDescent="0.25">
      <c r="A31" s="3">
        <f>'Kwh Reading'!A31</f>
        <v>44193</v>
      </c>
      <c r="B31" s="26">
        <f>TOTAL!E29</f>
        <v>19190.000000000964</v>
      </c>
      <c r="C31" s="4">
        <f>('Kwh Reading'!T32-'Kwh Reading'!T31)*1000</f>
        <v>490.00000000000909</v>
      </c>
      <c r="D31" s="2">
        <f>('Kwh Reading'!F32-'Kwh Reading'!F31)*1000000</f>
        <v>2399.9999999999577</v>
      </c>
      <c r="E31" s="2">
        <f>('Kwh Reading'!C32-'Kwh Reading'!C31)*1000</f>
        <v>250</v>
      </c>
      <c r="F31" s="2">
        <f>('Kwh Reading'!J32-'Kwh Reading'!J31)*1000</f>
        <v>279.99999999997272</v>
      </c>
      <c r="G31" s="2">
        <f>('Kwh Reading'!K32-'Kwh Reading'!K31)*1000</f>
        <v>550.00000000001137</v>
      </c>
      <c r="H31" s="2">
        <f>('Kwh Reading'!L32-'Kwh Reading'!L31)*1000</f>
        <v>270.00000000001023</v>
      </c>
      <c r="I31" s="2">
        <f>('Kwh Reading'!R32-'Kwh Reading'!R31)*1000</f>
        <v>189.99999999999773</v>
      </c>
      <c r="J31" s="2">
        <f>('Kwh Reading'!S32-'Kwh Reading'!S31)*1000</f>
        <v>119.99999999999034</v>
      </c>
      <c r="K31" s="2">
        <f>('Kwh Reading'!I32-'Kwh Reading'!I31)*1000</f>
        <v>169.99999999998749</v>
      </c>
      <c r="L31" s="2">
        <f>('Kwh Reading'!B32-'Kwh Reading'!B31)*1000</f>
        <v>970.00000000002728</v>
      </c>
      <c r="M31" s="2">
        <f>('Kwh Reading'!M32-'Kwh Reading'!M31)*1000</f>
        <v>610.00000000001364</v>
      </c>
      <c r="N31" s="2">
        <f>('Kwh Reading'!H32-'Kwh Reading'!H31)*1000</f>
        <v>599.99999999996589</v>
      </c>
      <c r="O31" s="2">
        <f>('Kwh Reading'!P32-'Kwh Reading'!P31)*1000</f>
        <v>710.00000000003638</v>
      </c>
      <c r="P31" s="2">
        <f>('Kwh Reading'!G32-'Kwh Reading'!G31)*1000</f>
        <v>680.00000000006366</v>
      </c>
      <c r="Q31" s="2">
        <f>('Kwh Reading'!Q32-'Kwh Reading'!Q31)*1000</f>
        <v>550.00000000001137</v>
      </c>
      <c r="R31" s="2">
        <f>('Kwh Reading'!N32-'Kwh Reading'!N31)*1000</f>
        <v>540.00000000002046</v>
      </c>
      <c r="S31" s="2">
        <f>'Kwh Reading'!E32-'Kwh Reading'!E31</f>
        <v>2510.8600000003353</v>
      </c>
      <c r="T31" s="2">
        <f>'Kwh Reading'!D32-'Kwh Reading'!D31</f>
        <v>1691.4199999999255</v>
      </c>
      <c r="U31" s="27">
        <f>('Kwh Reading'!O32-'Kwh Reading'!O31)*1000</f>
        <v>250</v>
      </c>
      <c r="V31" s="16">
        <f t="shared" si="0"/>
        <v>5357.7200000006305</v>
      </c>
    </row>
    <row r="32" spans="1:22" x14ac:dyDescent="0.25">
      <c r="A32" s="3">
        <f>'Kwh Reading'!A32</f>
        <v>44194</v>
      </c>
      <c r="B32" s="26">
        <f>TOTAL!E30</f>
        <v>21219.999999999571</v>
      </c>
      <c r="C32" s="4">
        <f>('Kwh Reading'!T33-'Kwh Reading'!T32)*1000</f>
        <v>649.99999999997726</v>
      </c>
      <c r="D32" s="2">
        <f>('Kwh Reading'!F33-'Kwh Reading'!F32)*1000000</f>
        <v>2599.9999999999359</v>
      </c>
      <c r="E32" s="2">
        <f>('Kwh Reading'!C33-'Kwh Reading'!C32)*1000</f>
        <v>280.00000000000114</v>
      </c>
      <c r="F32" s="2">
        <f>('Kwh Reading'!J33-'Kwh Reading'!J32)*1000</f>
        <v>430.00000000000682</v>
      </c>
      <c r="G32" s="2">
        <f>('Kwh Reading'!K33-'Kwh Reading'!K32)*1000</f>
        <v>170.00000000001592</v>
      </c>
      <c r="H32" s="2">
        <f>('Kwh Reading'!L33-'Kwh Reading'!L32)*1000</f>
        <v>300.00000000001137</v>
      </c>
      <c r="I32" s="2">
        <f>('Kwh Reading'!R33-'Kwh Reading'!R32)*1000</f>
        <v>140.00000000000057</v>
      </c>
      <c r="J32" s="2">
        <f>('Kwh Reading'!S33-'Kwh Reading'!S32)*1000</f>
        <v>156.00000000000591</v>
      </c>
      <c r="K32" s="2">
        <f>('Kwh Reading'!I33-'Kwh Reading'!I32)*1000</f>
        <v>270.00000000001023</v>
      </c>
      <c r="L32" s="2">
        <f>('Kwh Reading'!B33-'Kwh Reading'!B32)*1000</f>
        <v>1169.9999999999591</v>
      </c>
      <c r="M32" s="2">
        <f>('Kwh Reading'!M33-'Kwh Reading'!M32)*1000</f>
        <v>680.00000000000682</v>
      </c>
      <c r="N32" s="2">
        <f>('Kwh Reading'!H33-'Kwh Reading'!H32)*1000</f>
        <v>720.00000000002728</v>
      </c>
      <c r="O32" s="2">
        <f>('Kwh Reading'!P33-'Kwh Reading'!P32)*1000</f>
        <v>849.99999999996589</v>
      </c>
      <c r="P32" s="2">
        <f>('Kwh Reading'!G33-'Kwh Reading'!G32)*1000</f>
        <v>729.9999999999045</v>
      </c>
      <c r="Q32" s="2">
        <f>('Kwh Reading'!Q33-'Kwh Reading'!Q32)*1000</f>
        <v>720.00000000002728</v>
      </c>
      <c r="R32" s="2">
        <f>('Kwh Reading'!N33-'Kwh Reading'!N32)*1000</f>
        <v>699.99999999998863</v>
      </c>
      <c r="S32" s="2">
        <f>'Kwh Reading'!E33-'Kwh Reading'!E32</f>
        <v>3006.7599999997765</v>
      </c>
      <c r="T32" s="2">
        <f>'Kwh Reading'!D33-'Kwh Reading'!D32</f>
        <v>1909.7199999997392</v>
      </c>
      <c r="U32" s="27">
        <f>('Kwh Reading'!O33-'Kwh Reading'!O32)*1000</f>
        <v>260.00000000000512</v>
      </c>
      <c r="V32" s="16">
        <f t="shared" si="0"/>
        <v>5477.5200000002042</v>
      </c>
    </row>
    <row r="33" spans="1:22" x14ac:dyDescent="0.25">
      <c r="A33" s="3">
        <f>'Kwh Reading'!A33</f>
        <v>44195</v>
      </c>
      <c r="B33" s="26">
        <f>TOTAL!E31</f>
        <v>23330.000000000153</v>
      </c>
      <c r="C33" s="4">
        <f>('Kwh Reading'!T34-'Kwh Reading'!T33)*1000</f>
        <v>600.00000000002274</v>
      </c>
      <c r="D33" s="2">
        <f>('Kwh Reading'!F34-'Kwh Reading'!F33)*1000000</f>
        <v>2800.0000000001355</v>
      </c>
      <c r="E33" s="2">
        <f>('Kwh Reading'!C34-'Kwh Reading'!C33)*1000</f>
        <v>280.00000000000114</v>
      </c>
      <c r="F33" s="2">
        <f>('Kwh Reading'!J34-'Kwh Reading'!J33)*1000</f>
        <v>319.99999999999318</v>
      </c>
      <c r="G33" s="2">
        <f>('Kwh Reading'!K34-'Kwh Reading'!K33)*1000</f>
        <v>420.00000000001592</v>
      </c>
      <c r="H33" s="2">
        <f>('Kwh Reading'!L34-'Kwh Reading'!L33)*1000</f>
        <v>269.99999999998181</v>
      </c>
      <c r="I33" s="2">
        <f>('Kwh Reading'!R34-'Kwh Reading'!R33)*1000</f>
        <v>170.00000000000171</v>
      </c>
      <c r="J33" s="2">
        <f>('Kwh Reading'!S34-'Kwh Reading'!S33)*1000</f>
        <v>131.99999999999079</v>
      </c>
      <c r="K33" s="2">
        <f>('Kwh Reading'!I34-'Kwh Reading'!I33)*1000</f>
        <v>289.99999999999204</v>
      </c>
      <c r="L33" s="2">
        <f>('Kwh Reading'!B34-'Kwh Reading'!B33)*1000</f>
        <v>1230.0000000000182</v>
      </c>
      <c r="M33" s="2">
        <f>('Kwh Reading'!M34-'Kwh Reading'!M33)*1000</f>
        <v>680.00000000000682</v>
      </c>
      <c r="N33" s="2">
        <f>('Kwh Reading'!H34-'Kwh Reading'!H33)*1000</f>
        <v>839.99999999997499</v>
      </c>
      <c r="O33" s="2">
        <f>('Kwh Reading'!P34-'Kwh Reading'!P33)*1000</f>
        <v>950.00000000004547</v>
      </c>
      <c r="P33" s="2">
        <f>('Kwh Reading'!G34-'Kwh Reading'!G33)*1000</f>
        <v>800.00000000006821</v>
      </c>
      <c r="Q33" s="2">
        <f>('Kwh Reading'!Q34-'Kwh Reading'!Q33)*1000</f>
        <v>709.99999999997954</v>
      </c>
      <c r="R33" s="2">
        <f>('Kwh Reading'!N34-'Kwh Reading'!N33)*1000</f>
        <v>790.00000000002046</v>
      </c>
      <c r="S33" s="2">
        <f>'Kwh Reading'!E34-'Kwh Reading'!E33</f>
        <v>3298.0600000005215</v>
      </c>
      <c r="T33" s="2">
        <f>'Kwh Reading'!D34-'Kwh Reading'!D33</f>
        <v>2333.1299999998882</v>
      </c>
      <c r="U33" s="27">
        <f>('Kwh Reading'!O34-'Kwh Reading'!O33)*1000</f>
        <v>250</v>
      </c>
      <c r="V33" s="16">
        <f t="shared" si="0"/>
        <v>6166.8099999994956</v>
      </c>
    </row>
    <row r="34" spans="1:22" x14ac:dyDescent="0.25">
      <c r="A34" s="3">
        <f>'Kwh Reading'!A34</f>
        <v>44196</v>
      </c>
      <c r="B34" s="26">
        <f>TOTAL!E32</f>
        <v>22550.000000000411</v>
      </c>
      <c r="C34" s="4">
        <f>('Kwh Reading'!T35-'Kwh Reading'!T34)*1000</f>
        <v>569.99999999999318</v>
      </c>
      <c r="D34" s="2">
        <f>('Kwh Reading'!F35-'Kwh Reading'!F34)*1000000</f>
        <v>2799.9999999999136</v>
      </c>
      <c r="E34" s="2">
        <f>('Kwh Reading'!C35-'Kwh Reading'!C34)*1000</f>
        <v>289.99999999999204</v>
      </c>
      <c r="F34" s="2">
        <f>('Kwh Reading'!J35-'Kwh Reading'!J34)*1000</f>
        <v>329.99999999998408</v>
      </c>
      <c r="G34" s="2">
        <f>('Kwh Reading'!K35-'Kwh Reading'!K34)*1000</f>
        <v>379.99999999999545</v>
      </c>
      <c r="H34" s="2">
        <f>('Kwh Reading'!L35-'Kwh Reading'!L34)*1000</f>
        <v>260.00000000001933</v>
      </c>
      <c r="I34" s="2">
        <f>('Kwh Reading'!R35-'Kwh Reading'!R34)*1000</f>
        <v>209.99999999999375</v>
      </c>
      <c r="J34" s="2">
        <f>('Kwh Reading'!S35-'Kwh Reading'!S34)*1000</f>
        <v>148.00000000001035</v>
      </c>
      <c r="K34" s="2">
        <f>('Kwh Reading'!I35-'Kwh Reading'!I34)*1000</f>
        <v>280.00000000000114</v>
      </c>
      <c r="L34" s="2">
        <f>('Kwh Reading'!B35-'Kwh Reading'!B34)*1000</f>
        <v>1149.9999999999773</v>
      </c>
      <c r="M34" s="2">
        <f>('Kwh Reading'!M35-'Kwh Reading'!M34)*1000</f>
        <v>779.99999999997272</v>
      </c>
      <c r="N34" s="2">
        <f>('Kwh Reading'!H35-'Kwh Reading'!H34)*1000</f>
        <v>829.99999999998408</v>
      </c>
      <c r="O34" s="2">
        <f>('Kwh Reading'!P35-'Kwh Reading'!P34)*1000</f>
        <v>1039.9999999999636</v>
      </c>
      <c r="P34" s="2">
        <f>('Kwh Reading'!G35-'Kwh Reading'!G34)*1000</f>
        <v>879.99999999999545</v>
      </c>
      <c r="Q34" s="2">
        <f>('Kwh Reading'!Q35-'Kwh Reading'!Q34)*1000</f>
        <v>689.99999999999773</v>
      </c>
      <c r="R34" s="2">
        <f>('Kwh Reading'!N35-'Kwh Reading'!N34)*1000</f>
        <v>759.99999999999091</v>
      </c>
      <c r="S34" s="2">
        <f>'Kwh Reading'!E35-'Kwh Reading'!E34</f>
        <v>3014.4199999999255</v>
      </c>
      <c r="T34" s="2">
        <f>'Kwh Reading'!D35-'Kwh Reading'!D34</f>
        <v>2312.0400000000373</v>
      </c>
      <c r="U34" s="27">
        <f>('Kwh Reading'!O35-'Kwh Reading'!O34)*1000</f>
        <v>280.00000000000114</v>
      </c>
      <c r="V34" s="16">
        <f t="shared" si="0"/>
        <v>5545.540000000663</v>
      </c>
    </row>
    <row r="35" spans="1:22" x14ac:dyDescent="0.25">
      <c r="A35" s="81" t="s">
        <v>53</v>
      </c>
      <c r="B35" s="80">
        <f>SUM(B4:B34)</f>
        <v>643980.00000000023</v>
      </c>
      <c r="C35" s="76">
        <f t="shared" ref="C35" si="1">SUM(C4:C34)</f>
        <v>14790.000000000018</v>
      </c>
      <c r="D35" s="76">
        <f t="shared" ref="D35" si="2">SUM(D4:D34)</f>
        <v>73099.999999999942</v>
      </c>
      <c r="E35" s="76">
        <f t="shared" ref="E35" si="3">SUM(E4:E34)</f>
        <v>7859.9999999999836</v>
      </c>
      <c r="F35" s="76">
        <f t="shared" ref="F35" si="4">SUM(F4:F34)</f>
        <v>6810.0000000000018</v>
      </c>
      <c r="G35" s="76">
        <f t="shared" ref="G35:U35" si="5">SUM(G4:G34)</f>
        <v>9720.0000000000291</v>
      </c>
      <c r="H35" s="76">
        <f t="shared" si="5"/>
        <v>7060.0000000000009</v>
      </c>
      <c r="I35" s="76">
        <f t="shared" si="5"/>
        <v>4899.9999999999927</v>
      </c>
      <c r="J35" s="76">
        <f t="shared" si="5"/>
        <v>4186.0000000000073</v>
      </c>
      <c r="K35" s="76">
        <f t="shared" si="5"/>
        <v>7409.9999999999973</v>
      </c>
      <c r="L35" s="76">
        <f t="shared" si="5"/>
        <v>35329.99999999992</v>
      </c>
      <c r="M35" s="76">
        <f t="shared" si="5"/>
        <v>21089.999999999971</v>
      </c>
      <c r="N35" s="76">
        <f t="shared" si="5"/>
        <v>24199.999999999996</v>
      </c>
      <c r="O35" s="76">
        <f t="shared" si="5"/>
        <v>25860.000000000015</v>
      </c>
      <c r="P35" s="76">
        <f t="shared" si="5"/>
        <v>23879.999999999993</v>
      </c>
      <c r="Q35" s="76">
        <f t="shared" si="5"/>
        <v>20610.000000000004</v>
      </c>
      <c r="R35" s="76">
        <f t="shared" si="5"/>
        <v>22269.999999999978</v>
      </c>
      <c r="S35" s="76">
        <f t="shared" si="5"/>
        <v>20837.950000000186</v>
      </c>
      <c r="T35" s="76">
        <f t="shared" si="5"/>
        <v>132022.45999999996</v>
      </c>
      <c r="U35" s="76">
        <f t="shared" si="5"/>
        <v>7049.9999999999964</v>
      </c>
      <c r="V35" s="76">
        <f>SUM(V4:V34)</f>
        <v>174993.5900000002</v>
      </c>
    </row>
    <row r="40" spans="1:22" x14ac:dyDescent="0.25">
      <c r="S40" s="82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15" activePane="bottomRight" state="frozen"/>
      <selection pane="topRight" activeCell="C1" sqref="C1"/>
      <selection pane="bottomLeft" activeCell="A3" sqref="A3"/>
      <selection pane="bottomRight" activeCell="D36" sqref="D3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2.5703125" style="15" customWidth="1"/>
    <col min="8" max="8" width="18.85546875" style="15" customWidth="1"/>
    <col min="9" max="9" width="26" style="15" customWidth="1"/>
    <col min="10" max="10" width="23.28515625" style="15" customWidth="1"/>
    <col min="11" max="11" width="10.42578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4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44166</v>
      </c>
      <c r="B3" s="84">
        <f>TOTAL!E2</f>
        <v>20180</v>
      </c>
      <c r="C3" s="1">
        <f>'Kwh Consumption'!C4</f>
        <v>300.00000000001137</v>
      </c>
      <c r="D3" s="1">
        <f>'Kwh Consumption'!D4</f>
        <v>2299.9999999999686</v>
      </c>
      <c r="E3" s="1">
        <f>'Kwh Consumption'!E4</f>
        <v>240.00000000000909</v>
      </c>
      <c r="F3" s="1">
        <f>('Kwh Consumption'!F4+'Kwh Consumption'!G4+'Kwh Consumption'!H4)</f>
        <v>510.00000000001933</v>
      </c>
      <c r="G3" s="16">
        <f>('Kwh Consumption'!I4+'Kwh Consumption'!J4)</f>
        <v>260.00000000000512</v>
      </c>
      <c r="H3" s="1">
        <f>('Kwh Consumption'!K4+'Kwh Consumption'!L4)</f>
        <v>1339.9999999998897</v>
      </c>
      <c r="I3" s="1">
        <f>('Kwh Consumption'!M4+'Kwh Consumption'!N4+'Kwh Consumption'!O4+'Kwh Consumption'!P4+'Kwh Consumption'!Q4+'Kwh Consumption'!R4)</f>
        <v>4240.0000000000091</v>
      </c>
      <c r="J3" s="1">
        <f>('Kwh Consumption'!S4+'Kwh Consumption'!T4)</f>
        <v>4238.4000000003725</v>
      </c>
      <c r="K3" s="1">
        <f>'Kwh Consumption'!U4</f>
        <v>209.99999999999375</v>
      </c>
      <c r="L3" s="32">
        <f t="shared" ref="L3:L33" si="0">B3-C3-D3-E3-F3-G3-H3-I3-J3-K3</f>
        <v>6541.5999999997284</v>
      </c>
    </row>
    <row r="4" spans="1:12" x14ac:dyDescent="0.25">
      <c r="A4" s="14">
        <f>'Kwh Reading'!A5</f>
        <v>44167</v>
      </c>
      <c r="B4" s="84">
        <f>TOTAL!E3</f>
        <v>18949.999999999593</v>
      </c>
      <c r="C4" s="1">
        <f>'Kwh Consumption'!C5</f>
        <v>459.99999999997954</v>
      </c>
      <c r="D4" s="1">
        <f>'Kwh Consumption'!D5</f>
        <v>1900.0000000000127</v>
      </c>
      <c r="E4" s="1">
        <f>'Kwh Consumption'!E5</f>
        <v>239.99999999998067</v>
      </c>
      <c r="F4" s="1">
        <f>('Kwh Consumption'!F5+'Kwh Consumption'!G5+'Kwh Consumption'!H5)</f>
        <v>509.99999999999091</v>
      </c>
      <c r="G4" s="16">
        <f>('Kwh Consumption'!I5+'Kwh Consumption'!J5)</f>
        <v>300.99999999998772</v>
      </c>
      <c r="H4" s="1">
        <f>('Kwh Consumption'!K5+'Kwh Consumption'!L5)</f>
        <v>1180.0000000000352</v>
      </c>
      <c r="I4" s="1">
        <f>('Kwh Consumption'!M5+'Kwh Consumption'!N5+'Kwh Consumption'!O5+'Kwh Consumption'!P5+'Kwh Consumption'!Q5+'Kwh Consumption'!R5)</f>
        <v>3879.9999999999955</v>
      </c>
      <c r="J4" s="1">
        <f>('Kwh Consumption'!S5+'Kwh Consumption'!T5)</f>
        <v>3377.75</v>
      </c>
      <c r="K4" s="1">
        <f>'Kwh Consumption'!U5</f>
        <v>210.00000000000796</v>
      </c>
      <c r="L4" s="32">
        <f t="shared" si="0"/>
        <v>6891.2499999996026</v>
      </c>
    </row>
    <row r="5" spans="1:12" x14ac:dyDescent="0.25">
      <c r="A5" s="14">
        <f>'Kwh Reading'!A6</f>
        <v>44168</v>
      </c>
      <c r="B5" s="84">
        <f>TOTAL!E4</f>
        <v>21390.000000000557</v>
      </c>
      <c r="C5" s="1">
        <f>'Kwh Consumption'!C6</f>
        <v>310.00000000000227</v>
      </c>
      <c r="D5" s="1">
        <f>'Kwh Consumption'!D6</f>
        <v>2299.9999999999686</v>
      </c>
      <c r="E5" s="1">
        <f>'Kwh Consumption'!E6</f>
        <v>240.00000000000909</v>
      </c>
      <c r="F5" s="1">
        <f>('Kwh Consumption'!F6+'Kwh Consumption'!G6+'Kwh Consumption'!H6)</f>
        <v>540.00000000002046</v>
      </c>
      <c r="G5" s="16">
        <f>('Kwh Consumption'!I6+'Kwh Consumption'!J6)</f>
        <v>346.00000000000364</v>
      </c>
      <c r="H5" s="1">
        <f>('Kwh Consumption'!K6+'Kwh Consumption'!L6)</f>
        <v>1470.0000000000273</v>
      </c>
      <c r="I5" s="1">
        <f>('Kwh Consumption'!M6+'Kwh Consumption'!N6+'Kwh Consumption'!O6+'Kwh Consumption'!P6+'Kwh Consumption'!Q6+'Kwh Consumption'!R6)</f>
        <v>5489.9999999998945</v>
      </c>
      <c r="J5" s="1">
        <f>('Kwh Consumption'!S6+'Kwh Consumption'!T6)</f>
        <v>4000.019999999553</v>
      </c>
      <c r="K5" s="1">
        <f>'Kwh Consumption'!U6</f>
        <v>19.999999999996021</v>
      </c>
      <c r="L5" s="32">
        <f t="shared" si="0"/>
        <v>6673.9800000010782</v>
      </c>
    </row>
    <row r="6" spans="1:12" x14ac:dyDescent="0.25">
      <c r="A6" s="14">
        <f>'Kwh Reading'!A7</f>
        <v>44169</v>
      </c>
      <c r="B6" s="84">
        <f>TOTAL!E5</f>
        <v>21479.999999999563</v>
      </c>
      <c r="C6" s="1">
        <f>'Kwh Consumption'!C7</f>
        <v>290.00000000002046</v>
      </c>
      <c r="D6" s="1">
        <f>'Kwh Consumption'!D7</f>
        <v>2000.0000000000018</v>
      </c>
      <c r="E6" s="1">
        <f>'Kwh Consumption'!E7</f>
        <v>199.99999999998863</v>
      </c>
      <c r="F6" s="1">
        <f>('Kwh Consumption'!F7+'Kwh Consumption'!G7+'Kwh Consumption'!H7)</f>
        <v>530.00000000000114</v>
      </c>
      <c r="G6" s="16">
        <f>('Kwh Consumption'!I7+'Kwh Consumption'!J7)</f>
        <v>238.00000000001376</v>
      </c>
      <c r="H6" s="1">
        <f>('Kwh Consumption'!K7+'Kwh Consumption'!L7)</f>
        <v>1389.9999999999864</v>
      </c>
      <c r="I6" s="1">
        <f>('Kwh Consumption'!M7+'Kwh Consumption'!N7+'Kwh Consumption'!O7+'Kwh Consumption'!P7+'Kwh Consumption'!Q7+'Kwh Consumption'!R7)</f>
        <v>5000.0000000000564</v>
      </c>
      <c r="J6" s="1">
        <f>('Kwh Consumption'!S7+'Kwh Consumption'!T7)</f>
        <v>6289.6300000008196</v>
      </c>
      <c r="K6" s="1">
        <f>'Kwh Consumption'!U7</f>
        <v>420.00000000000171</v>
      </c>
      <c r="L6" s="32">
        <f t="shared" si="0"/>
        <v>5122.3699999986748</v>
      </c>
    </row>
    <row r="7" spans="1:12" x14ac:dyDescent="0.25">
      <c r="A7" s="14">
        <f>'Kwh Reading'!A8</f>
        <v>44170</v>
      </c>
      <c r="B7" s="84">
        <f>TOTAL!E6</f>
        <v>19229.999999999338</v>
      </c>
      <c r="C7" s="1">
        <f>'Kwh Consumption'!C8</f>
        <v>500</v>
      </c>
      <c r="D7" s="1">
        <f>'Kwh Consumption'!D8</f>
        <v>2199.9999999999795</v>
      </c>
      <c r="E7" s="1">
        <f>'Kwh Consumption'!E8</f>
        <v>240.00000000000909</v>
      </c>
      <c r="F7" s="1">
        <f>('Kwh Consumption'!F8+'Kwh Consumption'!G8+'Kwh Consumption'!H8)</f>
        <v>560.00000000000227</v>
      </c>
      <c r="G7" s="16">
        <f>('Kwh Consumption'!I8+'Kwh Consumption'!J8)</f>
        <v>247.99999999999045</v>
      </c>
      <c r="H7" s="1">
        <f>('Kwh Consumption'!K8+'Kwh Consumption'!L8)</f>
        <v>1440.0000000000546</v>
      </c>
      <c r="I7" s="1">
        <f>('Kwh Consumption'!M8+'Kwh Consumption'!N8+'Kwh Consumption'!O8+'Kwh Consumption'!P8+'Kwh Consumption'!Q8+'Kwh Consumption'!R8)</f>
        <v>5360.0000000000709</v>
      </c>
      <c r="J7" s="1">
        <f>('Kwh Consumption'!S8+'Kwh Consumption'!T8)</f>
        <v>6296.2299999995157</v>
      </c>
      <c r="K7" s="1">
        <f>'Kwh Consumption'!U8</f>
        <v>209.99999999999375</v>
      </c>
      <c r="L7" s="32">
        <f t="shared" si="0"/>
        <v>2175.769999999723</v>
      </c>
    </row>
    <row r="8" spans="1:12" x14ac:dyDescent="0.25">
      <c r="A8" s="14">
        <f>'Kwh Reading'!A9</f>
        <v>44171</v>
      </c>
      <c r="B8" s="84">
        <f>TOTAL!E7</f>
        <v>23370.000000000116</v>
      </c>
      <c r="C8" s="1">
        <f>'Kwh Consumption'!C9</f>
        <v>350.00000000002274</v>
      </c>
      <c r="D8" s="1">
        <f>'Kwh Consumption'!D9</f>
        <v>2199.9999999999795</v>
      </c>
      <c r="E8" s="1">
        <f>'Kwh Consumption'!E9</f>
        <v>180.00000000000682</v>
      </c>
      <c r="F8" s="1">
        <f>('Kwh Consumption'!F9+'Kwh Consumption'!G9+'Kwh Consumption'!H9)</f>
        <v>579.99999999998408</v>
      </c>
      <c r="G8" s="16">
        <f>('Kwh Consumption'!I9+'Kwh Consumption'!J9)</f>
        <v>233.99999999999466</v>
      </c>
      <c r="H8" s="1">
        <f>('Kwh Consumption'!K9+'Kwh Consumption'!L9)</f>
        <v>1459.9999999999227</v>
      </c>
      <c r="I8" s="1">
        <f>('Kwh Consumption'!M9+'Kwh Consumption'!N9+'Kwh Consumption'!O9+'Kwh Consumption'!P9+'Kwh Consumption'!Q9+'Kwh Consumption'!R9)</f>
        <v>4199.9999999999891</v>
      </c>
      <c r="J8" s="1">
        <f>('Kwh Consumption'!S9+'Kwh Consumption'!T9)</f>
        <v>6290.1000000005588</v>
      </c>
      <c r="K8" s="1">
        <f>'Kwh Consumption'!U9</f>
        <v>250</v>
      </c>
      <c r="L8" s="32">
        <f t="shared" si="0"/>
        <v>7625.8999999996558</v>
      </c>
    </row>
    <row r="9" spans="1:12" x14ac:dyDescent="0.25">
      <c r="A9" s="14">
        <f>'Kwh Reading'!A10</f>
        <v>44172</v>
      </c>
      <c r="B9" s="84">
        <f>TOTAL!E8</f>
        <v>21099.999999999909</v>
      </c>
      <c r="C9" s="1">
        <f>'Kwh Consumption'!C10</f>
        <v>489.99999999995225</v>
      </c>
      <c r="D9" s="1">
        <f>'Kwh Consumption'!D10</f>
        <v>2299.9999999999686</v>
      </c>
      <c r="E9" s="1">
        <f>'Kwh Consumption'!E10</f>
        <v>229.99999999998977</v>
      </c>
      <c r="F9" s="1">
        <f>('Kwh Consumption'!F10+'Kwh Consumption'!G10+'Kwh Consumption'!H10)</f>
        <v>700.0000000000739</v>
      </c>
      <c r="G9" s="16">
        <f>('Kwh Consumption'!I10+'Kwh Consumption'!J10)</f>
        <v>329.00000000000773</v>
      </c>
      <c r="H9" s="1">
        <f>('Kwh Consumption'!K10+'Kwh Consumption'!L10)</f>
        <v>1560.0000000000591</v>
      </c>
      <c r="I9" s="1">
        <f>('Kwh Consumption'!M10+'Kwh Consumption'!N10+'Kwh Consumption'!O10+'Kwh Consumption'!P10+'Kwh Consumption'!Q10+'Kwh Consumption'!R10)</f>
        <v>4879.9999999999382</v>
      </c>
      <c r="J9" s="1">
        <f>('Kwh Consumption'!S10+'Kwh Consumption'!T10)</f>
        <v>5628.4199999999255</v>
      </c>
      <c r="K9" s="1">
        <f>'Kwh Consumption'!U10</f>
        <v>230.00000000000398</v>
      </c>
      <c r="L9" s="32">
        <f t="shared" si="0"/>
        <v>4752.5799999999945</v>
      </c>
    </row>
    <row r="10" spans="1:12" x14ac:dyDescent="0.25">
      <c r="A10" s="14">
        <f>'Kwh Reading'!A11</f>
        <v>44173</v>
      </c>
      <c r="B10" s="84">
        <f>TOTAL!E9</f>
        <v>21270.000000000211</v>
      </c>
      <c r="C10" s="1">
        <f>'Kwh Consumption'!C11</f>
        <v>340.00000000003183</v>
      </c>
      <c r="D10" s="1">
        <f>'Kwh Consumption'!D11</f>
        <v>2099.9999999999909</v>
      </c>
      <c r="E10" s="1">
        <f>'Kwh Consumption'!E11</f>
        <v>229.99999999998977</v>
      </c>
      <c r="F10" s="1">
        <f>('Kwh Consumption'!F11+'Kwh Consumption'!G11+'Kwh Consumption'!H11)</f>
        <v>549.9999999999261</v>
      </c>
      <c r="G10" s="16">
        <f>('Kwh Consumption'!I11+'Kwh Consumption'!J11)</f>
        <v>230.99999999999454</v>
      </c>
      <c r="H10" s="1">
        <f>('Kwh Consumption'!K11+'Kwh Consumption'!L11)</f>
        <v>1459.9999999999227</v>
      </c>
      <c r="I10" s="1">
        <f>('Kwh Consumption'!M11+'Kwh Consumption'!N11+'Kwh Consumption'!O11+'Kwh Consumption'!P11+'Kwh Consumption'!Q11+'Kwh Consumption'!R11)</f>
        <v>4460.0000000000364</v>
      </c>
      <c r="J10" s="1">
        <f>('Kwh Consumption'!S11+'Kwh Consumption'!T11)</f>
        <v>4689.4199999999255</v>
      </c>
      <c r="K10" s="1">
        <f>'Kwh Consumption'!U11</f>
        <v>200.00000000000284</v>
      </c>
      <c r="L10" s="32">
        <f t="shared" si="0"/>
        <v>7009.5800000003883</v>
      </c>
    </row>
    <row r="11" spans="1:12" x14ac:dyDescent="0.25">
      <c r="A11" s="14">
        <f>'Kwh Reading'!A12</f>
        <v>44174</v>
      </c>
      <c r="B11" s="84">
        <f>TOTAL!E10</f>
        <v>20759.999999999534</v>
      </c>
      <c r="C11" s="1">
        <f>'Kwh Consumption'!C12</f>
        <v>469.99999999997044</v>
      </c>
      <c r="D11" s="1">
        <f>'Kwh Consumption'!D12</f>
        <v>2199.9999999999795</v>
      </c>
      <c r="E11" s="1">
        <f>'Kwh Consumption'!E12</f>
        <v>230.00000000001819</v>
      </c>
      <c r="F11" s="1">
        <f>('Kwh Consumption'!F12+'Kwh Consumption'!G12+'Kwh Consumption'!H12)</f>
        <v>590.00000000006025</v>
      </c>
      <c r="G11" s="16">
        <f>('Kwh Consumption'!I12+'Kwh Consumption'!J12)</f>
        <v>292.00000000000159</v>
      </c>
      <c r="H11" s="1">
        <f>('Kwh Consumption'!K12+'Kwh Consumption'!L12)</f>
        <v>1540.0000000001057</v>
      </c>
      <c r="I11" s="1">
        <f>('Kwh Consumption'!M12+'Kwh Consumption'!N12+'Kwh Consumption'!O12+'Kwh Consumption'!P12+'Kwh Consumption'!Q12+'Kwh Consumption'!R12)</f>
        <v>5050.0000000000691</v>
      </c>
      <c r="J11" s="1">
        <f>('Kwh Consumption'!S12+'Kwh Consumption'!T12)</f>
        <v>5235.4799999995157</v>
      </c>
      <c r="K11" s="1">
        <f>'Kwh Consumption'!U12</f>
        <v>219.99999999999886</v>
      </c>
      <c r="L11" s="32">
        <f t="shared" si="0"/>
        <v>4932.5199999998158</v>
      </c>
    </row>
    <row r="12" spans="1:12" x14ac:dyDescent="0.25">
      <c r="A12" s="14">
        <f>'Kwh Reading'!A13</f>
        <v>44175</v>
      </c>
      <c r="B12" s="84">
        <f>TOTAL!E11</f>
        <v>15930.000000000746</v>
      </c>
      <c r="C12" s="1">
        <f>'Kwh Consumption'!C13</f>
        <v>370.00000000000455</v>
      </c>
      <c r="D12" s="1">
        <f>'Kwh Consumption'!D13</f>
        <v>2200.0000000002019</v>
      </c>
      <c r="E12" s="1">
        <f>'Kwh Consumption'!E13</f>
        <v>240.00000000000909</v>
      </c>
      <c r="F12" s="1">
        <f>('Kwh Consumption'!F13+'Kwh Consumption'!G13+'Kwh Consumption'!H13)</f>
        <v>709.99999999997954</v>
      </c>
      <c r="G12" s="16">
        <f>('Kwh Consumption'!I13+'Kwh Consumption'!J13)</f>
        <v>311.99999999999761</v>
      </c>
      <c r="H12" s="1">
        <f>('Kwh Consumption'!K13+'Kwh Consumption'!L13)</f>
        <v>1519.9999999999818</v>
      </c>
      <c r="I12" s="1">
        <f>('Kwh Consumption'!M13+'Kwh Consumption'!N13+'Kwh Consumption'!O13+'Kwh Consumption'!P13+'Kwh Consumption'!Q13+'Kwh Consumption'!R13)</f>
        <v>4410.0000000000255</v>
      </c>
      <c r="J12" s="1">
        <f>('Kwh Consumption'!S13+'Kwh Consumption'!T13)</f>
        <v>4641.9400000004098</v>
      </c>
      <c r="K12" s="1">
        <f>'Kwh Consumption'!U13</f>
        <v>200.00000000000284</v>
      </c>
      <c r="L12" s="32">
        <f t="shared" si="0"/>
        <v>1326.0600000001332</v>
      </c>
    </row>
    <row r="13" spans="1:12" x14ac:dyDescent="0.25">
      <c r="A13" s="14">
        <f>'Kwh Reading'!A14</f>
        <v>44176</v>
      </c>
      <c r="B13" s="84">
        <f>TOTAL!E12</f>
        <v>20180.000000000746</v>
      </c>
      <c r="C13" s="1">
        <f>'Kwh Consumption'!C14</f>
        <v>330.00000000004093</v>
      </c>
      <c r="D13" s="1">
        <f>'Kwh Consumption'!D14</f>
        <v>2000.0000000000018</v>
      </c>
      <c r="E13" s="1">
        <f>'Kwh Consumption'!E14</f>
        <v>219.99999999999886</v>
      </c>
      <c r="F13" s="1">
        <f>('Kwh Consumption'!F14+'Kwh Consumption'!G14+'Kwh Consumption'!H14)</f>
        <v>409.99999999999659</v>
      </c>
      <c r="G13" s="16">
        <f>('Kwh Consumption'!I14+'Kwh Consumption'!J14)</f>
        <v>360.99999999999</v>
      </c>
      <c r="H13" s="1">
        <f>('Kwh Consumption'!K14+'Kwh Consumption'!L14)</f>
        <v>1299.9999999999261</v>
      </c>
      <c r="I13" s="1">
        <f>('Kwh Consumption'!M14+'Kwh Consumption'!N14+'Kwh Consumption'!O14+'Kwh Consumption'!P14+'Kwh Consumption'!Q14+'Kwh Consumption'!R14)</f>
        <v>3899.9999999999773</v>
      </c>
      <c r="J13" s="1">
        <f>('Kwh Consumption'!S14+'Kwh Consumption'!T14)</f>
        <v>4111.7400000002235</v>
      </c>
      <c r="K13" s="1">
        <f>'Kwh Consumption'!U14</f>
        <v>200.00000000000284</v>
      </c>
      <c r="L13" s="32">
        <f t="shared" si="0"/>
        <v>7347.2600000005923</v>
      </c>
    </row>
    <row r="14" spans="1:12" x14ac:dyDescent="0.25">
      <c r="A14" s="14">
        <f>'Kwh Reading'!A15</f>
        <v>44177</v>
      </c>
      <c r="B14" s="84">
        <f>TOTAL!E13</f>
        <v>17059.999999999716</v>
      </c>
      <c r="C14" s="1">
        <f>'Kwh Consumption'!C15</f>
        <v>469.99999999997044</v>
      </c>
      <c r="D14" s="1">
        <f>'Kwh Consumption'!D15</f>
        <v>2199.9999999999795</v>
      </c>
      <c r="E14" s="1">
        <f>'Kwh Consumption'!E15</f>
        <v>250</v>
      </c>
      <c r="F14" s="1">
        <f>('Kwh Consumption'!F15+'Kwh Consumption'!G15+'Kwh Consumption'!H15)</f>
        <v>890.00000000001478</v>
      </c>
      <c r="G14" s="16">
        <f>('Kwh Consumption'!I15+'Kwh Consumption'!J15)</f>
        <v>303.00000000001148</v>
      </c>
      <c r="H14" s="1">
        <f>('Kwh Consumption'!K15+'Kwh Consumption'!L15)</f>
        <v>1280.000000000058</v>
      </c>
      <c r="I14" s="1">
        <f>('Kwh Consumption'!M15+'Kwh Consumption'!N15+'Kwh Consumption'!O15+'Kwh Consumption'!P15+'Kwh Consumption'!Q15+'Kwh Consumption'!R15)</f>
        <v>3649.9999999999204</v>
      </c>
      <c r="J14" s="1">
        <f>('Kwh Consumption'!S15+'Kwh Consumption'!T15)</f>
        <v>3971.4599999999627</v>
      </c>
      <c r="K14" s="1">
        <f>'Kwh Consumption'!U15</f>
        <v>189.99999999999773</v>
      </c>
      <c r="L14" s="32">
        <f t="shared" si="0"/>
        <v>3855.5399999998012</v>
      </c>
    </row>
    <row r="15" spans="1:12" x14ac:dyDescent="0.25">
      <c r="A15" s="14">
        <f>'Kwh Reading'!A16</f>
        <v>44178</v>
      </c>
      <c r="B15" s="84">
        <f>TOTAL!E14</f>
        <v>23059.999999999265</v>
      </c>
      <c r="C15" s="1">
        <f>'Kwh Consumption'!C16</f>
        <v>399.99999999997726</v>
      </c>
      <c r="D15" s="1">
        <f>'Kwh Consumption'!D16</f>
        <v>2199.9999999999795</v>
      </c>
      <c r="E15" s="1">
        <f>'Kwh Consumption'!E16</f>
        <v>219.99999999999886</v>
      </c>
      <c r="F15" s="1">
        <f>('Kwh Consumption'!F16+'Kwh Consumption'!G16+'Kwh Consumption'!H16)</f>
        <v>529.99999999994429</v>
      </c>
      <c r="G15" s="16">
        <f>('Kwh Consumption'!I16+'Kwh Consumption'!J16)</f>
        <v>263.00000000000523</v>
      </c>
      <c r="H15" s="1">
        <f>('Kwh Consumption'!K16+'Kwh Consumption'!L16)</f>
        <v>1210.0000000000364</v>
      </c>
      <c r="I15" s="1">
        <f>('Kwh Consumption'!M16+'Kwh Consumption'!N16+'Kwh Consumption'!O16+'Kwh Consumption'!P16+'Kwh Consumption'!Q16+'Kwh Consumption'!R16)</f>
        <v>3899.9999999999204</v>
      </c>
      <c r="J15" s="1">
        <f>('Kwh Consumption'!S16+'Kwh Consumption'!T16)</f>
        <v>4378.8299999991432</v>
      </c>
      <c r="K15" s="1">
        <f>'Kwh Consumption'!U16</f>
        <v>199.99999999998863</v>
      </c>
      <c r="L15" s="32">
        <f t="shared" si="0"/>
        <v>9758.1700000002711</v>
      </c>
    </row>
    <row r="16" spans="1:12" x14ac:dyDescent="0.25">
      <c r="A16" s="14">
        <f>'Kwh Reading'!A17</f>
        <v>44179</v>
      </c>
      <c r="B16" s="84">
        <f>TOTAL!E15</f>
        <v>20710.000000000946</v>
      </c>
      <c r="C16" s="1">
        <f>'Kwh Consumption'!C17</f>
        <v>530.00000000002956</v>
      </c>
      <c r="D16" s="1">
        <f>'Kwh Consumption'!D17</f>
        <v>2299.9999999999686</v>
      </c>
      <c r="E16" s="1">
        <f>'Kwh Consumption'!E17</f>
        <v>250</v>
      </c>
      <c r="F16" s="1">
        <f>('Kwh Consumption'!F17+'Kwh Consumption'!G17+'Kwh Consumption'!H17)</f>
        <v>609.99999999998522</v>
      </c>
      <c r="G16" s="16">
        <f>('Kwh Consumption'!I17+'Kwh Consumption'!J17)</f>
        <v>359.99999999998522</v>
      </c>
      <c r="H16" s="1">
        <f>('Kwh Consumption'!K17+'Kwh Consumption'!L17)</f>
        <v>1349.9999999999091</v>
      </c>
      <c r="I16" s="1">
        <f>('Kwh Consumption'!M17+'Kwh Consumption'!N17+'Kwh Consumption'!O17+'Kwh Consumption'!P17+'Kwh Consumption'!Q17+'Kwh Consumption'!R17)</f>
        <v>4250.0000000000564</v>
      </c>
      <c r="J16" s="1">
        <f>('Kwh Consumption'!S17+'Kwh Consumption'!T17)</f>
        <v>5089.910000000149</v>
      </c>
      <c r="K16" s="1">
        <f>'Kwh Consumption'!U17</f>
        <v>190.00000000001194</v>
      </c>
      <c r="L16" s="32">
        <f t="shared" si="0"/>
        <v>5780.0900000008523</v>
      </c>
    </row>
    <row r="17" spans="1:12" x14ac:dyDescent="0.25">
      <c r="A17" s="14">
        <f>'Kwh Reading'!A18</f>
        <v>44180</v>
      </c>
      <c r="B17" s="84">
        <f>TOTAL!E16</f>
        <v>20589.999999999236</v>
      </c>
      <c r="C17" s="1">
        <f>'Kwh Consumption'!C18</f>
        <v>509.99999999999091</v>
      </c>
      <c r="D17" s="1">
        <f>'Kwh Consumption'!D18</f>
        <v>2399.9999999999577</v>
      </c>
      <c r="E17" s="1">
        <f>'Kwh Consumption'!E18</f>
        <v>269.99999999998181</v>
      </c>
      <c r="F17" s="1">
        <f>('Kwh Consumption'!F18+'Kwh Consumption'!G18+'Kwh Consumption'!H18)</f>
        <v>609.99999999998522</v>
      </c>
      <c r="G17" s="16">
        <f>('Kwh Consumption'!I18+'Kwh Consumption'!J18)</f>
        <v>151.00000000001046</v>
      </c>
      <c r="H17" s="1">
        <f>('Kwh Consumption'!K18+'Kwh Consumption'!L18)</f>
        <v>1300.0000000000398</v>
      </c>
      <c r="I17" s="1">
        <f>('Kwh Consumption'!M18+'Kwh Consumption'!N18+'Kwh Consumption'!O18+'Kwh Consumption'!P18+'Kwh Consumption'!Q18+'Kwh Consumption'!R18)</f>
        <v>4370.0000000000045</v>
      </c>
      <c r="J17" s="1">
        <f>('Kwh Consumption'!S18+'Kwh Consumption'!T18)</f>
        <v>5098.4700000006706</v>
      </c>
      <c r="K17" s="31">
        <f>'Kwh Consumption'!U18</f>
        <v>229.99999999998977</v>
      </c>
      <c r="L17" s="32">
        <f t="shared" si="0"/>
        <v>5650.5299999986046</v>
      </c>
    </row>
    <row r="18" spans="1:12" x14ac:dyDescent="0.25">
      <c r="A18" s="14">
        <f>'Kwh Reading'!A19</f>
        <v>44181</v>
      </c>
      <c r="B18" s="84">
        <f>TOTAL!E17</f>
        <v>21750.000000000451</v>
      </c>
      <c r="C18" s="1">
        <f>'Kwh Consumption'!C19</f>
        <v>500</v>
      </c>
      <c r="D18" s="1">
        <f>'Kwh Consumption'!D19</f>
        <v>4599.9999999999372</v>
      </c>
      <c r="E18" s="1">
        <f>'Kwh Consumption'!E19</f>
        <v>270.00000000001023</v>
      </c>
      <c r="F18" s="1">
        <f>('Kwh Consumption'!F19+'Kwh Consumption'!G19+'Kwh Consumption'!H19)</f>
        <v>820.00000000005002</v>
      </c>
      <c r="G18" s="16">
        <f>('Kwh Consumption'!I19+'Kwh Consumption'!J19)</f>
        <v>283.00000000000125</v>
      </c>
      <c r="H18" s="1">
        <f>('Kwh Consumption'!K19+'Kwh Consumption'!L19)</f>
        <v>1419.9999999999307</v>
      </c>
      <c r="I18" s="1">
        <f>('Kwh Consumption'!M19+'Kwh Consumption'!N19+'Kwh Consumption'!O19+'Kwh Consumption'!P19+'Kwh Consumption'!Q19+'Kwh Consumption'!R19)</f>
        <v>4680.0000000000073</v>
      </c>
      <c r="J18" s="1">
        <f>('Kwh Consumption'!S19+'Kwh Consumption'!T19)</f>
        <v>5308.8499999996275</v>
      </c>
      <c r="K18" s="31">
        <f>'Kwh Consumption'!U19</f>
        <v>240.00000000000909</v>
      </c>
      <c r="L18" s="32">
        <f t="shared" si="0"/>
        <v>3628.1500000008746</v>
      </c>
    </row>
    <row r="19" spans="1:12" x14ac:dyDescent="0.25">
      <c r="A19" s="14">
        <f>'Kwh Reading'!A20</f>
        <v>44182</v>
      </c>
      <c r="B19" s="84">
        <f>TOTAL!E18</f>
        <v>20270.000000000211</v>
      </c>
      <c r="C19" s="1">
        <f>'Kwh Consumption'!C20</f>
        <v>519.99999999998181</v>
      </c>
      <c r="D19" s="1">
        <f>'Kwh Consumption'!D20</f>
        <v>1200.0000000000898</v>
      </c>
      <c r="E19" s="1">
        <f>'Kwh Consumption'!E20</f>
        <v>240.00000000000909</v>
      </c>
      <c r="F19" s="1">
        <f>('Kwh Consumption'!F20+'Kwh Consumption'!G20+'Kwh Consumption'!H20)</f>
        <v>699.99999999996021</v>
      </c>
      <c r="G19" s="16">
        <f>('Kwh Consumption'!I20+'Kwh Consumption'!J20)</f>
        <v>254.00000000000489</v>
      </c>
      <c r="H19" s="1">
        <f>('Kwh Consumption'!K20+'Kwh Consumption'!L20)</f>
        <v>1320.0000000000216</v>
      </c>
      <c r="I19" s="1">
        <f>('Kwh Consumption'!M20+'Kwh Consumption'!N20+'Kwh Consumption'!O20+'Kwh Consumption'!P20+'Kwh Consumption'!Q20+'Kwh Consumption'!R20)</f>
        <v>4050.0000000000114</v>
      </c>
      <c r="J19" s="1">
        <f>('Kwh Consumption'!S20+'Kwh Consumption'!T20)</f>
        <v>4606</v>
      </c>
      <c r="K19" s="1">
        <f>'Kwh Consumption'!U20</f>
        <v>209.99999999999375</v>
      </c>
      <c r="L19" s="32">
        <f t="shared" si="0"/>
        <v>7170.000000000141</v>
      </c>
    </row>
    <row r="20" spans="1:12" x14ac:dyDescent="0.25">
      <c r="A20" s="14">
        <f>'Kwh Reading'!A21</f>
        <v>44183</v>
      </c>
      <c r="B20" s="84">
        <f>TOTAL!E19</f>
        <v>21849.99999999968</v>
      </c>
      <c r="C20" s="1">
        <f>'Kwh Consumption'!C21</f>
        <v>510.00000000004775</v>
      </c>
      <c r="D20" s="1">
        <f>'Kwh Consumption'!D21</f>
        <v>1500.0000000000568</v>
      </c>
      <c r="E20" s="1">
        <f>'Kwh Consumption'!E21</f>
        <v>269.99999999998181</v>
      </c>
      <c r="F20" s="1">
        <f>('Kwh Consumption'!F21+'Kwh Consumption'!G21+'Kwh Consumption'!H21)</f>
        <v>570.0000000000216</v>
      </c>
      <c r="G20" s="16">
        <f>('Kwh Consumption'!I21+'Kwh Consumption'!J21)</f>
        <v>248.99999999999523</v>
      </c>
      <c r="H20" s="1">
        <f>('Kwh Consumption'!K21+'Kwh Consumption'!L21)</f>
        <v>1410.0000000000819</v>
      </c>
      <c r="I20" s="1">
        <f>('Kwh Consumption'!M21+'Kwh Consumption'!N21+'Kwh Consumption'!O21+'Kwh Consumption'!P21+'Kwh Consumption'!Q21+'Kwh Consumption'!R21)</f>
        <v>4759.9999999999909</v>
      </c>
      <c r="J20" s="1">
        <f>('Kwh Consumption'!S21+'Kwh Consumption'!T21)</f>
        <v>5498</v>
      </c>
      <c r="K20" s="1">
        <f>'Kwh Consumption'!U21</f>
        <v>200.00000000000284</v>
      </c>
      <c r="L20" s="32">
        <f t="shared" si="0"/>
        <v>6882.999999999497</v>
      </c>
    </row>
    <row r="21" spans="1:12" x14ac:dyDescent="0.25">
      <c r="A21" s="14">
        <f>'Kwh Reading'!A22</f>
        <v>44184</v>
      </c>
      <c r="B21" s="84">
        <f>TOTAL!E20</f>
        <v>23379.999999999884</v>
      </c>
      <c r="C21" s="1">
        <f>'Kwh Consumption'!C22</f>
        <v>549.99999999995453</v>
      </c>
      <c r="D21" s="1">
        <f>'Kwh Consumption'!D22</f>
        <v>2499.9999999999468</v>
      </c>
      <c r="E21" s="1">
        <f>'Kwh Consumption'!E22</f>
        <v>260.00000000001933</v>
      </c>
      <c r="F21" s="1">
        <f>('Kwh Consumption'!F22+'Kwh Consumption'!G22+'Kwh Consumption'!H22)</f>
        <v>899.99999999997726</v>
      </c>
      <c r="G21" s="16">
        <f>('Kwh Consumption'!I22+'Kwh Consumption'!J22)</f>
        <v>249.00000000000944</v>
      </c>
      <c r="H21" s="1">
        <f>('Kwh Consumption'!K22+'Kwh Consumption'!L22)</f>
        <v>1449.9999999999034</v>
      </c>
      <c r="I21" s="1">
        <f>('Kwh Consumption'!M22+'Kwh Consumption'!N22+'Kwh Consumption'!O22+'Kwh Consumption'!P22+'Kwh Consumption'!Q22+'Kwh Consumption'!R22)</f>
        <v>5139.9999999999854</v>
      </c>
      <c r="J21" s="1">
        <f>('Kwh Consumption'!S22+'Kwh Consumption'!T22)</f>
        <v>6072.929999999702</v>
      </c>
      <c r="K21" s="1">
        <f>'Kwh Consumption'!U22</f>
        <v>250</v>
      </c>
      <c r="L21" s="32">
        <f t="shared" si="0"/>
        <v>6008.0700000003853</v>
      </c>
    </row>
    <row r="22" spans="1:12" x14ac:dyDescent="0.25">
      <c r="A22" s="14">
        <f>'Kwh Reading'!A23</f>
        <v>44185</v>
      </c>
      <c r="B22" s="84">
        <f>TOTAL!E21</f>
        <v>20300.000000000637</v>
      </c>
      <c r="C22" s="1">
        <f>'Kwh Consumption'!C23</f>
        <v>340.00000000003183</v>
      </c>
      <c r="D22" s="1">
        <f>'Kwh Consumption'!D23</f>
        <v>2499.9999999999468</v>
      </c>
      <c r="E22" s="1">
        <f>'Kwh Consumption'!E23</f>
        <v>279.99999999997272</v>
      </c>
      <c r="F22" s="1">
        <f>('Kwh Consumption'!F23+'Kwh Consumption'!G23+'Kwh Consumption'!H23)</f>
        <v>770.00000000001023</v>
      </c>
      <c r="G22" s="16">
        <f>('Kwh Consumption'!I23+'Kwh Consumption'!J23)</f>
        <v>262.99999999997681</v>
      </c>
      <c r="H22" s="1">
        <f>('Kwh Consumption'!K23+'Kwh Consumption'!L23)</f>
        <v>1260.0000000000762</v>
      </c>
      <c r="I22" s="1">
        <f>('Kwh Consumption'!M23+'Kwh Consumption'!N23+'Kwh Consumption'!O23+'Kwh Consumption'!P23+'Kwh Consumption'!Q23+'Kwh Consumption'!R23)</f>
        <v>3930.0000000000637</v>
      </c>
      <c r="J22" s="1">
        <f>('Kwh Consumption'!S23+'Kwh Consumption'!T23)</f>
        <v>4615.6000000005588</v>
      </c>
      <c r="K22" s="1">
        <f>'Kwh Consumption'!U23</f>
        <v>250</v>
      </c>
      <c r="L22" s="32">
        <f t="shared" si="0"/>
        <v>6091.3999999999978</v>
      </c>
    </row>
    <row r="23" spans="1:12" x14ac:dyDescent="0.25">
      <c r="A23" s="14">
        <f>'Kwh Reading'!A24</f>
        <v>44186</v>
      </c>
      <c r="B23" s="84">
        <f>TOTAL!E22</f>
        <v>18559.999999999491</v>
      </c>
      <c r="C23" s="1">
        <f>'Kwh Consumption'!C24</f>
        <v>529.99999999997272</v>
      </c>
      <c r="D23" s="1">
        <f>'Kwh Consumption'!D24</f>
        <v>2499.9999999999468</v>
      </c>
      <c r="E23" s="1">
        <f>'Kwh Consumption'!E24</f>
        <v>290.00000000002046</v>
      </c>
      <c r="F23" s="1">
        <f>('Kwh Consumption'!F24+'Kwh Consumption'!G24+'Kwh Consumption'!H24)</f>
        <v>1230.0000000000466</v>
      </c>
      <c r="G23" s="16">
        <f>('Kwh Consumption'!I24+'Kwh Consumption'!J24)</f>
        <v>345.00000000001307</v>
      </c>
      <c r="H23" s="1">
        <f>('Kwh Consumption'!K24+'Kwh Consumption'!L24)</f>
        <v>1179.9999999999216</v>
      </c>
      <c r="I23" s="1">
        <f>('Kwh Consumption'!M24+'Kwh Consumption'!N24+'Kwh Consumption'!O24+'Kwh Consumption'!P24+'Kwh Consumption'!Q24+'Kwh Consumption'!R24)</f>
        <v>3479.9999999999613</v>
      </c>
      <c r="J23" s="1">
        <f>('Kwh Consumption'!S24+'Kwh Consumption'!T24)</f>
        <v>4230.2299999995157</v>
      </c>
      <c r="K23" s="1">
        <f>'Kwh Consumption'!U24</f>
        <v>239.99999999999488</v>
      </c>
      <c r="L23" s="32">
        <f t="shared" si="0"/>
        <v>4534.7700000000987</v>
      </c>
    </row>
    <row r="24" spans="1:12" x14ac:dyDescent="0.25">
      <c r="A24" s="14">
        <f>'Kwh Reading'!A25</f>
        <v>44187</v>
      </c>
      <c r="B24" s="84">
        <f>TOTAL!E23</f>
        <v>23550.000000000182</v>
      </c>
      <c r="C24" s="1">
        <f>'Kwh Consumption'!C25</f>
        <v>560.00000000000227</v>
      </c>
      <c r="D24" s="1">
        <f>'Kwh Consumption'!D25</f>
        <v>2400.0000000001796</v>
      </c>
      <c r="E24" s="1">
        <f>'Kwh Consumption'!E25</f>
        <v>299.99999999998295</v>
      </c>
      <c r="F24" s="1">
        <f>('Kwh Consumption'!F25+'Kwh Consumption'!G25+'Kwh Consumption'!H25)</f>
        <v>879.99999999996703</v>
      </c>
      <c r="G24" s="16">
        <f>('Kwh Consumption'!I25+'Kwh Consumption'!J25)</f>
        <v>350.99999999999909</v>
      </c>
      <c r="H24" s="1">
        <f>('Kwh Consumption'!K25+'Kwh Consumption'!L25)</f>
        <v>1220.0000000000841</v>
      </c>
      <c r="I24" s="1">
        <f>('Kwh Consumption'!M25+'Kwh Consumption'!N25+'Kwh Consumption'!O25+'Kwh Consumption'!P25+'Kwh Consumption'!Q25+'Kwh Consumption'!R25)</f>
        <v>4020.0000000000387</v>
      </c>
      <c r="J24" s="1">
        <f>('Kwh Consumption'!S25+'Kwh Consumption'!T25)</f>
        <v>4175.7700000004843</v>
      </c>
      <c r="K24" s="1">
        <f>'Kwh Consumption'!U25</f>
        <v>250</v>
      </c>
      <c r="L24" s="32">
        <f t="shared" si="0"/>
        <v>9393.2299999994448</v>
      </c>
    </row>
    <row r="25" spans="1:12" x14ac:dyDescent="0.25">
      <c r="A25" s="14">
        <f>'Kwh Reading'!A26</f>
        <v>44188</v>
      </c>
      <c r="B25" s="84">
        <f>TOTAL!E24</f>
        <v>15139.999999999418</v>
      </c>
      <c r="C25" s="1">
        <f>'Kwh Consumption'!C26</f>
        <v>540.00000000002046</v>
      </c>
      <c r="D25" s="1">
        <f>'Kwh Consumption'!D26</f>
        <v>2499.9999999999468</v>
      </c>
      <c r="E25" s="1">
        <f>'Kwh Consumption'!E26</f>
        <v>260.00000000001933</v>
      </c>
      <c r="F25" s="1">
        <f>('Kwh Consumption'!F26+'Kwh Consumption'!G26+'Kwh Consumption'!H26)</f>
        <v>1000.0000000000284</v>
      </c>
      <c r="G25" s="16">
        <f>('Kwh Consumption'!I26+'Kwh Consumption'!J26)</f>
        <v>298.99999999999238</v>
      </c>
      <c r="H25" s="1">
        <f>('Kwh Consumption'!K26+'Kwh Consumption'!L26)</f>
        <v>1290.0000000000205</v>
      </c>
      <c r="I25" s="1">
        <f>('Kwh Consumption'!M26+'Kwh Consumption'!N26+'Kwh Consumption'!O26+'Kwh Consumption'!P26+'Kwh Consumption'!Q26+'Kwh Consumption'!R26)</f>
        <v>3739.9999999999523</v>
      </c>
      <c r="J25" s="1">
        <f>('Kwh Consumption'!S26+'Kwh Consumption'!T26)</f>
        <v>3914</v>
      </c>
      <c r="K25" s="1">
        <f>'Kwh Consumption'!U26</f>
        <v>240.00000000000909</v>
      </c>
      <c r="L25" s="32">
        <f t="shared" si="0"/>
        <v>1356.999999999427</v>
      </c>
    </row>
    <row r="26" spans="1:12" x14ac:dyDescent="0.25">
      <c r="A26" s="14">
        <f>'Kwh Reading'!A27</f>
        <v>44189</v>
      </c>
      <c r="B26" s="84">
        <f>TOTAL!E25</f>
        <v>20650.000000000091</v>
      </c>
      <c r="C26" s="1">
        <f>'Kwh Consumption'!C27</f>
        <v>689.99999999999773</v>
      </c>
      <c r="D26" s="1">
        <f>'Kwh Consumption'!D27</f>
        <v>2399.9999999999577</v>
      </c>
      <c r="E26" s="1">
        <f>'Kwh Consumption'!E27</f>
        <v>259.99999999999091</v>
      </c>
      <c r="F26" s="1">
        <f>('Kwh Consumption'!F27+'Kwh Consumption'!G27+'Kwh Consumption'!H27)</f>
        <v>940.00000000002615</v>
      </c>
      <c r="G26" s="16">
        <f>('Kwh Consumption'!I27+'Kwh Consumption'!J27)</f>
        <v>246.00000000000932</v>
      </c>
      <c r="H26" s="1">
        <f>('Kwh Consumption'!K27+'Kwh Consumption'!L27)</f>
        <v>1379.9999999999955</v>
      </c>
      <c r="I26" s="1">
        <f>('Kwh Consumption'!M27+'Kwh Consumption'!N27+'Kwh Consumption'!O27+'Kwh Consumption'!P27+'Kwh Consumption'!Q27+'Kwh Consumption'!R27)</f>
        <v>4210.0000000000364</v>
      </c>
      <c r="J26" s="1">
        <f>('Kwh Consumption'!S27+'Kwh Consumption'!T27)</f>
        <v>4977.2999999998137</v>
      </c>
      <c r="K26" s="1">
        <f>'Kwh Consumption'!U27</f>
        <v>219.99999999999886</v>
      </c>
      <c r="L26" s="32">
        <f t="shared" si="0"/>
        <v>5326.7000000002672</v>
      </c>
    </row>
    <row r="27" spans="1:12" x14ac:dyDescent="0.25">
      <c r="A27" s="14">
        <f>'Kwh Reading'!A28</f>
        <v>44190</v>
      </c>
      <c r="B27" s="84">
        <f>TOTAL!E26</f>
        <v>21620.000000000116</v>
      </c>
      <c r="C27" s="1">
        <f>'Kwh Consumption'!C28</f>
        <v>550.00000000001137</v>
      </c>
      <c r="D27" s="1">
        <f>'Kwh Consumption'!D28</f>
        <v>2499.9999999999468</v>
      </c>
      <c r="E27" s="1">
        <f>'Kwh Consumption'!E28</f>
        <v>310.00000000000227</v>
      </c>
      <c r="F27" s="1">
        <f>('Kwh Consumption'!F28+'Kwh Consumption'!G28+'Kwh Consumption'!H28)</f>
        <v>979.99999999998977</v>
      </c>
      <c r="G27" s="16">
        <f>('Kwh Consumption'!I28+'Kwh Consumption'!J28)</f>
        <v>359.99999999999943</v>
      </c>
      <c r="H27" s="1">
        <f>('Kwh Consumption'!K28+'Kwh Consumption'!L28)</f>
        <v>1619.9999999999193</v>
      </c>
      <c r="I27" s="1">
        <f>('Kwh Consumption'!M28+'Kwh Consumption'!N28+'Kwh Consumption'!O28+'Kwh Consumption'!P28+'Kwh Consumption'!Q28+'Kwh Consumption'!R28)</f>
        <v>5210.0000000000364</v>
      </c>
      <c r="J27" s="1">
        <f>('Kwh Consumption'!S28+'Kwh Consumption'!T28)</f>
        <v>6166.2399999992922</v>
      </c>
      <c r="K27" s="1">
        <f>'Kwh Consumption'!U28</f>
        <v>239.99999999999488</v>
      </c>
      <c r="L27" s="32">
        <f t="shared" si="0"/>
        <v>3683.7600000009238</v>
      </c>
    </row>
    <row r="28" spans="1:12" x14ac:dyDescent="0.25">
      <c r="A28" s="14">
        <f>'Kwh Reading'!A29</f>
        <v>44191</v>
      </c>
      <c r="B28" s="84">
        <f>TOTAL!E27</f>
        <v>22789.999999999964</v>
      </c>
      <c r="C28" s="1">
        <f>'Kwh Consumption'!C29</f>
        <v>329.99999999998408</v>
      </c>
      <c r="D28" s="1">
        <f>'Kwh Consumption'!D29</f>
        <v>2600.0000000001578</v>
      </c>
      <c r="E28" s="1">
        <f>'Kwh Consumption'!E29</f>
        <v>270.00000000001023</v>
      </c>
      <c r="F28" s="1">
        <f>('Kwh Consumption'!F29+'Kwh Consumption'!G29+'Kwh Consumption'!H29)</f>
        <v>1029.9999999999727</v>
      </c>
      <c r="G28" s="16">
        <f>('Kwh Consumption'!I29+'Kwh Consumption'!J29)</f>
        <v>310.99999999999284</v>
      </c>
      <c r="H28" s="1">
        <f>('Kwh Consumption'!K29+'Kwh Consumption'!L29)</f>
        <v>1480.0000000000466</v>
      </c>
      <c r="I28" s="1">
        <f>('Kwh Consumption'!M29+'Kwh Consumption'!N29+'Kwh Consumption'!O29+'Kwh Consumption'!P29+'Kwh Consumption'!Q29+'Kwh Consumption'!R29)</f>
        <v>5009.9999999999909</v>
      </c>
      <c r="J28" s="1">
        <f>('Kwh Consumption'!S29+'Kwh Consumption'!T29)</f>
        <v>5229.7199999997392</v>
      </c>
      <c r="K28" s="1">
        <f>'Kwh Consumption'!U29</f>
        <v>250</v>
      </c>
      <c r="L28" s="32">
        <f t="shared" si="0"/>
        <v>6279.2800000000698</v>
      </c>
    </row>
    <row r="29" spans="1:12" x14ac:dyDescent="0.25">
      <c r="A29" s="14">
        <f>'Kwh Reading'!A30</f>
        <v>44192</v>
      </c>
      <c r="B29" s="84">
        <f>TOTAL!E28</f>
        <v>22569.999999999483</v>
      </c>
      <c r="C29" s="1">
        <f>'Kwh Consumption'!C30</f>
        <v>740.00000000000909</v>
      </c>
      <c r="D29" s="1">
        <f>'Kwh Consumption'!D30</f>
        <v>2499.9999999999468</v>
      </c>
      <c r="E29" s="1">
        <f>'Kwh Consumption'!E30</f>
        <v>269.99999999998181</v>
      </c>
      <c r="F29" s="1">
        <f>('Kwh Consumption'!F30+'Kwh Consumption'!G30+'Kwh Consumption'!H30)</f>
        <v>959.99999999997954</v>
      </c>
      <c r="G29" s="16">
        <f>('Kwh Consumption'!I30+'Kwh Consumption'!J30)</f>
        <v>381.00000000001444</v>
      </c>
      <c r="H29" s="1">
        <f>('Kwh Consumption'!K30+'Kwh Consumption'!L30)</f>
        <v>1379.9999999999955</v>
      </c>
      <c r="I29" s="1">
        <f>('Kwh Consumption'!M30+'Kwh Consumption'!N30+'Kwh Consumption'!O30+'Kwh Consumption'!P30+'Kwh Consumption'!Q30+'Kwh Consumption'!R30)</f>
        <v>4799.9999999998981</v>
      </c>
      <c r="J29" s="1">
        <f>('Kwh Consumption'!S30+'Kwh Consumption'!T30)</f>
        <v>4651.5600000005215</v>
      </c>
      <c r="K29" s="1">
        <f>'Kwh Consumption'!U30</f>
        <v>239.99999999999488</v>
      </c>
      <c r="L29" s="32">
        <f t="shared" si="0"/>
        <v>6647.4399999991456</v>
      </c>
    </row>
    <row r="30" spans="1:12" x14ac:dyDescent="0.25">
      <c r="A30" s="14">
        <f>'Kwh Reading'!A31</f>
        <v>44193</v>
      </c>
      <c r="B30" s="84">
        <f>TOTAL!E29</f>
        <v>19190.000000000964</v>
      </c>
      <c r="C30" s="1">
        <f>'Kwh Consumption'!C31</f>
        <v>490.00000000000909</v>
      </c>
      <c r="D30" s="1">
        <f>'Kwh Consumption'!D31</f>
        <v>2399.9999999999577</v>
      </c>
      <c r="E30" s="1">
        <f>'Kwh Consumption'!E31</f>
        <v>250</v>
      </c>
      <c r="F30" s="1">
        <f>('Kwh Consumption'!F31+'Kwh Consumption'!G31+'Kwh Consumption'!H31)</f>
        <v>1099.9999999999943</v>
      </c>
      <c r="G30" s="16">
        <f>('Kwh Consumption'!I31+'Kwh Consumption'!J31)</f>
        <v>309.99999999998806</v>
      </c>
      <c r="H30" s="1">
        <f>('Kwh Consumption'!K31+'Kwh Consumption'!L31)</f>
        <v>1140.0000000000148</v>
      </c>
      <c r="I30" s="1">
        <f>('Kwh Consumption'!M31+'Kwh Consumption'!N31+'Kwh Consumption'!O31+'Kwh Consumption'!P31+'Kwh Consumption'!Q31+'Kwh Consumption'!R31)</f>
        <v>3690.0000000001114</v>
      </c>
      <c r="J30" s="1">
        <f>('Kwh Consumption'!S31+'Kwh Consumption'!T31)</f>
        <v>4202.2800000002608</v>
      </c>
      <c r="K30" s="1">
        <f>'Kwh Consumption'!U31</f>
        <v>250</v>
      </c>
      <c r="L30" s="32">
        <f t="shared" si="0"/>
        <v>5357.7200000006269</v>
      </c>
    </row>
    <row r="31" spans="1:12" x14ac:dyDescent="0.25">
      <c r="A31" s="14">
        <f>'Kwh Reading'!A32</f>
        <v>44194</v>
      </c>
      <c r="B31" s="84">
        <f>TOTAL!E30</f>
        <v>21219.999999999571</v>
      </c>
      <c r="C31" s="1">
        <f>'Kwh Consumption'!C32</f>
        <v>649.99999999997726</v>
      </c>
      <c r="D31" s="1">
        <f>'Kwh Consumption'!D32</f>
        <v>2599.9999999999359</v>
      </c>
      <c r="E31" s="1">
        <f>'Kwh Consumption'!E32</f>
        <v>280.00000000000114</v>
      </c>
      <c r="F31" s="1">
        <f>('Kwh Consumption'!F32+'Kwh Consumption'!G32+'Kwh Consumption'!H32)</f>
        <v>900.00000000003411</v>
      </c>
      <c r="G31" s="16">
        <f>('Kwh Consumption'!I32+'Kwh Consumption'!J32)</f>
        <v>296.00000000000648</v>
      </c>
      <c r="H31" s="1">
        <f>('Kwh Consumption'!K32+'Kwh Consumption'!L32)</f>
        <v>1439.9999999999693</v>
      </c>
      <c r="I31" s="1">
        <f>('Kwh Consumption'!M32+'Kwh Consumption'!N32+'Kwh Consumption'!O32+'Kwh Consumption'!P32+'Kwh Consumption'!Q32+'Kwh Consumption'!R32)</f>
        <v>4399.99999999992</v>
      </c>
      <c r="J31" s="1">
        <f>('Kwh Consumption'!S32+'Kwh Consumption'!T32)</f>
        <v>4916.4799999995157</v>
      </c>
      <c r="K31" s="1">
        <f>'Kwh Consumption'!U32</f>
        <v>260.00000000000512</v>
      </c>
      <c r="L31" s="32">
        <f t="shared" si="0"/>
        <v>5477.5200000002078</v>
      </c>
    </row>
    <row r="32" spans="1:12" x14ac:dyDescent="0.25">
      <c r="A32" s="14">
        <f>'Kwh Reading'!A33</f>
        <v>44195</v>
      </c>
      <c r="B32" s="84">
        <f>TOTAL!E31</f>
        <v>23330.000000000153</v>
      </c>
      <c r="C32" s="1">
        <f>'Kwh Consumption'!C33</f>
        <v>600.00000000002274</v>
      </c>
      <c r="D32" s="1">
        <f>'Kwh Consumption'!D33</f>
        <v>2800.0000000001355</v>
      </c>
      <c r="E32" s="1">
        <f>'Kwh Consumption'!E33</f>
        <v>280.00000000000114</v>
      </c>
      <c r="F32" s="1">
        <f>('Kwh Consumption'!F33+'Kwh Consumption'!G33+'Kwh Consumption'!H33)</f>
        <v>1009.9999999999909</v>
      </c>
      <c r="G32" s="16">
        <f>('Kwh Consumption'!I33+'Kwh Consumption'!J33)</f>
        <v>301.9999999999925</v>
      </c>
      <c r="H32" s="1">
        <f>('Kwh Consumption'!K33+'Kwh Consumption'!L33)</f>
        <v>1520.0000000000102</v>
      </c>
      <c r="I32" s="1">
        <f>('Kwh Consumption'!M33+'Kwh Consumption'!N33+'Kwh Consumption'!O33+'Kwh Consumption'!P33+'Kwh Consumption'!Q33+'Kwh Consumption'!R33)</f>
        <v>4770.0000000000955</v>
      </c>
      <c r="J32" s="1">
        <f>('Kwh Consumption'!S33+'Kwh Consumption'!T33)</f>
        <v>5631.1900000004098</v>
      </c>
      <c r="K32" s="1">
        <f>'Kwh Consumption'!U33</f>
        <v>250</v>
      </c>
      <c r="L32" s="32">
        <f t="shared" si="0"/>
        <v>6166.8099999994993</v>
      </c>
    </row>
    <row r="33" spans="1:13" x14ac:dyDescent="0.25">
      <c r="A33" s="14">
        <f>'Kwh Reading'!A34</f>
        <v>44196</v>
      </c>
      <c r="B33" s="84">
        <f>TOTAL!E32</f>
        <v>22550.000000000411</v>
      </c>
      <c r="C33" s="1">
        <f>'Kwh Consumption'!C34</f>
        <v>569.99999999999318</v>
      </c>
      <c r="D33" s="1">
        <f>'Kwh Consumption'!D34</f>
        <v>2799.9999999999136</v>
      </c>
      <c r="E33" s="1">
        <f>'Kwh Consumption'!E34</f>
        <v>289.99999999999204</v>
      </c>
      <c r="F33" s="1">
        <f>('Kwh Consumption'!F34+'Kwh Consumption'!G34+'Kwh Consumption'!H34)</f>
        <v>969.99999999999886</v>
      </c>
      <c r="G33" s="16">
        <f>('Kwh Consumption'!I34+'Kwh Consumption'!J34)</f>
        <v>358.00000000000409</v>
      </c>
      <c r="H33" s="1">
        <f>('Kwh Consumption'!K34+'Kwh Consumption'!L34)</f>
        <v>1429.9999999999784</v>
      </c>
      <c r="I33" s="1">
        <f>('Kwh Consumption'!M34+'Kwh Consumption'!N34+'Kwh Consumption'!O34+'Kwh Consumption'!P34+'Kwh Consumption'!Q34+'Kwh Consumption'!R34)</f>
        <v>4979.9999999999045</v>
      </c>
      <c r="J33" s="1">
        <f>('Kwh Consumption'!S34+'Kwh Consumption'!T34)</f>
        <v>5326.4599999999627</v>
      </c>
      <c r="K33" s="1">
        <f>'Kwh Consumption'!U34</f>
        <v>280.00000000000114</v>
      </c>
      <c r="L33" s="32">
        <f t="shared" si="0"/>
        <v>5545.5400000006621</v>
      </c>
    </row>
    <row r="34" spans="1:13" ht="15.75" x14ac:dyDescent="0.25">
      <c r="A34" s="86" t="s">
        <v>121</v>
      </c>
      <c r="B34" s="76">
        <f>SUM(B3:B33)</f>
        <v>643980.00000000023</v>
      </c>
      <c r="C34" s="76">
        <f>SUM(C3:C33)</f>
        <v>14790.000000000018</v>
      </c>
      <c r="D34" s="76">
        <f t="shared" ref="D34:L34" si="1">SUM(D3:D33)</f>
        <v>73099.999999999942</v>
      </c>
      <c r="E34" s="76">
        <f t="shared" si="1"/>
        <v>7859.9999999999836</v>
      </c>
      <c r="F34" s="76">
        <f t="shared" si="1"/>
        <v>23590.000000000029</v>
      </c>
      <c r="G34" s="76">
        <f t="shared" si="1"/>
        <v>9085.9999999999982</v>
      </c>
      <c r="H34" s="76">
        <f t="shared" si="1"/>
        <v>42739.999999999913</v>
      </c>
      <c r="I34" s="76">
        <f t="shared" si="1"/>
        <v>137909.99999999994</v>
      </c>
      <c r="J34" s="76">
        <f t="shared" si="1"/>
        <v>152860.41000000015</v>
      </c>
      <c r="K34" s="76">
        <f t="shared" si="1"/>
        <v>7049.9999999999964</v>
      </c>
      <c r="L34" s="76">
        <f t="shared" si="1"/>
        <v>174993.59000000014</v>
      </c>
      <c r="M34" s="85">
        <f>C34+D34+E34+F34+G34+H34+I34+J34+K34+L34</f>
        <v>643980.00000000012</v>
      </c>
    </row>
    <row r="36" spans="1:13" ht="15.75" x14ac:dyDescent="0.25">
      <c r="A36" s="86" t="s">
        <v>64</v>
      </c>
      <c r="B36" s="87">
        <f>TOTAL!F2</f>
        <v>0.13923730550638214</v>
      </c>
      <c r="C36" s="76">
        <f>C34*B36</f>
        <v>2059.3197484393945</v>
      </c>
      <c r="D36" s="76">
        <f>D34*B36</f>
        <v>10178.247032516527</v>
      </c>
      <c r="E36" s="76">
        <f>E34*B36</f>
        <v>1094.4052212801614</v>
      </c>
      <c r="F36" s="76">
        <f>F34*B36</f>
        <v>3284.6080368955586</v>
      </c>
      <c r="G36" s="76">
        <f>G34*B36</f>
        <v>1265.1101578309879</v>
      </c>
      <c r="H36" s="76">
        <f>H34*B36</f>
        <v>5951.0024373427605</v>
      </c>
      <c r="I36" s="76">
        <f>I34*B36</f>
        <v>19202.216802385152</v>
      </c>
      <c r="J36" s="76">
        <f>J34*B36</f>
        <v>21283.871607000852</v>
      </c>
      <c r="K36" s="76">
        <f>K34*B36</f>
        <v>981.62300381999353</v>
      </c>
      <c r="L36" s="76">
        <f>L34*B36</f>
        <v>24365.635952488599</v>
      </c>
      <c r="M36" s="85">
        <f>C36+D36+E36+F36+G36+H36+I36+J36+K36+L36</f>
        <v>89666.039999999979</v>
      </c>
    </row>
    <row r="37" spans="1:13" x14ac:dyDescent="0.25">
      <c r="J37" s="83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15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44166</v>
      </c>
      <c r="B3" s="11">
        <f>TOTAL!F2</f>
        <v>0.13923730550638214</v>
      </c>
      <c r="C3" s="11">
        <f>'Kwh Consumption'!B4*' Kwh area wise $ '!B3</f>
        <v>2809.8088251187914</v>
      </c>
      <c r="D3" s="1">
        <f>'Kwh Consumption'!C4*' Kwh area wise $ '!B3</f>
        <v>41.771191651916226</v>
      </c>
      <c r="E3" s="1">
        <f>'Kwh Consumption'!D4*' Kwh area wise $ '!B3</f>
        <v>320.24580266467456</v>
      </c>
      <c r="F3" s="1">
        <f>'Kwh Consumption'!E4*' Kwh area wise $ '!B3</f>
        <v>33.416953321532979</v>
      </c>
      <c r="G3" s="1">
        <f>('Kwh Consumption'!F4+'Kwh Consumption'!G4+'Kwh Consumption'!H4)*' Kwh area wise $ '!B3</f>
        <v>71.011025808257585</v>
      </c>
      <c r="H3" s="16">
        <f>('Kwh Consumption'!I4+'Kwh Consumption'!J4)*' Kwh area wise $ '!B3</f>
        <v>36.201699431660067</v>
      </c>
      <c r="I3" s="1">
        <f>('Kwh Consumption'!K4+'Kwh Consumption'!L4)*' Kwh area wise $ '!B3</f>
        <v>186.5779893785367</v>
      </c>
      <c r="J3" s="1">
        <f>('Kwh Consumption'!M4+'Kwh Consumption'!N4+'Kwh Consumption'!O4+'Kwh Consumption'!P4+'Kwh Consumption'!Q4+'Kwh Consumption'!R4)*' Kwh area wise $ '!B3</f>
        <v>590.36617534706147</v>
      </c>
      <c r="K3" s="1">
        <f>('Kwh Consumption'!S4+'Kwh Consumption'!T4)*' Kwh area wise $ '!B3</f>
        <v>590.14339565830187</v>
      </c>
      <c r="L3" s="1">
        <f>'Kwh Consumption'!U4*' Kwh area wise $ '!B3</f>
        <v>29.239834156339377</v>
      </c>
      <c r="M3" s="1">
        <f>'Kwh Consumption'!V4*' Kwh area wise $ '!B3</f>
        <v>910.83475770051064</v>
      </c>
    </row>
    <row r="4" spans="1:13" x14ac:dyDescent="0.25">
      <c r="A4" s="14">
        <f>'Kwh Reading'!A5</f>
        <v>44167</v>
      </c>
      <c r="B4" s="11">
        <f>TOTAL!F3</f>
        <v>0.13923730550638214</v>
      </c>
      <c r="C4" s="11">
        <f>'Kwh Consumption'!B5*' Kwh area wise $ '!B4</f>
        <v>2638.5469393458848</v>
      </c>
      <c r="D4" s="1">
        <f>'Kwh Consumption'!C5*' Kwh area wise $ '!B4</f>
        <v>64.04916053293293</v>
      </c>
      <c r="E4" s="1">
        <f>'Kwh Consumption'!D5*' Kwh area wise $ '!B4</f>
        <v>264.55088046212785</v>
      </c>
      <c r="F4" s="1">
        <f>'Kwh Consumption'!E5*' Kwh area wise $ '!B4</f>
        <v>33.416953321529022</v>
      </c>
      <c r="G4" s="1">
        <f>('Kwh Consumption'!F5+'Kwh Consumption'!G5+'Kwh Consumption'!H5)*' Kwh area wise $ '!B4</f>
        <v>71.011025808253621</v>
      </c>
      <c r="H4" s="16">
        <f>('Kwh Consumption'!I5+'Kwh Consumption'!J5)*' Kwh area wise $ '!B4</f>
        <v>41.910428957419313</v>
      </c>
      <c r="I4" s="1">
        <f>('Kwh Consumption'!K5+'Kwh Consumption'!L5)*' Kwh area wise $ '!B4</f>
        <v>164.30002049753583</v>
      </c>
      <c r="J4" s="1">
        <f>('Kwh Consumption'!M5+'Kwh Consumption'!N5+'Kwh Consumption'!O5+'Kwh Consumption'!P5+'Kwh Consumption'!Q5+'Kwh Consumption'!R5)*' Kwh area wise $ '!B4</f>
        <v>540.24074536476201</v>
      </c>
      <c r="K4" s="1">
        <f>('Kwh Consumption'!S5+'Kwh Consumption'!T5)*' Kwh area wise $ '!B4</f>
        <v>470.30880867418227</v>
      </c>
      <c r="L4" s="1">
        <f>'Kwh Consumption'!U5*' Kwh area wise $ '!B4</f>
        <v>29.239834156341356</v>
      </c>
      <c r="M4" s="1">
        <f>'Kwh Consumption'!V5*' Kwh area wise $ '!B4</f>
        <v>959.51908157080072</v>
      </c>
    </row>
    <row r="5" spans="1:13" x14ac:dyDescent="0.25">
      <c r="A5" s="14">
        <f>'Kwh Reading'!A6</f>
        <v>44168</v>
      </c>
      <c r="B5" s="11">
        <f>TOTAL!F4</f>
        <v>0.13923730550638214</v>
      </c>
      <c r="C5" s="11">
        <f>'Kwh Consumption'!B6*' Kwh area wise $ '!B5</f>
        <v>2978.2859647815912</v>
      </c>
      <c r="D5" s="1">
        <f>'Kwh Consumption'!C6*' Kwh area wise $ '!B5</f>
        <v>43.163564706978782</v>
      </c>
      <c r="E5" s="1">
        <f>'Kwh Consumption'!D6*' Kwh area wise $ '!B5</f>
        <v>320.24580266467456</v>
      </c>
      <c r="F5" s="1">
        <f>'Kwh Consumption'!E6*' Kwh area wise $ '!B5</f>
        <v>33.416953321532979</v>
      </c>
      <c r="G5" s="1">
        <f>('Kwh Consumption'!F6+'Kwh Consumption'!G6+'Kwh Consumption'!H6)*' Kwh area wise $ '!B5</f>
        <v>75.188144973449198</v>
      </c>
      <c r="H5" s="16">
        <f>('Kwh Consumption'!I6+'Kwh Consumption'!J6)*' Kwh area wise $ '!B5</f>
        <v>48.176107705208729</v>
      </c>
      <c r="I5" s="1">
        <f>('Kwh Consumption'!K6+'Kwh Consumption'!L6)*' Kwh area wise $ '!B5</f>
        <v>204.67883909438555</v>
      </c>
      <c r="J5" s="1">
        <f>('Kwh Consumption'!M6+'Kwh Consumption'!N6+'Kwh Consumption'!O6+'Kwh Consumption'!P6+'Kwh Consumption'!Q6+'Kwh Consumption'!R6)*' Kwh area wise $ '!B5</f>
        <v>764.41280723002319</v>
      </c>
      <c r="K5" s="1">
        <f>('Kwh Consumption'!S6+'Kwh Consumption'!T6)*' Kwh area wise $ '!B5</f>
        <v>556.95200677157641</v>
      </c>
      <c r="L5" s="1">
        <f>'Kwh Consumption'!U6*' Kwh area wise $ '!B5</f>
        <v>2.7847461101270885</v>
      </c>
      <c r="M5" s="1">
        <f>'Kwh Consumption'!V6*' Kwh area wise $ '!B5</f>
        <v>929.26699220363491</v>
      </c>
    </row>
    <row r="6" spans="1:13" x14ac:dyDescent="0.25">
      <c r="A6" s="14">
        <f>'Kwh Reading'!A7</f>
        <v>44169</v>
      </c>
      <c r="B6" s="11">
        <f>TOTAL!F5</f>
        <v>0.13923730550638214</v>
      </c>
      <c r="C6" s="11">
        <f>'Kwh Consumption'!B7*' Kwh area wise $ '!B6</f>
        <v>2990.8173222770274</v>
      </c>
      <c r="D6" s="1">
        <f>'Kwh Consumption'!C7*' Kwh area wise $ '!B6</f>
        <v>40.378818596853669</v>
      </c>
      <c r="E6" s="1">
        <f>'Kwh Consumption'!D7*' Kwh area wise $ '!B6</f>
        <v>278.47461101276451</v>
      </c>
      <c r="F6" s="1">
        <f>'Kwh Consumption'!E7*' Kwh area wise $ '!B6</f>
        <v>27.847461101274845</v>
      </c>
      <c r="G6" s="1">
        <f>('Kwh Consumption'!F7+'Kwh Consumption'!G7+'Kwh Consumption'!H7)*' Kwh area wise $ '!B6</f>
        <v>73.795771918382684</v>
      </c>
      <c r="H6" s="16">
        <f>('Kwh Consumption'!I7+'Kwh Consumption'!J7)*' Kwh area wise $ '!B6</f>
        <v>33.138478710520864</v>
      </c>
      <c r="I6" s="1">
        <f>('Kwh Consumption'!K7+'Kwh Consumption'!L7)*' Kwh area wise $ '!B6</f>
        <v>193.53985465386927</v>
      </c>
      <c r="J6" s="1">
        <f>('Kwh Consumption'!M7+'Kwh Consumption'!N7+'Kwh Consumption'!O7+'Kwh Consumption'!P7+'Kwh Consumption'!Q7+'Kwh Consumption'!R7)*' Kwh area wise $ '!B6</f>
        <v>696.1865275319185</v>
      </c>
      <c r="K6" s="1">
        <f>('Kwh Consumption'!S7+'Kwh Consumption'!T7)*' Kwh area wise $ '!B6</f>
        <v>875.75113383222038</v>
      </c>
      <c r="L6" s="1">
        <f>'Kwh Consumption'!U7*' Kwh area wise $ '!B6</f>
        <v>58.479668312680737</v>
      </c>
      <c r="M6" s="1">
        <f>'Kwh Consumption'!V7*' Kwh area wise $ '!B6</f>
        <v>713.22499660654194</v>
      </c>
    </row>
    <row r="7" spans="1:13" x14ac:dyDescent="0.25">
      <c r="A7" s="14">
        <f>'Kwh Reading'!A8</f>
        <v>44170</v>
      </c>
      <c r="B7" s="11">
        <f>TOTAL!F6</f>
        <v>0.13923730550638214</v>
      </c>
      <c r="C7" s="11">
        <f>'Kwh Consumption'!B8*' Kwh area wise $ '!B7</f>
        <v>2677.5333848876362</v>
      </c>
      <c r="D7" s="1">
        <f>'Kwh Consumption'!C8*' Kwh area wise $ '!B7</f>
        <v>69.618652753191071</v>
      </c>
      <c r="E7" s="1">
        <f>'Kwh Consumption'!D8*' Kwh area wise $ '!B7</f>
        <v>306.32207211403784</v>
      </c>
      <c r="F7" s="1">
        <f>'Kwh Consumption'!E8*' Kwh area wise $ '!B7</f>
        <v>33.416953321532979</v>
      </c>
      <c r="G7" s="1">
        <f>('Kwh Consumption'!F8+'Kwh Consumption'!G8+'Kwh Consumption'!H8)*' Kwh area wise $ '!B7</f>
        <v>77.972891083574311</v>
      </c>
      <c r="H7" s="16">
        <f>('Kwh Consumption'!I8+'Kwh Consumption'!J8)*' Kwh area wise $ '!B7</f>
        <v>34.530851765581438</v>
      </c>
      <c r="I7" s="1">
        <f>('Kwh Consumption'!K8+'Kwh Consumption'!L8)*' Kwh area wise $ '!B7</f>
        <v>200.50171992919786</v>
      </c>
      <c r="J7" s="1">
        <f>('Kwh Consumption'!M8+'Kwh Consumption'!N8+'Kwh Consumption'!O8+'Kwh Consumption'!P8+'Kwh Consumption'!Q8+'Kwh Consumption'!R8)*' Kwh area wise $ '!B7</f>
        <v>746.31195751421808</v>
      </c>
      <c r="K7" s="1">
        <f>('Kwh Consumption'!S8+'Kwh Consumption'!T8)*' Kwh area wise $ '!B7</f>
        <v>876.67010004838096</v>
      </c>
      <c r="L7" s="1">
        <f>'Kwh Consumption'!U8*' Kwh area wise $ '!B7</f>
        <v>29.239834156339377</v>
      </c>
      <c r="M7" s="1">
        <f>'Kwh Consumption'!V8*' Kwh area wise $ '!B7</f>
        <v>302.94835220158211</v>
      </c>
    </row>
    <row r="8" spans="1:13" x14ac:dyDescent="0.25">
      <c r="A8" s="14">
        <f>'Kwh Reading'!A9</f>
        <v>44171</v>
      </c>
      <c r="B8" s="11">
        <f>TOTAL!F7</f>
        <v>0.13923730550638214</v>
      </c>
      <c r="C8" s="11">
        <f>'Kwh Consumption'!B9*' Kwh area wise $ '!B8</f>
        <v>3253.9758296841669</v>
      </c>
      <c r="D8" s="1">
        <f>'Kwh Consumption'!C9*' Kwh area wise $ '!B8</f>
        <v>48.733056927236916</v>
      </c>
      <c r="E8" s="1">
        <f>'Kwh Consumption'!D9*' Kwh area wise $ '!B8</f>
        <v>306.32207211403784</v>
      </c>
      <c r="F8" s="1">
        <f>'Kwh Consumption'!E9*' Kwh area wise $ '!B8</f>
        <v>25.062714991149733</v>
      </c>
      <c r="G8" s="1">
        <f>('Kwh Consumption'!F9+'Kwh Consumption'!G9+'Kwh Consumption'!H9)*' Kwh area wise $ '!B8</f>
        <v>80.757637193699424</v>
      </c>
      <c r="H8" s="16">
        <f>('Kwh Consumption'!I9+'Kwh Consumption'!J9)*' Kwh area wise $ '!B8</f>
        <v>32.581529488492677</v>
      </c>
      <c r="I8" s="1">
        <f>('Kwh Consumption'!K9+'Kwh Consumption'!L9)*' Kwh area wise $ '!B8</f>
        <v>203.28646603930716</v>
      </c>
      <c r="J8" s="1">
        <f>('Kwh Consumption'!M9+'Kwh Consumption'!N9+'Kwh Consumption'!O9+'Kwh Consumption'!P9+'Kwh Consumption'!Q9+'Kwh Consumption'!R9)*' Kwh area wise $ '!B8</f>
        <v>584.79668312680349</v>
      </c>
      <c r="K8" s="1">
        <f>('Kwh Consumption'!S9+'Kwh Consumption'!T9)*' Kwh area wise $ '!B8</f>
        <v>875.81657536577211</v>
      </c>
      <c r="L8" s="1">
        <f>'Kwh Consumption'!U9*' Kwh area wise $ '!B8</f>
        <v>34.809326376595536</v>
      </c>
      <c r="M8" s="1">
        <f>'Kwh Consumption'!V9*' Kwh area wise $ '!B8</f>
        <v>1061.809768061072</v>
      </c>
    </row>
    <row r="9" spans="1:13" x14ac:dyDescent="0.25">
      <c r="A9" s="14">
        <f>'Kwh Reading'!A10</f>
        <v>44172</v>
      </c>
      <c r="B9" s="11">
        <f>TOTAL!F8</f>
        <v>0.13923730550638214</v>
      </c>
      <c r="C9" s="11">
        <f>'Kwh Consumption'!B10*' Kwh area wise $ '!B9</f>
        <v>2937.9071461846506</v>
      </c>
      <c r="D9" s="1">
        <f>'Kwh Consumption'!C10*' Kwh area wise $ '!B9</f>
        <v>68.226279698120592</v>
      </c>
      <c r="E9" s="1">
        <f>'Kwh Consumption'!D10*' Kwh area wise $ '!B9</f>
        <v>320.24580266467456</v>
      </c>
      <c r="F9" s="1">
        <f>'Kwh Consumption'!E10*' Kwh area wise $ '!B9</f>
        <v>32.024580266466465</v>
      </c>
      <c r="G9" s="1">
        <f>('Kwh Consumption'!F10+'Kwh Consumption'!G10+'Kwh Consumption'!H10)*' Kwh area wise $ '!B9</f>
        <v>97.466113854477783</v>
      </c>
      <c r="H9" s="16">
        <f>('Kwh Consumption'!I10+'Kwh Consumption'!J10)*' Kwh area wise $ '!B9</f>
        <v>45.809073511600801</v>
      </c>
      <c r="I9" s="1">
        <f>('Kwh Consumption'!K10+'Kwh Consumption'!L10)*' Kwh area wise $ '!B9</f>
        <v>217.21019658996437</v>
      </c>
      <c r="J9" s="1">
        <f>('Kwh Consumption'!M10+'Kwh Consumption'!N10+'Kwh Consumption'!O10+'Kwh Consumption'!P10+'Kwh Consumption'!Q10+'Kwh Consumption'!R10)*' Kwh area wise $ '!B9</f>
        <v>679.47805087113625</v>
      </c>
      <c r="K9" s="1">
        <f>('Kwh Consumption'!S10+'Kwh Consumption'!T10)*' Kwh area wise $ '!B9</f>
        <v>783.68603505822102</v>
      </c>
      <c r="L9" s="1">
        <f>'Kwh Consumption'!U10*' Kwh area wise $ '!B9</f>
        <v>32.024580266468448</v>
      </c>
      <c r="M9" s="1">
        <f>'Kwh Consumption'!V10*' Kwh area wise $ '!B9</f>
        <v>661.73643340352032</v>
      </c>
    </row>
    <row r="10" spans="1:13" x14ac:dyDescent="0.25">
      <c r="A10" s="14">
        <f>'Kwh Reading'!A11</f>
        <v>44173</v>
      </c>
      <c r="B10" s="11">
        <f>TOTAL!F9</f>
        <v>0.13923730550638214</v>
      </c>
      <c r="C10" s="11">
        <f>'Kwh Consumption'!B11*' Kwh area wise $ '!B10</f>
        <v>2961.5774881207776</v>
      </c>
      <c r="D10" s="1">
        <f>'Kwh Consumption'!C11*' Kwh area wise $ '!B10</f>
        <v>47.34068387217436</v>
      </c>
      <c r="E10" s="1">
        <f>'Kwh Consumption'!D11*' Kwh area wise $ '!B10</f>
        <v>292.39834156340123</v>
      </c>
      <c r="F10" s="1">
        <f>'Kwh Consumption'!E11*' Kwh area wise $ '!B10</f>
        <v>32.024580266466465</v>
      </c>
      <c r="G10" s="1">
        <f>('Kwh Consumption'!F11+'Kwh Consumption'!G11+'Kwh Consumption'!H11)*' Kwh area wise $ '!B10</f>
        <v>76.580518028499881</v>
      </c>
      <c r="H10" s="16">
        <f>('Kwh Consumption'!I11+'Kwh Consumption'!J11)*' Kwh area wise $ '!B10</f>
        <v>32.16381757197351</v>
      </c>
      <c r="I10" s="1">
        <f>('Kwh Consumption'!K11+'Kwh Consumption'!L11)*' Kwh area wise $ '!B10</f>
        <v>203.28646603930716</v>
      </c>
      <c r="J10" s="1">
        <f>('Kwh Consumption'!M11+'Kwh Consumption'!N11+'Kwh Consumption'!O11+'Kwh Consumption'!P11+'Kwh Consumption'!Q11+'Kwh Consumption'!R11)*' Kwh area wise $ '!B10</f>
        <v>620.99838255846942</v>
      </c>
      <c r="K10" s="1">
        <f>('Kwh Consumption'!S11+'Kwh Consumption'!T11)*' Kwh area wise $ '!B10</f>
        <v>652.94220518772818</v>
      </c>
      <c r="L10" s="1">
        <f>'Kwh Consumption'!U11*' Kwh area wise $ '!B10</f>
        <v>27.847461101276824</v>
      </c>
      <c r="M10" s="1">
        <f>'Kwh Consumption'!V11*' Kwh area wise $ '!B10</f>
        <v>975.9950319314803</v>
      </c>
    </row>
    <row r="11" spans="1:13" x14ac:dyDescent="0.25">
      <c r="A11" s="14">
        <f>'Kwh Reading'!A12</f>
        <v>44174</v>
      </c>
      <c r="B11" s="11">
        <f>TOTAL!F10</f>
        <v>0.13923730550638214</v>
      </c>
      <c r="C11" s="11">
        <f>'Kwh Consumption'!B12*' Kwh area wise $ '!B11</f>
        <v>2890.5664623124285</v>
      </c>
      <c r="D11" s="1">
        <f>'Kwh Consumption'!C12*' Kwh area wise $ '!B11</f>
        <v>65.441533587995494</v>
      </c>
      <c r="E11" s="1">
        <f>'Kwh Consumption'!D12*' Kwh area wise $ '!B11</f>
        <v>306.32207211403784</v>
      </c>
      <c r="F11" s="1">
        <f>'Kwh Consumption'!E12*' Kwh area wise $ '!B11</f>
        <v>32.024580266470423</v>
      </c>
      <c r="G11" s="1">
        <f>('Kwh Consumption'!F12+'Kwh Consumption'!G12+'Kwh Consumption'!H12)*' Kwh area wise $ '!B11</f>
        <v>82.150010248773853</v>
      </c>
      <c r="H11" s="16">
        <f>('Kwh Consumption'!I12+'Kwh Consumption'!J12)*' Kwh area wise $ '!B11</f>
        <v>40.657293207863809</v>
      </c>
      <c r="I11" s="1">
        <f>('Kwh Consumption'!K12+'Kwh Consumption'!L12)*' Kwh area wise $ '!B11</f>
        <v>214.42545047984322</v>
      </c>
      <c r="J11" s="1">
        <f>('Kwh Consumption'!M12+'Kwh Consumption'!N12+'Kwh Consumption'!O12+'Kwh Consumption'!P12+'Kwh Consumption'!Q12+'Kwh Consumption'!R12)*' Kwh area wise $ '!B11</f>
        <v>703.14839280723936</v>
      </c>
      <c r="K11" s="1">
        <f>('Kwh Consumption'!S12+'Kwh Consumption'!T12)*' Kwh area wise $ '!B11</f>
        <v>728.97412823248612</v>
      </c>
      <c r="L11" s="1">
        <f>'Kwh Consumption'!U12*' Kwh area wise $ '!B11</f>
        <v>30.632207211403912</v>
      </c>
      <c r="M11" s="1">
        <f>'Kwh Consumption'!V12*' Kwh area wise $ '!B11</f>
        <v>686.79079415631452</v>
      </c>
    </row>
    <row r="12" spans="1:13" x14ac:dyDescent="0.25">
      <c r="A12" s="14">
        <f>'Kwh Reading'!A13</f>
        <v>44175</v>
      </c>
      <c r="B12" s="11">
        <f>TOTAL!F11</f>
        <v>0.13923730550638214</v>
      </c>
      <c r="C12" s="11">
        <f>'Kwh Consumption'!B13*' Kwh area wise $ '!B12</f>
        <v>2218.0502767167714</v>
      </c>
      <c r="D12" s="1">
        <f>'Kwh Consumption'!C13*' Kwh area wise $ '!B12</f>
        <v>51.517803037362022</v>
      </c>
      <c r="E12" s="1">
        <f>'Kwh Consumption'!D13*' Kwh area wise $ '!B12</f>
        <v>306.32207211406882</v>
      </c>
      <c r="F12" s="1">
        <f>'Kwh Consumption'!E13*' Kwh area wise $ '!B12</f>
        <v>33.416953321532979</v>
      </c>
      <c r="G12" s="1">
        <f>('Kwh Consumption'!F13+'Kwh Consumption'!G13+'Kwh Consumption'!H13)*' Kwh area wise $ '!B12</f>
        <v>98.858486909528466</v>
      </c>
      <c r="H12" s="16">
        <f>('Kwh Consumption'!I13+'Kwh Consumption'!J13)*' Kwh area wise $ '!B12</f>
        <v>43.442039317990897</v>
      </c>
      <c r="I12" s="1">
        <f>('Kwh Consumption'!K13+'Kwh Consumption'!L13)*' Kwh area wise $ '!B12</f>
        <v>211.64070436969831</v>
      </c>
      <c r="J12" s="1">
        <f>('Kwh Consumption'!M13+'Kwh Consumption'!N13+'Kwh Consumption'!O13+'Kwh Consumption'!P13+'Kwh Consumption'!Q13+'Kwh Consumption'!R13)*' Kwh area wise $ '!B12</f>
        <v>614.03651728314878</v>
      </c>
      <c r="K12" s="1">
        <f>('Kwh Consumption'!S13+'Kwh Consumption'!T13)*' Kwh area wise $ '!B12</f>
        <v>646.33121792235261</v>
      </c>
      <c r="L12" s="1">
        <f>'Kwh Consumption'!U13*' Kwh area wise $ '!B12</f>
        <v>27.847461101276824</v>
      </c>
      <c r="M12" s="1">
        <f>'Kwh Consumption'!V13*' Kwh area wise $ '!B12</f>
        <v>184.63702133981153</v>
      </c>
    </row>
    <row r="13" spans="1:13" x14ac:dyDescent="0.25">
      <c r="A13" s="14">
        <f>'Kwh Reading'!A14</f>
        <v>44176</v>
      </c>
      <c r="B13" s="11">
        <f>TOTAL!F12</f>
        <v>0.13923730550638214</v>
      </c>
      <c r="C13" s="11">
        <f>'Kwh Consumption'!B14*' Kwh area wise $ '!B13</f>
        <v>2809.8088251188951</v>
      </c>
      <c r="D13" s="1">
        <f>'Kwh Consumption'!C14*' Kwh area wise $ '!B13</f>
        <v>45.948310817111803</v>
      </c>
      <c r="E13" s="1">
        <f>'Kwh Consumption'!D14*' Kwh area wise $ '!B13</f>
        <v>278.47461101276451</v>
      </c>
      <c r="F13" s="1">
        <f>'Kwh Consumption'!E14*' Kwh area wise $ '!B13</f>
        <v>30.632207211403912</v>
      </c>
      <c r="G13" s="1">
        <f>('Kwh Consumption'!F14+'Kwh Consumption'!G14+'Kwh Consumption'!H14)*' Kwh area wise $ '!B13</f>
        <v>57.087295257616198</v>
      </c>
      <c r="H13" s="16">
        <f>('Kwh Consumption'!I14+'Kwh Consumption'!J14)*' Kwh area wise $ '!B13</f>
        <v>50.26466728780256</v>
      </c>
      <c r="I13" s="1">
        <f>('Kwh Consumption'!K14+'Kwh Consumption'!L14)*' Kwh area wise $ '!B13</f>
        <v>181.00849715828647</v>
      </c>
      <c r="J13" s="1">
        <f>('Kwh Consumption'!M14+'Kwh Consumption'!N14+'Kwh Consumption'!O14+'Kwh Consumption'!P14+'Kwh Consumption'!Q14+'Kwh Consumption'!R14)*' Kwh area wise $ '!B13</f>
        <v>543.02549147488719</v>
      </c>
      <c r="K13" s="1">
        <f>('Kwh Consumption'!S14+'Kwh Consumption'!T14)*' Kwh area wise $ '!B13</f>
        <v>572.50759854284286</v>
      </c>
      <c r="L13" s="1">
        <f>'Kwh Consumption'!U14*' Kwh area wise $ '!B13</f>
        <v>27.847461101276824</v>
      </c>
      <c r="M13" s="1">
        <f>'Kwh Consumption'!V14*' Kwh area wise $ '!B13</f>
        <v>1023.0126852549031</v>
      </c>
    </row>
    <row r="14" spans="1:13" x14ac:dyDescent="0.25">
      <c r="A14" s="14">
        <f>'Kwh Reading'!A15</f>
        <v>44177</v>
      </c>
      <c r="B14" s="11">
        <f>TOTAL!F13</f>
        <v>0.13923730550638214</v>
      </c>
      <c r="C14" s="11">
        <f>'Kwh Consumption'!B15*' Kwh area wise $ '!B14</f>
        <v>2375.3884319388399</v>
      </c>
      <c r="D14" s="1">
        <f>'Kwh Consumption'!C15*' Kwh area wise $ '!B14</f>
        <v>65.441533587995494</v>
      </c>
      <c r="E14" s="1">
        <f>'Kwh Consumption'!D15*' Kwh area wise $ '!B14</f>
        <v>306.32207211403784</v>
      </c>
      <c r="F14" s="1">
        <f>'Kwh Consumption'!E15*' Kwh area wise $ '!B14</f>
        <v>34.809326376595536</v>
      </c>
      <c r="G14" s="1">
        <f>('Kwh Consumption'!F15+'Kwh Consumption'!G15+'Kwh Consumption'!H15)*' Kwh area wise $ '!B14</f>
        <v>123.92120190068216</v>
      </c>
      <c r="H14" s="16">
        <f>('Kwh Consumption'!I15+'Kwh Consumption'!J15)*' Kwh area wise $ '!B14</f>
        <v>42.188903568435386</v>
      </c>
      <c r="I14" s="1">
        <f>('Kwh Consumption'!K15+'Kwh Consumption'!L15)*' Kwh area wise $ '!B14</f>
        <v>178.22375104817721</v>
      </c>
      <c r="J14" s="1">
        <f>('Kwh Consumption'!M15+'Kwh Consumption'!N15+'Kwh Consumption'!O15+'Kwh Consumption'!P15+'Kwh Consumption'!Q15+'Kwh Consumption'!R15)*' Kwh area wise $ '!B14</f>
        <v>508.21616509828374</v>
      </c>
      <c r="K14" s="1">
        <f>('Kwh Consumption'!S15+'Kwh Consumption'!T15)*' Kwh area wise $ '!B14</f>
        <v>552.97538932637121</v>
      </c>
      <c r="L14" s="1">
        <f>'Kwh Consumption'!U15*' Kwh area wise $ '!B14</f>
        <v>26.455088046212289</v>
      </c>
      <c r="M14" s="1">
        <f>'Kwh Consumption'!V15*' Kwh area wise $ '!B14</f>
        <v>536.83500087204914</v>
      </c>
    </row>
    <row r="15" spans="1:13" x14ac:dyDescent="0.25">
      <c r="A15" s="14">
        <f>'Kwh Reading'!A16</f>
        <v>44178</v>
      </c>
      <c r="B15" s="11">
        <f>TOTAL!F14</f>
        <v>0.13923730550638214</v>
      </c>
      <c r="C15" s="11">
        <f>'Kwh Consumption'!B16*' Kwh area wise $ '!B15</f>
        <v>3210.8122649770698</v>
      </c>
      <c r="D15" s="1">
        <f>'Kwh Consumption'!C16*' Kwh area wise $ '!B15</f>
        <v>55.694922202549691</v>
      </c>
      <c r="E15" s="1">
        <f>'Kwh Consumption'!D16*' Kwh area wise $ '!B15</f>
        <v>306.32207211403784</v>
      </c>
      <c r="F15" s="1">
        <f>'Kwh Consumption'!E16*' Kwh area wise $ '!B15</f>
        <v>30.632207211403912</v>
      </c>
      <c r="G15" s="1">
        <f>('Kwh Consumption'!F16+'Kwh Consumption'!G16+'Kwh Consumption'!H16)*' Kwh area wise $ '!B15</f>
        <v>73.795771918374783</v>
      </c>
      <c r="H15" s="16">
        <f>('Kwh Consumption'!I16+'Kwh Consumption'!J16)*' Kwh area wise $ '!B15</f>
        <v>36.619411348179227</v>
      </c>
      <c r="I15" s="1">
        <f>('Kwh Consumption'!K16+'Kwh Consumption'!L16)*' Kwh area wise $ '!B15</f>
        <v>168.47713966272744</v>
      </c>
      <c r="J15" s="1">
        <f>('Kwh Consumption'!M16+'Kwh Consumption'!N16+'Kwh Consumption'!O16+'Kwh Consumption'!P16+'Kwh Consumption'!Q16+'Kwh Consumption'!R16)*' Kwh area wise $ '!B15</f>
        <v>543.02549147487923</v>
      </c>
      <c r="K15" s="1">
        <f>('Kwh Consumption'!S16+'Kwh Consumption'!T16)*' Kwh area wise $ '!B15</f>
        <v>609.69649047039195</v>
      </c>
      <c r="L15" s="1">
        <f>'Kwh Consumption'!U16*' Kwh area wise $ '!B15</f>
        <v>27.847461101274845</v>
      </c>
      <c r="M15" s="1">
        <f>'Kwh Consumption'!V16*' Kwh area wise $ '!B15</f>
        <v>1358.7012974732506</v>
      </c>
    </row>
    <row r="16" spans="1:13" x14ac:dyDescent="0.25">
      <c r="A16" s="14">
        <f>'Kwh Reading'!A17</f>
        <v>44179</v>
      </c>
      <c r="B16" s="11">
        <f>TOTAL!F15</f>
        <v>0.13923730550638214</v>
      </c>
      <c r="C16" s="11">
        <f>'Kwh Consumption'!B17*' Kwh area wise $ '!B16</f>
        <v>2883.6045970373057</v>
      </c>
      <c r="D16" s="1">
        <f>'Kwh Consumption'!C17*' Kwh area wise $ '!B16</f>
        <v>73.795771918386649</v>
      </c>
      <c r="E16" s="1">
        <f>'Kwh Consumption'!D17*' Kwh area wise $ '!B16</f>
        <v>320.24580266467456</v>
      </c>
      <c r="F16" s="1">
        <f>'Kwh Consumption'!E17*' Kwh area wise $ '!B16</f>
        <v>34.809326376595536</v>
      </c>
      <c r="G16" s="1">
        <f>('Kwh Consumption'!F17+'Kwh Consumption'!G17+'Kwh Consumption'!H17)*' Kwh area wise $ '!B16</f>
        <v>84.93475635889105</v>
      </c>
      <c r="H16" s="16">
        <f>('Kwh Consumption'!I17+'Kwh Consumption'!J17)*' Kwh area wise $ '!B16</f>
        <v>50.125429982295515</v>
      </c>
      <c r="I16" s="1">
        <f>('Kwh Consumption'!K17+'Kwh Consumption'!L17)*' Kwh area wise $ '!B16</f>
        <v>187.97036243360321</v>
      </c>
      <c r="J16" s="1">
        <f>('Kwh Consumption'!M17+'Kwh Consumption'!N17+'Kwh Consumption'!O17+'Kwh Consumption'!P17+'Kwh Consumption'!Q17+'Kwh Consumption'!R17)*' Kwh area wise $ '!B16</f>
        <v>591.75854840213196</v>
      </c>
      <c r="K16" s="1">
        <f>('Kwh Consumption'!S17+'Kwh Consumption'!T17)*' Kwh area wise $ '!B16</f>
        <v>708.70535367001025</v>
      </c>
      <c r="L16" s="1">
        <f>'Kwh Consumption'!U17*' Kwh area wise $ '!B16</f>
        <v>26.455088046214268</v>
      </c>
      <c r="M16" s="1">
        <f>'Kwh Consumption'!V17*' Kwh area wise $ '!B16</f>
        <v>804.80415718450263</v>
      </c>
    </row>
    <row r="17" spans="1:13" x14ac:dyDescent="0.25">
      <c r="A17" s="14">
        <f>'Kwh Reading'!A18</f>
        <v>44180</v>
      </c>
      <c r="B17" s="11">
        <f>TOTAL!F16</f>
        <v>0.13923730550638214</v>
      </c>
      <c r="C17" s="11">
        <f>'Kwh Consumption'!B18*' Kwh area wise $ '!B17</f>
        <v>2866.896120376302</v>
      </c>
      <c r="D17" s="1">
        <f>'Kwh Consumption'!C18*' Kwh area wise $ '!B17</f>
        <v>71.011025808253621</v>
      </c>
      <c r="E17" s="1">
        <f>'Kwh Consumption'!D18*' Kwh area wise $ '!B17</f>
        <v>334.16953321531122</v>
      </c>
      <c r="F17" s="1">
        <f>'Kwh Consumption'!E18*' Kwh area wise $ '!B17</f>
        <v>37.594072486720641</v>
      </c>
      <c r="G17" s="1">
        <f>('Kwh Consumption'!F18+'Kwh Consumption'!G18+'Kwh Consumption'!H18)*' Kwh area wise $ '!B17</f>
        <v>84.93475635889105</v>
      </c>
      <c r="H17" s="16">
        <f>('Kwh Consumption'!I18+'Kwh Consumption'!J18)*' Kwh area wise $ '!B17</f>
        <v>21.024833131465158</v>
      </c>
      <c r="I17" s="1">
        <f>('Kwh Consumption'!K18+'Kwh Consumption'!L18)*' Kwh area wise $ '!B17</f>
        <v>181.0084971583023</v>
      </c>
      <c r="J17" s="1">
        <f>('Kwh Consumption'!M18+'Kwh Consumption'!N18+'Kwh Consumption'!O18+'Kwh Consumption'!P18+'Kwh Consumption'!Q18+'Kwh Consumption'!R18)*' Kwh area wise $ '!B17</f>
        <v>608.46702506289057</v>
      </c>
      <c r="K17" s="1">
        <f>('Kwh Consumption'!S18+'Kwh Consumption'!T18)*' Kwh area wise $ '!B17</f>
        <v>709.89722500521748</v>
      </c>
      <c r="L17" s="1">
        <f>'Kwh Consumption'!U18*' Kwh area wise $ '!B17</f>
        <v>32.024580266466465</v>
      </c>
      <c r="M17" s="1">
        <f>'Kwh Consumption'!V18*' Kwh area wise $ '!B17</f>
        <v>786.76457188278323</v>
      </c>
    </row>
    <row r="18" spans="1:13" x14ac:dyDescent="0.25">
      <c r="A18" s="14">
        <f>'Kwh Reading'!A19</f>
        <v>44181</v>
      </c>
      <c r="B18" s="11">
        <f>TOTAL!F17</f>
        <v>0.13923730550638214</v>
      </c>
      <c r="C18" s="11">
        <f>'Kwh Consumption'!B19*' Kwh area wise $ '!B18</f>
        <v>3028.4113947638743</v>
      </c>
      <c r="D18" s="1">
        <f>'Kwh Consumption'!C19*' Kwh area wise $ '!B18</f>
        <v>69.618652753191071</v>
      </c>
      <c r="E18" s="1">
        <f>'Kwh Consumption'!D19*' Kwh area wise $ '!B18</f>
        <v>640.49160532934911</v>
      </c>
      <c r="F18" s="1">
        <f>'Kwh Consumption'!E19*' Kwh area wise $ '!B18</f>
        <v>37.594072486724599</v>
      </c>
      <c r="G18" s="1">
        <f>('Kwh Consumption'!F19+'Kwh Consumption'!G19+'Kwh Consumption'!H19)*' Kwh area wise $ '!B18</f>
        <v>114.17459051524031</v>
      </c>
      <c r="H18" s="16">
        <f>('Kwh Consumption'!I19+'Kwh Consumption'!J19)*' Kwh area wise $ '!B18</f>
        <v>39.404157458306315</v>
      </c>
      <c r="I18" s="1">
        <f>('Kwh Consumption'!K19+'Kwh Consumption'!L19)*' Kwh area wise $ '!B18</f>
        <v>197.71697381905298</v>
      </c>
      <c r="J18" s="1">
        <f>('Kwh Consumption'!M19+'Kwh Consumption'!N19+'Kwh Consumption'!O19+'Kwh Consumption'!P19+'Kwh Consumption'!Q19+'Kwh Consumption'!R19)*' Kwh area wise $ '!B18</f>
        <v>651.6305897698694</v>
      </c>
      <c r="K18" s="1">
        <f>('Kwh Consumption'!S19+'Kwh Consumption'!T19)*' Kwh area wise $ '!B18</f>
        <v>739.18996933750498</v>
      </c>
      <c r="L18" s="1">
        <f>'Kwh Consumption'!U19*' Kwh area wise $ '!B18</f>
        <v>33.416953321532979</v>
      </c>
      <c r="M18" s="1">
        <f>'Kwh Consumption'!V19*' Kwh area wise $ '!B18</f>
        <v>505.17382997310312</v>
      </c>
    </row>
    <row r="19" spans="1:13" x14ac:dyDescent="0.25">
      <c r="A19" s="14">
        <f>'Kwh Reading'!A20</f>
        <v>44182</v>
      </c>
      <c r="B19" s="11">
        <f>TOTAL!F18</f>
        <v>0.13923730550638214</v>
      </c>
      <c r="C19" s="11">
        <f>'Kwh Consumption'!B20*' Kwh area wise $ '!B19</f>
        <v>2822.3401826143954</v>
      </c>
      <c r="D19" s="1">
        <f>'Kwh Consumption'!C20*' Kwh area wise $ '!B19</f>
        <v>72.403398863316184</v>
      </c>
      <c r="E19" s="1">
        <f>'Kwh Consumption'!D20*' Kwh area wise $ '!B19</f>
        <v>167.08476660767107</v>
      </c>
      <c r="F19" s="1">
        <f>'Kwh Consumption'!E20*' Kwh area wise $ '!B19</f>
        <v>33.416953321532979</v>
      </c>
      <c r="G19" s="1">
        <f>('Kwh Consumption'!F20+'Kwh Consumption'!G20+'Kwh Consumption'!H20)*' Kwh area wise $ '!B19</f>
        <v>97.466113854461952</v>
      </c>
      <c r="H19" s="16">
        <f>('Kwh Consumption'!I20+'Kwh Consumption'!J20)*' Kwh area wise $ '!B19</f>
        <v>35.366275598621741</v>
      </c>
      <c r="I19" s="1">
        <f>('Kwh Consumption'!K20+'Kwh Consumption'!L20)*' Kwh area wise $ '!B19</f>
        <v>183.79324326842743</v>
      </c>
      <c r="J19" s="1">
        <f>('Kwh Consumption'!M20+'Kwh Consumption'!N20+'Kwh Consumption'!O20+'Kwh Consumption'!P20+'Kwh Consumption'!Q20+'Kwh Consumption'!R20)*' Kwh area wise $ '!B19</f>
        <v>563.9110873008492</v>
      </c>
      <c r="K19" s="1">
        <f>('Kwh Consumption'!S20+'Kwh Consumption'!T20)*' Kwh area wise $ '!B19</f>
        <v>641.32702916239612</v>
      </c>
      <c r="L19" s="1">
        <f>'Kwh Consumption'!U20*' Kwh area wise $ '!B19</f>
        <v>29.239834156339377</v>
      </c>
      <c r="M19" s="1">
        <f>'Kwh Consumption'!V20*' Kwh area wise $ '!B19</f>
        <v>998.33148048077919</v>
      </c>
    </row>
    <row r="20" spans="1:13" x14ac:dyDescent="0.25">
      <c r="A20" s="14">
        <f>'Kwh Reading'!A21</f>
        <v>44183</v>
      </c>
      <c r="B20" s="11">
        <f>TOTAL!F19</f>
        <v>0.13923730550638214</v>
      </c>
      <c r="C20" s="11">
        <f>'Kwh Consumption'!B21*' Kwh area wise $ '!B20</f>
        <v>3042.3351253144051</v>
      </c>
      <c r="D20" s="1">
        <f>'Kwh Consumption'!C21*' Kwh area wise $ '!B20</f>
        <v>71.011025808261536</v>
      </c>
      <c r="E20" s="1">
        <f>'Kwh Consumption'!D21*' Kwh area wise $ '!B20</f>
        <v>208.85595825958112</v>
      </c>
      <c r="F20" s="1">
        <f>'Kwh Consumption'!E21*' Kwh area wise $ '!B20</f>
        <v>37.594072486720641</v>
      </c>
      <c r="G20" s="1">
        <f>('Kwh Consumption'!F21+'Kwh Consumption'!G21+'Kwh Consumption'!H21)*' Kwh area wise $ '!B20</f>
        <v>79.365264138640825</v>
      </c>
      <c r="H20" s="16">
        <f>('Kwh Consumption'!I21+'Kwh Consumption'!J21)*' Kwh area wise $ '!B20</f>
        <v>34.670089071088491</v>
      </c>
      <c r="I20" s="1">
        <f>('Kwh Consumption'!K21+'Kwh Consumption'!L21)*' Kwh area wise $ '!B20</f>
        <v>196.3246007640102</v>
      </c>
      <c r="J20" s="1">
        <f>('Kwh Consumption'!M21+'Kwh Consumption'!N21+'Kwh Consumption'!O21+'Kwh Consumption'!P21+'Kwh Consumption'!Q21+'Kwh Consumption'!R21)*' Kwh area wise $ '!B20</f>
        <v>662.76957421037775</v>
      </c>
      <c r="K20" s="1">
        <f>('Kwh Consumption'!S21+'Kwh Consumption'!T21)*' Kwh area wise $ '!B20</f>
        <v>765.52670567408893</v>
      </c>
      <c r="L20" s="1">
        <f>'Kwh Consumption'!U21*' Kwh area wise $ '!B20</f>
        <v>27.847461101276824</v>
      </c>
      <c r="M20" s="1">
        <f>'Kwh Consumption'!V21*' Kwh area wise $ '!B20</f>
        <v>958.37037380035861</v>
      </c>
    </row>
    <row r="21" spans="1:13" x14ac:dyDescent="0.25">
      <c r="A21" s="14">
        <f>'Kwh Reading'!A22</f>
        <v>44184</v>
      </c>
      <c r="B21" s="11">
        <f>TOTAL!F20</f>
        <v>0.13923730550638214</v>
      </c>
      <c r="C21" s="11">
        <f>'Kwh Consumption'!B22*' Kwh area wise $ '!B21</f>
        <v>3255.3682027391983</v>
      </c>
      <c r="D21" s="1">
        <f>'Kwh Consumption'!C22*' Kwh area wise $ '!B21</f>
        <v>76.580518028503846</v>
      </c>
      <c r="E21" s="1">
        <f>'Kwh Consumption'!D22*' Kwh area wise $ '!B21</f>
        <v>348.09326376594794</v>
      </c>
      <c r="F21" s="1">
        <f>'Kwh Consumption'!E22*' Kwh area wise $ '!B21</f>
        <v>36.20169943166205</v>
      </c>
      <c r="G21" s="1">
        <f>('Kwh Consumption'!F22+'Kwh Consumption'!G22+'Kwh Consumption'!H22)*' Kwh area wise $ '!B21</f>
        <v>125.31357495574076</v>
      </c>
      <c r="H21" s="16">
        <f>('Kwh Consumption'!I22+'Kwh Consumption'!J22)*' Kwh area wise $ '!B21</f>
        <v>34.670089071090466</v>
      </c>
      <c r="I21" s="1">
        <f>('Kwh Consumption'!K22+'Kwh Consumption'!L22)*' Kwh area wise $ '!B21</f>
        <v>201.89409298424064</v>
      </c>
      <c r="J21" s="1">
        <f>('Kwh Consumption'!M22+'Kwh Consumption'!N22+'Kwh Consumption'!O22+'Kwh Consumption'!P22+'Kwh Consumption'!Q22+'Kwh Consumption'!R22)*' Kwh area wise $ '!B21</f>
        <v>715.67975030280218</v>
      </c>
      <c r="K21" s="1">
        <f>('Kwh Consumption'!S22+'Kwh Consumption'!T22)*' Kwh area wise $ '!B21</f>
        <v>845.57840972883173</v>
      </c>
      <c r="L21" s="1">
        <f>'Kwh Consumption'!U22*' Kwh area wise $ '!B21</f>
        <v>34.809326376595536</v>
      </c>
      <c r="M21" s="1">
        <f>'Kwh Consumption'!V22*' Kwh area wise $ '!B21</f>
        <v>836.54747809378296</v>
      </c>
    </row>
    <row r="22" spans="1:13" x14ac:dyDescent="0.25">
      <c r="A22" s="14">
        <f>'Kwh Reading'!A23</f>
        <v>44185</v>
      </c>
      <c r="B22" s="11">
        <f>TOTAL!F21</f>
        <v>0.13923730550638214</v>
      </c>
      <c r="C22" s="11">
        <f>'Kwh Consumption'!B23*' Kwh area wise $ '!B22</f>
        <v>2826.517301779646</v>
      </c>
      <c r="D22" s="1">
        <f>'Kwh Consumption'!C23*' Kwh area wise $ '!B22</f>
        <v>47.34068387217436</v>
      </c>
      <c r="E22" s="1">
        <f>'Kwh Consumption'!D23*' Kwh area wise $ '!B22</f>
        <v>348.09326376594794</v>
      </c>
      <c r="F22" s="1">
        <f>'Kwh Consumption'!E23*' Kwh area wise $ '!B22</f>
        <v>38.986445541783198</v>
      </c>
      <c r="G22" s="1">
        <f>('Kwh Consumption'!F23+'Kwh Consumption'!G23+'Kwh Consumption'!H23)*' Kwh area wise $ '!B22</f>
        <v>107.21272523991567</v>
      </c>
      <c r="H22" s="16">
        <f>('Kwh Consumption'!I23+'Kwh Consumption'!J23)*' Kwh area wise $ '!B22</f>
        <v>36.619411348175269</v>
      </c>
      <c r="I22" s="1">
        <f>('Kwh Consumption'!K23+'Kwh Consumption'!L23)*' Kwh area wise $ '!B22</f>
        <v>175.43900493805211</v>
      </c>
      <c r="J22" s="1">
        <f>('Kwh Consumption'!M23+'Kwh Consumption'!N23+'Kwh Consumption'!O23+'Kwh Consumption'!P23+'Kwh Consumption'!Q23+'Kwh Consumption'!R23)*' Kwh area wise $ '!B22</f>
        <v>547.20261064009071</v>
      </c>
      <c r="K22" s="1">
        <f>('Kwh Consumption'!S23+'Kwh Consumption'!T23)*' Kwh area wise $ '!B22</f>
        <v>642.66370729533514</v>
      </c>
      <c r="L22" s="1">
        <f>'Kwh Consumption'!U23*' Kwh area wise $ '!B22</f>
        <v>34.809326376595536</v>
      </c>
      <c r="M22" s="1">
        <f>'Kwh Consumption'!V23*' Kwh area wise $ '!B22</f>
        <v>848.15012276157609</v>
      </c>
    </row>
    <row r="23" spans="1:13" x14ac:dyDescent="0.25">
      <c r="A23" s="14">
        <f>'Kwh Reading'!A24</f>
        <v>44186</v>
      </c>
      <c r="B23" s="11">
        <f>TOTAL!F22</f>
        <v>0.13923730550638214</v>
      </c>
      <c r="C23" s="11">
        <f>'Kwh Consumption'!B24*' Kwh area wise $ '!B23</f>
        <v>2584.2443901983816</v>
      </c>
      <c r="D23" s="1">
        <f>'Kwh Consumption'!C24*' Kwh area wise $ '!B23</f>
        <v>73.795771918378733</v>
      </c>
      <c r="E23" s="1">
        <f>'Kwh Consumption'!D24*' Kwh area wise $ '!B23</f>
        <v>348.09326376594794</v>
      </c>
      <c r="F23" s="1">
        <f>'Kwh Consumption'!E24*' Kwh area wise $ '!B23</f>
        <v>40.378818596853669</v>
      </c>
      <c r="G23" s="1">
        <f>('Kwh Consumption'!F24+'Kwh Consumption'!G24+'Kwh Consumption'!H24)*' Kwh area wise $ '!B23</f>
        <v>171.26188577285652</v>
      </c>
      <c r="H23" s="16">
        <f>('Kwh Consumption'!I24+'Kwh Consumption'!J24)*' Kwh area wise $ '!B23</f>
        <v>48.036870399703659</v>
      </c>
      <c r="I23" s="1">
        <f>('Kwh Consumption'!K24+'Kwh Consumption'!L24)*' Kwh area wise $ '!B23</f>
        <v>164.30002049751999</v>
      </c>
      <c r="J23" s="1">
        <f>('Kwh Consumption'!M24+'Kwh Consumption'!N24+'Kwh Consumption'!O24+'Kwh Consumption'!P24+'Kwh Consumption'!Q24+'Kwh Consumption'!R24)*' Kwh area wise $ '!B23</f>
        <v>484.54582316220444</v>
      </c>
      <c r="K23" s="1">
        <f>('Kwh Consumption'!S24+'Kwh Consumption'!T24)*' Kwh area wise $ '!B23</f>
        <v>589.00582687219548</v>
      </c>
      <c r="L23" s="1">
        <f>'Kwh Consumption'!U24*' Kwh area wise $ '!B23</f>
        <v>33.416953321530997</v>
      </c>
      <c r="M23" s="1">
        <f>'Kwh Consumption'!V24*' Kwh area wise $ '!B23</f>
        <v>631.40915589119004</v>
      </c>
    </row>
    <row r="24" spans="1:13" x14ac:dyDescent="0.25">
      <c r="A24" s="14">
        <f>'Kwh Reading'!A25</f>
        <v>44187</v>
      </c>
      <c r="B24" s="11">
        <f>TOTAL!F23</f>
        <v>0.13923730550638214</v>
      </c>
      <c r="C24" s="11">
        <f>'Kwh Consumption'!B25*' Kwh area wise $ '!B24</f>
        <v>3279.0385446753248</v>
      </c>
      <c r="D24" s="1">
        <f>'Kwh Consumption'!C25*' Kwh area wise $ '!B24</f>
        <v>77.972891083574311</v>
      </c>
      <c r="E24" s="1">
        <f>'Kwh Consumption'!D25*' Kwh area wise $ '!B24</f>
        <v>334.16953321534214</v>
      </c>
      <c r="F24" s="1">
        <f>'Kwh Consumption'!E25*' Kwh area wise $ '!B24</f>
        <v>41.771191651912268</v>
      </c>
      <c r="G24" s="1">
        <f>('Kwh Consumption'!F25+'Kwh Consumption'!G25+'Kwh Consumption'!H25)*' Kwh area wise $ '!B24</f>
        <v>122.52882884561168</v>
      </c>
      <c r="H24" s="16">
        <f>('Kwh Consumption'!I25+'Kwh Consumption'!J25)*' Kwh area wise $ '!B24</f>
        <v>48.872294232740003</v>
      </c>
      <c r="I24" s="1">
        <f>('Kwh Consumption'!K25+'Kwh Consumption'!L25)*' Kwh area wise $ '!B24</f>
        <v>169.86951271779793</v>
      </c>
      <c r="J24" s="1">
        <f>('Kwh Consumption'!M25+'Kwh Consumption'!N25+'Kwh Consumption'!O25+'Kwh Consumption'!P25+'Kwh Consumption'!Q25+'Kwh Consumption'!R25)*' Kwh area wise $ '!B24</f>
        <v>559.7339681356616</v>
      </c>
      <c r="K24" s="1">
        <f>('Kwh Consumption'!S25+'Kwh Consumption'!T25)*' Kwh area wise $ '!B24</f>
        <v>581.42296321445281</v>
      </c>
      <c r="L24" s="1">
        <f>'Kwh Consumption'!U25*' Kwh area wise $ '!B24</f>
        <v>34.809326376595536</v>
      </c>
      <c r="M24" s="1">
        <f>'Kwh Consumption'!V25*' Kwh area wise $ '!B24</f>
        <v>1307.8880352016361</v>
      </c>
    </row>
    <row r="25" spans="1:13" x14ac:dyDescent="0.25">
      <c r="A25" s="14">
        <f>'Kwh Reading'!A26</f>
        <v>44188</v>
      </c>
      <c r="B25" s="11">
        <f>TOTAL!F24</f>
        <v>0.13923730550638214</v>
      </c>
      <c r="C25" s="11">
        <f>'Kwh Consumption'!B26*' Kwh area wise $ '!B25</f>
        <v>2108.0528053665444</v>
      </c>
      <c r="D25" s="1">
        <f>'Kwh Consumption'!C26*' Kwh area wise $ '!B25</f>
        <v>75.188144973449198</v>
      </c>
      <c r="E25" s="1">
        <f>'Kwh Consumption'!D26*' Kwh area wise $ '!B25</f>
        <v>348.09326376594794</v>
      </c>
      <c r="F25" s="1">
        <f>'Kwh Consumption'!E26*' Kwh area wise $ '!B25</f>
        <v>36.20169943166205</v>
      </c>
      <c r="G25" s="1">
        <f>('Kwh Consumption'!F26+'Kwh Consumption'!G26+'Kwh Consumption'!H26)*' Kwh area wise $ '!B25</f>
        <v>139.23730550638609</v>
      </c>
      <c r="H25" s="16">
        <f>('Kwh Consumption'!I26+'Kwh Consumption'!J26)*' Kwh area wise $ '!B25</f>
        <v>41.631954346407198</v>
      </c>
      <c r="I25" s="1">
        <f>('Kwh Consumption'!K26+'Kwh Consumption'!L26)*' Kwh area wise $ '!B25</f>
        <v>179.61612410323582</v>
      </c>
      <c r="J25" s="1">
        <f>('Kwh Consumption'!M26+'Kwh Consumption'!N26+'Kwh Consumption'!O26+'Kwh Consumption'!P26+'Kwh Consumption'!Q26+'Kwh Consumption'!R26)*' Kwh area wise $ '!B25</f>
        <v>520.74752259386253</v>
      </c>
      <c r="K25" s="1">
        <f>('Kwh Consumption'!S26+'Kwh Consumption'!T26)*' Kwh area wise $ '!B25</f>
        <v>544.9748137519797</v>
      </c>
      <c r="L25" s="1">
        <f>'Kwh Consumption'!U26*' Kwh area wise $ '!B25</f>
        <v>33.416953321532979</v>
      </c>
      <c r="M25" s="1">
        <f>'Kwh Consumption'!V26*' Kwh area wise $ '!B25</f>
        <v>188.94502357208128</v>
      </c>
    </row>
    <row r="26" spans="1:13" x14ac:dyDescent="0.25">
      <c r="A26" s="14">
        <f>'Kwh Reading'!A27</f>
        <v>44189</v>
      </c>
      <c r="B26" s="11">
        <f>TOTAL!F25</f>
        <v>0.13923730550638214</v>
      </c>
      <c r="C26" s="11">
        <f>'Kwh Consumption'!B27*' Kwh area wise $ '!B26</f>
        <v>2875.2503587068036</v>
      </c>
      <c r="D26" s="1">
        <f>'Kwh Consumption'!C27*' Kwh area wise $ '!B26</f>
        <v>96.073740799403353</v>
      </c>
      <c r="E26" s="1">
        <f>'Kwh Consumption'!D27*' Kwh area wise $ '!B26</f>
        <v>334.16953321531122</v>
      </c>
      <c r="F26" s="1">
        <f>'Kwh Consumption'!E27*' Kwh area wise $ '!B26</f>
        <v>36.201699431658092</v>
      </c>
      <c r="G26" s="1">
        <f>('Kwh Consumption'!F27+'Kwh Consumption'!G27+'Kwh Consumption'!H27)*' Kwh area wise $ '!B26</f>
        <v>130.88306717600284</v>
      </c>
      <c r="H26" s="16">
        <f>('Kwh Consumption'!I27+'Kwh Consumption'!J27)*' Kwh area wise $ '!B26</f>
        <v>34.252377154571306</v>
      </c>
      <c r="I26" s="1">
        <f>('Kwh Consumption'!K27+'Kwh Consumption'!L27)*' Kwh area wise $ '!B26</f>
        <v>192.14748159880671</v>
      </c>
      <c r="J26" s="1">
        <f>('Kwh Consumption'!M27+'Kwh Consumption'!N27+'Kwh Consumption'!O27+'Kwh Consumption'!P27+'Kwh Consumption'!Q27+'Kwh Consumption'!R27)*' Kwh area wise $ '!B26</f>
        <v>586.18905618187387</v>
      </c>
      <c r="K26" s="1">
        <f>('Kwh Consumption'!S27+'Kwh Consumption'!T27)*' Kwh area wise $ '!B26</f>
        <v>693.02584069688987</v>
      </c>
      <c r="L26" s="1">
        <f>'Kwh Consumption'!U27*' Kwh area wise $ '!B26</f>
        <v>30.632207211403912</v>
      </c>
      <c r="M26" s="1">
        <f>'Kwh Consumption'!V27*' Kwh area wise $ '!B26</f>
        <v>741.6753552408826</v>
      </c>
    </row>
    <row r="27" spans="1:13" x14ac:dyDescent="0.25">
      <c r="A27" s="14">
        <f>'Kwh Reading'!A28</f>
        <v>44190</v>
      </c>
      <c r="B27" s="11">
        <f>TOTAL!F26</f>
        <v>0.13923730550638214</v>
      </c>
      <c r="C27" s="11">
        <f>'Kwh Consumption'!B28*' Kwh area wise $ '!B27</f>
        <v>3010.3105450479979</v>
      </c>
      <c r="D27" s="1">
        <f>'Kwh Consumption'!C28*' Kwh area wise $ '!B27</f>
        <v>76.580518028511761</v>
      </c>
      <c r="E27" s="1">
        <f>'Kwh Consumption'!D28*' Kwh area wise $ '!B27</f>
        <v>348.09326376594794</v>
      </c>
      <c r="F27" s="1">
        <f>'Kwh Consumption'!E28*' Kwh area wise $ '!B27</f>
        <v>43.163564706978782</v>
      </c>
      <c r="G27" s="1">
        <f>('Kwh Consumption'!F28+'Kwh Consumption'!G28+'Kwh Consumption'!H28)*' Kwh area wise $ '!B27</f>
        <v>136.45255939625306</v>
      </c>
      <c r="H27" s="16">
        <f>('Kwh Consumption'!I28+'Kwh Consumption'!J28)*' Kwh area wise $ '!B27</f>
        <v>50.12542998229749</v>
      </c>
      <c r="I27" s="1">
        <f>('Kwh Consumption'!K28+'Kwh Consumption'!L28)*' Kwh area wise $ '!B27</f>
        <v>225.56443492032781</v>
      </c>
      <c r="J27" s="1">
        <f>('Kwh Consumption'!M28+'Kwh Consumption'!N28+'Kwh Consumption'!O28+'Kwh Consumption'!P28+'Kwh Consumption'!Q28+'Kwh Consumption'!R28)*' Kwh area wise $ '!B27</f>
        <v>725.42636168825595</v>
      </c>
      <c r="K27" s="1">
        <f>('Kwh Consumption'!S28+'Kwh Consumption'!T28)*' Kwh area wise $ '!B27</f>
        <v>858.57064270557521</v>
      </c>
      <c r="L27" s="1">
        <f>'Kwh Consumption'!U28*' Kwh area wise $ '!B27</f>
        <v>33.416953321530997</v>
      </c>
      <c r="M27" s="1">
        <f>'Kwh Consumption'!V28*' Kwh area wise $ '!B27</f>
        <v>512.91681653231865</v>
      </c>
    </row>
    <row r="28" spans="1:13" x14ac:dyDescent="0.25">
      <c r="A28" s="14">
        <f>'Kwh Reading'!A29</f>
        <v>44191</v>
      </c>
      <c r="B28" s="11">
        <f>TOTAL!F27</f>
        <v>0.13923730550638214</v>
      </c>
      <c r="C28" s="11">
        <f>'Kwh Consumption'!B29*' Kwh area wise $ '!B28</f>
        <v>3173.2181924904439</v>
      </c>
      <c r="D28" s="1">
        <f>'Kwh Consumption'!C29*' Kwh area wise $ '!B28</f>
        <v>45.948310817103888</v>
      </c>
      <c r="E28" s="1">
        <f>'Kwh Consumption'!D29*' Kwh area wise $ '!B28</f>
        <v>362.01699431661552</v>
      </c>
      <c r="F28" s="1">
        <f>'Kwh Consumption'!E29*' Kwh area wise $ '!B28</f>
        <v>37.594072486724599</v>
      </c>
      <c r="G28" s="1">
        <f>('Kwh Consumption'!F29+'Kwh Consumption'!G29+'Kwh Consumption'!H29)*' Kwh area wise $ '!B28</f>
        <v>143.4144246715698</v>
      </c>
      <c r="H28" s="16">
        <f>('Kwh Consumption'!I29+'Kwh Consumption'!J29)*' Kwh area wise $ '!B28</f>
        <v>43.302802012483845</v>
      </c>
      <c r="I28" s="1">
        <f>('Kwh Consumption'!K29+'Kwh Consumption'!L29)*' Kwh area wise $ '!B28</f>
        <v>206.07121214945207</v>
      </c>
      <c r="J28" s="1">
        <f>('Kwh Consumption'!M29+'Kwh Consumption'!N29+'Kwh Consumption'!O29+'Kwh Consumption'!P29+'Kwh Consumption'!Q29+'Kwh Consumption'!R29)*' Kwh area wise $ '!B28</f>
        <v>697.57890058697319</v>
      </c>
      <c r="K28" s="1">
        <f>('Kwh Consumption'!S29+'Kwh Consumption'!T29)*' Kwh area wise $ '!B28</f>
        <v>728.17212135280045</v>
      </c>
      <c r="L28" s="1">
        <f>'Kwh Consumption'!U29*' Kwh area wise $ '!B28</f>
        <v>34.809326376595536</v>
      </c>
      <c r="M28" s="1">
        <f>'Kwh Consumption'!V29*' Kwh area wise $ '!B28</f>
        <v>874.31002772012516</v>
      </c>
    </row>
    <row r="29" spans="1:13" x14ac:dyDescent="0.25">
      <c r="A29" s="14">
        <f>'Kwh Reading'!A30</f>
        <v>44192</v>
      </c>
      <c r="B29" s="11">
        <f>TOTAL!F28</f>
        <v>0.13923730550638214</v>
      </c>
      <c r="C29" s="11">
        <f>'Kwh Consumption'!B30*' Kwh area wise $ '!B29</f>
        <v>3142.5859852789731</v>
      </c>
      <c r="D29" s="1">
        <f>'Kwh Consumption'!C30*' Kwh area wise $ '!B29</f>
        <v>103.03560607472404</v>
      </c>
      <c r="E29" s="1">
        <f>'Kwh Consumption'!D30*' Kwh area wise $ '!B29</f>
        <v>348.09326376594794</v>
      </c>
      <c r="F29" s="1">
        <f>'Kwh Consumption'!E30*' Kwh area wise $ '!B29</f>
        <v>37.594072486720641</v>
      </c>
      <c r="G29" s="1">
        <f>('Kwh Consumption'!F30+'Kwh Consumption'!G30+'Kwh Consumption'!H30)*' Kwh area wise $ '!B29</f>
        <v>133.66781328612399</v>
      </c>
      <c r="H29" s="16">
        <f>('Kwh Consumption'!I30+'Kwh Consumption'!J30)*' Kwh area wise $ '!B29</f>
        <v>53.049413397933606</v>
      </c>
      <c r="I29" s="1">
        <f>('Kwh Consumption'!K30+'Kwh Consumption'!L30)*' Kwh area wise $ '!B29</f>
        <v>192.14748159880671</v>
      </c>
      <c r="J29" s="1">
        <f>('Kwh Consumption'!M30+'Kwh Consumption'!N30+'Kwh Consumption'!O30+'Kwh Consumption'!P30+'Kwh Consumption'!Q30+'Kwh Consumption'!R30)*' Kwh area wise $ '!B29</f>
        <v>668.33906643062005</v>
      </c>
      <c r="K29" s="1">
        <f>('Kwh Consumption'!S30+'Kwh Consumption'!T30)*' Kwh area wise $ '!B29</f>
        <v>647.67068080133947</v>
      </c>
      <c r="L29" s="1">
        <f>'Kwh Consumption'!U30*' Kwh area wise $ '!B29</f>
        <v>33.416953321530997</v>
      </c>
      <c r="M29" s="1">
        <f>'Kwh Consumption'!V30*' Kwh area wise $ '!B29</f>
        <v>925.57163411522538</v>
      </c>
    </row>
    <row r="30" spans="1:13" x14ac:dyDescent="0.25">
      <c r="A30" s="14">
        <f>'Kwh Reading'!A31</f>
        <v>44193</v>
      </c>
      <c r="B30" s="11">
        <f>TOTAL!F29</f>
        <v>0.13923730550638214</v>
      </c>
      <c r="C30" s="11">
        <f>'Kwh Consumption'!B31*' Kwh area wise $ '!B30</f>
        <v>2671.9638926676075</v>
      </c>
      <c r="D30" s="1">
        <f>'Kwh Consumption'!C31*' Kwh area wise $ '!B30</f>
        <v>68.226279698128508</v>
      </c>
      <c r="E30" s="1">
        <f>'Kwh Consumption'!D31*' Kwh area wise $ '!B30</f>
        <v>334.16953321531122</v>
      </c>
      <c r="F30" s="1">
        <f>'Kwh Consumption'!E31*' Kwh area wise $ '!B30</f>
        <v>34.809326376595536</v>
      </c>
      <c r="G30" s="1">
        <f>('Kwh Consumption'!F31+'Kwh Consumption'!G31+'Kwh Consumption'!H31)*' Kwh area wise $ '!B30</f>
        <v>153.16103605701957</v>
      </c>
      <c r="H30" s="16">
        <f>('Kwh Consumption'!I31+'Kwh Consumption'!J31)*' Kwh area wise $ '!B30</f>
        <v>43.1635647069768</v>
      </c>
      <c r="I30" s="1">
        <f>('Kwh Consumption'!K31+'Kwh Consumption'!L31)*' Kwh area wise $ '!B30</f>
        <v>158.7305282772777</v>
      </c>
      <c r="J30" s="1">
        <f>('Kwh Consumption'!M31+'Kwh Consumption'!N31+'Kwh Consumption'!O31+'Kwh Consumption'!P31+'Kwh Consumption'!Q31+'Kwh Consumption'!R31)*' Kwh area wise $ '!B30</f>
        <v>513.78565731856554</v>
      </c>
      <c r="K30" s="1">
        <f>('Kwh Consumption'!S31+'Kwh Consumption'!T31)*' Kwh area wise $ '!B30</f>
        <v>585.11414418339587</v>
      </c>
      <c r="L30" s="1">
        <f>'Kwh Consumption'!U31*' Kwh area wise $ '!B30</f>
        <v>34.809326376595536</v>
      </c>
      <c r="M30" s="1">
        <f>'Kwh Consumption'!V31*' Kwh area wise $ '!B30</f>
        <v>745.99449645774155</v>
      </c>
    </row>
    <row r="31" spans="1:13" x14ac:dyDescent="0.25">
      <c r="A31" s="14">
        <f>'Kwh Reading'!A32</f>
        <v>44194</v>
      </c>
      <c r="B31" s="11">
        <f>TOTAL!F30</f>
        <v>0.13923730550638214</v>
      </c>
      <c r="C31" s="11">
        <f>'Kwh Consumption'!B32*' Kwh area wise $ '!B31</f>
        <v>2954.6156228453692</v>
      </c>
      <c r="D31" s="1">
        <f>'Kwh Consumption'!C32*' Kwh area wise $ '!B31</f>
        <v>90.504248579145226</v>
      </c>
      <c r="E31" s="1">
        <f>'Kwh Consumption'!D32*' Kwh area wise $ '!B31</f>
        <v>362.0169943165846</v>
      </c>
      <c r="F31" s="1">
        <f>'Kwh Consumption'!E32*' Kwh area wise $ '!B31</f>
        <v>38.986445541787155</v>
      </c>
      <c r="G31" s="1">
        <f>('Kwh Consumption'!F32+'Kwh Consumption'!G32+'Kwh Consumption'!H32)*' Kwh area wise $ '!B31</f>
        <v>125.31357495574868</v>
      </c>
      <c r="H31" s="16">
        <f>('Kwh Consumption'!I32+'Kwh Consumption'!J32)*' Kwh area wise $ '!B31</f>
        <v>41.214242429890014</v>
      </c>
      <c r="I31" s="1">
        <f>('Kwh Consumption'!K32+'Kwh Consumption'!L32)*' Kwh area wise $ '!B31</f>
        <v>200.50171992918601</v>
      </c>
      <c r="J31" s="1">
        <f>('Kwh Consumption'!M32+'Kwh Consumption'!N32+'Kwh Consumption'!O32+'Kwh Consumption'!P32+'Kwh Consumption'!Q32+'Kwh Consumption'!R32)*' Kwh area wise $ '!B31</f>
        <v>612.64414422807022</v>
      </c>
      <c r="K31" s="1">
        <f>('Kwh Consumption'!S32+'Kwh Consumption'!T32)*' Kwh area wise $ '!B31</f>
        <v>684.55742777595026</v>
      </c>
      <c r="L31" s="1">
        <f>'Kwh Consumption'!U32*' Kwh area wise $ '!B31</f>
        <v>36.201699431660067</v>
      </c>
      <c r="M31" s="1">
        <f>'Kwh Consumption'!V32*' Kwh area wise $ '!B31</f>
        <v>762.67512565734671</v>
      </c>
    </row>
    <row r="32" spans="1:13" x14ac:dyDescent="0.25">
      <c r="A32" s="14">
        <f>'Kwh Reading'!A33</f>
        <v>44195</v>
      </c>
      <c r="B32" s="11">
        <f>TOTAL!F31</f>
        <v>0.13923730550638214</v>
      </c>
      <c r="C32" s="11">
        <f>'Kwh Consumption'!B33*' Kwh area wise $ '!B32</f>
        <v>3248.4063374639163</v>
      </c>
      <c r="D32" s="1">
        <f>'Kwh Consumption'!C33*' Kwh area wise $ '!B32</f>
        <v>83.542383303832452</v>
      </c>
      <c r="E32" s="1">
        <f>'Kwh Consumption'!D33*' Kwh area wise $ '!B32</f>
        <v>389.86445541788885</v>
      </c>
      <c r="F32" s="1">
        <f>'Kwh Consumption'!E33*' Kwh area wise $ '!B32</f>
        <v>38.986445541787155</v>
      </c>
      <c r="G32" s="1">
        <f>('Kwh Consumption'!F33+'Kwh Consumption'!G33+'Kwh Consumption'!H33)*' Kwh area wise $ '!B32</f>
        <v>140.62967856144468</v>
      </c>
      <c r="H32" s="16">
        <f>('Kwh Consumption'!I33+'Kwh Consumption'!J33)*' Kwh area wise $ '!B32</f>
        <v>42.049666262926358</v>
      </c>
      <c r="I32" s="1">
        <f>('Kwh Consumption'!K33+'Kwh Consumption'!L33)*' Kwh area wise $ '!B32</f>
        <v>211.64070436970226</v>
      </c>
      <c r="J32" s="1">
        <f>('Kwh Consumption'!M33+'Kwh Consumption'!N33+'Kwh Consumption'!O33+'Kwh Consumption'!P33+'Kwh Consumption'!Q33+'Kwh Consumption'!R33)*' Kwh area wise $ '!B32</f>
        <v>664.16194726545609</v>
      </c>
      <c r="K32" s="1">
        <f>('Kwh Consumption'!S33+'Kwh Consumption'!T33)*' Kwh area wise $ '!B32</f>
        <v>784.0717223945411</v>
      </c>
      <c r="L32" s="1">
        <f>'Kwh Consumption'!U33*' Kwh area wise $ '!B32</f>
        <v>34.809326376595536</v>
      </c>
      <c r="M32" s="1">
        <f>'Kwh Consumption'!V33*' Kwh area wise $ '!B32</f>
        <v>858.65000796974221</v>
      </c>
    </row>
    <row r="33" spans="1:14" x14ac:dyDescent="0.25">
      <c r="A33" s="14">
        <f>'Kwh Reading'!A34</f>
        <v>44196</v>
      </c>
      <c r="B33" s="11">
        <f>TOTAL!F32</f>
        <v>0.13923730550638214</v>
      </c>
      <c r="C33" s="11">
        <f>'Kwh Consumption'!B34*' Kwh area wise $ '!B33</f>
        <v>3139.8012391689745</v>
      </c>
      <c r="D33" s="1">
        <f>'Kwh Consumption'!C34*' Kwh area wise $ '!B33</f>
        <v>79.365264138636874</v>
      </c>
      <c r="E33" s="1">
        <f>'Kwh Consumption'!D34*' Kwh area wise $ '!B33</f>
        <v>389.86445541785793</v>
      </c>
      <c r="F33" s="1">
        <f>'Kwh Consumption'!E34*' Kwh area wise $ '!B33</f>
        <v>40.378818596849712</v>
      </c>
      <c r="G33" s="1">
        <f>('Kwh Consumption'!F34+'Kwh Consumption'!G34+'Kwh Consumption'!H34)*' Kwh area wise $ '!B33</f>
        <v>135.0601863411905</v>
      </c>
      <c r="H33" s="16">
        <f>('Kwh Consumption'!I34+'Kwh Consumption'!J34)*' Kwh area wise $ '!B33</f>
        <v>49.846955371285375</v>
      </c>
      <c r="I33" s="1">
        <f>('Kwh Consumption'!K34+'Kwh Consumption'!L34)*' Kwh area wise $ '!B33</f>
        <v>199.10934687412345</v>
      </c>
      <c r="J33" s="1">
        <f>('Kwh Consumption'!M34+'Kwh Consumption'!N34+'Kwh Consumption'!O34+'Kwh Consumption'!P34+'Kwh Consumption'!Q34+'Kwh Consumption'!R34)*' Kwh area wise $ '!B33</f>
        <v>693.40178142176978</v>
      </c>
      <c r="K33" s="1">
        <f>('Kwh Consumption'!S34+'Kwh Consumption'!T34)*' Kwh area wise $ '!B33</f>
        <v>741.641938287519</v>
      </c>
      <c r="L33" s="1">
        <f>'Kwh Consumption'!U34*' Kwh area wise $ '!B33</f>
        <v>38.986445541787155</v>
      </c>
      <c r="M33" s="1">
        <f>'Kwh Consumption'!V34*' Kwh area wise $ '!B33</f>
        <v>772.14604717795476</v>
      </c>
    </row>
    <row r="34" spans="1:14" ht="15.75" x14ac:dyDescent="0.25">
      <c r="A34" s="130" t="s">
        <v>53</v>
      </c>
      <c r="B34" s="130"/>
      <c r="C34" s="76">
        <f t="shared" ref="C34:L34" si="0">SUM(C3:C33)</f>
        <v>89666.04</v>
      </c>
      <c r="D34" s="76">
        <f t="shared" si="0"/>
        <v>2059.3197484393945</v>
      </c>
      <c r="E34" s="76">
        <f t="shared" si="0"/>
        <v>10178.247032516521</v>
      </c>
      <c r="F34" s="76">
        <f t="shared" si="0"/>
        <v>1094.4052212801614</v>
      </c>
      <c r="G34" s="76">
        <f t="shared" si="0"/>
        <v>3284.6080368955591</v>
      </c>
      <c r="H34" s="76">
        <f t="shared" si="0"/>
        <v>1265.1101578309876</v>
      </c>
      <c r="I34" s="76">
        <f t="shared" si="0"/>
        <v>5951.0024373427623</v>
      </c>
      <c r="J34" s="76">
        <f t="shared" si="0"/>
        <v>19202.216802385159</v>
      </c>
      <c r="K34" s="76">
        <f t="shared" si="0"/>
        <v>21283.871607000849</v>
      </c>
      <c r="L34" s="76">
        <f t="shared" si="0"/>
        <v>981.62300381999364</v>
      </c>
      <c r="M34" s="76">
        <f>SUM(M3:M33)</f>
        <v>24365.635952488599</v>
      </c>
      <c r="N34" s="85">
        <f>D34+E34+F34+G34+H34+I34+J34+K34+L34+M34</f>
        <v>89666.04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6" activePane="bottomRight" state="frozen"/>
      <selection pane="topRight" activeCell="C25" sqref="C25"/>
      <selection pane="bottomLeft" activeCell="C25" sqref="C25"/>
      <selection pane="bottomRight" activeCell="A17" sqref="A17:XFD17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18" ht="15.75" thickBot="1" x14ac:dyDescent="0.3">
      <c r="B1" s="50" t="s">
        <v>75</v>
      </c>
      <c r="C1" s="50" t="s">
        <v>76</v>
      </c>
      <c r="D1" s="50" t="s">
        <v>77</v>
      </c>
      <c r="E1" s="50" t="s">
        <v>78</v>
      </c>
      <c r="F1" s="50" t="s">
        <v>79</v>
      </c>
      <c r="G1" s="50" t="s">
        <v>80</v>
      </c>
      <c r="H1" s="50" t="s">
        <v>81</v>
      </c>
      <c r="I1" s="50" t="s">
        <v>82</v>
      </c>
      <c r="J1" s="50" t="s">
        <v>83</v>
      </c>
      <c r="K1" s="50" t="s">
        <v>84</v>
      </c>
      <c r="L1" s="50" t="s">
        <v>85</v>
      </c>
      <c r="M1" s="50" t="s">
        <v>86</v>
      </c>
      <c r="N1" s="50" t="s">
        <v>87</v>
      </c>
      <c r="O1" s="50" t="s">
        <v>88</v>
      </c>
      <c r="P1" s="50" t="s">
        <v>89</v>
      </c>
      <c r="Q1" s="50" t="s">
        <v>90</v>
      </c>
      <c r="R1" s="50" t="s">
        <v>91</v>
      </c>
    </row>
    <row r="2" spans="1:18" s="54" customFormat="1" ht="30.75" thickTop="1" x14ac:dyDescent="0.25">
      <c r="A2" s="51" t="s">
        <v>32</v>
      </c>
      <c r="B2" s="52" t="s">
        <v>92</v>
      </c>
      <c r="C2" s="52" t="s">
        <v>93</v>
      </c>
      <c r="D2" s="53" t="s">
        <v>94</v>
      </c>
      <c r="E2" s="53" t="s">
        <v>95</v>
      </c>
      <c r="F2" s="53" t="s">
        <v>96</v>
      </c>
      <c r="G2" s="53" t="s">
        <v>97</v>
      </c>
      <c r="H2" s="53" t="s">
        <v>98</v>
      </c>
      <c r="I2" s="53" t="s">
        <v>99</v>
      </c>
      <c r="J2" s="53" t="s">
        <v>100</v>
      </c>
      <c r="K2" s="53" t="s">
        <v>101</v>
      </c>
      <c r="L2" s="53" t="s">
        <v>102</v>
      </c>
      <c r="M2" s="53" t="s">
        <v>103</v>
      </c>
      <c r="N2" s="53" t="s">
        <v>104</v>
      </c>
      <c r="O2" s="53" t="s">
        <v>105</v>
      </c>
      <c r="P2" s="53" t="s">
        <v>106</v>
      </c>
      <c r="Q2" s="53" t="s">
        <v>107</v>
      </c>
      <c r="R2" s="53" t="s">
        <v>108</v>
      </c>
    </row>
    <row r="3" spans="1:18" x14ac:dyDescent="0.25">
      <c r="A3" s="55">
        <v>44166</v>
      </c>
      <c r="B3" s="33">
        <v>132118</v>
      </c>
      <c r="C3" s="33">
        <v>0</v>
      </c>
      <c r="D3" s="33">
        <v>177131</v>
      </c>
      <c r="E3" s="56">
        <v>235290</v>
      </c>
      <c r="F3" s="33">
        <v>66802</v>
      </c>
      <c r="G3" s="56">
        <v>107379</v>
      </c>
      <c r="H3" s="33">
        <v>43671</v>
      </c>
      <c r="I3" s="57">
        <v>56221</v>
      </c>
      <c r="J3" s="56">
        <v>17682</v>
      </c>
      <c r="K3" s="56">
        <v>1024</v>
      </c>
      <c r="L3" s="56">
        <v>15787</v>
      </c>
      <c r="M3" s="56">
        <v>21123</v>
      </c>
      <c r="N3" s="56">
        <v>6450</v>
      </c>
      <c r="O3" s="56">
        <v>1476</v>
      </c>
      <c r="P3" s="33">
        <v>25528</v>
      </c>
      <c r="Q3" s="56">
        <v>763</v>
      </c>
      <c r="R3" s="56">
        <v>5082</v>
      </c>
    </row>
    <row r="4" spans="1:18" x14ac:dyDescent="0.25">
      <c r="A4" s="55">
        <v>44167</v>
      </c>
      <c r="B4" s="57">
        <v>132279</v>
      </c>
      <c r="C4" s="57">
        <v>0</v>
      </c>
      <c r="D4" s="56">
        <v>177384</v>
      </c>
      <c r="E4" s="56">
        <v>235338</v>
      </c>
      <c r="F4" s="56">
        <v>66803</v>
      </c>
      <c r="G4" s="56">
        <v>107392</v>
      </c>
      <c r="H4" s="33">
        <v>43694</v>
      </c>
      <c r="I4" s="56">
        <v>56232</v>
      </c>
      <c r="J4" s="56">
        <v>17692</v>
      </c>
      <c r="K4" s="56">
        <v>1024</v>
      </c>
      <c r="L4" s="56">
        <v>15792</v>
      </c>
      <c r="M4" s="56">
        <v>21137</v>
      </c>
      <c r="N4" s="56">
        <v>6452</v>
      </c>
      <c r="O4" s="56">
        <v>1478</v>
      </c>
      <c r="P4" s="56">
        <v>25528</v>
      </c>
      <c r="Q4" s="33">
        <v>767</v>
      </c>
      <c r="R4" s="56">
        <v>5084</v>
      </c>
    </row>
    <row r="5" spans="1:18" x14ac:dyDescent="0.25">
      <c r="A5" s="55">
        <v>44168</v>
      </c>
      <c r="B5" s="56">
        <v>132440</v>
      </c>
      <c r="C5" s="33">
        <v>0</v>
      </c>
      <c r="D5" s="56">
        <v>177576</v>
      </c>
      <c r="E5" s="56">
        <v>235386</v>
      </c>
      <c r="F5" s="56">
        <v>66804</v>
      </c>
      <c r="G5" s="56">
        <v>107411</v>
      </c>
      <c r="H5" s="33">
        <v>43708</v>
      </c>
      <c r="I5" s="56">
        <v>56241</v>
      </c>
      <c r="J5" s="56">
        <v>17701</v>
      </c>
      <c r="K5" s="56">
        <v>1024</v>
      </c>
      <c r="L5" s="56">
        <v>15798</v>
      </c>
      <c r="M5" s="56">
        <v>21149</v>
      </c>
      <c r="N5" s="56">
        <v>6455</v>
      </c>
      <c r="O5" s="56">
        <v>1180</v>
      </c>
      <c r="P5" s="56">
        <v>25528</v>
      </c>
      <c r="Q5" s="33">
        <v>767</v>
      </c>
      <c r="R5" s="56">
        <v>5090</v>
      </c>
    </row>
    <row r="6" spans="1:18" x14ac:dyDescent="0.25">
      <c r="A6" s="55">
        <v>44169</v>
      </c>
      <c r="B6" s="57">
        <v>132552</v>
      </c>
      <c r="C6" s="57">
        <v>0</v>
      </c>
      <c r="D6" s="56">
        <v>177709</v>
      </c>
      <c r="E6" s="56">
        <v>235436</v>
      </c>
      <c r="F6" s="56">
        <v>66805</v>
      </c>
      <c r="G6" s="56">
        <v>107425</v>
      </c>
      <c r="H6" s="33">
        <v>43734</v>
      </c>
      <c r="I6" s="56">
        <v>56253</v>
      </c>
      <c r="J6" s="56">
        <v>17710.2</v>
      </c>
      <c r="K6" s="56">
        <v>1024</v>
      </c>
      <c r="L6" s="56">
        <v>15804</v>
      </c>
      <c r="M6" s="56">
        <v>21163</v>
      </c>
      <c r="N6" s="56">
        <v>6457</v>
      </c>
      <c r="O6" s="56">
        <v>1480</v>
      </c>
      <c r="P6" s="56">
        <v>25528</v>
      </c>
      <c r="Q6" s="33">
        <v>773</v>
      </c>
      <c r="R6" s="56">
        <v>5092</v>
      </c>
    </row>
    <row r="7" spans="1:18" x14ac:dyDescent="0.25">
      <c r="A7" s="55">
        <v>44170</v>
      </c>
      <c r="B7" s="57">
        <v>132660</v>
      </c>
      <c r="C7" s="33">
        <v>0</v>
      </c>
      <c r="D7" s="56">
        <v>177846</v>
      </c>
      <c r="E7" s="56">
        <v>235484</v>
      </c>
      <c r="F7" s="56">
        <v>66807</v>
      </c>
      <c r="G7" s="56">
        <v>107439</v>
      </c>
      <c r="H7" s="33">
        <v>43768</v>
      </c>
      <c r="I7" s="56">
        <v>56265</v>
      </c>
      <c r="J7" s="56">
        <v>17718</v>
      </c>
      <c r="K7" s="56">
        <v>1024</v>
      </c>
      <c r="L7" s="56">
        <v>15810</v>
      </c>
      <c r="M7" s="56">
        <v>21178</v>
      </c>
      <c r="N7" s="56">
        <v>6469</v>
      </c>
      <c r="O7" s="56">
        <v>1481</v>
      </c>
      <c r="P7" s="56">
        <v>25528</v>
      </c>
      <c r="Q7" s="33">
        <v>776</v>
      </c>
      <c r="R7" s="56">
        <v>5094</v>
      </c>
    </row>
    <row r="8" spans="1:18" x14ac:dyDescent="0.25">
      <c r="A8" s="55">
        <v>44171</v>
      </c>
      <c r="B8" s="33">
        <v>132766</v>
      </c>
      <c r="C8" s="57">
        <v>0</v>
      </c>
      <c r="D8" s="56">
        <v>177953</v>
      </c>
      <c r="E8" s="56">
        <v>235539</v>
      </c>
      <c r="F8" s="56">
        <v>66807</v>
      </c>
      <c r="G8" s="56">
        <v>107454</v>
      </c>
      <c r="H8" s="33">
        <v>43797</v>
      </c>
      <c r="I8" s="56">
        <v>56276</v>
      </c>
      <c r="J8" s="56">
        <v>17726</v>
      </c>
      <c r="K8" s="56">
        <v>1024</v>
      </c>
      <c r="L8" s="56">
        <v>15817</v>
      </c>
      <c r="M8" s="56">
        <v>21194</v>
      </c>
      <c r="N8" s="56">
        <v>6469</v>
      </c>
      <c r="O8" s="56">
        <v>1481</v>
      </c>
      <c r="P8" s="56">
        <v>25528</v>
      </c>
      <c r="Q8" s="33">
        <v>779</v>
      </c>
      <c r="R8" s="56">
        <v>5101</v>
      </c>
    </row>
    <row r="9" spans="1:18" x14ac:dyDescent="0.25">
      <c r="A9" s="55">
        <v>44172</v>
      </c>
      <c r="B9" s="33">
        <v>132904</v>
      </c>
      <c r="C9" s="33">
        <v>0</v>
      </c>
      <c r="D9" s="56">
        <v>178115</v>
      </c>
      <c r="E9" s="56">
        <v>235595</v>
      </c>
      <c r="F9" s="56">
        <v>66808</v>
      </c>
      <c r="G9" s="56">
        <v>107472</v>
      </c>
      <c r="H9" s="33">
        <v>43838</v>
      </c>
      <c r="I9" s="56">
        <v>56304</v>
      </c>
      <c r="J9" s="56">
        <v>17734</v>
      </c>
      <c r="K9" s="56">
        <v>1024</v>
      </c>
      <c r="L9" s="56">
        <v>15822</v>
      </c>
      <c r="M9" s="56">
        <v>21206</v>
      </c>
      <c r="N9" s="56">
        <v>6475</v>
      </c>
      <c r="O9" s="56">
        <v>1482</v>
      </c>
      <c r="P9" s="56">
        <v>25542</v>
      </c>
      <c r="Q9" s="33">
        <v>779</v>
      </c>
      <c r="R9" s="56">
        <v>5103</v>
      </c>
    </row>
    <row r="10" spans="1:18" x14ac:dyDescent="0.25">
      <c r="A10" s="55">
        <v>44173</v>
      </c>
      <c r="B10" s="33">
        <v>133118</v>
      </c>
      <c r="C10" s="57">
        <v>0</v>
      </c>
      <c r="D10" s="56">
        <v>178442</v>
      </c>
      <c r="E10" s="56">
        <v>235659</v>
      </c>
      <c r="F10" s="56">
        <v>66806</v>
      </c>
      <c r="G10" s="56">
        <v>107491</v>
      </c>
      <c r="H10" s="33">
        <v>43873</v>
      </c>
      <c r="I10" s="56">
        <v>56313</v>
      </c>
      <c r="J10" s="56">
        <v>17744</v>
      </c>
      <c r="K10" s="56">
        <v>1024</v>
      </c>
      <c r="L10" s="56">
        <v>15828</v>
      </c>
      <c r="M10" s="56">
        <v>21221</v>
      </c>
      <c r="N10" s="56">
        <v>6479</v>
      </c>
      <c r="O10" s="56">
        <v>1485</v>
      </c>
      <c r="P10" s="56">
        <v>25542</v>
      </c>
      <c r="Q10" s="33">
        <v>787</v>
      </c>
      <c r="R10" s="56">
        <v>5108</v>
      </c>
    </row>
    <row r="11" spans="1:18" x14ac:dyDescent="0.25">
      <c r="A11" s="55">
        <v>44174</v>
      </c>
      <c r="B11" s="33">
        <v>133292</v>
      </c>
      <c r="C11" s="33">
        <v>0</v>
      </c>
      <c r="D11" s="56">
        <v>178642</v>
      </c>
      <c r="E11" s="56">
        <v>235714</v>
      </c>
      <c r="F11" s="56">
        <v>66809</v>
      </c>
      <c r="G11" s="56">
        <v>107509</v>
      </c>
      <c r="H11" s="33">
        <v>43904</v>
      </c>
      <c r="I11" s="56">
        <v>56337</v>
      </c>
      <c r="J11" s="56">
        <v>17753</v>
      </c>
      <c r="K11" s="56">
        <v>1024</v>
      </c>
      <c r="L11" s="56">
        <v>15834</v>
      </c>
      <c r="M11" s="56">
        <v>21234</v>
      </c>
      <c r="N11" s="56">
        <v>6483</v>
      </c>
      <c r="O11" s="56">
        <v>1487</v>
      </c>
      <c r="P11" s="56">
        <v>25553</v>
      </c>
      <c r="Q11" s="33">
        <v>787</v>
      </c>
      <c r="R11" s="56">
        <v>5111</v>
      </c>
    </row>
    <row r="12" spans="1:18" x14ac:dyDescent="0.25">
      <c r="A12" s="55">
        <v>44175</v>
      </c>
      <c r="B12" s="33">
        <v>133439</v>
      </c>
      <c r="C12" s="57">
        <v>0</v>
      </c>
      <c r="D12" s="56">
        <v>178865</v>
      </c>
      <c r="E12" s="56">
        <v>235771</v>
      </c>
      <c r="F12" s="56">
        <v>66811</v>
      </c>
      <c r="G12" s="56">
        <v>107524</v>
      </c>
      <c r="H12" s="33">
        <v>43933</v>
      </c>
      <c r="I12" s="56">
        <v>56349</v>
      </c>
      <c r="J12" s="56">
        <v>17761</v>
      </c>
      <c r="K12" s="56">
        <v>1024</v>
      </c>
      <c r="L12" s="56">
        <v>15840</v>
      </c>
      <c r="M12" s="56">
        <v>21245</v>
      </c>
      <c r="N12" s="56">
        <v>6495</v>
      </c>
      <c r="O12" s="56">
        <v>1487</v>
      </c>
      <c r="P12" s="56">
        <v>25553</v>
      </c>
      <c r="Q12" s="33">
        <v>787</v>
      </c>
      <c r="R12" s="56">
        <v>5116</v>
      </c>
    </row>
    <row r="13" spans="1:18" x14ac:dyDescent="0.25">
      <c r="A13" s="55">
        <v>44176</v>
      </c>
      <c r="B13" s="33">
        <v>133544</v>
      </c>
      <c r="C13" s="33">
        <v>0</v>
      </c>
      <c r="D13" s="56">
        <v>179053</v>
      </c>
      <c r="E13" s="56">
        <v>235821</v>
      </c>
      <c r="F13" s="56">
        <v>66811</v>
      </c>
      <c r="G13" s="56">
        <v>107543</v>
      </c>
      <c r="H13" s="33">
        <v>43951</v>
      </c>
      <c r="I13" s="56">
        <v>56374</v>
      </c>
      <c r="J13" s="56">
        <v>17770</v>
      </c>
      <c r="K13" s="56">
        <v>1024</v>
      </c>
      <c r="L13" s="56">
        <v>15846</v>
      </c>
      <c r="M13" s="56">
        <v>21260</v>
      </c>
      <c r="N13" s="56">
        <v>6498</v>
      </c>
      <c r="O13" s="56">
        <v>1488</v>
      </c>
      <c r="P13" s="56">
        <v>25565</v>
      </c>
      <c r="Q13" s="33">
        <v>787</v>
      </c>
      <c r="R13" s="56">
        <v>5120</v>
      </c>
    </row>
    <row r="14" spans="1:18" x14ac:dyDescent="0.25">
      <c r="A14" s="55">
        <v>44177</v>
      </c>
      <c r="B14" s="33">
        <v>133714</v>
      </c>
      <c r="C14" s="57">
        <v>0</v>
      </c>
      <c r="D14" s="56">
        <v>179235</v>
      </c>
      <c r="E14" s="56">
        <v>235876</v>
      </c>
      <c r="F14" s="56">
        <v>66811</v>
      </c>
      <c r="G14" s="56">
        <v>107553</v>
      </c>
      <c r="H14" s="33">
        <v>43967</v>
      </c>
      <c r="I14" s="56">
        <v>56387</v>
      </c>
      <c r="J14" s="56">
        <v>17779</v>
      </c>
      <c r="K14" s="56">
        <v>1024</v>
      </c>
      <c r="L14" s="56">
        <v>15852</v>
      </c>
      <c r="M14" s="56">
        <v>21275</v>
      </c>
      <c r="N14" s="56">
        <v>6505</v>
      </c>
      <c r="O14" s="56">
        <v>1489</v>
      </c>
      <c r="P14" s="56">
        <v>25565</v>
      </c>
      <c r="Q14" s="33">
        <v>797</v>
      </c>
      <c r="R14" s="56">
        <v>5123</v>
      </c>
    </row>
    <row r="15" spans="1:18" x14ac:dyDescent="0.25">
      <c r="A15" s="55">
        <v>44178</v>
      </c>
      <c r="B15" s="33">
        <v>133880</v>
      </c>
      <c r="C15" s="33">
        <v>0</v>
      </c>
      <c r="D15" s="56">
        <v>179471</v>
      </c>
      <c r="E15" s="56">
        <v>235932</v>
      </c>
      <c r="F15" s="56">
        <v>66812</v>
      </c>
      <c r="G15" s="56">
        <v>107575</v>
      </c>
      <c r="H15" s="33">
        <v>43987</v>
      </c>
      <c r="I15" s="56">
        <v>56396</v>
      </c>
      <c r="J15" s="56">
        <v>17789</v>
      </c>
      <c r="K15" s="56">
        <v>1024</v>
      </c>
      <c r="L15" s="56">
        <v>15859</v>
      </c>
      <c r="M15" s="56">
        <v>21290</v>
      </c>
      <c r="N15" s="56">
        <v>6507</v>
      </c>
      <c r="O15" s="56">
        <v>1490</v>
      </c>
      <c r="P15" s="56">
        <v>25565</v>
      </c>
      <c r="Q15" s="33">
        <v>798</v>
      </c>
      <c r="R15" s="56">
        <v>5127</v>
      </c>
    </row>
    <row r="16" spans="1:18" x14ac:dyDescent="0.25">
      <c r="A16" s="55">
        <v>44179</v>
      </c>
      <c r="B16" s="33">
        <v>134007</v>
      </c>
      <c r="C16" s="57">
        <v>0</v>
      </c>
      <c r="D16" s="56">
        <v>179650</v>
      </c>
      <c r="E16" s="56">
        <v>235986</v>
      </c>
      <c r="F16" s="56">
        <v>66813</v>
      </c>
      <c r="G16" s="56">
        <v>107589</v>
      </c>
      <c r="H16" s="33">
        <v>43998</v>
      </c>
      <c r="I16" s="56">
        <v>56409</v>
      </c>
      <c r="J16" s="56">
        <v>17797</v>
      </c>
      <c r="K16" s="56">
        <v>1024</v>
      </c>
      <c r="L16" s="56">
        <v>15864</v>
      </c>
      <c r="M16" s="56">
        <v>21304</v>
      </c>
      <c r="N16" s="56">
        <v>6510</v>
      </c>
      <c r="O16" s="56">
        <v>1491</v>
      </c>
      <c r="P16" s="56">
        <v>25565</v>
      </c>
      <c r="Q16" s="33">
        <v>800</v>
      </c>
      <c r="R16" s="56">
        <v>5130</v>
      </c>
    </row>
    <row r="17" spans="1:22" x14ac:dyDescent="0.25">
      <c r="A17" s="55">
        <v>44180</v>
      </c>
      <c r="B17" s="33">
        <v>134197</v>
      </c>
      <c r="C17" s="33">
        <v>0</v>
      </c>
      <c r="D17" s="56">
        <v>179963</v>
      </c>
      <c r="E17" s="56">
        <v>236039</v>
      </c>
      <c r="F17" s="56">
        <v>66814</v>
      </c>
      <c r="G17" s="56">
        <v>107607</v>
      </c>
      <c r="H17" s="33">
        <v>44019</v>
      </c>
      <c r="I17" s="56">
        <v>56422</v>
      </c>
      <c r="J17" s="56">
        <v>17807</v>
      </c>
      <c r="K17" s="56">
        <v>1024</v>
      </c>
      <c r="L17" s="56">
        <v>15870</v>
      </c>
      <c r="M17" s="56">
        <v>21317</v>
      </c>
      <c r="N17" s="56">
        <v>6513</v>
      </c>
      <c r="O17" s="56">
        <v>1493</v>
      </c>
      <c r="P17" s="56">
        <v>25565</v>
      </c>
      <c r="Q17" s="33">
        <v>802</v>
      </c>
      <c r="R17" s="56">
        <v>5136</v>
      </c>
    </row>
    <row r="18" spans="1:22" x14ac:dyDescent="0.25">
      <c r="A18" s="55">
        <v>44181</v>
      </c>
      <c r="B18" s="33">
        <v>134347</v>
      </c>
      <c r="C18" s="57">
        <v>0</v>
      </c>
      <c r="D18" s="56">
        <v>180175</v>
      </c>
      <c r="E18" s="56">
        <v>236089</v>
      </c>
      <c r="F18" s="56">
        <v>66815</v>
      </c>
      <c r="G18" s="56">
        <v>107622</v>
      </c>
      <c r="H18" s="33">
        <v>44049</v>
      </c>
      <c r="I18" s="56">
        <v>56434</v>
      </c>
      <c r="J18" s="33">
        <v>17817</v>
      </c>
      <c r="K18" s="56">
        <v>1024</v>
      </c>
      <c r="L18" s="56">
        <v>15875</v>
      </c>
      <c r="M18" s="56">
        <v>21330</v>
      </c>
      <c r="N18" s="56">
        <v>6515</v>
      </c>
      <c r="O18" s="56">
        <v>1493</v>
      </c>
      <c r="P18" s="56">
        <v>25565</v>
      </c>
      <c r="Q18" s="33">
        <v>804</v>
      </c>
      <c r="R18" s="56">
        <v>5141</v>
      </c>
    </row>
    <row r="19" spans="1:22" x14ac:dyDescent="0.25">
      <c r="A19" s="55">
        <v>44182</v>
      </c>
      <c r="B19" s="33">
        <v>134489</v>
      </c>
      <c r="C19" s="33">
        <v>0</v>
      </c>
      <c r="D19" s="56">
        <v>180327</v>
      </c>
      <c r="E19" s="56">
        <v>236142</v>
      </c>
      <c r="F19" s="56">
        <v>66816</v>
      </c>
      <c r="G19" s="56">
        <v>107641</v>
      </c>
      <c r="H19" s="33">
        <v>44097</v>
      </c>
      <c r="I19" s="56">
        <v>56449</v>
      </c>
      <c r="J19" s="56">
        <v>17827</v>
      </c>
      <c r="K19" s="56">
        <v>1024</v>
      </c>
      <c r="L19" s="56">
        <v>15882</v>
      </c>
      <c r="M19" s="56">
        <v>21344</v>
      </c>
      <c r="N19" s="56">
        <v>6517</v>
      </c>
      <c r="O19" s="56">
        <v>1494</v>
      </c>
      <c r="P19" s="56">
        <v>25565</v>
      </c>
      <c r="Q19" s="33">
        <v>807</v>
      </c>
      <c r="R19" s="56">
        <v>5147</v>
      </c>
    </row>
    <row r="20" spans="1:22" x14ac:dyDescent="0.25">
      <c r="A20" s="55">
        <v>44183</v>
      </c>
      <c r="B20" s="33">
        <v>134650</v>
      </c>
      <c r="C20" s="57">
        <v>0</v>
      </c>
      <c r="D20" s="10">
        <v>180531</v>
      </c>
      <c r="E20" s="56">
        <v>236197</v>
      </c>
      <c r="F20" s="56">
        <v>66817</v>
      </c>
      <c r="G20" s="56">
        <v>107663</v>
      </c>
      <c r="H20" s="33">
        <v>44135</v>
      </c>
      <c r="I20" s="56">
        <v>56464</v>
      </c>
      <c r="J20" s="56">
        <v>17837</v>
      </c>
      <c r="K20" s="56">
        <v>1024</v>
      </c>
      <c r="L20" s="56">
        <v>15889</v>
      </c>
      <c r="M20" s="56">
        <v>21357</v>
      </c>
      <c r="N20" s="56">
        <v>6520</v>
      </c>
      <c r="O20" s="56">
        <v>1495</v>
      </c>
      <c r="P20" s="56">
        <v>25565</v>
      </c>
      <c r="Q20" s="33">
        <v>807</v>
      </c>
      <c r="R20" s="56">
        <v>5153</v>
      </c>
    </row>
    <row r="21" spans="1:22" x14ac:dyDescent="0.25">
      <c r="A21" s="55">
        <v>44184</v>
      </c>
      <c r="B21" s="33">
        <v>134846</v>
      </c>
      <c r="C21" s="33">
        <v>0</v>
      </c>
      <c r="D21" s="56">
        <v>180799</v>
      </c>
      <c r="E21" s="56">
        <v>236255</v>
      </c>
      <c r="F21" s="56">
        <v>66818</v>
      </c>
      <c r="G21" s="56">
        <v>107682</v>
      </c>
      <c r="H21" s="33">
        <v>44179</v>
      </c>
      <c r="I21" s="56">
        <v>56483</v>
      </c>
      <c r="J21" s="56">
        <v>17847</v>
      </c>
      <c r="K21" s="56">
        <v>1024</v>
      </c>
      <c r="L21" s="56">
        <v>15896</v>
      </c>
      <c r="M21" s="56">
        <v>21372</v>
      </c>
      <c r="N21" s="56">
        <v>6522</v>
      </c>
      <c r="O21" s="56">
        <v>1495</v>
      </c>
      <c r="P21" s="56">
        <v>25568</v>
      </c>
      <c r="Q21" s="33">
        <v>807</v>
      </c>
      <c r="R21" s="56">
        <v>5158</v>
      </c>
    </row>
    <row r="22" spans="1:22" x14ac:dyDescent="0.25">
      <c r="A22" s="55">
        <v>44185</v>
      </c>
      <c r="B22" s="33">
        <v>135014</v>
      </c>
      <c r="C22" s="57">
        <v>0</v>
      </c>
      <c r="D22" s="56">
        <v>181026</v>
      </c>
      <c r="E22" s="56">
        <v>236312</v>
      </c>
      <c r="F22" s="56">
        <v>66818</v>
      </c>
      <c r="G22" s="56">
        <v>107702</v>
      </c>
      <c r="H22" s="33">
        <v>44211</v>
      </c>
      <c r="I22" s="56">
        <v>56498</v>
      </c>
      <c r="J22" s="56">
        <v>17857</v>
      </c>
      <c r="K22" s="56">
        <v>1024</v>
      </c>
      <c r="L22" s="56">
        <v>15902</v>
      </c>
      <c r="M22" s="56">
        <v>21388</v>
      </c>
      <c r="N22" s="56">
        <v>6524</v>
      </c>
      <c r="O22" s="56">
        <v>1497</v>
      </c>
      <c r="P22" s="56">
        <v>25568</v>
      </c>
      <c r="Q22" s="33">
        <v>807</v>
      </c>
      <c r="R22" s="56">
        <v>5167</v>
      </c>
    </row>
    <row r="23" spans="1:22" x14ac:dyDescent="0.25">
      <c r="A23" s="55">
        <v>44186</v>
      </c>
      <c r="B23" s="33">
        <v>135153</v>
      </c>
      <c r="C23" s="33">
        <v>0</v>
      </c>
      <c r="D23" s="56">
        <v>181158</v>
      </c>
      <c r="E23" s="56">
        <v>236377</v>
      </c>
      <c r="F23" s="56">
        <v>66819</v>
      </c>
      <c r="G23" s="56">
        <v>107725</v>
      </c>
      <c r="H23" s="33">
        <v>44233</v>
      </c>
      <c r="I23" s="56">
        <v>56515</v>
      </c>
      <c r="J23" s="56">
        <v>17867</v>
      </c>
      <c r="K23" s="56">
        <v>1024</v>
      </c>
      <c r="L23" s="56">
        <v>15910</v>
      </c>
      <c r="M23" s="56">
        <v>21404</v>
      </c>
      <c r="N23" s="56">
        <v>6528</v>
      </c>
      <c r="O23" s="56">
        <v>1498</v>
      </c>
      <c r="P23" s="56">
        <v>25568</v>
      </c>
      <c r="Q23" s="33">
        <v>807</v>
      </c>
      <c r="R23" s="56">
        <v>5169</v>
      </c>
    </row>
    <row r="24" spans="1:22" x14ac:dyDescent="0.25">
      <c r="A24" s="55">
        <v>44187</v>
      </c>
      <c r="B24" s="33">
        <v>135321</v>
      </c>
      <c r="C24" s="57">
        <v>0</v>
      </c>
      <c r="D24" s="56">
        <v>181339</v>
      </c>
      <c r="E24" s="56">
        <v>236435</v>
      </c>
      <c r="F24" s="56">
        <v>66820</v>
      </c>
      <c r="G24" s="56">
        <v>107755</v>
      </c>
      <c r="H24" s="33">
        <v>44253</v>
      </c>
      <c r="I24" s="56">
        <v>56532</v>
      </c>
      <c r="J24" s="56">
        <v>17877</v>
      </c>
      <c r="K24" s="56">
        <v>1024</v>
      </c>
      <c r="L24" s="56">
        <v>15917</v>
      </c>
      <c r="M24" s="56">
        <v>21417</v>
      </c>
      <c r="N24" s="56">
        <v>6532</v>
      </c>
      <c r="O24" s="56">
        <v>1499</v>
      </c>
      <c r="P24" s="56">
        <v>25568</v>
      </c>
      <c r="Q24" s="33">
        <v>807</v>
      </c>
      <c r="R24" s="56">
        <v>5177</v>
      </c>
    </row>
    <row r="25" spans="1:22" x14ac:dyDescent="0.25">
      <c r="A25" s="55">
        <v>44188</v>
      </c>
      <c r="B25" s="33">
        <v>135462</v>
      </c>
      <c r="C25" s="33">
        <v>0</v>
      </c>
      <c r="D25" s="56">
        <v>181540</v>
      </c>
      <c r="E25" s="56">
        <v>236497</v>
      </c>
      <c r="F25" s="56">
        <v>66821</v>
      </c>
      <c r="G25" s="56">
        <v>107777</v>
      </c>
      <c r="H25" s="33">
        <v>44272</v>
      </c>
      <c r="I25" s="56">
        <v>56549</v>
      </c>
      <c r="J25" s="56">
        <v>17887</v>
      </c>
      <c r="K25" s="56">
        <v>1024</v>
      </c>
      <c r="L25" s="56">
        <v>15924</v>
      </c>
      <c r="M25" s="56">
        <v>21432</v>
      </c>
      <c r="N25" s="56">
        <v>6534</v>
      </c>
      <c r="O25" s="56">
        <v>1500</v>
      </c>
      <c r="P25" s="56">
        <v>25568</v>
      </c>
      <c r="Q25" s="33">
        <v>807</v>
      </c>
      <c r="R25" s="56">
        <v>5183</v>
      </c>
    </row>
    <row r="26" spans="1:22" x14ac:dyDescent="0.25">
      <c r="A26" s="55">
        <v>44189</v>
      </c>
      <c r="B26" s="33">
        <v>135588</v>
      </c>
      <c r="C26" s="57">
        <v>0</v>
      </c>
      <c r="D26" s="56">
        <v>181687</v>
      </c>
      <c r="E26" s="56">
        <v>236563</v>
      </c>
      <c r="F26" s="56">
        <v>66822</v>
      </c>
      <c r="G26" s="56">
        <v>107807</v>
      </c>
      <c r="H26" s="33">
        <v>44287</v>
      </c>
      <c r="I26" s="56">
        <v>56570</v>
      </c>
      <c r="J26" s="56">
        <v>17898</v>
      </c>
      <c r="K26" s="56">
        <v>1024</v>
      </c>
      <c r="L26" s="56">
        <v>15932</v>
      </c>
      <c r="M26" s="56">
        <v>21448</v>
      </c>
      <c r="N26" s="56">
        <v>6537</v>
      </c>
      <c r="O26" s="56">
        <v>1504</v>
      </c>
      <c r="P26" s="56">
        <v>25568</v>
      </c>
      <c r="Q26" s="33">
        <v>807</v>
      </c>
      <c r="R26" s="56">
        <v>5190</v>
      </c>
    </row>
    <row r="27" spans="1:22" x14ac:dyDescent="0.25">
      <c r="A27" s="55">
        <v>44190</v>
      </c>
      <c r="B27" s="33">
        <v>135693</v>
      </c>
      <c r="C27" s="33">
        <v>0</v>
      </c>
      <c r="D27" s="56">
        <v>181807</v>
      </c>
      <c r="E27" s="56">
        <v>236621</v>
      </c>
      <c r="F27" s="56">
        <v>66822</v>
      </c>
      <c r="G27" s="56">
        <v>107830</v>
      </c>
      <c r="H27" s="33">
        <v>44302</v>
      </c>
      <c r="I27" s="56">
        <v>56584</v>
      </c>
      <c r="J27" s="56">
        <v>17908</v>
      </c>
      <c r="K27" s="56">
        <v>1024</v>
      </c>
      <c r="L27" s="56">
        <v>15940</v>
      </c>
      <c r="M27" s="56">
        <v>21463</v>
      </c>
      <c r="N27" s="56">
        <v>6539</v>
      </c>
      <c r="O27" s="56">
        <v>1504</v>
      </c>
      <c r="P27" s="56">
        <v>25568</v>
      </c>
      <c r="Q27" s="33">
        <v>807</v>
      </c>
      <c r="R27" s="56">
        <v>5200</v>
      </c>
    </row>
    <row r="28" spans="1:22" x14ac:dyDescent="0.25">
      <c r="A28" s="55">
        <v>44191</v>
      </c>
      <c r="B28" s="33">
        <v>135844</v>
      </c>
      <c r="C28" s="57">
        <v>0</v>
      </c>
      <c r="D28" s="56">
        <v>181962</v>
      </c>
      <c r="E28" s="56">
        <v>236682</v>
      </c>
      <c r="F28" s="56">
        <v>66823</v>
      </c>
      <c r="G28" s="56">
        <v>107854</v>
      </c>
      <c r="H28" s="33">
        <v>44318</v>
      </c>
      <c r="I28" s="56">
        <v>56600</v>
      </c>
      <c r="J28" s="56">
        <v>17918</v>
      </c>
      <c r="K28" s="56">
        <v>1024</v>
      </c>
      <c r="L28" s="56">
        <v>15948</v>
      </c>
      <c r="M28" s="56">
        <v>21479</v>
      </c>
      <c r="N28" s="56">
        <v>6544</v>
      </c>
      <c r="O28" s="56">
        <v>1505</v>
      </c>
      <c r="P28" s="56">
        <v>25568</v>
      </c>
      <c r="Q28" s="33">
        <v>807</v>
      </c>
      <c r="R28" s="56">
        <v>5206</v>
      </c>
    </row>
    <row r="29" spans="1:22" x14ac:dyDescent="0.25">
      <c r="A29" s="55">
        <v>44192</v>
      </c>
      <c r="B29" s="33">
        <v>136053</v>
      </c>
      <c r="C29" s="33">
        <v>0</v>
      </c>
      <c r="D29" s="56">
        <v>182205</v>
      </c>
      <c r="E29" s="56">
        <v>236740</v>
      </c>
      <c r="F29" s="56">
        <v>66825</v>
      </c>
      <c r="G29" s="56">
        <v>107881</v>
      </c>
      <c r="H29" s="33">
        <v>44336</v>
      </c>
      <c r="I29" s="10">
        <v>56613</v>
      </c>
      <c r="J29" s="56">
        <v>17928</v>
      </c>
      <c r="K29" s="56">
        <v>1024</v>
      </c>
      <c r="L29" s="56">
        <v>15955</v>
      </c>
      <c r="M29" s="56">
        <v>21491</v>
      </c>
      <c r="N29" s="56">
        <v>6547</v>
      </c>
      <c r="O29" s="56">
        <v>1506</v>
      </c>
      <c r="P29" s="56">
        <v>25568</v>
      </c>
      <c r="Q29" s="56">
        <v>815</v>
      </c>
      <c r="R29" s="56">
        <v>5212</v>
      </c>
    </row>
    <row r="30" spans="1:22" x14ac:dyDescent="0.25">
      <c r="A30" s="55">
        <v>44193</v>
      </c>
      <c r="B30" s="33">
        <v>136180</v>
      </c>
      <c r="C30" s="57">
        <v>0</v>
      </c>
      <c r="D30" s="56">
        <v>182315</v>
      </c>
      <c r="E30" s="56">
        <v>236799</v>
      </c>
      <c r="F30" s="56">
        <v>66827</v>
      </c>
      <c r="G30" s="56">
        <v>107906</v>
      </c>
      <c r="H30" s="33">
        <v>44376</v>
      </c>
      <c r="I30" s="56">
        <v>56634</v>
      </c>
      <c r="J30" s="56">
        <v>17938</v>
      </c>
      <c r="K30" s="56">
        <v>1024</v>
      </c>
      <c r="L30" s="56">
        <v>15963</v>
      </c>
      <c r="M30" s="56">
        <v>21506</v>
      </c>
      <c r="N30" s="56">
        <v>6551</v>
      </c>
      <c r="O30" s="56">
        <v>1506</v>
      </c>
      <c r="P30" s="56">
        <v>25568</v>
      </c>
      <c r="Q30" s="56">
        <v>815</v>
      </c>
      <c r="R30" s="56">
        <v>5216</v>
      </c>
    </row>
    <row r="31" spans="1:22" x14ac:dyDescent="0.25">
      <c r="A31" s="55">
        <v>44194</v>
      </c>
      <c r="B31" s="33">
        <v>136332</v>
      </c>
      <c r="C31" s="33">
        <v>0</v>
      </c>
      <c r="D31" s="56">
        <v>182506</v>
      </c>
      <c r="E31" s="10">
        <v>236856</v>
      </c>
      <c r="F31" s="56">
        <v>66829</v>
      </c>
      <c r="G31" s="56">
        <v>107930</v>
      </c>
      <c r="H31" s="33">
        <v>44397</v>
      </c>
      <c r="I31" s="56">
        <v>56654</v>
      </c>
      <c r="J31" s="10">
        <v>17949</v>
      </c>
      <c r="K31" s="56">
        <v>1024</v>
      </c>
      <c r="L31" s="56">
        <v>15970</v>
      </c>
      <c r="M31" s="56">
        <v>21517</v>
      </c>
      <c r="N31" s="56">
        <v>6555</v>
      </c>
      <c r="O31" s="56">
        <v>1507</v>
      </c>
      <c r="P31" s="56">
        <v>25568</v>
      </c>
      <c r="Q31" s="56">
        <v>815</v>
      </c>
      <c r="R31" s="56">
        <v>5224</v>
      </c>
      <c r="S31" s="58"/>
      <c r="T31" s="58"/>
      <c r="U31" s="58"/>
      <c r="V31" s="58"/>
    </row>
    <row r="32" spans="1:22" x14ac:dyDescent="0.25">
      <c r="A32" s="55">
        <v>44195</v>
      </c>
      <c r="B32" s="33">
        <v>136506</v>
      </c>
      <c r="C32" s="57">
        <v>0</v>
      </c>
      <c r="D32" s="56">
        <v>182699</v>
      </c>
      <c r="E32" s="56">
        <v>236917</v>
      </c>
      <c r="F32" s="56">
        <v>66830</v>
      </c>
      <c r="G32" s="56">
        <v>107959</v>
      </c>
      <c r="H32" s="57">
        <v>44442</v>
      </c>
      <c r="I32" s="33">
        <v>56675</v>
      </c>
      <c r="J32" s="56">
        <v>17959</v>
      </c>
      <c r="K32" s="56">
        <v>1024</v>
      </c>
      <c r="L32" s="56">
        <v>15978</v>
      </c>
      <c r="M32" s="56">
        <v>21532</v>
      </c>
      <c r="N32" s="56">
        <v>6559</v>
      </c>
      <c r="O32" s="56">
        <v>1508</v>
      </c>
      <c r="P32" s="56">
        <v>25568</v>
      </c>
      <c r="Q32" s="56">
        <v>815</v>
      </c>
      <c r="R32" s="56">
        <v>5234</v>
      </c>
      <c r="S32" s="59"/>
      <c r="T32" s="58"/>
      <c r="U32" s="58"/>
      <c r="V32" s="58"/>
    </row>
    <row r="33" spans="1:22" x14ac:dyDescent="0.25">
      <c r="A33" s="55">
        <v>44196</v>
      </c>
      <c r="B33" s="33">
        <v>136645</v>
      </c>
      <c r="C33" s="33">
        <v>0</v>
      </c>
      <c r="D33" s="56">
        <v>182857</v>
      </c>
      <c r="E33" s="56">
        <v>236982</v>
      </c>
      <c r="F33" s="56">
        <v>66831</v>
      </c>
      <c r="G33" s="56">
        <v>107986</v>
      </c>
      <c r="H33" s="57">
        <v>44470</v>
      </c>
      <c r="I33" s="33">
        <v>56696</v>
      </c>
      <c r="J33" s="56">
        <v>17970</v>
      </c>
      <c r="K33" s="56">
        <v>1024</v>
      </c>
      <c r="L33" s="56">
        <v>15985</v>
      </c>
      <c r="M33" s="56">
        <v>21547</v>
      </c>
      <c r="N33" s="56">
        <v>6562</v>
      </c>
      <c r="O33" s="56">
        <v>1511</v>
      </c>
      <c r="P33" s="56">
        <v>25568</v>
      </c>
      <c r="Q33" s="56">
        <v>815</v>
      </c>
      <c r="R33" s="56">
        <v>5245</v>
      </c>
      <c r="S33" s="59"/>
      <c r="T33" s="58"/>
      <c r="U33" s="58"/>
      <c r="V33" s="58"/>
    </row>
    <row r="34" spans="1:22" x14ac:dyDescent="0.25">
      <c r="A34" s="55">
        <v>44197</v>
      </c>
      <c r="B34" s="33">
        <v>136859</v>
      </c>
      <c r="C34" s="57">
        <v>0</v>
      </c>
      <c r="D34" s="33">
        <v>182994</v>
      </c>
      <c r="E34" s="33">
        <v>237039</v>
      </c>
      <c r="F34" s="33">
        <v>66831</v>
      </c>
      <c r="G34" s="33">
        <v>108009</v>
      </c>
      <c r="H34" s="33">
        <v>44506</v>
      </c>
      <c r="I34" s="33">
        <v>56807</v>
      </c>
      <c r="J34" s="33">
        <v>17981</v>
      </c>
      <c r="K34" s="33">
        <v>1024</v>
      </c>
      <c r="L34" s="33">
        <v>15993</v>
      </c>
      <c r="M34" s="33">
        <v>21558</v>
      </c>
      <c r="N34" s="33">
        <v>6567</v>
      </c>
      <c r="O34" s="33">
        <v>1512</v>
      </c>
      <c r="P34" s="33">
        <v>25641</v>
      </c>
      <c r="Q34" s="33">
        <v>815</v>
      </c>
      <c r="R34" s="33">
        <v>5252</v>
      </c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C35" sqref="C35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9.5703125" customWidth="1"/>
    <col min="6" max="6" width="10.42578125" customWidth="1"/>
    <col min="7" max="7" width="12.28515625" customWidth="1"/>
    <col min="8" max="8" width="13.5703125" customWidth="1"/>
    <col min="9" max="12" width="9.5703125" customWidth="1"/>
    <col min="13" max="13" width="10.28515625" customWidth="1"/>
    <col min="14" max="17" width="9.5703125" customWidth="1"/>
    <col min="18" max="18" width="11.42578125" customWidth="1"/>
    <col min="19" max="20" width="11.5703125" customWidth="1"/>
    <col min="21" max="24" width="9.5703125" customWidth="1"/>
    <col min="25" max="25" width="14.28515625" customWidth="1"/>
    <col min="26" max="26" width="12.28515625" customWidth="1"/>
  </cols>
  <sheetData>
    <row r="1" spans="1:26" ht="15.75" thickBot="1" x14ac:dyDescent="0.3"/>
    <row r="2" spans="1:26" s="60" customFormat="1" ht="45" customHeight="1" thickTop="1" x14ac:dyDescent="0.25">
      <c r="A2" s="135" t="s">
        <v>32</v>
      </c>
      <c r="B2" s="136" t="s">
        <v>109</v>
      </c>
      <c r="C2" s="136" t="s">
        <v>110</v>
      </c>
      <c r="D2" s="136"/>
      <c r="E2" s="137" t="s">
        <v>98</v>
      </c>
      <c r="F2" s="134"/>
      <c r="G2" s="131" t="s">
        <v>113</v>
      </c>
      <c r="H2" s="134"/>
      <c r="I2" s="131" t="s">
        <v>111</v>
      </c>
      <c r="J2" s="134"/>
      <c r="K2" s="131" t="s">
        <v>112</v>
      </c>
      <c r="L2" s="134"/>
      <c r="M2" s="131" t="s">
        <v>108</v>
      </c>
      <c r="N2" s="134"/>
      <c r="O2" s="131" t="s">
        <v>107</v>
      </c>
      <c r="P2" s="134"/>
      <c r="Q2" s="131" t="s">
        <v>114</v>
      </c>
      <c r="R2" s="134"/>
      <c r="S2" s="131" t="s">
        <v>115</v>
      </c>
      <c r="T2" s="134"/>
      <c r="U2" s="131" t="s">
        <v>116</v>
      </c>
      <c r="V2" s="134"/>
      <c r="W2" s="131" t="s">
        <v>100</v>
      </c>
      <c r="X2" s="132"/>
      <c r="Y2" s="133" t="s">
        <v>53</v>
      </c>
      <c r="Z2" s="133"/>
    </row>
    <row r="3" spans="1:26" ht="30" x14ac:dyDescent="0.35">
      <c r="A3" s="135"/>
      <c r="B3" s="136"/>
      <c r="C3" s="61" t="s">
        <v>117</v>
      </c>
      <c r="D3" s="61" t="s">
        <v>118</v>
      </c>
      <c r="E3" s="75" t="s">
        <v>117</v>
      </c>
      <c r="F3" s="63" t="s">
        <v>119</v>
      </c>
      <c r="G3" s="62" t="s">
        <v>117</v>
      </c>
      <c r="H3" s="63" t="s">
        <v>119</v>
      </c>
      <c r="I3" s="62" t="s">
        <v>117</v>
      </c>
      <c r="J3" s="63" t="s">
        <v>119</v>
      </c>
      <c r="K3" s="62" t="s">
        <v>117</v>
      </c>
      <c r="L3" s="63" t="s">
        <v>119</v>
      </c>
      <c r="M3" s="62" t="s">
        <v>117</v>
      </c>
      <c r="N3" s="63" t="s">
        <v>119</v>
      </c>
      <c r="O3" s="62" t="s">
        <v>117</v>
      </c>
      <c r="P3" s="63" t="s">
        <v>119</v>
      </c>
      <c r="Q3" s="62" t="s">
        <v>117</v>
      </c>
      <c r="R3" s="63" t="s">
        <v>119</v>
      </c>
      <c r="S3" s="62" t="s">
        <v>117</v>
      </c>
      <c r="T3" s="63" t="s">
        <v>119</v>
      </c>
      <c r="U3" s="62" t="s">
        <v>117</v>
      </c>
      <c r="V3" s="63" t="s">
        <v>119</v>
      </c>
      <c r="W3" s="62" t="s">
        <v>117</v>
      </c>
      <c r="X3" s="64" t="s">
        <v>119</v>
      </c>
      <c r="Y3" s="65" t="s">
        <v>117</v>
      </c>
      <c r="Z3" s="65" t="s">
        <v>119</v>
      </c>
    </row>
    <row r="4" spans="1:26" x14ac:dyDescent="0.25">
      <c r="A4" s="8">
        <f>'Water Reading'!A3</f>
        <v>44166</v>
      </c>
      <c r="B4" s="66">
        <v>290</v>
      </c>
      <c r="C4" s="67">
        <f>('Water Reading'!B4-'Water Reading'!B3)+('Water Reading'!C4-'Water Reading'!C3)</f>
        <v>161</v>
      </c>
      <c r="D4" s="68">
        <f>C4/B4</f>
        <v>0.55517241379310345</v>
      </c>
      <c r="E4" s="89">
        <f>'Water Reading'!H4-'Water Reading'!H3</f>
        <v>23</v>
      </c>
      <c r="F4" s="90">
        <f>E4/C4</f>
        <v>0.14285714285714285</v>
      </c>
      <c r="G4" s="94">
        <f>('Water Reading'!D4-'Water Reading'!D3)-('Water Reading'!R4-'Water Reading'!R3)-('Water Reading'!Q4-'Water Reading'!Q3)</f>
        <v>247</v>
      </c>
      <c r="H4" s="90">
        <f>G4/C4</f>
        <v>1.5341614906832297</v>
      </c>
      <c r="I4" s="91">
        <f>'Water Reading'!P4-'Water Reading'!P3</f>
        <v>0</v>
      </c>
      <c r="J4" s="69">
        <f>I4/C4</f>
        <v>0</v>
      </c>
      <c r="K4" s="92">
        <f>('Water Reading'!I4-'Water Reading'!I3)</f>
        <v>11</v>
      </c>
      <c r="L4" s="69">
        <f>K4/C4</f>
        <v>6.8322981366459631E-2</v>
      </c>
      <c r="M4" s="91">
        <f>'Water Reading'!R4-'Water Reading'!R3</f>
        <v>2</v>
      </c>
      <c r="N4" s="93">
        <f>M4/C4</f>
        <v>1.2422360248447204E-2</v>
      </c>
      <c r="O4" s="91">
        <f>'Water Reading'!Q4-'Water Reading'!Q3</f>
        <v>4</v>
      </c>
      <c r="P4" s="100">
        <f>O4/C4</f>
        <v>2.4844720496894408E-2</v>
      </c>
      <c r="Q4" s="92">
        <f>'Water Reading'!F4-'Water Reading'!F3</f>
        <v>1</v>
      </c>
      <c r="R4" s="101">
        <f>Q4/C4</f>
        <v>6.2111801242236021E-3</v>
      </c>
      <c r="S4" s="91">
        <f>'Water Reading'!E4-'Water Reading'!E3</f>
        <v>48</v>
      </c>
      <c r="T4" s="101">
        <f>S4/C4</f>
        <v>0.29813664596273293</v>
      </c>
      <c r="U4" s="91">
        <f>'Water Reading'!G4-'Water Reading'!G3</f>
        <v>13</v>
      </c>
      <c r="V4" s="101">
        <f>U4/C4</f>
        <v>8.0745341614906832E-2</v>
      </c>
      <c r="W4" s="91">
        <f>'Water Reading'!J4-'Water Reading'!J3</f>
        <v>10</v>
      </c>
      <c r="X4" s="101">
        <f>W4/C4</f>
        <v>6.2111801242236024E-2</v>
      </c>
      <c r="Y4" s="67">
        <f t="shared" ref="Y4:Y34" si="0">E4+I4+K4+M4+O4+G4+Q4+S4+U4+W4</f>
        <v>359</v>
      </c>
      <c r="Z4" s="68">
        <f t="shared" ref="Z4:Z35" si="1">Y4/B4</f>
        <v>1.2379310344827585</v>
      </c>
    </row>
    <row r="5" spans="1:26" x14ac:dyDescent="0.25">
      <c r="A5" s="8">
        <f>'Water Reading'!A4</f>
        <v>44167</v>
      </c>
      <c r="B5" s="66">
        <v>275</v>
      </c>
      <c r="C5" s="67">
        <f>('Water Reading'!B5-'Water Reading'!B4)+('Water Reading'!C5-'Water Reading'!C4)</f>
        <v>161</v>
      </c>
      <c r="D5" s="68">
        <f t="shared" ref="D5:D34" si="2">C5/B5</f>
        <v>0.58545454545454545</v>
      </c>
      <c r="E5" s="89">
        <f>'Water Reading'!H5-'Water Reading'!H4</f>
        <v>14</v>
      </c>
      <c r="F5" s="90">
        <f t="shared" ref="F5:F34" si="3">E5/C5</f>
        <v>8.6956521739130432E-2</v>
      </c>
      <c r="G5" s="94">
        <f>('Water Reading'!D5-'Water Reading'!D4)-('Water Reading'!R5-'Water Reading'!R4)-('Water Reading'!Q5-'Water Reading'!Q4)</f>
        <v>186</v>
      </c>
      <c r="H5" s="90">
        <f t="shared" ref="H5:H34" si="4">G5/C5</f>
        <v>1.15527950310559</v>
      </c>
      <c r="I5" s="91">
        <f>'Water Reading'!P5-'Water Reading'!P4</f>
        <v>0</v>
      </c>
      <c r="J5" s="69">
        <f t="shared" ref="J5:J34" si="5">I5/C5</f>
        <v>0</v>
      </c>
      <c r="K5" s="92">
        <f>('Water Reading'!I5-'Water Reading'!I4)</f>
        <v>9</v>
      </c>
      <c r="L5" s="69">
        <f t="shared" ref="L5:L34" si="6">K5/C5</f>
        <v>5.5900621118012424E-2</v>
      </c>
      <c r="M5" s="91">
        <f>'Water Reading'!R5-'Water Reading'!R4</f>
        <v>6</v>
      </c>
      <c r="N5" s="93">
        <f t="shared" ref="N5:N34" si="7">M5/C5</f>
        <v>3.7267080745341616E-2</v>
      </c>
      <c r="O5" s="91">
        <f>'Water Reading'!Q5-'Water Reading'!Q4</f>
        <v>0</v>
      </c>
      <c r="P5" s="100">
        <f t="shared" ref="P5:P34" si="8">O5/C5</f>
        <v>0</v>
      </c>
      <c r="Q5" s="92">
        <f>'Water Reading'!F5-'Water Reading'!F4</f>
        <v>1</v>
      </c>
      <c r="R5" s="101">
        <f t="shared" ref="R5:R34" si="9">Q5/C5</f>
        <v>6.2111801242236021E-3</v>
      </c>
      <c r="S5" s="91">
        <f>'Water Reading'!E5-'Water Reading'!E4</f>
        <v>48</v>
      </c>
      <c r="T5" s="101">
        <f t="shared" ref="T5:T34" si="10">S5/C5</f>
        <v>0.29813664596273293</v>
      </c>
      <c r="U5" s="91">
        <f>'Water Reading'!G5-'Water Reading'!G4</f>
        <v>19</v>
      </c>
      <c r="V5" s="101">
        <f t="shared" ref="V5:V34" si="11">U5/C5</f>
        <v>0.11801242236024845</v>
      </c>
      <c r="W5" s="91">
        <f>'Water Reading'!J5-'Water Reading'!J4</f>
        <v>9</v>
      </c>
      <c r="X5" s="101">
        <f t="shared" ref="X5:X34" si="12">W5/C5</f>
        <v>5.5900621118012424E-2</v>
      </c>
      <c r="Y5" s="67">
        <f t="shared" si="0"/>
        <v>292</v>
      </c>
      <c r="Z5" s="68">
        <f t="shared" si="1"/>
        <v>1.0618181818181818</v>
      </c>
    </row>
    <row r="6" spans="1:26" x14ac:dyDescent="0.25">
      <c r="A6" s="8">
        <f>'Water Reading'!A5</f>
        <v>44168</v>
      </c>
      <c r="B6" s="66">
        <v>216</v>
      </c>
      <c r="C6" s="67">
        <f>('Water Reading'!B6-'Water Reading'!B5)+('Water Reading'!C6-'Water Reading'!C5)</f>
        <v>112</v>
      </c>
      <c r="D6" s="68">
        <f t="shared" si="2"/>
        <v>0.51851851851851849</v>
      </c>
      <c r="E6" s="89">
        <f>'Water Reading'!H6-'Water Reading'!H5</f>
        <v>26</v>
      </c>
      <c r="F6" s="90">
        <f t="shared" si="3"/>
        <v>0.23214285714285715</v>
      </c>
      <c r="G6" s="94">
        <f>('Water Reading'!D6-'Water Reading'!D5)-('Water Reading'!R6-'Water Reading'!R5)-('Water Reading'!Q6-'Water Reading'!Q5)</f>
        <v>125</v>
      </c>
      <c r="H6" s="90">
        <f t="shared" si="4"/>
        <v>1.1160714285714286</v>
      </c>
      <c r="I6" s="91">
        <f>'Water Reading'!P6-'Water Reading'!P5</f>
        <v>0</v>
      </c>
      <c r="J6" s="69">
        <f t="shared" si="5"/>
        <v>0</v>
      </c>
      <c r="K6" s="92">
        <f>('Water Reading'!I6-'Water Reading'!I5)</f>
        <v>12</v>
      </c>
      <c r="L6" s="69">
        <f t="shared" si="6"/>
        <v>0.10714285714285714</v>
      </c>
      <c r="M6" s="91">
        <f>'Water Reading'!R6-'Water Reading'!R5</f>
        <v>2</v>
      </c>
      <c r="N6" s="93">
        <f t="shared" si="7"/>
        <v>1.7857142857142856E-2</v>
      </c>
      <c r="O6" s="91">
        <f>'Water Reading'!Q6-'Water Reading'!Q5</f>
        <v>6</v>
      </c>
      <c r="P6" s="100">
        <f t="shared" si="8"/>
        <v>5.3571428571428568E-2</v>
      </c>
      <c r="Q6" s="92">
        <f>'Water Reading'!F6-'Water Reading'!F5</f>
        <v>1</v>
      </c>
      <c r="R6" s="101">
        <f t="shared" si="9"/>
        <v>8.9285714285714281E-3</v>
      </c>
      <c r="S6" s="91">
        <f>'Water Reading'!E6-'Water Reading'!E5</f>
        <v>50</v>
      </c>
      <c r="T6" s="101">
        <f t="shared" si="10"/>
        <v>0.44642857142857145</v>
      </c>
      <c r="U6" s="91">
        <f>'Water Reading'!G6-'Water Reading'!G5</f>
        <v>14</v>
      </c>
      <c r="V6" s="101">
        <f t="shared" si="11"/>
        <v>0.125</v>
      </c>
      <c r="W6" s="91">
        <f>'Water Reading'!J6-'Water Reading'!J5</f>
        <v>9.2000000000007276</v>
      </c>
      <c r="X6" s="101">
        <f t="shared" si="12"/>
        <v>8.2142857142863637E-2</v>
      </c>
      <c r="Y6" s="67">
        <f t="shared" si="0"/>
        <v>245.20000000000073</v>
      </c>
      <c r="Z6" s="68">
        <f t="shared" si="1"/>
        <v>1.1351851851851886</v>
      </c>
    </row>
    <row r="7" spans="1:26" x14ac:dyDescent="0.25">
      <c r="A7" s="8">
        <f>'Water Reading'!A6</f>
        <v>44169</v>
      </c>
      <c r="B7" s="66">
        <v>243</v>
      </c>
      <c r="C7" s="67">
        <f>('Water Reading'!B7-'Water Reading'!B6)+('Water Reading'!C7-'Water Reading'!C6)</f>
        <v>108</v>
      </c>
      <c r="D7" s="68">
        <f t="shared" si="2"/>
        <v>0.44444444444444442</v>
      </c>
      <c r="E7" s="89">
        <f>'Water Reading'!H7-'Water Reading'!H6</f>
        <v>34</v>
      </c>
      <c r="F7" s="90">
        <f t="shared" si="3"/>
        <v>0.31481481481481483</v>
      </c>
      <c r="G7" s="94">
        <f>('Water Reading'!D7-'Water Reading'!D6)-('Water Reading'!R7-'Water Reading'!R6)-('Water Reading'!Q7-'Water Reading'!Q6)</f>
        <v>132</v>
      </c>
      <c r="H7" s="90">
        <f t="shared" si="4"/>
        <v>1.2222222222222223</v>
      </c>
      <c r="I7" s="91">
        <f>'Water Reading'!P7-'Water Reading'!P6</f>
        <v>0</v>
      </c>
      <c r="J7" s="69">
        <f t="shared" si="5"/>
        <v>0</v>
      </c>
      <c r="K7" s="92">
        <f>('Water Reading'!I7-'Water Reading'!I6)</f>
        <v>12</v>
      </c>
      <c r="L7" s="69">
        <f t="shared" si="6"/>
        <v>0.1111111111111111</v>
      </c>
      <c r="M7" s="91">
        <f>'Water Reading'!R7-'Water Reading'!R6</f>
        <v>2</v>
      </c>
      <c r="N7" s="93">
        <f t="shared" si="7"/>
        <v>1.8518518518518517E-2</v>
      </c>
      <c r="O7" s="91">
        <f>'Water Reading'!Q7-'Water Reading'!Q6</f>
        <v>3</v>
      </c>
      <c r="P7" s="100">
        <f t="shared" si="8"/>
        <v>2.7777777777777776E-2</v>
      </c>
      <c r="Q7" s="92">
        <f>'Water Reading'!F7-'Water Reading'!F6</f>
        <v>2</v>
      </c>
      <c r="R7" s="101">
        <f t="shared" si="9"/>
        <v>1.8518518518518517E-2</v>
      </c>
      <c r="S7" s="91">
        <f>'Water Reading'!E7-'Water Reading'!E6</f>
        <v>48</v>
      </c>
      <c r="T7" s="101">
        <f t="shared" si="10"/>
        <v>0.44444444444444442</v>
      </c>
      <c r="U7" s="91">
        <f>'Water Reading'!G7-'Water Reading'!G6</f>
        <v>14</v>
      </c>
      <c r="V7" s="101">
        <f t="shared" si="11"/>
        <v>0.12962962962962962</v>
      </c>
      <c r="W7" s="91">
        <f>'Water Reading'!J7-'Water Reading'!J6</f>
        <v>7.7999999999992724</v>
      </c>
      <c r="X7" s="101">
        <f t="shared" si="12"/>
        <v>7.2222222222215485E-2</v>
      </c>
      <c r="Y7" s="67">
        <f t="shared" si="0"/>
        <v>254.79999999999927</v>
      </c>
      <c r="Z7" s="68">
        <f t="shared" si="1"/>
        <v>1.0485596707818901</v>
      </c>
    </row>
    <row r="8" spans="1:26" x14ac:dyDescent="0.25">
      <c r="A8" s="8">
        <f>'Water Reading'!A7</f>
        <v>44170</v>
      </c>
      <c r="B8" s="66">
        <v>219</v>
      </c>
      <c r="C8" s="67">
        <f>('Water Reading'!B8-'Water Reading'!B7)+('Water Reading'!C8-'Water Reading'!C7)</f>
        <v>106</v>
      </c>
      <c r="D8" s="68">
        <f t="shared" si="2"/>
        <v>0.48401826484018262</v>
      </c>
      <c r="E8" s="89">
        <f>'Water Reading'!H8-'Water Reading'!H7</f>
        <v>29</v>
      </c>
      <c r="F8" s="90">
        <f t="shared" si="3"/>
        <v>0.27358490566037735</v>
      </c>
      <c r="G8" s="94">
        <f>('Water Reading'!D8-'Water Reading'!D7)-('Water Reading'!R8-'Water Reading'!R7)-('Water Reading'!Q8-'Water Reading'!Q7)</f>
        <v>97</v>
      </c>
      <c r="H8" s="90">
        <f t="shared" si="4"/>
        <v>0.91509433962264153</v>
      </c>
      <c r="I8" s="91">
        <f>'Water Reading'!P8-'Water Reading'!P7</f>
        <v>0</v>
      </c>
      <c r="J8" s="69">
        <f t="shared" si="5"/>
        <v>0</v>
      </c>
      <c r="K8" s="92">
        <f>('Water Reading'!I8-'Water Reading'!I7)</f>
        <v>11</v>
      </c>
      <c r="L8" s="69">
        <f t="shared" si="6"/>
        <v>0.10377358490566038</v>
      </c>
      <c r="M8" s="91">
        <f>'Water Reading'!R8-'Water Reading'!R7</f>
        <v>7</v>
      </c>
      <c r="N8" s="93">
        <f t="shared" si="7"/>
        <v>6.6037735849056603E-2</v>
      </c>
      <c r="O8" s="91">
        <f>'Water Reading'!Q8-'Water Reading'!Q7</f>
        <v>3</v>
      </c>
      <c r="P8" s="100">
        <f t="shared" si="8"/>
        <v>2.8301886792452831E-2</v>
      </c>
      <c r="Q8" s="92">
        <f>'Water Reading'!F8-'Water Reading'!F7</f>
        <v>0</v>
      </c>
      <c r="R8" s="101">
        <f t="shared" si="9"/>
        <v>0</v>
      </c>
      <c r="S8" s="91">
        <f>'Water Reading'!E8-'Water Reading'!E7</f>
        <v>55</v>
      </c>
      <c r="T8" s="101">
        <f t="shared" si="10"/>
        <v>0.51886792452830188</v>
      </c>
      <c r="U8" s="91">
        <f>'Water Reading'!G8-'Water Reading'!G7</f>
        <v>15</v>
      </c>
      <c r="V8" s="101">
        <f t="shared" si="11"/>
        <v>0.14150943396226415</v>
      </c>
      <c r="W8" s="91">
        <f>'Water Reading'!J8-'Water Reading'!J7</f>
        <v>8</v>
      </c>
      <c r="X8" s="101">
        <f t="shared" si="12"/>
        <v>7.5471698113207544E-2</v>
      </c>
      <c r="Y8" s="67">
        <f t="shared" si="0"/>
        <v>225</v>
      </c>
      <c r="Z8" s="68">
        <f t="shared" si="1"/>
        <v>1.0273972602739727</v>
      </c>
    </row>
    <row r="9" spans="1:26" x14ac:dyDescent="0.25">
      <c r="A9" s="8">
        <f>'Water Reading'!A8</f>
        <v>44171</v>
      </c>
      <c r="B9" s="66">
        <v>243</v>
      </c>
      <c r="C9" s="67">
        <f>('Water Reading'!B9-'Water Reading'!B8)+('Water Reading'!C9-'Water Reading'!C8)</f>
        <v>138</v>
      </c>
      <c r="D9" s="68">
        <f t="shared" si="2"/>
        <v>0.5679012345679012</v>
      </c>
      <c r="E9" s="89">
        <f>'Water Reading'!H9-'Water Reading'!H8</f>
        <v>41</v>
      </c>
      <c r="F9" s="90">
        <f t="shared" si="3"/>
        <v>0.29710144927536231</v>
      </c>
      <c r="G9" s="94">
        <f>('Water Reading'!D9-'Water Reading'!D8)-('Water Reading'!R9-'Water Reading'!R8)-('Water Reading'!Q9-'Water Reading'!Q8)</f>
        <v>160</v>
      </c>
      <c r="H9" s="90">
        <f t="shared" si="4"/>
        <v>1.1594202898550725</v>
      </c>
      <c r="I9" s="91">
        <f>'Water Reading'!P9-'Water Reading'!P8</f>
        <v>14</v>
      </c>
      <c r="J9" s="69">
        <f t="shared" si="5"/>
        <v>0.10144927536231885</v>
      </c>
      <c r="K9" s="92">
        <f>('Water Reading'!I9-'Water Reading'!I8)</f>
        <v>28</v>
      </c>
      <c r="L9" s="69">
        <f t="shared" si="6"/>
        <v>0.20289855072463769</v>
      </c>
      <c r="M9" s="91">
        <f>'Water Reading'!R9-'Water Reading'!R8</f>
        <v>2</v>
      </c>
      <c r="N9" s="93">
        <f t="shared" si="7"/>
        <v>1.4492753623188406E-2</v>
      </c>
      <c r="O9" s="91">
        <f>'Water Reading'!Q9-'Water Reading'!Q8</f>
        <v>0</v>
      </c>
      <c r="P9" s="100">
        <f t="shared" si="8"/>
        <v>0</v>
      </c>
      <c r="Q9" s="92">
        <f>'Water Reading'!F9-'Water Reading'!F8</f>
        <v>1</v>
      </c>
      <c r="R9" s="101">
        <f t="shared" si="9"/>
        <v>7.246376811594203E-3</v>
      </c>
      <c r="S9" s="91">
        <f>'Water Reading'!E9-'Water Reading'!E8</f>
        <v>56</v>
      </c>
      <c r="T9" s="101">
        <f t="shared" si="10"/>
        <v>0.40579710144927539</v>
      </c>
      <c r="U9" s="91">
        <f>'Water Reading'!G9-'Water Reading'!G8</f>
        <v>18</v>
      </c>
      <c r="V9" s="101">
        <f t="shared" si="11"/>
        <v>0.13043478260869565</v>
      </c>
      <c r="W9" s="91">
        <f>'Water Reading'!J9-'Water Reading'!J8</f>
        <v>8</v>
      </c>
      <c r="X9" s="101">
        <f t="shared" si="12"/>
        <v>5.7971014492753624E-2</v>
      </c>
      <c r="Y9" s="67">
        <f t="shared" si="0"/>
        <v>328</v>
      </c>
      <c r="Z9" s="68">
        <f t="shared" si="1"/>
        <v>1.3497942386831276</v>
      </c>
    </row>
    <row r="10" spans="1:26" x14ac:dyDescent="0.25">
      <c r="A10" s="8">
        <f>'Water Reading'!A9</f>
        <v>44172</v>
      </c>
      <c r="B10" s="66">
        <v>290</v>
      </c>
      <c r="C10" s="67">
        <f>('Water Reading'!B10-'Water Reading'!B9)+('Water Reading'!C10-'Water Reading'!C9)</f>
        <v>214</v>
      </c>
      <c r="D10" s="68">
        <f t="shared" si="2"/>
        <v>0.73793103448275865</v>
      </c>
      <c r="E10" s="89">
        <f>'Water Reading'!H10-'Water Reading'!H9</f>
        <v>35</v>
      </c>
      <c r="F10" s="90">
        <f t="shared" si="3"/>
        <v>0.16355140186915887</v>
      </c>
      <c r="G10" s="94">
        <f>('Water Reading'!D10-'Water Reading'!D9)-('Water Reading'!R10-'Water Reading'!R9)-('Water Reading'!Q10-'Water Reading'!Q9)</f>
        <v>314</v>
      </c>
      <c r="H10" s="90">
        <f t="shared" si="4"/>
        <v>1.4672897196261683</v>
      </c>
      <c r="I10" s="91">
        <f>'Water Reading'!P10-'Water Reading'!P9</f>
        <v>0</v>
      </c>
      <c r="J10" s="69">
        <f t="shared" si="5"/>
        <v>0</v>
      </c>
      <c r="K10" s="92">
        <f>('Water Reading'!I10-'Water Reading'!I9)</f>
        <v>9</v>
      </c>
      <c r="L10" s="69">
        <f t="shared" si="6"/>
        <v>4.2056074766355138E-2</v>
      </c>
      <c r="M10" s="91">
        <f>'Water Reading'!R10-'Water Reading'!R9</f>
        <v>5</v>
      </c>
      <c r="N10" s="93">
        <f t="shared" si="7"/>
        <v>2.336448598130841E-2</v>
      </c>
      <c r="O10" s="91">
        <f>'Water Reading'!Q10-'Water Reading'!Q9</f>
        <v>8</v>
      </c>
      <c r="P10" s="100">
        <f t="shared" si="8"/>
        <v>3.7383177570093455E-2</v>
      </c>
      <c r="Q10" s="92">
        <f>'Water Reading'!F10-'Water Reading'!F9</f>
        <v>-2</v>
      </c>
      <c r="R10" s="101">
        <f t="shared" si="9"/>
        <v>-9.3457943925233638E-3</v>
      </c>
      <c r="S10" s="91">
        <f>'Water Reading'!E10-'Water Reading'!E9</f>
        <v>64</v>
      </c>
      <c r="T10" s="101">
        <f t="shared" si="10"/>
        <v>0.29906542056074764</v>
      </c>
      <c r="U10" s="91">
        <f>'Water Reading'!G10-'Water Reading'!G9</f>
        <v>19</v>
      </c>
      <c r="V10" s="101">
        <f t="shared" si="11"/>
        <v>8.8785046728971959E-2</v>
      </c>
      <c r="W10" s="91">
        <f>'Water Reading'!J10-'Water Reading'!J9</f>
        <v>10</v>
      </c>
      <c r="X10" s="101">
        <f t="shared" si="12"/>
        <v>4.6728971962616821E-2</v>
      </c>
      <c r="Y10" s="67">
        <f t="shared" si="0"/>
        <v>462</v>
      </c>
      <c r="Z10" s="68">
        <f t="shared" si="1"/>
        <v>1.5931034482758621</v>
      </c>
    </row>
    <row r="11" spans="1:26" x14ac:dyDescent="0.25">
      <c r="A11" s="8">
        <f>'Water Reading'!A10</f>
        <v>44173</v>
      </c>
      <c r="B11" s="66">
        <v>304</v>
      </c>
      <c r="C11" s="67">
        <f>('Water Reading'!B11-'Water Reading'!B10)+('Water Reading'!C11-'Water Reading'!C10)</f>
        <v>174</v>
      </c>
      <c r="D11" s="68">
        <f t="shared" si="2"/>
        <v>0.57236842105263153</v>
      </c>
      <c r="E11" s="89">
        <f>'Water Reading'!H11-'Water Reading'!H10</f>
        <v>31</v>
      </c>
      <c r="F11" s="90">
        <f t="shared" si="3"/>
        <v>0.17816091954022989</v>
      </c>
      <c r="G11" s="94">
        <f>('Water Reading'!D11-'Water Reading'!D10)-('Water Reading'!R11-'Water Reading'!R10)-('Water Reading'!Q11-'Water Reading'!Q10)</f>
        <v>197</v>
      </c>
      <c r="H11" s="90">
        <f t="shared" si="4"/>
        <v>1.132183908045977</v>
      </c>
      <c r="I11" s="91">
        <f>'Water Reading'!P11-'Water Reading'!P10</f>
        <v>11</v>
      </c>
      <c r="J11" s="69">
        <f t="shared" si="5"/>
        <v>6.3218390804597707E-2</v>
      </c>
      <c r="K11" s="92">
        <f>('Water Reading'!I11-'Water Reading'!I10)</f>
        <v>24</v>
      </c>
      <c r="L11" s="69">
        <f t="shared" si="6"/>
        <v>0.13793103448275862</v>
      </c>
      <c r="M11" s="91">
        <f>'Water Reading'!R11-'Water Reading'!R10</f>
        <v>3</v>
      </c>
      <c r="N11" s="93">
        <f t="shared" si="7"/>
        <v>1.7241379310344827E-2</v>
      </c>
      <c r="O11" s="99">
        <f>'Water Reading'!Q11-'Water Reading'!Q10</f>
        <v>0</v>
      </c>
      <c r="P11" s="100">
        <f t="shared" si="8"/>
        <v>0</v>
      </c>
      <c r="Q11" s="92">
        <f>'Water Reading'!F11-'Water Reading'!F10</f>
        <v>3</v>
      </c>
      <c r="R11" s="101">
        <f t="shared" si="9"/>
        <v>1.7241379310344827E-2</v>
      </c>
      <c r="S11" s="91">
        <f>'Water Reading'!E11-'Water Reading'!E10</f>
        <v>55</v>
      </c>
      <c r="T11" s="101">
        <f t="shared" si="10"/>
        <v>0.31609195402298851</v>
      </c>
      <c r="U11" s="91">
        <f>'Water Reading'!G11-'Water Reading'!G10</f>
        <v>18</v>
      </c>
      <c r="V11" s="101">
        <f t="shared" si="11"/>
        <v>0.10344827586206896</v>
      </c>
      <c r="W11" s="91">
        <f>'Water Reading'!J11-'Water Reading'!J10</f>
        <v>9</v>
      </c>
      <c r="X11" s="101">
        <f t="shared" si="12"/>
        <v>5.1724137931034482E-2</v>
      </c>
      <c r="Y11" s="67">
        <f t="shared" si="0"/>
        <v>351</v>
      </c>
      <c r="Z11" s="68">
        <f t="shared" si="1"/>
        <v>1.1546052631578947</v>
      </c>
    </row>
    <row r="12" spans="1:26" x14ac:dyDescent="0.25">
      <c r="A12" s="8">
        <f>'Water Reading'!A11</f>
        <v>44174</v>
      </c>
      <c r="B12" s="66">
        <v>293</v>
      </c>
      <c r="C12" s="67">
        <f>('Water Reading'!B12-'Water Reading'!B11)+('Water Reading'!C12-'Water Reading'!C11)</f>
        <v>147</v>
      </c>
      <c r="D12" s="68">
        <f t="shared" si="2"/>
        <v>0.50170648464163825</v>
      </c>
      <c r="E12" s="89">
        <f>'Water Reading'!H12-'Water Reading'!H11</f>
        <v>29</v>
      </c>
      <c r="F12" s="90">
        <f t="shared" si="3"/>
        <v>0.19727891156462585</v>
      </c>
      <c r="G12" s="94">
        <f>('Water Reading'!D12-'Water Reading'!D11)-('Water Reading'!R12-'Water Reading'!R11)-('Water Reading'!Q12-'Water Reading'!Q11)</f>
        <v>218</v>
      </c>
      <c r="H12" s="90">
        <f t="shared" si="4"/>
        <v>1.4829931972789117</v>
      </c>
      <c r="I12" s="91">
        <f>'Water Reading'!P12-'Water Reading'!P11</f>
        <v>0</v>
      </c>
      <c r="J12" s="69">
        <f t="shared" si="5"/>
        <v>0</v>
      </c>
      <c r="K12" s="92">
        <f>('Water Reading'!I12-'Water Reading'!I11)</f>
        <v>12</v>
      </c>
      <c r="L12" s="69">
        <f t="shared" si="6"/>
        <v>8.1632653061224483E-2</v>
      </c>
      <c r="M12" s="91">
        <f>'Water Reading'!R12-'Water Reading'!R11</f>
        <v>5</v>
      </c>
      <c r="N12" s="93">
        <f t="shared" si="7"/>
        <v>3.4013605442176874E-2</v>
      </c>
      <c r="O12" s="99">
        <f>'Water Reading'!Q12-'Water Reading'!Q11</f>
        <v>0</v>
      </c>
      <c r="P12" s="100">
        <f t="shared" si="8"/>
        <v>0</v>
      </c>
      <c r="Q12" s="92">
        <f>'Water Reading'!F12-'Water Reading'!F11</f>
        <v>2</v>
      </c>
      <c r="R12" s="101">
        <f t="shared" si="9"/>
        <v>1.3605442176870748E-2</v>
      </c>
      <c r="S12" s="91">
        <f>'Water Reading'!E12-'Water Reading'!E11</f>
        <v>57</v>
      </c>
      <c r="T12" s="101">
        <f t="shared" si="10"/>
        <v>0.38775510204081631</v>
      </c>
      <c r="U12" s="91">
        <f>'Water Reading'!G12-'Water Reading'!G11</f>
        <v>15</v>
      </c>
      <c r="V12" s="101">
        <f t="shared" si="11"/>
        <v>0.10204081632653061</v>
      </c>
      <c r="W12" s="91">
        <f>'Water Reading'!J12-'Water Reading'!J11</f>
        <v>8</v>
      </c>
      <c r="X12" s="101">
        <f t="shared" si="12"/>
        <v>5.4421768707482991E-2</v>
      </c>
      <c r="Y12" s="67">
        <f t="shared" si="0"/>
        <v>346</v>
      </c>
      <c r="Z12" s="68">
        <f t="shared" si="1"/>
        <v>1.1808873720136519</v>
      </c>
    </row>
    <row r="13" spans="1:26" x14ac:dyDescent="0.25">
      <c r="A13" s="8">
        <f>'Water Reading'!A12</f>
        <v>44175</v>
      </c>
      <c r="B13" s="66">
        <v>315</v>
      </c>
      <c r="C13" s="67">
        <f>('Water Reading'!B13-'Water Reading'!B12)+('Water Reading'!C13-'Water Reading'!C12)</f>
        <v>105</v>
      </c>
      <c r="D13" s="68">
        <f t="shared" si="2"/>
        <v>0.33333333333333331</v>
      </c>
      <c r="E13" s="88">
        <f>'Water Reading'!H13-'Water Reading'!H12</f>
        <v>18</v>
      </c>
      <c r="F13" s="90">
        <f t="shared" si="3"/>
        <v>0.17142857142857143</v>
      </c>
      <c r="G13" s="94">
        <f>('Water Reading'!D13-'Water Reading'!D12)-('Water Reading'!R13-'Water Reading'!R12)-('Water Reading'!Q13-'Water Reading'!Q12)</f>
        <v>184</v>
      </c>
      <c r="H13" s="90">
        <f t="shared" si="4"/>
        <v>1.7523809523809524</v>
      </c>
      <c r="I13" s="91">
        <f>'Water Reading'!P13-'Water Reading'!P12</f>
        <v>12</v>
      </c>
      <c r="J13" s="69">
        <f t="shared" si="5"/>
        <v>0.11428571428571428</v>
      </c>
      <c r="K13" s="92">
        <f>('Water Reading'!I13-'Water Reading'!I12)</f>
        <v>25</v>
      </c>
      <c r="L13" s="69">
        <f t="shared" si="6"/>
        <v>0.23809523809523808</v>
      </c>
      <c r="M13" s="91">
        <f>'Water Reading'!R13-'Water Reading'!R12</f>
        <v>4</v>
      </c>
      <c r="N13" s="93">
        <f t="shared" si="7"/>
        <v>3.8095238095238099E-2</v>
      </c>
      <c r="O13" s="91">
        <f>'Water Reading'!Q13-'Water Reading'!Q12</f>
        <v>0</v>
      </c>
      <c r="P13" s="100">
        <f t="shared" si="8"/>
        <v>0</v>
      </c>
      <c r="Q13" s="92">
        <f>'Water Reading'!F13-'Water Reading'!F12</f>
        <v>0</v>
      </c>
      <c r="R13" s="101">
        <f t="shared" si="9"/>
        <v>0</v>
      </c>
      <c r="S13" s="95">
        <f>'Water Reading'!E13-'Water Reading'!E12</f>
        <v>50</v>
      </c>
      <c r="T13" s="101">
        <f t="shared" si="10"/>
        <v>0.47619047619047616</v>
      </c>
      <c r="U13" s="91">
        <f>'Water Reading'!G13-'Water Reading'!G12</f>
        <v>19</v>
      </c>
      <c r="V13" s="101">
        <f t="shared" si="11"/>
        <v>0.18095238095238095</v>
      </c>
      <c r="W13" s="91">
        <f>'Water Reading'!J13-'Water Reading'!J12</f>
        <v>9</v>
      </c>
      <c r="X13" s="101">
        <f t="shared" si="12"/>
        <v>8.5714285714285715E-2</v>
      </c>
      <c r="Y13" s="67">
        <f t="shared" si="0"/>
        <v>321</v>
      </c>
      <c r="Z13" s="68">
        <f t="shared" si="1"/>
        <v>1.019047619047619</v>
      </c>
    </row>
    <row r="14" spans="1:26" x14ac:dyDescent="0.25">
      <c r="A14" s="8">
        <f>'Water Reading'!A13</f>
        <v>44176</v>
      </c>
      <c r="B14" s="66">
        <v>276</v>
      </c>
      <c r="C14" s="67">
        <f>('Water Reading'!B14-'Water Reading'!B13)+('Water Reading'!C14-'Water Reading'!C13)</f>
        <v>170</v>
      </c>
      <c r="D14" s="68">
        <f t="shared" si="2"/>
        <v>0.61594202898550721</v>
      </c>
      <c r="E14" s="89">
        <f>'Water Reading'!H14-'Water Reading'!H13</f>
        <v>16</v>
      </c>
      <c r="F14" s="90">
        <f t="shared" si="3"/>
        <v>9.4117647058823528E-2</v>
      </c>
      <c r="G14" s="94">
        <f>('Water Reading'!D14-'Water Reading'!D13)-('Water Reading'!R14-'Water Reading'!R13)-('Water Reading'!Q14-'Water Reading'!Q13)</f>
        <v>169</v>
      </c>
      <c r="H14" s="90">
        <f t="shared" si="4"/>
        <v>0.99411764705882355</v>
      </c>
      <c r="I14" s="91">
        <f>'Water Reading'!P14-'Water Reading'!P13</f>
        <v>0</v>
      </c>
      <c r="J14" s="69">
        <f t="shared" si="5"/>
        <v>0</v>
      </c>
      <c r="K14" s="92">
        <f>('Water Reading'!I14-'Water Reading'!I13)</f>
        <v>13</v>
      </c>
      <c r="L14" s="69">
        <f t="shared" si="6"/>
        <v>7.6470588235294124E-2</v>
      </c>
      <c r="M14" s="91">
        <f>'Water Reading'!R14-'Water Reading'!R13</f>
        <v>3</v>
      </c>
      <c r="N14" s="93">
        <f t="shared" si="7"/>
        <v>1.7647058823529412E-2</v>
      </c>
      <c r="O14" s="91">
        <f>'Water Reading'!Q14-'Water Reading'!Q13</f>
        <v>10</v>
      </c>
      <c r="P14" s="100">
        <f t="shared" si="8"/>
        <v>5.8823529411764705E-2</v>
      </c>
      <c r="Q14" s="92">
        <f>'Water Reading'!F14-'Water Reading'!F13</f>
        <v>0</v>
      </c>
      <c r="R14" s="101">
        <f t="shared" si="9"/>
        <v>0</v>
      </c>
      <c r="S14" s="95">
        <f>'Water Reading'!E14-'Water Reading'!E13</f>
        <v>55</v>
      </c>
      <c r="T14" s="101">
        <f t="shared" si="10"/>
        <v>0.3235294117647059</v>
      </c>
      <c r="U14" s="91">
        <f>'Water Reading'!G14-'Water Reading'!G13</f>
        <v>10</v>
      </c>
      <c r="V14" s="101">
        <f t="shared" si="11"/>
        <v>5.8823529411764705E-2</v>
      </c>
      <c r="W14" s="91">
        <f>'Water Reading'!J14-'Water Reading'!J13</f>
        <v>9</v>
      </c>
      <c r="X14" s="101">
        <f t="shared" si="12"/>
        <v>5.2941176470588235E-2</v>
      </c>
      <c r="Y14" s="67">
        <f t="shared" si="0"/>
        <v>285</v>
      </c>
      <c r="Z14" s="68">
        <f t="shared" si="1"/>
        <v>1.0326086956521738</v>
      </c>
    </row>
    <row r="15" spans="1:26" x14ac:dyDescent="0.25">
      <c r="A15" s="8">
        <f>'Water Reading'!A14</f>
        <v>44177</v>
      </c>
      <c r="B15" s="66">
        <v>283</v>
      </c>
      <c r="C15" s="67">
        <f>('Water Reading'!B15-'Water Reading'!B14)+('Water Reading'!C15-'Water Reading'!C14)</f>
        <v>166</v>
      </c>
      <c r="D15" s="68">
        <f t="shared" si="2"/>
        <v>0.58657243816254412</v>
      </c>
      <c r="E15" s="88">
        <f>'Water Reading'!H15-'Water Reading'!H14</f>
        <v>20</v>
      </c>
      <c r="F15" s="90">
        <f t="shared" si="3"/>
        <v>0.12048192771084337</v>
      </c>
      <c r="G15" s="94">
        <f>('Water Reading'!D15-'Water Reading'!D14)-('Water Reading'!R15-'Water Reading'!R14)-('Water Reading'!Q15-'Water Reading'!Q14)</f>
        <v>231</v>
      </c>
      <c r="H15" s="90">
        <f t="shared" si="4"/>
        <v>1.3915662650602409</v>
      </c>
      <c r="I15" s="91">
        <f>'Water Reading'!P15-'Water Reading'!P14</f>
        <v>0</v>
      </c>
      <c r="J15" s="69">
        <f t="shared" si="5"/>
        <v>0</v>
      </c>
      <c r="K15" s="92">
        <f>('Water Reading'!I15-'Water Reading'!I14)</f>
        <v>9</v>
      </c>
      <c r="L15" s="69">
        <f t="shared" si="6"/>
        <v>5.4216867469879519E-2</v>
      </c>
      <c r="M15" s="91">
        <f>'Water Reading'!R15-'Water Reading'!R14</f>
        <v>4</v>
      </c>
      <c r="N15" s="93">
        <f t="shared" si="7"/>
        <v>2.4096385542168676E-2</v>
      </c>
      <c r="O15" s="91">
        <f>'Water Reading'!Q15-'Water Reading'!Q14</f>
        <v>1</v>
      </c>
      <c r="P15" s="100">
        <f t="shared" si="8"/>
        <v>6.024096385542169E-3</v>
      </c>
      <c r="Q15" s="92">
        <f>'Water Reading'!F15-'Water Reading'!F14</f>
        <v>1</v>
      </c>
      <c r="R15" s="101">
        <f t="shared" si="9"/>
        <v>6.024096385542169E-3</v>
      </c>
      <c r="S15" s="95">
        <f>'Water Reading'!E15-'Water Reading'!E14</f>
        <v>56</v>
      </c>
      <c r="T15" s="101">
        <f t="shared" si="10"/>
        <v>0.33734939759036142</v>
      </c>
      <c r="U15" s="91">
        <f>'Water Reading'!G15-'Water Reading'!G14</f>
        <v>22</v>
      </c>
      <c r="V15" s="101">
        <f t="shared" si="11"/>
        <v>0.13253012048192772</v>
      </c>
      <c r="W15" s="91">
        <f>'Water Reading'!J15-'Water Reading'!J14</f>
        <v>10</v>
      </c>
      <c r="X15" s="101">
        <f t="shared" si="12"/>
        <v>6.0240963855421686E-2</v>
      </c>
      <c r="Y15" s="67">
        <f t="shared" si="0"/>
        <v>354</v>
      </c>
      <c r="Z15" s="68">
        <f t="shared" si="1"/>
        <v>1.2508833922261484</v>
      </c>
    </row>
    <row r="16" spans="1:26" x14ac:dyDescent="0.25">
      <c r="A16" s="8">
        <f>'Water Reading'!A15</f>
        <v>44178</v>
      </c>
      <c r="B16" s="66">
        <v>294</v>
      </c>
      <c r="C16" s="67">
        <f>('Water Reading'!B16-'Water Reading'!B15)+('Water Reading'!C16-'Water Reading'!C15)</f>
        <v>127</v>
      </c>
      <c r="D16" s="68">
        <f t="shared" si="2"/>
        <v>0.43197278911564624</v>
      </c>
      <c r="E16" s="88">
        <f>'Water Reading'!H16-'Water Reading'!H15</f>
        <v>11</v>
      </c>
      <c r="F16" s="90">
        <f t="shared" si="3"/>
        <v>8.6614173228346455E-2</v>
      </c>
      <c r="G16" s="94">
        <f>('Water Reading'!D16-'Water Reading'!D15)-('Water Reading'!R16-'Water Reading'!R15)-('Water Reading'!Q16-'Water Reading'!Q15)</f>
        <v>174</v>
      </c>
      <c r="H16" s="90">
        <f t="shared" si="4"/>
        <v>1.3700787401574803</v>
      </c>
      <c r="I16" s="91">
        <f>'Water Reading'!P16-'Water Reading'!P15</f>
        <v>0</v>
      </c>
      <c r="J16" s="69">
        <f t="shared" si="5"/>
        <v>0</v>
      </c>
      <c r="K16" s="91">
        <f>('Water Reading'!I16-'Water Reading'!I15)-('Water Reading'!P16-'Water Reading'!P15)</f>
        <v>13</v>
      </c>
      <c r="L16" s="69">
        <f t="shared" si="6"/>
        <v>0.10236220472440945</v>
      </c>
      <c r="M16" s="91">
        <f>'Water Reading'!R16-'Water Reading'!R15</f>
        <v>3</v>
      </c>
      <c r="N16" s="93">
        <f t="shared" si="7"/>
        <v>2.3622047244094488E-2</v>
      </c>
      <c r="O16" s="91">
        <f>'Water Reading'!Q16-'Water Reading'!Q15</f>
        <v>2</v>
      </c>
      <c r="P16" s="100">
        <f t="shared" si="8"/>
        <v>1.5748031496062992E-2</v>
      </c>
      <c r="Q16" s="92">
        <f>'Water Reading'!F16-'Water Reading'!F15</f>
        <v>1</v>
      </c>
      <c r="R16" s="101">
        <f t="shared" si="9"/>
        <v>7.874015748031496E-3</v>
      </c>
      <c r="S16" s="95">
        <f>'Water Reading'!E16-'Water Reading'!E15</f>
        <v>54</v>
      </c>
      <c r="T16" s="101">
        <f t="shared" si="10"/>
        <v>0.42519685039370081</v>
      </c>
      <c r="U16" s="91">
        <f>'Water Reading'!G16-'Water Reading'!G15</f>
        <v>14</v>
      </c>
      <c r="V16" s="101">
        <f t="shared" si="11"/>
        <v>0.11023622047244094</v>
      </c>
      <c r="W16" s="91">
        <f>'Water Reading'!J16-'Water Reading'!J15</f>
        <v>8</v>
      </c>
      <c r="X16" s="101">
        <f t="shared" si="12"/>
        <v>6.2992125984251968E-2</v>
      </c>
      <c r="Y16" s="67">
        <f t="shared" si="0"/>
        <v>280</v>
      </c>
      <c r="Z16" s="68">
        <f t="shared" si="1"/>
        <v>0.95238095238095233</v>
      </c>
    </row>
    <row r="17" spans="1:26" x14ac:dyDescent="0.25">
      <c r="A17" s="8">
        <f>'Water Reading'!A16</f>
        <v>44179</v>
      </c>
      <c r="B17" s="66">
        <v>338</v>
      </c>
      <c r="C17" s="67">
        <f>('Water Reading'!B17-'Water Reading'!B16)+('Water Reading'!C17-'Water Reading'!C16)</f>
        <v>190</v>
      </c>
      <c r="D17" s="68">
        <f t="shared" si="2"/>
        <v>0.56213017751479288</v>
      </c>
      <c r="E17" s="88">
        <f>'Water Reading'!H17-'Water Reading'!H16</f>
        <v>21</v>
      </c>
      <c r="F17" s="90">
        <f t="shared" si="3"/>
        <v>0.11052631578947368</v>
      </c>
      <c r="G17" s="94">
        <f>('Water Reading'!D17-'Water Reading'!D16)-('Water Reading'!R17-'Water Reading'!R16)-('Water Reading'!Q17-'Water Reading'!Q16)</f>
        <v>305</v>
      </c>
      <c r="H17" s="90">
        <f t="shared" si="4"/>
        <v>1.6052631578947369</v>
      </c>
      <c r="I17" s="91">
        <f>'Water Reading'!P17-'Water Reading'!P16</f>
        <v>0</v>
      </c>
      <c r="J17" s="69">
        <f t="shared" si="5"/>
        <v>0</v>
      </c>
      <c r="K17" s="91">
        <f>('Water Reading'!I17-'Water Reading'!I16)-('Water Reading'!P17-'Water Reading'!P16)</f>
        <v>13</v>
      </c>
      <c r="L17" s="69">
        <f t="shared" si="6"/>
        <v>6.8421052631578952E-2</v>
      </c>
      <c r="M17" s="91">
        <f>'Water Reading'!R17-'Water Reading'!R16</f>
        <v>6</v>
      </c>
      <c r="N17" s="93">
        <f t="shared" si="7"/>
        <v>3.1578947368421054E-2</v>
      </c>
      <c r="O17" s="91">
        <f>'Water Reading'!Q17-'Water Reading'!Q16</f>
        <v>2</v>
      </c>
      <c r="P17" s="100">
        <f t="shared" si="8"/>
        <v>1.0526315789473684E-2</v>
      </c>
      <c r="Q17" s="92">
        <f>'Water Reading'!F17-'Water Reading'!F16</f>
        <v>1</v>
      </c>
      <c r="R17" s="101">
        <f t="shared" si="9"/>
        <v>5.263157894736842E-3</v>
      </c>
      <c r="S17" s="95">
        <f>'Water Reading'!E17-'Water Reading'!E16</f>
        <v>53</v>
      </c>
      <c r="T17" s="101">
        <f t="shared" si="10"/>
        <v>0.27894736842105261</v>
      </c>
      <c r="U17" s="91">
        <f>'Water Reading'!G17-'Water Reading'!G16</f>
        <v>18</v>
      </c>
      <c r="V17" s="101">
        <f t="shared" si="11"/>
        <v>9.4736842105263161E-2</v>
      </c>
      <c r="W17" s="91">
        <f>'Water Reading'!J17-'Water Reading'!J16</f>
        <v>10</v>
      </c>
      <c r="X17" s="101">
        <f t="shared" si="12"/>
        <v>5.2631578947368418E-2</v>
      </c>
      <c r="Y17" s="67">
        <f t="shared" si="0"/>
        <v>429</v>
      </c>
      <c r="Z17" s="68">
        <f t="shared" si="1"/>
        <v>1.2692307692307692</v>
      </c>
    </row>
    <row r="18" spans="1:26" x14ac:dyDescent="0.25">
      <c r="A18" s="8">
        <f>'Water Reading'!A17</f>
        <v>44180</v>
      </c>
      <c r="B18" s="66">
        <v>275</v>
      </c>
      <c r="C18" s="67">
        <f>('Water Reading'!B18-'Water Reading'!B17)+('Water Reading'!C18-'Water Reading'!C17)</f>
        <v>150</v>
      </c>
      <c r="D18" s="68">
        <f t="shared" si="2"/>
        <v>0.54545454545454541</v>
      </c>
      <c r="E18" s="88">
        <f>'Water Reading'!H18-'Water Reading'!H17</f>
        <v>30</v>
      </c>
      <c r="F18" s="90">
        <f t="shared" si="3"/>
        <v>0.2</v>
      </c>
      <c r="G18" s="94">
        <f>('Water Reading'!D18-'Water Reading'!D17)-('Water Reading'!R18-'Water Reading'!R17)-('Water Reading'!Q18-'Water Reading'!Q17)</f>
        <v>205</v>
      </c>
      <c r="H18" s="90">
        <f t="shared" si="4"/>
        <v>1.3666666666666667</v>
      </c>
      <c r="I18" s="91">
        <f>'Water Reading'!P18-'Water Reading'!P17</f>
        <v>0</v>
      </c>
      <c r="J18" s="69">
        <f t="shared" si="5"/>
        <v>0</v>
      </c>
      <c r="K18" s="91">
        <f>('Water Reading'!I18-'Water Reading'!I17)-('Water Reading'!P18-'Water Reading'!P17)</f>
        <v>12</v>
      </c>
      <c r="L18" s="69">
        <f t="shared" si="6"/>
        <v>0.08</v>
      </c>
      <c r="M18" s="91">
        <f>'Water Reading'!R18-'Water Reading'!R17</f>
        <v>5</v>
      </c>
      <c r="N18" s="93">
        <f t="shared" si="7"/>
        <v>3.3333333333333333E-2</v>
      </c>
      <c r="O18" s="91">
        <f>'Water Reading'!Q18-'Water Reading'!Q17</f>
        <v>2</v>
      </c>
      <c r="P18" s="100">
        <f t="shared" si="8"/>
        <v>1.3333333333333334E-2</v>
      </c>
      <c r="Q18" s="92">
        <f>'Water Reading'!F18-'Water Reading'!F17</f>
        <v>1</v>
      </c>
      <c r="R18" s="101">
        <f t="shared" si="9"/>
        <v>6.6666666666666671E-3</v>
      </c>
      <c r="S18" s="95">
        <f>'Water Reading'!E18-'Water Reading'!E17</f>
        <v>50</v>
      </c>
      <c r="T18" s="101">
        <f t="shared" si="10"/>
        <v>0.33333333333333331</v>
      </c>
      <c r="U18" s="91">
        <f>'Water Reading'!G18-'Water Reading'!G17</f>
        <v>15</v>
      </c>
      <c r="V18" s="101">
        <f t="shared" si="11"/>
        <v>0.1</v>
      </c>
      <c r="W18" s="91">
        <f>'Water Reading'!J18-'Water Reading'!J17</f>
        <v>10</v>
      </c>
      <c r="X18" s="101">
        <f t="shared" si="12"/>
        <v>6.6666666666666666E-2</v>
      </c>
      <c r="Y18" s="67">
        <f t="shared" si="0"/>
        <v>330</v>
      </c>
      <c r="Z18" s="68">
        <f t="shared" si="1"/>
        <v>1.2</v>
      </c>
    </row>
    <row r="19" spans="1:26" x14ac:dyDescent="0.25">
      <c r="A19" s="8">
        <f>'Water Reading'!A18</f>
        <v>44181</v>
      </c>
      <c r="B19" s="66">
        <v>84</v>
      </c>
      <c r="C19" s="67">
        <f>('Water Reading'!B19-'Water Reading'!B18)+('Water Reading'!C19-'Water Reading'!C18)</f>
        <v>142</v>
      </c>
      <c r="D19" s="68">
        <f t="shared" si="2"/>
        <v>1.6904761904761905</v>
      </c>
      <c r="E19" s="88">
        <f>'Water Reading'!H19-'Water Reading'!H18</f>
        <v>48</v>
      </c>
      <c r="F19" s="90">
        <f t="shared" si="3"/>
        <v>0.3380281690140845</v>
      </c>
      <c r="G19" s="94">
        <f>('Water Reading'!D19-'Water Reading'!D18)-('Water Reading'!R19-'Water Reading'!R18)-('Water Reading'!Q19-'Water Reading'!Q18)</f>
        <v>143</v>
      </c>
      <c r="H19" s="90">
        <f t="shared" si="4"/>
        <v>1.0070422535211268</v>
      </c>
      <c r="I19" s="91">
        <f>'Water Reading'!P19-'Water Reading'!P18</f>
        <v>0</v>
      </c>
      <c r="J19" s="69">
        <f t="shared" si="5"/>
        <v>0</v>
      </c>
      <c r="K19" s="91">
        <f>('Water Reading'!I19-'Water Reading'!I18)</f>
        <v>15</v>
      </c>
      <c r="L19" s="69">
        <f t="shared" si="6"/>
        <v>0.10563380281690141</v>
      </c>
      <c r="M19" s="91">
        <f>'Water Reading'!R19-'Water Reading'!R18</f>
        <v>6</v>
      </c>
      <c r="N19" s="93">
        <f t="shared" si="7"/>
        <v>4.2253521126760563E-2</v>
      </c>
      <c r="O19" s="91">
        <f>'Water Reading'!Q19-'Water Reading'!Q18</f>
        <v>3</v>
      </c>
      <c r="P19" s="100">
        <f t="shared" si="8"/>
        <v>2.1126760563380281E-2</v>
      </c>
      <c r="Q19" s="92">
        <f>'Water Reading'!F19-'Water Reading'!F18</f>
        <v>1</v>
      </c>
      <c r="R19" s="101">
        <f t="shared" si="9"/>
        <v>7.0422535211267607E-3</v>
      </c>
      <c r="S19" s="95">
        <f>'Water Reading'!E19-'Water Reading'!E18</f>
        <v>53</v>
      </c>
      <c r="T19" s="101">
        <f t="shared" si="10"/>
        <v>0.37323943661971831</v>
      </c>
      <c r="U19" s="91">
        <f>'Water Reading'!G19-'Water Reading'!G18</f>
        <v>19</v>
      </c>
      <c r="V19" s="101">
        <f t="shared" si="11"/>
        <v>0.13380281690140844</v>
      </c>
      <c r="W19" s="91">
        <f>'Water Reading'!J19-'Water Reading'!J18</f>
        <v>10</v>
      </c>
      <c r="X19" s="101">
        <f t="shared" si="12"/>
        <v>7.0422535211267609E-2</v>
      </c>
      <c r="Y19" s="67">
        <f t="shared" si="0"/>
        <v>298</v>
      </c>
      <c r="Z19" s="68">
        <f t="shared" si="1"/>
        <v>3.5476190476190474</v>
      </c>
    </row>
    <row r="20" spans="1:26" x14ac:dyDescent="0.25">
      <c r="A20" s="8">
        <f>'Water Reading'!A19</f>
        <v>44182</v>
      </c>
      <c r="B20" s="66">
        <v>520</v>
      </c>
      <c r="C20" s="67">
        <f>('Water Reading'!B20-'Water Reading'!B19)+('Water Reading'!C20-'Water Reading'!C19)</f>
        <v>161</v>
      </c>
      <c r="D20" s="68">
        <f t="shared" si="2"/>
        <v>0.30961538461538463</v>
      </c>
      <c r="E20" s="88">
        <f>'Water Reading'!H20-'Water Reading'!H19</f>
        <v>38</v>
      </c>
      <c r="F20" s="90">
        <f t="shared" si="3"/>
        <v>0.2360248447204969</v>
      </c>
      <c r="G20" s="94">
        <f>('Water Reading'!D20-'Water Reading'!D19)-('Water Reading'!R20-'Water Reading'!R19)-('Water Reading'!Q20-'Water Reading'!Q19)</f>
        <v>198</v>
      </c>
      <c r="H20" s="90">
        <f t="shared" si="4"/>
        <v>1.2298136645962734</v>
      </c>
      <c r="I20" s="91">
        <f>'Water Reading'!P20-'Water Reading'!P19</f>
        <v>0</v>
      </c>
      <c r="J20" s="69">
        <f t="shared" si="5"/>
        <v>0</v>
      </c>
      <c r="K20" s="91">
        <f>('Water Reading'!I20-'Water Reading'!I19)</f>
        <v>15</v>
      </c>
      <c r="L20" s="69">
        <f t="shared" si="6"/>
        <v>9.3167701863354033E-2</v>
      </c>
      <c r="M20" s="91">
        <f>'Water Reading'!R20-'Water Reading'!R19</f>
        <v>6</v>
      </c>
      <c r="N20" s="93">
        <f t="shared" si="7"/>
        <v>3.7267080745341616E-2</v>
      </c>
      <c r="O20" s="91">
        <f>'Water Reading'!Q20-'Water Reading'!Q19</f>
        <v>0</v>
      </c>
      <c r="P20" s="100">
        <f t="shared" si="8"/>
        <v>0</v>
      </c>
      <c r="Q20" s="92">
        <f>'Water Reading'!F20-'Water Reading'!F19</f>
        <v>1</v>
      </c>
      <c r="R20" s="101">
        <f t="shared" si="9"/>
        <v>6.2111801242236021E-3</v>
      </c>
      <c r="S20" s="95">
        <f>'Water Reading'!E20-'Water Reading'!E19</f>
        <v>55</v>
      </c>
      <c r="T20" s="101">
        <f t="shared" si="10"/>
        <v>0.34161490683229812</v>
      </c>
      <c r="U20" s="91">
        <f>'Water Reading'!G20-'Water Reading'!G19</f>
        <v>22</v>
      </c>
      <c r="V20" s="101">
        <f t="shared" si="11"/>
        <v>0.13664596273291926</v>
      </c>
      <c r="W20" s="91">
        <f>'Water Reading'!J20-'Water Reading'!J19</f>
        <v>10</v>
      </c>
      <c r="X20" s="101">
        <f t="shared" si="12"/>
        <v>6.2111801242236024E-2</v>
      </c>
      <c r="Y20" s="67">
        <f t="shared" si="0"/>
        <v>345</v>
      </c>
      <c r="Z20" s="68">
        <f t="shared" si="1"/>
        <v>0.66346153846153844</v>
      </c>
    </row>
    <row r="21" spans="1:26" x14ac:dyDescent="0.25">
      <c r="A21" s="8">
        <f>'Water Reading'!A20</f>
        <v>44183</v>
      </c>
      <c r="B21" s="66">
        <v>346</v>
      </c>
      <c r="C21" s="67">
        <f>('Water Reading'!B21-'Water Reading'!B20)+('Water Reading'!C21-'Water Reading'!C20)</f>
        <v>196</v>
      </c>
      <c r="D21" s="68">
        <f t="shared" si="2"/>
        <v>0.56647398843930641</v>
      </c>
      <c r="E21" s="88">
        <f>'Water Reading'!H21-'Water Reading'!H20</f>
        <v>44</v>
      </c>
      <c r="F21" s="90">
        <f t="shared" si="3"/>
        <v>0.22448979591836735</v>
      </c>
      <c r="G21" s="94">
        <f>('Water Reading'!D21-'Water Reading'!D20)-('Water Reading'!R21-'Water Reading'!R20)-('Water Reading'!Q21-'Water Reading'!Q20)</f>
        <v>263</v>
      </c>
      <c r="H21" s="90">
        <f t="shared" si="4"/>
        <v>1.3418367346938775</v>
      </c>
      <c r="I21" s="91">
        <f>'Water Reading'!P21-'Water Reading'!P20</f>
        <v>3</v>
      </c>
      <c r="J21" s="69">
        <f t="shared" si="5"/>
        <v>1.5306122448979591E-2</v>
      </c>
      <c r="K21" s="91">
        <f>('Water Reading'!I21-'Water Reading'!I20)-('Water Reading'!P21-'Water Reading'!P20)</f>
        <v>16</v>
      </c>
      <c r="L21" s="69">
        <f t="shared" si="6"/>
        <v>8.1632653061224483E-2</v>
      </c>
      <c r="M21" s="91">
        <f>'Water Reading'!R21-'Water Reading'!R20</f>
        <v>5</v>
      </c>
      <c r="N21" s="93">
        <f t="shared" si="7"/>
        <v>2.5510204081632654E-2</v>
      </c>
      <c r="O21" s="91">
        <f>'Water Reading'!Q21-'Water Reading'!Q20</f>
        <v>0</v>
      </c>
      <c r="P21" s="100">
        <f t="shared" si="8"/>
        <v>0</v>
      </c>
      <c r="Q21" s="92">
        <f>'Water Reading'!F21-'Water Reading'!F20</f>
        <v>1</v>
      </c>
      <c r="R21" s="101">
        <f t="shared" si="9"/>
        <v>5.1020408163265302E-3</v>
      </c>
      <c r="S21" s="95">
        <f>'Water Reading'!E21-'Water Reading'!E20</f>
        <v>58</v>
      </c>
      <c r="T21" s="101">
        <f t="shared" si="10"/>
        <v>0.29591836734693877</v>
      </c>
      <c r="U21" s="91">
        <f>'Water Reading'!G21-'Water Reading'!G20</f>
        <v>19</v>
      </c>
      <c r="V21" s="101">
        <f t="shared" si="11"/>
        <v>9.6938775510204078E-2</v>
      </c>
      <c r="W21" s="91">
        <f>'Water Reading'!J21-'Water Reading'!J20</f>
        <v>10</v>
      </c>
      <c r="X21" s="101">
        <f t="shared" si="12"/>
        <v>5.1020408163265307E-2</v>
      </c>
      <c r="Y21" s="67">
        <f t="shared" si="0"/>
        <v>419</v>
      </c>
      <c r="Z21" s="68">
        <f t="shared" si="1"/>
        <v>1.2109826589595376</v>
      </c>
    </row>
    <row r="22" spans="1:26" x14ac:dyDescent="0.25">
      <c r="A22" s="8">
        <f>'Water Reading'!A21</f>
        <v>44184</v>
      </c>
      <c r="B22" s="66">
        <v>331</v>
      </c>
      <c r="C22" s="67">
        <f>('Water Reading'!B22-'Water Reading'!B21)+('Water Reading'!C22-'Water Reading'!C21)</f>
        <v>168</v>
      </c>
      <c r="D22" s="68">
        <f t="shared" si="2"/>
        <v>0.50755287009063443</v>
      </c>
      <c r="E22" s="88">
        <f>'Water Reading'!H22-'Water Reading'!H21</f>
        <v>32</v>
      </c>
      <c r="F22" s="90">
        <f t="shared" si="3"/>
        <v>0.19047619047619047</v>
      </c>
      <c r="G22" s="94">
        <f>('Water Reading'!D22-'Water Reading'!D21)-('Water Reading'!R22-'Water Reading'!R21)-('Water Reading'!Q22-'Water Reading'!Q21)</f>
        <v>218</v>
      </c>
      <c r="H22" s="90">
        <f t="shared" si="4"/>
        <v>1.2976190476190477</v>
      </c>
      <c r="I22" s="91">
        <f>'Water Reading'!P22-'Water Reading'!P21</f>
        <v>0</v>
      </c>
      <c r="J22" s="69">
        <f t="shared" si="5"/>
        <v>0</v>
      </c>
      <c r="K22" s="91">
        <f>('Water Reading'!I22-'Water Reading'!I21)-('Water Reading'!P22-'Water Reading'!P21)</f>
        <v>15</v>
      </c>
      <c r="L22" s="69">
        <f t="shared" si="6"/>
        <v>8.9285714285714288E-2</v>
      </c>
      <c r="M22" s="91">
        <f>'Water Reading'!R22-'Water Reading'!R21</f>
        <v>9</v>
      </c>
      <c r="N22" s="93">
        <f t="shared" si="7"/>
        <v>5.3571428571428568E-2</v>
      </c>
      <c r="O22" s="91">
        <f>'Water Reading'!Q22-'Water Reading'!Q21</f>
        <v>0</v>
      </c>
      <c r="P22" s="100">
        <f t="shared" si="8"/>
        <v>0</v>
      </c>
      <c r="Q22" s="92">
        <f>'Water Reading'!F22-'Water Reading'!F21</f>
        <v>0</v>
      </c>
      <c r="R22" s="101">
        <f t="shared" si="9"/>
        <v>0</v>
      </c>
      <c r="S22" s="95">
        <f>'Water Reading'!E22-'Water Reading'!E21</f>
        <v>57</v>
      </c>
      <c r="T22" s="101">
        <f t="shared" si="10"/>
        <v>0.3392857142857143</v>
      </c>
      <c r="U22" s="91">
        <f>'Water Reading'!G22-'Water Reading'!G21</f>
        <v>20</v>
      </c>
      <c r="V22" s="101">
        <f t="shared" si="11"/>
        <v>0.11904761904761904</v>
      </c>
      <c r="W22" s="91">
        <f>'Water Reading'!J22-'Water Reading'!J21</f>
        <v>10</v>
      </c>
      <c r="X22" s="101">
        <f t="shared" si="12"/>
        <v>5.9523809523809521E-2</v>
      </c>
      <c r="Y22" s="67">
        <f t="shared" si="0"/>
        <v>361</v>
      </c>
      <c r="Z22" s="68">
        <f t="shared" si="1"/>
        <v>1.0906344410876132</v>
      </c>
    </row>
    <row r="23" spans="1:26" x14ac:dyDescent="0.25">
      <c r="A23" s="8">
        <f>'Water Reading'!A22</f>
        <v>44185</v>
      </c>
      <c r="B23" s="66">
        <v>269</v>
      </c>
      <c r="C23" s="67">
        <f>('Water Reading'!B23-'Water Reading'!B22)+('Water Reading'!C23-'Water Reading'!C22)</f>
        <v>139</v>
      </c>
      <c r="D23" s="68">
        <f t="shared" si="2"/>
        <v>0.51672862453531598</v>
      </c>
      <c r="E23" s="88">
        <f>'Water Reading'!H23-'Water Reading'!H22</f>
        <v>22</v>
      </c>
      <c r="F23" s="90">
        <f t="shared" si="3"/>
        <v>0.15827338129496402</v>
      </c>
      <c r="G23" s="94">
        <f>('Water Reading'!D23-'Water Reading'!D22)-('Water Reading'!R23-'Water Reading'!R22)-('Water Reading'!Q23-'Water Reading'!Q22)</f>
        <v>130</v>
      </c>
      <c r="H23" s="90">
        <f t="shared" si="4"/>
        <v>0.93525179856115104</v>
      </c>
      <c r="I23" s="91">
        <f>'Water Reading'!P23-'Water Reading'!P22</f>
        <v>0</v>
      </c>
      <c r="J23" s="69">
        <f t="shared" si="5"/>
        <v>0</v>
      </c>
      <c r="K23" s="91">
        <f>('Water Reading'!I23-'Water Reading'!I22)-('Water Reading'!P23-'Water Reading'!P22)</f>
        <v>17</v>
      </c>
      <c r="L23" s="69">
        <f t="shared" si="6"/>
        <v>0.1223021582733813</v>
      </c>
      <c r="M23" s="91">
        <f>'Water Reading'!R23-'Water Reading'!R22</f>
        <v>2</v>
      </c>
      <c r="N23" s="93">
        <f t="shared" si="7"/>
        <v>1.4388489208633094E-2</v>
      </c>
      <c r="O23" s="91">
        <f>'Water Reading'!Q23-'Water Reading'!Q22</f>
        <v>0</v>
      </c>
      <c r="P23" s="100">
        <f t="shared" si="8"/>
        <v>0</v>
      </c>
      <c r="Q23" s="92">
        <f>'Water Reading'!F23-'Water Reading'!F22</f>
        <v>1</v>
      </c>
      <c r="R23" s="101">
        <f t="shared" si="9"/>
        <v>7.1942446043165471E-3</v>
      </c>
      <c r="S23" s="95">
        <f>'Water Reading'!E23-'Water Reading'!E22</f>
        <v>65</v>
      </c>
      <c r="T23" s="101">
        <f t="shared" si="10"/>
        <v>0.46762589928057552</v>
      </c>
      <c r="U23" s="91">
        <f>'Water Reading'!G23-'Water Reading'!G22</f>
        <v>23</v>
      </c>
      <c r="V23" s="101">
        <f t="shared" si="11"/>
        <v>0.16546762589928057</v>
      </c>
      <c r="W23" s="91">
        <f>'Water Reading'!J23-'Water Reading'!J22</f>
        <v>10</v>
      </c>
      <c r="X23" s="101">
        <f t="shared" si="12"/>
        <v>7.1942446043165464E-2</v>
      </c>
      <c r="Y23" s="67">
        <f t="shared" si="0"/>
        <v>270</v>
      </c>
      <c r="Z23" s="68">
        <f t="shared" si="1"/>
        <v>1.003717472118959</v>
      </c>
    </row>
    <row r="24" spans="1:26" x14ac:dyDescent="0.25">
      <c r="A24" s="8">
        <f>'Water Reading'!A23</f>
        <v>44186</v>
      </c>
      <c r="B24" s="66">
        <v>275</v>
      </c>
      <c r="C24" s="67">
        <f>('Water Reading'!B24-'Water Reading'!B23)+('Water Reading'!C24-'Water Reading'!C23)</f>
        <v>168</v>
      </c>
      <c r="D24" s="68">
        <f t="shared" si="2"/>
        <v>0.61090909090909096</v>
      </c>
      <c r="E24" s="88">
        <f>'Water Reading'!H24-'Water Reading'!H23</f>
        <v>20</v>
      </c>
      <c r="F24" s="90">
        <f t="shared" si="3"/>
        <v>0.11904761904761904</v>
      </c>
      <c r="G24" s="94">
        <f>('Water Reading'!D24-'Water Reading'!D23)-('Water Reading'!R24-'Water Reading'!R23)-('Water Reading'!Q24-'Water Reading'!Q23)</f>
        <v>173</v>
      </c>
      <c r="H24" s="90">
        <f t="shared" si="4"/>
        <v>1.0297619047619047</v>
      </c>
      <c r="I24" s="91">
        <f>'Water Reading'!P24-'Water Reading'!P23</f>
        <v>0</v>
      </c>
      <c r="J24" s="69">
        <f t="shared" si="5"/>
        <v>0</v>
      </c>
      <c r="K24" s="91">
        <f>('Water Reading'!I24-'Water Reading'!I23)</f>
        <v>17</v>
      </c>
      <c r="L24" s="69">
        <f t="shared" si="6"/>
        <v>0.10119047619047619</v>
      </c>
      <c r="M24" s="91">
        <f>'Water Reading'!R24-'Water Reading'!R23</f>
        <v>8</v>
      </c>
      <c r="N24" s="93">
        <f t="shared" si="7"/>
        <v>4.7619047619047616E-2</v>
      </c>
      <c r="O24" s="91">
        <f>'Water Reading'!Q24-'Water Reading'!Q23</f>
        <v>0</v>
      </c>
      <c r="P24" s="100">
        <f t="shared" si="8"/>
        <v>0</v>
      </c>
      <c r="Q24" s="92">
        <f>'Water Reading'!F24-'Water Reading'!F23</f>
        <v>1</v>
      </c>
      <c r="R24" s="101">
        <f t="shared" si="9"/>
        <v>5.9523809523809521E-3</v>
      </c>
      <c r="S24" s="95">
        <f>'Water Reading'!E24-'Water Reading'!E23</f>
        <v>58</v>
      </c>
      <c r="T24" s="101">
        <f t="shared" si="10"/>
        <v>0.34523809523809523</v>
      </c>
      <c r="U24" s="91">
        <f>'Water Reading'!G24-'Water Reading'!G23</f>
        <v>30</v>
      </c>
      <c r="V24" s="101">
        <f t="shared" si="11"/>
        <v>0.17857142857142858</v>
      </c>
      <c r="W24" s="91">
        <f>'Water Reading'!J24-'Water Reading'!J23</f>
        <v>10</v>
      </c>
      <c r="X24" s="101">
        <f t="shared" si="12"/>
        <v>5.9523809523809521E-2</v>
      </c>
      <c r="Y24" s="67">
        <f t="shared" si="0"/>
        <v>317</v>
      </c>
      <c r="Z24" s="68">
        <f t="shared" si="1"/>
        <v>1.1527272727272728</v>
      </c>
    </row>
    <row r="25" spans="1:26" x14ac:dyDescent="0.25">
      <c r="A25" s="8">
        <f>'Water Reading'!A24</f>
        <v>44187</v>
      </c>
      <c r="B25" s="66">
        <v>301</v>
      </c>
      <c r="C25" s="67">
        <f>('Water Reading'!B25-'Water Reading'!B24)+('Water Reading'!C25-'Water Reading'!C24)</f>
        <v>141</v>
      </c>
      <c r="D25" s="68">
        <f t="shared" si="2"/>
        <v>0.46843853820598008</v>
      </c>
      <c r="E25" s="88">
        <f>'Water Reading'!H25-'Water Reading'!H24</f>
        <v>19</v>
      </c>
      <c r="F25" s="90">
        <f t="shared" si="3"/>
        <v>0.13475177304964539</v>
      </c>
      <c r="G25" s="94">
        <f>('Water Reading'!D25-'Water Reading'!D24)-('Water Reading'!R25-'Water Reading'!R24)-('Water Reading'!Q25-'Water Reading'!Q24)</f>
        <v>195</v>
      </c>
      <c r="H25" s="90">
        <f t="shared" si="4"/>
        <v>1.3829787234042554</v>
      </c>
      <c r="I25" s="91">
        <f>'Water Reading'!P25-'Water Reading'!P24</f>
        <v>0</v>
      </c>
      <c r="J25" s="69">
        <f t="shared" si="5"/>
        <v>0</v>
      </c>
      <c r="K25" s="91">
        <f>('Water Reading'!I25-'Water Reading'!I24)</f>
        <v>17</v>
      </c>
      <c r="L25" s="69">
        <f t="shared" si="6"/>
        <v>0.12056737588652482</v>
      </c>
      <c r="M25" s="91">
        <f>'Water Reading'!R25-'Water Reading'!R24</f>
        <v>6</v>
      </c>
      <c r="N25" s="93">
        <f t="shared" si="7"/>
        <v>4.2553191489361701E-2</v>
      </c>
      <c r="O25" s="91">
        <f>'Water Reading'!Q25-'Water Reading'!Q24</f>
        <v>0</v>
      </c>
      <c r="P25" s="100">
        <f t="shared" si="8"/>
        <v>0</v>
      </c>
      <c r="Q25" s="92">
        <f>'Water Reading'!F25-'Water Reading'!F24</f>
        <v>1</v>
      </c>
      <c r="R25" s="101">
        <f t="shared" si="9"/>
        <v>7.0921985815602835E-3</v>
      </c>
      <c r="S25" s="95">
        <f>'Water Reading'!E25-'Water Reading'!E24</f>
        <v>62</v>
      </c>
      <c r="T25" s="101">
        <f t="shared" si="10"/>
        <v>0.43971631205673761</v>
      </c>
      <c r="U25" s="91">
        <f>'Water Reading'!G25-'Water Reading'!G24</f>
        <v>22</v>
      </c>
      <c r="V25" s="101">
        <f t="shared" si="11"/>
        <v>0.15602836879432624</v>
      </c>
      <c r="W25" s="91">
        <f>'Water Reading'!J25-'Water Reading'!J24</f>
        <v>10</v>
      </c>
      <c r="X25" s="101">
        <f t="shared" si="12"/>
        <v>7.0921985815602842E-2</v>
      </c>
      <c r="Y25" s="67">
        <f t="shared" si="0"/>
        <v>332</v>
      </c>
      <c r="Z25" s="68">
        <f t="shared" si="1"/>
        <v>1.1029900332225913</v>
      </c>
    </row>
    <row r="26" spans="1:26" x14ac:dyDescent="0.25">
      <c r="A26" s="8">
        <f>'Water Reading'!A25</f>
        <v>44188</v>
      </c>
      <c r="B26" s="66">
        <v>246</v>
      </c>
      <c r="C26" s="67">
        <f>('Water Reading'!B26-'Water Reading'!B25)+('Water Reading'!C26-'Water Reading'!C25)</f>
        <v>126</v>
      </c>
      <c r="D26" s="68">
        <f t="shared" si="2"/>
        <v>0.51219512195121952</v>
      </c>
      <c r="E26" s="88">
        <f>'Water Reading'!H26-'Water Reading'!H25</f>
        <v>15</v>
      </c>
      <c r="F26" s="90">
        <f t="shared" si="3"/>
        <v>0.11904761904761904</v>
      </c>
      <c r="G26" s="94">
        <f>('Water Reading'!D26-'Water Reading'!D25)-('Water Reading'!R26-'Water Reading'!R25)-('Water Reading'!Q26-'Water Reading'!Q25)</f>
        <v>140</v>
      </c>
      <c r="H26" s="90">
        <f t="shared" si="4"/>
        <v>1.1111111111111112</v>
      </c>
      <c r="I26" s="91">
        <f>'Water Reading'!P26-'Water Reading'!P25</f>
        <v>0</v>
      </c>
      <c r="J26" s="69">
        <f t="shared" si="5"/>
        <v>0</v>
      </c>
      <c r="K26" s="91">
        <f>('Water Reading'!I26-'Water Reading'!I25)-('Water Reading'!P26-'Water Reading'!P25)</f>
        <v>21</v>
      </c>
      <c r="L26" s="69">
        <f t="shared" si="6"/>
        <v>0.16666666666666666</v>
      </c>
      <c r="M26" s="91">
        <f>'Water Reading'!R26-'Water Reading'!R25</f>
        <v>7</v>
      </c>
      <c r="N26" s="93">
        <f t="shared" si="7"/>
        <v>5.5555555555555552E-2</v>
      </c>
      <c r="O26" s="91">
        <f>'Water Reading'!Q26-'Water Reading'!Q25</f>
        <v>0</v>
      </c>
      <c r="P26" s="100">
        <f t="shared" si="8"/>
        <v>0</v>
      </c>
      <c r="Q26" s="92">
        <f>'Water Reading'!F26-'Water Reading'!F25</f>
        <v>1</v>
      </c>
      <c r="R26" s="101">
        <f t="shared" si="9"/>
        <v>7.9365079365079361E-3</v>
      </c>
      <c r="S26" s="95">
        <f>'Water Reading'!E26-'Water Reading'!E25</f>
        <v>66</v>
      </c>
      <c r="T26" s="101">
        <f t="shared" si="10"/>
        <v>0.52380952380952384</v>
      </c>
      <c r="U26" s="91">
        <f>'Water Reading'!G26-'Water Reading'!G25</f>
        <v>30</v>
      </c>
      <c r="V26" s="101">
        <f t="shared" si="11"/>
        <v>0.23809523809523808</v>
      </c>
      <c r="W26" s="91">
        <f>'Water Reading'!J26-'Water Reading'!J25</f>
        <v>11</v>
      </c>
      <c r="X26" s="101">
        <f t="shared" si="12"/>
        <v>8.7301587301587297E-2</v>
      </c>
      <c r="Y26" s="67">
        <f t="shared" si="0"/>
        <v>291</v>
      </c>
      <c r="Z26" s="68">
        <f t="shared" si="1"/>
        <v>1.1829268292682926</v>
      </c>
    </row>
    <row r="27" spans="1:26" x14ac:dyDescent="0.25">
      <c r="A27" s="8">
        <f>'Water Reading'!A26</f>
        <v>44189</v>
      </c>
      <c r="B27" s="66">
        <v>252</v>
      </c>
      <c r="C27" s="67">
        <f>('Water Reading'!B27-'Water Reading'!B26)+('Water Reading'!C27-'Water Reading'!C26)</f>
        <v>105</v>
      </c>
      <c r="D27" s="68">
        <f t="shared" si="2"/>
        <v>0.41666666666666669</v>
      </c>
      <c r="E27" s="88">
        <f>'Water Reading'!H27-'Water Reading'!H26</f>
        <v>15</v>
      </c>
      <c r="F27" s="90">
        <f t="shared" si="3"/>
        <v>0.14285714285714285</v>
      </c>
      <c r="G27" s="94">
        <f>('Water Reading'!D27-'Water Reading'!D26)-('Water Reading'!R27-'Water Reading'!R26)-('Water Reading'!Q27-'Water Reading'!Q26)</f>
        <v>110</v>
      </c>
      <c r="H27" s="90">
        <f t="shared" si="4"/>
        <v>1.0476190476190477</v>
      </c>
      <c r="I27" s="91">
        <f>'Water Reading'!P27-'Water Reading'!P26</f>
        <v>0</v>
      </c>
      <c r="J27" s="69">
        <f t="shared" si="5"/>
        <v>0</v>
      </c>
      <c r="K27" s="91">
        <f>('Water Reading'!I27-'Water Reading'!I26)-('Water Reading'!P27-'Water Reading'!P26)</f>
        <v>14</v>
      </c>
      <c r="L27" s="69">
        <f t="shared" si="6"/>
        <v>0.13333333333333333</v>
      </c>
      <c r="M27" s="91">
        <f>'Water Reading'!R27-'Water Reading'!R26</f>
        <v>10</v>
      </c>
      <c r="N27" s="93">
        <f t="shared" si="7"/>
        <v>9.5238095238095233E-2</v>
      </c>
      <c r="O27" s="91">
        <f>'Water Reading'!Q27-'Water Reading'!Q26</f>
        <v>0</v>
      </c>
      <c r="P27" s="100">
        <f t="shared" si="8"/>
        <v>0</v>
      </c>
      <c r="Q27" s="92">
        <f>'Water Reading'!F27-'Water Reading'!F26</f>
        <v>0</v>
      </c>
      <c r="R27" s="101">
        <f t="shared" si="9"/>
        <v>0</v>
      </c>
      <c r="S27" s="95">
        <f>'Water Reading'!E27-'Water Reading'!E26</f>
        <v>58</v>
      </c>
      <c r="T27" s="101">
        <f t="shared" si="10"/>
        <v>0.55238095238095242</v>
      </c>
      <c r="U27" s="91">
        <f>'Water Reading'!G27-'Water Reading'!G26</f>
        <v>23</v>
      </c>
      <c r="V27" s="101">
        <f t="shared" si="11"/>
        <v>0.21904761904761905</v>
      </c>
      <c r="W27" s="91">
        <f>'Water Reading'!J27-'Water Reading'!J26</f>
        <v>10</v>
      </c>
      <c r="X27" s="101">
        <f t="shared" si="12"/>
        <v>9.5238095238095233E-2</v>
      </c>
      <c r="Y27" s="67">
        <f t="shared" si="0"/>
        <v>240</v>
      </c>
      <c r="Z27" s="68">
        <f t="shared" si="1"/>
        <v>0.95238095238095233</v>
      </c>
    </row>
    <row r="28" spans="1:26" x14ac:dyDescent="0.25">
      <c r="A28" s="8">
        <f>'Water Reading'!A27</f>
        <v>44190</v>
      </c>
      <c r="B28" s="66">
        <v>248</v>
      </c>
      <c r="C28" s="67">
        <f>('Water Reading'!B28-'Water Reading'!B27)+('Water Reading'!C28-'Water Reading'!C27)</f>
        <v>151</v>
      </c>
      <c r="D28" s="68">
        <f t="shared" si="2"/>
        <v>0.6088709677419355</v>
      </c>
      <c r="E28" s="88">
        <f>'Water Reading'!H28-'Water Reading'!H27</f>
        <v>16</v>
      </c>
      <c r="F28" s="90">
        <f t="shared" si="3"/>
        <v>0.10596026490066225</v>
      </c>
      <c r="G28" s="94">
        <f>('Water Reading'!D28-'Water Reading'!D27)-('Water Reading'!R28-'Water Reading'!R27)-('Water Reading'!Q28-'Water Reading'!Q27)</f>
        <v>149</v>
      </c>
      <c r="H28" s="90">
        <f t="shared" si="4"/>
        <v>0.98675496688741726</v>
      </c>
      <c r="I28" s="91">
        <f>'Water Reading'!P28-'Water Reading'!P27</f>
        <v>0</v>
      </c>
      <c r="J28" s="69">
        <f t="shared" si="5"/>
        <v>0</v>
      </c>
      <c r="K28" s="91">
        <f>('Water Reading'!I28-'Water Reading'!I27)</f>
        <v>16</v>
      </c>
      <c r="L28" s="69">
        <f t="shared" si="6"/>
        <v>0.10596026490066225</v>
      </c>
      <c r="M28" s="91">
        <f>'Water Reading'!R28-'Water Reading'!R27</f>
        <v>6</v>
      </c>
      <c r="N28" s="93">
        <f t="shared" si="7"/>
        <v>3.9735099337748346E-2</v>
      </c>
      <c r="O28" s="91">
        <f>'Water Reading'!Q28-'Water Reading'!Q27</f>
        <v>0</v>
      </c>
      <c r="P28" s="100">
        <f t="shared" si="8"/>
        <v>0</v>
      </c>
      <c r="Q28" s="92">
        <f>'Water Reading'!F28-'Water Reading'!F27</f>
        <v>1</v>
      </c>
      <c r="R28" s="101">
        <f t="shared" si="9"/>
        <v>6.6225165562913907E-3</v>
      </c>
      <c r="S28" s="95">
        <f>'Water Reading'!E28-'Water Reading'!E27</f>
        <v>61</v>
      </c>
      <c r="T28" s="101">
        <f t="shared" si="10"/>
        <v>0.40397350993377484</v>
      </c>
      <c r="U28" s="91">
        <f>'Water Reading'!G28-'Water Reading'!G27</f>
        <v>24</v>
      </c>
      <c r="V28" s="101">
        <f t="shared" si="11"/>
        <v>0.15894039735099338</v>
      </c>
      <c r="W28" s="91">
        <f>'Water Reading'!J28-'Water Reading'!J27</f>
        <v>10</v>
      </c>
      <c r="X28" s="101">
        <f t="shared" si="12"/>
        <v>6.6225165562913912E-2</v>
      </c>
      <c r="Y28" s="67">
        <f t="shared" si="0"/>
        <v>283</v>
      </c>
      <c r="Z28" s="68">
        <f t="shared" si="1"/>
        <v>1.1411290322580645</v>
      </c>
    </row>
    <row r="29" spans="1:26" x14ac:dyDescent="0.25">
      <c r="A29" s="8">
        <f>'Water Reading'!A28</f>
        <v>44191</v>
      </c>
      <c r="B29" s="66">
        <v>297</v>
      </c>
      <c r="C29" s="67">
        <f>('Water Reading'!B29-'Water Reading'!B28)+('Water Reading'!C29-'Water Reading'!C28)</f>
        <v>209</v>
      </c>
      <c r="D29" s="68">
        <f t="shared" si="2"/>
        <v>0.70370370370370372</v>
      </c>
      <c r="E29" s="88">
        <f>'Water Reading'!H29-'Water Reading'!H28</f>
        <v>18</v>
      </c>
      <c r="F29" s="90">
        <f t="shared" si="3"/>
        <v>8.6124401913875603E-2</v>
      </c>
      <c r="G29" s="94">
        <f>('Water Reading'!D29-'Water Reading'!D28)-('Water Reading'!R29-'Water Reading'!R28)-('Water Reading'!Q29-'Water Reading'!Q28)</f>
        <v>229</v>
      </c>
      <c r="H29" s="90">
        <f t="shared" si="4"/>
        <v>1.0956937799043063</v>
      </c>
      <c r="I29" s="91">
        <f>'Water Reading'!P29-'Water Reading'!P28</f>
        <v>0</v>
      </c>
      <c r="J29" s="69">
        <f t="shared" si="5"/>
        <v>0</v>
      </c>
      <c r="K29" s="91">
        <f>('Water Reading'!I29-'Water Reading'!I28)</f>
        <v>13</v>
      </c>
      <c r="L29" s="69">
        <f t="shared" si="6"/>
        <v>6.2200956937799042E-2</v>
      </c>
      <c r="M29" s="91">
        <f>'Water Reading'!R29-'Water Reading'!R28</f>
        <v>6</v>
      </c>
      <c r="N29" s="93">
        <f t="shared" si="7"/>
        <v>2.8708133971291867E-2</v>
      </c>
      <c r="O29" s="91">
        <f>'Water Reading'!Q29-'Water Reading'!Q28</f>
        <v>8</v>
      </c>
      <c r="P29" s="100">
        <f t="shared" si="8"/>
        <v>3.8277511961722487E-2</v>
      </c>
      <c r="Q29" s="92">
        <f>'Water Reading'!F29-'Water Reading'!F28</f>
        <v>2</v>
      </c>
      <c r="R29" s="101">
        <f t="shared" si="9"/>
        <v>9.5693779904306216E-3</v>
      </c>
      <c r="S29" s="95">
        <f>'Water Reading'!E29-'Water Reading'!E28</f>
        <v>58</v>
      </c>
      <c r="T29" s="101">
        <f t="shared" si="10"/>
        <v>0.27751196172248804</v>
      </c>
      <c r="U29" s="91">
        <f>'Water Reading'!G29-'Water Reading'!G28</f>
        <v>27</v>
      </c>
      <c r="V29" s="101">
        <f t="shared" si="11"/>
        <v>0.12918660287081341</v>
      </c>
      <c r="W29" s="91">
        <f>'Water Reading'!J29-'Water Reading'!J28</f>
        <v>10</v>
      </c>
      <c r="X29" s="101">
        <f t="shared" si="12"/>
        <v>4.784688995215311E-2</v>
      </c>
      <c r="Y29" s="67">
        <f t="shared" si="0"/>
        <v>371</v>
      </c>
      <c r="Z29" s="68">
        <f t="shared" si="1"/>
        <v>1.2491582491582491</v>
      </c>
    </row>
    <row r="30" spans="1:26" x14ac:dyDescent="0.25">
      <c r="A30" s="8">
        <f>'Water Reading'!A29</f>
        <v>44192</v>
      </c>
      <c r="B30" s="66">
        <v>274</v>
      </c>
      <c r="C30" s="67">
        <f>('Water Reading'!B30-'Water Reading'!B29)+('Water Reading'!C30-'Water Reading'!C29)</f>
        <v>127</v>
      </c>
      <c r="D30" s="68">
        <f t="shared" si="2"/>
        <v>0.46350364963503649</v>
      </c>
      <c r="E30" s="88">
        <f>'Water Reading'!H30-'Water Reading'!H29</f>
        <v>40</v>
      </c>
      <c r="F30" s="90">
        <f t="shared" si="3"/>
        <v>0.31496062992125984</v>
      </c>
      <c r="G30" s="94">
        <f>('Water Reading'!D30-'Water Reading'!D29)-('Water Reading'!R30-'Water Reading'!R29)-('Water Reading'!Q30-'Water Reading'!Q29)</f>
        <v>106</v>
      </c>
      <c r="H30" s="90">
        <f t="shared" si="4"/>
        <v>0.83464566929133854</v>
      </c>
      <c r="I30" s="91">
        <f>'Water Reading'!P30-'Water Reading'!P29</f>
        <v>0</v>
      </c>
      <c r="J30" s="69">
        <f t="shared" si="5"/>
        <v>0</v>
      </c>
      <c r="K30" s="91">
        <f>('Water Reading'!I30-'Water Reading'!I29)-('Water Reading'!P30-'Water Reading'!P29)</f>
        <v>21</v>
      </c>
      <c r="L30" s="69">
        <f t="shared" si="6"/>
        <v>0.16535433070866143</v>
      </c>
      <c r="M30" s="91">
        <f>'Water Reading'!R30-'Water Reading'!R29</f>
        <v>4</v>
      </c>
      <c r="N30" s="93">
        <f t="shared" si="7"/>
        <v>3.1496062992125984E-2</v>
      </c>
      <c r="O30" s="91">
        <f>'Water Reading'!Q30-'Water Reading'!Q29</f>
        <v>0</v>
      </c>
      <c r="P30" s="100">
        <f t="shared" si="8"/>
        <v>0</v>
      </c>
      <c r="Q30" s="92">
        <f>'Water Reading'!F30-'Water Reading'!F29</f>
        <v>2</v>
      </c>
      <c r="R30" s="101">
        <f t="shared" si="9"/>
        <v>1.5748031496062992E-2</v>
      </c>
      <c r="S30" s="95">
        <f>'Water Reading'!E30-'Water Reading'!E29</f>
        <v>59</v>
      </c>
      <c r="T30" s="101">
        <f t="shared" si="10"/>
        <v>0.46456692913385828</v>
      </c>
      <c r="U30" s="91">
        <f>'Water Reading'!G30-'Water Reading'!G29</f>
        <v>25</v>
      </c>
      <c r="V30" s="101">
        <f t="shared" si="11"/>
        <v>0.19685039370078741</v>
      </c>
      <c r="W30" s="91">
        <f>'Water Reading'!J30-'Water Reading'!J29</f>
        <v>10</v>
      </c>
      <c r="X30" s="101">
        <f t="shared" si="12"/>
        <v>7.874015748031496E-2</v>
      </c>
      <c r="Y30" s="67">
        <f t="shared" si="0"/>
        <v>267</v>
      </c>
      <c r="Z30" s="68">
        <f t="shared" si="1"/>
        <v>0.97445255474452552</v>
      </c>
    </row>
    <row r="31" spans="1:26" x14ac:dyDescent="0.25">
      <c r="A31" s="8">
        <f>'Water Reading'!A30</f>
        <v>44193</v>
      </c>
      <c r="B31" s="66">
        <v>266</v>
      </c>
      <c r="C31" s="67">
        <f>('Water Reading'!B31-'Water Reading'!B30)+('Water Reading'!C31-'Water Reading'!C30)</f>
        <v>152</v>
      </c>
      <c r="D31" s="68">
        <f t="shared" si="2"/>
        <v>0.5714285714285714</v>
      </c>
      <c r="E31" s="88">
        <f>'Water Reading'!H31-'Water Reading'!H30</f>
        <v>21</v>
      </c>
      <c r="F31" s="90">
        <f t="shared" si="3"/>
        <v>0.13815789473684212</v>
      </c>
      <c r="G31" s="94">
        <f>('Water Reading'!D31-'Water Reading'!D30)-('Water Reading'!R31-'Water Reading'!R30)-('Water Reading'!Q31-'Water Reading'!Q30)</f>
        <v>183</v>
      </c>
      <c r="H31" s="90">
        <f t="shared" si="4"/>
        <v>1.2039473684210527</v>
      </c>
      <c r="I31" s="91">
        <f>'Water Reading'!P31-'Water Reading'!P30</f>
        <v>0</v>
      </c>
      <c r="J31" s="69">
        <f t="shared" si="5"/>
        <v>0</v>
      </c>
      <c r="K31" s="91">
        <f>('Water Reading'!I31-'Water Reading'!I30)-('Water Reading'!P31-'Water Reading'!P30)</f>
        <v>20</v>
      </c>
      <c r="L31" s="69">
        <f t="shared" si="6"/>
        <v>0.13157894736842105</v>
      </c>
      <c r="M31" s="91">
        <f>'Water Reading'!R31-'Water Reading'!R30</f>
        <v>8</v>
      </c>
      <c r="N31" s="93">
        <f t="shared" si="7"/>
        <v>5.2631578947368418E-2</v>
      </c>
      <c r="O31" s="91">
        <f>'Water Reading'!Q31-'Water Reading'!Q30</f>
        <v>0</v>
      </c>
      <c r="P31" s="100">
        <f t="shared" si="8"/>
        <v>0</v>
      </c>
      <c r="Q31" s="92">
        <f>'Water Reading'!F31-'Water Reading'!F30</f>
        <v>2</v>
      </c>
      <c r="R31" s="101">
        <f t="shared" si="9"/>
        <v>1.3157894736842105E-2</v>
      </c>
      <c r="S31" s="95">
        <f>'Water Reading'!E31-'Water Reading'!E30</f>
        <v>57</v>
      </c>
      <c r="T31" s="101">
        <f t="shared" si="10"/>
        <v>0.375</v>
      </c>
      <c r="U31" s="91">
        <f>'Water Reading'!G31-'Water Reading'!G30</f>
        <v>24</v>
      </c>
      <c r="V31" s="101">
        <f t="shared" si="11"/>
        <v>0.15789473684210525</v>
      </c>
      <c r="W31" s="91">
        <f>'Water Reading'!J31-'Water Reading'!J30</f>
        <v>11</v>
      </c>
      <c r="X31" s="101">
        <f t="shared" si="12"/>
        <v>7.2368421052631582E-2</v>
      </c>
      <c r="Y31" s="67">
        <f t="shared" si="0"/>
        <v>326</v>
      </c>
      <c r="Z31" s="68">
        <f t="shared" si="1"/>
        <v>1.2255639097744362</v>
      </c>
    </row>
    <row r="32" spans="1:26" x14ac:dyDescent="0.25">
      <c r="A32" s="8">
        <f>'Water Reading'!A31</f>
        <v>44194</v>
      </c>
      <c r="B32" s="66">
        <v>328</v>
      </c>
      <c r="C32" s="67">
        <f>('Water Reading'!B32-'Water Reading'!B31)+('Water Reading'!C32-'Water Reading'!C31)</f>
        <v>174</v>
      </c>
      <c r="D32" s="68">
        <f t="shared" si="2"/>
        <v>0.53048780487804881</v>
      </c>
      <c r="E32" s="88">
        <f>'Water Reading'!H32-'Water Reading'!H31</f>
        <v>45</v>
      </c>
      <c r="F32" s="90">
        <f t="shared" si="3"/>
        <v>0.25862068965517243</v>
      </c>
      <c r="G32" s="94">
        <f>('Water Reading'!D32-'Water Reading'!D31)-('Water Reading'!R32-'Water Reading'!R31)-('Water Reading'!Q32-'Water Reading'!Q31)</f>
        <v>183</v>
      </c>
      <c r="H32" s="90">
        <f t="shared" si="4"/>
        <v>1.0517241379310345</v>
      </c>
      <c r="I32" s="91">
        <f>'Water Reading'!P32-'Water Reading'!P31</f>
        <v>0</v>
      </c>
      <c r="J32" s="69">
        <f t="shared" si="5"/>
        <v>0</v>
      </c>
      <c r="K32" s="91">
        <f>('Water Reading'!I32-'Water Reading'!I31)-('Water Reading'!P32-'Water Reading'!P31)</f>
        <v>21</v>
      </c>
      <c r="L32" s="69">
        <f t="shared" si="6"/>
        <v>0.1206896551724138</v>
      </c>
      <c r="M32" s="91">
        <f>'Water Reading'!R32-'Water Reading'!R31</f>
        <v>10</v>
      </c>
      <c r="N32" s="93">
        <f t="shared" si="7"/>
        <v>5.7471264367816091E-2</v>
      </c>
      <c r="O32" s="91">
        <f>'Water Reading'!Q32-'Water Reading'!Q31</f>
        <v>0</v>
      </c>
      <c r="P32" s="100">
        <f t="shared" si="8"/>
        <v>0</v>
      </c>
      <c r="Q32" s="92">
        <f>'Water Reading'!F32-'Water Reading'!F31</f>
        <v>1</v>
      </c>
      <c r="R32" s="101">
        <f t="shared" si="9"/>
        <v>5.7471264367816091E-3</v>
      </c>
      <c r="S32" s="95">
        <f>'Water Reading'!E32-'Water Reading'!E31</f>
        <v>61</v>
      </c>
      <c r="T32" s="101">
        <f t="shared" si="10"/>
        <v>0.35057471264367818</v>
      </c>
      <c r="U32" s="91">
        <f>'Water Reading'!G32-'Water Reading'!G31</f>
        <v>29</v>
      </c>
      <c r="V32" s="101">
        <f t="shared" si="11"/>
        <v>0.16666666666666666</v>
      </c>
      <c r="W32" s="91">
        <f>'Water Reading'!J32-'Water Reading'!J31</f>
        <v>10</v>
      </c>
      <c r="X32" s="101">
        <f t="shared" si="12"/>
        <v>5.7471264367816091E-2</v>
      </c>
      <c r="Y32" s="67">
        <f t="shared" si="0"/>
        <v>360</v>
      </c>
      <c r="Z32" s="68">
        <f t="shared" si="1"/>
        <v>1.0975609756097562</v>
      </c>
    </row>
    <row r="33" spans="1:26" x14ac:dyDescent="0.25">
      <c r="A33" s="8">
        <f>'Water Reading'!A32</f>
        <v>44195</v>
      </c>
      <c r="B33" s="66">
        <v>260</v>
      </c>
      <c r="C33" s="67">
        <f>('Water Reading'!B33-'Water Reading'!B32)+('Water Reading'!C33-'Water Reading'!C32)</f>
        <v>139</v>
      </c>
      <c r="D33" s="68">
        <f t="shared" si="2"/>
        <v>0.5346153846153846</v>
      </c>
      <c r="E33" s="88">
        <f>'Water Reading'!H33-'Water Reading'!H32</f>
        <v>28</v>
      </c>
      <c r="F33" s="90">
        <f t="shared" si="3"/>
        <v>0.20143884892086331</v>
      </c>
      <c r="G33" s="94">
        <f>('Water Reading'!D33-'Water Reading'!D32)-('Water Reading'!R33-'Water Reading'!R32)-('Water Reading'!Q33-'Water Reading'!Q32)</f>
        <v>147</v>
      </c>
      <c r="H33" s="90">
        <f t="shared" si="4"/>
        <v>1.0575539568345325</v>
      </c>
      <c r="I33" s="91">
        <f>'Water Reading'!P33-'Water Reading'!P32</f>
        <v>0</v>
      </c>
      <c r="J33" s="69">
        <f t="shared" si="5"/>
        <v>0</v>
      </c>
      <c r="K33" s="91">
        <f>('Water Reading'!I33-'Water Reading'!I32)-('Water Reading'!P33-'Water Reading'!P32)</f>
        <v>21</v>
      </c>
      <c r="L33" s="69">
        <f t="shared" si="6"/>
        <v>0.15107913669064749</v>
      </c>
      <c r="M33" s="91">
        <f>'Water Reading'!R33-'Water Reading'!R32</f>
        <v>11</v>
      </c>
      <c r="N33" s="93">
        <f t="shared" si="7"/>
        <v>7.9136690647482008E-2</v>
      </c>
      <c r="O33" s="91">
        <f>'Water Reading'!Q33-'Water Reading'!Q32</f>
        <v>0</v>
      </c>
      <c r="P33" s="100">
        <f t="shared" si="8"/>
        <v>0</v>
      </c>
      <c r="Q33" s="92">
        <f>'Water Reading'!F33-'Water Reading'!F32</f>
        <v>1</v>
      </c>
      <c r="R33" s="101">
        <f t="shared" si="9"/>
        <v>7.1942446043165471E-3</v>
      </c>
      <c r="S33" s="95">
        <f>'Water Reading'!E33-'Water Reading'!E32</f>
        <v>65</v>
      </c>
      <c r="T33" s="101">
        <f t="shared" si="10"/>
        <v>0.46762589928057552</v>
      </c>
      <c r="U33" s="91">
        <f>'Water Reading'!G33-'Water Reading'!G32</f>
        <v>27</v>
      </c>
      <c r="V33" s="101">
        <f t="shared" si="11"/>
        <v>0.19424460431654678</v>
      </c>
      <c r="W33" s="91">
        <f>'Water Reading'!J33-'Water Reading'!J32</f>
        <v>11</v>
      </c>
      <c r="X33" s="101">
        <f t="shared" si="12"/>
        <v>7.9136690647482008E-2</v>
      </c>
      <c r="Y33" s="67">
        <f t="shared" si="0"/>
        <v>311</v>
      </c>
      <c r="Z33" s="68">
        <f t="shared" si="1"/>
        <v>1.1961538461538461</v>
      </c>
    </row>
    <row r="34" spans="1:26" x14ac:dyDescent="0.25">
      <c r="A34" s="8">
        <f>'Water Reading'!A33</f>
        <v>44196</v>
      </c>
      <c r="B34" s="66">
        <v>319</v>
      </c>
      <c r="C34" s="67">
        <f>('Water Reading'!B34-'Water Reading'!B33)+('Water Reading'!C34-'Water Reading'!C33)</f>
        <v>214</v>
      </c>
      <c r="D34" s="68">
        <f t="shared" si="2"/>
        <v>0.67084639498432597</v>
      </c>
      <c r="E34" s="88">
        <f>'Water Reading'!H34-'Water Reading'!H33</f>
        <v>36</v>
      </c>
      <c r="F34" s="90">
        <f t="shared" si="3"/>
        <v>0.16822429906542055</v>
      </c>
      <c r="G34" s="94">
        <f>('Water Reading'!D34-'Water Reading'!D33)-('Water Reading'!R34-'Water Reading'!R33)-('Water Reading'!Q34-'Water Reading'!Q33)</f>
        <v>130</v>
      </c>
      <c r="H34" s="90">
        <f t="shared" si="4"/>
        <v>0.60747663551401865</v>
      </c>
      <c r="I34" s="91">
        <f>'Water Reading'!P34-'Water Reading'!P33</f>
        <v>73</v>
      </c>
      <c r="J34" s="69">
        <f t="shared" si="5"/>
        <v>0.34112149532710279</v>
      </c>
      <c r="K34" s="91">
        <f>('Water Reading'!I34-'Water Reading'!I33)-('Water Reading'!P34-'Water Reading'!P33)</f>
        <v>38</v>
      </c>
      <c r="L34" s="69">
        <f t="shared" si="6"/>
        <v>0.17757009345794392</v>
      </c>
      <c r="M34" s="91">
        <f>'Water Reading'!R34-'Water Reading'!R33</f>
        <v>7</v>
      </c>
      <c r="N34" s="93">
        <f t="shared" si="7"/>
        <v>3.2710280373831772E-2</v>
      </c>
      <c r="O34" s="91">
        <f>'Water Reading'!Q34-'Water Reading'!Q33</f>
        <v>0</v>
      </c>
      <c r="P34" s="100">
        <f t="shared" si="8"/>
        <v>0</v>
      </c>
      <c r="Q34" s="92">
        <f>'Water Reading'!F34-'Water Reading'!F33</f>
        <v>0</v>
      </c>
      <c r="R34" s="101">
        <f t="shared" si="9"/>
        <v>0</v>
      </c>
      <c r="S34" s="95">
        <f>'Water Reading'!E34-'Water Reading'!E33</f>
        <v>57</v>
      </c>
      <c r="T34" s="101">
        <f t="shared" si="10"/>
        <v>0.26635514018691586</v>
      </c>
      <c r="U34" s="91">
        <f>'Water Reading'!G34-'Water Reading'!G33</f>
        <v>23</v>
      </c>
      <c r="V34" s="101">
        <f t="shared" si="11"/>
        <v>0.10747663551401869</v>
      </c>
      <c r="W34" s="91">
        <f>'Water Reading'!J34-'Water Reading'!J33</f>
        <v>11</v>
      </c>
      <c r="X34" s="101">
        <f t="shared" si="12"/>
        <v>5.1401869158878503E-2</v>
      </c>
      <c r="Y34" s="67">
        <f t="shared" si="0"/>
        <v>375</v>
      </c>
      <c r="Z34" s="68">
        <f t="shared" si="1"/>
        <v>1.1755485893416928</v>
      </c>
    </row>
    <row r="35" spans="1:26" ht="24" customHeight="1" x14ac:dyDescent="0.25">
      <c r="A35" s="70" t="s">
        <v>53</v>
      </c>
      <c r="B35" s="98">
        <f>SUM(B4:B34)</f>
        <v>8770</v>
      </c>
      <c r="C35" s="76">
        <f>SUM(C4:C34)</f>
        <v>4741</v>
      </c>
      <c r="D35" s="97">
        <f>C35/B35</f>
        <v>0.54059293044469781</v>
      </c>
      <c r="E35" s="7">
        <f>SUM(E4:E34)</f>
        <v>835</v>
      </c>
      <c r="F35" s="96">
        <f>E35/C35</f>
        <v>0.17612318076355199</v>
      </c>
      <c r="G35" s="76">
        <f>SUM(G4:G34)</f>
        <v>5641</v>
      </c>
      <c r="H35" s="96">
        <f>G35/C35</f>
        <v>1.1898333684876607</v>
      </c>
      <c r="I35" s="7">
        <f>SUM(I4:I34)</f>
        <v>113</v>
      </c>
      <c r="J35" s="96">
        <f>I35/C35</f>
        <v>2.383463404345075E-2</v>
      </c>
      <c r="K35" s="7">
        <f>SUM(K4:K34)</f>
        <v>510</v>
      </c>
      <c r="L35" s="96">
        <f>K35/C35</f>
        <v>0.1075722421430078</v>
      </c>
      <c r="M35" s="7">
        <f>SUM(M4:M34)</f>
        <v>170</v>
      </c>
      <c r="N35" s="96">
        <f>M35/C35</f>
        <v>3.5857414047669268E-2</v>
      </c>
      <c r="O35" s="7">
        <f>SUM(O4:O34)</f>
        <v>52</v>
      </c>
      <c r="P35" s="96">
        <f>O35/C35</f>
        <v>1.0968150179287071E-2</v>
      </c>
      <c r="Q35" s="7">
        <f>SUM(Q4:Q34)</f>
        <v>29</v>
      </c>
      <c r="R35" s="96">
        <f>Q35/C35</f>
        <v>6.1168529846024047E-3</v>
      </c>
      <c r="S35" s="76">
        <f>SUM(S4:S34)</f>
        <v>1749</v>
      </c>
      <c r="T35" s="96">
        <f>S35/C35</f>
        <v>0.36890951276102091</v>
      </c>
      <c r="U35" s="7">
        <f>SUM(U4:U34)</f>
        <v>630</v>
      </c>
      <c r="V35" s="96">
        <f>U35/C35</f>
        <v>0.13288335794136258</v>
      </c>
      <c r="W35" s="7">
        <f>SUM(W4:W34)</f>
        <v>299</v>
      </c>
      <c r="X35" s="96">
        <f>W35/C35</f>
        <v>6.3066863530900658E-2</v>
      </c>
      <c r="Y35" s="76">
        <f>SUM(Y4:Y34)</f>
        <v>10028</v>
      </c>
      <c r="Z35" s="96">
        <f t="shared" si="1"/>
        <v>1.1434435575826682</v>
      </c>
    </row>
    <row r="64" spans="4:4" x14ac:dyDescent="0.25">
      <c r="D64" s="71"/>
    </row>
    <row r="65" spans="4:4" x14ac:dyDescent="0.25">
      <c r="D65" s="71"/>
    </row>
    <row r="66" spans="4:4" x14ac:dyDescent="0.25">
      <c r="D66" s="71"/>
    </row>
    <row r="67" spans="4:4" x14ac:dyDescent="0.25">
      <c r="D67" s="71"/>
    </row>
    <row r="68" spans="4:4" x14ac:dyDescent="0.25">
      <c r="D68" s="71"/>
    </row>
    <row r="69" spans="4:4" x14ac:dyDescent="0.25">
      <c r="D69" s="71"/>
    </row>
    <row r="70" spans="4:4" x14ac:dyDescent="0.25">
      <c r="D70" s="71"/>
    </row>
    <row r="71" spans="4:4" x14ac:dyDescent="0.25">
      <c r="D71" s="71"/>
    </row>
    <row r="72" spans="4:4" x14ac:dyDescent="0.25">
      <c r="D72" s="71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2021-01-15T11:52:27Z</dcterms:modified>
  <cp:category/>
  <cp:contentStatus/>
</cp:coreProperties>
</file>