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BAHFP1\Divisions$\Engineering\Engineering\Consumptions and Readings\HEP\2023\HEP Utilities\001-January 2023\"/>
    </mc:Choice>
  </mc:AlternateContent>
  <xr:revisionPtr revIDLastSave="0" documentId="13_ncr:1_{C6FBB953-C67D-45BD-B95B-3FE09780A0EB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L12" i="31" l="1"/>
  <c r="G12" i="31"/>
  <c r="I12" i="31"/>
  <c r="L11" i="31" l="1"/>
  <c r="I11" i="31"/>
  <c r="G11" i="31"/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B30" i="1" l="1"/>
  <c r="B31" i="1"/>
  <c r="B3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<sst xmlns="http://schemas.openxmlformats.org/spreadsheetml/2006/main" count="67" uniqueCount="32">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</sst>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A30" sqref="A30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36600</v>
      </c>
      <c r="F2" s="10">
        <v>2.9000000000000001E-2</v>
      </c>
      <c r="G2" s="1">
        <f>'February 2023'!J5</f>
        <v>2970</v>
      </c>
      <c r="H2" s="10">
        <v>0.112</v>
      </c>
      <c r="I2" s="1">
        <f>'February 2023'!G5*1000</f>
        <v>30000</v>
      </c>
      <c r="J2" s="10">
        <v>3.61E-2</v>
      </c>
      <c r="K2" s="1">
        <f>'February 2023'!I5</f>
        <v>427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130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36717</v>
      </c>
      <c r="F3" s="10">
        <v>2.9000000000000001E-2</v>
      </c>
      <c r="G3" s="1">
        <f>'February 2023'!J6</f>
        <v>2970</v>
      </c>
      <c r="H3" s="10">
        <v>0.112</v>
      </c>
      <c r="I3" s="1">
        <f>'February 2023'!G6*1000</f>
        <v>34000</v>
      </c>
      <c r="J3" s="10">
        <v>3.61E-2</v>
      </c>
      <c r="K3" s="1">
        <f>'February 2023'!I6</f>
        <v>436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156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34525</v>
      </c>
      <c r="F4" s="10">
        <v>2.9000000000000001E-2</v>
      </c>
      <c r="G4" s="1">
        <f>'February 2023'!J7</f>
        <v>2970</v>
      </c>
      <c r="H4" s="10">
        <v>0.112</v>
      </c>
      <c r="I4" s="1">
        <f>'February 2023'!G7*1000</f>
        <v>29000</v>
      </c>
      <c r="J4" s="10">
        <v>3.61E-2</v>
      </c>
      <c r="K4" s="1">
        <f>'February 2023'!I7</f>
        <v>169</v>
      </c>
      <c r="L4" s="10">
        <v>0.75</v>
      </c>
      <c r="M4" s="10">
        <f>'February 2023'!L7</f>
        <v>39</v>
      </c>
      <c r="N4" s="10">
        <v>0.56299999999999994</v>
      </c>
      <c r="O4" s="14">
        <f>'February 2023'!D7</f>
        <v>142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34552</v>
      </c>
      <c r="F5" s="10">
        <v>2.9000000000000001E-2</v>
      </c>
      <c r="G5" s="1">
        <f>'February 2023'!J8</f>
        <v>2970</v>
      </c>
      <c r="H5" s="10">
        <v>0.112</v>
      </c>
      <c r="I5" s="1">
        <f>'February 2023'!G8*1000</f>
        <v>27000</v>
      </c>
      <c r="J5" s="10">
        <v>3.61E-2</v>
      </c>
      <c r="K5" s="1">
        <f>'February 2023'!I8</f>
        <v>506</v>
      </c>
      <c r="L5" s="10">
        <v>0.75</v>
      </c>
      <c r="M5" s="10">
        <f>'February 2023'!L8</f>
        <v>42</v>
      </c>
      <c r="N5" s="10">
        <v>0.56299999999999994</v>
      </c>
      <c r="O5" s="14">
        <f>'February 2023'!D8</f>
        <v>84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34579</v>
      </c>
      <c r="F6" s="10">
        <v>2.9000000000000001E-2</v>
      </c>
      <c r="G6" s="1">
        <f>'February 2023'!J9</f>
        <v>2970</v>
      </c>
      <c r="H6" s="10">
        <v>0.112</v>
      </c>
      <c r="I6" s="1">
        <f>'February 2023'!G9*1000</f>
        <v>29000</v>
      </c>
      <c r="J6" s="10">
        <v>3.61E-2</v>
      </c>
      <c r="K6" s="1">
        <f>'February 2023'!I9</f>
        <v>452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75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34605</v>
      </c>
      <c r="F7" s="10">
        <v>2.9000000000000001E-2</v>
      </c>
      <c r="G7" s="1">
        <v>0</v>
      </c>
      <c r="H7" s="10">
        <v>0.112</v>
      </c>
      <c r="I7" s="1">
        <f>'February 2023'!G10*1000</f>
        <v>30000</v>
      </c>
      <c r="J7" s="10">
        <v>3.61E-2</v>
      </c>
      <c r="K7" s="1">
        <f>'February 2023'!I10</f>
        <v>459</v>
      </c>
      <c r="L7" s="10">
        <v>0.75</v>
      </c>
      <c r="M7" s="10">
        <f>'February 2023'!L10</f>
        <v>33</v>
      </c>
      <c r="N7" s="10">
        <v>0.56299999999999994</v>
      </c>
      <c r="O7" s="14">
        <f>'February 2023'!D10</f>
        <v>98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34632</v>
      </c>
      <c r="F8" s="10">
        <v>2.9000000000000001E-2</v>
      </c>
      <c r="G8" s="1">
        <f>'February 2023'!J11</f>
        <v>2970</v>
      </c>
      <c r="H8" s="10">
        <v>0.112</v>
      </c>
      <c r="I8" s="1">
        <f>'February 2023'!G11*1000</f>
        <v>35000</v>
      </c>
      <c r="J8" s="10">
        <v>3.61E-2</v>
      </c>
      <c r="K8" s="1">
        <f>'February 2023'!I11</f>
        <v>424</v>
      </c>
      <c r="L8" s="10">
        <v>0.75</v>
      </c>
      <c r="M8" s="10">
        <f>'February 2023'!L11</f>
        <v>34</v>
      </c>
      <c r="N8" s="10">
        <v>0.56299999999999994</v>
      </c>
      <c r="O8" s="14">
        <f>'February 2023'!D11</f>
        <v>112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34658</v>
      </c>
      <c r="F9" s="10">
        <v>2.9000000000000001E-2</v>
      </c>
      <c r="G9" s="1">
        <f>'February 2023'!J12</f>
        <v>2970</v>
      </c>
      <c r="H9" s="10">
        <v>0.112</v>
      </c>
      <c r="I9" s="1">
        <f>'February 2023'!G12*1000</f>
        <v>29000</v>
      </c>
      <c r="J9" s="10">
        <v>3.61E-2</v>
      </c>
      <c r="K9" s="1">
        <f>'February 2023'!I12</f>
        <v>428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129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0</v>
      </c>
      <c r="F10" s="10">
        <v>2.9000000000000001E-2</v>
      </c>
      <c r="G10" s="1">
        <f>'February 2023'!J13</f>
        <v>0</v>
      </c>
      <c r="H10" s="10">
        <v>0.112</v>
      </c>
      <c r="I10" s="1">
        <f>'February 2023'!G13*1000</f>
        <v>0</v>
      </c>
      <c r="J10" s="10">
        <v>3.61E-2</v>
      </c>
      <c r="K10" s="1">
        <f>'February 2023'!I13</f>
        <v>0</v>
      </c>
      <c r="L10" s="10">
        <v>0.75</v>
      </c>
      <c r="M10" s="10">
        <f>'February 2023'!L13</f>
        <v>0</v>
      </c>
      <c r="N10" s="10">
        <v>0.56299999999999994</v>
      </c>
      <c r="O10" s="14">
        <f>'February 2023'!D13</f>
        <v>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0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0</v>
      </c>
      <c r="J11" s="10">
        <v>3.61E-2</v>
      </c>
      <c r="K11" s="1">
        <f>'February 2023'!I14</f>
        <v>0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0</v>
      </c>
      <c r="F12" s="10">
        <v>2.9000000000000001E-2</v>
      </c>
      <c r="G12" s="1">
        <f>'February 2023'!J15</f>
        <v>0</v>
      </c>
      <c r="H12" s="10">
        <v>0.112</v>
      </c>
      <c r="I12" s="1">
        <f>'February 2023'!G15*1000</f>
        <v>0</v>
      </c>
      <c r="J12" s="10">
        <v>3.61E-2</v>
      </c>
      <c r="K12" s="1">
        <f>'February 2023'!I15</f>
        <v>0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0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0</v>
      </c>
      <c r="F13" s="10">
        <v>2.9000000000000001E-2</v>
      </c>
      <c r="G13" s="1">
        <f>'February 2023'!J16</f>
        <v>0</v>
      </c>
      <c r="H13" s="10">
        <v>0.112</v>
      </c>
      <c r="I13" s="1">
        <f>'February 2023'!G16*1000</f>
        <v>0</v>
      </c>
      <c r="J13" s="10">
        <v>3.61E-2</v>
      </c>
      <c r="K13" s="1">
        <f>'February 2023'!I16</f>
        <v>0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0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0</v>
      </c>
      <c r="F14" s="10">
        <v>2.9000000000000001E-2</v>
      </c>
      <c r="G14" s="1">
        <f>'February 2023'!J17</f>
        <v>0</v>
      </c>
      <c r="H14" s="10">
        <v>0.112</v>
      </c>
      <c r="I14" s="1">
        <f>'February 2023'!G17*1000</f>
        <v>0</v>
      </c>
      <c r="J14" s="10">
        <v>3.61E-2</v>
      </c>
      <c r="K14" s="1">
        <f>'February 2023'!I17</f>
        <v>0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0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0</v>
      </c>
      <c r="J15" s="10">
        <v>3.61E-2</v>
      </c>
      <c r="K15" s="1">
        <f>'February 2023'!I18</f>
        <v>0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0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0</v>
      </c>
      <c r="F16" s="10">
        <v>2.9000000000000001E-2</v>
      </c>
      <c r="G16" s="1">
        <f>'February 2023'!J19</f>
        <v>0</v>
      </c>
      <c r="H16" s="10">
        <v>0.112</v>
      </c>
      <c r="I16" s="1">
        <f>'February 2023'!G20*1000</f>
        <v>0</v>
      </c>
      <c r="J16" s="10">
        <v>3.61E-2</v>
      </c>
      <c r="K16" s="1">
        <f>'February 2023'!I19</f>
        <v>0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0</v>
      </c>
      <c r="F17" s="10">
        <v>2.9000000000000001E-2</v>
      </c>
      <c r="G17" s="1">
        <f>'February 2023'!J21</f>
        <v>0</v>
      </c>
      <c r="H17" s="10">
        <v>0.112</v>
      </c>
      <c r="I17" s="1">
        <f>'February 2023'!G21*1000</f>
        <v>0</v>
      </c>
      <c r="J17" s="10">
        <v>3.61E-2</v>
      </c>
      <c r="K17" s="1">
        <f>'February 2023'!I20</f>
        <v>0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0</v>
      </c>
      <c r="F18" s="10">
        <v>2.9000000000000001E-2</v>
      </c>
      <c r="G18" s="1">
        <f>'February 2023'!J22</f>
        <v>0</v>
      </c>
      <c r="H18" s="10">
        <v>0.112</v>
      </c>
      <c r="I18" s="1">
        <f>'February 2023'!G22*1000</f>
        <v>0</v>
      </c>
      <c r="J18" s="10">
        <v>3.61E-2</v>
      </c>
      <c r="K18" s="1">
        <f>'February 2023'!I21</f>
        <v>0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0</v>
      </c>
      <c r="F19" s="10">
        <v>2.9000000000000001E-2</v>
      </c>
      <c r="G19" s="1">
        <f>'February 2023'!J22</f>
        <v>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0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A13" sqref="A13:XFD13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1" t="s">
        <v>18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5" x14ac:dyDescent="0.2">
      <c r="B3" s="42" t="s">
        <v>16</v>
      </c>
      <c r="C3" s="44" t="s">
        <v>17</v>
      </c>
      <c r="D3" s="27"/>
      <c r="E3" s="31" t="s">
        <v>24</v>
      </c>
      <c r="F3" s="31" t="s">
        <v>25</v>
      </c>
      <c r="G3" s="31" t="s">
        <v>26</v>
      </c>
      <c r="H3" s="31" t="s">
        <v>27</v>
      </c>
      <c r="I3" s="31" t="s">
        <v>28</v>
      </c>
      <c r="J3" s="29"/>
      <c r="K3" s="31" t="s">
        <v>29</v>
      </c>
      <c r="L3" s="32" t="s">
        <v>28</v>
      </c>
    </row>
    <row r="4" spans="1:14" ht="15" x14ac:dyDescent="0.2">
      <c r="B4" s="43"/>
      <c r="C4" s="45"/>
      <c r="D4" s="28" t="s">
        <v>30</v>
      </c>
      <c r="E4" s="33"/>
      <c r="F4" s="33"/>
      <c r="G4" s="33"/>
      <c r="H4" s="33"/>
      <c r="I4" s="33"/>
      <c r="J4" s="30" t="s">
        <v>31</v>
      </c>
      <c r="K4" s="33"/>
      <c r="L4" s="34"/>
      <c r="N4" s="1"/>
    </row>
    <row r="5" spans="1:14" x14ac:dyDescent="0.2">
      <c r="B5" s="2">
        <v>1</v>
      </c>
      <c r="C5" s="11">
        <v>44958</v>
      </c>
      <c r="D5" s="7">
        <v>130</v>
      </c>
      <c r="E5" s="4">
        <v>36600</v>
      </c>
      <c r="F5" s="12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44959</v>
      </c>
      <c r="D6" s="7">
        <v>156</v>
      </c>
      <c r="E6" s="4">
        <v>36717</v>
      </c>
      <c r="F6" s="12">
        <v>231528</v>
      </c>
      <c r="G6" s="8">
        <f t="shared" ref="G6:G12" si="0">F7-F6</f>
        <v>34</v>
      </c>
      <c r="H6" s="4">
        <v>759614</v>
      </c>
      <c r="I6" s="3">
        <f t="shared" ref="I6:I12" si="1">H7-H6</f>
        <v>436</v>
      </c>
      <c r="J6" s="3">
        <v>2970</v>
      </c>
      <c r="K6" s="4">
        <v>367167</v>
      </c>
      <c r="L6" s="9">
        <f t="shared" ref="L6:L12" si="2">K7-K6</f>
        <v>0</v>
      </c>
      <c r="N6" s="1"/>
    </row>
    <row r="7" spans="1:14" x14ac:dyDescent="0.2">
      <c r="B7" s="2">
        <v>3</v>
      </c>
      <c r="C7" s="11">
        <v>44960</v>
      </c>
      <c r="D7" s="7">
        <v>142</v>
      </c>
      <c r="E7" s="4">
        <v>34525</v>
      </c>
      <c r="F7" s="12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9">
        <f t="shared" si="2"/>
        <v>39</v>
      </c>
      <c r="N7" s="1"/>
    </row>
    <row r="8" spans="1:14" x14ac:dyDescent="0.2">
      <c r="B8" s="2">
        <v>4</v>
      </c>
      <c r="C8" s="11">
        <v>44961</v>
      </c>
      <c r="D8" s="7">
        <v>84</v>
      </c>
      <c r="E8" s="4">
        <v>34552</v>
      </c>
      <c r="F8" s="12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9">
        <f t="shared" si="2"/>
        <v>42</v>
      </c>
      <c r="N8" s="1"/>
    </row>
    <row r="9" spans="1:14" ht="12" customHeight="1" x14ac:dyDescent="0.2">
      <c r="B9" s="2">
        <v>5</v>
      </c>
      <c r="C9" s="11">
        <v>44962</v>
      </c>
      <c r="D9" s="7">
        <v>75</v>
      </c>
      <c r="E9" s="4">
        <v>34579</v>
      </c>
      <c r="F9" s="12">
        <v>231618</v>
      </c>
      <c r="G9" s="8">
        <f t="shared" si="0"/>
        <v>29</v>
      </c>
      <c r="H9" s="23">
        <v>760725</v>
      </c>
      <c r="I9" s="3">
        <f t="shared" si="1"/>
        <v>452</v>
      </c>
      <c r="J9" s="3">
        <v>2970</v>
      </c>
      <c r="K9" s="4">
        <v>367248</v>
      </c>
      <c r="L9" s="9">
        <f t="shared" si="2"/>
        <v>0</v>
      </c>
      <c r="N9" s="1"/>
    </row>
    <row r="10" spans="1:14" x14ac:dyDescent="0.2">
      <c r="B10" s="2">
        <v>6</v>
      </c>
      <c r="C10" s="11">
        <v>44963</v>
      </c>
      <c r="D10" s="7">
        <v>98</v>
      </c>
      <c r="E10" s="7">
        <v>34605</v>
      </c>
      <c r="F10" s="35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9">
        <f t="shared" si="2"/>
        <v>33</v>
      </c>
      <c r="N10" s="1"/>
    </row>
    <row r="11" spans="1:14" x14ac:dyDescent="0.2">
      <c r="B11" s="2">
        <v>7</v>
      </c>
      <c r="C11" s="11">
        <v>44964</v>
      </c>
      <c r="D11" s="7">
        <v>112</v>
      </c>
      <c r="E11" s="7">
        <v>34632</v>
      </c>
      <c r="F11" s="35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9">
        <f t="shared" si="2"/>
        <v>34</v>
      </c>
      <c r="N11" s="1"/>
    </row>
    <row r="12" spans="1:14" x14ac:dyDescent="0.2">
      <c r="B12" s="2">
        <v>8</v>
      </c>
      <c r="C12" s="11">
        <v>44965</v>
      </c>
      <c r="D12" s="7">
        <v>129</v>
      </c>
      <c r="E12" s="4">
        <v>34658</v>
      </c>
      <c r="F12" s="35">
        <v>231712</v>
      </c>
      <c r="G12" s="8">
        <f t="shared" si="0"/>
        <v>29</v>
      </c>
      <c r="H12" s="7">
        <v>762060</v>
      </c>
      <c r="I12" s="3">
        <f t="shared" si="1"/>
        <v>428</v>
      </c>
      <c r="J12" s="3">
        <v>2970</v>
      </c>
      <c r="K12" s="4">
        <v>367315</v>
      </c>
      <c r="L12" s="9">
        <f t="shared" si="2"/>
        <v>0</v>
      </c>
      <c r="N12" s="1"/>
    </row>
    <row r="13" spans="1:14" x14ac:dyDescent="0.2">
      <c r="A13" t="s">
        <v>20</v>
      </c>
      <c r="B13" s="2">
        <v>9</v>
      </c>
      <c r="C13" s="11">
        <v>44966</v>
      </c>
      <c r="D13" s="7"/>
      <c r="E13" s="7"/>
      <c r="F13" s="36">
        <v>231741</v>
      </c>
      <c r="G13" s="8"/>
      <c r="H13" s="23">
        <v>762488</v>
      </c>
      <c r="I13" s="3"/>
      <c r="J13" s="3">
        <v>0</v>
      </c>
      <c r="K13" s="4">
        <v>367315</v>
      </c>
      <c r="L13" s="9"/>
      <c r="N13" s="1"/>
    </row>
    <row r="14" spans="1:14" x14ac:dyDescent="0.2">
      <c r="B14" s="2">
        <v>10</v>
      </c>
      <c r="C14" s="11">
        <v>44967</v>
      </c>
      <c r="D14" s="7"/>
      <c r="E14" s="7"/>
      <c r="F14" s="35"/>
      <c r="G14" s="8"/>
      <c r="H14" s="16"/>
      <c r="I14" s="3"/>
      <c r="J14" s="3"/>
      <c r="K14" s="21"/>
      <c r="L14" s="9"/>
      <c r="N14" s="1"/>
    </row>
    <row r="15" spans="1:14" x14ac:dyDescent="0.2">
      <c r="B15" s="2">
        <v>11</v>
      </c>
      <c r="C15" s="11">
        <v>44968</v>
      </c>
      <c r="D15" s="7"/>
      <c r="E15" s="12"/>
      <c r="F15" s="22"/>
      <c r="G15" s="8"/>
      <c r="H15" s="23"/>
      <c r="I15" s="3"/>
      <c r="J15" s="3"/>
      <c r="K15" s="22"/>
      <c r="L15" s="9"/>
      <c r="N15" s="1"/>
    </row>
    <row r="16" spans="1:14" ht="13.5" customHeight="1" x14ac:dyDescent="0.2">
      <c r="B16" s="2">
        <v>12</v>
      </c>
      <c r="C16" s="11">
        <v>44969</v>
      </c>
      <c r="D16" s="7"/>
      <c r="E16" s="12"/>
      <c r="F16" s="22"/>
      <c r="G16" s="8"/>
      <c r="H16" s="23"/>
      <c r="I16" s="3"/>
      <c r="J16" s="3"/>
      <c r="K16" s="22"/>
      <c r="L16" s="9"/>
      <c r="N16" s="1"/>
    </row>
    <row r="17" spans="1:14" x14ac:dyDescent="0.2">
      <c r="B17" s="2">
        <v>13</v>
      </c>
      <c r="C17" s="11">
        <v>44970</v>
      </c>
      <c r="D17" s="7"/>
      <c r="E17" s="12"/>
      <c r="F17" s="21"/>
      <c r="G17" s="8"/>
      <c r="H17" s="7"/>
      <c r="I17" s="3"/>
      <c r="J17" s="3"/>
      <c r="K17" s="22"/>
      <c r="L17" s="9"/>
      <c r="N17" s="1"/>
    </row>
    <row r="18" spans="1:14" ht="13.5" customHeight="1" x14ac:dyDescent="0.2">
      <c r="B18" s="2">
        <v>14</v>
      </c>
      <c r="C18" s="11">
        <v>44971</v>
      </c>
      <c r="D18" s="7"/>
      <c r="E18" s="23"/>
      <c r="F18" s="22"/>
      <c r="G18" s="8"/>
      <c r="H18" s="7"/>
      <c r="I18" s="3"/>
      <c r="J18" s="3"/>
      <c r="K18" s="22"/>
      <c r="L18" s="9"/>
      <c r="N18" s="1"/>
    </row>
    <row r="19" spans="1:14" x14ac:dyDescent="0.2">
      <c r="B19" s="2">
        <v>15</v>
      </c>
      <c r="C19" s="11">
        <v>44972</v>
      </c>
      <c r="D19" s="16"/>
      <c r="E19" s="23"/>
      <c r="F19" s="4"/>
      <c r="G19" s="8"/>
      <c r="H19" s="7"/>
      <c r="I19" s="3"/>
      <c r="J19" s="26"/>
      <c r="K19" s="22"/>
      <c r="L19" s="9"/>
      <c r="N19" s="1"/>
    </row>
    <row r="20" spans="1:14" x14ac:dyDescent="0.2">
      <c r="A20" t="s">
        <v>20</v>
      </c>
      <c r="B20" s="2">
        <v>16</v>
      </c>
      <c r="C20" s="11">
        <v>44973</v>
      </c>
      <c r="D20" s="7"/>
      <c r="E20" s="23"/>
      <c r="F20" s="4"/>
      <c r="G20" s="8"/>
      <c r="H20" s="23"/>
      <c r="I20" s="3"/>
      <c r="J20" s="26"/>
      <c r="K20" s="22"/>
      <c r="L20" s="9"/>
      <c r="N20" s="1"/>
    </row>
    <row r="21" spans="1:14" x14ac:dyDescent="0.2">
      <c r="B21" s="2">
        <v>17</v>
      </c>
      <c r="C21" s="11">
        <v>44974</v>
      </c>
      <c r="D21" s="7"/>
      <c r="E21" s="7"/>
      <c r="F21" s="22"/>
      <c r="G21" s="8"/>
      <c r="H21" s="24"/>
      <c r="I21" s="3"/>
      <c r="J21" s="20"/>
      <c r="K21" s="22"/>
      <c r="L21" s="9"/>
      <c r="N21" s="1"/>
    </row>
    <row r="22" spans="1:14" x14ac:dyDescent="0.2">
      <c r="B22" s="2">
        <v>18</v>
      </c>
      <c r="C22" s="11">
        <v>44975</v>
      </c>
      <c r="D22" s="7"/>
      <c r="E22" s="7"/>
      <c r="F22" s="4"/>
      <c r="G22" s="8"/>
      <c r="H22" s="25"/>
      <c r="I22" s="3"/>
      <c r="J22" s="20"/>
      <c r="K22" s="22"/>
      <c r="L22" s="9"/>
      <c r="N22" s="1"/>
    </row>
    <row r="23" spans="1:14" x14ac:dyDescent="0.2">
      <c r="B23" s="2">
        <v>19</v>
      </c>
      <c r="C23" s="11">
        <v>44976</v>
      </c>
      <c r="D23" s="7"/>
      <c r="E23" s="23"/>
      <c r="F23" s="4"/>
      <c r="G23" s="8"/>
      <c r="H23" s="4"/>
      <c r="I23" s="3"/>
      <c r="J23" s="20"/>
      <c r="K23" s="22"/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20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7"/>
      <c r="F36" s="38"/>
      <c r="G36" s="37"/>
      <c r="H36" s="39"/>
      <c r="I36" s="37"/>
      <c r="J36" s="40"/>
      <c r="K36" s="22"/>
      <c r="L36" s="37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2023-02-09T05:31:55Z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