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30" i="4" l="1"/>
  <c r="I30" i="4"/>
  <c r="BC31" i="5"/>
  <c r="BC30" i="5"/>
  <c r="AY30" i="5"/>
  <c r="AY31" i="5" s="1"/>
  <c r="AO30" i="5"/>
  <c r="AO31" i="5" s="1"/>
  <c r="AM30" i="5"/>
  <c r="AM31" i="5" s="1"/>
  <c r="AI30" i="5"/>
  <c r="AI31" i="5" s="1"/>
  <c r="AE30" i="5"/>
  <c r="AE31" i="5" s="1"/>
  <c r="AC30" i="5"/>
  <c r="AC31" i="5" s="1"/>
  <c r="Y30" i="5"/>
  <c r="Y31" i="5" s="1"/>
  <c r="W30" i="5"/>
  <c r="W31" i="5" s="1"/>
  <c r="U30" i="5"/>
  <c r="U31" i="5" s="1"/>
  <c r="S30" i="5"/>
  <c r="S31" i="5" s="1"/>
  <c r="Q30" i="5"/>
  <c r="Q31" i="5" s="1"/>
  <c r="O30" i="5"/>
  <c r="O31" i="5" s="1"/>
  <c r="M30" i="5"/>
  <c r="M31" i="5" s="1"/>
  <c r="K30" i="5"/>
  <c r="K31" i="5" s="1"/>
  <c r="I30" i="5"/>
  <c r="I31" i="5" s="1"/>
  <c r="G30" i="5"/>
  <c r="G31" i="5" s="1"/>
  <c r="C31" i="5"/>
  <c r="C30" i="5"/>
  <c r="O21" i="4" l="1"/>
  <c r="E21" i="4"/>
  <c r="C21" i="4"/>
  <c r="AJ14" i="5" l="1"/>
  <c r="S20" i="5"/>
  <c r="AC17" i="5"/>
  <c r="AE17" i="5"/>
  <c r="AG17" i="5"/>
  <c r="AI17" i="5"/>
  <c r="AK17" i="5"/>
  <c r="AM17" i="5"/>
  <c r="AO17" i="5"/>
  <c r="AQ17" i="5"/>
  <c r="AY17" i="5"/>
  <c r="BC17" i="5"/>
  <c r="BC10" i="5"/>
  <c r="BC11" i="5" s="1"/>
  <c r="AQ10" i="5"/>
  <c r="AQ11" i="5" s="1"/>
  <c r="AO10" i="5"/>
  <c r="AO11" i="5" s="1"/>
  <c r="AM10" i="5"/>
  <c r="AM11" i="5" s="1"/>
  <c r="AK10" i="5"/>
  <c r="AK11" i="5" s="1"/>
  <c r="AI10" i="5"/>
  <c r="AI11" i="5" s="1"/>
  <c r="AG10" i="5"/>
  <c r="AG11" i="5" s="1"/>
  <c r="AE10" i="5"/>
  <c r="AE11" i="5" s="1"/>
  <c r="AC10" i="5"/>
  <c r="AC11" i="5" s="1"/>
  <c r="AA10" i="5"/>
  <c r="AA11" i="5" s="1"/>
  <c r="Y10" i="5"/>
  <c r="Y11" i="5" s="1"/>
  <c r="W10" i="5"/>
  <c r="W11" i="5" s="1"/>
  <c r="U10" i="5"/>
  <c r="U11" i="5" s="1"/>
  <c r="S10" i="5"/>
  <c r="S11" i="5" s="1"/>
  <c r="Q10" i="5"/>
  <c r="Q11" i="5" s="1"/>
  <c r="O10" i="5"/>
  <c r="O11" i="5" s="1"/>
  <c r="M10" i="5"/>
  <c r="M11" i="5" s="1"/>
  <c r="K10" i="5"/>
  <c r="K11" i="5" s="1"/>
  <c r="I10" i="5"/>
  <c r="I11" i="5" s="1"/>
  <c r="G11" i="5"/>
  <c r="G10" i="5"/>
  <c r="C17" i="5"/>
  <c r="E39" i="5"/>
  <c r="E21" i="5"/>
  <c r="E20" i="5"/>
  <c r="E19" i="5"/>
  <c r="E14" i="5"/>
  <c r="E13" i="5"/>
  <c r="D8" i="3" l="1"/>
  <c r="F8" i="3"/>
  <c r="H8" i="3"/>
  <c r="I8" i="3"/>
  <c r="K8" i="3"/>
  <c r="M8" i="3"/>
  <c r="O8" i="3"/>
  <c r="P8" i="3"/>
  <c r="R8" i="3"/>
  <c r="S8" i="3" s="1"/>
  <c r="U8" i="3"/>
  <c r="V8" i="3"/>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c r="U10" i="3"/>
  <c r="V10" i="3" s="1"/>
  <c r="X10" i="3"/>
  <c r="Y10" i="3" s="1"/>
  <c r="AA10" i="3"/>
  <c r="AC10" i="3"/>
  <c r="AE10" i="3"/>
  <c r="AG10" i="3"/>
  <c r="AI10" i="3"/>
  <c r="D11" i="3"/>
  <c r="F11" i="3"/>
  <c r="H11" i="3"/>
  <c r="I11" i="3" s="1"/>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c r="K14" i="3"/>
  <c r="M14" i="3"/>
  <c r="O14" i="3"/>
  <c r="P14" i="3"/>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c r="K18" i="3"/>
  <c r="M18" i="3"/>
  <c r="O18" i="3"/>
  <c r="P18" i="3"/>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c r="U20" i="3"/>
  <c r="V20" i="3"/>
  <c r="X20" i="3"/>
  <c r="Y20" i="3"/>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c r="K24" i="3"/>
  <c r="M24" i="3"/>
  <c r="O24" i="3"/>
  <c r="P24" i="3"/>
  <c r="R24" i="3"/>
  <c r="S24" i="3" s="1"/>
  <c r="U24" i="3"/>
  <c r="V24" i="3" s="1"/>
  <c r="X24" i="3"/>
  <c r="Y24" i="3"/>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c r="K30" i="3"/>
  <c r="M30" i="3"/>
  <c r="O30" i="3"/>
  <c r="P30" i="3"/>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c r="R32" i="3"/>
  <c r="S32" i="3"/>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c r="K36" i="3"/>
  <c r="M36" i="3"/>
  <c r="O36" i="3"/>
  <c r="P36" i="3" s="1"/>
  <c r="R36" i="3"/>
  <c r="S36" i="3"/>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F37" i="5"/>
  <c r="BD38" i="5"/>
  <c r="BD37" i="5"/>
  <c r="BB38" i="5"/>
  <c r="BB37" i="5"/>
  <c r="AZ38" i="5"/>
  <c r="AZ37" i="5"/>
  <c r="AX38" i="5"/>
  <c r="AX37" i="5"/>
  <c r="AV38" i="5"/>
  <c r="AV37" i="5"/>
  <c r="AT38" i="5"/>
  <c r="AT37" i="5"/>
  <c r="AP38" i="5"/>
  <c r="AP37" i="5"/>
  <c r="AR38" i="5"/>
  <c r="AR37" i="5"/>
  <c r="AN38" i="5"/>
  <c r="AN37" i="5"/>
  <c r="AL38" i="5"/>
  <c r="AL37" i="5"/>
  <c r="AJ38" i="5"/>
  <c r="AJ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P36" i="4"/>
  <c r="P35" i="4"/>
  <c r="N36" i="4"/>
  <c r="S36" i="4" s="1"/>
  <c r="M36" i="4"/>
  <c r="L36" i="4"/>
  <c r="L35" i="4"/>
  <c r="N35" i="4" s="1"/>
  <c r="S35" i="4" s="1"/>
  <c r="J36" i="4"/>
  <c r="J35" i="4"/>
  <c r="H36" i="4"/>
  <c r="H35" i="4"/>
  <c r="F36" i="4"/>
  <c r="F35" i="4"/>
  <c r="D36" i="4"/>
  <c r="D35" i="4"/>
  <c r="R35" i="4" l="1"/>
  <c r="R36" i="4"/>
  <c r="BH37" i="5"/>
  <c r="F37" i="5"/>
  <c r="BI37" i="5" s="1"/>
  <c r="BH38" i="5"/>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BA20" i="5" l="1"/>
  <c r="BA21" i="5" s="1"/>
  <c r="BA19" i="5"/>
  <c r="H31" i="8" l="1"/>
  <c r="I31" i="8"/>
  <c r="H32" i="8"/>
  <c r="I32" i="8"/>
  <c r="H33" i="8"/>
  <c r="I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M33" i="8" s="1"/>
  <c r="G32" i="10" s="1"/>
  <c r="L33" i="8"/>
  <c r="J33" i="8"/>
  <c r="I32" i="10" s="1"/>
  <c r="N3" i="8"/>
  <c r="K2" i="10" s="1"/>
  <c r="G32" i="8" l="1"/>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D20" i="5"/>
  <c r="D19" i="5"/>
  <c r="D18" i="5"/>
  <c r="E18" i="5" s="1"/>
  <c r="D17" i="5"/>
  <c r="E17" i="5" s="1"/>
  <c r="D16" i="5"/>
  <c r="E16" i="5" s="1"/>
  <c r="D15" i="5"/>
  <c r="E15" i="5" s="1"/>
  <c r="D14" i="5"/>
  <c r="D13" i="5"/>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I22" i="5" s="1"/>
  <c r="BH22" i="5"/>
  <c r="F30" i="5"/>
  <c r="BI30" i="5" s="1"/>
  <c r="BH30" i="5"/>
  <c r="M21" i="4"/>
  <c r="F11" i="5"/>
  <c r="BH11" i="5"/>
  <c r="F15" i="5"/>
  <c r="BI15" i="5" s="1"/>
  <c r="BH15" i="5"/>
  <c r="F19" i="5"/>
  <c r="BH19" i="5"/>
  <c r="F23" i="5"/>
  <c r="BI23" i="5" s="1"/>
  <c r="F27" i="5"/>
  <c r="BI27" i="5" s="1"/>
  <c r="BH27" i="5"/>
  <c r="F31" i="5"/>
  <c r="BI31" i="5" s="1"/>
  <c r="BH31" i="5"/>
  <c r="F35" i="5"/>
  <c r="BH35" i="5"/>
  <c r="F10" i="5"/>
  <c r="F18" i="5"/>
  <c r="BI18" i="5" s="1"/>
  <c r="BH18" i="5"/>
  <c r="F26" i="5"/>
  <c r="BI26" i="5" s="1"/>
  <c r="BH26" i="5"/>
  <c r="F34" i="5"/>
  <c r="M15" i="4"/>
  <c r="N17" i="4"/>
  <c r="S17" i="4" s="1"/>
  <c r="I13" i="8" s="1"/>
  <c r="BH12" i="5"/>
  <c r="F12" i="5"/>
  <c r="BH16" i="5"/>
  <c r="F16" i="5"/>
  <c r="BI16" i="5" s="1"/>
  <c r="BH20" i="5"/>
  <c r="F20" i="5"/>
  <c r="BI20" i="5" s="1"/>
  <c r="BH24" i="5"/>
  <c r="F24" i="5"/>
  <c r="BI24" i="5" s="1"/>
  <c r="BH28" i="5"/>
  <c r="F28" i="5"/>
  <c r="BI28" i="5" s="1"/>
  <c r="BH32" i="5"/>
  <c r="F32" i="5"/>
  <c r="BI32" i="5" s="1"/>
  <c r="BH36" i="5"/>
  <c r="F36" i="5"/>
  <c r="R15" i="4"/>
  <c r="H11" i="8" s="1"/>
  <c r="BH13" i="5"/>
  <c r="F13" i="5"/>
  <c r="BI13" i="5" s="1"/>
  <c r="BH17" i="5"/>
  <c r="F17" i="5"/>
  <c r="BI17" i="5" s="1"/>
  <c r="BH21" i="5"/>
  <c r="F21" i="5"/>
  <c r="BI21" i="5" s="1"/>
  <c r="BH25" i="5"/>
  <c r="F25" i="5"/>
  <c r="BI25" i="5" s="1"/>
  <c r="BH29" i="5"/>
  <c r="F29" i="5"/>
  <c r="BI29" i="5" s="1"/>
  <c r="BH33" i="5"/>
  <c r="F33" i="5"/>
  <c r="J30" i="1"/>
  <c r="M8" i="4"/>
  <c r="N32" i="4"/>
  <c r="S32" i="4" s="1"/>
  <c r="I28" i="8" s="1"/>
  <c r="R34" i="4"/>
  <c r="H30" i="8" s="1"/>
  <c r="R20" i="4"/>
  <c r="H16" i="8" s="1"/>
  <c r="S8" i="4"/>
  <c r="I4" i="8" s="1"/>
  <c r="M23" i="4"/>
  <c r="M28" i="4"/>
  <c r="N31" i="4"/>
  <c r="S31" i="4" s="1"/>
  <c r="I27" i="8" s="1"/>
  <c r="N24" i="4"/>
  <c r="S24" i="4" s="1"/>
  <c r="I20" i="8" s="1"/>
  <c r="M27" i="4"/>
  <c r="R12" i="4"/>
  <c r="H8" i="8" s="1"/>
  <c r="BH10"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BI19" i="5"/>
  <c r="S27" i="4"/>
  <c r="I23" i="8" s="1"/>
  <c r="N26" i="4"/>
  <c r="S26" i="4" s="1"/>
  <c r="I22" i="8" s="1"/>
  <c r="R25" i="4"/>
  <c r="H21" i="8" s="1"/>
  <c r="R26" i="4"/>
  <c r="H22" i="8" s="1"/>
  <c r="S11" i="4"/>
  <c r="I7" i="8" s="1"/>
  <c r="G31" i="1"/>
  <c r="H31" i="1" s="1"/>
  <c r="G30" i="1"/>
  <c r="H30" i="1" s="1"/>
  <c r="G31" i="6"/>
  <c r="BH23" i="5"/>
  <c r="BH9" i="5"/>
  <c r="F9" i="5"/>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24" i="6"/>
  <c r="L25" i="8"/>
  <c r="G16" i="6"/>
  <c r="L17"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L30" i="8"/>
  <c r="M30" i="8" s="1"/>
  <c r="G29" i="10" s="1"/>
  <c r="G28" i="6"/>
  <c r="L29" i="8"/>
  <c r="M29" i="8" s="1"/>
  <c r="G28" i="10" s="1"/>
  <c r="AY10" i="5"/>
  <c r="AY11" i="5" s="1"/>
  <c r="AZ9" i="5"/>
  <c r="BI9" i="5" s="1"/>
  <c r="L3" i="8" l="1"/>
  <c r="M3" i="8" s="1"/>
  <c r="G2" i="10" s="1"/>
  <c r="G2" i="6"/>
  <c r="AZ12" i="5"/>
  <c r="BI12" i="5" s="1"/>
  <c r="AZ11" i="5"/>
  <c r="BI11" i="5" s="1"/>
  <c r="AZ10" i="5"/>
  <c r="BI10" i="5" s="1"/>
  <c r="G4" i="6" l="1"/>
  <c r="L5" i="8"/>
  <c r="M5" i="8" s="1"/>
  <c r="G4" i="10" s="1"/>
  <c r="G5" i="6"/>
  <c r="L6" i="8"/>
  <c r="M6" i="8" s="1"/>
  <c r="G5" i="10" s="1"/>
  <c r="L4" i="8"/>
  <c r="M4" i="8" s="1"/>
  <c r="G3" i="10" s="1"/>
  <c r="G3" i="6"/>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<sst xmlns="http://schemas.openxmlformats.org/spreadsheetml/2006/main" count="1420" uniqueCount="404">
  <si>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</si>
  <si>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</si>
  <si>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</si>
  <si>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</si>
  <si>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</si>
  <si>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</si>
  <si>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</si>
  <si>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</si>
  <si>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</si>
  <si>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</si>
  <si>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</si>
  <si>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</si>
  <si>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</si>
  <si>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</si>
  <si>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</si>
  <si>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</si>
  <si>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</si>
  <si>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</si>
  <si>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</si>
  <si>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</si>
  <si>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</si>
  <si>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</si>
  <si>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</si>
  <si>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</si>
  <si>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</si>
  <si>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</si>
  <si>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</si>
  <si>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</si>
  <si>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</si>
  <si>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</si>
  <si>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</si>
  <si>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</si>
  <si>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</si>
  <si>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</si>
  <si>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</si>
  <si>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</si>
  <si>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</si>
  <si>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</si>
  <si>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</si>
  <si>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</si>
  <si>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</si>
  <si>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</si>
  <si>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</si>
  <si>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</si>
  <si>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</si>
  <si>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</si>
  <si>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</si>
  <si>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</si>
  <si>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</si>
  <si>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</si>
  <si>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</si>
  <si>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</si>
  <si>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</si>
  <si>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</si>
  <si>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</si>
  <si>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</si>
  <si>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</si>
  <si>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</si>
  <si>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</si>
  <si>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</si>
  <si>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</si>
  <si>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</si>
  <si>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</si>
  <si>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</si>
  <si>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</si>
  <si>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</si>
  <si>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</si>
  <si>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</si>
  <si>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</si>
  <si>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</si>
  <si>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</si>
  <si>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</si>
  <si>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</si>
  <si>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</si>
  <si>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</si>
  <si>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</si>
  <si>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</si>
  <si>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</si>
  <si>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</si>
  <si>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</si>
  <si>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</si>
  <si>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</si>
  <si>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</si>
  <si>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</si>
  <si>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</si>
  <si>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</si>
  <si>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</si>
  <si>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</si>
  <si>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</si>
  <si>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</si>
  <si>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</si>
  <si>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</si>
  <si>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</si>
  <si>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</si>
  <si>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</si>
  <si>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</si>
  <si>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</si>
  <si>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</si>
  <si>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</si>
  <si>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</si>
  <si>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</si>
  <si>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</si>
  <si>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</si>
  <si>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</si>
  <si>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</si>
  <si>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</si>
  <si>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</si>
  <si>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</si>
  <si>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</si>
  <si>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</si>
  <si>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</si>
  <si>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</si>
  <si>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</si>
  <si>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</si>
  <si>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</si>
  <si>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</si>
  <si>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</si>
  <si>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</si>
  <si>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</si>
  <si>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</si>
  <si>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</si>
  <si>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</si>
  <si>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</si>
  <si>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</si>
  <si>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</si>
  <si>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</si>
  <si>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</si>
  <si>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</si>
  <si>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</si>
  <si>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</si>
  <si>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</si>
  <si>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</si>
  <si>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</si>
  <si>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</si>
  <si>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</si>
  <si>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</si>
  <si>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</si>
  <si>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</si>
  <si>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</si>
  <si>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</si>
  <si>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</si>
  <si>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</si>
  <si>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</si>
  <si>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</si>
  <si>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</si>
  <si>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</si>
  <si>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</si>
  <si>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</si>
  <si>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</si>
  <si>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</si>
  <si>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</si>
  <si>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</si>
  <si>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</si>
  <si>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</si>
  <si>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</si>
  <si>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</si>
  <si>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</si>
  <si>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</si>
  <si>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</si>
  <si>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</si>
  <si>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</si>
  <si>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</si>
  <si>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</si>
  <si>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</si>
  <si>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</si>
  <si>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</si>
  <si>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</si>
  <si>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</si>
  <si>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</si>
  <si>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</si>
  <si>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</si>
  <si>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</si>
  <si>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</si>
  <si>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</si>
  <si>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</si>
  <si>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</si>
  <si>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</si>
  <si>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</si>
  <si>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</si>
  <si>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</si>
  <si>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</si>
  <si>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</si>
  <si>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</si>
  <si>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</si>
  <si>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</si>
  <si>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</si>
  <si>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</si>
  <si>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</si>
  <si>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</si>
  <si>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</si>
  <si>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</si>
  <si>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</si>
  <si>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</si>
  <si>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</si>
  <si>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</si>
  <si>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</si>
  <si>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</si>
  <si>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</si>
  <si>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</si>
  <si>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</si>
  <si>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</si>
  <si>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</si>
  <si>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</si>
  <si>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</si>
  <si>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</si>
  <si>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</si>
  <si>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</si>
  <si>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</si>
  <si>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</si>
  <si>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</si>
  <si>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</si>
  <si>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</si>
  <si>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</si>
  <si>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</si>
  <si>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</si>
  <si>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</si>
  <si>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</si>
  <si>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</si>
  <si>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</si>
  <si>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</si>
  <si>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</si>
  <si>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</si>
  <si>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</si>
  <si>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</si>
  <si>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</si>
  <si>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</si>
  <si>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</si>
  <si>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</si>
  <si>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</si>
  <si>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</si>
  <si>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</si>
  <si>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</si>
  <si>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</si>
  <si>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</si>
  <si>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</si>
  <si>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</si>
  <si>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</si>
  <si>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</si>
  <si>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</si>
  <si>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</si>
  <si>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</si>
  <si>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</si>
  <si>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</si>
  <si>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</si>
  <si>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</si>
  <si>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</si>
  <si>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</si>
  <si>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</si>
  <si>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</si>
  <si>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</si>
  <si>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</si>
  <si>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</si>
  <si>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</si>
  <si>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</si>
  <si>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</si>
  <si>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</si>
  <si>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</si>
  <si>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</si>
  <si>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</si>
  <si>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</si>
  <si>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</si>
  <si>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</si>
  <si>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</si>
  <si>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</si>
  <si>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</si>
  <si>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</si>
  <si>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</si>
  <si>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</si>
  <si>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</si>
  <si>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</si>
  <si>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</si>
  <si>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</si>
  <si>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</si>
  <si>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</si>
  <si>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</si>
  <si>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</si>
  <si>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</si>
  <si>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</si>
  <si>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</si>
  <si>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</si>
  <si>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</si>
  <si>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</si>
  <si>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</si>
  <si>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</si>
  <si>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</si>
  <si>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</si>
  <si>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</si>
  <si>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</si>
  <si>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</si>
  <si>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</si>
  <si>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</si>
  <si>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</si>
  <si>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</si>
  <si>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</si>
  <si>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</si>
  <si>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</si>
  <si>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</si>
  <si>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</si>
  <si>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</si>
  <si>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</si>
  <si>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</si>
  <si>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</si>
  <si>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</si>
  <si>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</si>
  <si>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</si>
  <si>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</si>
  <si>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</si>
  <si>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</si>
  <si>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</si>
  <si>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</si>
  <si>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</si>
  <si>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</si>
  <si>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</si>
  <si>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</si>
  <si>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</si>
  <si>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</si>
  <si>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</si>
  <si>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</si>
  <si>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</si>
  <si>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</si>
  <si>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</si>
  <si>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</si>
  <si>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</si>
  <si>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</si>
  <si>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</si>
  <si>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</si>
  <si>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</si>
  <si>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</si>
  <si>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</si>
  <si>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</si>
  <si>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</si>
  <si>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</si>
  <si>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</si>
  <si>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</si>
  <si>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</si>
  <si>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</si>
  <si>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</si>
  <si>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</si>
  <si>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</si>
  <si>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</si>
  <si>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</si>
  <si>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</si>
  <si>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</si>
  <si>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</si>
  <si>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</si>
  <si>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</si>
  <si>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</si>
  <si>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</si>
  <si>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</si>
  <si>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</si>
  <si>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</si>
  <si>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</si>
  <si>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</si>
  <si>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</si>
  <si>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</si>
  <si>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</si>
  <si>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</si>
  <si>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</si>
  <si>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</si>
  <si>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</si>
  <si>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</si>
  <si>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</si>
  <si>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</si>
  <si>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</si>
  <si>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</si>
  <si>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</si>
  <si>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</si>
  <si>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</si>
  <si>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</si>
  <si>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</si>
  <si>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</si>
  <si>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</si>
  <si>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</si>
  <si>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</si>
  <si>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</si>
  <si>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</si>
  <si>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</si>
  <si>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</si>
  <si>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</si>
  <si>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</si>
  <si>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</si>
  <si>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</si>
  <si>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</si>
  <si>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</si>
  <si>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</si>
  <si>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</si>
  <si>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</si>
  <si>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</si>
  <si>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</si>
  <si>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</si>
  <si>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</si>
  <si>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</si>
  <si>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</si>
  <si>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</si>
  <si>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</si>
  <si>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</si>
  <si>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</si>
  <si>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</si>
  <si>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</si>
  <si>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</si>
  <si>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</si>
  <si>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</si>
  <si>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</si>
  <si>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May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</si>
</sst>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0">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O20" sqref="O20"/>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7" t="s">
        <v>3</v>
      </c>
      <c r="B1" s="187" t="s">
        <v>4</v>
      </c>
      <c r="C1" s="188" t="s">
        <v>5</v>
      </c>
      <c r="D1" s="187" t="s">
        <v>64</v>
      </c>
      <c r="E1" s="189" t="s">
        <v>395</v>
      </c>
      <c r="F1" s="190" t="s">
        <v>396</v>
      </c>
      <c r="G1" s="189" t="s">
        <v>402</v>
      </c>
      <c r="H1" s="190" t="s">
        <v>397</v>
      </c>
      <c r="I1" s="189" t="s">
        <v>398</v>
      </c>
      <c r="J1" s="191" t="s">
        <v>399</v>
      </c>
      <c r="K1" s="189" t="s">
        <v>400</v>
      </c>
      <c r="L1" s="189" t="s">
        <v>63</v>
      </c>
    </row>
    <row r="2" spans="1:12">
      <c r="A2" s="192" t="s">
        <v>401</v>
      </c>
      <c r="B2" s="193">
        <v>1</v>
      </c>
      <c r="C2" s="194">
        <v>5</v>
      </c>
      <c r="D2" s="193">
        <v>2021</v>
      </c>
      <c r="E2" s="123">
        <f>Combine!G3</f>
        <v>49888</v>
      </c>
      <c r="F2" s="195">
        <v>1.28</v>
      </c>
      <c r="G2" s="123">
        <f>Combine!M3</f>
        <v>11311.336130536127</v>
      </c>
      <c r="H2" s="196">
        <v>8.7759999999999998</v>
      </c>
      <c r="I2" s="123">
        <f>Combine!J3</f>
        <v>826.90210000000025</v>
      </c>
      <c r="J2" s="195">
        <v>8.1300000000000008</v>
      </c>
      <c r="K2" s="123">
        <f>Combine!N3</f>
        <v>420</v>
      </c>
      <c r="L2" s="123">
        <f>Combine!O3</f>
        <v>1023</v>
      </c>
    </row>
    <row r="3" spans="1:12">
      <c r="A3" s="192" t="s">
        <v>401</v>
      </c>
      <c r="B3" s="193">
        <v>2</v>
      </c>
      <c r="C3" s="194">
        <v>5</v>
      </c>
      <c r="D3" s="193">
        <v>2021</v>
      </c>
      <c r="E3" s="123">
        <f>Combine!G4</f>
        <v>50802</v>
      </c>
      <c r="F3" s="195">
        <v>1.28</v>
      </c>
      <c r="G3" s="123">
        <f>Combine!M4</f>
        <v>4722.1432789432565</v>
      </c>
      <c r="H3" s="196">
        <v>8.7759999999999998</v>
      </c>
      <c r="I3" s="123">
        <f>Combine!J4</f>
        <v>678</v>
      </c>
      <c r="J3" s="195">
        <v>8.1300000000000008</v>
      </c>
      <c r="K3" s="123">
        <f>Combine!N4</f>
        <v>337</v>
      </c>
      <c r="L3" s="123">
        <f>Combine!O4</f>
        <v>791</v>
      </c>
    </row>
    <row r="4" spans="1:12">
      <c r="A4" s="192" t="s">
        <v>401</v>
      </c>
      <c r="B4" s="193">
        <v>3</v>
      </c>
      <c r="C4" s="194">
        <v>5</v>
      </c>
      <c r="D4" s="193">
        <v>2021</v>
      </c>
      <c r="E4" s="123">
        <f>Combine!G5</f>
        <v>47147</v>
      </c>
      <c r="F4" s="195">
        <v>1.28</v>
      </c>
      <c r="G4" s="123">
        <f>Combine!M5</f>
        <v>4461.0710178709951</v>
      </c>
      <c r="H4" s="196">
        <v>8.7759999999999998</v>
      </c>
      <c r="I4" s="123">
        <f>Combine!J5</f>
        <v>564.04999999999995</v>
      </c>
      <c r="J4" s="195">
        <v>8.1300000000000008</v>
      </c>
      <c r="K4" s="123">
        <f>Combine!N5</f>
        <v>322</v>
      </c>
      <c r="L4" s="123">
        <f>Combine!O5</f>
        <v>756</v>
      </c>
    </row>
    <row r="5" spans="1:12">
      <c r="A5" s="192" t="s">
        <v>401</v>
      </c>
      <c r="B5" s="193">
        <v>4</v>
      </c>
      <c r="C5" s="194">
        <v>5</v>
      </c>
      <c r="D5" s="193">
        <v>2021</v>
      </c>
      <c r="E5" s="123">
        <f>Combine!G6</f>
        <v>46463</v>
      </c>
      <c r="F5" s="195">
        <v>1.28</v>
      </c>
      <c r="G5" s="123">
        <f>Combine!M6</f>
        <v>4263.4020202020702</v>
      </c>
      <c r="H5" s="196">
        <v>8.7759999999999998</v>
      </c>
      <c r="I5" s="123">
        <f>Combine!J6</f>
        <v>703.25</v>
      </c>
      <c r="J5" s="195">
        <v>8.1300000000000008</v>
      </c>
      <c r="K5" s="123">
        <f>Combine!N6</f>
        <v>320</v>
      </c>
      <c r="L5" s="123">
        <f>Combine!O6</f>
        <v>747</v>
      </c>
    </row>
    <row r="6" spans="1:12">
      <c r="A6" s="192" t="s">
        <v>401</v>
      </c>
      <c r="B6" s="193">
        <v>5</v>
      </c>
      <c r="C6" s="194">
        <v>5</v>
      </c>
      <c r="D6" s="193">
        <v>2021</v>
      </c>
      <c r="E6" s="123">
        <f>Combine!G7</f>
        <v>50105</v>
      </c>
      <c r="F6" s="195">
        <v>1.28</v>
      </c>
      <c r="G6" s="123">
        <f>Combine!M7</f>
        <v>4299.5095571095453</v>
      </c>
      <c r="H6" s="196">
        <v>8.7759999999999998</v>
      </c>
      <c r="I6" s="123">
        <f>Combine!J7</f>
        <v>516.20000000000005</v>
      </c>
      <c r="J6" s="195">
        <v>8.1300000000000008</v>
      </c>
      <c r="K6" s="123">
        <f>Combine!N7</f>
        <v>315</v>
      </c>
      <c r="L6" s="123">
        <f>Combine!O7</f>
        <v>731</v>
      </c>
    </row>
    <row r="7" spans="1:12">
      <c r="A7" s="192" t="s">
        <v>401</v>
      </c>
      <c r="B7" s="193">
        <v>6</v>
      </c>
      <c r="C7" s="194">
        <v>5</v>
      </c>
      <c r="D7" s="193">
        <v>2021</v>
      </c>
      <c r="E7" s="123">
        <f>Combine!G8</f>
        <v>47957</v>
      </c>
      <c r="F7" s="195">
        <v>1.28</v>
      </c>
      <c r="G7" s="123">
        <f>Combine!M8</f>
        <v>4324.7403263403303</v>
      </c>
      <c r="H7" s="196">
        <v>8.7759999999999998</v>
      </c>
      <c r="I7" s="123">
        <f>Combine!J8</f>
        <v>527.20000000000005</v>
      </c>
      <c r="J7" s="195">
        <v>8.1300000000000008</v>
      </c>
      <c r="K7" s="123">
        <f>Combine!N8</f>
        <v>317</v>
      </c>
      <c r="L7" s="123">
        <f>Combine!O8</f>
        <v>739</v>
      </c>
    </row>
    <row r="8" spans="1:12">
      <c r="A8" s="192" t="s">
        <v>401</v>
      </c>
      <c r="B8" s="193">
        <v>7</v>
      </c>
      <c r="C8" s="194">
        <v>5</v>
      </c>
      <c r="D8" s="193">
        <v>2021</v>
      </c>
      <c r="E8" s="123">
        <f>Combine!G9</f>
        <v>48818</v>
      </c>
      <c r="F8" s="195">
        <v>1.28</v>
      </c>
      <c r="G8" s="123">
        <f>Combine!M9</f>
        <v>4276.2082362082401</v>
      </c>
      <c r="H8" s="196">
        <v>8.7759999999999998</v>
      </c>
      <c r="I8" s="123">
        <f>Combine!J9</f>
        <v>502.4</v>
      </c>
      <c r="J8" s="195">
        <v>8.1300000000000008</v>
      </c>
      <c r="K8" s="123">
        <f>Combine!N9</f>
        <v>336</v>
      </c>
      <c r="L8" s="123">
        <f>Combine!O9</f>
        <v>797</v>
      </c>
    </row>
    <row r="9" spans="1:12">
      <c r="A9" s="192" t="s">
        <v>401</v>
      </c>
      <c r="B9" s="193">
        <v>8</v>
      </c>
      <c r="C9" s="194">
        <v>5</v>
      </c>
      <c r="D9" s="193">
        <v>2021</v>
      </c>
      <c r="E9" s="123">
        <f>Combine!G10</f>
        <v>52260</v>
      </c>
      <c r="F9" s="195">
        <v>1.28</v>
      </c>
      <c r="G9" s="123">
        <f>Combine!M10</f>
        <v>4231.8160062160114</v>
      </c>
      <c r="H9" s="196">
        <v>8.7759999999999998</v>
      </c>
      <c r="I9" s="123">
        <f>Combine!J10</f>
        <v>519.15</v>
      </c>
      <c r="J9" s="195">
        <v>8.1300000000000008</v>
      </c>
      <c r="K9" s="123">
        <f>Combine!N10</f>
        <v>420</v>
      </c>
      <c r="L9" s="123">
        <f>Combine!O10</f>
        <v>1009</v>
      </c>
    </row>
    <row r="10" spans="1:12">
      <c r="A10" s="192" t="s">
        <v>401</v>
      </c>
      <c r="B10" s="193">
        <v>9</v>
      </c>
      <c r="C10" s="194">
        <v>5</v>
      </c>
      <c r="D10" s="193">
        <v>2021</v>
      </c>
      <c r="E10" s="123">
        <f>Combine!G11</f>
        <v>50422</v>
      </c>
      <c r="F10" s="195">
        <v>1.28</v>
      </c>
      <c r="G10" s="123">
        <f>Combine!M11</f>
        <v>4439.2317016317029</v>
      </c>
      <c r="H10" s="196">
        <v>8.7759999999999998</v>
      </c>
      <c r="I10" s="123">
        <f>Combine!J11</f>
        <v>656.4</v>
      </c>
      <c r="J10" s="195">
        <v>8.1300000000000008</v>
      </c>
      <c r="K10" s="123">
        <f>Combine!N11</f>
        <v>330</v>
      </c>
      <c r="L10" s="123">
        <f>Combine!O11</f>
        <v>772</v>
      </c>
    </row>
    <row r="11" spans="1:12">
      <c r="A11" s="192" t="s">
        <v>401</v>
      </c>
      <c r="B11" s="193">
        <v>10</v>
      </c>
      <c r="C11" s="194">
        <v>5</v>
      </c>
      <c r="D11" s="193">
        <v>2021</v>
      </c>
      <c r="E11" s="123">
        <f>Combine!G12</f>
        <v>54339</v>
      </c>
      <c r="F11" s="195">
        <v>1.28</v>
      </c>
      <c r="G11" s="123">
        <f>Combine!M12</f>
        <v>4348.7552447552434</v>
      </c>
      <c r="H11" s="196">
        <v>8.7759999999999998</v>
      </c>
      <c r="I11" s="123">
        <f>Combine!J12</f>
        <v>534.15</v>
      </c>
      <c r="J11" s="195">
        <v>8.1300000000000008</v>
      </c>
      <c r="K11" s="123">
        <f>Combine!N12</f>
        <v>341</v>
      </c>
      <c r="L11" s="123">
        <f>Combine!O12</f>
        <v>789</v>
      </c>
    </row>
    <row r="12" spans="1:12">
      <c r="A12" s="192" t="s">
        <v>401</v>
      </c>
      <c r="B12" s="193">
        <v>11</v>
      </c>
      <c r="C12" s="194">
        <v>5</v>
      </c>
      <c r="D12" s="193">
        <v>2021</v>
      </c>
      <c r="E12" s="123">
        <f>Combine!G13</f>
        <v>52711</v>
      </c>
      <c r="F12" s="195">
        <v>1.28</v>
      </c>
      <c r="G12" s="123">
        <f>Combine!M13</f>
        <v>4131.9073815073853</v>
      </c>
      <c r="H12" s="196">
        <v>8.7759999999999998</v>
      </c>
      <c r="I12" s="123">
        <f>Combine!J13</f>
        <v>540.4</v>
      </c>
      <c r="J12" s="195">
        <v>8.1300000000000008</v>
      </c>
      <c r="K12" s="123">
        <f>Combine!N13</f>
        <v>331</v>
      </c>
      <c r="L12" s="123">
        <f>Combine!O13</f>
        <v>763</v>
      </c>
    </row>
    <row r="13" spans="1:12">
      <c r="A13" s="192" t="s">
        <v>401</v>
      </c>
      <c r="B13" s="193">
        <v>12</v>
      </c>
      <c r="C13" s="194">
        <v>5</v>
      </c>
      <c r="D13" s="193">
        <v>2021</v>
      </c>
      <c r="E13" s="123">
        <f>Combine!G14</f>
        <v>59535</v>
      </c>
      <c r="F13" s="195">
        <v>1.28</v>
      </c>
      <c r="G13" s="123">
        <f>Combine!M14</f>
        <v>4163.6301476301423</v>
      </c>
      <c r="H13" s="196">
        <v>8.7759999999999998</v>
      </c>
      <c r="I13" s="123">
        <f>Combine!J14</f>
        <v>579.9</v>
      </c>
      <c r="J13" s="195">
        <v>8.1300000000000008</v>
      </c>
      <c r="K13" s="123">
        <f>Combine!N14</f>
        <v>351</v>
      </c>
      <c r="L13" s="123">
        <f>Combine!O14</f>
        <v>808</v>
      </c>
    </row>
    <row r="14" spans="1:12">
      <c r="A14" s="192" t="s">
        <v>401</v>
      </c>
      <c r="B14" s="193">
        <v>13</v>
      </c>
      <c r="C14" s="194">
        <v>5</v>
      </c>
      <c r="D14" s="193">
        <v>2021</v>
      </c>
      <c r="E14" s="123">
        <f>Combine!G15</f>
        <v>64559</v>
      </c>
      <c r="F14" s="195">
        <v>1.28</v>
      </c>
      <c r="G14" s="123">
        <f>Combine!M15</f>
        <v>3986.7723387723395</v>
      </c>
      <c r="H14" s="196">
        <v>8.7759999999999998</v>
      </c>
      <c r="I14" s="123">
        <f>Combine!J15</f>
        <v>532.70000000000005</v>
      </c>
      <c r="J14" s="195">
        <v>8.1300000000000008</v>
      </c>
      <c r="K14" s="123">
        <f>Combine!N15</f>
        <v>382</v>
      </c>
      <c r="L14" s="123">
        <f>Combine!O15</f>
        <v>873</v>
      </c>
    </row>
    <row r="15" spans="1:12">
      <c r="A15" s="192" t="s">
        <v>401</v>
      </c>
      <c r="B15" s="193">
        <v>14</v>
      </c>
      <c r="C15" s="194">
        <v>5</v>
      </c>
      <c r="D15" s="193">
        <v>2021</v>
      </c>
      <c r="E15" s="123">
        <f>Combine!G16</f>
        <v>54683</v>
      </c>
      <c r="F15" s="195">
        <v>1.28</v>
      </c>
      <c r="G15" s="123">
        <f>Combine!M16</f>
        <v>4271.0402486402445</v>
      </c>
      <c r="H15" s="196">
        <v>8.7759999999999998</v>
      </c>
      <c r="I15" s="123">
        <f>Combine!J16</f>
        <v>579.35</v>
      </c>
      <c r="J15" s="195">
        <v>8.1300000000000008</v>
      </c>
      <c r="K15" s="123">
        <f>Combine!N16</f>
        <v>384</v>
      </c>
      <c r="L15" s="123">
        <f>Combine!O16</f>
        <v>894</v>
      </c>
    </row>
    <row r="16" spans="1:12">
      <c r="A16" s="192" t="s">
        <v>401</v>
      </c>
      <c r="B16" s="193">
        <v>15</v>
      </c>
      <c r="C16" s="194">
        <v>5</v>
      </c>
      <c r="D16" s="193">
        <v>2021</v>
      </c>
      <c r="E16" s="123">
        <f>Combine!G17</f>
        <v>59527</v>
      </c>
      <c r="F16" s="195">
        <v>1.28</v>
      </c>
      <c r="G16" s="123">
        <f>Combine!M17</f>
        <v>4369.5540015539955</v>
      </c>
      <c r="H16" s="196">
        <v>8.7759999999999998</v>
      </c>
      <c r="I16" s="123">
        <f>Combine!J17</f>
        <v>673.45819999999981</v>
      </c>
      <c r="J16" s="195">
        <v>8.1300000000000008</v>
      </c>
      <c r="K16" s="123">
        <f>Combine!N17</f>
        <v>427</v>
      </c>
      <c r="L16" s="123">
        <f>Combine!O17</f>
        <v>1013</v>
      </c>
    </row>
    <row r="17" spans="1:12">
      <c r="A17" s="192" t="s">
        <v>401</v>
      </c>
      <c r="B17" s="193">
        <v>16</v>
      </c>
      <c r="C17" s="194">
        <v>5</v>
      </c>
      <c r="D17" s="193">
        <v>2021</v>
      </c>
      <c r="E17" s="123">
        <f>Combine!G18</f>
        <v>59989</v>
      </c>
      <c r="F17" s="195">
        <v>1.28</v>
      </c>
      <c r="G17" s="123">
        <f>Combine!M18</f>
        <v>4603.4399378399467</v>
      </c>
      <c r="H17" s="196">
        <v>8.7759999999999998</v>
      </c>
      <c r="I17" s="123">
        <f>Combine!J18</f>
        <v>675.25</v>
      </c>
      <c r="J17" s="195">
        <v>8.1300000000000008</v>
      </c>
      <c r="K17" s="123">
        <f>Combine!N18</f>
        <v>404</v>
      </c>
      <c r="L17" s="123">
        <f>Combine!O18</f>
        <v>925</v>
      </c>
    </row>
    <row r="18" spans="1:12">
      <c r="A18" s="192" t="s">
        <v>401</v>
      </c>
      <c r="B18" s="193">
        <v>17</v>
      </c>
      <c r="C18" s="194">
        <v>5</v>
      </c>
      <c r="D18" s="193">
        <v>2021</v>
      </c>
      <c r="E18" s="123">
        <f>Combine!G19</f>
        <v>62885</v>
      </c>
      <c r="F18" s="195">
        <v>1.28</v>
      </c>
      <c r="G18" s="123">
        <f>Combine!M19</f>
        <v>3765.273659673654</v>
      </c>
      <c r="H18" s="196">
        <v>8.7759999999999998</v>
      </c>
      <c r="I18" s="123">
        <f>Combine!J19</f>
        <v>625.40849999999978</v>
      </c>
      <c r="J18" s="195">
        <v>8.1300000000000008</v>
      </c>
      <c r="K18" s="123">
        <f>Combine!N19</f>
        <v>388</v>
      </c>
      <c r="L18" s="123">
        <f>Combine!O19</f>
        <v>885</v>
      </c>
    </row>
    <row r="19" spans="1:12">
      <c r="A19" s="192" t="s">
        <v>401</v>
      </c>
      <c r="B19" s="193">
        <v>18</v>
      </c>
      <c r="C19" s="194">
        <v>5</v>
      </c>
      <c r="D19" s="193">
        <v>2021</v>
      </c>
      <c r="E19" s="123">
        <f>Combine!G20</f>
        <v>62108</v>
      </c>
      <c r="F19" s="195">
        <v>1.28</v>
      </c>
      <c r="G19" s="123">
        <f>Combine!M20</f>
        <v>5040.2971250971304</v>
      </c>
      <c r="H19" s="196">
        <v>8.7759999999999998</v>
      </c>
      <c r="I19" s="123">
        <f>Combine!J20</f>
        <v>612.01000000000056</v>
      </c>
      <c r="J19" s="195">
        <v>8.1300000000000008</v>
      </c>
      <c r="K19" s="123">
        <f>Combine!N20</f>
        <v>412</v>
      </c>
      <c r="L19" s="123">
        <f>Combine!O20</f>
        <v>973</v>
      </c>
    </row>
    <row r="20" spans="1:12">
      <c r="A20" s="192" t="s">
        <v>401</v>
      </c>
      <c r="B20" s="193">
        <v>19</v>
      </c>
      <c r="C20" s="194">
        <v>5</v>
      </c>
      <c r="D20" s="193">
        <v>2021</v>
      </c>
      <c r="E20" s="123">
        <f>Combine!G21</f>
        <v>54779</v>
      </c>
      <c r="F20" s="195">
        <v>1.28</v>
      </c>
      <c r="G20" s="123">
        <f>Combine!M21</f>
        <v>4375.7153069153073</v>
      </c>
      <c r="H20" s="196">
        <v>8.7759999999999998</v>
      </c>
      <c r="I20" s="123">
        <f>Combine!J21</f>
        <v>576.07229999999959</v>
      </c>
      <c r="J20" s="195">
        <v>8.1300000000000008</v>
      </c>
      <c r="K20" s="123">
        <f>Combine!N21</f>
        <v>403</v>
      </c>
      <c r="L20" s="123">
        <f>Combine!O21</f>
        <v>910</v>
      </c>
    </row>
    <row r="21" spans="1:12">
      <c r="A21" s="192" t="s">
        <v>401</v>
      </c>
      <c r="B21" s="193">
        <v>20</v>
      </c>
      <c r="C21" s="194">
        <v>5</v>
      </c>
      <c r="D21" s="193">
        <v>2021</v>
      </c>
      <c r="E21" s="123">
        <f>Combine!G22</f>
        <v>55586</v>
      </c>
      <c r="F21" s="195">
        <v>1.28</v>
      </c>
      <c r="G21" s="123">
        <f>Combine!M22</f>
        <v>4434.6169386169404</v>
      </c>
      <c r="H21" s="196">
        <v>8.7759999999999998</v>
      </c>
      <c r="I21" s="123">
        <f>Combine!J22</f>
        <v>704.86400000000015</v>
      </c>
      <c r="J21" s="195">
        <v>8.1300000000000008</v>
      </c>
      <c r="K21" s="123">
        <f>Combine!N22</f>
        <v>394</v>
      </c>
      <c r="L21" s="123">
        <f>Combine!O22</f>
        <v>898</v>
      </c>
    </row>
    <row r="22" spans="1:12">
      <c r="A22" s="192" t="s">
        <v>401</v>
      </c>
      <c r="B22" s="193">
        <v>21</v>
      </c>
      <c r="C22" s="194">
        <v>5</v>
      </c>
      <c r="D22" s="193">
        <v>2021</v>
      </c>
      <c r="E22" s="123">
        <f>Combine!G23</f>
        <v>59815</v>
      </c>
      <c r="F22" s="195">
        <v>1.28</v>
      </c>
      <c r="G22" s="123">
        <f>Combine!M23</f>
        <v>4338.8257964258028</v>
      </c>
      <c r="H22" s="196">
        <v>8.7759999999999998</v>
      </c>
      <c r="I22" s="123">
        <f>Combine!J23</f>
        <v>606.57900000000006</v>
      </c>
      <c r="J22" s="195">
        <v>8.1300000000000008</v>
      </c>
      <c r="K22" s="123">
        <f>Combine!N23</f>
        <v>388</v>
      </c>
      <c r="L22" s="123">
        <f>Combine!O23</f>
        <v>906</v>
      </c>
    </row>
    <row r="23" spans="1:12">
      <c r="A23" s="192" t="s">
        <v>401</v>
      </c>
      <c r="B23" s="193">
        <v>22</v>
      </c>
      <c r="C23" s="194">
        <v>5</v>
      </c>
      <c r="D23" s="193">
        <v>2021</v>
      </c>
      <c r="E23" s="123">
        <f>Combine!G24</f>
        <v>55424</v>
      </c>
      <c r="F23" s="195">
        <v>1.28</v>
      </c>
      <c r="G23" s="123">
        <f>Combine!M24</f>
        <v>4261.1804195808536</v>
      </c>
      <c r="H23" s="196">
        <v>8.7759999999999998</v>
      </c>
      <c r="I23" s="123">
        <f>Combine!J24</f>
        <v>575.29880000000014</v>
      </c>
      <c r="J23" s="195">
        <v>8.1300000000000008</v>
      </c>
      <c r="K23" s="123">
        <f>Combine!N24</f>
        <v>418</v>
      </c>
      <c r="L23" s="123">
        <f>Combine!O24</f>
        <v>967</v>
      </c>
    </row>
    <row r="24" spans="1:12">
      <c r="A24" s="192" t="s">
        <v>401</v>
      </c>
      <c r="B24" s="193">
        <v>23</v>
      </c>
      <c r="C24" s="194">
        <v>5</v>
      </c>
      <c r="D24" s="193">
        <v>2021</v>
      </c>
      <c r="E24" s="123">
        <f>Combine!G25</f>
        <v>56515</v>
      </c>
      <c r="F24" s="195">
        <v>1.28</v>
      </c>
      <c r="G24" s="123">
        <f>Combine!M25</f>
        <v>4261.1804195808536</v>
      </c>
      <c r="H24" s="196">
        <v>8.7759999999999998</v>
      </c>
      <c r="I24" s="123">
        <f>Combine!J25</f>
        <v>749.38430000000005</v>
      </c>
      <c r="J24" s="195">
        <v>8.1300000000000008</v>
      </c>
      <c r="K24" s="123">
        <f>Combine!N25</f>
        <v>385</v>
      </c>
      <c r="L24" s="123">
        <f>Combine!O25</f>
        <v>876</v>
      </c>
    </row>
    <row r="25" spans="1:12">
      <c r="A25" s="192" t="s">
        <v>401</v>
      </c>
      <c r="B25" s="193">
        <v>24</v>
      </c>
      <c r="C25" s="194">
        <v>5</v>
      </c>
      <c r="D25" s="193">
        <v>2021</v>
      </c>
      <c r="E25" s="123">
        <f>Combine!G26</f>
        <v>57134</v>
      </c>
      <c r="F25" s="195">
        <v>1.28</v>
      </c>
      <c r="G25" s="123">
        <f>Combine!M26</f>
        <v>4261.1804195795503</v>
      </c>
      <c r="H25" s="196">
        <v>8.7759999999999998</v>
      </c>
      <c r="I25" s="123">
        <f>Combine!J26</f>
        <v>624.97489999999982</v>
      </c>
      <c r="J25" s="195">
        <v>8.1300000000000008</v>
      </c>
      <c r="K25" s="123">
        <f>Combine!N26</f>
        <v>365</v>
      </c>
      <c r="L25" s="123">
        <f>Combine!O26</f>
        <v>823</v>
      </c>
    </row>
    <row r="26" spans="1:12">
      <c r="A26" s="192" t="s">
        <v>401</v>
      </c>
      <c r="B26" s="193">
        <v>25</v>
      </c>
      <c r="C26" s="194">
        <v>5</v>
      </c>
      <c r="D26" s="193">
        <v>2021</v>
      </c>
      <c r="E26" s="123">
        <f>Combine!G27</f>
        <v>54184</v>
      </c>
      <c r="F26" s="195">
        <v>1.28</v>
      </c>
      <c r="G26" s="123">
        <f>Combine!M27</f>
        <v>4306.2899766899627</v>
      </c>
      <c r="H26" s="196">
        <v>8.7759999999999998</v>
      </c>
      <c r="I26" s="123">
        <f>Combine!J27</f>
        <v>566.15</v>
      </c>
      <c r="J26" s="195">
        <v>8.1300000000000008</v>
      </c>
      <c r="K26" s="123">
        <f>Combine!N27</f>
        <v>360</v>
      </c>
      <c r="L26" s="123">
        <f>Combine!O27</f>
        <v>817</v>
      </c>
    </row>
    <row r="27" spans="1:12">
      <c r="A27" s="192" t="s">
        <v>401</v>
      </c>
      <c r="B27" s="193">
        <v>26</v>
      </c>
      <c r="C27" s="194">
        <v>5</v>
      </c>
      <c r="D27" s="193">
        <v>2021</v>
      </c>
      <c r="E27" s="123">
        <f>Combine!G28</f>
        <v>51973</v>
      </c>
      <c r="F27" s="195">
        <v>1.28</v>
      </c>
      <c r="G27" s="123">
        <f>Combine!M28</f>
        <v>4187.1254079254086</v>
      </c>
      <c r="H27" s="196">
        <v>8.7759999999999998</v>
      </c>
      <c r="I27" s="123">
        <f>Combine!J28</f>
        <v>584.79999999999995</v>
      </c>
      <c r="J27" s="195">
        <v>8.1300000000000008</v>
      </c>
      <c r="K27" s="123">
        <f>Combine!N28</f>
        <v>360</v>
      </c>
      <c r="L27" s="123">
        <f>Combine!O28</f>
        <v>814</v>
      </c>
    </row>
    <row r="28" spans="1:12">
      <c r="A28" s="192" t="s">
        <v>401</v>
      </c>
      <c r="B28" s="193">
        <v>27</v>
      </c>
      <c r="C28" s="194">
        <v>5</v>
      </c>
      <c r="D28" s="193">
        <v>2021</v>
      </c>
      <c r="E28" s="123">
        <f>Combine!G29</f>
        <v>53863</v>
      </c>
      <c r="F28" s="195">
        <v>1.28</v>
      </c>
      <c r="G28" s="123">
        <f>Combine!M29</f>
        <v>4092.6060606060673</v>
      </c>
      <c r="H28" s="196">
        <v>8.7759999999999998</v>
      </c>
      <c r="I28" s="123">
        <f>Combine!J29</f>
        <v>587.20000000000005</v>
      </c>
      <c r="J28" s="195">
        <v>8.1300000000000008</v>
      </c>
      <c r="K28" s="123">
        <f>Combine!N29</f>
        <v>365</v>
      </c>
      <c r="L28" s="123">
        <f>Combine!O29</f>
        <v>823</v>
      </c>
    </row>
    <row r="29" spans="1:12">
      <c r="A29" s="192" t="s">
        <v>401</v>
      </c>
      <c r="B29" s="193">
        <v>28</v>
      </c>
      <c r="C29" s="194">
        <v>5</v>
      </c>
      <c r="D29" s="193">
        <v>2021</v>
      </c>
      <c r="E29" s="123">
        <f>Combine!G30</f>
        <v>53797</v>
      </c>
      <c r="F29" s="195">
        <v>1.28</v>
      </c>
      <c r="G29" s="123">
        <f>Combine!M30</f>
        <v>4255.7923853923821</v>
      </c>
      <c r="H29" s="196">
        <v>8.7759999999999998</v>
      </c>
      <c r="I29" s="123">
        <f>Combine!J30</f>
        <v>402.2</v>
      </c>
      <c r="J29" s="195">
        <v>8.1300000000000008</v>
      </c>
      <c r="K29" s="123">
        <f>Combine!N30</f>
        <v>0</v>
      </c>
      <c r="L29" s="123">
        <f>Combine!O30</f>
        <v>0</v>
      </c>
    </row>
    <row r="30" spans="1:12">
      <c r="A30" s="192" t="s">
        <v>401</v>
      </c>
      <c r="B30" s="193">
        <v>29</v>
      </c>
      <c r="C30" s="194">
        <v>5</v>
      </c>
      <c r="D30" s="193">
        <v>2021</v>
      </c>
      <c r="E30" s="123">
        <f>Combine!G31</f>
        <v>-24142603</v>
      </c>
      <c r="F30" s="195">
        <v>1.28</v>
      </c>
      <c r="G30" s="123">
        <f>Combine!M31</f>
        <v>-17068287.823465426</v>
      </c>
      <c r="H30" s="196">
        <v>8.7759999999999998</v>
      </c>
      <c r="I30" s="123">
        <f>Combine!J31</f>
        <v>-612773.05000000005</v>
      </c>
      <c r="J30" s="195">
        <v>8.1300000000000008</v>
      </c>
      <c r="K30" s="123">
        <f>Combine!N31</f>
        <v>0</v>
      </c>
      <c r="L30" s="123">
        <f>Combine!O31</f>
        <v>0</v>
      </c>
    </row>
    <row r="31" spans="1:12">
      <c r="A31" s="192" t="s">
        <v>401</v>
      </c>
      <c r="B31" s="193">
        <v>30</v>
      </c>
      <c r="C31" s="194">
        <v>5</v>
      </c>
      <c r="D31" s="193">
        <v>2021</v>
      </c>
      <c r="E31" s="123">
        <f>Combine!G32</f>
        <v>0</v>
      </c>
      <c r="F31" s="195">
        <v>1.28</v>
      </c>
      <c r="G31" s="123">
        <f>Combine!M32</f>
        <v>0</v>
      </c>
      <c r="H31" s="196">
        <v>8.7759999999999998</v>
      </c>
      <c r="I31" s="123">
        <f>Combine!J32</f>
        <v>0</v>
      </c>
      <c r="J31" s="195">
        <v>8.1300000000000008</v>
      </c>
      <c r="K31" s="123">
        <f>Combine!N32</f>
        <v>0</v>
      </c>
      <c r="L31" s="123">
        <f>Combine!O32</f>
        <v>0</v>
      </c>
    </row>
    <row r="32" spans="1:12">
      <c r="A32" s="192" t="s">
        <v>401</v>
      </c>
      <c r="B32" s="193">
        <v>31</v>
      </c>
      <c r="C32" s="194">
        <v>5</v>
      </c>
      <c r="D32" s="193">
        <v>2021</v>
      </c>
      <c r="E32" s="123">
        <f>Combine!G33</f>
        <v>0</v>
      </c>
      <c r="F32" s="195">
        <v>1.28</v>
      </c>
      <c r="G32" s="123">
        <f>Combine!M33</f>
        <v>0</v>
      </c>
      <c r="H32" s="196">
        <v>8.7759999999999998</v>
      </c>
      <c r="I32" s="123">
        <f>Combine!J33</f>
        <v>0</v>
      </c>
      <c r="J32" s="195">
        <v>8.1300000000000008</v>
      </c>
      <c r="K32" s="123">
        <f>Combine!N33</f>
        <v>0</v>
      </c>
      <c r="L32" s="123">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K31" sqref="K31"/>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0"/>
      <c r="C1" s="120"/>
      <c r="D1" s="120"/>
      <c r="E1" s="124" t="s">
        <v>0</v>
      </c>
      <c r="F1" s="125" t="s">
        <v>1</v>
      </c>
      <c r="G1" s="131" t="s">
        <v>2</v>
      </c>
      <c r="H1" s="124" t="s">
        <v>0</v>
      </c>
      <c r="I1" s="125" t="s">
        <v>1</v>
      </c>
      <c r="J1" s="128" t="s">
        <v>2</v>
      </c>
      <c r="K1" s="124" t="s">
        <v>0</v>
      </c>
      <c r="L1" s="125" t="s">
        <v>1</v>
      </c>
      <c r="M1" s="131" t="s">
        <v>2</v>
      </c>
      <c r="N1" s="198" t="s">
        <v>66</v>
      </c>
      <c r="O1" s="199"/>
      <c r="P1" s="200"/>
    </row>
    <row r="2" spans="1:17" s="2" customFormat="1" ht="60" customHeight="1">
      <c r="A2" s="4" t="s">
        <v>3</v>
      </c>
      <c r="B2" s="5" t="s">
        <v>4</v>
      </c>
      <c r="C2" s="5" t="s">
        <v>5</v>
      </c>
      <c r="D2" s="121"/>
      <c r="E2" s="126" t="s">
        <v>6</v>
      </c>
      <c r="F2" s="147" t="s">
        <v>6</v>
      </c>
      <c r="G2" s="157" t="s">
        <v>6</v>
      </c>
      <c r="H2" s="158" t="s">
        <v>9</v>
      </c>
      <c r="I2" s="148" t="s">
        <v>9</v>
      </c>
      <c r="J2" s="157" t="s">
        <v>9</v>
      </c>
      <c r="K2" s="126" t="s">
        <v>7</v>
      </c>
      <c r="L2" s="112">
        <v>335</v>
      </c>
      <c r="M2" s="132" t="s">
        <v>8</v>
      </c>
      <c r="N2" s="164" t="s">
        <v>10</v>
      </c>
      <c r="O2" s="5" t="s">
        <v>11</v>
      </c>
      <c r="P2" s="163" t="s">
        <v>12</v>
      </c>
      <c r="Q2" s="152" t="s">
        <v>394</v>
      </c>
    </row>
    <row r="3" spans="1:17" ht="15.75">
      <c r="A3" s="7" t="s">
        <v>14</v>
      </c>
      <c r="B3" s="7">
        <v>1</v>
      </c>
      <c r="C3" s="7">
        <v>5</v>
      </c>
      <c r="D3" s="122">
        <v>2021</v>
      </c>
      <c r="E3" s="153">
        <f>'Athens Daily - EL'!AK8</f>
        <v>41420</v>
      </c>
      <c r="F3" s="155">
        <f>'Athens Daily - EL'!AL8</f>
        <v>8468</v>
      </c>
      <c r="G3" s="133">
        <f>SUM(E3,F3)</f>
        <v>49888</v>
      </c>
      <c r="H3" s="153">
        <f>'Athens Daily - Water'!R7</f>
        <v>634.40210000000025</v>
      </c>
      <c r="I3" s="123">
        <f>'Athens Daily - Water'!S7</f>
        <v>192.5</v>
      </c>
      <c r="J3" s="129">
        <f t="shared" ref="J3:J33" si="0">SUM(H3,I3)</f>
        <v>826.90210000000025</v>
      </c>
      <c r="K3" s="153">
        <f>'Athens Daily - Gas'!BH9</f>
        <v>357242.68799999985</v>
      </c>
      <c r="L3" s="123">
        <f>'Athens Daily - Gas'!BI9</f>
        <v>79488</v>
      </c>
      <c r="M3" s="133">
        <f>SUM(K3,L3)/38.61</f>
        <v>11311.336130536127</v>
      </c>
      <c r="N3" s="162">
        <f>Occ!G10</f>
        <v>420</v>
      </c>
      <c r="O3" s="105">
        <f>Occ!H10</f>
        <v>1023</v>
      </c>
      <c r="P3" s="161">
        <v>918</v>
      </c>
      <c r="Q3" s="170"/>
    </row>
    <row r="4" spans="1:17" ht="15.75">
      <c r="A4" s="7" t="s">
        <v>14</v>
      </c>
      <c r="B4" s="7">
        <v>2</v>
      </c>
      <c r="C4" s="7">
        <v>5</v>
      </c>
      <c r="D4" s="122">
        <v>2021</v>
      </c>
      <c r="E4" s="153">
        <f>'Athens Daily - EL'!AK9</f>
        <v>41602</v>
      </c>
      <c r="F4" s="155">
        <f>'Athens Daily - EL'!AL9</f>
        <v>9200</v>
      </c>
      <c r="G4" s="133">
        <f t="shared" ref="G4:G33" si="1">SUM(E4,F4)</f>
        <v>50802</v>
      </c>
      <c r="H4" s="153">
        <f>'Athens Daily - Water'!R8</f>
        <v>522</v>
      </c>
      <c r="I4" s="123">
        <f>'Athens Daily - Water'!S8</f>
        <v>156</v>
      </c>
      <c r="J4" s="129">
        <f t="shared" si="0"/>
        <v>678</v>
      </c>
      <c r="K4" s="153">
        <f>'Athens Daily - Gas'!BH10</f>
        <v>119182.75200000122</v>
      </c>
      <c r="L4" s="123">
        <f>'Athens Daily - Gas'!BI10</f>
        <v>63139.199999997909</v>
      </c>
      <c r="M4" s="133">
        <f t="shared" ref="M4:M33" si="2">SUM(K4,L4)/38.61</f>
        <v>4722.1432789432565</v>
      </c>
      <c r="N4" s="162">
        <f>Occ!G11</f>
        <v>337</v>
      </c>
      <c r="O4" s="105">
        <f>Occ!H11</f>
        <v>791</v>
      </c>
      <c r="P4" s="161">
        <v>918</v>
      </c>
      <c r="Q4" s="170"/>
    </row>
    <row r="5" spans="1:17" ht="15.75">
      <c r="A5" s="7" t="s">
        <v>14</v>
      </c>
      <c r="B5" s="7">
        <v>3</v>
      </c>
      <c r="C5" s="7">
        <v>5</v>
      </c>
      <c r="D5" s="122">
        <v>2021</v>
      </c>
      <c r="E5" s="153">
        <f>'Athens Daily - EL'!AK10</f>
        <v>39408</v>
      </c>
      <c r="F5" s="155">
        <f>'Athens Daily - EL'!AL10</f>
        <v>7739</v>
      </c>
      <c r="G5" s="133">
        <f t="shared" si="1"/>
        <v>47147</v>
      </c>
      <c r="H5" s="153">
        <f>'Athens Daily - Water'!R9</f>
        <v>414</v>
      </c>
      <c r="I5" s="123">
        <f>'Athens Daily - Water'!S9</f>
        <v>150.05000000000001</v>
      </c>
      <c r="J5" s="129">
        <f t="shared" si="0"/>
        <v>564.04999999999995</v>
      </c>
      <c r="K5" s="153">
        <f>'Athens Daily - Gas'!BH11</f>
        <v>113134.7520000012</v>
      </c>
      <c r="L5" s="123">
        <f>'Athens Daily - Gas'!BI11</f>
        <v>59107.199999997909</v>
      </c>
      <c r="M5" s="133">
        <f t="shared" si="2"/>
        <v>4461.0710178709951</v>
      </c>
      <c r="N5" s="162">
        <f>Occ!G12</f>
        <v>322</v>
      </c>
      <c r="O5" s="105">
        <f>Occ!H12</f>
        <v>756</v>
      </c>
      <c r="P5" s="161">
        <v>918</v>
      </c>
      <c r="Q5" s="170"/>
    </row>
    <row r="6" spans="1:17" ht="15.75">
      <c r="A6" s="7" t="s">
        <v>14</v>
      </c>
      <c r="B6" s="7">
        <v>4</v>
      </c>
      <c r="C6" s="7">
        <v>5</v>
      </c>
      <c r="D6" s="122">
        <v>2021</v>
      </c>
      <c r="E6" s="153">
        <f>'Athens Daily - EL'!AK11</f>
        <v>38440</v>
      </c>
      <c r="F6" s="155">
        <f>'Athens Daily - EL'!AL11</f>
        <v>8023</v>
      </c>
      <c r="G6" s="133">
        <f t="shared" si="1"/>
        <v>46463</v>
      </c>
      <c r="H6" s="153">
        <f>'Athens Daily - Water'!R10</f>
        <v>405</v>
      </c>
      <c r="I6" s="123">
        <f>'Athens Daily - Water'!S10</f>
        <v>298.25</v>
      </c>
      <c r="J6" s="129">
        <f t="shared" si="0"/>
        <v>703.25</v>
      </c>
      <c r="K6" s="153">
        <f>'Athens Daily - Gas'!BH12</f>
        <v>108555.55199999773</v>
      </c>
      <c r="L6" s="123">
        <f>'Athens Daily - Gas'!BI12</f>
        <v>56054.400000004192</v>
      </c>
      <c r="M6" s="133">
        <f t="shared" si="2"/>
        <v>4263.4020202020702</v>
      </c>
      <c r="N6" s="162">
        <f>Occ!G13</f>
        <v>320</v>
      </c>
      <c r="O6" s="105">
        <f>Occ!H13</f>
        <v>747</v>
      </c>
      <c r="P6" s="161">
        <v>918</v>
      </c>
      <c r="Q6" s="170"/>
    </row>
    <row r="7" spans="1:17" ht="15.75">
      <c r="A7" s="7" t="s">
        <v>14</v>
      </c>
      <c r="B7" s="7">
        <v>5</v>
      </c>
      <c r="C7" s="7">
        <v>5</v>
      </c>
      <c r="D7" s="122">
        <v>2021</v>
      </c>
      <c r="E7" s="153">
        <f>'Athens Daily - EL'!AK12</f>
        <v>40826</v>
      </c>
      <c r="F7" s="155">
        <f>'Athens Daily - EL'!AL12</f>
        <v>9279</v>
      </c>
      <c r="G7" s="133">
        <f t="shared" si="1"/>
        <v>50105</v>
      </c>
      <c r="H7" s="153">
        <f>'Athens Daily - Water'!R11</f>
        <v>359</v>
      </c>
      <c r="I7" s="123">
        <f>'Athens Daily - Water'!S11</f>
        <v>157.19999999999999</v>
      </c>
      <c r="J7" s="129">
        <f t="shared" si="0"/>
        <v>516.20000000000005</v>
      </c>
      <c r="K7" s="153">
        <f>'Athens Daily - Gas'!BH13</f>
        <v>104900.06399999955</v>
      </c>
      <c r="L7" s="123">
        <f>'Athens Daily - Gas'!BI13</f>
        <v>61104</v>
      </c>
      <c r="M7" s="133">
        <f t="shared" si="2"/>
        <v>4299.5095571095453</v>
      </c>
      <c r="N7" s="162">
        <f>Occ!G14</f>
        <v>315</v>
      </c>
      <c r="O7" s="105">
        <f>Occ!H14</f>
        <v>731</v>
      </c>
      <c r="P7" s="161">
        <v>918</v>
      </c>
      <c r="Q7" s="170"/>
    </row>
    <row r="8" spans="1:17" ht="15.75">
      <c r="A8" s="7" t="s">
        <v>14</v>
      </c>
      <c r="B8" s="7">
        <v>6</v>
      </c>
      <c r="C8" s="7">
        <v>5</v>
      </c>
      <c r="D8" s="122">
        <v>2021</v>
      </c>
      <c r="E8" s="153">
        <f>'Athens Daily - EL'!AK13</f>
        <v>40084</v>
      </c>
      <c r="F8" s="155">
        <f>'Athens Daily - EL'!AL13</f>
        <v>7873</v>
      </c>
      <c r="G8" s="133">
        <f t="shared" si="1"/>
        <v>47957</v>
      </c>
      <c r="H8" s="153">
        <f>'Athens Daily - Water'!R12</f>
        <v>387</v>
      </c>
      <c r="I8" s="123">
        <f>'Athens Daily - Water'!S12</f>
        <v>140.19999999999999</v>
      </c>
      <c r="J8" s="129">
        <f t="shared" si="0"/>
        <v>527.20000000000005</v>
      </c>
      <c r="K8" s="153">
        <f>'Athens Daily - Gas'!BH14</f>
        <v>106200.62400000016</v>
      </c>
      <c r="L8" s="123">
        <f>'Athens Daily - Gas'!BI14</f>
        <v>60777.599999999999</v>
      </c>
      <c r="M8" s="133">
        <f t="shared" si="2"/>
        <v>4324.7403263403303</v>
      </c>
      <c r="N8" s="162">
        <f>Occ!G15</f>
        <v>317</v>
      </c>
      <c r="O8" s="105">
        <f>Occ!H15</f>
        <v>739</v>
      </c>
      <c r="P8" s="161">
        <v>918</v>
      </c>
      <c r="Q8" s="170"/>
    </row>
    <row r="9" spans="1:17" ht="15.75">
      <c r="A9" s="7" t="s">
        <v>14</v>
      </c>
      <c r="B9" s="7">
        <v>7</v>
      </c>
      <c r="C9" s="7">
        <v>5</v>
      </c>
      <c r="D9" s="122">
        <v>2021</v>
      </c>
      <c r="E9" s="153">
        <f>'Athens Daily - EL'!AK14</f>
        <v>39537</v>
      </c>
      <c r="F9" s="155">
        <f>'Athens Daily - EL'!AL14</f>
        <v>9281</v>
      </c>
      <c r="G9" s="133">
        <f t="shared" si="1"/>
        <v>48818</v>
      </c>
      <c r="H9" s="153">
        <f>'Athens Daily - Water'!R13</f>
        <v>353</v>
      </c>
      <c r="I9" s="123">
        <f>'Athens Daily - Water'!S13</f>
        <v>149.4</v>
      </c>
      <c r="J9" s="129">
        <f t="shared" si="0"/>
        <v>502.4</v>
      </c>
      <c r="K9" s="153">
        <f>'Athens Daily - Gas'!BH15</f>
        <v>103827.60000000014</v>
      </c>
      <c r="L9" s="123">
        <f>'Athens Daily - Gas'!BI15</f>
        <v>61276.800000000003</v>
      </c>
      <c r="M9" s="133">
        <f t="shared" si="2"/>
        <v>4276.2082362082401</v>
      </c>
      <c r="N9" s="162">
        <f>Occ!G16</f>
        <v>336</v>
      </c>
      <c r="O9" s="105">
        <f>Occ!H16</f>
        <v>797</v>
      </c>
      <c r="P9" s="161">
        <v>918</v>
      </c>
      <c r="Q9" s="170"/>
    </row>
    <row r="10" spans="1:17">
      <c r="A10" s="7" t="s">
        <v>14</v>
      </c>
      <c r="B10" s="7">
        <v>8</v>
      </c>
      <c r="C10" s="7">
        <v>5</v>
      </c>
      <c r="D10" s="122">
        <v>2021</v>
      </c>
      <c r="E10" s="153">
        <f>'Athens Daily - EL'!AK15</f>
        <v>43175</v>
      </c>
      <c r="F10" s="155">
        <f>'Athens Daily - EL'!AL15</f>
        <v>9085</v>
      </c>
      <c r="G10" s="133">
        <f t="shared" si="1"/>
        <v>52260</v>
      </c>
      <c r="H10" s="153">
        <f>'Athens Daily - Water'!R14</f>
        <v>399</v>
      </c>
      <c r="I10" s="123">
        <f>'Athens Daily - Water'!S14</f>
        <v>120.15</v>
      </c>
      <c r="J10" s="129">
        <f t="shared" si="0"/>
        <v>519.15</v>
      </c>
      <c r="K10" s="153">
        <f>'Athens Daily - Gas'!BH16</f>
        <v>104667.21600000019</v>
      </c>
      <c r="L10" s="123">
        <f>'Athens Daily - Gas'!BI16</f>
        <v>58723.200000000004</v>
      </c>
      <c r="M10" s="133">
        <f t="shared" si="2"/>
        <v>4231.8160062160114</v>
      </c>
      <c r="N10" s="162">
        <f>Occ!G17</f>
        <v>420</v>
      </c>
      <c r="O10" s="105">
        <f>Occ!H17</f>
        <v>1009</v>
      </c>
      <c r="P10" s="161">
        <v>918</v>
      </c>
      <c r="Q10" s="102"/>
    </row>
    <row r="11" spans="1:17">
      <c r="A11" s="7" t="s">
        <v>14</v>
      </c>
      <c r="B11" s="7">
        <v>9</v>
      </c>
      <c r="C11" s="7">
        <v>5</v>
      </c>
      <c r="D11" s="122">
        <v>2021</v>
      </c>
      <c r="E11" s="153">
        <f>'Athens Daily - EL'!AK16</f>
        <v>40956</v>
      </c>
      <c r="F11" s="155">
        <f>'Athens Daily - EL'!AL16</f>
        <v>9466</v>
      </c>
      <c r="G11" s="133">
        <f t="shared" si="1"/>
        <v>50422</v>
      </c>
      <c r="H11" s="153">
        <f>'Athens Daily - Water'!R15</f>
        <v>499</v>
      </c>
      <c r="I11" s="123">
        <f>'Athens Daily - Water'!S15</f>
        <v>157.4</v>
      </c>
      <c r="J11" s="129">
        <f t="shared" si="0"/>
        <v>656.4</v>
      </c>
      <c r="K11" s="153">
        <f>'Athens Daily - Gas'!BH17</f>
        <v>110731.53600000002</v>
      </c>
      <c r="L11" s="123">
        <f>'Athens Daily - Gas'!BI17</f>
        <v>60667.200000000004</v>
      </c>
      <c r="M11" s="133">
        <f t="shared" si="2"/>
        <v>4439.2317016317029</v>
      </c>
      <c r="N11" s="162">
        <f>Occ!G18</f>
        <v>330</v>
      </c>
      <c r="O11" s="105">
        <f>Occ!H18</f>
        <v>772</v>
      </c>
      <c r="P11" s="161">
        <v>918</v>
      </c>
      <c r="Q11" s="102"/>
    </row>
    <row r="12" spans="1:17" ht="15.75">
      <c r="A12" s="7" t="s">
        <v>14</v>
      </c>
      <c r="B12" s="7">
        <v>10</v>
      </c>
      <c r="C12" s="7">
        <v>5</v>
      </c>
      <c r="D12" s="122">
        <v>2021</v>
      </c>
      <c r="E12" s="153">
        <f>'Athens Daily - EL'!AK17</f>
        <v>42589</v>
      </c>
      <c r="F12" s="155">
        <f>'Athens Daily - EL'!AL17</f>
        <v>11750</v>
      </c>
      <c r="G12" s="133">
        <f t="shared" si="1"/>
        <v>54339</v>
      </c>
      <c r="H12" s="153">
        <f>'Athens Daily - Water'!R16</f>
        <v>389</v>
      </c>
      <c r="I12" s="123">
        <f>'Athens Daily - Water'!S16</f>
        <v>145.15</v>
      </c>
      <c r="J12" s="129">
        <f t="shared" si="0"/>
        <v>534.15</v>
      </c>
      <c r="K12" s="153">
        <f>'Athens Daily - Gas'!BH18</f>
        <v>107238.23999999993</v>
      </c>
      <c r="L12" s="123">
        <f>'Athens Daily - Gas'!BI18</f>
        <v>60667.200000000004</v>
      </c>
      <c r="M12" s="133">
        <f t="shared" si="2"/>
        <v>4348.7552447552434</v>
      </c>
      <c r="N12" s="162">
        <f>Occ!G19</f>
        <v>341</v>
      </c>
      <c r="O12" s="105">
        <f>Occ!H19</f>
        <v>789</v>
      </c>
      <c r="P12" s="161">
        <v>918</v>
      </c>
      <c r="Q12" s="170"/>
    </row>
    <row r="13" spans="1:17" ht="15.75">
      <c r="A13" s="7" t="s">
        <v>14</v>
      </c>
      <c r="B13" s="7">
        <v>11</v>
      </c>
      <c r="C13" s="7">
        <v>5</v>
      </c>
      <c r="D13" s="122">
        <v>2021</v>
      </c>
      <c r="E13" s="153">
        <f>'Athens Daily - EL'!AK18</f>
        <v>41586.5</v>
      </c>
      <c r="F13" s="155">
        <f>'Athens Daily - EL'!AL18</f>
        <v>11124.5</v>
      </c>
      <c r="G13" s="133">
        <f t="shared" si="1"/>
        <v>52711</v>
      </c>
      <c r="H13" s="153">
        <f>'Athens Daily - Water'!R17</f>
        <v>397</v>
      </c>
      <c r="I13" s="123">
        <f>'Athens Daily - Water'!S17</f>
        <v>143.4</v>
      </c>
      <c r="J13" s="129">
        <f t="shared" si="0"/>
        <v>540.4</v>
      </c>
      <c r="K13" s="153">
        <f>'Athens Daily - Gas'!BH19</f>
        <v>100569.74400000012</v>
      </c>
      <c r="L13" s="123">
        <f>'Athens Daily - Gas'!BI19</f>
        <v>58963.200000000004</v>
      </c>
      <c r="M13" s="133">
        <f t="shared" si="2"/>
        <v>4131.9073815073853</v>
      </c>
      <c r="N13" s="162">
        <f>Occ!G20</f>
        <v>331</v>
      </c>
      <c r="O13" s="105">
        <f>Occ!H20</f>
        <v>763</v>
      </c>
      <c r="P13" s="161">
        <v>918</v>
      </c>
      <c r="Q13" s="170"/>
    </row>
    <row r="14" spans="1:17" ht="15.75">
      <c r="A14" s="7" t="s">
        <v>14</v>
      </c>
      <c r="B14" s="7">
        <v>12</v>
      </c>
      <c r="C14" s="7">
        <v>5</v>
      </c>
      <c r="D14" s="122">
        <v>2021</v>
      </c>
      <c r="E14" s="153">
        <f>'Athens Daily - EL'!AK19</f>
        <v>46005.5</v>
      </c>
      <c r="F14" s="155">
        <f>'Athens Daily - EL'!AL19</f>
        <v>13529.5</v>
      </c>
      <c r="G14" s="133">
        <f t="shared" si="1"/>
        <v>59535</v>
      </c>
      <c r="H14" s="153">
        <f>'Athens Daily - Water'!R18</f>
        <v>406</v>
      </c>
      <c r="I14" s="123">
        <f>'Athens Daily - Water'!S18</f>
        <v>173.9</v>
      </c>
      <c r="J14" s="129">
        <f t="shared" si="0"/>
        <v>579.9</v>
      </c>
      <c r="K14" s="153">
        <f>'Athens Daily - Gas'!BH20</f>
        <v>102216.95999999977</v>
      </c>
      <c r="L14" s="123">
        <f>'Athens Daily - Gas'!BI20</f>
        <v>58540.800000000003</v>
      </c>
      <c r="M14" s="133">
        <f t="shared" si="2"/>
        <v>4163.6301476301423</v>
      </c>
      <c r="N14" s="162">
        <f>Occ!G21</f>
        <v>351</v>
      </c>
      <c r="O14" s="105">
        <f>Occ!H21</f>
        <v>808</v>
      </c>
      <c r="P14" s="161">
        <v>918</v>
      </c>
      <c r="Q14" s="170"/>
    </row>
    <row r="15" spans="1:17">
      <c r="A15" s="7" t="s">
        <v>14</v>
      </c>
      <c r="B15" s="7">
        <v>13</v>
      </c>
      <c r="C15" s="7">
        <v>5</v>
      </c>
      <c r="D15" s="122">
        <v>2021</v>
      </c>
      <c r="E15" s="153">
        <f>'Athens Daily - EL'!AK20</f>
        <v>48126.5</v>
      </c>
      <c r="F15" s="171">
        <f>'Athens Daily - EL'!AL20</f>
        <v>16432.5</v>
      </c>
      <c r="G15" s="133">
        <f t="shared" si="1"/>
        <v>64559</v>
      </c>
      <c r="H15" s="153">
        <f>'Athens Daily - Water'!R19</f>
        <v>392</v>
      </c>
      <c r="I15" s="123">
        <f>'Athens Daily - Water'!S19</f>
        <v>140.69999999999999</v>
      </c>
      <c r="J15" s="129">
        <f t="shared" si="0"/>
        <v>532.70000000000005</v>
      </c>
      <c r="K15" s="153">
        <f>'Athens Daily - Gas'!BH21</f>
        <v>97289.280000000028</v>
      </c>
      <c r="L15" s="123">
        <f>'Athens Daily - Gas'!BI21</f>
        <v>56640</v>
      </c>
      <c r="M15" s="133">
        <f t="shared" si="2"/>
        <v>3986.7723387723395</v>
      </c>
      <c r="N15" s="162">
        <f>Occ!G22</f>
        <v>382</v>
      </c>
      <c r="O15" s="105">
        <f>Occ!H22</f>
        <v>873</v>
      </c>
      <c r="P15" s="161">
        <v>918</v>
      </c>
      <c r="Q15" s="167"/>
    </row>
    <row r="16" spans="1:17">
      <c r="A16" s="7" t="s">
        <v>14</v>
      </c>
      <c r="B16" s="7">
        <v>14</v>
      </c>
      <c r="C16" s="7">
        <v>5</v>
      </c>
      <c r="D16" s="122">
        <v>2021</v>
      </c>
      <c r="E16" s="153">
        <f>'Athens Daily - EL'!AK21</f>
        <v>43546.5</v>
      </c>
      <c r="F16" s="155">
        <f>'Athens Daily - EL'!AL21</f>
        <v>11136.5</v>
      </c>
      <c r="G16" s="133">
        <f t="shared" si="1"/>
        <v>54683</v>
      </c>
      <c r="H16" s="153">
        <f>'Athens Daily - Water'!R20</f>
        <v>441</v>
      </c>
      <c r="I16" s="123">
        <f>'Athens Daily - Water'!S20</f>
        <v>138.35000000000002</v>
      </c>
      <c r="J16" s="129">
        <f t="shared" si="0"/>
        <v>579.35</v>
      </c>
      <c r="K16" s="153">
        <f>'Athens Daily - Gas'!BH22</f>
        <v>105855.26399999982</v>
      </c>
      <c r="L16" s="123">
        <f>'Athens Daily - Gas'!BI22</f>
        <v>59049.600000000006</v>
      </c>
      <c r="M16" s="133">
        <f t="shared" si="2"/>
        <v>4271.0402486402445</v>
      </c>
      <c r="N16" s="162">
        <f>Occ!G23</f>
        <v>384</v>
      </c>
      <c r="O16" s="105">
        <f>Occ!H23</f>
        <v>894</v>
      </c>
      <c r="P16" s="161">
        <v>918</v>
      </c>
      <c r="Q16" s="167"/>
    </row>
    <row r="17" spans="1:17">
      <c r="A17" s="7" t="s">
        <v>14</v>
      </c>
      <c r="B17" s="7">
        <v>15</v>
      </c>
      <c r="C17" s="7">
        <v>5</v>
      </c>
      <c r="D17" s="122">
        <v>2021</v>
      </c>
      <c r="E17" s="153">
        <f>'Athens Daily - EL'!AK22</f>
        <v>46026.5</v>
      </c>
      <c r="F17" s="155">
        <f>'Athens Daily - EL'!AL22</f>
        <v>13500.5</v>
      </c>
      <c r="G17" s="133">
        <f t="shared" si="1"/>
        <v>59527</v>
      </c>
      <c r="H17" s="153">
        <f>'Athens Daily - Water'!R21</f>
        <v>525.15819999999985</v>
      </c>
      <c r="I17" s="123">
        <f>'Athens Daily - Water'!S21</f>
        <v>148.30000000000001</v>
      </c>
      <c r="J17" s="129">
        <f t="shared" si="0"/>
        <v>673.45819999999981</v>
      </c>
      <c r="K17" s="153">
        <f>'Athens Daily - Gas'!BH23</f>
        <v>107393.27999999974</v>
      </c>
      <c r="L17" s="123">
        <f>'Athens Daily - Gas'!BI23</f>
        <v>61315.200000000004</v>
      </c>
      <c r="M17" s="133">
        <f t="shared" si="2"/>
        <v>4369.5540015539955</v>
      </c>
      <c r="N17" s="162">
        <f>Occ!G24</f>
        <v>427</v>
      </c>
      <c r="O17" s="105">
        <f>Occ!H24</f>
        <v>1013</v>
      </c>
      <c r="P17" s="161">
        <v>918</v>
      </c>
      <c r="Q17" s="167"/>
    </row>
    <row r="18" spans="1:17">
      <c r="A18" s="7" t="s">
        <v>14</v>
      </c>
      <c r="B18" s="7">
        <v>16</v>
      </c>
      <c r="C18" s="7">
        <v>5</v>
      </c>
      <c r="D18" s="122">
        <v>2021</v>
      </c>
      <c r="E18" s="153">
        <f>'Athens Daily - EL'!AK23</f>
        <v>46171.5</v>
      </c>
      <c r="F18" s="155">
        <f>'Athens Daily - EL'!AL23</f>
        <v>13817.5</v>
      </c>
      <c r="G18" s="133">
        <f t="shared" si="1"/>
        <v>59989</v>
      </c>
      <c r="H18" s="153">
        <f>'Athens Daily - Water'!R22</f>
        <v>526.5</v>
      </c>
      <c r="I18" s="123">
        <f>'Athens Daily - Water'!S22</f>
        <v>148.75</v>
      </c>
      <c r="J18" s="129">
        <f t="shared" si="0"/>
        <v>675.25</v>
      </c>
      <c r="K18" s="153">
        <f>'Athens Daily - Gas'!BH24</f>
        <v>114782.01600000034</v>
      </c>
      <c r="L18" s="123">
        <f>'Athens Daily - Gas'!BI24</f>
        <v>62956.800000000003</v>
      </c>
      <c r="M18" s="133">
        <f t="shared" si="2"/>
        <v>4603.4399378399467</v>
      </c>
      <c r="N18" s="162">
        <f>Occ!G25</f>
        <v>404</v>
      </c>
      <c r="O18" s="105">
        <f>Occ!H25</f>
        <v>925</v>
      </c>
      <c r="P18" s="161">
        <v>918</v>
      </c>
      <c r="Q18" s="166"/>
    </row>
    <row r="19" spans="1:17">
      <c r="A19" s="7" t="s">
        <v>14</v>
      </c>
      <c r="B19" s="7">
        <v>17</v>
      </c>
      <c r="C19" s="7">
        <v>5</v>
      </c>
      <c r="D19" s="122">
        <v>2021</v>
      </c>
      <c r="E19" s="153">
        <f>'Athens Daily - EL'!AK24</f>
        <v>47646.5</v>
      </c>
      <c r="F19" s="155">
        <f>'Athens Daily - EL'!AL24</f>
        <v>15238.5</v>
      </c>
      <c r="G19" s="133">
        <f t="shared" si="1"/>
        <v>62885</v>
      </c>
      <c r="H19" s="153">
        <f>'Athens Daily - Water'!R23</f>
        <v>474.70849999999973</v>
      </c>
      <c r="I19" s="123">
        <f>'Athens Daily - Water'!S23</f>
        <v>150.69999999999999</v>
      </c>
      <c r="J19" s="129">
        <f t="shared" si="0"/>
        <v>625.40849999999978</v>
      </c>
      <c r="K19" s="153">
        <f>'Athens Daily - Gas'!BH25</f>
        <v>93566.01599999977</v>
      </c>
      <c r="L19" s="123">
        <f>'Athens Daily - Gas'!BI25</f>
        <v>51811.200000000004</v>
      </c>
      <c r="M19" s="133">
        <f t="shared" si="2"/>
        <v>3765.273659673654</v>
      </c>
      <c r="N19" s="162">
        <f>Occ!G26</f>
        <v>388</v>
      </c>
      <c r="O19" s="105">
        <f>Occ!H26</f>
        <v>885</v>
      </c>
      <c r="P19" s="161">
        <v>918</v>
      </c>
      <c r="Q19" s="166"/>
    </row>
    <row r="20" spans="1:17">
      <c r="A20" s="7" t="s">
        <v>14</v>
      </c>
      <c r="B20" s="7">
        <v>18</v>
      </c>
      <c r="C20" s="7">
        <v>5</v>
      </c>
      <c r="D20" s="122">
        <v>2021</v>
      </c>
      <c r="E20" s="153">
        <f>'Athens Daily - EL'!AK25</f>
        <v>47138.5</v>
      </c>
      <c r="F20" s="155">
        <f>'Athens Daily - EL'!AL25</f>
        <v>14969.5</v>
      </c>
      <c r="G20" s="133">
        <f t="shared" si="1"/>
        <v>62108</v>
      </c>
      <c r="H20" s="153">
        <f>'Athens Daily - Water'!R24</f>
        <v>453.36000000000058</v>
      </c>
      <c r="I20" s="123">
        <f>'Athens Daily - Water'!S24</f>
        <v>158.65</v>
      </c>
      <c r="J20" s="129">
        <f t="shared" si="0"/>
        <v>612.01000000000056</v>
      </c>
      <c r="K20" s="153">
        <f>'Athens Daily - Gas'!BH26</f>
        <v>123796.2720000002</v>
      </c>
      <c r="L20" s="123">
        <f>'Athens Daily - Gas'!BI26</f>
        <v>70809.600000000006</v>
      </c>
      <c r="M20" s="133">
        <f t="shared" si="2"/>
        <v>5040.2971250971304</v>
      </c>
      <c r="N20" s="162">
        <f>Occ!G27</f>
        <v>412</v>
      </c>
      <c r="O20" s="105">
        <f>Occ!H27</f>
        <v>973</v>
      </c>
      <c r="P20" s="161">
        <v>918</v>
      </c>
      <c r="Q20" s="166"/>
    </row>
    <row r="21" spans="1:17">
      <c r="A21" s="7" t="s">
        <v>14</v>
      </c>
      <c r="B21" s="7">
        <v>19</v>
      </c>
      <c r="C21" s="7">
        <v>5</v>
      </c>
      <c r="D21" s="122">
        <v>2021</v>
      </c>
      <c r="E21" s="153">
        <f>'Athens Daily - EL'!AK26</f>
        <v>43661</v>
      </c>
      <c r="F21" s="155">
        <f>'Athens Daily - EL'!AL26</f>
        <v>11118</v>
      </c>
      <c r="G21" s="133">
        <f t="shared" si="1"/>
        <v>54779</v>
      </c>
      <c r="H21" s="153">
        <f>'Athens Daily - Water'!R25</f>
        <v>436.27229999999963</v>
      </c>
      <c r="I21" s="123">
        <f>'Athens Daily - Water'!S25</f>
        <v>139.80000000000001</v>
      </c>
      <c r="J21" s="129">
        <f t="shared" si="0"/>
        <v>576.07229999999959</v>
      </c>
      <c r="K21" s="153">
        <f>'Athens Daily - Gas'!BH27</f>
        <v>108149.56800000001</v>
      </c>
      <c r="L21" s="175">
        <f>'Athens Daily - Gas'!BI27</f>
        <v>60796.800000000003</v>
      </c>
      <c r="M21" s="133">
        <f t="shared" si="2"/>
        <v>4375.7153069153073</v>
      </c>
      <c r="N21" s="162">
        <f>Occ!G28</f>
        <v>403</v>
      </c>
      <c r="O21" s="105">
        <f>Occ!H28</f>
        <v>910</v>
      </c>
      <c r="P21" s="161">
        <v>918</v>
      </c>
      <c r="Q21" s="166"/>
    </row>
    <row r="22" spans="1:17">
      <c r="A22" s="7" t="s">
        <v>14</v>
      </c>
      <c r="B22" s="7">
        <v>20</v>
      </c>
      <c r="C22" s="7">
        <v>5</v>
      </c>
      <c r="D22" s="122">
        <v>2021</v>
      </c>
      <c r="E22" s="153">
        <f>'Athens Daily - EL'!AK27</f>
        <v>43695.5</v>
      </c>
      <c r="F22" s="155">
        <f>'Athens Daily - EL'!AL27</f>
        <v>11890.5</v>
      </c>
      <c r="G22" s="133">
        <f t="shared" si="1"/>
        <v>55586</v>
      </c>
      <c r="H22" s="153">
        <f>'Athens Daily - Water'!R26</f>
        <v>537.26400000000012</v>
      </c>
      <c r="I22" s="123">
        <f>'Athens Daily - Water'!S26</f>
        <v>167.60000000000002</v>
      </c>
      <c r="J22" s="129">
        <f t="shared" si="0"/>
        <v>704.86400000000015</v>
      </c>
      <c r="K22" s="153">
        <f>'Athens Daily - Gas'!BH28</f>
        <v>109866.96000000005</v>
      </c>
      <c r="L22" s="123">
        <f>'Athens Daily - Gas'!BI28</f>
        <v>61353.600000000006</v>
      </c>
      <c r="M22" s="133">
        <f t="shared" si="2"/>
        <v>4434.6169386169404</v>
      </c>
      <c r="N22" s="162">
        <f>Occ!G29</f>
        <v>394</v>
      </c>
      <c r="O22" s="105">
        <f>Occ!H29</f>
        <v>898</v>
      </c>
      <c r="P22" s="161">
        <v>918</v>
      </c>
      <c r="Q22" s="167"/>
    </row>
    <row r="23" spans="1:17">
      <c r="A23" s="7" t="s">
        <v>14</v>
      </c>
      <c r="B23" s="7">
        <v>21</v>
      </c>
      <c r="C23" s="7">
        <v>5</v>
      </c>
      <c r="D23" s="122">
        <v>2021</v>
      </c>
      <c r="E23" s="153">
        <f>'Athens Daily - EL'!AK28</f>
        <v>46210.5</v>
      </c>
      <c r="F23" s="155">
        <f>'Athens Daily - EL'!AL28</f>
        <v>13604.5</v>
      </c>
      <c r="G23" s="133">
        <f t="shared" si="1"/>
        <v>59815</v>
      </c>
      <c r="H23" s="174">
        <f>'Athens Daily - Water'!R27</f>
        <v>432.42900000000009</v>
      </c>
      <c r="I23" s="175">
        <f>'Athens Daily - Water'!S27</f>
        <v>174.15</v>
      </c>
      <c r="J23" s="129">
        <f t="shared" si="0"/>
        <v>606.57900000000006</v>
      </c>
      <c r="K23" s="153">
        <f>'Athens Daily - Gas'!BH29</f>
        <v>106293.26400000024</v>
      </c>
      <c r="L23" s="123">
        <f>'Athens Daily - Gas'!BI29</f>
        <v>61228.800000000003</v>
      </c>
      <c r="M23" s="133">
        <f t="shared" si="2"/>
        <v>4338.8257964258028</v>
      </c>
      <c r="N23" s="162">
        <f>Occ!G30</f>
        <v>388</v>
      </c>
      <c r="O23" s="105">
        <f>Occ!H30</f>
        <v>906</v>
      </c>
      <c r="P23" s="161">
        <v>918</v>
      </c>
      <c r="Q23" s="167"/>
    </row>
    <row r="24" spans="1:17">
      <c r="A24" s="7" t="s">
        <v>14</v>
      </c>
      <c r="B24" s="7">
        <v>22</v>
      </c>
      <c r="C24" s="7">
        <v>5</v>
      </c>
      <c r="D24" s="122">
        <v>2021</v>
      </c>
      <c r="E24" s="153">
        <f>'Athens Daily - EL'!AK29</f>
        <v>44170</v>
      </c>
      <c r="F24" s="155">
        <f>'Athens Daily - EL'!AL29</f>
        <v>11254</v>
      </c>
      <c r="G24" s="133">
        <f t="shared" si="1"/>
        <v>55424</v>
      </c>
      <c r="H24" s="174">
        <f>'Athens Daily - Water'!R28</f>
        <v>463.19880000000012</v>
      </c>
      <c r="I24" s="175">
        <f>'Athens Daily - Water'!S28</f>
        <v>112.10000000000001</v>
      </c>
      <c r="J24" s="129">
        <f t="shared" si="0"/>
        <v>575.29880000000014</v>
      </c>
      <c r="K24" s="153">
        <f>'Athens Daily - Gas'!BH30</f>
        <v>106156.17600000891</v>
      </c>
      <c r="L24" s="123">
        <f>'Athens Daily - Gas'!BI30</f>
        <v>58368.000000007822</v>
      </c>
      <c r="M24" s="133">
        <f t="shared" si="2"/>
        <v>4261.1804195808536</v>
      </c>
      <c r="N24" s="162">
        <f>Occ!G31</f>
        <v>418</v>
      </c>
      <c r="O24" s="105">
        <f>Occ!H31</f>
        <v>967</v>
      </c>
      <c r="P24" s="161">
        <v>918</v>
      </c>
      <c r="Q24" s="167"/>
    </row>
    <row r="25" spans="1:17">
      <c r="A25" s="7" t="s">
        <v>14</v>
      </c>
      <c r="B25" s="7">
        <v>23</v>
      </c>
      <c r="C25" s="7">
        <v>5</v>
      </c>
      <c r="D25" s="122">
        <v>2021</v>
      </c>
      <c r="E25" s="153">
        <f>'Athens Daily - EL'!AK30</f>
        <v>44879.5</v>
      </c>
      <c r="F25" s="155">
        <f>'Athens Daily - EL'!AL30</f>
        <v>11635.5</v>
      </c>
      <c r="G25" s="133">
        <f t="shared" si="1"/>
        <v>56515</v>
      </c>
      <c r="H25" s="174">
        <f>'Athens Daily - Water'!R29</f>
        <v>598.23430000000008</v>
      </c>
      <c r="I25" s="175">
        <f>'Athens Daily - Water'!S29</f>
        <v>151.15</v>
      </c>
      <c r="J25" s="129">
        <f t="shared" si="0"/>
        <v>749.38430000000005</v>
      </c>
      <c r="K25" s="174">
        <f>'Athens Daily - Gas'!BH31</f>
        <v>106156.17600000891</v>
      </c>
      <c r="L25" s="123">
        <f>'Athens Daily - Gas'!BI31</f>
        <v>58368.000000007822</v>
      </c>
      <c r="M25" s="133">
        <f t="shared" si="2"/>
        <v>4261.1804195808536</v>
      </c>
      <c r="N25" s="162">
        <f>Occ!G32</f>
        <v>385</v>
      </c>
      <c r="O25" s="105">
        <f>Occ!H32</f>
        <v>876</v>
      </c>
      <c r="P25" s="161">
        <v>918</v>
      </c>
      <c r="Q25" s="167"/>
    </row>
    <row r="26" spans="1:17">
      <c r="A26" s="7" t="s">
        <v>14</v>
      </c>
      <c r="B26" s="7">
        <v>24</v>
      </c>
      <c r="C26" s="7">
        <v>5</v>
      </c>
      <c r="D26" s="122">
        <v>2021</v>
      </c>
      <c r="E26" s="153">
        <f>'Athens Daily - EL'!AK31</f>
        <v>44748.5</v>
      </c>
      <c r="F26" s="155">
        <f>'Athens Daily - EL'!AL31</f>
        <v>12385.5</v>
      </c>
      <c r="G26" s="133">
        <f t="shared" si="1"/>
        <v>57134</v>
      </c>
      <c r="H26" s="174">
        <f>'Athens Daily - Water'!R30</f>
        <v>465.8748999999998</v>
      </c>
      <c r="I26" s="175">
        <f>'Athens Daily - Water'!S30</f>
        <v>159.10000000000002</v>
      </c>
      <c r="J26" s="129">
        <f t="shared" si="0"/>
        <v>624.97489999999982</v>
      </c>
      <c r="K26" s="153">
        <f>'Athens Daily - Gas'!BH32</f>
        <v>106156.17599998209</v>
      </c>
      <c r="L26" s="123">
        <f>'Athens Daily - Gas'!BI32</f>
        <v>58367.999999984357</v>
      </c>
      <c r="M26" s="133">
        <f t="shared" si="2"/>
        <v>4261.1804195795503</v>
      </c>
      <c r="N26" s="162">
        <f>Occ!G33</f>
        <v>365</v>
      </c>
      <c r="O26" s="105">
        <f>Occ!H33</f>
        <v>823</v>
      </c>
      <c r="P26" s="161">
        <v>918</v>
      </c>
      <c r="Q26" s="167"/>
    </row>
    <row r="27" spans="1:17">
      <c r="A27" s="7" t="s">
        <v>14</v>
      </c>
      <c r="B27" s="7">
        <v>25</v>
      </c>
      <c r="C27" s="7">
        <v>5</v>
      </c>
      <c r="D27" s="122">
        <v>2021</v>
      </c>
      <c r="E27" s="153">
        <f>'Athens Daily - EL'!AK32</f>
        <v>42855.5</v>
      </c>
      <c r="F27" s="155">
        <f>'Athens Daily - EL'!AL32</f>
        <v>11328.5</v>
      </c>
      <c r="G27" s="133">
        <f t="shared" si="1"/>
        <v>54184</v>
      </c>
      <c r="H27" s="174">
        <f>'Athens Daily - Water'!R31</f>
        <v>403</v>
      </c>
      <c r="I27" s="175">
        <f>'Athens Daily - Water'!S31</f>
        <v>163.15</v>
      </c>
      <c r="J27" s="129">
        <f t="shared" si="0"/>
        <v>566.15</v>
      </c>
      <c r="K27" s="153">
        <f>'Athens Daily - Gas'!BH33</f>
        <v>105344.25599999944</v>
      </c>
      <c r="L27" s="123">
        <f>'Athens Daily - Gas'!BI33</f>
        <v>60921.600000000006</v>
      </c>
      <c r="M27" s="133">
        <f t="shared" si="2"/>
        <v>4306.2899766899627</v>
      </c>
      <c r="N27" s="162">
        <f>Occ!G34</f>
        <v>360</v>
      </c>
      <c r="O27" s="105">
        <f>Occ!H34</f>
        <v>817</v>
      </c>
      <c r="P27" s="161">
        <v>918</v>
      </c>
      <c r="Q27" s="165"/>
    </row>
    <row r="28" spans="1:17">
      <c r="A28" s="7" t="s">
        <v>14</v>
      </c>
      <c r="B28" s="7">
        <v>26</v>
      </c>
      <c r="C28" s="7">
        <v>5</v>
      </c>
      <c r="D28" s="122">
        <v>2021</v>
      </c>
      <c r="E28" s="153">
        <f>'Athens Daily - EL'!AK33</f>
        <v>41857</v>
      </c>
      <c r="F28" s="155">
        <f>'Athens Daily - EL'!AL33</f>
        <v>10116</v>
      </c>
      <c r="G28" s="133">
        <f t="shared" si="1"/>
        <v>51973</v>
      </c>
      <c r="H28" s="153">
        <f>'Athens Daily - Water'!R32</f>
        <v>449.5</v>
      </c>
      <c r="I28" s="123">
        <f>'Athens Daily - Water'!S32</f>
        <v>135.30000000000001</v>
      </c>
      <c r="J28" s="129">
        <f t="shared" si="0"/>
        <v>584.79999999999995</v>
      </c>
      <c r="K28" s="153">
        <f>'Athens Daily - Gas'!BH34</f>
        <v>102327.31200000001</v>
      </c>
      <c r="L28" s="123">
        <f>'Athens Daily - Gas'!BI34</f>
        <v>59337.600000000006</v>
      </c>
      <c r="M28" s="133">
        <f t="shared" si="2"/>
        <v>4187.1254079254086</v>
      </c>
      <c r="N28" s="162">
        <f>Occ!G35</f>
        <v>360</v>
      </c>
      <c r="O28" s="105">
        <f>Occ!H35</f>
        <v>814</v>
      </c>
      <c r="P28" s="161">
        <v>918</v>
      </c>
      <c r="Q28" s="165"/>
    </row>
    <row r="29" spans="1:17">
      <c r="A29" s="7" t="s">
        <v>14</v>
      </c>
      <c r="B29" s="7">
        <v>27</v>
      </c>
      <c r="C29" s="7">
        <v>5</v>
      </c>
      <c r="D29" s="122">
        <v>2021</v>
      </c>
      <c r="E29" s="153">
        <f>'Athens Daily - EL'!AK34</f>
        <v>43254.5</v>
      </c>
      <c r="F29" s="155">
        <f>'Athens Daily - EL'!AL34</f>
        <v>10608.5</v>
      </c>
      <c r="G29" s="133">
        <f t="shared" si="1"/>
        <v>53863</v>
      </c>
      <c r="H29" s="153">
        <f>'Athens Daily - Water'!R33</f>
        <v>423</v>
      </c>
      <c r="I29" s="123">
        <f>'Athens Daily - Water'!S33</f>
        <v>164.2</v>
      </c>
      <c r="J29" s="129">
        <f t="shared" si="0"/>
        <v>587.20000000000005</v>
      </c>
      <c r="K29" s="153">
        <f>'Athens Daily - Gas'!BH35</f>
        <v>100569.12000000026</v>
      </c>
      <c r="L29" s="123">
        <f>'Athens Daily - Gas'!BI35</f>
        <v>57446.400000000001</v>
      </c>
      <c r="M29" s="133">
        <f t="shared" si="2"/>
        <v>4092.6060606060673</v>
      </c>
      <c r="N29" s="162">
        <f>Occ!G36</f>
        <v>365</v>
      </c>
      <c r="O29" s="105">
        <f>Occ!H36</f>
        <v>823</v>
      </c>
      <c r="P29" s="161">
        <v>918</v>
      </c>
      <c r="Q29" s="165"/>
    </row>
    <row r="30" spans="1:17">
      <c r="A30" s="7" t="s">
        <v>14</v>
      </c>
      <c r="B30" s="7">
        <v>28</v>
      </c>
      <c r="C30" s="7">
        <v>5</v>
      </c>
      <c r="D30" s="122">
        <v>2021</v>
      </c>
      <c r="E30" s="153">
        <f>'Athens Daily - EL'!AK35</f>
        <v>43036.5</v>
      </c>
      <c r="F30" s="155">
        <f>'Athens Daily - EL'!AL35</f>
        <v>10760.5</v>
      </c>
      <c r="G30" s="133">
        <f t="shared" si="1"/>
        <v>53797</v>
      </c>
      <c r="H30" s="153">
        <f>'Athens Daily - Water'!R34</f>
        <v>464.5</v>
      </c>
      <c r="I30" s="123">
        <f>'Athens Daily - Water'!S34</f>
        <v>-62.3</v>
      </c>
      <c r="J30" s="129">
        <f t="shared" si="0"/>
        <v>402.2</v>
      </c>
      <c r="K30" s="153">
        <f>'Athens Daily - Gas'!BH36</f>
        <v>105074.54399999985</v>
      </c>
      <c r="L30" s="123">
        <f>'Athens Daily - Gas'!BI36</f>
        <v>59241.600000000006</v>
      </c>
      <c r="M30" s="133">
        <f t="shared" si="2"/>
        <v>4255.7923853923821</v>
      </c>
      <c r="N30" s="162">
        <f>Occ!G37</f>
        <v>0</v>
      </c>
      <c r="O30" s="105">
        <f>Occ!H37</f>
        <v>0</v>
      </c>
      <c r="P30" s="161">
        <v>918</v>
      </c>
      <c r="Q30" s="165"/>
    </row>
    <row r="31" spans="1:17">
      <c r="A31" s="7" t="s">
        <v>14</v>
      </c>
      <c r="B31" s="7">
        <v>29</v>
      </c>
      <c r="C31" s="7">
        <v>5</v>
      </c>
      <c r="D31" s="122">
        <v>2021</v>
      </c>
      <c r="E31" s="153">
        <f>'Athens Daily - EL'!AK36</f>
        <v>-17829968</v>
      </c>
      <c r="F31" s="155">
        <f>'Athens Daily - EL'!AL36</f>
        <v>-6312635</v>
      </c>
      <c r="G31" s="133">
        <f t="shared" si="1"/>
        <v>-24142603</v>
      </c>
      <c r="H31" s="153">
        <f>'Athens Daily - Water'!R35</f>
        <v>-435425</v>
      </c>
      <c r="I31" s="123">
        <f>'Athens Daily - Water'!S35</f>
        <v>-177348.05</v>
      </c>
      <c r="J31" s="129">
        <f t="shared" si="0"/>
        <v>-612773.05000000005</v>
      </c>
      <c r="K31" s="153">
        <f>'Athens Daily - Gas'!BH37</f>
        <v>-432738250.46400005</v>
      </c>
      <c r="L31" s="123">
        <f>'Athens Daily - Gas'!BI37</f>
        <v>-226268342.40000001</v>
      </c>
      <c r="M31" s="133">
        <f t="shared" si="2"/>
        <v>-17068287.823465426</v>
      </c>
      <c r="N31" s="162">
        <f>Occ!G38</f>
        <v>0</v>
      </c>
      <c r="O31" s="105">
        <f>Occ!H38</f>
        <v>0</v>
      </c>
      <c r="P31" s="161">
        <v>918</v>
      </c>
      <c r="Q31" s="165"/>
    </row>
    <row r="32" spans="1:17">
      <c r="A32" s="7" t="s">
        <v>14</v>
      </c>
      <c r="B32" s="7">
        <v>30</v>
      </c>
      <c r="C32" s="7">
        <v>5</v>
      </c>
      <c r="D32" s="122">
        <v>2021</v>
      </c>
      <c r="E32" s="153">
        <f>'Athens Daily - EL'!AK37</f>
        <v>0</v>
      </c>
      <c r="F32" s="155">
        <f>'Athens Daily - EL'!AL37</f>
        <v>0</v>
      </c>
      <c r="G32" s="133">
        <f t="shared" si="1"/>
        <v>0</v>
      </c>
      <c r="H32" s="153">
        <f>'Athens Daily - Water'!R36</f>
        <v>0</v>
      </c>
      <c r="I32" s="123">
        <f>'Athens Daily - Water'!S36</f>
        <v>0</v>
      </c>
      <c r="J32" s="129">
        <f t="shared" si="0"/>
        <v>0</v>
      </c>
      <c r="K32" s="153">
        <f>'Athens Daily - Gas'!BH38</f>
        <v>0</v>
      </c>
      <c r="L32" s="123">
        <f>'Athens Daily - Gas'!BI38</f>
        <v>0</v>
      </c>
      <c r="M32" s="133">
        <f t="shared" si="2"/>
        <v>0</v>
      </c>
      <c r="N32" s="162">
        <f>Occ!G39</f>
        <v>0</v>
      </c>
      <c r="O32" s="105">
        <f>Occ!H39</f>
        <v>0</v>
      </c>
      <c r="P32" s="161">
        <v>918</v>
      </c>
      <c r="Q32" s="165"/>
    </row>
    <row r="33" spans="1:17" ht="15.75" thickBot="1">
      <c r="A33" s="7" t="s">
        <v>14</v>
      </c>
      <c r="B33" s="7">
        <v>31</v>
      </c>
      <c r="C33" s="7">
        <v>5</v>
      </c>
      <c r="D33" s="122">
        <v>2021</v>
      </c>
      <c r="E33" s="154">
        <f>'Athens Daily - EL'!AK38</f>
        <v>0</v>
      </c>
      <c r="F33" s="156">
        <f>'Athens Daily - EL'!AL38</f>
        <v>0</v>
      </c>
      <c r="G33" s="134">
        <f t="shared" si="1"/>
        <v>0</v>
      </c>
      <c r="H33" s="154">
        <f>'Athens Daily - Water'!R37</f>
        <v>0</v>
      </c>
      <c r="I33" s="127">
        <f>'Athens Daily - Water'!S37</f>
        <v>0</v>
      </c>
      <c r="J33" s="130">
        <f t="shared" si="0"/>
        <v>0</v>
      </c>
      <c r="K33" s="154">
        <f>'Athens Daily - Gas'!BH39</f>
        <v>0</v>
      </c>
      <c r="L33" s="127">
        <f>'Athens Daily - Gas'!BI39</f>
        <v>0</v>
      </c>
      <c r="M33" s="134">
        <f t="shared" si="2"/>
        <v>0</v>
      </c>
      <c r="N33" s="169">
        <f>Occ!G40</f>
        <v>0</v>
      </c>
      <c r="O33" s="160">
        <f>Occ!H40</f>
        <v>0</v>
      </c>
      <c r="P33" s="159">
        <v>918</v>
      </c>
      <c r="Q33" s="165"/>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abSelected="1" topLeftCell="A4" zoomScaleNormal="100" workbookViewId="0">
      <pane xSplit="2" ySplit="6" topLeftCell="C27" activePane="bottomRight" state="frozen"/>
      <selection activeCell="A4" sqref="A4"/>
      <selection pane="topRight" activeCell="C4" sqref="C4"/>
      <selection pane="bottomLeft" activeCell="A10" sqref="A10"/>
      <selection pane="bottomRight" activeCell="D56" sqref="D56"/>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5" t="s">
        <v>15</v>
      </c>
      <c r="B1" s="135" t="s">
        <v>16</v>
      </c>
      <c r="C1" s="136"/>
      <c r="D1" s="136"/>
      <c r="E1" s="136"/>
      <c r="F1" s="136"/>
      <c r="G1" s="136"/>
      <c r="H1" s="136"/>
      <c r="I1" s="136"/>
      <c r="J1" s="135"/>
      <c r="K1" s="135"/>
      <c r="L1" s="135"/>
      <c r="M1" s="135"/>
      <c r="N1" s="135"/>
    </row>
    <row r="2" spans="1:14">
      <c r="A2" s="135"/>
      <c r="B2" s="135"/>
      <c r="C2" s="136"/>
      <c r="D2" s="136"/>
      <c r="E2" s="136"/>
      <c r="F2" s="136"/>
      <c r="G2" s="136"/>
      <c r="H2" s="136"/>
      <c r="I2" s="136"/>
      <c r="J2" s="135"/>
      <c r="K2" s="135"/>
      <c r="L2" s="135"/>
      <c r="M2" s="135"/>
      <c r="N2" s="135"/>
    </row>
    <row r="3" spans="1:14">
      <c r="A3" s="135"/>
      <c r="B3" s="135"/>
      <c r="C3" s="137" t="s">
        <v>17</v>
      </c>
      <c r="D3" s="137"/>
      <c r="E3" s="137"/>
      <c r="F3" s="137"/>
      <c r="G3" s="137"/>
      <c r="H3" s="137"/>
      <c r="I3" s="137"/>
      <c r="J3" s="138"/>
      <c r="K3" s="138"/>
      <c r="L3" s="138"/>
      <c r="M3" s="138"/>
      <c r="N3" s="138"/>
    </row>
    <row r="4" spans="1:14">
      <c r="A4" s="135"/>
      <c r="B4" s="135"/>
      <c r="C4" s="136" t="s">
        <v>18</v>
      </c>
      <c r="D4" s="136"/>
      <c r="E4" s="136"/>
      <c r="F4" s="136"/>
      <c r="G4" s="136"/>
      <c r="H4" s="136"/>
      <c r="I4" s="136"/>
      <c r="J4" s="135"/>
      <c r="K4" s="135"/>
      <c r="L4" s="135"/>
      <c r="M4" s="135"/>
      <c r="N4" s="135"/>
    </row>
    <row r="5" spans="1:14">
      <c r="A5" s="135"/>
      <c r="B5" s="135"/>
      <c r="C5" s="136" t="s">
        <v>19</v>
      </c>
      <c r="D5" s="136"/>
      <c r="E5" s="136"/>
      <c r="F5" s="136"/>
      <c r="G5" s="136"/>
      <c r="H5" s="136"/>
      <c r="I5" s="136"/>
      <c r="J5" s="135"/>
      <c r="K5" s="135"/>
      <c r="L5" s="135"/>
      <c r="M5" s="135"/>
      <c r="N5" s="135"/>
    </row>
    <row r="6" spans="1:14">
      <c r="A6" s="135"/>
      <c r="B6" s="135"/>
      <c r="C6" s="136" t="s">
        <v>12</v>
      </c>
      <c r="D6" s="136"/>
      <c r="E6" s="136"/>
      <c r="F6" s="136"/>
      <c r="G6" s="136"/>
      <c r="H6" s="136"/>
      <c r="I6" s="136"/>
      <c r="J6" s="135"/>
      <c r="K6" s="135"/>
      <c r="L6" s="135"/>
      <c r="M6" s="135"/>
      <c r="N6" s="135"/>
    </row>
    <row r="7" spans="1:14">
      <c r="A7" s="135"/>
      <c r="B7" s="135" t="s">
        <v>20</v>
      </c>
      <c r="C7" s="136" t="s">
        <v>403</v>
      </c>
      <c r="D7" s="136"/>
      <c r="E7" s="136"/>
      <c r="F7" s="136"/>
      <c r="G7" s="136"/>
      <c r="H7" s="136"/>
      <c r="I7" s="136"/>
      <c r="J7" s="135"/>
      <c r="K7" s="135"/>
      <c r="L7" s="135"/>
      <c r="M7" s="135"/>
      <c r="N7" s="135"/>
    </row>
    <row r="8" spans="1:14" ht="15.75" thickBot="1">
      <c r="A8" s="135"/>
      <c r="B8" s="135" t="s">
        <v>21</v>
      </c>
      <c r="C8" s="139"/>
      <c r="D8" s="139"/>
      <c r="E8" s="139"/>
      <c r="F8" s="139"/>
      <c r="G8" s="201" t="s">
        <v>22</v>
      </c>
      <c r="H8" s="202"/>
      <c r="I8" s="136"/>
      <c r="J8" s="135"/>
      <c r="K8" s="135"/>
      <c r="L8" s="135"/>
      <c r="M8" s="135"/>
      <c r="N8" s="135"/>
    </row>
    <row r="9" spans="1:14">
      <c r="A9" s="135"/>
      <c r="B9" s="140" t="s">
        <v>23</v>
      </c>
      <c r="C9" s="141" t="s">
        <v>24</v>
      </c>
      <c r="D9" s="142" t="s">
        <v>25</v>
      </c>
      <c r="E9" s="141" t="s">
        <v>26</v>
      </c>
      <c r="F9" s="142" t="s">
        <v>25</v>
      </c>
      <c r="G9" s="141" t="s">
        <v>27</v>
      </c>
      <c r="H9" s="142" t="s">
        <v>11</v>
      </c>
      <c r="I9" s="143" t="s">
        <v>12</v>
      </c>
      <c r="J9" s="135"/>
      <c r="K9" s="135"/>
      <c r="L9" s="135"/>
      <c r="M9" s="135"/>
      <c r="N9" s="135"/>
    </row>
    <row r="10" spans="1:14">
      <c r="A10" s="135"/>
      <c r="B10" s="144" t="s">
        <v>28</v>
      </c>
      <c r="C10" s="145">
        <v>137</v>
      </c>
      <c r="D10" s="146">
        <v>349</v>
      </c>
      <c r="E10" s="145">
        <v>283</v>
      </c>
      <c r="F10" s="146">
        <v>674</v>
      </c>
      <c r="G10" s="168">
        <f>SUM(C10+E10)</f>
        <v>420</v>
      </c>
      <c r="H10" s="146">
        <f>D10+F10</f>
        <v>1023</v>
      </c>
      <c r="I10" s="143">
        <v>918</v>
      </c>
      <c r="J10" s="135"/>
      <c r="K10" s="135"/>
      <c r="L10" s="135"/>
      <c r="M10" s="135"/>
      <c r="N10" s="135"/>
    </row>
    <row r="11" spans="1:14">
      <c r="A11" s="135"/>
      <c r="B11" s="144" t="s">
        <v>29</v>
      </c>
      <c r="C11" s="145">
        <v>56</v>
      </c>
      <c r="D11" s="146">
        <v>121</v>
      </c>
      <c r="E11" s="145">
        <v>281</v>
      </c>
      <c r="F11" s="146">
        <v>670</v>
      </c>
      <c r="G11" s="168">
        <f t="shared" ref="G11:G40" si="0">SUM(C11+E11)</f>
        <v>337</v>
      </c>
      <c r="H11" s="146">
        <f t="shared" ref="H11:H14" si="1">D11+F11</f>
        <v>791</v>
      </c>
      <c r="I11" s="143">
        <v>918</v>
      </c>
      <c r="J11" s="135"/>
      <c r="K11" s="135"/>
      <c r="L11" s="135"/>
      <c r="M11" s="135"/>
      <c r="N11" s="135"/>
    </row>
    <row r="12" spans="1:14">
      <c r="A12" s="135"/>
      <c r="B12" s="144" t="s">
        <v>30</v>
      </c>
      <c r="C12" s="145">
        <v>43</v>
      </c>
      <c r="D12" s="146">
        <v>89</v>
      </c>
      <c r="E12" s="145">
        <v>279</v>
      </c>
      <c r="F12" s="146">
        <v>667</v>
      </c>
      <c r="G12" s="168">
        <f t="shared" si="0"/>
        <v>322</v>
      </c>
      <c r="H12" s="146">
        <f t="shared" si="1"/>
        <v>756</v>
      </c>
      <c r="I12" s="143">
        <v>918</v>
      </c>
      <c r="J12" s="135"/>
      <c r="K12" s="135"/>
      <c r="L12" s="135"/>
      <c r="M12" s="135"/>
      <c r="N12" s="135"/>
    </row>
    <row r="13" spans="1:14">
      <c r="A13" s="135"/>
      <c r="B13" s="144" t="s">
        <v>31</v>
      </c>
      <c r="C13" s="145">
        <v>41</v>
      </c>
      <c r="D13" s="146">
        <v>80</v>
      </c>
      <c r="E13" s="145">
        <v>279</v>
      </c>
      <c r="F13" s="146">
        <v>667</v>
      </c>
      <c r="G13" s="168">
        <f t="shared" si="0"/>
        <v>320</v>
      </c>
      <c r="H13" s="146">
        <f t="shared" si="1"/>
        <v>747</v>
      </c>
      <c r="I13" s="143">
        <v>918</v>
      </c>
      <c r="J13" s="135"/>
      <c r="K13" s="135"/>
      <c r="L13" s="135"/>
      <c r="M13" s="135"/>
      <c r="N13" s="135"/>
    </row>
    <row r="14" spans="1:14">
      <c r="A14" s="135"/>
      <c r="B14" s="144" t="s">
        <v>32</v>
      </c>
      <c r="C14" s="145">
        <v>35</v>
      </c>
      <c r="D14" s="146">
        <v>67</v>
      </c>
      <c r="E14" s="145">
        <v>280</v>
      </c>
      <c r="F14" s="146">
        <v>664</v>
      </c>
      <c r="G14" s="168">
        <f t="shared" si="0"/>
        <v>315</v>
      </c>
      <c r="H14" s="146">
        <f t="shared" si="1"/>
        <v>731</v>
      </c>
      <c r="I14" s="143">
        <v>918</v>
      </c>
      <c r="J14" s="135"/>
      <c r="K14" s="135"/>
      <c r="L14" s="135"/>
      <c r="M14" s="135"/>
      <c r="N14" s="135"/>
    </row>
    <row r="15" spans="1:14">
      <c r="A15" s="135"/>
      <c r="B15" s="144" t="s">
        <v>33</v>
      </c>
      <c r="C15" s="145">
        <v>38</v>
      </c>
      <c r="D15" s="146">
        <v>76</v>
      </c>
      <c r="E15" s="145">
        <v>279</v>
      </c>
      <c r="F15" s="146">
        <v>663</v>
      </c>
      <c r="G15" s="168">
        <f t="shared" si="0"/>
        <v>317</v>
      </c>
      <c r="H15" s="146">
        <f t="shared" ref="H15:H40" si="2">D15+F15</f>
        <v>739</v>
      </c>
      <c r="I15" s="143">
        <v>918</v>
      </c>
      <c r="J15" s="135"/>
      <c r="K15" s="135"/>
      <c r="L15" s="135"/>
      <c r="M15" s="135"/>
      <c r="N15" s="135"/>
    </row>
    <row r="16" spans="1:14">
      <c r="A16" s="135"/>
      <c r="B16" s="144" t="s">
        <v>34</v>
      </c>
      <c r="C16" s="145">
        <v>56</v>
      </c>
      <c r="D16" s="146">
        <v>131</v>
      </c>
      <c r="E16" s="145">
        <v>280</v>
      </c>
      <c r="F16" s="146">
        <v>666</v>
      </c>
      <c r="G16" s="168">
        <f t="shared" si="0"/>
        <v>336</v>
      </c>
      <c r="H16" s="146">
        <f t="shared" si="2"/>
        <v>797</v>
      </c>
      <c r="I16" s="143">
        <v>918</v>
      </c>
      <c r="J16" s="135"/>
      <c r="K16" s="135"/>
      <c r="L16" s="135"/>
      <c r="M16" s="135"/>
      <c r="N16" s="135"/>
    </row>
    <row r="17" spans="1:14">
      <c r="A17" s="135"/>
      <c r="B17" s="144" t="s">
        <v>35</v>
      </c>
      <c r="C17" s="145">
        <v>141</v>
      </c>
      <c r="D17" s="146">
        <v>347</v>
      </c>
      <c r="E17" s="145">
        <v>279</v>
      </c>
      <c r="F17" s="146">
        <v>662</v>
      </c>
      <c r="G17" s="168">
        <f t="shared" si="0"/>
        <v>420</v>
      </c>
      <c r="H17" s="146">
        <f t="shared" si="2"/>
        <v>1009</v>
      </c>
      <c r="I17" s="143">
        <v>918</v>
      </c>
      <c r="J17" s="135"/>
      <c r="K17" s="135"/>
      <c r="L17" s="135"/>
      <c r="M17" s="135"/>
      <c r="N17" s="135"/>
    </row>
    <row r="18" spans="1:14">
      <c r="A18" s="135"/>
      <c r="B18" s="144" t="s">
        <v>36</v>
      </c>
      <c r="C18" s="145">
        <v>50</v>
      </c>
      <c r="D18" s="146">
        <v>109</v>
      </c>
      <c r="E18" s="145">
        <v>280</v>
      </c>
      <c r="F18" s="146">
        <v>663</v>
      </c>
      <c r="G18" s="168">
        <f t="shared" si="0"/>
        <v>330</v>
      </c>
      <c r="H18" s="146">
        <f t="shared" si="2"/>
        <v>772</v>
      </c>
      <c r="I18" s="143">
        <v>918</v>
      </c>
      <c r="J18" s="135"/>
      <c r="K18" s="135"/>
      <c r="L18" s="135"/>
      <c r="M18" s="135"/>
      <c r="N18" s="135"/>
    </row>
    <row r="19" spans="1:14">
      <c r="A19" s="135"/>
      <c r="B19" s="144" t="s">
        <v>37</v>
      </c>
      <c r="C19" s="145">
        <v>61</v>
      </c>
      <c r="D19" s="146">
        <v>126</v>
      </c>
      <c r="E19" s="145">
        <v>280</v>
      </c>
      <c r="F19" s="146">
        <v>663</v>
      </c>
      <c r="G19" s="168">
        <f t="shared" si="0"/>
        <v>341</v>
      </c>
      <c r="H19" s="146">
        <f t="shared" si="2"/>
        <v>789</v>
      </c>
      <c r="I19" s="143">
        <v>918</v>
      </c>
      <c r="J19" s="135"/>
      <c r="K19" s="135"/>
      <c r="L19" s="135"/>
      <c r="M19" s="135"/>
      <c r="N19" s="135"/>
    </row>
    <row r="20" spans="1:14">
      <c r="A20" s="135"/>
      <c r="B20" s="144" t="s">
        <v>38</v>
      </c>
      <c r="C20" s="145">
        <v>52</v>
      </c>
      <c r="D20" s="146">
        <v>103</v>
      </c>
      <c r="E20" s="145">
        <v>279</v>
      </c>
      <c r="F20" s="146">
        <v>660</v>
      </c>
      <c r="G20" s="168">
        <f t="shared" si="0"/>
        <v>331</v>
      </c>
      <c r="H20" s="146">
        <f t="shared" si="2"/>
        <v>763</v>
      </c>
      <c r="I20" s="143">
        <v>918</v>
      </c>
      <c r="J20" s="135"/>
      <c r="K20" s="135"/>
      <c r="L20" s="135"/>
      <c r="M20" s="135"/>
      <c r="N20" s="135"/>
    </row>
    <row r="21" spans="1:14">
      <c r="A21" s="135"/>
      <c r="B21" s="144" t="s">
        <v>39</v>
      </c>
      <c r="C21" s="145">
        <v>73</v>
      </c>
      <c r="D21" s="146">
        <v>149</v>
      </c>
      <c r="E21" s="168">
        <v>278</v>
      </c>
      <c r="F21" s="146">
        <v>659</v>
      </c>
      <c r="G21" s="168">
        <f t="shared" ref="G21:G34" si="3">SUM(C21+E21)</f>
        <v>351</v>
      </c>
      <c r="H21" s="146">
        <f t="shared" ref="H21:H34" si="4">D21+F21</f>
        <v>808</v>
      </c>
      <c r="I21" s="143">
        <v>918</v>
      </c>
      <c r="J21" s="135"/>
      <c r="K21" s="135"/>
      <c r="L21" s="135"/>
      <c r="M21" s="135"/>
      <c r="N21" s="135"/>
    </row>
    <row r="22" spans="1:14">
      <c r="A22" s="135"/>
      <c r="B22" s="144" t="s">
        <v>40</v>
      </c>
      <c r="C22" s="145">
        <v>102</v>
      </c>
      <c r="D22" s="146">
        <v>212</v>
      </c>
      <c r="E22" s="168">
        <v>280</v>
      </c>
      <c r="F22" s="146">
        <v>661</v>
      </c>
      <c r="G22" s="168">
        <f t="shared" si="3"/>
        <v>382</v>
      </c>
      <c r="H22" s="146">
        <f t="shared" si="4"/>
        <v>873</v>
      </c>
      <c r="I22" s="143">
        <v>918</v>
      </c>
      <c r="J22" s="135"/>
      <c r="K22" s="135"/>
      <c r="L22" s="135"/>
      <c r="M22" s="135"/>
      <c r="N22" s="135"/>
    </row>
    <row r="23" spans="1:14">
      <c r="A23" s="135"/>
      <c r="B23" s="144" t="s">
        <v>41</v>
      </c>
      <c r="C23" s="145">
        <v>106</v>
      </c>
      <c r="D23" s="146">
        <v>236</v>
      </c>
      <c r="E23" s="168">
        <v>278</v>
      </c>
      <c r="F23" s="146">
        <v>658</v>
      </c>
      <c r="G23" s="168">
        <f t="shared" si="3"/>
        <v>384</v>
      </c>
      <c r="H23" s="146">
        <f t="shared" si="4"/>
        <v>894</v>
      </c>
      <c r="I23" s="143">
        <v>918</v>
      </c>
      <c r="J23" s="135"/>
      <c r="K23" s="135"/>
      <c r="L23" s="135"/>
      <c r="M23" s="135"/>
      <c r="N23" s="135"/>
    </row>
    <row r="24" spans="1:14">
      <c r="A24" s="135"/>
      <c r="B24" s="144" t="s">
        <v>42</v>
      </c>
      <c r="C24" s="145">
        <v>150</v>
      </c>
      <c r="D24" s="146">
        <v>360</v>
      </c>
      <c r="E24" s="168">
        <v>277</v>
      </c>
      <c r="F24" s="146">
        <v>653</v>
      </c>
      <c r="G24" s="168">
        <f t="shared" si="3"/>
        <v>427</v>
      </c>
      <c r="H24" s="146">
        <f t="shared" si="4"/>
        <v>1013</v>
      </c>
      <c r="I24" s="143">
        <v>918</v>
      </c>
      <c r="J24" s="135"/>
      <c r="K24" s="135"/>
      <c r="L24" s="135"/>
      <c r="M24" s="135"/>
      <c r="N24" s="135"/>
    </row>
    <row r="25" spans="1:14">
      <c r="A25" s="135"/>
      <c r="B25" s="144" t="s">
        <v>43</v>
      </c>
      <c r="C25" s="145">
        <v>127</v>
      </c>
      <c r="D25" s="146">
        <v>274</v>
      </c>
      <c r="E25" s="168">
        <v>277</v>
      </c>
      <c r="F25" s="146">
        <v>651</v>
      </c>
      <c r="G25" s="168">
        <f t="shared" si="3"/>
        <v>404</v>
      </c>
      <c r="H25" s="146">
        <f t="shared" si="4"/>
        <v>925</v>
      </c>
      <c r="I25" s="143">
        <v>918</v>
      </c>
      <c r="J25" s="135"/>
      <c r="K25" s="135"/>
      <c r="L25" s="135"/>
      <c r="M25" s="135"/>
      <c r="N25" s="135"/>
    </row>
    <row r="26" spans="1:14">
      <c r="A26" s="135"/>
      <c r="B26" s="144" t="s">
        <v>44</v>
      </c>
      <c r="C26" s="145">
        <v>112</v>
      </c>
      <c r="D26" s="146">
        <v>236</v>
      </c>
      <c r="E26" s="168">
        <v>276</v>
      </c>
      <c r="F26" s="146">
        <v>649</v>
      </c>
      <c r="G26" s="168">
        <f t="shared" si="3"/>
        <v>388</v>
      </c>
      <c r="H26" s="146">
        <f t="shared" si="4"/>
        <v>885</v>
      </c>
      <c r="I26" s="143">
        <v>918</v>
      </c>
      <c r="J26" s="135"/>
      <c r="K26" s="135"/>
      <c r="L26" s="135"/>
      <c r="M26" s="135"/>
      <c r="N26" s="135"/>
    </row>
    <row r="27" spans="1:14">
      <c r="A27" s="135"/>
      <c r="B27" s="144" t="s">
        <v>45</v>
      </c>
      <c r="C27" s="145">
        <v>139</v>
      </c>
      <c r="D27" s="146">
        <v>328</v>
      </c>
      <c r="E27" s="168">
        <v>273</v>
      </c>
      <c r="F27" s="146">
        <v>645</v>
      </c>
      <c r="G27" s="168">
        <f t="shared" si="3"/>
        <v>412</v>
      </c>
      <c r="H27" s="146">
        <f t="shared" si="4"/>
        <v>973</v>
      </c>
      <c r="I27" s="143">
        <v>918</v>
      </c>
      <c r="J27" s="135"/>
      <c r="K27" s="135"/>
      <c r="L27" s="135"/>
      <c r="M27" s="135"/>
      <c r="N27" s="135"/>
    </row>
    <row r="28" spans="1:14">
      <c r="A28" s="135"/>
      <c r="B28" s="144" t="s">
        <v>46</v>
      </c>
      <c r="C28" s="145">
        <v>129</v>
      </c>
      <c r="D28" s="146">
        <v>264</v>
      </c>
      <c r="E28" s="168">
        <v>274</v>
      </c>
      <c r="F28" s="146">
        <v>646</v>
      </c>
      <c r="G28" s="168">
        <f t="shared" si="3"/>
        <v>403</v>
      </c>
      <c r="H28" s="146">
        <f t="shared" si="4"/>
        <v>910</v>
      </c>
      <c r="I28" s="143">
        <v>918</v>
      </c>
      <c r="J28" s="135"/>
      <c r="K28" s="135"/>
      <c r="L28" s="135"/>
      <c r="M28" s="135"/>
      <c r="N28" s="135"/>
    </row>
    <row r="29" spans="1:14">
      <c r="A29" s="135"/>
      <c r="B29" s="144" t="s">
        <v>47</v>
      </c>
      <c r="C29" s="145">
        <v>119</v>
      </c>
      <c r="D29" s="146">
        <v>251</v>
      </c>
      <c r="E29" s="168">
        <v>275</v>
      </c>
      <c r="F29" s="146">
        <v>647</v>
      </c>
      <c r="G29" s="168">
        <f t="shared" si="3"/>
        <v>394</v>
      </c>
      <c r="H29" s="146">
        <f t="shared" si="4"/>
        <v>898</v>
      </c>
      <c r="I29" s="143">
        <v>918</v>
      </c>
      <c r="J29" s="135"/>
      <c r="K29" s="135"/>
      <c r="L29" s="135"/>
      <c r="M29" s="135"/>
      <c r="N29" s="135"/>
    </row>
    <row r="30" spans="1:14">
      <c r="A30" s="135"/>
      <c r="B30" s="144" t="s">
        <v>48</v>
      </c>
      <c r="C30" s="145">
        <v>114</v>
      </c>
      <c r="D30" s="146">
        <v>264</v>
      </c>
      <c r="E30" s="168">
        <v>274</v>
      </c>
      <c r="F30" s="146">
        <v>642</v>
      </c>
      <c r="G30" s="168">
        <f t="shared" si="3"/>
        <v>388</v>
      </c>
      <c r="H30" s="146">
        <f t="shared" si="4"/>
        <v>906</v>
      </c>
      <c r="I30" s="143">
        <v>918</v>
      </c>
      <c r="J30" s="135"/>
      <c r="K30" s="135"/>
      <c r="L30" s="135"/>
      <c r="M30" s="135"/>
      <c r="N30" s="135"/>
    </row>
    <row r="31" spans="1:14">
      <c r="A31" s="135"/>
      <c r="B31" s="144" t="s">
        <v>49</v>
      </c>
      <c r="C31" s="145">
        <v>146</v>
      </c>
      <c r="D31" s="146">
        <v>332</v>
      </c>
      <c r="E31" s="168">
        <v>272</v>
      </c>
      <c r="F31" s="146">
        <v>635</v>
      </c>
      <c r="G31" s="168">
        <f t="shared" si="3"/>
        <v>418</v>
      </c>
      <c r="H31" s="146">
        <f t="shared" si="4"/>
        <v>967</v>
      </c>
      <c r="I31" s="143">
        <v>918</v>
      </c>
      <c r="J31" s="135"/>
      <c r="K31" s="135"/>
      <c r="L31" s="135"/>
      <c r="M31" s="135"/>
      <c r="N31" s="135"/>
    </row>
    <row r="32" spans="1:14">
      <c r="A32" s="135"/>
      <c r="B32" s="144" t="s">
        <v>50</v>
      </c>
      <c r="C32" s="145">
        <v>112</v>
      </c>
      <c r="D32" s="146">
        <v>238</v>
      </c>
      <c r="E32" s="168">
        <v>273</v>
      </c>
      <c r="F32" s="146">
        <v>638</v>
      </c>
      <c r="G32" s="168">
        <f t="shared" si="3"/>
        <v>385</v>
      </c>
      <c r="H32" s="146">
        <f t="shared" si="4"/>
        <v>876</v>
      </c>
      <c r="I32" s="143">
        <v>918</v>
      </c>
      <c r="J32" s="135"/>
      <c r="K32" s="135"/>
      <c r="L32" s="135"/>
      <c r="M32" s="135"/>
      <c r="N32" s="135"/>
    </row>
    <row r="33" spans="1:14">
      <c r="A33" s="135"/>
      <c r="B33" s="144" t="s">
        <v>51</v>
      </c>
      <c r="C33" s="145">
        <v>92</v>
      </c>
      <c r="D33" s="146">
        <v>185</v>
      </c>
      <c r="E33" s="168">
        <v>273</v>
      </c>
      <c r="F33" s="146">
        <v>638</v>
      </c>
      <c r="G33" s="168">
        <f t="shared" si="3"/>
        <v>365</v>
      </c>
      <c r="H33" s="146">
        <f t="shared" si="4"/>
        <v>823</v>
      </c>
      <c r="I33" s="143">
        <v>918</v>
      </c>
      <c r="J33" s="135"/>
      <c r="K33" s="135"/>
      <c r="L33" s="135"/>
      <c r="M33" s="135"/>
      <c r="N33" s="135"/>
    </row>
    <row r="34" spans="1:14">
      <c r="A34" s="135"/>
      <c r="B34" s="144" t="s">
        <v>52</v>
      </c>
      <c r="C34" s="145">
        <v>87</v>
      </c>
      <c r="D34" s="146">
        <v>179</v>
      </c>
      <c r="E34" s="168">
        <v>273</v>
      </c>
      <c r="F34" s="146">
        <v>638</v>
      </c>
      <c r="G34" s="168">
        <f t="shared" si="3"/>
        <v>360</v>
      </c>
      <c r="H34" s="146">
        <f t="shared" si="4"/>
        <v>817</v>
      </c>
      <c r="I34" s="143">
        <v>918</v>
      </c>
      <c r="J34" s="135"/>
      <c r="K34" s="135"/>
      <c r="L34" s="135"/>
      <c r="M34" s="135"/>
      <c r="N34" s="135"/>
    </row>
    <row r="35" spans="1:14">
      <c r="A35" s="135"/>
      <c r="B35" s="144" t="s">
        <v>53</v>
      </c>
      <c r="C35" s="145">
        <v>87</v>
      </c>
      <c r="D35" s="146">
        <v>177</v>
      </c>
      <c r="E35" s="145">
        <v>273</v>
      </c>
      <c r="F35" s="146">
        <v>637</v>
      </c>
      <c r="G35" s="168">
        <f t="shared" si="0"/>
        <v>360</v>
      </c>
      <c r="H35" s="146">
        <f t="shared" si="2"/>
        <v>814</v>
      </c>
      <c r="I35" s="143">
        <v>918</v>
      </c>
      <c r="J35" s="135"/>
      <c r="K35" s="135"/>
      <c r="L35" s="135"/>
      <c r="M35" s="135"/>
      <c r="N35" s="135"/>
    </row>
    <row r="36" spans="1:14">
      <c r="A36" s="135"/>
      <c r="B36" s="144" t="s">
        <v>54</v>
      </c>
      <c r="C36" s="145">
        <v>92</v>
      </c>
      <c r="D36" s="146">
        <v>184</v>
      </c>
      <c r="E36" s="145">
        <v>273</v>
      </c>
      <c r="F36" s="146">
        <v>639</v>
      </c>
      <c r="G36" s="168">
        <f t="shared" si="0"/>
        <v>365</v>
      </c>
      <c r="H36" s="146">
        <f t="shared" si="2"/>
        <v>823</v>
      </c>
      <c r="I36" s="143">
        <v>918</v>
      </c>
      <c r="J36" s="135"/>
      <c r="K36" s="135"/>
      <c r="L36" s="135"/>
      <c r="M36" s="135"/>
      <c r="N36" s="135"/>
    </row>
    <row r="37" spans="1:14">
      <c r="A37" s="135"/>
      <c r="B37" s="144" t="s">
        <v>55</v>
      </c>
      <c r="C37" s="145"/>
      <c r="D37" s="146"/>
      <c r="E37" s="145"/>
      <c r="F37" s="146"/>
      <c r="G37" s="168">
        <f t="shared" si="0"/>
        <v>0</v>
      </c>
      <c r="H37" s="146">
        <f t="shared" si="2"/>
        <v>0</v>
      </c>
      <c r="I37" s="143">
        <v>918</v>
      </c>
      <c r="J37" s="135"/>
      <c r="K37" s="135"/>
      <c r="L37" s="135"/>
      <c r="M37" s="135"/>
      <c r="N37" s="135"/>
    </row>
    <row r="38" spans="1:14" s="182" customFormat="1">
      <c r="A38" s="176"/>
      <c r="B38" s="177" t="s">
        <v>56</v>
      </c>
      <c r="C38" s="178"/>
      <c r="D38" s="179"/>
      <c r="E38" s="178"/>
      <c r="F38" s="179"/>
      <c r="G38" s="180">
        <f t="shared" si="0"/>
        <v>0</v>
      </c>
      <c r="H38" s="179">
        <f t="shared" si="2"/>
        <v>0</v>
      </c>
      <c r="I38" s="181">
        <v>918</v>
      </c>
      <c r="J38" s="176"/>
      <c r="K38" s="176"/>
      <c r="L38" s="176"/>
      <c r="M38" s="176"/>
      <c r="N38" s="176"/>
    </row>
    <row r="39" spans="1:14" s="182" customFormat="1">
      <c r="A39" s="176"/>
      <c r="B39" s="177" t="s">
        <v>57</v>
      </c>
      <c r="C39" s="178"/>
      <c r="D39" s="179"/>
      <c r="E39" s="178"/>
      <c r="F39" s="179"/>
      <c r="G39" s="180">
        <f t="shared" si="0"/>
        <v>0</v>
      </c>
      <c r="H39" s="179">
        <f t="shared" si="2"/>
        <v>0</v>
      </c>
      <c r="I39" s="181">
        <v>918</v>
      </c>
      <c r="J39" s="176"/>
      <c r="K39" s="176"/>
      <c r="L39" s="176"/>
      <c r="M39" s="176"/>
      <c r="N39" s="176"/>
    </row>
    <row r="40" spans="1:14" s="182" customFormat="1" ht="15.75" thickBot="1">
      <c r="A40" s="176"/>
      <c r="B40" s="177" t="s">
        <v>58</v>
      </c>
      <c r="C40" s="183"/>
      <c r="D40" s="184"/>
      <c r="E40" s="183"/>
      <c r="F40" s="184"/>
      <c r="G40" s="185">
        <f t="shared" si="0"/>
        <v>0</v>
      </c>
      <c r="H40" s="184">
        <f t="shared" si="2"/>
        <v>0</v>
      </c>
      <c r="I40" s="181">
        <v>918</v>
      </c>
      <c r="J40" s="176"/>
      <c r="K40" s="176"/>
      <c r="L40" s="176"/>
      <c r="M40" s="176"/>
      <c r="N40" s="176"/>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41420</v>
      </c>
      <c r="F2" s="105"/>
      <c r="G2" s="105">
        <f>'Athens Daily - Gas'!BH9</f>
        <v>357242.68799999985</v>
      </c>
      <c r="H2" s="105">
        <f>G2/38.3</f>
        <v>9327.4853263707537</v>
      </c>
      <c r="I2" s="105"/>
      <c r="J2" s="105">
        <f>'Athens Daily - Water'!R7</f>
        <v>634.40210000000025</v>
      </c>
      <c r="K2" s="105"/>
      <c r="L2" s="106">
        <v>142</v>
      </c>
      <c r="M2" s="105">
        <f>L2*2</f>
        <v>284</v>
      </c>
      <c r="N2" s="102">
        <v>10</v>
      </c>
    </row>
    <row r="3" spans="1:14">
      <c r="A3" s="7" t="s">
        <v>14</v>
      </c>
      <c r="B3" s="7">
        <v>2</v>
      </c>
      <c r="C3" s="7">
        <v>1</v>
      </c>
      <c r="D3" s="7">
        <v>2021</v>
      </c>
      <c r="E3" s="105">
        <f>'Athens Daily - EL'!AK9</f>
        <v>41602</v>
      </c>
      <c r="F3" s="105"/>
      <c r="G3" s="105">
        <f>'Athens Daily - Gas'!BH10</f>
        <v>119182.75200000122</v>
      </c>
      <c r="H3" s="105">
        <f t="shared" ref="H3:H32" si="0">G3/38.3</f>
        <v>3111.8212010444186</v>
      </c>
      <c r="I3" s="105"/>
      <c r="J3" s="105">
        <f>'Athens Daily - Water'!R8</f>
        <v>522</v>
      </c>
      <c r="K3" s="105"/>
      <c r="L3" s="106">
        <v>102</v>
      </c>
      <c r="M3" s="105">
        <f t="shared" ref="M3:M32" si="1">L3*2</f>
        <v>204</v>
      </c>
      <c r="N3" s="102">
        <v>12</v>
      </c>
    </row>
    <row r="4" spans="1:14">
      <c r="A4" s="7" t="s">
        <v>14</v>
      </c>
      <c r="B4" s="7">
        <v>3</v>
      </c>
      <c r="C4" s="7">
        <v>1</v>
      </c>
      <c r="D4" s="7">
        <v>2021</v>
      </c>
      <c r="E4" s="105">
        <f>'Athens Daily - EL'!AK10</f>
        <v>39408</v>
      </c>
      <c r="F4" s="105"/>
      <c r="G4" s="105">
        <f>'Athens Daily - Gas'!BH11</f>
        <v>113134.7520000012</v>
      </c>
      <c r="H4" s="105">
        <f t="shared" si="0"/>
        <v>2953.909973890371</v>
      </c>
      <c r="I4" s="105"/>
      <c r="J4" s="105">
        <f>'Athens Daily - Water'!R9</f>
        <v>414</v>
      </c>
      <c r="K4" s="105"/>
      <c r="L4" s="106">
        <v>55</v>
      </c>
      <c r="M4" s="105">
        <f t="shared" si="1"/>
        <v>110</v>
      </c>
      <c r="N4" s="102">
        <v>15</v>
      </c>
    </row>
    <row r="5" spans="1:14">
      <c r="A5" s="7" t="s">
        <v>14</v>
      </c>
      <c r="B5" s="7">
        <v>4</v>
      </c>
      <c r="C5" s="7">
        <v>1</v>
      </c>
      <c r="D5" s="7">
        <v>2021</v>
      </c>
      <c r="E5" s="105">
        <f>'Athens Daily - EL'!AK11</f>
        <v>38440</v>
      </c>
      <c r="F5" s="105"/>
      <c r="G5" s="105">
        <f>'Athens Daily - Gas'!BH12</f>
        <v>108555.55199999773</v>
      </c>
      <c r="H5" s="105">
        <f t="shared" si="0"/>
        <v>2834.3486161879305</v>
      </c>
      <c r="I5" s="105"/>
      <c r="J5" s="105">
        <f>'Athens Daily - Water'!R10</f>
        <v>405</v>
      </c>
      <c r="K5" s="105"/>
      <c r="L5" s="106">
        <v>45</v>
      </c>
      <c r="M5" s="105">
        <f t="shared" si="1"/>
        <v>90</v>
      </c>
      <c r="N5" s="102">
        <v>17</v>
      </c>
    </row>
    <row r="6" spans="1:14">
      <c r="A6" s="7" t="s">
        <v>14</v>
      </c>
      <c r="B6" s="7">
        <v>5</v>
      </c>
      <c r="C6" s="7">
        <v>1</v>
      </c>
      <c r="D6" s="7">
        <v>2021</v>
      </c>
      <c r="E6" s="105">
        <f>'Athens Daily - EL'!AK12</f>
        <v>40826</v>
      </c>
      <c r="F6" s="105"/>
      <c r="G6" s="105">
        <f>'Athens Daily - Gas'!BH13</f>
        <v>104900.06399999955</v>
      </c>
      <c r="H6" s="105">
        <f t="shared" si="0"/>
        <v>2738.9050652741398</v>
      </c>
      <c r="I6" s="105"/>
      <c r="J6" s="105">
        <f>'Athens Daily - Water'!R11</f>
        <v>359</v>
      </c>
      <c r="K6" s="105"/>
      <c r="L6" s="106">
        <v>34</v>
      </c>
      <c r="M6" s="105">
        <f t="shared" si="1"/>
        <v>68</v>
      </c>
      <c r="N6" s="102">
        <v>15</v>
      </c>
    </row>
    <row r="7" spans="1:14">
      <c r="A7" s="7" t="s">
        <v>14</v>
      </c>
      <c r="B7" s="7">
        <v>6</v>
      </c>
      <c r="C7" s="7">
        <v>1</v>
      </c>
      <c r="D7" s="7">
        <v>2021</v>
      </c>
      <c r="E7" s="105">
        <f>'Athens Daily - EL'!AK13</f>
        <v>40084</v>
      </c>
      <c r="F7" s="105"/>
      <c r="G7" s="105">
        <f>'Athens Daily - Gas'!BH14</f>
        <v>106200.62400000016</v>
      </c>
      <c r="H7" s="105">
        <f t="shared" si="0"/>
        <v>2772.8622454308138</v>
      </c>
      <c r="I7" s="105"/>
      <c r="J7" s="105">
        <f>'Athens Daily - Water'!R12</f>
        <v>387</v>
      </c>
      <c r="K7" s="105"/>
      <c r="L7" s="106">
        <v>36</v>
      </c>
      <c r="M7" s="105">
        <f t="shared" si="1"/>
        <v>72</v>
      </c>
      <c r="N7" s="102"/>
    </row>
    <row r="8" spans="1:14">
      <c r="A8" s="7" t="s">
        <v>14</v>
      </c>
      <c r="B8" s="7">
        <v>7</v>
      </c>
      <c r="C8" s="7">
        <v>1</v>
      </c>
      <c r="D8" s="7">
        <v>2021</v>
      </c>
      <c r="E8" s="105">
        <f>'Athens Daily - EL'!AK14</f>
        <v>39537</v>
      </c>
      <c r="F8" s="105"/>
      <c r="G8" s="105">
        <f>'Athens Daily - Gas'!BH15</f>
        <v>103827.60000000014</v>
      </c>
      <c r="H8" s="105">
        <f t="shared" si="0"/>
        <v>2710.9033942558785</v>
      </c>
      <c r="I8" s="105"/>
      <c r="J8" s="105">
        <f>'Athens Daily - Water'!R13</f>
        <v>353</v>
      </c>
      <c r="K8" s="105"/>
      <c r="L8" s="106">
        <v>60</v>
      </c>
      <c r="M8" s="105">
        <f t="shared" si="1"/>
        <v>120</v>
      </c>
      <c r="N8" s="102"/>
    </row>
    <row r="9" spans="1:14">
      <c r="A9" s="7" t="s">
        <v>14</v>
      </c>
      <c r="B9" s="7">
        <v>8</v>
      </c>
      <c r="C9" s="7">
        <v>1</v>
      </c>
      <c r="D9" s="7">
        <v>2021</v>
      </c>
      <c r="E9" s="105">
        <f>'Athens Daily - EL'!AK15</f>
        <v>43175</v>
      </c>
      <c r="F9" s="105"/>
      <c r="G9" s="105">
        <f>'Athens Daily - Gas'!BH16</f>
        <v>104667.21600000019</v>
      </c>
      <c r="H9" s="105">
        <f t="shared" si="0"/>
        <v>2732.8254830287256</v>
      </c>
      <c r="I9" s="105"/>
      <c r="J9" s="105">
        <f>'Athens Daily - Water'!R14</f>
        <v>399</v>
      </c>
      <c r="K9" s="105"/>
      <c r="L9" s="106">
        <v>64</v>
      </c>
      <c r="M9" s="105">
        <f t="shared" si="1"/>
        <v>128</v>
      </c>
      <c r="N9" s="102"/>
    </row>
    <row r="10" spans="1:14">
      <c r="A10" s="7" t="s">
        <v>14</v>
      </c>
      <c r="B10" s="7">
        <v>9</v>
      </c>
      <c r="C10" s="7">
        <v>1</v>
      </c>
      <c r="D10" s="7">
        <v>2021</v>
      </c>
      <c r="E10" s="105">
        <f>'Athens Daily - EL'!AK16</f>
        <v>40956</v>
      </c>
      <c r="F10" s="105"/>
      <c r="G10" s="105">
        <f>'Athens Daily - Gas'!BH17</f>
        <v>110731.53600000002</v>
      </c>
      <c r="H10" s="105">
        <f t="shared" si="0"/>
        <v>2891.1628198433427</v>
      </c>
      <c r="I10" s="105"/>
      <c r="J10" s="105">
        <f>'Athens Daily - Water'!R15</f>
        <v>499</v>
      </c>
      <c r="K10" s="105"/>
      <c r="L10" s="106">
        <v>100</v>
      </c>
      <c r="M10" s="105">
        <f t="shared" si="1"/>
        <v>200</v>
      </c>
      <c r="N10" s="102">
        <v>9</v>
      </c>
    </row>
    <row r="11" spans="1:14">
      <c r="A11" s="7" t="s">
        <v>14</v>
      </c>
      <c r="B11" s="7">
        <v>10</v>
      </c>
      <c r="C11" s="7">
        <v>1</v>
      </c>
      <c r="D11" s="7">
        <v>2021</v>
      </c>
      <c r="E11" s="105">
        <f>'Athens Daily - EL'!AK17</f>
        <v>42589</v>
      </c>
      <c r="F11" s="105"/>
      <c r="G11" s="105">
        <f>'Athens Daily - Gas'!BH18</f>
        <v>107238.23999999993</v>
      </c>
      <c r="H11" s="105">
        <f t="shared" si="0"/>
        <v>2799.9540469973876</v>
      </c>
      <c r="I11" s="105"/>
      <c r="J11" s="105">
        <f>'Athens Daily - Water'!R16</f>
        <v>389</v>
      </c>
      <c r="K11" s="105"/>
      <c r="L11" s="106">
        <v>63</v>
      </c>
      <c r="M11" s="105">
        <f t="shared" si="1"/>
        <v>126</v>
      </c>
      <c r="N11" s="102">
        <v>12</v>
      </c>
    </row>
    <row r="12" spans="1:14">
      <c r="A12" s="7" t="s">
        <v>14</v>
      </c>
      <c r="B12" s="7">
        <v>11</v>
      </c>
      <c r="C12" s="7">
        <v>1</v>
      </c>
      <c r="D12" s="7">
        <v>2021</v>
      </c>
      <c r="E12" s="105">
        <f>'Athens Daily - EL'!AK18</f>
        <v>41586.5</v>
      </c>
      <c r="F12" s="105"/>
      <c r="G12" s="105">
        <f>'Athens Daily - Gas'!BH19</f>
        <v>100569.74400000012</v>
      </c>
      <c r="H12" s="105">
        <f t="shared" si="0"/>
        <v>2625.8418798955649</v>
      </c>
      <c r="I12" s="105"/>
      <c r="J12" s="105">
        <f>'Athens Daily - Water'!R17</f>
        <v>397</v>
      </c>
      <c r="K12" s="105"/>
      <c r="L12" s="106">
        <v>39</v>
      </c>
      <c r="M12" s="105">
        <f t="shared" si="1"/>
        <v>78</v>
      </c>
      <c r="N12" s="102">
        <v>12</v>
      </c>
    </row>
    <row r="13" spans="1:14">
      <c r="A13" s="7" t="s">
        <v>14</v>
      </c>
      <c r="B13" s="7">
        <v>12</v>
      </c>
      <c r="C13" s="7">
        <v>1</v>
      </c>
      <c r="D13" s="7">
        <v>2021</v>
      </c>
      <c r="E13" s="105">
        <f>'Athens Daily - EL'!AK19</f>
        <v>46005.5</v>
      </c>
      <c r="F13" s="105"/>
      <c r="G13" s="105">
        <f>'Athens Daily - Gas'!BH20</f>
        <v>102216.95999999977</v>
      </c>
      <c r="H13" s="105">
        <f t="shared" si="0"/>
        <v>2668.8501305482973</v>
      </c>
      <c r="I13" s="105"/>
      <c r="J13" s="105">
        <f>'Athens Daily - Water'!R18</f>
        <v>406</v>
      </c>
      <c r="K13" s="105"/>
      <c r="L13" s="106">
        <v>43</v>
      </c>
      <c r="M13" s="105">
        <f t="shared" si="1"/>
        <v>86</v>
      </c>
      <c r="N13" s="102">
        <v>10</v>
      </c>
    </row>
    <row r="14" spans="1:14">
      <c r="A14" s="7" t="s">
        <v>14</v>
      </c>
      <c r="B14" s="7">
        <v>13</v>
      </c>
      <c r="C14" s="7">
        <v>1</v>
      </c>
      <c r="D14" s="7">
        <v>2021</v>
      </c>
      <c r="E14" s="105">
        <f>'Athens Daily - EL'!AK20</f>
        <v>48126.5</v>
      </c>
      <c r="F14" s="105"/>
      <c r="G14" s="105">
        <f>'Athens Daily - Gas'!BH21</f>
        <v>97289.280000000028</v>
      </c>
      <c r="H14" s="105">
        <f t="shared" si="0"/>
        <v>2540.1900783289825</v>
      </c>
      <c r="I14" s="105"/>
      <c r="J14" s="105">
        <f>'Athens Daily - Water'!R19</f>
        <v>392</v>
      </c>
      <c r="K14" s="105"/>
      <c r="L14" s="106">
        <v>46</v>
      </c>
      <c r="M14" s="105">
        <f t="shared" si="1"/>
        <v>92</v>
      </c>
      <c r="N14" s="102">
        <v>12</v>
      </c>
    </row>
    <row r="15" spans="1:14">
      <c r="A15" s="7" t="s">
        <v>14</v>
      </c>
      <c r="B15" s="7">
        <v>14</v>
      </c>
      <c r="C15" s="7">
        <v>1</v>
      </c>
      <c r="D15" s="7">
        <v>2021</v>
      </c>
      <c r="E15" s="105">
        <f>'Athens Daily - EL'!AK21</f>
        <v>43546.5</v>
      </c>
      <c r="F15" s="105"/>
      <c r="G15" s="105">
        <f>'Athens Daily - Gas'!BH22</f>
        <v>105855.26399999982</v>
      </c>
      <c r="H15" s="105">
        <f t="shared" si="0"/>
        <v>2763.8450130548258</v>
      </c>
      <c r="I15" s="105"/>
      <c r="J15" s="105">
        <f>'Athens Daily - Water'!R20</f>
        <v>441</v>
      </c>
      <c r="K15" s="105"/>
      <c r="L15" s="106">
        <v>55</v>
      </c>
      <c r="M15" s="105">
        <f t="shared" si="1"/>
        <v>110</v>
      </c>
      <c r="N15" s="102">
        <v>13</v>
      </c>
    </row>
    <row r="16" spans="1:14">
      <c r="A16" s="7" t="s">
        <v>14</v>
      </c>
      <c r="B16" s="7">
        <v>15</v>
      </c>
      <c r="C16" s="7">
        <v>1</v>
      </c>
      <c r="D16" s="7">
        <v>2021</v>
      </c>
      <c r="E16" s="105">
        <f>'Athens Daily - EL'!AK22</f>
        <v>46026.5</v>
      </c>
      <c r="F16" s="105"/>
      <c r="G16" s="105">
        <f>'Athens Daily - Gas'!BH23</f>
        <v>107393.27999999974</v>
      </c>
      <c r="H16" s="105">
        <f t="shared" si="0"/>
        <v>2804.0020887728392</v>
      </c>
      <c r="I16" s="105"/>
      <c r="J16" s="105">
        <f>'Athens Daily - Water'!R21</f>
        <v>525.15819999999985</v>
      </c>
      <c r="K16" s="105"/>
      <c r="L16" s="106">
        <v>74</v>
      </c>
      <c r="M16" s="105">
        <f t="shared" si="1"/>
        <v>148</v>
      </c>
      <c r="N16" s="102">
        <v>13</v>
      </c>
    </row>
    <row r="17" spans="1:14">
      <c r="A17" s="7" t="s">
        <v>14</v>
      </c>
      <c r="B17" s="7">
        <v>16</v>
      </c>
      <c r="C17" s="7">
        <v>1</v>
      </c>
      <c r="D17" s="7">
        <v>2021</v>
      </c>
      <c r="E17" s="105">
        <f>'Athens Daily - EL'!AK23</f>
        <v>46171.5</v>
      </c>
      <c r="F17" s="105"/>
      <c r="G17" s="105">
        <f>'Athens Daily - Gas'!BH24</f>
        <v>114782.01600000034</v>
      </c>
      <c r="H17" s="105">
        <f t="shared" si="0"/>
        <v>2996.9194778067977</v>
      </c>
      <c r="I17" s="105"/>
      <c r="J17" s="105">
        <f>'Athens Daily - Water'!R22</f>
        <v>526.5</v>
      </c>
      <c r="K17" s="105"/>
      <c r="L17" s="106">
        <v>149</v>
      </c>
      <c r="M17" s="105">
        <f t="shared" si="1"/>
        <v>298</v>
      </c>
      <c r="N17" s="107"/>
    </row>
    <row r="18" spans="1:14">
      <c r="A18" s="7" t="s">
        <v>14</v>
      </c>
      <c r="B18" s="7">
        <v>17</v>
      </c>
      <c r="C18" s="7">
        <v>1</v>
      </c>
      <c r="D18" s="7">
        <v>2021</v>
      </c>
      <c r="E18" s="105">
        <f>'Athens Daily - EL'!AK24</f>
        <v>47646.5</v>
      </c>
      <c r="F18" s="105"/>
      <c r="G18" s="105">
        <f>'Athens Daily - Gas'!BH25</f>
        <v>93566.01599999977</v>
      </c>
      <c r="H18" s="105">
        <f t="shared" si="0"/>
        <v>2442.9769190600464</v>
      </c>
      <c r="I18" s="105"/>
      <c r="J18" s="105">
        <f>'Athens Daily - Water'!R23</f>
        <v>474.70849999999973</v>
      </c>
      <c r="K18" s="105"/>
      <c r="L18" s="106">
        <v>64</v>
      </c>
      <c r="M18" s="105">
        <f t="shared" si="1"/>
        <v>128</v>
      </c>
      <c r="N18" s="107"/>
    </row>
    <row r="19" spans="1:14">
      <c r="A19" s="7" t="s">
        <v>14</v>
      </c>
      <c r="B19" s="7">
        <v>18</v>
      </c>
      <c r="C19" s="7">
        <v>1</v>
      </c>
      <c r="D19" s="7">
        <v>2021</v>
      </c>
      <c r="E19" s="105">
        <f>'Athens Daily - EL'!AK25</f>
        <v>47138.5</v>
      </c>
      <c r="F19" s="105"/>
      <c r="G19" s="105">
        <f>'Athens Daily - Gas'!BH26</f>
        <v>123796.2720000002</v>
      </c>
      <c r="H19" s="105">
        <f t="shared" si="0"/>
        <v>3232.2786422976556</v>
      </c>
      <c r="I19" s="105"/>
      <c r="J19" s="105">
        <f>'Athens Daily - Water'!R24</f>
        <v>453.36000000000058</v>
      </c>
      <c r="K19" s="105"/>
      <c r="L19" s="106">
        <v>58</v>
      </c>
      <c r="M19" s="105">
        <f t="shared" si="1"/>
        <v>116</v>
      </c>
      <c r="N19" s="107"/>
    </row>
    <row r="20" spans="1:14">
      <c r="A20" s="7" t="s">
        <v>14</v>
      </c>
      <c r="B20" s="7">
        <v>19</v>
      </c>
      <c r="C20" s="7">
        <v>1</v>
      </c>
      <c r="D20" s="7">
        <v>2021</v>
      </c>
      <c r="E20" s="105">
        <f>'Athens Daily - EL'!AK26</f>
        <v>43661</v>
      </c>
      <c r="F20" s="105"/>
      <c r="G20" s="105">
        <f>'Athens Daily - Gas'!BH27</f>
        <v>108149.56800000001</v>
      </c>
      <c r="H20" s="105">
        <f t="shared" si="0"/>
        <v>2823.7485117493479</v>
      </c>
      <c r="I20" s="105"/>
      <c r="J20" s="105">
        <f>'Athens Daily - Water'!R25</f>
        <v>436.27229999999963</v>
      </c>
      <c r="K20" s="105"/>
      <c r="L20" s="106">
        <v>69</v>
      </c>
      <c r="M20" s="105">
        <f t="shared" si="1"/>
        <v>138</v>
      </c>
      <c r="N20" s="107"/>
    </row>
    <row r="21" spans="1:14">
      <c r="A21" s="7" t="s">
        <v>14</v>
      </c>
      <c r="B21" s="7">
        <v>20</v>
      </c>
      <c r="C21" s="7">
        <v>1</v>
      </c>
      <c r="D21" s="7">
        <v>2021</v>
      </c>
      <c r="E21" s="105">
        <f>'Athens Daily - EL'!AK27</f>
        <v>43695.5</v>
      </c>
      <c r="F21" s="105"/>
      <c r="G21" s="105">
        <f>'Athens Daily - Gas'!BH28</f>
        <v>109866.96000000005</v>
      </c>
      <c r="H21" s="105">
        <f t="shared" si="0"/>
        <v>2868.5890339425605</v>
      </c>
      <c r="I21" s="105"/>
      <c r="J21" s="105">
        <f>'Athens Daily - Water'!R26</f>
        <v>537.26400000000012</v>
      </c>
      <c r="K21" s="105"/>
      <c r="L21" s="106">
        <v>42</v>
      </c>
      <c r="M21" s="105">
        <f t="shared" si="1"/>
        <v>84</v>
      </c>
      <c r="N21" s="102"/>
    </row>
    <row r="22" spans="1:14">
      <c r="A22" s="7" t="s">
        <v>14</v>
      </c>
      <c r="B22" s="7">
        <v>21</v>
      </c>
      <c r="C22" s="7">
        <v>1</v>
      </c>
      <c r="D22" s="7">
        <v>2021</v>
      </c>
      <c r="E22" s="105">
        <f>'Athens Daily - EL'!AK28</f>
        <v>46210.5</v>
      </c>
      <c r="F22" s="105"/>
      <c r="G22" s="105">
        <f>'Athens Daily - Gas'!BH29</f>
        <v>106293.26400000024</v>
      </c>
      <c r="H22" s="105">
        <f t="shared" si="0"/>
        <v>2775.2810443864296</v>
      </c>
      <c r="I22" s="105"/>
      <c r="J22" s="105">
        <f>'Athens Daily - Water'!R27</f>
        <v>432.42900000000009</v>
      </c>
      <c r="K22" s="105"/>
      <c r="L22" s="106">
        <v>45</v>
      </c>
      <c r="M22" s="105">
        <f t="shared" si="1"/>
        <v>90</v>
      </c>
      <c r="N22" s="102"/>
    </row>
    <row r="23" spans="1:14">
      <c r="A23" s="7" t="s">
        <v>14</v>
      </c>
      <c r="B23" s="7">
        <v>22</v>
      </c>
      <c r="C23" s="7">
        <v>1</v>
      </c>
      <c r="D23" s="7">
        <v>2021</v>
      </c>
      <c r="E23" s="105">
        <f>'Athens Daily - EL'!AK29</f>
        <v>44170</v>
      </c>
      <c r="F23" s="105"/>
      <c r="G23" s="105">
        <f>'Athens Daily - Gas'!BH30</f>
        <v>106156.17600000891</v>
      </c>
      <c r="H23" s="105">
        <f t="shared" si="0"/>
        <v>2771.7017232378307</v>
      </c>
      <c r="I23" s="105"/>
      <c r="J23" s="105">
        <f>'Athens Daily - Water'!R28</f>
        <v>463.19880000000012</v>
      </c>
      <c r="K23" s="105"/>
      <c r="L23" s="106">
        <v>82</v>
      </c>
      <c r="M23" s="105">
        <f t="shared" si="1"/>
        <v>164</v>
      </c>
      <c r="N23" s="102">
        <v>19</v>
      </c>
    </row>
    <row r="24" spans="1:14">
      <c r="A24" s="7" t="s">
        <v>14</v>
      </c>
      <c r="B24" s="7">
        <v>23</v>
      </c>
      <c r="C24" s="7">
        <v>1</v>
      </c>
      <c r="D24" s="7">
        <v>2021</v>
      </c>
      <c r="E24" s="105">
        <f>'Athens Daily - EL'!AK30</f>
        <v>44879.5</v>
      </c>
      <c r="F24" s="105"/>
      <c r="G24" s="105">
        <f>'Athens Daily - Gas'!BH31</f>
        <v>106156.17600000891</v>
      </c>
      <c r="H24" s="105">
        <f t="shared" si="0"/>
        <v>2771.7017232378307</v>
      </c>
      <c r="I24" s="105"/>
      <c r="J24" s="105">
        <f>'Athens Daily - Water'!R29</f>
        <v>598.23430000000008</v>
      </c>
      <c r="K24" s="105"/>
      <c r="L24" s="106">
        <v>170</v>
      </c>
      <c r="M24" s="105">
        <f t="shared" si="1"/>
        <v>340</v>
      </c>
      <c r="N24" s="102">
        <v>20</v>
      </c>
    </row>
    <row r="25" spans="1:14">
      <c r="A25" s="7" t="s">
        <v>14</v>
      </c>
      <c r="B25" s="7">
        <v>24</v>
      </c>
      <c r="C25" s="7">
        <v>1</v>
      </c>
      <c r="D25" s="7">
        <v>2021</v>
      </c>
      <c r="E25" s="105">
        <f>'Athens Daily - EL'!AK31</f>
        <v>44748.5</v>
      </c>
      <c r="F25" s="105"/>
      <c r="G25" s="105">
        <f>'Athens Daily - Gas'!BH32</f>
        <v>106156.17599998209</v>
      </c>
      <c r="H25" s="105">
        <f t="shared" si="0"/>
        <v>2771.7017232371304</v>
      </c>
      <c r="I25" s="105"/>
      <c r="J25" s="105">
        <f>'Athens Daily - Water'!R30</f>
        <v>465.8748999999998</v>
      </c>
      <c r="K25" s="105"/>
      <c r="L25" s="106">
        <v>91</v>
      </c>
      <c r="M25" s="105">
        <f t="shared" si="1"/>
        <v>182</v>
      </c>
      <c r="N25" s="102">
        <v>19</v>
      </c>
    </row>
    <row r="26" spans="1:14">
      <c r="A26" s="7" t="s">
        <v>14</v>
      </c>
      <c r="B26" s="7">
        <v>25</v>
      </c>
      <c r="C26" s="7">
        <v>1</v>
      </c>
      <c r="D26" s="7">
        <v>2021</v>
      </c>
      <c r="E26" s="105">
        <f>'Athens Daily - EL'!AK32</f>
        <v>42855.5</v>
      </c>
      <c r="F26" s="105"/>
      <c r="G26" s="105">
        <f>'Athens Daily - Gas'!BH33</f>
        <v>105344.25599999944</v>
      </c>
      <c r="H26" s="105">
        <f t="shared" si="0"/>
        <v>2750.5027676240065</v>
      </c>
      <c r="I26" s="105"/>
      <c r="J26" s="105">
        <f>'Athens Daily - Water'!R31</f>
        <v>403</v>
      </c>
      <c r="K26" s="105"/>
      <c r="L26" s="106">
        <v>56</v>
      </c>
      <c r="M26" s="105">
        <f t="shared" si="1"/>
        <v>112</v>
      </c>
      <c r="N26" s="103"/>
    </row>
    <row r="27" spans="1:14">
      <c r="A27" s="7" t="s">
        <v>14</v>
      </c>
      <c r="B27" s="7">
        <v>26</v>
      </c>
      <c r="C27" s="7">
        <v>1</v>
      </c>
      <c r="D27" s="7">
        <v>2021</v>
      </c>
      <c r="E27" s="105">
        <f>'Athens Daily - EL'!AK33</f>
        <v>41857</v>
      </c>
      <c r="F27" s="105"/>
      <c r="G27" s="105">
        <f>'Athens Daily - Gas'!BH34</f>
        <v>102327.31200000001</v>
      </c>
      <c r="H27" s="105">
        <f t="shared" si="0"/>
        <v>2671.7313838120108</v>
      </c>
      <c r="I27" s="105"/>
      <c r="J27" s="105">
        <f>'Athens Daily - Water'!R32</f>
        <v>449.5</v>
      </c>
      <c r="K27" s="105"/>
      <c r="L27" s="105"/>
      <c r="M27" s="105">
        <f t="shared" si="1"/>
        <v>0</v>
      </c>
      <c r="N27" s="103"/>
    </row>
    <row r="28" spans="1:14">
      <c r="A28" s="7" t="s">
        <v>14</v>
      </c>
      <c r="B28" s="7">
        <v>27</v>
      </c>
      <c r="C28" s="7">
        <v>1</v>
      </c>
      <c r="D28" s="7">
        <v>2021</v>
      </c>
      <c r="E28" s="105">
        <f>'Athens Daily - EL'!AK34</f>
        <v>43254.5</v>
      </c>
      <c r="F28" s="105"/>
      <c r="G28" s="105">
        <f>'Athens Daily - Gas'!BH35</f>
        <v>100569.12000000026</v>
      </c>
      <c r="H28" s="105">
        <f t="shared" si="0"/>
        <v>2625.82558746737</v>
      </c>
      <c r="I28" s="105"/>
      <c r="J28" s="105">
        <f>'Athens Daily - Water'!R33</f>
        <v>423</v>
      </c>
      <c r="K28" s="105"/>
      <c r="L28" s="105"/>
      <c r="M28" s="105">
        <f t="shared" si="1"/>
        <v>0</v>
      </c>
      <c r="N28" s="103"/>
    </row>
    <row r="29" spans="1:14">
      <c r="A29" s="7" t="s">
        <v>14</v>
      </c>
      <c r="B29" s="7">
        <v>28</v>
      </c>
      <c r="C29" s="7">
        <v>1</v>
      </c>
      <c r="D29" s="7">
        <v>2021</v>
      </c>
      <c r="E29" s="105">
        <f>'Athens Daily - EL'!AK35</f>
        <v>43036.5</v>
      </c>
      <c r="F29" s="105"/>
      <c r="G29" s="105">
        <f>'Athens Daily - Gas'!BH36</f>
        <v>105074.54399999985</v>
      </c>
      <c r="H29" s="105">
        <f t="shared" si="0"/>
        <v>2743.460678851171</v>
      </c>
      <c r="I29" s="105"/>
      <c r="J29" s="105">
        <f>'Athens Daily - Water'!R34</f>
        <v>464.5</v>
      </c>
      <c r="K29" s="105"/>
      <c r="L29" s="105"/>
      <c r="M29" s="105">
        <f t="shared" si="1"/>
        <v>0</v>
      </c>
      <c r="N29" s="103"/>
    </row>
    <row r="30" spans="1:14">
      <c r="A30" s="7" t="s">
        <v>14</v>
      </c>
      <c r="B30" s="7">
        <v>29</v>
      </c>
      <c r="C30" s="7">
        <v>1</v>
      </c>
      <c r="D30" s="7">
        <v>2021</v>
      </c>
      <c r="E30" s="105">
        <f>'Athens Daily - EL'!AK36</f>
        <v>-17829968</v>
      </c>
      <c r="F30" s="105"/>
      <c r="G30" s="105">
        <f>'Athens Daily - Gas'!BH37</f>
        <v>-432738250.46400005</v>
      </c>
      <c r="H30" s="105">
        <f t="shared" si="0"/>
        <v>-11298648.837180158</v>
      </c>
      <c r="I30" s="105"/>
      <c r="J30" s="105">
        <f>'Athens Daily - Water'!R35</f>
        <v>-435425</v>
      </c>
      <c r="K30" s="105"/>
      <c r="L30" s="105"/>
      <c r="M30" s="105">
        <f t="shared" si="1"/>
        <v>0</v>
      </c>
      <c r="N30" s="103"/>
    </row>
    <row r="31" spans="1:14">
      <c r="A31" s="7" t="s">
        <v>14</v>
      </c>
      <c r="B31" s="7">
        <v>30</v>
      </c>
      <c r="C31" s="7">
        <v>1</v>
      </c>
      <c r="D31" s="7">
        <v>2021</v>
      </c>
      <c r="E31" s="105">
        <f>'Athens Daily - EL'!AK37</f>
        <v>0</v>
      </c>
      <c r="F31" s="105"/>
      <c r="G31" s="105">
        <f>'Athens Daily - Gas'!BH38</f>
        <v>0</v>
      </c>
      <c r="H31" s="105">
        <f t="shared" si="0"/>
        <v>0</v>
      </c>
      <c r="I31" s="105"/>
      <c r="J31" s="105">
        <f>'Athens Daily - Water'!R37</f>
        <v>0</v>
      </c>
      <c r="K31" s="105"/>
      <c r="L31" s="105"/>
      <c r="M31" s="105">
        <f t="shared" si="1"/>
        <v>0</v>
      </c>
      <c r="N31" s="103"/>
    </row>
    <row r="32" spans="1:14">
      <c r="A32" s="7" t="s">
        <v>14</v>
      </c>
      <c r="B32" s="7">
        <v>31</v>
      </c>
      <c r="C32" s="7">
        <v>1</v>
      </c>
      <c r="D32" s="7">
        <v>2021</v>
      </c>
      <c r="E32" s="105">
        <f>'Athens Daily - EL'!AK38</f>
        <v>0</v>
      </c>
      <c r="F32" s="105"/>
      <c r="G32" s="105">
        <f>'Athens Daily - Gas'!BH39</f>
        <v>0</v>
      </c>
      <c r="H32" s="105">
        <f t="shared" si="0"/>
        <v>0</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8468</v>
      </c>
      <c r="F2" s="7"/>
      <c r="G2" s="39">
        <f>'Athens Daily - Gas'!BI9</f>
        <v>79488</v>
      </c>
      <c r="H2" s="7"/>
      <c r="I2" s="40">
        <f>'Athens Daily - Water'!S7</f>
        <v>192.5</v>
      </c>
      <c r="J2" s="7"/>
      <c r="K2" s="7">
        <v>286</v>
      </c>
      <c r="L2" s="7">
        <v>2</v>
      </c>
    </row>
    <row r="3" spans="1:12">
      <c r="A3" s="7" t="s">
        <v>14</v>
      </c>
      <c r="B3" s="7">
        <v>2</v>
      </c>
      <c r="C3" s="7">
        <v>1</v>
      </c>
      <c r="D3" s="7">
        <v>2021</v>
      </c>
      <c r="E3" s="7">
        <f>'Athens Daily - EL'!AL9</f>
        <v>9200</v>
      </c>
      <c r="F3" s="7"/>
      <c r="G3" s="39">
        <f>'Athens Daily - Gas'!BI10</f>
        <v>63139.199999997909</v>
      </c>
      <c r="H3" s="7"/>
      <c r="I3" s="40">
        <f>'Athens Daily - Water'!S8</f>
        <v>156</v>
      </c>
      <c r="J3" s="7"/>
      <c r="K3" s="7">
        <v>285</v>
      </c>
      <c r="L3" s="7">
        <v>2</v>
      </c>
    </row>
    <row r="4" spans="1:12">
      <c r="A4" s="7" t="s">
        <v>14</v>
      </c>
      <c r="B4" s="7">
        <v>3</v>
      </c>
      <c r="C4" s="7">
        <v>1</v>
      </c>
      <c r="D4" s="7">
        <v>2021</v>
      </c>
      <c r="E4" s="7">
        <f>'Athens Daily - EL'!AL10</f>
        <v>7739</v>
      </c>
      <c r="F4" s="7"/>
      <c r="G4" s="39">
        <f>'Athens Daily - Gas'!BI11</f>
        <v>59107.199999997909</v>
      </c>
      <c r="H4" s="7"/>
      <c r="I4" s="40">
        <f>'Athens Daily - Water'!S9</f>
        <v>150.05000000000001</v>
      </c>
      <c r="J4" s="7"/>
      <c r="K4" s="7">
        <v>282</v>
      </c>
      <c r="L4" s="7">
        <v>2</v>
      </c>
    </row>
    <row r="5" spans="1:12">
      <c r="A5" s="7" t="s">
        <v>14</v>
      </c>
      <c r="B5" s="7">
        <v>4</v>
      </c>
      <c r="C5" s="7">
        <v>1</v>
      </c>
      <c r="D5" s="7">
        <v>2021</v>
      </c>
      <c r="E5" s="7">
        <f>'Athens Daily - EL'!AL11</f>
        <v>8023</v>
      </c>
      <c r="F5" s="7"/>
      <c r="G5" s="39">
        <f>'Athens Daily - Gas'!BI12</f>
        <v>56054.400000004192</v>
      </c>
      <c r="H5" s="7"/>
      <c r="I5" s="40">
        <f>'Athens Daily - Water'!S10</f>
        <v>298.25</v>
      </c>
      <c r="J5" s="7"/>
      <c r="K5" s="7">
        <v>284</v>
      </c>
      <c r="L5" s="7">
        <v>2</v>
      </c>
    </row>
    <row r="6" spans="1:12">
      <c r="A6" s="7" t="s">
        <v>14</v>
      </c>
      <c r="B6" s="7">
        <v>5</v>
      </c>
      <c r="C6" s="7">
        <v>1</v>
      </c>
      <c r="D6" s="7">
        <v>2021</v>
      </c>
      <c r="E6" s="7">
        <f>'Athens Daily - EL'!AL12</f>
        <v>9279</v>
      </c>
      <c r="F6" s="7"/>
      <c r="G6" s="39">
        <f>'Athens Daily - Gas'!BI13</f>
        <v>61104</v>
      </c>
      <c r="H6" s="7"/>
      <c r="I6" s="40">
        <f>'Athens Daily - Water'!S11</f>
        <v>157.19999999999999</v>
      </c>
      <c r="J6" s="7"/>
      <c r="K6" s="7">
        <v>286</v>
      </c>
      <c r="L6" s="7">
        <v>2</v>
      </c>
    </row>
    <row r="7" spans="1:12">
      <c r="A7" s="7" t="s">
        <v>14</v>
      </c>
      <c r="B7" s="7">
        <v>6</v>
      </c>
      <c r="C7" s="7">
        <v>1</v>
      </c>
      <c r="D7" s="7">
        <v>2021</v>
      </c>
      <c r="E7" s="7">
        <f>'Athens Daily - EL'!AL13</f>
        <v>7873</v>
      </c>
      <c r="F7" s="7"/>
      <c r="G7" s="39">
        <f>'Athens Daily - Gas'!BI14</f>
        <v>60777.599999999999</v>
      </c>
      <c r="H7" s="7"/>
      <c r="I7" s="40">
        <f>'Athens Daily - Water'!S12</f>
        <v>140.19999999999999</v>
      </c>
      <c r="J7" s="7"/>
      <c r="K7" s="7">
        <v>288</v>
      </c>
      <c r="L7" s="7">
        <v>2</v>
      </c>
    </row>
    <row r="8" spans="1:12">
      <c r="A8" s="7" t="s">
        <v>14</v>
      </c>
      <c r="B8" s="7">
        <v>7</v>
      </c>
      <c r="C8" s="7">
        <v>1</v>
      </c>
      <c r="D8" s="7">
        <v>2021</v>
      </c>
      <c r="E8" s="7">
        <f>'Athens Daily - EL'!AL14</f>
        <v>9281</v>
      </c>
      <c r="F8" s="7"/>
      <c r="G8" s="39">
        <f>'Athens Daily - Gas'!BI15</f>
        <v>61276.800000000003</v>
      </c>
      <c r="H8" s="7"/>
      <c r="I8" s="40">
        <f>'Athens Daily - Water'!S13</f>
        <v>149.4</v>
      </c>
      <c r="J8" s="7"/>
      <c r="K8" s="7">
        <v>286</v>
      </c>
      <c r="L8" s="7">
        <v>2</v>
      </c>
    </row>
    <row r="9" spans="1:12">
      <c r="A9" s="7" t="s">
        <v>14</v>
      </c>
      <c r="B9" s="7">
        <v>8</v>
      </c>
      <c r="C9" s="7">
        <v>1</v>
      </c>
      <c r="D9" s="7">
        <v>2021</v>
      </c>
      <c r="E9" s="7">
        <f>'Athens Daily - EL'!AL15</f>
        <v>9085</v>
      </c>
      <c r="F9" s="7"/>
      <c r="G9" s="39">
        <f>'Athens Daily - Gas'!BI16</f>
        <v>58723.200000000004</v>
      </c>
      <c r="H9" s="7"/>
      <c r="I9" s="40">
        <f>'Athens Daily - Water'!S14</f>
        <v>120.15</v>
      </c>
      <c r="J9" s="7"/>
      <c r="K9" s="7">
        <v>287</v>
      </c>
      <c r="L9" s="7">
        <v>2</v>
      </c>
    </row>
    <row r="10" spans="1:12">
      <c r="A10" s="7" t="s">
        <v>14</v>
      </c>
      <c r="B10" s="7">
        <v>9</v>
      </c>
      <c r="C10" s="7">
        <v>1</v>
      </c>
      <c r="D10" s="7">
        <v>2021</v>
      </c>
      <c r="E10" s="7">
        <f>'Athens Daily - EL'!AL16</f>
        <v>9466</v>
      </c>
      <c r="F10" s="7"/>
      <c r="G10" s="39">
        <f>'Athens Daily - Gas'!BI17</f>
        <v>60667.200000000004</v>
      </c>
      <c r="H10" s="7"/>
      <c r="I10" s="40">
        <f>'Athens Daily - Water'!S15</f>
        <v>157.4</v>
      </c>
      <c r="J10" s="7"/>
      <c r="K10" s="7">
        <v>284</v>
      </c>
      <c r="L10" s="7">
        <v>2</v>
      </c>
    </row>
    <row r="11" spans="1:12">
      <c r="A11" s="7" t="s">
        <v>14</v>
      </c>
      <c r="B11" s="7">
        <v>10</v>
      </c>
      <c r="C11" s="7">
        <v>1</v>
      </c>
      <c r="D11" s="7">
        <v>2021</v>
      </c>
      <c r="E11" s="7">
        <f>'Athens Daily - EL'!AL17</f>
        <v>11750</v>
      </c>
      <c r="F11" s="7"/>
      <c r="G11" s="39">
        <f>'Athens Daily - Gas'!BI18</f>
        <v>60667.200000000004</v>
      </c>
      <c r="H11" s="7"/>
      <c r="I11" s="40">
        <f>'Athens Daily - Water'!S16</f>
        <v>145.15</v>
      </c>
      <c r="J11" s="7"/>
      <c r="K11" s="7">
        <v>284</v>
      </c>
      <c r="L11" s="7">
        <v>2</v>
      </c>
    </row>
    <row r="12" spans="1:12">
      <c r="A12" s="7" t="s">
        <v>14</v>
      </c>
      <c r="B12" s="7">
        <v>11</v>
      </c>
      <c r="C12" s="7">
        <v>1</v>
      </c>
      <c r="D12" s="7">
        <v>2021</v>
      </c>
      <c r="E12" s="7">
        <f>'Athens Daily - EL'!AL18</f>
        <v>11124.5</v>
      </c>
      <c r="F12" s="7"/>
      <c r="G12" s="39">
        <f>'Athens Daily - Gas'!BI19</f>
        <v>58963.200000000004</v>
      </c>
      <c r="H12" s="7"/>
      <c r="I12" s="40">
        <f>'Athens Daily - Water'!S17</f>
        <v>143.4</v>
      </c>
      <c r="J12" s="7"/>
      <c r="K12" s="7">
        <v>284</v>
      </c>
      <c r="L12" s="7">
        <v>2</v>
      </c>
    </row>
    <row r="13" spans="1:12">
      <c r="A13" s="7" t="s">
        <v>14</v>
      </c>
      <c r="B13" s="7">
        <v>12</v>
      </c>
      <c r="C13" s="7">
        <v>1</v>
      </c>
      <c r="D13" s="7">
        <v>2021</v>
      </c>
      <c r="E13" s="7">
        <f>'Athens Daily - EL'!AL19</f>
        <v>13529.5</v>
      </c>
      <c r="F13" s="7"/>
      <c r="G13" s="39">
        <f>'Athens Daily - Gas'!BI20</f>
        <v>58540.800000000003</v>
      </c>
      <c r="H13" s="7"/>
      <c r="I13" s="40">
        <f>'Athens Daily - Water'!S18</f>
        <v>173.9</v>
      </c>
      <c r="J13" s="7"/>
      <c r="K13" s="7">
        <v>286</v>
      </c>
      <c r="L13" s="7">
        <v>2</v>
      </c>
    </row>
    <row r="14" spans="1:12">
      <c r="A14" s="7" t="s">
        <v>14</v>
      </c>
      <c r="B14" s="7">
        <v>13</v>
      </c>
      <c r="C14" s="7">
        <v>1</v>
      </c>
      <c r="D14" s="7">
        <v>2021</v>
      </c>
      <c r="E14" s="7">
        <f>'Athens Daily - EL'!AL20</f>
        <v>16432.5</v>
      </c>
      <c r="F14" s="7"/>
      <c r="G14" s="39">
        <f>'Athens Daily - Gas'!BI21</f>
        <v>56640</v>
      </c>
      <c r="H14" s="7"/>
      <c r="I14" s="40">
        <f>'Athens Daily - Water'!S19</f>
        <v>140.69999999999999</v>
      </c>
      <c r="J14" s="7"/>
      <c r="K14" s="7">
        <v>287</v>
      </c>
      <c r="L14" s="7">
        <v>2</v>
      </c>
    </row>
    <row r="15" spans="1:12">
      <c r="A15" s="7" t="s">
        <v>14</v>
      </c>
      <c r="B15" s="7">
        <v>14</v>
      </c>
      <c r="C15" s="7">
        <v>1</v>
      </c>
      <c r="D15" s="7">
        <v>2021</v>
      </c>
      <c r="E15" s="7">
        <f>'Athens Daily - EL'!AL21</f>
        <v>11136.5</v>
      </c>
      <c r="F15" s="7"/>
      <c r="G15" s="39">
        <f>'Athens Daily - Gas'!BI22</f>
        <v>59049.600000000006</v>
      </c>
      <c r="H15" s="7"/>
      <c r="I15" s="40">
        <f>'Athens Daily - Water'!S20</f>
        <v>138.35000000000002</v>
      </c>
      <c r="J15" s="7"/>
      <c r="K15" s="7">
        <v>287</v>
      </c>
      <c r="L15" s="7">
        <v>2</v>
      </c>
    </row>
    <row r="16" spans="1:12">
      <c r="A16" s="7" t="s">
        <v>14</v>
      </c>
      <c r="B16" s="7">
        <v>15</v>
      </c>
      <c r="C16" s="7">
        <v>1</v>
      </c>
      <c r="D16" s="7">
        <v>2021</v>
      </c>
      <c r="E16" s="7">
        <f>'Athens Daily - EL'!AL22</f>
        <v>13500.5</v>
      </c>
      <c r="F16" s="7"/>
      <c r="G16" s="39">
        <f>'Athens Daily - Gas'!BI23</f>
        <v>61315.200000000004</v>
      </c>
      <c r="H16" s="7"/>
      <c r="I16" s="40">
        <f>'Athens Daily - Water'!S21</f>
        <v>148.30000000000001</v>
      </c>
      <c r="J16" s="7"/>
      <c r="K16" s="7">
        <v>288</v>
      </c>
      <c r="L16" s="7">
        <v>2</v>
      </c>
    </row>
    <row r="17" spans="1:12">
      <c r="A17" s="7" t="s">
        <v>14</v>
      </c>
      <c r="B17" s="7">
        <v>16</v>
      </c>
      <c r="C17" s="7">
        <v>1</v>
      </c>
      <c r="D17" s="7">
        <v>2021</v>
      </c>
      <c r="E17" s="7">
        <f>'Athens Daily - EL'!AL23</f>
        <v>13817.5</v>
      </c>
      <c r="F17" s="7"/>
      <c r="G17" s="39">
        <f>'Athens Daily - Gas'!BI24</f>
        <v>62956.800000000003</v>
      </c>
      <c r="H17" s="7"/>
      <c r="I17" s="40">
        <f>'Athens Daily - Water'!S22</f>
        <v>148.75</v>
      </c>
      <c r="J17" s="7"/>
      <c r="K17" s="7">
        <v>288</v>
      </c>
      <c r="L17" s="7">
        <v>2</v>
      </c>
    </row>
    <row r="18" spans="1:12">
      <c r="A18" s="7" t="s">
        <v>14</v>
      </c>
      <c r="B18" s="7">
        <v>17</v>
      </c>
      <c r="C18" s="7">
        <v>1</v>
      </c>
      <c r="D18" s="7">
        <v>2021</v>
      </c>
      <c r="E18" s="7">
        <f>'Athens Daily - EL'!AL24</f>
        <v>15238.5</v>
      </c>
      <c r="F18" s="7"/>
      <c r="G18" s="39">
        <f>'Athens Daily - Gas'!BI25</f>
        <v>51811.200000000004</v>
      </c>
      <c r="H18" s="7"/>
      <c r="I18" s="40">
        <f>'Athens Daily - Water'!S23</f>
        <v>150.69999999999999</v>
      </c>
      <c r="J18" s="7"/>
      <c r="K18" s="7">
        <v>288</v>
      </c>
      <c r="L18" s="7">
        <v>2</v>
      </c>
    </row>
    <row r="19" spans="1:12">
      <c r="A19" s="7" t="s">
        <v>14</v>
      </c>
      <c r="B19" s="7">
        <v>18</v>
      </c>
      <c r="C19" s="7">
        <v>1</v>
      </c>
      <c r="D19" s="7">
        <v>2021</v>
      </c>
      <c r="E19" s="7">
        <f>'Athens Daily - EL'!AL25</f>
        <v>14969.5</v>
      </c>
      <c r="F19" s="7"/>
      <c r="G19" s="39">
        <f>'Athens Daily - Gas'!BI26</f>
        <v>70809.600000000006</v>
      </c>
      <c r="H19" s="7"/>
      <c r="I19" s="40">
        <f>'Athens Daily - Water'!S24</f>
        <v>158.65</v>
      </c>
      <c r="J19" s="7"/>
      <c r="K19" s="7">
        <v>291</v>
      </c>
      <c r="L19" s="7">
        <v>2</v>
      </c>
    </row>
    <row r="20" spans="1:12">
      <c r="A20" s="7" t="s">
        <v>14</v>
      </c>
      <c r="B20" s="7">
        <v>19</v>
      </c>
      <c r="C20" s="7">
        <v>1</v>
      </c>
      <c r="D20" s="7">
        <v>2021</v>
      </c>
      <c r="E20" s="7">
        <f>'Athens Daily - EL'!AL26</f>
        <v>11118</v>
      </c>
      <c r="F20" s="7"/>
      <c r="G20" s="39">
        <f>'Athens Daily - Gas'!BI27</f>
        <v>60796.800000000003</v>
      </c>
      <c r="H20" s="7"/>
      <c r="I20" s="40">
        <f>'Athens Daily - Water'!S25</f>
        <v>139.80000000000001</v>
      </c>
      <c r="J20" s="7"/>
      <c r="K20" s="7">
        <v>290</v>
      </c>
      <c r="L20" s="7">
        <v>2</v>
      </c>
    </row>
    <row r="21" spans="1:12">
      <c r="A21" s="7" t="s">
        <v>14</v>
      </c>
      <c r="B21" s="7">
        <v>20</v>
      </c>
      <c r="C21" s="7">
        <v>1</v>
      </c>
      <c r="D21" s="7">
        <v>2021</v>
      </c>
      <c r="E21" s="7">
        <f>'Athens Daily - EL'!AL27</f>
        <v>11890.5</v>
      </c>
      <c r="F21" s="7"/>
      <c r="G21" s="39">
        <f>'Athens Daily - Gas'!BI28</f>
        <v>61353.600000000006</v>
      </c>
      <c r="H21" s="7"/>
      <c r="I21" s="40">
        <f>'Athens Daily - Water'!S26</f>
        <v>167.60000000000002</v>
      </c>
      <c r="J21" s="7"/>
      <c r="K21" s="7">
        <v>292</v>
      </c>
      <c r="L21" s="7">
        <v>2</v>
      </c>
    </row>
    <row r="22" spans="1:12">
      <c r="A22" s="7" t="s">
        <v>14</v>
      </c>
      <c r="B22" s="7">
        <v>21</v>
      </c>
      <c r="C22" s="7">
        <v>1</v>
      </c>
      <c r="D22" s="7">
        <v>2021</v>
      </c>
      <c r="E22" s="7">
        <f>'Athens Daily - EL'!AL28</f>
        <v>13604.5</v>
      </c>
      <c r="F22" s="7"/>
      <c r="G22" s="39">
        <f>'Athens Daily - Gas'!BI29</f>
        <v>61228.800000000003</v>
      </c>
      <c r="H22" s="7"/>
      <c r="I22" s="40">
        <f>'Athens Daily - Water'!S27</f>
        <v>174.15</v>
      </c>
      <c r="J22" s="7"/>
      <c r="K22" s="7">
        <v>293</v>
      </c>
      <c r="L22" s="7">
        <v>2</v>
      </c>
    </row>
    <row r="23" spans="1:12">
      <c r="A23" s="7" t="s">
        <v>14</v>
      </c>
      <c r="B23" s="7">
        <v>22</v>
      </c>
      <c r="C23" s="7">
        <v>1</v>
      </c>
      <c r="D23" s="7">
        <v>2021</v>
      </c>
      <c r="E23" s="7">
        <f>'Athens Daily - EL'!AL29</f>
        <v>11254</v>
      </c>
      <c r="F23" s="7"/>
      <c r="G23" s="39">
        <f>'Athens Daily - Gas'!BI30</f>
        <v>58368.000000007822</v>
      </c>
      <c r="H23" s="7"/>
      <c r="I23" s="40">
        <f>'Athens Daily - Water'!S28</f>
        <v>112.10000000000001</v>
      </c>
      <c r="J23" s="7"/>
      <c r="K23" s="7">
        <v>293</v>
      </c>
      <c r="L23" s="7">
        <v>2</v>
      </c>
    </row>
    <row r="24" spans="1:12">
      <c r="A24" s="7" t="s">
        <v>14</v>
      </c>
      <c r="B24" s="7">
        <v>23</v>
      </c>
      <c r="C24" s="7">
        <v>1</v>
      </c>
      <c r="D24" s="7">
        <v>2021</v>
      </c>
      <c r="E24" s="7">
        <f>'Athens Daily - EL'!AL30</f>
        <v>11635.5</v>
      </c>
      <c r="F24" s="7"/>
      <c r="G24" s="39">
        <f>'Athens Daily - Gas'!BI31</f>
        <v>58368.000000007822</v>
      </c>
      <c r="H24" s="7"/>
      <c r="I24" s="40">
        <f>'Athens Daily - Water'!S29</f>
        <v>151.15</v>
      </c>
      <c r="J24" s="7"/>
      <c r="K24" s="7">
        <v>294</v>
      </c>
      <c r="L24" s="7">
        <v>2</v>
      </c>
    </row>
    <row r="25" spans="1:12">
      <c r="A25" s="7" t="s">
        <v>14</v>
      </c>
      <c r="B25" s="7">
        <v>24</v>
      </c>
      <c r="C25" s="7">
        <v>1</v>
      </c>
      <c r="D25" s="7">
        <v>2021</v>
      </c>
      <c r="E25" s="7">
        <f>'Athens Daily - EL'!AL31</f>
        <v>12385.5</v>
      </c>
      <c r="F25" s="7"/>
      <c r="G25" s="39">
        <f>'Athens Daily - Gas'!BI32</f>
        <v>58367.999999984357</v>
      </c>
      <c r="H25" s="7"/>
      <c r="I25" s="40">
        <f>'Athens Daily - Water'!S30</f>
        <v>159.10000000000002</v>
      </c>
      <c r="J25" s="7"/>
      <c r="K25" s="7">
        <v>294</v>
      </c>
      <c r="L25" s="7">
        <v>2</v>
      </c>
    </row>
    <row r="26" spans="1:12">
      <c r="A26" s="7" t="s">
        <v>14</v>
      </c>
      <c r="B26" s="7">
        <v>25</v>
      </c>
      <c r="C26" s="7">
        <v>1</v>
      </c>
      <c r="D26" s="7">
        <v>2021</v>
      </c>
      <c r="E26" s="7">
        <f>'Athens Daily - EL'!AL32</f>
        <v>11328.5</v>
      </c>
      <c r="F26" s="7"/>
      <c r="G26" s="39">
        <f>'Athens Daily - Gas'!BI33</f>
        <v>60921.600000000006</v>
      </c>
      <c r="H26" s="7"/>
      <c r="I26" s="40">
        <f>'Athens Daily - Water'!S31</f>
        <v>163.15</v>
      </c>
      <c r="J26" s="7"/>
      <c r="K26" s="7">
        <v>291</v>
      </c>
      <c r="L26" s="7">
        <v>2</v>
      </c>
    </row>
    <row r="27" spans="1:12">
      <c r="A27" s="7" t="s">
        <v>14</v>
      </c>
      <c r="B27" s="7">
        <v>26</v>
      </c>
      <c r="C27" s="7">
        <v>1</v>
      </c>
      <c r="D27" s="7">
        <v>2021</v>
      </c>
      <c r="E27" s="7">
        <f>'Athens Daily - EL'!AL33</f>
        <v>10116</v>
      </c>
      <c r="F27" s="7"/>
      <c r="G27" s="39">
        <f>'Athens Daily - Gas'!BI34</f>
        <v>59337.600000000006</v>
      </c>
      <c r="H27" s="7"/>
      <c r="I27" s="40">
        <f>'Athens Daily - Water'!S32</f>
        <v>135.30000000000001</v>
      </c>
      <c r="J27" s="7"/>
      <c r="K27" s="7">
        <v>291</v>
      </c>
      <c r="L27" s="7">
        <v>2</v>
      </c>
    </row>
    <row r="28" spans="1:12">
      <c r="A28" s="7" t="s">
        <v>14</v>
      </c>
      <c r="B28" s="7">
        <v>27</v>
      </c>
      <c r="C28" s="7">
        <v>1</v>
      </c>
      <c r="D28" s="7">
        <v>2021</v>
      </c>
      <c r="E28" s="7">
        <f>'Athens Daily - EL'!AL34</f>
        <v>10608.5</v>
      </c>
      <c r="F28" s="7"/>
      <c r="G28" s="39">
        <f>'Athens Daily - Gas'!BI35</f>
        <v>57446.400000000001</v>
      </c>
      <c r="H28" s="7"/>
      <c r="I28" s="40">
        <f>'Athens Daily - Water'!S33</f>
        <v>164.2</v>
      </c>
      <c r="J28" s="7"/>
      <c r="K28" s="7">
        <v>288</v>
      </c>
      <c r="L28" s="7">
        <v>2</v>
      </c>
    </row>
    <row r="29" spans="1:12">
      <c r="A29" s="7" t="s">
        <v>14</v>
      </c>
      <c r="B29" s="7">
        <v>28</v>
      </c>
      <c r="C29" s="7">
        <v>1</v>
      </c>
      <c r="D29" s="7">
        <v>2021</v>
      </c>
      <c r="E29" s="7">
        <f>'Athens Daily - EL'!AL35</f>
        <v>10760.5</v>
      </c>
      <c r="F29" s="7"/>
      <c r="G29" s="39">
        <f>'Athens Daily - Gas'!BI36</f>
        <v>59241.600000000006</v>
      </c>
      <c r="H29" s="7"/>
      <c r="I29" s="40">
        <f>'Athens Daily - Water'!S34</f>
        <v>-62.3</v>
      </c>
      <c r="J29" s="7"/>
      <c r="K29" s="7">
        <v>290</v>
      </c>
      <c r="L29" s="7">
        <v>2</v>
      </c>
    </row>
    <row r="30" spans="1:12">
      <c r="A30" s="7" t="s">
        <v>14</v>
      </c>
      <c r="B30" s="7">
        <v>29</v>
      </c>
      <c r="C30" s="7">
        <v>1</v>
      </c>
      <c r="D30" s="7">
        <v>2021</v>
      </c>
      <c r="E30" s="7">
        <f>'Athens Daily - EL'!AL36</f>
        <v>-6312635</v>
      </c>
      <c r="F30" s="7"/>
      <c r="G30" s="39">
        <f>'Athens Daily - Gas'!BI37</f>
        <v>-226268342.40000001</v>
      </c>
      <c r="H30" s="7"/>
      <c r="I30" s="40">
        <f>'Athens Daily - Water'!S35</f>
        <v>-177348.05</v>
      </c>
      <c r="J30" s="7"/>
      <c r="K30" s="7">
        <v>291</v>
      </c>
      <c r="L30" s="7">
        <v>2</v>
      </c>
    </row>
    <row r="31" spans="1:12">
      <c r="A31" s="7" t="s">
        <v>14</v>
      </c>
      <c r="B31" s="7">
        <v>30</v>
      </c>
      <c r="C31" s="7">
        <v>1</v>
      </c>
      <c r="D31" s="7">
        <v>2021</v>
      </c>
      <c r="E31" s="7">
        <f>'Athens Daily - EL'!AL37</f>
        <v>0</v>
      </c>
      <c r="F31" s="7"/>
      <c r="G31" s="39">
        <f>'Athens Daily - Gas'!BI38</f>
        <v>0</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AE28" activePane="bottomRight" state="frozen"/>
      <selection pane="topRight" activeCell="C2" sqref="C2"/>
      <selection pane="bottomLeft" activeCell="A7" sqref="A7"/>
      <selection pane="bottomRight" activeCell="AI46" sqref="AI46"/>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3"/>
      <c r="B1" s="113"/>
      <c r="C1" s="219" t="s">
        <v>65</v>
      </c>
      <c r="D1" s="219"/>
      <c r="E1" s="219" t="s">
        <v>65</v>
      </c>
      <c r="F1" s="219"/>
      <c r="G1" s="219" t="s">
        <v>65</v>
      </c>
      <c r="H1" s="219"/>
      <c r="I1" s="113"/>
      <c r="J1" s="219" t="s">
        <v>65</v>
      </c>
      <c r="K1" s="219"/>
      <c r="L1" s="219" t="s">
        <v>65</v>
      </c>
      <c r="M1" s="219"/>
      <c r="N1" s="205" t="s">
        <v>66</v>
      </c>
      <c r="O1" s="206"/>
      <c r="P1" s="207"/>
      <c r="Q1" s="205" t="s">
        <v>66</v>
      </c>
      <c r="R1" s="206"/>
      <c r="S1" s="207"/>
      <c r="T1" s="205" t="s">
        <v>66</v>
      </c>
      <c r="U1" s="206"/>
      <c r="V1" s="207"/>
      <c r="W1" s="205" t="s">
        <v>66</v>
      </c>
      <c r="X1" s="206"/>
      <c r="Y1" s="207"/>
      <c r="Z1" s="219" t="s">
        <v>67</v>
      </c>
      <c r="AA1" s="219"/>
      <c r="AB1" s="219" t="s">
        <v>67</v>
      </c>
      <c r="AC1" s="219"/>
      <c r="AD1" s="219" t="s">
        <v>67</v>
      </c>
      <c r="AE1" s="219"/>
      <c r="AF1" s="219" t="s">
        <v>67</v>
      </c>
      <c r="AG1" s="219"/>
      <c r="AH1" s="219" t="s">
        <v>67</v>
      </c>
      <c r="AI1" s="219"/>
    </row>
    <row r="2" spans="1:38" s="3" customFormat="1" ht="113.25" customHeight="1">
      <c r="A2" s="13"/>
      <c r="B2" s="14"/>
      <c r="C2" s="218" t="s">
        <v>68</v>
      </c>
      <c r="D2" s="218"/>
      <c r="E2" s="218" t="s">
        <v>69</v>
      </c>
      <c r="F2" s="218"/>
      <c r="G2" s="208" t="s">
        <v>70</v>
      </c>
      <c r="H2" s="209"/>
      <c r="I2" s="210"/>
      <c r="J2" s="218" t="s">
        <v>71</v>
      </c>
      <c r="K2" s="218"/>
      <c r="L2" s="218" t="s">
        <v>72</v>
      </c>
      <c r="M2" s="218"/>
      <c r="N2" s="208" t="s">
        <v>73</v>
      </c>
      <c r="O2" s="209"/>
      <c r="P2" s="210"/>
      <c r="Q2" s="208" t="s">
        <v>74</v>
      </c>
      <c r="R2" s="209"/>
      <c r="S2" s="210"/>
      <c r="T2" s="208" t="s">
        <v>75</v>
      </c>
      <c r="U2" s="209"/>
      <c r="V2" s="210"/>
      <c r="W2" s="208" t="s">
        <v>76</v>
      </c>
      <c r="X2" s="209"/>
      <c r="Y2" s="210"/>
      <c r="Z2" s="218" t="s">
        <v>77</v>
      </c>
      <c r="AA2" s="218"/>
      <c r="AB2" s="218" t="s">
        <v>78</v>
      </c>
      <c r="AC2" s="218"/>
      <c r="AD2" s="218" t="s">
        <v>79</v>
      </c>
      <c r="AE2" s="218"/>
      <c r="AF2" s="218" t="s">
        <v>78</v>
      </c>
      <c r="AG2" s="218"/>
      <c r="AH2" s="218" t="s">
        <v>80</v>
      </c>
      <c r="AI2" s="218"/>
      <c r="AJ2" s="120"/>
      <c r="AK2" s="120"/>
      <c r="AL2" s="120"/>
    </row>
    <row r="3" spans="1:38" s="25" customFormat="1" ht="30" customHeight="1">
      <c r="A3" s="111"/>
      <c r="B3" s="50"/>
      <c r="C3" s="211">
        <v>5065546</v>
      </c>
      <c r="D3" s="213"/>
      <c r="E3" s="211">
        <v>5065547</v>
      </c>
      <c r="F3" s="213"/>
      <c r="G3" s="211">
        <v>5008272</v>
      </c>
      <c r="H3" s="212"/>
      <c r="I3" s="213"/>
      <c r="J3" s="211">
        <v>5065548</v>
      </c>
      <c r="K3" s="213"/>
      <c r="L3" s="211">
        <v>5465545</v>
      </c>
      <c r="M3" s="213"/>
      <c r="N3" s="211">
        <v>5008273</v>
      </c>
      <c r="O3" s="212"/>
      <c r="P3" s="213"/>
      <c r="Q3" s="211">
        <v>5018351</v>
      </c>
      <c r="R3" s="212"/>
      <c r="S3" s="213"/>
      <c r="T3" s="211">
        <v>5018354</v>
      </c>
      <c r="U3" s="212"/>
      <c r="V3" s="213"/>
      <c r="W3" s="211">
        <v>5018350</v>
      </c>
      <c r="X3" s="212"/>
      <c r="Y3" s="213"/>
      <c r="Z3" s="211">
        <v>5065543</v>
      </c>
      <c r="AA3" s="213"/>
      <c r="AB3" s="211">
        <v>5065544</v>
      </c>
      <c r="AC3" s="213"/>
      <c r="AD3" s="211">
        <v>5065541</v>
      </c>
      <c r="AE3" s="213"/>
      <c r="AF3" s="211">
        <v>5065542</v>
      </c>
      <c r="AG3" s="213"/>
      <c r="AH3" s="211">
        <v>5065540</v>
      </c>
      <c r="AI3" s="213"/>
      <c r="AK3" s="220" t="s">
        <v>81</v>
      </c>
      <c r="AL3" s="220"/>
    </row>
    <row r="4" spans="1:38" s="24" customFormat="1" ht="30" customHeight="1">
      <c r="A4" s="111"/>
      <c r="B4" s="117"/>
      <c r="C4" s="214" t="s">
        <v>82</v>
      </c>
      <c r="D4" s="216"/>
      <c r="E4" s="214" t="s">
        <v>83</v>
      </c>
      <c r="F4" s="216"/>
      <c r="G4" s="214" t="s">
        <v>84</v>
      </c>
      <c r="H4" s="215"/>
      <c r="I4" s="216"/>
      <c r="J4" s="214" t="s">
        <v>85</v>
      </c>
      <c r="K4" s="216"/>
      <c r="L4" s="214" t="s">
        <v>86</v>
      </c>
      <c r="M4" s="216"/>
      <c r="N4" s="214" t="s">
        <v>87</v>
      </c>
      <c r="O4" s="215"/>
      <c r="P4" s="216"/>
      <c r="Q4" s="214" t="s">
        <v>88</v>
      </c>
      <c r="R4" s="215"/>
      <c r="S4" s="216"/>
      <c r="T4" s="214" t="s">
        <v>89</v>
      </c>
      <c r="U4" s="215"/>
      <c r="V4" s="216"/>
      <c r="W4" s="214" t="s">
        <v>90</v>
      </c>
      <c r="X4" s="215"/>
      <c r="Y4" s="216"/>
      <c r="Z4" s="214" t="s">
        <v>91</v>
      </c>
      <c r="AA4" s="216"/>
      <c r="AB4" s="214" t="s">
        <v>92</v>
      </c>
      <c r="AC4" s="216"/>
      <c r="AD4" s="214" t="s">
        <v>93</v>
      </c>
      <c r="AE4" s="216"/>
      <c r="AF4" s="214" t="s">
        <v>94</v>
      </c>
      <c r="AG4" s="216"/>
      <c r="AH4" s="214" t="s">
        <v>95</v>
      </c>
      <c r="AI4" s="216"/>
      <c r="AK4" s="220"/>
      <c r="AL4" s="220"/>
    </row>
    <row r="5" spans="1:38" s="8" customFormat="1" ht="30" customHeight="1">
      <c r="A5" s="111" t="s">
        <v>96</v>
      </c>
      <c r="B5" s="51"/>
      <c r="C5" s="203" t="s">
        <v>97</v>
      </c>
      <c r="D5" s="204"/>
      <c r="E5" s="203" t="s">
        <v>97</v>
      </c>
      <c r="F5" s="204"/>
      <c r="G5" s="203" t="s">
        <v>97</v>
      </c>
      <c r="H5" s="217"/>
      <c r="I5" s="204"/>
      <c r="J5" s="51" t="s">
        <v>97</v>
      </c>
      <c r="K5" s="51"/>
      <c r="L5" s="203" t="s">
        <v>97</v>
      </c>
      <c r="M5" s="204"/>
      <c r="N5" s="203" t="s">
        <v>97</v>
      </c>
      <c r="O5" s="217"/>
      <c r="P5" s="204"/>
      <c r="Q5" s="203" t="s">
        <v>98</v>
      </c>
      <c r="R5" s="217"/>
      <c r="S5" s="204"/>
      <c r="T5" s="203" t="s">
        <v>98</v>
      </c>
      <c r="U5" s="217"/>
      <c r="V5" s="204"/>
      <c r="W5" s="203" t="s">
        <v>98</v>
      </c>
      <c r="X5" s="217"/>
      <c r="Y5" s="204"/>
      <c r="Z5" s="203" t="s">
        <v>97</v>
      </c>
      <c r="AA5" s="204"/>
      <c r="AB5" s="203" t="s">
        <v>97</v>
      </c>
      <c r="AC5" s="204"/>
      <c r="AD5" s="203" t="s">
        <v>97</v>
      </c>
      <c r="AE5" s="204"/>
      <c r="AF5" s="203" t="s">
        <v>97</v>
      </c>
      <c r="AG5" s="204"/>
      <c r="AH5" s="203" t="s">
        <v>97</v>
      </c>
      <c r="AI5" s="204"/>
    </row>
    <row r="6" spans="1:38" s="10" customFormat="1" ht="50.1" customHeight="1">
      <c r="A6" s="111" t="s">
        <v>99</v>
      </c>
      <c r="B6" s="111"/>
      <c r="C6" s="111" t="s">
        <v>100</v>
      </c>
      <c r="D6" s="111" t="s">
        <v>101</v>
      </c>
      <c r="E6" s="111" t="s">
        <v>100</v>
      </c>
      <c r="F6" s="111" t="s">
        <v>101</v>
      </c>
      <c r="G6" s="111" t="s">
        <v>100</v>
      </c>
      <c r="H6" s="111" t="s">
        <v>101</v>
      </c>
      <c r="I6" s="111" t="s">
        <v>102</v>
      </c>
      <c r="J6" s="111" t="s">
        <v>100</v>
      </c>
      <c r="K6" s="111" t="s">
        <v>101</v>
      </c>
      <c r="L6" s="111" t="s">
        <v>100</v>
      </c>
      <c r="M6" s="111" t="s">
        <v>101</v>
      </c>
      <c r="N6" s="111" t="s">
        <v>100</v>
      </c>
      <c r="O6" s="111" t="s">
        <v>101</v>
      </c>
      <c r="P6" s="111" t="s">
        <v>102</v>
      </c>
      <c r="Q6" s="111" t="s">
        <v>100</v>
      </c>
      <c r="R6" s="111" t="s">
        <v>101</v>
      </c>
      <c r="S6" s="111" t="s">
        <v>102</v>
      </c>
      <c r="T6" s="111" t="s">
        <v>100</v>
      </c>
      <c r="U6" s="111" t="s">
        <v>101</v>
      </c>
      <c r="V6" s="111" t="s">
        <v>102</v>
      </c>
      <c r="W6" s="111" t="s">
        <v>100</v>
      </c>
      <c r="X6" s="111" t="s">
        <v>101</v>
      </c>
      <c r="Y6" s="111" t="s">
        <v>102</v>
      </c>
      <c r="Z6" s="111" t="s">
        <v>100</v>
      </c>
      <c r="AA6" s="111" t="s">
        <v>101</v>
      </c>
      <c r="AB6" s="111" t="s">
        <v>100</v>
      </c>
      <c r="AC6" s="111" t="s">
        <v>101</v>
      </c>
      <c r="AD6" s="111" t="s">
        <v>100</v>
      </c>
      <c r="AE6" s="111" t="s">
        <v>101</v>
      </c>
      <c r="AF6" s="111" t="s">
        <v>100</v>
      </c>
      <c r="AG6" s="111" t="s">
        <v>101</v>
      </c>
      <c r="AH6" s="111" t="s">
        <v>100</v>
      </c>
      <c r="AI6" s="111" t="s">
        <v>101</v>
      </c>
      <c r="AK6" s="111" t="s">
        <v>65</v>
      </c>
      <c r="AL6" s="111" t="s">
        <v>67</v>
      </c>
    </row>
    <row r="7" spans="1:38" ht="39.950000000000003" customHeight="1">
      <c r="A7" s="149">
        <v>44316</v>
      </c>
      <c r="B7" s="16"/>
      <c r="C7" s="74">
        <v>104795</v>
      </c>
      <c r="D7" s="17"/>
      <c r="E7" s="74">
        <v>162829</v>
      </c>
      <c r="F7" s="17"/>
      <c r="G7" s="74">
        <v>949379</v>
      </c>
      <c r="H7" s="17"/>
      <c r="I7" s="17"/>
      <c r="J7" s="74">
        <v>145616</v>
      </c>
      <c r="K7" s="17"/>
      <c r="L7" s="74">
        <v>226957</v>
      </c>
      <c r="M7" s="17"/>
      <c r="N7" s="74">
        <v>859217</v>
      </c>
      <c r="O7" s="17"/>
      <c r="P7" s="17"/>
      <c r="Q7" s="74">
        <v>144492</v>
      </c>
      <c r="R7" s="17"/>
      <c r="S7" s="17"/>
      <c r="T7" s="74">
        <v>74790</v>
      </c>
      <c r="U7" s="17"/>
      <c r="V7" s="17"/>
      <c r="W7" s="74">
        <v>152233</v>
      </c>
      <c r="X7" s="17"/>
      <c r="Y7" s="17"/>
      <c r="Z7" s="74">
        <v>28669</v>
      </c>
      <c r="AA7" s="17"/>
      <c r="AB7" s="74">
        <v>58181</v>
      </c>
      <c r="AC7" s="17"/>
      <c r="AD7" s="74">
        <v>104366</v>
      </c>
      <c r="AE7" s="17"/>
      <c r="AF7" s="74">
        <v>56537</v>
      </c>
      <c r="AG7" s="17"/>
      <c r="AH7" s="74">
        <v>281818</v>
      </c>
      <c r="AI7" s="17"/>
      <c r="AK7" s="100"/>
      <c r="AL7" s="101"/>
    </row>
    <row r="8" spans="1:38" s="2" customFormat="1" ht="39.950000000000003" customHeight="1">
      <c r="A8" s="149">
        <v>44317</v>
      </c>
      <c r="B8" s="15"/>
      <c r="C8" s="49">
        <v>105195</v>
      </c>
      <c r="D8" s="17">
        <f>(C8-C7)*10</f>
        <v>4000</v>
      </c>
      <c r="E8" s="49">
        <v>163599</v>
      </c>
      <c r="F8" s="17">
        <f>(E8-E7)*10</f>
        <v>7700</v>
      </c>
      <c r="G8" s="49">
        <v>950768</v>
      </c>
      <c r="H8" s="17">
        <f>(G8-G7)*10</f>
        <v>13890</v>
      </c>
      <c r="I8" s="17">
        <f>H8*50%</f>
        <v>6945</v>
      </c>
      <c r="J8" s="49">
        <v>146236</v>
      </c>
      <c r="K8" s="17">
        <f>(J8-J7)*10</f>
        <v>6200</v>
      </c>
      <c r="L8" s="49">
        <v>227944</v>
      </c>
      <c r="M8" s="17">
        <f>(L8-L7)*10</f>
        <v>9870</v>
      </c>
      <c r="N8" s="49">
        <v>859673</v>
      </c>
      <c r="O8" s="17">
        <f t="shared" ref="O8:O24" si="0">(N8-N7)*10</f>
        <v>4560</v>
      </c>
      <c r="P8" s="17">
        <f>O8*50%</f>
        <v>2280</v>
      </c>
      <c r="Q8" s="49">
        <v>144842</v>
      </c>
      <c r="R8" s="17">
        <f t="shared" ref="R8:R24" si="1">(Q8-Q7)*10</f>
        <v>3500</v>
      </c>
      <c r="S8" s="17">
        <f>R8*50%</f>
        <v>1750</v>
      </c>
      <c r="T8" s="49">
        <v>75289</v>
      </c>
      <c r="U8" s="17">
        <f>(T8-T7)*10</f>
        <v>4990</v>
      </c>
      <c r="V8" s="17">
        <f>U8*50%</f>
        <v>2495</v>
      </c>
      <c r="W8" s="49">
        <v>152269</v>
      </c>
      <c r="X8" s="17">
        <f>(W8-W7)*10</f>
        <v>360</v>
      </c>
      <c r="Y8" s="17">
        <f>X8*50%</f>
        <v>180</v>
      </c>
      <c r="Z8" s="49">
        <v>28767</v>
      </c>
      <c r="AA8" s="17">
        <f>Z8-Z7</f>
        <v>98</v>
      </c>
      <c r="AB8" s="49">
        <v>58379</v>
      </c>
      <c r="AC8" s="17">
        <f>AB8-AB7</f>
        <v>198</v>
      </c>
      <c r="AD8" s="49">
        <v>104721</v>
      </c>
      <c r="AE8" s="17">
        <f>AD8-AD7</f>
        <v>355</v>
      </c>
      <c r="AF8" s="49">
        <v>56721</v>
      </c>
      <c r="AG8" s="17">
        <f>AF8-AF7</f>
        <v>184</v>
      </c>
      <c r="AH8" s="49">
        <v>282746</v>
      </c>
      <c r="AI8" s="17">
        <f>AH8-AH7</f>
        <v>928</v>
      </c>
      <c r="AK8" s="100">
        <f>SUM(D8,F8,I8,K8,M8,P8,S8,V8,Y8)</f>
        <v>41420</v>
      </c>
      <c r="AL8" s="101">
        <f>SUM(P8,S8,V8,Y8,AA8,AC8,AE8,AG8,AI8)</f>
        <v>8468</v>
      </c>
    </row>
    <row r="9" spans="1:38" ht="39.950000000000003" customHeight="1">
      <c r="A9" s="149">
        <v>44318</v>
      </c>
      <c r="B9" s="16"/>
      <c r="C9" s="49">
        <v>105586</v>
      </c>
      <c r="D9" s="17">
        <f t="shared" ref="D9:F25" si="2">(C9-C8)*10</f>
        <v>3910</v>
      </c>
      <c r="E9" s="49">
        <v>164322</v>
      </c>
      <c r="F9" s="17">
        <f t="shared" si="2"/>
        <v>7230</v>
      </c>
      <c r="G9" s="49">
        <v>952228</v>
      </c>
      <c r="H9" s="17">
        <f t="shared" ref="H9" si="3">(G9-G8)*10</f>
        <v>14600</v>
      </c>
      <c r="I9" s="17">
        <f t="shared" ref="I9:I24" si="4">H9*50%</f>
        <v>7300</v>
      </c>
      <c r="J9" s="49">
        <v>146835</v>
      </c>
      <c r="K9" s="17">
        <f t="shared" ref="K9" si="5">(J9-J8)*10</f>
        <v>5990</v>
      </c>
      <c r="L9" s="49">
        <v>228918</v>
      </c>
      <c r="M9" s="17">
        <f t="shared" ref="M9" si="6">(L9-L8)*10</f>
        <v>9740</v>
      </c>
      <c r="N9" s="49">
        <v>860135</v>
      </c>
      <c r="O9" s="17">
        <f t="shared" si="0"/>
        <v>4620</v>
      </c>
      <c r="P9" s="17">
        <f t="shared" ref="P9:P24" si="7">O9*50%</f>
        <v>2310</v>
      </c>
      <c r="Q9" s="49">
        <v>145399</v>
      </c>
      <c r="R9" s="17">
        <f t="shared" si="1"/>
        <v>5570</v>
      </c>
      <c r="S9" s="17">
        <f t="shared" ref="S9:S24" si="8">R9*50%</f>
        <v>2785</v>
      </c>
      <c r="T9" s="49">
        <v>75753</v>
      </c>
      <c r="U9" s="17">
        <f t="shared" ref="U9" si="9">(T9-T8)*10</f>
        <v>4640</v>
      </c>
      <c r="V9" s="17">
        <f t="shared" ref="V9:V24" si="10">U9*50%</f>
        <v>2320</v>
      </c>
      <c r="W9" s="49">
        <v>152303</v>
      </c>
      <c r="X9" s="17">
        <f t="shared" ref="X9" si="11">W9-W8</f>
        <v>34</v>
      </c>
      <c r="Y9" s="17">
        <f t="shared" ref="Y9:Y24" si="12">X9*50%</f>
        <v>17</v>
      </c>
      <c r="Z9" s="49">
        <v>28857</v>
      </c>
      <c r="AA9" s="17">
        <f t="shared" ref="AA9" si="13">Z9-Z8</f>
        <v>90</v>
      </c>
      <c r="AB9" s="49">
        <v>58575</v>
      </c>
      <c r="AC9" s="17">
        <f t="shared" ref="AC9" si="14">AB9-AB8</f>
        <v>196</v>
      </c>
      <c r="AD9" s="49">
        <v>105068</v>
      </c>
      <c r="AE9" s="17">
        <f t="shared" ref="AE9" si="15">AD9-AD8</f>
        <v>347</v>
      </c>
      <c r="AF9" s="49">
        <v>56909</v>
      </c>
      <c r="AG9" s="17">
        <f t="shared" ref="AG9" si="16">AF9-AF8</f>
        <v>188</v>
      </c>
      <c r="AH9" s="49">
        <v>283693</v>
      </c>
      <c r="AI9" s="17">
        <f t="shared" ref="AI9" si="17">AH9-AH8</f>
        <v>947</v>
      </c>
      <c r="AK9" s="100">
        <f t="shared" ref="AK9:AK24" si="18">SUM(D9,F9,I9,K9,M9,P9,S9,V9,Y9)</f>
        <v>41602</v>
      </c>
      <c r="AL9" s="101">
        <f t="shared" ref="AL9:AL24" si="19">SUM(P9,S9,V9,Y9,AA9,AC9,AE9,AG9,AI9)</f>
        <v>9200</v>
      </c>
    </row>
    <row r="10" spans="1:38" ht="39.950000000000003" customHeight="1">
      <c r="A10" s="149">
        <v>44319</v>
      </c>
      <c r="B10" s="16"/>
      <c r="C10" s="49">
        <v>105953</v>
      </c>
      <c r="D10" s="17">
        <f t="shared" si="2"/>
        <v>3670</v>
      </c>
      <c r="E10" s="49">
        <v>165035</v>
      </c>
      <c r="F10" s="17">
        <f t="shared" si="2"/>
        <v>7130</v>
      </c>
      <c r="G10" s="49">
        <v>953694</v>
      </c>
      <c r="H10" s="17">
        <f t="shared" ref="H10" si="20">(G10-G9)*10</f>
        <v>14660</v>
      </c>
      <c r="I10" s="17">
        <f t="shared" si="4"/>
        <v>7330</v>
      </c>
      <c r="J10" s="49">
        <v>147422</v>
      </c>
      <c r="K10" s="17">
        <f t="shared" ref="K10" si="21">(J10-J9)*10</f>
        <v>5870</v>
      </c>
      <c r="L10" s="49">
        <v>229861</v>
      </c>
      <c r="M10" s="17">
        <f t="shared" ref="M10" si="22">(L10-L9)*10</f>
        <v>9430</v>
      </c>
      <c r="N10" s="49">
        <v>860789</v>
      </c>
      <c r="O10" s="17">
        <f t="shared" si="0"/>
        <v>6540</v>
      </c>
      <c r="P10" s="17">
        <f t="shared" si="7"/>
        <v>3270</v>
      </c>
      <c r="Q10" s="49">
        <v>145401</v>
      </c>
      <c r="R10" s="17">
        <f t="shared" si="1"/>
        <v>20</v>
      </c>
      <c r="S10" s="17">
        <f t="shared" si="8"/>
        <v>10</v>
      </c>
      <c r="T10" s="49">
        <v>76289</v>
      </c>
      <c r="U10" s="17">
        <f t="shared" ref="U10" si="23">(T10-T9)*10</f>
        <v>5360</v>
      </c>
      <c r="V10" s="17">
        <f t="shared" si="10"/>
        <v>2680</v>
      </c>
      <c r="W10" s="49">
        <v>152339</v>
      </c>
      <c r="X10" s="17">
        <f t="shared" ref="X10" si="24">W10-W9</f>
        <v>36</v>
      </c>
      <c r="Y10" s="17">
        <f t="shared" si="12"/>
        <v>18</v>
      </c>
      <c r="Z10" s="49">
        <v>28944</v>
      </c>
      <c r="AA10" s="17">
        <f t="shared" ref="AA10" si="25">Z10-Z9</f>
        <v>87</v>
      </c>
      <c r="AB10" s="49">
        <v>58786</v>
      </c>
      <c r="AC10" s="17">
        <f t="shared" ref="AC10" si="26">AB10-AB9</f>
        <v>211</v>
      </c>
      <c r="AD10" s="49">
        <v>105427</v>
      </c>
      <c r="AE10" s="17">
        <f t="shared" ref="AE10" si="27">AD10-AD9</f>
        <v>359</v>
      </c>
      <c r="AF10" s="49">
        <v>57097</v>
      </c>
      <c r="AG10" s="17">
        <f t="shared" ref="AG10" si="28">AF10-AF9</f>
        <v>188</v>
      </c>
      <c r="AH10" s="49">
        <v>284609</v>
      </c>
      <c r="AI10" s="17">
        <f t="shared" ref="AI10" si="29">AH10-AH9</f>
        <v>916</v>
      </c>
      <c r="AK10" s="100">
        <f t="shared" si="18"/>
        <v>39408</v>
      </c>
      <c r="AL10" s="101">
        <f t="shared" si="19"/>
        <v>7739</v>
      </c>
    </row>
    <row r="11" spans="1:38" ht="39.950000000000003" customHeight="1">
      <c r="A11" s="149">
        <v>44320</v>
      </c>
      <c r="B11" s="16"/>
      <c r="C11" s="49">
        <v>106327</v>
      </c>
      <c r="D11" s="17">
        <f t="shared" si="2"/>
        <v>3740</v>
      </c>
      <c r="E11" s="49">
        <v>165716</v>
      </c>
      <c r="F11" s="17">
        <f t="shared" si="2"/>
        <v>6810</v>
      </c>
      <c r="G11" s="49">
        <v>955103</v>
      </c>
      <c r="H11" s="17">
        <f t="shared" ref="H11" si="30">(G11-G10)*10</f>
        <v>14090</v>
      </c>
      <c r="I11" s="17">
        <f t="shared" si="4"/>
        <v>7045</v>
      </c>
      <c r="J11" s="49">
        <v>147979</v>
      </c>
      <c r="K11" s="17">
        <f t="shared" ref="K11" si="31">(J11-J10)*10</f>
        <v>5570</v>
      </c>
      <c r="L11" s="49">
        <v>230762</v>
      </c>
      <c r="M11" s="17">
        <f t="shared" ref="M11" si="32">(L11-L10)*10</f>
        <v>9010</v>
      </c>
      <c r="N11" s="49">
        <v>861268</v>
      </c>
      <c r="O11" s="17">
        <f t="shared" si="0"/>
        <v>4790</v>
      </c>
      <c r="P11" s="17">
        <f t="shared" si="7"/>
        <v>2395</v>
      </c>
      <c r="Q11" s="49">
        <v>145403</v>
      </c>
      <c r="R11" s="17">
        <f t="shared" si="1"/>
        <v>20</v>
      </c>
      <c r="S11" s="17">
        <f t="shared" si="8"/>
        <v>10</v>
      </c>
      <c r="T11" s="49">
        <v>77010</v>
      </c>
      <c r="U11" s="17">
        <f t="shared" ref="U11" si="33">(T11-T10)*10</f>
        <v>7210</v>
      </c>
      <c r="V11" s="17">
        <f t="shared" si="10"/>
        <v>3605</v>
      </c>
      <c r="W11" s="49">
        <v>152849</v>
      </c>
      <c r="X11" s="17">
        <f t="shared" ref="X11" si="34">W11-W10</f>
        <v>510</v>
      </c>
      <c r="Y11" s="17">
        <f t="shared" si="12"/>
        <v>255</v>
      </c>
      <c r="Z11" s="49">
        <v>29030</v>
      </c>
      <c r="AA11" s="17">
        <f t="shared" ref="AA11" si="35">Z11-Z10</f>
        <v>86</v>
      </c>
      <c r="AB11" s="49">
        <v>58985</v>
      </c>
      <c r="AC11" s="17">
        <f t="shared" ref="AC11" si="36">AB11-AB10</f>
        <v>199</v>
      </c>
      <c r="AD11" s="49">
        <v>105782</v>
      </c>
      <c r="AE11" s="17">
        <f t="shared" ref="AE11" si="37">AD11-AD10</f>
        <v>355</v>
      </c>
      <c r="AF11" s="49">
        <v>57282</v>
      </c>
      <c r="AG11" s="17">
        <f t="shared" ref="AG11" si="38">AF11-AF10</f>
        <v>185</v>
      </c>
      <c r="AH11" s="49">
        <v>285542</v>
      </c>
      <c r="AI11" s="17">
        <f t="shared" ref="AI11" si="39">AH11-AH10</f>
        <v>933</v>
      </c>
      <c r="AK11" s="100">
        <f t="shared" si="18"/>
        <v>38440</v>
      </c>
      <c r="AL11" s="101">
        <f t="shared" si="19"/>
        <v>8023</v>
      </c>
    </row>
    <row r="12" spans="1:38" ht="39.950000000000003" customHeight="1">
      <c r="A12" s="149">
        <v>44321</v>
      </c>
      <c r="B12" s="16"/>
      <c r="C12" s="49">
        <v>106709</v>
      </c>
      <c r="D12" s="17">
        <f t="shared" si="2"/>
        <v>3820</v>
      </c>
      <c r="E12" s="49">
        <v>166414</v>
      </c>
      <c r="F12" s="17">
        <f t="shared" si="2"/>
        <v>6980</v>
      </c>
      <c r="G12" s="49">
        <v>956629</v>
      </c>
      <c r="H12" s="17">
        <f t="shared" ref="H12" si="40">(G12-G11)*10</f>
        <v>15260</v>
      </c>
      <c r="I12" s="17">
        <f t="shared" si="4"/>
        <v>7630</v>
      </c>
      <c r="J12" s="49">
        <v>148559</v>
      </c>
      <c r="K12" s="17">
        <f t="shared" ref="K12" si="41">(J12-J11)*10</f>
        <v>5800</v>
      </c>
      <c r="L12" s="49">
        <v>231674</v>
      </c>
      <c r="M12" s="17">
        <f t="shared" ref="M12" si="42">(L12-L11)*10</f>
        <v>9120</v>
      </c>
      <c r="N12" s="49">
        <v>861743</v>
      </c>
      <c r="O12" s="17">
        <f t="shared" si="0"/>
        <v>4750</v>
      </c>
      <c r="P12" s="17">
        <f t="shared" si="7"/>
        <v>2375</v>
      </c>
      <c r="Q12" s="49">
        <v>146175</v>
      </c>
      <c r="R12" s="17">
        <f t="shared" si="1"/>
        <v>7720</v>
      </c>
      <c r="S12" s="17">
        <f t="shared" si="8"/>
        <v>3860</v>
      </c>
      <c r="T12" s="49">
        <v>77256</v>
      </c>
      <c r="U12" s="17">
        <f t="shared" ref="U12" si="43">(T12-T11)*10</f>
        <v>2460</v>
      </c>
      <c r="V12" s="17">
        <f t="shared" si="10"/>
        <v>1230</v>
      </c>
      <c r="W12" s="49">
        <v>152871</v>
      </c>
      <c r="X12" s="17">
        <f t="shared" ref="X12" si="44">W12-W11</f>
        <v>22</v>
      </c>
      <c r="Y12" s="17">
        <f t="shared" si="12"/>
        <v>11</v>
      </c>
      <c r="Z12" s="49">
        <v>29123</v>
      </c>
      <c r="AA12" s="17">
        <f t="shared" ref="AA12" si="45">Z12-Z11</f>
        <v>93</v>
      </c>
      <c r="AB12" s="49">
        <v>59191</v>
      </c>
      <c r="AC12" s="17">
        <f t="shared" ref="AC12" si="46">AB12-AB11</f>
        <v>206</v>
      </c>
      <c r="AD12" s="49">
        <v>106147</v>
      </c>
      <c r="AE12" s="17">
        <f t="shared" ref="AE12" si="47">AD12-AD11</f>
        <v>365</v>
      </c>
      <c r="AF12" s="49">
        <v>57469</v>
      </c>
      <c r="AG12" s="17">
        <f t="shared" ref="AG12" si="48">AF12-AF11</f>
        <v>187</v>
      </c>
      <c r="AH12" s="49">
        <v>286494</v>
      </c>
      <c r="AI12" s="17">
        <f t="shared" ref="AI12" si="49">AH12-AH11</f>
        <v>952</v>
      </c>
      <c r="AK12" s="100">
        <f t="shared" si="18"/>
        <v>40826</v>
      </c>
      <c r="AL12" s="101">
        <f t="shared" si="19"/>
        <v>9279</v>
      </c>
    </row>
    <row r="13" spans="1:38" ht="39.950000000000003" customHeight="1">
      <c r="A13" s="149">
        <v>44322</v>
      </c>
      <c r="B13" s="16"/>
      <c r="C13" s="49">
        <v>107100</v>
      </c>
      <c r="D13" s="17">
        <f t="shared" si="2"/>
        <v>3910</v>
      </c>
      <c r="E13" s="49">
        <v>167146</v>
      </c>
      <c r="F13" s="17">
        <f t="shared" si="2"/>
        <v>7320</v>
      </c>
      <c r="G13" s="49">
        <v>958119</v>
      </c>
      <c r="H13" s="17">
        <f t="shared" ref="H13" si="50">(G13-G12)*10</f>
        <v>14900</v>
      </c>
      <c r="I13" s="17">
        <f t="shared" si="4"/>
        <v>7450</v>
      </c>
      <c r="J13" s="49">
        <v>149155</v>
      </c>
      <c r="K13" s="17">
        <f t="shared" ref="K13" si="51">(J13-J12)*10</f>
        <v>5960</v>
      </c>
      <c r="L13" s="49">
        <v>232613</v>
      </c>
      <c r="M13" s="17">
        <f t="shared" ref="M13" si="52">(L13-L12)*10</f>
        <v>9390</v>
      </c>
      <c r="N13" s="49">
        <v>862256</v>
      </c>
      <c r="O13" s="17">
        <f t="shared" si="0"/>
        <v>5130</v>
      </c>
      <c r="P13" s="17">
        <f t="shared" si="7"/>
        <v>2565</v>
      </c>
      <c r="Q13" s="49">
        <v>146870</v>
      </c>
      <c r="R13" s="17">
        <f t="shared" si="1"/>
        <v>6950</v>
      </c>
      <c r="S13" s="17">
        <f t="shared" si="8"/>
        <v>3475</v>
      </c>
      <c r="T13" s="49">
        <v>77258</v>
      </c>
      <c r="U13" s="17">
        <f t="shared" ref="U13" si="53">(T13-T12)*10</f>
        <v>20</v>
      </c>
      <c r="V13" s="17">
        <f t="shared" si="10"/>
        <v>10</v>
      </c>
      <c r="W13" s="49">
        <v>152879</v>
      </c>
      <c r="X13" s="17">
        <f t="shared" ref="X13" si="54">W13-W12</f>
        <v>8</v>
      </c>
      <c r="Y13" s="17">
        <f t="shared" si="12"/>
        <v>4</v>
      </c>
      <c r="Z13" s="49">
        <v>29223</v>
      </c>
      <c r="AA13" s="17">
        <f t="shared" ref="AA13" si="55">Z13-Z12</f>
        <v>100</v>
      </c>
      <c r="AB13" s="49">
        <v>59405</v>
      </c>
      <c r="AC13" s="17">
        <f t="shared" ref="AC13" si="56">AB13-AB12</f>
        <v>214</v>
      </c>
      <c r="AD13" s="49">
        <v>106512</v>
      </c>
      <c r="AE13" s="17">
        <f t="shared" ref="AE13" si="57">AD13-AD12</f>
        <v>365</v>
      </c>
      <c r="AF13" s="49">
        <v>57659</v>
      </c>
      <c r="AG13" s="17">
        <f t="shared" ref="AG13" si="58">AF13-AF12</f>
        <v>190</v>
      </c>
      <c r="AH13" s="49">
        <v>287444</v>
      </c>
      <c r="AI13" s="17">
        <f t="shared" ref="AI13" si="59">AH13-AH12</f>
        <v>950</v>
      </c>
      <c r="AK13" s="100">
        <f t="shared" si="18"/>
        <v>40084</v>
      </c>
      <c r="AL13" s="101">
        <f t="shared" si="19"/>
        <v>7873</v>
      </c>
    </row>
    <row r="14" spans="1:38" ht="39.950000000000003" customHeight="1">
      <c r="A14" s="149">
        <v>44323</v>
      </c>
      <c r="B14" s="16"/>
      <c r="C14" s="49">
        <v>107474</v>
      </c>
      <c r="D14" s="17">
        <f t="shared" si="2"/>
        <v>3740</v>
      </c>
      <c r="E14" s="49">
        <v>167824</v>
      </c>
      <c r="F14" s="17">
        <f t="shared" si="2"/>
        <v>6780</v>
      </c>
      <c r="G14" s="49">
        <v>959526</v>
      </c>
      <c r="H14" s="17">
        <f t="shared" ref="H14" si="60">(G14-G13)*10</f>
        <v>14070</v>
      </c>
      <c r="I14" s="17">
        <f t="shared" si="4"/>
        <v>7035</v>
      </c>
      <c r="J14" s="49">
        <v>149713</v>
      </c>
      <c r="K14" s="17">
        <f t="shared" ref="K14" si="61">(J14-J13)*10</f>
        <v>5580</v>
      </c>
      <c r="L14" s="49">
        <v>233498</v>
      </c>
      <c r="M14" s="17">
        <f t="shared" ref="M14" si="62">(L14-L13)*10</f>
        <v>8850</v>
      </c>
      <c r="N14" s="49">
        <v>863047</v>
      </c>
      <c r="O14" s="17">
        <f t="shared" si="0"/>
        <v>7910</v>
      </c>
      <c r="P14" s="17">
        <f t="shared" si="7"/>
        <v>3955</v>
      </c>
      <c r="Q14" s="49">
        <v>146872</v>
      </c>
      <c r="R14" s="17">
        <f t="shared" si="1"/>
        <v>20</v>
      </c>
      <c r="S14" s="17">
        <f t="shared" si="8"/>
        <v>10</v>
      </c>
      <c r="T14" s="49">
        <v>77971</v>
      </c>
      <c r="U14" s="17">
        <f t="shared" ref="U14" si="63">(T14-T13)*10</f>
        <v>7130</v>
      </c>
      <c r="V14" s="17">
        <f t="shared" si="10"/>
        <v>3565</v>
      </c>
      <c r="W14" s="49">
        <v>152923</v>
      </c>
      <c r="X14" s="17">
        <f t="shared" ref="X14" si="64">W14-W13</f>
        <v>44</v>
      </c>
      <c r="Y14" s="17">
        <f t="shared" si="12"/>
        <v>22</v>
      </c>
      <c r="Z14" s="49">
        <v>29307</v>
      </c>
      <c r="AA14" s="17">
        <f t="shared" ref="AA14" si="65">Z14-Z13</f>
        <v>84</v>
      </c>
      <c r="AB14" s="49">
        <v>59606</v>
      </c>
      <c r="AC14" s="17">
        <f t="shared" ref="AC14" si="66">AB14-AB13</f>
        <v>201</v>
      </c>
      <c r="AD14" s="49">
        <v>106860</v>
      </c>
      <c r="AE14" s="17">
        <f t="shared" ref="AE14" si="67">AD14-AD13</f>
        <v>348</v>
      </c>
      <c r="AF14" s="49">
        <v>57836</v>
      </c>
      <c r="AG14" s="17">
        <f t="shared" ref="AG14" si="68">AF14-AF13</f>
        <v>177</v>
      </c>
      <c r="AH14" s="49">
        <v>288363</v>
      </c>
      <c r="AI14" s="17">
        <f t="shared" ref="AI14" si="69">AH14-AH13</f>
        <v>919</v>
      </c>
      <c r="AK14" s="100">
        <f t="shared" si="18"/>
        <v>39537</v>
      </c>
      <c r="AL14" s="101">
        <f t="shared" si="19"/>
        <v>9281</v>
      </c>
    </row>
    <row r="15" spans="1:38" ht="39.950000000000003" customHeight="1">
      <c r="A15" s="149">
        <v>44324</v>
      </c>
      <c r="B15" s="16"/>
      <c r="C15" s="197">
        <v>107879</v>
      </c>
      <c r="D15" s="17">
        <f t="shared" si="2"/>
        <v>4050</v>
      </c>
      <c r="E15" s="197">
        <v>168603</v>
      </c>
      <c r="F15" s="17">
        <f t="shared" si="2"/>
        <v>7790</v>
      </c>
      <c r="G15" s="197">
        <v>961084</v>
      </c>
      <c r="H15" s="17">
        <f t="shared" ref="H15" si="70">(G15-G14)*10</f>
        <v>15580</v>
      </c>
      <c r="I15" s="17">
        <f t="shared" si="4"/>
        <v>7790</v>
      </c>
      <c r="J15" s="197">
        <v>150352</v>
      </c>
      <c r="K15" s="17">
        <f t="shared" ref="K15" si="71">(J15-J14)*10</f>
        <v>6390</v>
      </c>
      <c r="L15" s="197">
        <v>234490</v>
      </c>
      <c r="M15" s="17">
        <f t="shared" ref="M15" si="72">(L15-L14)*10</f>
        <v>9920</v>
      </c>
      <c r="N15" s="197">
        <v>863621</v>
      </c>
      <c r="O15" s="17">
        <f t="shared" si="0"/>
        <v>5740</v>
      </c>
      <c r="P15" s="17">
        <f t="shared" si="7"/>
        <v>2870</v>
      </c>
      <c r="Q15" s="197">
        <v>147683</v>
      </c>
      <c r="R15" s="17">
        <f t="shared" si="1"/>
        <v>8110</v>
      </c>
      <c r="S15" s="17">
        <f t="shared" si="8"/>
        <v>4055</v>
      </c>
      <c r="T15" s="197">
        <v>77974</v>
      </c>
      <c r="U15" s="17">
        <f t="shared" ref="U15" si="73">(T15-T14)*10</f>
        <v>30</v>
      </c>
      <c r="V15" s="17">
        <f t="shared" si="10"/>
        <v>15</v>
      </c>
      <c r="W15" s="197">
        <v>153513</v>
      </c>
      <c r="X15" s="17">
        <f t="shared" ref="X15" si="74">W15-W14</f>
        <v>590</v>
      </c>
      <c r="Y15" s="17">
        <f t="shared" si="12"/>
        <v>295</v>
      </c>
      <c r="Z15" s="197">
        <v>29403</v>
      </c>
      <c r="AA15" s="17">
        <f t="shared" ref="AA15" si="75">Z15-Z14</f>
        <v>96</v>
      </c>
      <c r="AB15" s="197">
        <v>59812</v>
      </c>
      <c r="AC15" s="17">
        <f t="shared" ref="AC15" si="76">AB15-AB14</f>
        <v>206</v>
      </c>
      <c r="AD15" s="197">
        <v>107223</v>
      </c>
      <c r="AE15" s="17">
        <f t="shared" ref="AE15" si="77">AD15-AD14</f>
        <v>363</v>
      </c>
      <c r="AF15" s="197">
        <v>58031</v>
      </c>
      <c r="AG15" s="17">
        <f t="shared" ref="AG15" si="78">AF15-AF14</f>
        <v>195</v>
      </c>
      <c r="AH15" s="197">
        <v>289353</v>
      </c>
      <c r="AI15" s="17">
        <f t="shared" ref="AI15" si="79">AH15-AH14</f>
        <v>990</v>
      </c>
      <c r="AK15" s="100">
        <f t="shared" si="18"/>
        <v>43175</v>
      </c>
      <c r="AL15" s="101">
        <f t="shared" si="19"/>
        <v>9085</v>
      </c>
    </row>
    <row r="16" spans="1:38" ht="39.950000000000003" customHeight="1">
      <c r="A16" s="149">
        <v>44325</v>
      </c>
      <c r="B16" s="16"/>
      <c r="C16" s="49">
        <v>108259</v>
      </c>
      <c r="D16" s="17">
        <f t="shared" si="2"/>
        <v>3800</v>
      </c>
      <c r="E16" s="49">
        <v>169332</v>
      </c>
      <c r="F16" s="17">
        <f t="shared" si="2"/>
        <v>7290</v>
      </c>
      <c r="G16" s="49">
        <v>962485</v>
      </c>
      <c r="H16" s="17">
        <f t="shared" ref="H16" si="80">(G16-G15)*10</f>
        <v>14010</v>
      </c>
      <c r="I16" s="17">
        <f t="shared" si="4"/>
        <v>7005</v>
      </c>
      <c r="J16" s="49">
        <v>150936</v>
      </c>
      <c r="K16" s="17">
        <f t="shared" ref="K16" si="81">(J16-J15)*10</f>
        <v>5840</v>
      </c>
      <c r="L16" s="49">
        <v>235411</v>
      </c>
      <c r="M16" s="17">
        <f t="shared" ref="M16" si="82">(L16-L15)*10</f>
        <v>9210</v>
      </c>
      <c r="N16" s="49">
        <v>864152</v>
      </c>
      <c r="O16" s="17">
        <f t="shared" si="0"/>
        <v>5310</v>
      </c>
      <c r="P16" s="17">
        <f t="shared" si="7"/>
        <v>2655</v>
      </c>
      <c r="Q16" s="49">
        <v>148651</v>
      </c>
      <c r="R16" s="17">
        <f t="shared" si="1"/>
        <v>9680</v>
      </c>
      <c r="S16" s="17">
        <f t="shared" si="8"/>
        <v>4840</v>
      </c>
      <c r="T16" s="49">
        <v>77976</v>
      </c>
      <c r="U16" s="17">
        <f t="shared" ref="U16" si="83">(T16-T15)*10</f>
        <v>20</v>
      </c>
      <c r="V16" s="17">
        <f t="shared" si="10"/>
        <v>10</v>
      </c>
      <c r="W16" s="49">
        <v>154125</v>
      </c>
      <c r="X16" s="17">
        <f t="shared" ref="X16" si="84">W16-W15</f>
        <v>612</v>
      </c>
      <c r="Y16" s="17">
        <f t="shared" si="12"/>
        <v>306</v>
      </c>
      <c r="Z16" s="49">
        <v>29492</v>
      </c>
      <c r="AA16" s="17">
        <f t="shared" ref="AA16" si="85">Z16-Z15</f>
        <v>89</v>
      </c>
      <c r="AB16" s="49">
        <v>59993</v>
      </c>
      <c r="AC16" s="17">
        <f t="shared" ref="AC16" si="86">AB16-AB15</f>
        <v>181</v>
      </c>
      <c r="AD16" s="49">
        <v>107548</v>
      </c>
      <c r="AE16" s="17">
        <f t="shared" ref="AE16" si="87">AD16-AD15</f>
        <v>325</v>
      </c>
      <c r="AF16" s="49">
        <v>58204</v>
      </c>
      <c r="AG16" s="17">
        <f t="shared" ref="AG16" si="88">AF16-AF15</f>
        <v>173</v>
      </c>
      <c r="AH16" s="49">
        <v>290240</v>
      </c>
      <c r="AI16" s="17">
        <f t="shared" ref="AI16" si="89">AH16-AH15</f>
        <v>887</v>
      </c>
      <c r="AK16" s="100">
        <f t="shared" si="18"/>
        <v>40956</v>
      </c>
      <c r="AL16" s="101">
        <f t="shared" si="19"/>
        <v>9466</v>
      </c>
    </row>
    <row r="17" spans="1:38" ht="39.950000000000003" customHeight="1">
      <c r="A17" s="149">
        <v>44326</v>
      </c>
      <c r="B17" s="16"/>
      <c r="C17" s="49">
        <v>108648</v>
      </c>
      <c r="D17" s="17">
        <f t="shared" si="2"/>
        <v>3890</v>
      </c>
      <c r="E17" s="49">
        <v>170008</v>
      </c>
      <c r="F17" s="17">
        <f t="shared" si="2"/>
        <v>6760</v>
      </c>
      <c r="G17" s="49">
        <v>963880</v>
      </c>
      <c r="H17" s="17">
        <f t="shared" ref="H17" si="90">(G17-G16)*10</f>
        <v>13950</v>
      </c>
      <c r="I17" s="17">
        <f t="shared" si="4"/>
        <v>6975</v>
      </c>
      <c r="J17" s="49">
        <v>151517</v>
      </c>
      <c r="K17" s="17">
        <f t="shared" ref="K17" si="91">(J17-J16)*10</f>
        <v>5810</v>
      </c>
      <c r="L17" s="49">
        <v>236331</v>
      </c>
      <c r="M17" s="17">
        <f t="shared" ref="M17" si="92">(L17-L16)*10</f>
        <v>9200</v>
      </c>
      <c r="N17" s="49">
        <v>864823</v>
      </c>
      <c r="O17" s="17">
        <f t="shared" si="0"/>
        <v>6710</v>
      </c>
      <c r="P17" s="17">
        <f t="shared" si="7"/>
        <v>3355</v>
      </c>
      <c r="Q17" s="49">
        <v>149605</v>
      </c>
      <c r="R17" s="17">
        <f t="shared" si="1"/>
        <v>9540</v>
      </c>
      <c r="S17" s="17">
        <f t="shared" si="8"/>
        <v>4770</v>
      </c>
      <c r="T17" s="49">
        <v>78339</v>
      </c>
      <c r="U17" s="17">
        <f t="shared" ref="U17" si="93">(T17-T16)*10</f>
        <v>3630</v>
      </c>
      <c r="V17" s="17">
        <f t="shared" si="10"/>
        <v>1815</v>
      </c>
      <c r="W17" s="49">
        <v>154153</v>
      </c>
      <c r="X17" s="17">
        <f t="shared" ref="X17" si="94">W17-W16</f>
        <v>28</v>
      </c>
      <c r="Y17" s="17">
        <f t="shared" si="12"/>
        <v>14</v>
      </c>
      <c r="Z17" s="49">
        <v>29580</v>
      </c>
      <c r="AA17" s="17">
        <f t="shared" ref="AA17" si="95">Z17-Z16</f>
        <v>88</v>
      </c>
      <c r="AB17" s="49">
        <v>60192</v>
      </c>
      <c r="AC17" s="17">
        <f t="shared" ref="AC17" si="96">AB17-AB16</f>
        <v>199</v>
      </c>
      <c r="AD17" s="49">
        <v>107912</v>
      </c>
      <c r="AE17" s="17">
        <f t="shared" ref="AE17" si="97">AD17-AD16</f>
        <v>364</v>
      </c>
      <c r="AF17" s="49">
        <v>58387</v>
      </c>
      <c r="AG17" s="17">
        <f t="shared" ref="AG17" si="98">AF17-AF16</f>
        <v>183</v>
      </c>
      <c r="AH17" s="49">
        <v>291202</v>
      </c>
      <c r="AI17" s="17">
        <f t="shared" ref="AI17" si="99">AH17-AH16</f>
        <v>962</v>
      </c>
      <c r="AK17" s="100">
        <f t="shared" si="18"/>
        <v>42589</v>
      </c>
      <c r="AL17" s="101">
        <f t="shared" si="19"/>
        <v>11750</v>
      </c>
    </row>
    <row r="18" spans="1:38" ht="39.950000000000003" customHeight="1">
      <c r="A18" s="149">
        <v>44327</v>
      </c>
      <c r="B18" s="16"/>
      <c r="C18" s="49">
        <v>109029</v>
      </c>
      <c r="D18" s="17">
        <f t="shared" si="2"/>
        <v>3810</v>
      </c>
      <c r="E18" s="49">
        <v>170687</v>
      </c>
      <c r="F18" s="17">
        <f t="shared" si="2"/>
        <v>6790</v>
      </c>
      <c r="G18" s="49">
        <v>965320</v>
      </c>
      <c r="H18" s="17">
        <f t="shared" ref="H18" si="100">(G18-G17)*10</f>
        <v>14400</v>
      </c>
      <c r="I18" s="17">
        <f t="shared" si="4"/>
        <v>7200</v>
      </c>
      <c r="J18" s="49">
        <v>152080</v>
      </c>
      <c r="K18" s="17">
        <f t="shared" ref="K18" si="101">(J18-J17)*10</f>
        <v>5630</v>
      </c>
      <c r="L18" s="49">
        <v>237212</v>
      </c>
      <c r="M18" s="17">
        <f t="shared" ref="M18" si="102">(L18-L17)*10</f>
        <v>8810</v>
      </c>
      <c r="N18" s="49">
        <v>865336</v>
      </c>
      <c r="O18" s="17">
        <f t="shared" si="0"/>
        <v>5130</v>
      </c>
      <c r="P18" s="17">
        <f t="shared" si="7"/>
        <v>2565</v>
      </c>
      <c r="Q18" s="49">
        <v>150570</v>
      </c>
      <c r="R18" s="17">
        <f t="shared" si="1"/>
        <v>9650</v>
      </c>
      <c r="S18" s="17">
        <f t="shared" si="8"/>
        <v>4825</v>
      </c>
      <c r="T18" s="49">
        <v>78683</v>
      </c>
      <c r="U18" s="17">
        <f t="shared" ref="U18" si="103">(T18-T17)*10</f>
        <v>3440</v>
      </c>
      <c r="V18" s="17">
        <f t="shared" si="10"/>
        <v>1720</v>
      </c>
      <c r="W18" s="49">
        <v>154626</v>
      </c>
      <c r="X18" s="17">
        <f t="shared" ref="X18" si="104">W18-W17</f>
        <v>473</v>
      </c>
      <c r="Y18" s="17">
        <f t="shared" si="12"/>
        <v>236.5</v>
      </c>
      <c r="Z18" s="49">
        <v>29666</v>
      </c>
      <c r="AA18" s="17">
        <f t="shared" ref="AA18" si="105">Z18-Z17</f>
        <v>86</v>
      </c>
      <c r="AB18" s="49">
        <v>60384</v>
      </c>
      <c r="AC18" s="17">
        <f t="shared" ref="AC18" si="106">AB18-AB17</f>
        <v>192</v>
      </c>
      <c r="AD18" s="49">
        <v>108274</v>
      </c>
      <c r="AE18" s="17">
        <f t="shared" ref="AE18" si="107">AD18-AD17</f>
        <v>362</v>
      </c>
      <c r="AF18" s="49">
        <v>58567</v>
      </c>
      <c r="AG18" s="17">
        <f t="shared" ref="AG18" si="108">AF18-AF17</f>
        <v>180</v>
      </c>
      <c r="AH18" s="49">
        <v>292160</v>
      </c>
      <c r="AI18" s="17">
        <f t="shared" ref="AI18" si="109">AH18-AH17</f>
        <v>958</v>
      </c>
      <c r="AK18" s="100">
        <f t="shared" si="18"/>
        <v>41586.5</v>
      </c>
      <c r="AL18" s="101">
        <f t="shared" si="19"/>
        <v>11124.5</v>
      </c>
    </row>
    <row r="19" spans="1:38" ht="39.950000000000003" customHeight="1">
      <c r="A19" s="149">
        <v>44328</v>
      </c>
      <c r="B19" s="16"/>
      <c r="C19" s="49">
        <v>109434</v>
      </c>
      <c r="D19" s="17">
        <f t="shared" si="2"/>
        <v>4050</v>
      </c>
      <c r="E19" s="49">
        <v>171409</v>
      </c>
      <c r="F19" s="17">
        <f t="shared" si="2"/>
        <v>7220</v>
      </c>
      <c r="G19" s="49">
        <v>966880</v>
      </c>
      <c r="H19" s="17">
        <f t="shared" ref="H19" si="110">(G19-G18)*10</f>
        <v>15600</v>
      </c>
      <c r="I19" s="17">
        <f t="shared" si="4"/>
        <v>7800</v>
      </c>
      <c r="J19" s="49">
        <v>152680</v>
      </c>
      <c r="K19" s="17">
        <f t="shared" ref="K19" si="111">(J19-J18)*10</f>
        <v>6000</v>
      </c>
      <c r="L19" s="49">
        <v>238129</v>
      </c>
      <c r="M19" s="17">
        <f t="shared" ref="M19" si="112">(L19-L18)*10</f>
        <v>9170</v>
      </c>
      <c r="N19" s="49">
        <v>865879</v>
      </c>
      <c r="O19" s="17">
        <f t="shared" si="0"/>
        <v>5430</v>
      </c>
      <c r="P19" s="17">
        <f t="shared" si="7"/>
        <v>2715</v>
      </c>
      <c r="Q19" s="49">
        <v>151662</v>
      </c>
      <c r="R19" s="17">
        <f t="shared" si="1"/>
        <v>10920</v>
      </c>
      <c r="S19" s="17">
        <f t="shared" si="8"/>
        <v>5460</v>
      </c>
      <c r="T19" s="49">
        <v>79397</v>
      </c>
      <c r="U19" s="17">
        <f t="shared" ref="U19" si="113">(T19-T18)*10</f>
        <v>7140</v>
      </c>
      <c r="V19" s="17">
        <f t="shared" si="10"/>
        <v>3570</v>
      </c>
      <c r="W19" s="49">
        <v>154667</v>
      </c>
      <c r="X19" s="17">
        <f t="shared" ref="X19" si="114">W19-W18</f>
        <v>41</v>
      </c>
      <c r="Y19" s="17">
        <f t="shared" si="12"/>
        <v>20.5</v>
      </c>
      <c r="Z19" s="49">
        <v>29760</v>
      </c>
      <c r="AA19" s="17">
        <f t="shared" ref="AA19" si="115">Z19-Z18</f>
        <v>94</v>
      </c>
      <c r="AB19" s="49">
        <v>60515</v>
      </c>
      <c r="AC19" s="17">
        <f t="shared" ref="AC19" si="116">AB19-AB18</f>
        <v>131</v>
      </c>
      <c r="AD19" s="49">
        <v>108651</v>
      </c>
      <c r="AE19" s="17">
        <f t="shared" ref="AE19" si="117">AD19-AD18</f>
        <v>377</v>
      </c>
      <c r="AF19" s="49">
        <v>58757</v>
      </c>
      <c r="AG19" s="17">
        <f t="shared" ref="AG19" si="118">AF19-AF18</f>
        <v>190</v>
      </c>
      <c r="AH19" s="49">
        <v>293132</v>
      </c>
      <c r="AI19" s="17">
        <f t="shared" ref="AI19" si="119">AH19-AH18</f>
        <v>972</v>
      </c>
      <c r="AK19" s="100">
        <f t="shared" si="18"/>
        <v>46005.5</v>
      </c>
      <c r="AL19" s="101">
        <f t="shared" si="19"/>
        <v>13529.5</v>
      </c>
    </row>
    <row r="20" spans="1:38" ht="39.950000000000003" customHeight="1">
      <c r="A20" s="149">
        <v>44329</v>
      </c>
      <c r="B20" s="16"/>
      <c r="C20" s="49">
        <v>109823</v>
      </c>
      <c r="D20" s="17">
        <f t="shared" si="2"/>
        <v>3890</v>
      </c>
      <c r="E20" s="49">
        <v>172111</v>
      </c>
      <c r="F20" s="17">
        <f t="shared" si="2"/>
        <v>7020</v>
      </c>
      <c r="G20" s="49">
        <v>968388</v>
      </c>
      <c r="H20" s="17">
        <f t="shared" ref="H20" si="120">(G20-G19)*10</f>
        <v>15080</v>
      </c>
      <c r="I20" s="17">
        <f t="shared" si="4"/>
        <v>7540</v>
      </c>
      <c r="J20" s="49">
        <v>153281</v>
      </c>
      <c r="K20" s="17">
        <f t="shared" ref="K20" si="121">(J20-J19)*10</f>
        <v>6010</v>
      </c>
      <c r="L20" s="49">
        <v>239039</v>
      </c>
      <c r="M20" s="17">
        <f t="shared" ref="M20" si="122">(L20-L19)*10</f>
        <v>9100</v>
      </c>
      <c r="N20" s="49">
        <v>866400</v>
      </c>
      <c r="O20" s="17">
        <f t="shared" si="0"/>
        <v>5210</v>
      </c>
      <c r="P20" s="17">
        <f t="shared" si="7"/>
        <v>2605</v>
      </c>
      <c r="Q20" s="49">
        <v>153281</v>
      </c>
      <c r="R20" s="17">
        <f t="shared" si="1"/>
        <v>16190</v>
      </c>
      <c r="S20" s="17">
        <f t="shared" si="8"/>
        <v>8095</v>
      </c>
      <c r="T20" s="49">
        <v>80166</v>
      </c>
      <c r="U20" s="17">
        <f t="shared" ref="U20" si="123">(T20-T19)*10</f>
        <v>7690</v>
      </c>
      <c r="V20" s="17">
        <f t="shared" si="10"/>
        <v>3845</v>
      </c>
      <c r="W20" s="49">
        <v>154710</v>
      </c>
      <c r="X20" s="17">
        <f t="shared" ref="X20" si="124">W20-W19</f>
        <v>43</v>
      </c>
      <c r="Y20" s="17">
        <f t="shared" si="12"/>
        <v>21.5</v>
      </c>
      <c r="Z20" s="49">
        <v>29856</v>
      </c>
      <c r="AA20" s="17">
        <f t="shared" ref="AA20" si="125">Z20-Z19</f>
        <v>96</v>
      </c>
      <c r="AB20" s="49">
        <v>60798</v>
      </c>
      <c r="AC20" s="17">
        <f t="shared" ref="AC20" si="126">AB20-AB19</f>
        <v>283</v>
      </c>
      <c r="AD20" s="49">
        <v>109016</v>
      </c>
      <c r="AE20" s="17">
        <f t="shared" ref="AE20" si="127">AD20-AD19</f>
        <v>365</v>
      </c>
      <c r="AF20" s="49">
        <v>58938</v>
      </c>
      <c r="AG20" s="17">
        <f t="shared" ref="AG20" si="128">AF20-AF19</f>
        <v>181</v>
      </c>
      <c r="AH20" s="49">
        <v>294073</v>
      </c>
      <c r="AI20" s="17">
        <f t="shared" ref="AI20" si="129">AH20-AH19</f>
        <v>941</v>
      </c>
      <c r="AK20" s="100">
        <f t="shared" si="18"/>
        <v>48126.5</v>
      </c>
      <c r="AL20" s="101">
        <f t="shared" si="19"/>
        <v>16432.5</v>
      </c>
    </row>
    <row r="21" spans="1:38" ht="39.950000000000003" customHeight="1">
      <c r="A21" s="149">
        <v>44330</v>
      </c>
      <c r="B21" s="16"/>
      <c r="C21" s="49">
        <v>110218</v>
      </c>
      <c r="D21" s="17">
        <f t="shared" si="2"/>
        <v>3950</v>
      </c>
      <c r="E21" s="49">
        <v>172815</v>
      </c>
      <c r="F21" s="17">
        <f t="shared" si="2"/>
        <v>7040</v>
      </c>
      <c r="G21" s="49">
        <v>969907</v>
      </c>
      <c r="H21" s="17">
        <f t="shared" ref="H21" si="130">(G21-G20)*10</f>
        <v>15190</v>
      </c>
      <c r="I21" s="17">
        <f t="shared" si="4"/>
        <v>7595</v>
      </c>
      <c r="J21" s="49">
        <v>153884</v>
      </c>
      <c r="K21" s="17">
        <f t="shared" ref="K21" si="131">(J21-J20)*10</f>
        <v>6030</v>
      </c>
      <c r="L21" s="49">
        <v>239992</v>
      </c>
      <c r="M21" s="17">
        <f t="shared" ref="M21" si="132">(L21-L20)*10</f>
        <v>9530</v>
      </c>
      <c r="N21" s="49">
        <v>866934</v>
      </c>
      <c r="O21" s="17">
        <f t="shared" si="0"/>
        <v>5340</v>
      </c>
      <c r="P21" s="17">
        <f t="shared" si="7"/>
        <v>2670</v>
      </c>
      <c r="Q21" s="49">
        <v>153862</v>
      </c>
      <c r="R21" s="17">
        <f t="shared" si="1"/>
        <v>5810</v>
      </c>
      <c r="S21" s="17">
        <f t="shared" si="8"/>
        <v>2905</v>
      </c>
      <c r="T21" s="49">
        <v>80927</v>
      </c>
      <c r="U21" s="17">
        <f t="shared" ref="U21" si="133">(T21-T20)*10</f>
        <v>7610</v>
      </c>
      <c r="V21" s="17">
        <f t="shared" si="10"/>
        <v>3805</v>
      </c>
      <c r="W21" s="49">
        <v>154753</v>
      </c>
      <c r="X21" s="17">
        <f t="shared" ref="X21" si="134">W21-W20</f>
        <v>43</v>
      </c>
      <c r="Y21" s="17">
        <f t="shared" si="12"/>
        <v>21.5</v>
      </c>
      <c r="Z21" s="49">
        <v>29888</v>
      </c>
      <c r="AA21" s="17">
        <f t="shared" ref="AA21" si="135">Z21-Z20</f>
        <v>32</v>
      </c>
      <c r="AB21" s="49">
        <v>60997</v>
      </c>
      <c r="AC21" s="17">
        <f t="shared" ref="AC21" si="136">AB21-AB20</f>
        <v>199</v>
      </c>
      <c r="AD21" s="49">
        <v>109385</v>
      </c>
      <c r="AE21" s="17">
        <f t="shared" ref="AE21" si="137">AD21-AD20</f>
        <v>369</v>
      </c>
      <c r="AF21" s="49">
        <v>59116</v>
      </c>
      <c r="AG21" s="17">
        <f t="shared" ref="AG21" si="138">AF21-AF20</f>
        <v>178</v>
      </c>
      <c r="AH21" s="49">
        <v>295030</v>
      </c>
      <c r="AI21" s="17">
        <f t="shared" ref="AI21" si="139">AH21-AH20</f>
        <v>957</v>
      </c>
      <c r="AK21" s="100">
        <f t="shared" si="18"/>
        <v>43546.5</v>
      </c>
      <c r="AL21" s="101">
        <f t="shared" si="19"/>
        <v>11136.5</v>
      </c>
    </row>
    <row r="22" spans="1:38" ht="39.950000000000003" customHeight="1">
      <c r="A22" s="149">
        <v>44331</v>
      </c>
      <c r="B22" s="16"/>
      <c r="C22" s="49">
        <v>110623</v>
      </c>
      <c r="D22" s="17">
        <f t="shared" si="2"/>
        <v>4050</v>
      </c>
      <c r="E22" s="49">
        <v>173541</v>
      </c>
      <c r="F22" s="17">
        <f t="shared" si="2"/>
        <v>7260</v>
      </c>
      <c r="G22" s="49">
        <v>971421</v>
      </c>
      <c r="H22" s="17">
        <f t="shared" ref="H22" si="140">(G22-G21)*10</f>
        <v>15140</v>
      </c>
      <c r="I22" s="17">
        <f t="shared" si="4"/>
        <v>7570</v>
      </c>
      <c r="J22" s="49">
        <v>154499</v>
      </c>
      <c r="K22" s="17">
        <f t="shared" ref="K22" si="141">(J22-J21)*10</f>
        <v>6150</v>
      </c>
      <c r="L22" s="49">
        <v>240926</v>
      </c>
      <c r="M22" s="17">
        <f t="shared" ref="M22" si="142">(L22-L21)*10</f>
        <v>9340</v>
      </c>
      <c r="N22" s="49">
        <v>867461</v>
      </c>
      <c r="O22" s="17">
        <f t="shared" si="0"/>
        <v>5270</v>
      </c>
      <c r="P22" s="17">
        <f t="shared" si="7"/>
        <v>2635</v>
      </c>
      <c r="Q22" s="49">
        <v>154911</v>
      </c>
      <c r="R22" s="17">
        <f t="shared" si="1"/>
        <v>10490</v>
      </c>
      <c r="S22" s="17">
        <f t="shared" si="8"/>
        <v>5245</v>
      </c>
      <c r="T22" s="49">
        <v>81678</v>
      </c>
      <c r="U22" s="17">
        <f t="shared" ref="U22" si="143">(T22-T21)*10</f>
        <v>7510</v>
      </c>
      <c r="V22" s="17">
        <f t="shared" si="10"/>
        <v>3755</v>
      </c>
      <c r="W22" s="49">
        <v>154796</v>
      </c>
      <c r="X22" s="17">
        <f t="shared" ref="X22" si="144">W22-W21</f>
        <v>43</v>
      </c>
      <c r="Y22" s="17">
        <f t="shared" si="12"/>
        <v>21.5</v>
      </c>
      <c r="Z22" s="49">
        <v>30057</v>
      </c>
      <c r="AA22" s="17">
        <f t="shared" ref="AA22" si="145">Z22-Z21</f>
        <v>169</v>
      </c>
      <c r="AB22" s="49">
        <v>61190</v>
      </c>
      <c r="AC22" s="17">
        <f t="shared" ref="AC22" si="146">AB22-AB21</f>
        <v>193</v>
      </c>
      <c r="AD22" s="49">
        <v>109746</v>
      </c>
      <c r="AE22" s="17">
        <f t="shared" ref="AE22" si="147">AD22-AD21</f>
        <v>361</v>
      </c>
      <c r="AF22" s="49">
        <v>59291</v>
      </c>
      <c r="AG22" s="17">
        <f t="shared" ref="AG22" si="148">AF22-AF21</f>
        <v>175</v>
      </c>
      <c r="AH22" s="49">
        <v>295976</v>
      </c>
      <c r="AI22" s="17">
        <f t="shared" ref="AI22" si="149">AH22-AH21</f>
        <v>946</v>
      </c>
      <c r="AK22" s="100">
        <f t="shared" si="18"/>
        <v>46026.5</v>
      </c>
      <c r="AL22" s="101">
        <f t="shared" si="19"/>
        <v>13500.5</v>
      </c>
    </row>
    <row r="23" spans="1:38" ht="39.950000000000003" customHeight="1">
      <c r="A23" s="149">
        <v>44332</v>
      </c>
      <c r="B23" s="16"/>
      <c r="C23" s="49">
        <v>111015</v>
      </c>
      <c r="D23" s="17">
        <f t="shared" si="2"/>
        <v>3920</v>
      </c>
      <c r="E23" s="49">
        <v>174238</v>
      </c>
      <c r="F23" s="17">
        <f t="shared" si="2"/>
        <v>6970</v>
      </c>
      <c r="G23" s="49">
        <v>972913</v>
      </c>
      <c r="H23" s="17">
        <f t="shared" ref="H23" si="150">(G23-G22)*10</f>
        <v>14920</v>
      </c>
      <c r="I23" s="17">
        <f t="shared" si="4"/>
        <v>7460</v>
      </c>
      <c r="J23" s="49">
        <v>155114</v>
      </c>
      <c r="K23" s="17">
        <f t="shared" ref="K23" si="151">(J23-J22)*10</f>
        <v>6150</v>
      </c>
      <c r="L23" s="49">
        <v>241886</v>
      </c>
      <c r="M23" s="17">
        <f t="shared" ref="M23" si="152">(L23-L22)*10</f>
        <v>9600</v>
      </c>
      <c r="N23" s="49">
        <v>867982</v>
      </c>
      <c r="O23" s="17">
        <f t="shared" si="0"/>
        <v>5210</v>
      </c>
      <c r="P23" s="17">
        <f t="shared" si="7"/>
        <v>2605</v>
      </c>
      <c r="Q23" s="49">
        <v>156016</v>
      </c>
      <c r="R23" s="17">
        <f t="shared" si="1"/>
        <v>11050</v>
      </c>
      <c r="S23" s="17">
        <f t="shared" si="8"/>
        <v>5525</v>
      </c>
      <c r="T23" s="49">
        <v>82462</v>
      </c>
      <c r="U23" s="17">
        <f t="shared" ref="U23" si="153">(T23-T22)*10</f>
        <v>7840</v>
      </c>
      <c r="V23" s="17">
        <f t="shared" si="10"/>
        <v>3920</v>
      </c>
      <c r="W23" s="49">
        <v>154839</v>
      </c>
      <c r="X23" s="17">
        <f t="shared" ref="X23" si="154">W23-W22</f>
        <v>43</v>
      </c>
      <c r="Y23" s="17">
        <f t="shared" si="12"/>
        <v>21.5</v>
      </c>
      <c r="Z23" s="49">
        <v>30155</v>
      </c>
      <c r="AA23" s="17">
        <f t="shared" ref="AA23" si="155">Z23-Z22</f>
        <v>98</v>
      </c>
      <c r="AB23" s="49">
        <v>61374</v>
      </c>
      <c r="AC23" s="17">
        <f t="shared" ref="AC23" si="156">AB23-AB22</f>
        <v>184</v>
      </c>
      <c r="AD23" s="49">
        <v>110097</v>
      </c>
      <c r="AE23" s="17">
        <f t="shared" ref="AE23" si="157">AD23-AD22</f>
        <v>351</v>
      </c>
      <c r="AF23" s="49">
        <v>59463</v>
      </c>
      <c r="AG23" s="17">
        <f t="shared" ref="AG23" si="158">AF23-AF22</f>
        <v>172</v>
      </c>
      <c r="AH23" s="49">
        <v>296917</v>
      </c>
      <c r="AI23" s="17">
        <f t="shared" ref="AI23" si="159">AH23-AH22</f>
        <v>941</v>
      </c>
      <c r="AK23" s="100">
        <f t="shared" si="18"/>
        <v>46171.5</v>
      </c>
      <c r="AL23" s="101">
        <f t="shared" si="19"/>
        <v>13817.5</v>
      </c>
    </row>
    <row r="24" spans="1:38" ht="39.950000000000003" customHeight="1">
      <c r="A24" s="149">
        <v>44333</v>
      </c>
      <c r="B24" s="16"/>
      <c r="C24" s="49">
        <v>111416</v>
      </c>
      <c r="D24" s="17">
        <f t="shared" si="2"/>
        <v>4010</v>
      </c>
      <c r="E24" s="49">
        <v>174945</v>
      </c>
      <c r="F24" s="17">
        <f t="shared" si="2"/>
        <v>7070</v>
      </c>
      <c r="G24" s="49">
        <v>974402</v>
      </c>
      <c r="H24" s="17">
        <f t="shared" ref="H24" si="160">(G24-G23)*10</f>
        <v>14890</v>
      </c>
      <c r="I24" s="17">
        <f t="shared" si="4"/>
        <v>7445</v>
      </c>
      <c r="J24" s="49">
        <v>155729</v>
      </c>
      <c r="K24" s="17">
        <f t="shared" ref="K24:K37" si="161">(J24-J23)*10</f>
        <v>6150</v>
      </c>
      <c r="L24" s="49">
        <v>242845</v>
      </c>
      <c r="M24" s="17">
        <f t="shared" ref="M24:M37" si="162">(L24-L23)*10</f>
        <v>9590</v>
      </c>
      <c r="N24" s="49">
        <v>868543</v>
      </c>
      <c r="O24" s="17">
        <f t="shared" si="0"/>
        <v>5610</v>
      </c>
      <c r="P24" s="17">
        <f t="shared" si="7"/>
        <v>2805</v>
      </c>
      <c r="Q24" s="49">
        <v>157065</v>
      </c>
      <c r="R24" s="17">
        <f t="shared" si="1"/>
        <v>10490</v>
      </c>
      <c r="S24" s="17">
        <f t="shared" si="8"/>
        <v>5245</v>
      </c>
      <c r="T24" s="49">
        <v>83516</v>
      </c>
      <c r="U24" s="17">
        <f t="shared" ref="U24" si="163">(T24-T23)*10</f>
        <v>10540</v>
      </c>
      <c r="V24" s="17">
        <f t="shared" si="10"/>
        <v>5270</v>
      </c>
      <c r="W24" s="49">
        <v>154962</v>
      </c>
      <c r="X24" s="17">
        <f t="shared" ref="X24" si="164">W24-W23</f>
        <v>123</v>
      </c>
      <c r="Y24" s="17">
        <f t="shared" si="12"/>
        <v>61.5</v>
      </c>
      <c r="Z24" s="49">
        <v>30251</v>
      </c>
      <c r="AA24" s="17">
        <f t="shared" ref="AA24:AA37" si="165">Z24-Z23</f>
        <v>96</v>
      </c>
      <c r="AB24" s="49">
        <v>61576</v>
      </c>
      <c r="AC24" s="17">
        <f t="shared" ref="AC24:AC37" si="166">AB24-AB23</f>
        <v>202</v>
      </c>
      <c r="AD24" s="49">
        <v>110462</v>
      </c>
      <c r="AE24" s="17">
        <f t="shared" ref="AE24:AE37" si="167">AD24-AD23</f>
        <v>365</v>
      </c>
      <c r="AF24" s="49">
        <v>59699</v>
      </c>
      <c r="AG24" s="17">
        <f t="shared" ref="AG24:AG37" si="168">AF24-AF23</f>
        <v>236</v>
      </c>
      <c r="AH24" s="49">
        <v>297875</v>
      </c>
      <c r="AI24" s="17">
        <f t="shared" ref="AI24:AI37" si="169">AH24-AH23</f>
        <v>958</v>
      </c>
      <c r="AK24" s="100">
        <f t="shared" si="18"/>
        <v>47646.5</v>
      </c>
      <c r="AL24" s="101">
        <f t="shared" si="19"/>
        <v>15238.5</v>
      </c>
    </row>
    <row r="25" spans="1:38" ht="39.950000000000003" customHeight="1">
      <c r="A25" s="149">
        <v>44334</v>
      </c>
      <c r="B25" s="16"/>
      <c r="C25" s="49">
        <v>111817</v>
      </c>
      <c r="D25" s="17">
        <f t="shared" si="2"/>
        <v>4010</v>
      </c>
      <c r="E25" s="49">
        <v>175662</v>
      </c>
      <c r="F25" s="17">
        <f t="shared" si="2"/>
        <v>7170</v>
      </c>
      <c r="G25" s="49">
        <v>975839</v>
      </c>
      <c r="H25" s="17">
        <f t="shared" ref="H25:H35" si="170">(G25-G24)*10</f>
        <v>14370</v>
      </c>
      <c r="I25" s="17">
        <f t="shared" ref="I25:I35" si="171">H25*50%</f>
        <v>7185</v>
      </c>
      <c r="J25" s="49">
        <v>156335</v>
      </c>
      <c r="K25" s="17">
        <f t="shared" si="161"/>
        <v>6060</v>
      </c>
      <c r="L25" s="49">
        <v>243788</v>
      </c>
      <c r="M25" s="17">
        <f t="shared" si="162"/>
        <v>9430</v>
      </c>
      <c r="N25" s="49">
        <v>869368</v>
      </c>
      <c r="O25" s="17">
        <f t="shared" ref="O25:O35" si="172">(N25-N24)*10</f>
        <v>8250</v>
      </c>
      <c r="P25" s="17">
        <f t="shared" ref="P25:P35" si="173">O25*50%</f>
        <v>4125</v>
      </c>
      <c r="Q25" s="49">
        <v>157943</v>
      </c>
      <c r="R25" s="17">
        <f t="shared" ref="R25:R35" si="174">(Q25-Q24)*10</f>
        <v>8780</v>
      </c>
      <c r="S25" s="17">
        <f t="shared" ref="S25:S35" si="175">R25*50%</f>
        <v>4390</v>
      </c>
      <c r="T25" s="49">
        <v>84445</v>
      </c>
      <c r="U25" s="17">
        <f t="shared" ref="U25:U35" si="176">(T25-T24)*10</f>
        <v>9290</v>
      </c>
      <c r="V25" s="17">
        <f t="shared" ref="V25:V35" si="177">U25*50%</f>
        <v>4645</v>
      </c>
      <c r="W25" s="49">
        <v>155209</v>
      </c>
      <c r="X25" s="17">
        <f t="shared" ref="X25:X35" si="178">W25-W24</f>
        <v>247</v>
      </c>
      <c r="Y25" s="17">
        <f t="shared" ref="Y25:Y35" si="179">X25*50%</f>
        <v>123.5</v>
      </c>
      <c r="Z25" s="49">
        <v>30341</v>
      </c>
      <c r="AA25" s="17">
        <f t="shared" si="165"/>
        <v>90</v>
      </c>
      <c r="AB25" s="49">
        <v>61771</v>
      </c>
      <c r="AC25" s="17">
        <f t="shared" si="166"/>
        <v>195</v>
      </c>
      <c r="AD25" s="49">
        <v>110818</v>
      </c>
      <c r="AE25" s="17">
        <f t="shared" si="167"/>
        <v>356</v>
      </c>
      <c r="AF25" s="49">
        <v>59811</v>
      </c>
      <c r="AG25" s="17">
        <f t="shared" si="168"/>
        <v>112</v>
      </c>
      <c r="AH25" s="49">
        <v>298808</v>
      </c>
      <c r="AI25" s="17">
        <f t="shared" si="169"/>
        <v>933</v>
      </c>
      <c r="AK25" s="100">
        <f t="shared" ref="AK25:AK35" si="180">SUM(D25,F25,I25,K25,M25,P25,S25,V25,Y25)</f>
        <v>47138.5</v>
      </c>
      <c r="AL25" s="101">
        <f t="shared" ref="AL25:AL35" si="181">SUM(P25,S25,V25,Y25,AA25,AC25,AE25,AG25,AI25)</f>
        <v>14969.5</v>
      </c>
    </row>
    <row r="26" spans="1:38" ht="39.950000000000003" customHeight="1">
      <c r="A26" s="149">
        <v>44335</v>
      </c>
      <c r="B26" s="16"/>
      <c r="C26" s="49">
        <v>112225</v>
      </c>
      <c r="D26" s="17">
        <f t="shared" ref="D26:D37" si="182">(C26-C25)*10</f>
        <v>4080</v>
      </c>
      <c r="E26" s="49">
        <v>176365</v>
      </c>
      <c r="F26" s="17">
        <f t="shared" ref="F26:F37" si="183">(E26-E25)*10</f>
        <v>7030</v>
      </c>
      <c r="G26" s="49">
        <v>977252</v>
      </c>
      <c r="H26" s="17">
        <f t="shared" si="170"/>
        <v>14130</v>
      </c>
      <c r="I26" s="17">
        <f t="shared" si="171"/>
        <v>7065</v>
      </c>
      <c r="J26" s="49">
        <v>156971</v>
      </c>
      <c r="K26" s="17">
        <f t="shared" si="161"/>
        <v>6360</v>
      </c>
      <c r="L26" s="49">
        <v>244777</v>
      </c>
      <c r="M26" s="17">
        <f t="shared" si="162"/>
        <v>9890</v>
      </c>
      <c r="N26" s="49">
        <v>869884</v>
      </c>
      <c r="O26" s="17">
        <f t="shared" si="172"/>
        <v>5160</v>
      </c>
      <c r="P26" s="17">
        <f t="shared" si="173"/>
        <v>2580</v>
      </c>
      <c r="Q26" s="49">
        <v>158380</v>
      </c>
      <c r="R26" s="17">
        <f t="shared" si="174"/>
        <v>4370</v>
      </c>
      <c r="S26" s="17">
        <f t="shared" si="175"/>
        <v>2185</v>
      </c>
      <c r="T26" s="49">
        <v>85226</v>
      </c>
      <c r="U26" s="17">
        <f t="shared" si="176"/>
        <v>7810</v>
      </c>
      <c r="V26" s="17">
        <f t="shared" si="177"/>
        <v>3905</v>
      </c>
      <c r="W26" s="49">
        <v>156341</v>
      </c>
      <c r="X26" s="17">
        <f t="shared" si="178"/>
        <v>1132</v>
      </c>
      <c r="Y26" s="17">
        <f t="shared" si="179"/>
        <v>566</v>
      </c>
      <c r="Z26" s="49">
        <v>30433</v>
      </c>
      <c r="AA26" s="17">
        <f t="shared" si="165"/>
        <v>92</v>
      </c>
      <c r="AB26" s="49">
        <v>61973</v>
      </c>
      <c r="AC26" s="17">
        <f t="shared" si="166"/>
        <v>202</v>
      </c>
      <c r="AD26" s="49">
        <v>111189</v>
      </c>
      <c r="AE26" s="17">
        <f t="shared" si="167"/>
        <v>371</v>
      </c>
      <c r="AF26" s="49">
        <v>59997</v>
      </c>
      <c r="AG26" s="17">
        <f t="shared" si="168"/>
        <v>186</v>
      </c>
      <c r="AH26" s="49">
        <v>299839</v>
      </c>
      <c r="AI26" s="17">
        <f t="shared" si="169"/>
        <v>1031</v>
      </c>
      <c r="AK26" s="100">
        <f t="shared" si="180"/>
        <v>43661</v>
      </c>
      <c r="AL26" s="101">
        <f t="shared" si="181"/>
        <v>11118</v>
      </c>
    </row>
    <row r="27" spans="1:38" ht="39.950000000000003" customHeight="1">
      <c r="A27" s="149">
        <v>44336</v>
      </c>
      <c r="B27" s="16"/>
      <c r="C27" s="49">
        <v>112630</v>
      </c>
      <c r="D27" s="17">
        <f t="shared" si="182"/>
        <v>4050</v>
      </c>
      <c r="E27" s="49">
        <v>177059</v>
      </c>
      <c r="F27" s="17">
        <f t="shared" si="183"/>
        <v>6940</v>
      </c>
      <c r="G27" s="49">
        <v>978719</v>
      </c>
      <c r="H27" s="17">
        <f t="shared" si="170"/>
        <v>14670</v>
      </c>
      <c r="I27" s="17">
        <f t="shared" si="171"/>
        <v>7335</v>
      </c>
      <c r="J27" s="49">
        <v>157565</v>
      </c>
      <c r="K27" s="17">
        <f t="shared" si="161"/>
        <v>5940</v>
      </c>
      <c r="L27" s="49">
        <v>245707</v>
      </c>
      <c r="M27" s="17">
        <f t="shared" si="162"/>
        <v>9300</v>
      </c>
      <c r="N27" s="49">
        <v>870344</v>
      </c>
      <c r="O27" s="17">
        <f t="shared" si="172"/>
        <v>4600</v>
      </c>
      <c r="P27" s="17">
        <f t="shared" si="173"/>
        <v>2300</v>
      </c>
      <c r="Q27" s="49">
        <v>159354</v>
      </c>
      <c r="R27" s="17">
        <f t="shared" si="174"/>
        <v>9740</v>
      </c>
      <c r="S27" s="17">
        <f t="shared" si="175"/>
        <v>4870</v>
      </c>
      <c r="T27" s="49">
        <v>85728</v>
      </c>
      <c r="U27" s="17">
        <f t="shared" si="176"/>
        <v>5020</v>
      </c>
      <c r="V27" s="17">
        <f t="shared" si="177"/>
        <v>2510</v>
      </c>
      <c r="W27" s="49">
        <v>157242</v>
      </c>
      <c r="X27" s="17">
        <f t="shared" si="178"/>
        <v>901</v>
      </c>
      <c r="Y27" s="17">
        <f t="shared" si="179"/>
        <v>450.5</v>
      </c>
      <c r="Z27" s="49">
        <v>30525</v>
      </c>
      <c r="AA27" s="17">
        <f t="shared" si="165"/>
        <v>92</v>
      </c>
      <c r="AB27" s="49">
        <v>62164</v>
      </c>
      <c r="AC27" s="17">
        <f t="shared" si="166"/>
        <v>191</v>
      </c>
      <c r="AD27" s="49">
        <v>111541</v>
      </c>
      <c r="AE27" s="17">
        <f t="shared" si="167"/>
        <v>352</v>
      </c>
      <c r="AF27" s="49">
        <v>60166</v>
      </c>
      <c r="AG27" s="17">
        <f t="shared" si="168"/>
        <v>169</v>
      </c>
      <c r="AH27" s="49">
        <v>300795</v>
      </c>
      <c r="AI27" s="17">
        <f t="shared" si="169"/>
        <v>956</v>
      </c>
      <c r="AK27" s="100">
        <f t="shared" si="180"/>
        <v>43695.5</v>
      </c>
      <c r="AL27" s="101">
        <f t="shared" si="181"/>
        <v>11890.5</v>
      </c>
    </row>
    <row r="28" spans="1:38" ht="39.950000000000003" customHeight="1">
      <c r="A28" s="149">
        <v>44337</v>
      </c>
      <c r="B28" s="16"/>
      <c r="C28" s="49">
        <v>113049</v>
      </c>
      <c r="D28" s="17">
        <f t="shared" si="182"/>
        <v>4190</v>
      </c>
      <c r="E28" s="49">
        <v>177753</v>
      </c>
      <c r="F28" s="17">
        <f t="shared" si="183"/>
        <v>6940</v>
      </c>
      <c r="G28" s="49">
        <v>980235</v>
      </c>
      <c r="H28" s="17">
        <f t="shared" si="170"/>
        <v>15160</v>
      </c>
      <c r="I28" s="17">
        <f t="shared" si="171"/>
        <v>7580</v>
      </c>
      <c r="J28" s="49">
        <v>158181</v>
      </c>
      <c r="K28" s="17">
        <f t="shared" si="161"/>
        <v>6160</v>
      </c>
      <c r="L28" s="49">
        <v>246661</v>
      </c>
      <c r="M28" s="17">
        <f t="shared" si="162"/>
        <v>9540</v>
      </c>
      <c r="N28" s="49">
        <v>870827</v>
      </c>
      <c r="O28" s="17">
        <f t="shared" si="172"/>
        <v>4830</v>
      </c>
      <c r="P28" s="17">
        <f t="shared" si="173"/>
        <v>2415</v>
      </c>
      <c r="Q28" s="49">
        <v>160363</v>
      </c>
      <c r="R28" s="17">
        <f t="shared" si="174"/>
        <v>10090</v>
      </c>
      <c r="S28" s="17">
        <f t="shared" si="175"/>
        <v>5045</v>
      </c>
      <c r="T28" s="49">
        <v>86532</v>
      </c>
      <c r="U28" s="17">
        <f t="shared" si="176"/>
        <v>8040</v>
      </c>
      <c r="V28" s="17">
        <f t="shared" si="177"/>
        <v>4020</v>
      </c>
      <c r="W28" s="49">
        <v>157883</v>
      </c>
      <c r="X28" s="17">
        <f t="shared" si="178"/>
        <v>641</v>
      </c>
      <c r="Y28" s="17">
        <f t="shared" si="179"/>
        <v>320.5</v>
      </c>
      <c r="Z28" s="49">
        <v>30622</v>
      </c>
      <c r="AA28" s="17">
        <f t="shared" si="165"/>
        <v>97</v>
      </c>
      <c r="AB28" s="49">
        <v>62362</v>
      </c>
      <c r="AC28" s="17">
        <f t="shared" si="166"/>
        <v>198</v>
      </c>
      <c r="AD28" s="49">
        <v>111894</v>
      </c>
      <c r="AE28" s="17">
        <f t="shared" si="167"/>
        <v>353</v>
      </c>
      <c r="AF28" s="49">
        <v>60335</v>
      </c>
      <c r="AG28" s="17">
        <f t="shared" si="168"/>
        <v>169</v>
      </c>
      <c r="AH28" s="49">
        <v>301782</v>
      </c>
      <c r="AI28" s="17">
        <f t="shared" si="169"/>
        <v>987</v>
      </c>
      <c r="AK28" s="100">
        <f t="shared" si="180"/>
        <v>46210.5</v>
      </c>
      <c r="AL28" s="101">
        <f t="shared" si="181"/>
        <v>13604.5</v>
      </c>
    </row>
    <row r="29" spans="1:38" ht="39.950000000000003" customHeight="1">
      <c r="A29" s="149">
        <v>44338</v>
      </c>
      <c r="B29" s="16"/>
      <c r="C29" s="49">
        <v>113483</v>
      </c>
      <c r="D29" s="17">
        <f t="shared" si="182"/>
        <v>4340</v>
      </c>
      <c r="E29" s="49">
        <v>178456</v>
      </c>
      <c r="F29" s="17">
        <f t="shared" si="183"/>
        <v>7030</v>
      </c>
      <c r="G29" s="49">
        <v>981729</v>
      </c>
      <c r="H29" s="17">
        <f t="shared" si="170"/>
        <v>14940</v>
      </c>
      <c r="I29" s="17">
        <f t="shared" si="171"/>
        <v>7470</v>
      </c>
      <c r="J29" s="49">
        <v>158807</v>
      </c>
      <c r="K29" s="17">
        <f t="shared" si="161"/>
        <v>6260</v>
      </c>
      <c r="L29" s="49">
        <v>247623</v>
      </c>
      <c r="M29" s="17">
        <f t="shared" si="162"/>
        <v>9620</v>
      </c>
      <c r="N29" s="49">
        <v>871345</v>
      </c>
      <c r="O29" s="17">
        <f t="shared" si="172"/>
        <v>5180</v>
      </c>
      <c r="P29" s="17">
        <f t="shared" si="173"/>
        <v>2590</v>
      </c>
      <c r="Q29" s="49">
        <v>161349</v>
      </c>
      <c r="R29" s="17">
        <f t="shared" si="174"/>
        <v>9860</v>
      </c>
      <c r="S29" s="17">
        <f t="shared" si="175"/>
        <v>4930</v>
      </c>
      <c r="T29" s="49">
        <v>86808</v>
      </c>
      <c r="U29" s="17">
        <f t="shared" si="176"/>
        <v>2760</v>
      </c>
      <c r="V29" s="17">
        <f t="shared" si="177"/>
        <v>1380</v>
      </c>
      <c r="W29" s="49">
        <v>158983</v>
      </c>
      <c r="X29" s="17">
        <f t="shared" si="178"/>
        <v>1100</v>
      </c>
      <c r="Y29" s="17">
        <f t="shared" si="179"/>
        <v>550</v>
      </c>
      <c r="Z29" s="49">
        <v>30725</v>
      </c>
      <c r="AA29" s="17">
        <f t="shared" si="165"/>
        <v>103</v>
      </c>
      <c r="AB29" s="49">
        <v>62552</v>
      </c>
      <c r="AC29" s="17">
        <f t="shared" si="166"/>
        <v>190</v>
      </c>
      <c r="AD29" s="49">
        <v>112241</v>
      </c>
      <c r="AE29" s="17">
        <f t="shared" si="167"/>
        <v>347</v>
      </c>
      <c r="AF29" s="49">
        <v>60510</v>
      </c>
      <c r="AG29" s="17">
        <f t="shared" si="168"/>
        <v>175</v>
      </c>
      <c r="AH29" s="49">
        <v>302771</v>
      </c>
      <c r="AI29" s="17">
        <f t="shared" si="169"/>
        <v>989</v>
      </c>
      <c r="AK29" s="100">
        <f t="shared" si="180"/>
        <v>44170</v>
      </c>
      <c r="AL29" s="101">
        <f t="shared" si="181"/>
        <v>11254</v>
      </c>
    </row>
    <row r="30" spans="1:38" ht="39.950000000000003" customHeight="1">
      <c r="A30" s="149">
        <v>44339</v>
      </c>
      <c r="B30" s="16"/>
      <c r="C30" s="49">
        <v>113921</v>
      </c>
      <c r="D30" s="17">
        <f t="shared" si="182"/>
        <v>4380</v>
      </c>
      <c r="E30" s="49">
        <v>179179</v>
      </c>
      <c r="F30" s="17">
        <f t="shared" si="183"/>
        <v>7230</v>
      </c>
      <c r="G30" s="49">
        <v>983243</v>
      </c>
      <c r="H30" s="17">
        <f t="shared" si="170"/>
        <v>15140</v>
      </c>
      <c r="I30" s="17">
        <f t="shared" si="171"/>
        <v>7570</v>
      </c>
      <c r="J30" s="49">
        <v>159437</v>
      </c>
      <c r="K30" s="17">
        <f t="shared" si="161"/>
        <v>6300</v>
      </c>
      <c r="L30" s="49">
        <v>248580</v>
      </c>
      <c r="M30" s="17">
        <f t="shared" si="162"/>
        <v>9570</v>
      </c>
      <c r="N30" s="49">
        <v>871900</v>
      </c>
      <c r="O30" s="17">
        <f t="shared" si="172"/>
        <v>5550</v>
      </c>
      <c r="P30" s="17">
        <f t="shared" si="173"/>
        <v>2775</v>
      </c>
      <c r="Q30" s="49">
        <v>162311</v>
      </c>
      <c r="R30" s="17">
        <f t="shared" si="174"/>
        <v>9620</v>
      </c>
      <c r="S30" s="17">
        <f t="shared" si="175"/>
        <v>4810</v>
      </c>
      <c r="T30" s="49">
        <v>87148</v>
      </c>
      <c r="U30" s="17">
        <f t="shared" si="176"/>
        <v>3400</v>
      </c>
      <c r="V30" s="17">
        <f t="shared" si="177"/>
        <v>1700</v>
      </c>
      <c r="W30" s="49">
        <v>160072</v>
      </c>
      <c r="X30" s="17">
        <f t="shared" si="178"/>
        <v>1089</v>
      </c>
      <c r="Y30" s="17">
        <f t="shared" si="179"/>
        <v>544.5</v>
      </c>
      <c r="Z30" s="49">
        <v>30828</v>
      </c>
      <c r="AA30" s="17">
        <f t="shared" si="165"/>
        <v>103</v>
      </c>
      <c r="AB30" s="49">
        <v>62742</v>
      </c>
      <c r="AC30" s="17">
        <f t="shared" si="166"/>
        <v>190</v>
      </c>
      <c r="AD30" s="49">
        <v>112580</v>
      </c>
      <c r="AE30" s="17">
        <f t="shared" si="167"/>
        <v>339</v>
      </c>
      <c r="AF30" s="49">
        <v>60686</v>
      </c>
      <c r="AG30" s="17">
        <f t="shared" si="168"/>
        <v>176</v>
      </c>
      <c r="AH30" s="49">
        <v>303769</v>
      </c>
      <c r="AI30" s="17">
        <f t="shared" si="169"/>
        <v>998</v>
      </c>
      <c r="AK30" s="100">
        <f t="shared" si="180"/>
        <v>44879.5</v>
      </c>
      <c r="AL30" s="101">
        <f t="shared" si="181"/>
        <v>11635.5</v>
      </c>
    </row>
    <row r="31" spans="1:38" ht="39.950000000000003" customHeight="1">
      <c r="A31" s="149">
        <v>44340</v>
      </c>
      <c r="B31" s="16"/>
      <c r="C31" s="49">
        <v>114345</v>
      </c>
      <c r="D31" s="17">
        <f t="shared" si="182"/>
        <v>4240</v>
      </c>
      <c r="E31" s="49">
        <v>179877</v>
      </c>
      <c r="F31" s="17">
        <f t="shared" si="183"/>
        <v>6980</v>
      </c>
      <c r="G31" s="49">
        <v>984700</v>
      </c>
      <c r="H31" s="17">
        <f t="shared" si="170"/>
        <v>14570</v>
      </c>
      <c r="I31" s="17">
        <f t="shared" si="171"/>
        <v>7285</v>
      </c>
      <c r="J31" s="49">
        <v>160062</v>
      </c>
      <c r="K31" s="17">
        <f t="shared" si="161"/>
        <v>6250</v>
      </c>
      <c r="L31" s="49">
        <v>249527</v>
      </c>
      <c r="M31" s="17">
        <f t="shared" si="162"/>
        <v>9470</v>
      </c>
      <c r="N31" s="49">
        <v>872409</v>
      </c>
      <c r="O31" s="17">
        <f t="shared" si="172"/>
        <v>5090</v>
      </c>
      <c r="P31" s="17">
        <f t="shared" si="173"/>
        <v>2545</v>
      </c>
      <c r="Q31" s="49">
        <v>163274</v>
      </c>
      <c r="R31" s="17">
        <f t="shared" si="174"/>
        <v>9630</v>
      </c>
      <c r="S31" s="17">
        <f t="shared" si="175"/>
        <v>4815</v>
      </c>
      <c r="T31" s="49">
        <v>87682</v>
      </c>
      <c r="U31" s="17">
        <f t="shared" si="176"/>
        <v>5340</v>
      </c>
      <c r="V31" s="17">
        <f t="shared" si="177"/>
        <v>2670</v>
      </c>
      <c r="W31" s="49">
        <v>161059</v>
      </c>
      <c r="X31" s="17">
        <f t="shared" si="178"/>
        <v>987</v>
      </c>
      <c r="Y31" s="17">
        <f t="shared" si="179"/>
        <v>493.5</v>
      </c>
      <c r="Z31" s="49">
        <v>30930</v>
      </c>
      <c r="AA31" s="17">
        <f t="shared" si="165"/>
        <v>102</v>
      </c>
      <c r="AB31" s="49">
        <v>62946</v>
      </c>
      <c r="AC31" s="17">
        <f t="shared" si="166"/>
        <v>204</v>
      </c>
      <c r="AD31" s="49">
        <v>112938</v>
      </c>
      <c r="AE31" s="17">
        <f t="shared" si="167"/>
        <v>358</v>
      </c>
      <c r="AF31" s="49">
        <v>60868</v>
      </c>
      <c r="AG31" s="17">
        <f t="shared" si="168"/>
        <v>182</v>
      </c>
      <c r="AH31" s="49">
        <v>304785</v>
      </c>
      <c r="AI31" s="17">
        <f t="shared" si="169"/>
        <v>1016</v>
      </c>
      <c r="AK31" s="100">
        <f t="shared" si="180"/>
        <v>44748.5</v>
      </c>
      <c r="AL31" s="101">
        <f t="shared" si="181"/>
        <v>12385.5</v>
      </c>
    </row>
    <row r="32" spans="1:38" ht="39.950000000000003" customHeight="1">
      <c r="A32" s="149">
        <v>44341</v>
      </c>
      <c r="B32" s="16"/>
      <c r="C32" s="74">
        <v>114763</v>
      </c>
      <c r="D32" s="17">
        <f t="shared" si="182"/>
        <v>4180</v>
      </c>
      <c r="E32" s="74">
        <v>180554</v>
      </c>
      <c r="F32" s="17">
        <f t="shared" si="183"/>
        <v>6770</v>
      </c>
      <c r="G32" s="74">
        <v>986129</v>
      </c>
      <c r="H32" s="17">
        <f t="shared" si="170"/>
        <v>14290</v>
      </c>
      <c r="I32" s="17">
        <f t="shared" si="171"/>
        <v>7145</v>
      </c>
      <c r="J32" s="74">
        <v>160663</v>
      </c>
      <c r="K32" s="17">
        <f t="shared" si="161"/>
        <v>6010</v>
      </c>
      <c r="L32" s="74">
        <v>250453</v>
      </c>
      <c r="M32" s="17">
        <f t="shared" si="162"/>
        <v>9260</v>
      </c>
      <c r="N32" s="74">
        <v>872951</v>
      </c>
      <c r="O32" s="17">
        <f t="shared" si="172"/>
        <v>5420</v>
      </c>
      <c r="P32" s="17">
        <f t="shared" si="173"/>
        <v>2710</v>
      </c>
      <c r="Q32" s="74">
        <v>164223</v>
      </c>
      <c r="R32" s="17">
        <f t="shared" si="174"/>
        <v>9490</v>
      </c>
      <c r="S32" s="17">
        <f t="shared" si="175"/>
        <v>4745</v>
      </c>
      <c r="T32" s="74">
        <v>88025</v>
      </c>
      <c r="U32" s="17">
        <f t="shared" si="176"/>
        <v>3430</v>
      </c>
      <c r="V32" s="17">
        <f t="shared" si="177"/>
        <v>1715</v>
      </c>
      <c r="W32" s="74">
        <v>161700</v>
      </c>
      <c r="X32" s="17">
        <f t="shared" si="178"/>
        <v>641</v>
      </c>
      <c r="Y32" s="17">
        <f t="shared" si="179"/>
        <v>320.5</v>
      </c>
      <c r="Z32" s="74">
        <v>31026</v>
      </c>
      <c r="AA32" s="17">
        <f t="shared" si="165"/>
        <v>96</v>
      </c>
      <c r="AB32" s="74">
        <v>63147</v>
      </c>
      <c r="AC32" s="17">
        <f t="shared" si="166"/>
        <v>201</v>
      </c>
      <c r="AD32" s="74">
        <v>113294</v>
      </c>
      <c r="AE32" s="17">
        <f t="shared" si="167"/>
        <v>356</v>
      </c>
      <c r="AF32" s="74">
        <v>61044</v>
      </c>
      <c r="AG32" s="17">
        <f t="shared" si="168"/>
        <v>176</v>
      </c>
      <c r="AH32" s="74">
        <v>305794</v>
      </c>
      <c r="AI32" s="17">
        <f t="shared" si="169"/>
        <v>1009</v>
      </c>
      <c r="AK32" s="100">
        <f t="shared" si="180"/>
        <v>42855.5</v>
      </c>
      <c r="AL32" s="101">
        <f t="shared" si="181"/>
        <v>11328.5</v>
      </c>
    </row>
    <row r="33" spans="1:38" ht="39.950000000000003" customHeight="1">
      <c r="A33" s="149">
        <v>44342</v>
      </c>
      <c r="B33" s="16"/>
      <c r="C33" s="74">
        <v>115179</v>
      </c>
      <c r="D33" s="17">
        <f t="shared" si="182"/>
        <v>4160</v>
      </c>
      <c r="E33" s="74">
        <v>181216</v>
      </c>
      <c r="F33" s="17">
        <f t="shared" si="183"/>
        <v>6620</v>
      </c>
      <c r="G33" s="74">
        <v>987602</v>
      </c>
      <c r="H33" s="17">
        <f t="shared" si="170"/>
        <v>14730</v>
      </c>
      <c r="I33" s="17">
        <f t="shared" si="171"/>
        <v>7365</v>
      </c>
      <c r="J33" s="74">
        <v>161270</v>
      </c>
      <c r="K33" s="17">
        <f t="shared" si="161"/>
        <v>6070</v>
      </c>
      <c r="L33" s="74">
        <v>251388</v>
      </c>
      <c r="M33" s="17">
        <f t="shared" si="162"/>
        <v>9350</v>
      </c>
      <c r="N33" s="74">
        <v>873466</v>
      </c>
      <c r="O33" s="17">
        <f t="shared" si="172"/>
        <v>5150</v>
      </c>
      <c r="P33" s="17">
        <f t="shared" si="173"/>
        <v>2575</v>
      </c>
      <c r="Q33" s="74">
        <v>165286</v>
      </c>
      <c r="R33" s="17">
        <f t="shared" si="174"/>
        <v>10630</v>
      </c>
      <c r="S33" s="17">
        <f t="shared" si="175"/>
        <v>5315</v>
      </c>
      <c r="T33" s="74">
        <v>88027</v>
      </c>
      <c r="U33" s="17">
        <f t="shared" si="176"/>
        <v>20</v>
      </c>
      <c r="V33" s="17">
        <f t="shared" si="177"/>
        <v>10</v>
      </c>
      <c r="W33" s="74">
        <v>162484</v>
      </c>
      <c r="X33" s="17">
        <f t="shared" si="178"/>
        <v>784</v>
      </c>
      <c r="Y33" s="17">
        <f t="shared" si="179"/>
        <v>392</v>
      </c>
      <c r="Z33" s="74">
        <v>31116</v>
      </c>
      <c r="AA33" s="17">
        <f t="shared" si="165"/>
        <v>90</v>
      </c>
      <c r="AB33" s="74">
        <v>63344</v>
      </c>
      <c r="AC33" s="17">
        <f t="shared" si="166"/>
        <v>197</v>
      </c>
      <c r="AD33" s="74">
        <v>113651</v>
      </c>
      <c r="AE33" s="17">
        <f t="shared" si="167"/>
        <v>357</v>
      </c>
      <c r="AF33" s="74">
        <v>61217</v>
      </c>
      <c r="AG33" s="17">
        <f t="shared" si="168"/>
        <v>173</v>
      </c>
      <c r="AH33" s="74">
        <v>306801</v>
      </c>
      <c r="AI33" s="17">
        <f t="shared" si="169"/>
        <v>1007</v>
      </c>
      <c r="AK33" s="100">
        <f t="shared" si="180"/>
        <v>41857</v>
      </c>
      <c r="AL33" s="101">
        <f t="shared" si="181"/>
        <v>10116</v>
      </c>
    </row>
    <row r="34" spans="1:38" ht="39.950000000000003" customHeight="1">
      <c r="A34" s="149">
        <v>44343</v>
      </c>
      <c r="B34" s="16"/>
      <c r="C34" s="74">
        <v>115603</v>
      </c>
      <c r="D34" s="17">
        <f t="shared" si="182"/>
        <v>4240</v>
      </c>
      <c r="E34" s="74">
        <v>181901</v>
      </c>
      <c r="F34" s="17">
        <f t="shared" si="183"/>
        <v>6850</v>
      </c>
      <c r="G34" s="74">
        <v>989117</v>
      </c>
      <c r="H34" s="17">
        <f t="shared" si="170"/>
        <v>15150</v>
      </c>
      <c r="I34" s="17">
        <f t="shared" si="171"/>
        <v>7575</v>
      </c>
      <c r="J34" s="74">
        <v>161902</v>
      </c>
      <c r="K34" s="17">
        <f t="shared" si="161"/>
        <v>6320</v>
      </c>
      <c r="L34" s="74">
        <v>252338</v>
      </c>
      <c r="M34" s="17">
        <f t="shared" si="162"/>
        <v>9500</v>
      </c>
      <c r="N34" s="74">
        <v>874003</v>
      </c>
      <c r="O34" s="17">
        <f t="shared" si="172"/>
        <v>5370</v>
      </c>
      <c r="P34" s="17">
        <f t="shared" si="173"/>
        <v>2685</v>
      </c>
      <c r="Q34" s="74">
        <v>166374</v>
      </c>
      <c r="R34" s="17">
        <f t="shared" si="174"/>
        <v>10880</v>
      </c>
      <c r="S34" s="17">
        <f t="shared" si="175"/>
        <v>5440</v>
      </c>
      <c r="T34" s="74">
        <v>88062</v>
      </c>
      <c r="U34" s="17">
        <f t="shared" si="176"/>
        <v>350</v>
      </c>
      <c r="V34" s="17">
        <f t="shared" si="177"/>
        <v>175</v>
      </c>
      <c r="W34" s="74">
        <v>163423</v>
      </c>
      <c r="X34" s="17">
        <f t="shared" si="178"/>
        <v>939</v>
      </c>
      <c r="Y34" s="17">
        <f t="shared" si="179"/>
        <v>469.5</v>
      </c>
      <c r="Z34" s="74">
        <v>31213</v>
      </c>
      <c r="AA34" s="17">
        <f t="shared" si="165"/>
        <v>97</v>
      </c>
      <c r="AB34" s="74">
        <v>63549</v>
      </c>
      <c r="AC34" s="17">
        <f t="shared" si="166"/>
        <v>205</v>
      </c>
      <c r="AD34" s="74">
        <v>114007</v>
      </c>
      <c r="AE34" s="17">
        <f t="shared" si="167"/>
        <v>356</v>
      </c>
      <c r="AF34" s="74">
        <v>61393</v>
      </c>
      <c r="AG34" s="17">
        <f t="shared" si="168"/>
        <v>176</v>
      </c>
      <c r="AH34" s="74">
        <v>307806</v>
      </c>
      <c r="AI34" s="17">
        <f t="shared" si="169"/>
        <v>1005</v>
      </c>
      <c r="AK34" s="100">
        <f t="shared" si="180"/>
        <v>43254.5</v>
      </c>
      <c r="AL34" s="101">
        <f t="shared" si="181"/>
        <v>10608.5</v>
      </c>
    </row>
    <row r="35" spans="1:38" ht="39.950000000000003" customHeight="1">
      <c r="A35" s="149">
        <v>44344</v>
      </c>
      <c r="B35" s="16"/>
      <c r="C35" s="74">
        <v>116031</v>
      </c>
      <c r="D35" s="17">
        <f t="shared" si="182"/>
        <v>4280</v>
      </c>
      <c r="E35" s="74">
        <v>182597</v>
      </c>
      <c r="F35" s="17">
        <f t="shared" si="183"/>
        <v>6960</v>
      </c>
      <c r="G35" s="74">
        <v>990591</v>
      </c>
      <c r="H35" s="17">
        <f t="shared" si="170"/>
        <v>14740</v>
      </c>
      <c r="I35" s="17">
        <f t="shared" si="171"/>
        <v>7370</v>
      </c>
      <c r="J35" s="74">
        <v>162517</v>
      </c>
      <c r="K35" s="17">
        <f t="shared" si="161"/>
        <v>6150</v>
      </c>
      <c r="L35" s="74">
        <v>253274</v>
      </c>
      <c r="M35" s="17">
        <f t="shared" si="162"/>
        <v>9360</v>
      </c>
      <c r="N35" s="74">
        <v>874561</v>
      </c>
      <c r="O35" s="17">
        <f t="shared" si="172"/>
        <v>5580</v>
      </c>
      <c r="P35" s="17">
        <f t="shared" si="173"/>
        <v>2790</v>
      </c>
      <c r="Q35" s="74">
        <v>167082</v>
      </c>
      <c r="R35" s="17">
        <f t="shared" si="174"/>
        <v>7080</v>
      </c>
      <c r="S35" s="17">
        <f t="shared" si="175"/>
        <v>3540</v>
      </c>
      <c r="T35" s="74">
        <v>88472</v>
      </c>
      <c r="U35" s="17">
        <f t="shared" si="176"/>
        <v>4100</v>
      </c>
      <c r="V35" s="17">
        <f t="shared" si="177"/>
        <v>2050</v>
      </c>
      <c r="W35" s="74">
        <v>164496</v>
      </c>
      <c r="X35" s="17">
        <f t="shared" si="178"/>
        <v>1073</v>
      </c>
      <c r="Y35" s="17">
        <f t="shared" si="179"/>
        <v>536.5</v>
      </c>
      <c r="Z35" s="74">
        <v>31302</v>
      </c>
      <c r="AA35" s="17">
        <f t="shared" si="165"/>
        <v>89</v>
      </c>
      <c r="AB35" s="74">
        <v>63756</v>
      </c>
      <c r="AC35" s="17">
        <f t="shared" si="166"/>
        <v>207</v>
      </c>
      <c r="AD35" s="74">
        <v>114360</v>
      </c>
      <c r="AE35" s="17">
        <f t="shared" si="167"/>
        <v>353</v>
      </c>
      <c r="AF35" s="74">
        <v>61568</v>
      </c>
      <c r="AG35" s="17">
        <f t="shared" si="168"/>
        <v>175</v>
      </c>
      <c r="AH35" s="74">
        <v>308826</v>
      </c>
      <c r="AI35" s="17">
        <f t="shared" si="169"/>
        <v>1020</v>
      </c>
      <c r="AK35" s="100">
        <f t="shared" si="180"/>
        <v>43036.5</v>
      </c>
      <c r="AL35" s="101">
        <f t="shared" si="181"/>
        <v>10760.5</v>
      </c>
    </row>
    <row r="36" spans="1:38" ht="39.950000000000003" customHeight="1">
      <c r="A36" s="149">
        <v>44345</v>
      </c>
      <c r="B36" s="16"/>
      <c r="C36" s="74"/>
      <c r="D36" s="17">
        <f t="shared" si="182"/>
        <v>-1160310</v>
      </c>
      <c r="E36" s="74"/>
      <c r="F36" s="17">
        <f t="shared" si="183"/>
        <v>-1825970</v>
      </c>
      <c r="G36" s="74"/>
      <c r="H36" s="17">
        <f t="shared" ref="H36:H37" si="184">(G36-G35)*10</f>
        <v>-9905910</v>
      </c>
      <c r="I36" s="17">
        <f t="shared" ref="I36:I37" si="185">H36*50%</f>
        <v>-4952955</v>
      </c>
      <c r="J36" s="74"/>
      <c r="K36" s="17">
        <f t="shared" si="161"/>
        <v>-1625170</v>
      </c>
      <c r="L36" s="74"/>
      <c r="M36" s="17">
        <f t="shared" si="162"/>
        <v>-2532740</v>
      </c>
      <c r="N36" s="74"/>
      <c r="O36" s="17">
        <f t="shared" ref="O36:O37" si="186">(N36-N35)*10</f>
        <v>-8745610</v>
      </c>
      <c r="P36" s="17">
        <f t="shared" ref="P36:P37" si="187">O36*50%</f>
        <v>-4372805</v>
      </c>
      <c r="Q36" s="74"/>
      <c r="R36" s="17">
        <f t="shared" ref="R36:R37" si="188">(Q36-Q35)*10</f>
        <v>-1670820</v>
      </c>
      <c r="S36" s="17">
        <f t="shared" ref="S36:S37" si="189">R36*50%</f>
        <v>-835410</v>
      </c>
      <c r="T36" s="74"/>
      <c r="U36" s="17">
        <f t="shared" ref="U36:U37" si="190">(T36-T35)*10</f>
        <v>-884720</v>
      </c>
      <c r="V36" s="17">
        <f t="shared" ref="V36:V37" si="191">U36*50%</f>
        <v>-442360</v>
      </c>
      <c r="W36" s="74"/>
      <c r="X36" s="17">
        <f t="shared" ref="X36:X37" si="192">W36-W35</f>
        <v>-164496</v>
      </c>
      <c r="Y36" s="17">
        <f t="shared" ref="Y36:Y37" si="193">X36*50%</f>
        <v>-82248</v>
      </c>
      <c r="Z36" s="74"/>
      <c r="AA36" s="17">
        <f t="shared" si="165"/>
        <v>-31302</v>
      </c>
      <c r="AB36" s="74"/>
      <c r="AC36" s="17">
        <f t="shared" si="166"/>
        <v>-63756</v>
      </c>
      <c r="AD36" s="74"/>
      <c r="AE36" s="17">
        <f t="shared" si="167"/>
        <v>-114360</v>
      </c>
      <c r="AF36" s="74"/>
      <c r="AG36" s="17">
        <f t="shared" si="168"/>
        <v>-61568</v>
      </c>
      <c r="AH36" s="74"/>
      <c r="AI36" s="17">
        <f t="shared" si="169"/>
        <v>-308826</v>
      </c>
      <c r="AK36" s="100">
        <f t="shared" ref="AK36:AK37" si="194">SUM(D36,F36,I36,K36,M36,P36,S36,V36,Y36)</f>
        <v>-17829968</v>
      </c>
      <c r="AL36" s="101">
        <f t="shared" ref="AL36:AL37" si="195">SUM(P36,S36,V36,Y36,AA36,AC36,AE36,AG36,AI36)</f>
        <v>-6312635</v>
      </c>
    </row>
    <row r="37" spans="1:38" ht="39.950000000000003" customHeight="1">
      <c r="A37" s="149">
        <v>44346</v>
      </c>
      <c r="B37" s="16"/>
      <c r="C37" s="74"/>
      <c r="D37" s="17">
        <f t="shared" si="182"/>
        <v>0</v>
      </c>
      <c r="E37" s="74"/>
      <c r="F37" s="17">
        <f t="shared" si="183"/>
        <v>0</v>
      </c>
      <c r="G37" s="74"/>
      <c r="H37" s="17">
        <f t="shared" si="184"/>
        <v>0</v>
      </c>
      <c r="I37" s="17">
        <f t="shared" si="185"/>
        <v>0</v>
      </c>
      <c r="J37" s="74"/>
      <c r="K37" s="17">
        <f t="shared" si="161"/>
        <v>0</v>
      </c>
      <c r="L37" s="74"/>
      <c r="M37" s="17">
        <f t="shared" si="162"/>
        <v>0</v>
      </c>
      <c r="N37" s="74"/>
      <c r="O37" s="17">
        <f t="shared" si="186"/>
        <v>0</v>
      </c>
      <c r="P37" s="17">
        <f t="shared" si="187"/>
        <v>0</v>
      </c>
      <c r="Q37" s="74"/>
      <c r="R37" s="17">
        <f t="shared" si="188"/>
        <v>0</v>
      </c>
      <c r="S37" s="17">
        <f t="shared" si="189"/>
        <v>0</v>
      </c>
      <c r="T37" s="74"/>
      <c r="U37" s="17">
        <f t="shared" si="190"/>
        <v>0</v>
      </c>
      <c r="V37" s="17">
        <f t="shared" si="191"/>
        <v>0</v>
      </c>
      <c r="W37" s="74"/>
      <c r="X37" s="17">
        <f t="shared" si="192"/>
        <v>0</v>
      </c>
      <c r="Y37" s="17">
        <f t="shared" si="193"/>
        <v>0</v>
      </c>
      <c r="Z37" s="74"/>
      <c r="AA37" s="17">
        <f t="shared" si="165"/>
        <v>0</v>
      </c>
      <c r="AB37" s="74"/>
      <c r="AC37" s="17">
        <f t="shared" si="166"/>
        <v>0</v>
      </c>
      <c r="AD37" s="74"/>
      <c r="AE37" s="17">
        <f t="shared" si="167"/>
        <v>0</v>
      </c>
      <c r="AF37" s="74"/>
      <c r="AG37" s="17">
        <f t="shared" si="168"/>
        <v>0</v>
      </c>
      <c r="AH37" s="74"/>
      <c r="AI37" s="17">
        <f t="shared" si="169"/>
        <v>0</v>
      </c>
      <c r="AK37" s="100">
        <f t="shared" si="194"/>
        <v>0</v>
      </c>
      <c r="AL37" s="101">
        <f t="shared" si="195"/>
        <v>0</v>
      </c>
    </row>
    <row r="38" spans="1:38" s="151" customFormat="1" ht="39.950000000000003" customHeight="1">
      <c r="A38" s="149">
        <v>44347</v>
      </c>
      <c r="B38" s="150"/>
      <c r="C38" s="104"/>
      <c r="D38" s="17"/>
      <c r="E38" s="104"/>
      <c r="F38" s="17"/>
      <c r="G38" s="104"/>
      <c r="H38" s="17"/>
      <c r="I38" s="17"/>
      <c r="J38" s="104"/>
      <c r="K38" s="17"/>
      <c r="L38" s="104"/>
      <c r="M38" s="17"/>
      <c r="N38" s="104"/>
      <c r="O38" s="17"/>
      <c r="P38" s="17"/>
      <c r="Q38" s="104"/>
      <c r="R38" s="17"/>
      <c r="S38" s="17"/>
      <c r="T38" s="104"/>
      <c r="U38" s="17"/>
      <c r="V38" s="17"/>
      <c r="W38" s="104"/>
      <c r="X38" s="17"/>
      <c r="Y38" s="17"/>
      <c r="Z38" s="104"/>
      <c r="AA38" s="17"/>
      <c r="AB38" s="104"/>
      <c r="AC38" s="17"/>
      <c r="AD38" s="104"/>
      <c r="AE38" s="17"/>
      <c r="AF38" s="104"/>
      <c r="AG38" s="17"/>
      <c r="AH38" s="104"/>
      <c r="AI38" s="17"/>
      <c r="AK38" s="100"/>
      <c r="AL38" s="101"/>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5" activePane="bottomRight" state="frozen"/>
      <selection pane="topRight" activeCell="C1" sqref="C1"/>
      <selection pane="bottomLeft" activeCell="A5" sqref="A5"/>
      <selection pane="bottomRight" activeCell="T32" sqref="T32"/>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3"/>
      <c r="B1" s="113"/>
      <c r="C1" s="219" t="s">
        <v>65</v>
      </c>
      <c r="D1" s="219"/>
      <c r="E1" s="219" t="s">
        <v>65</v>
      </c>
      <c r="F1" s="219"/>
      <c r="G1" s="219" t="s">
        <v>65</v>
      </c>
      <c r="H1" s="219"/>
      <c r="I1" s="219" t="s">
        <v>65</v>
      </c>
      <c r="J1" s="219"/>
      <c r="K1" s="205" t="s">
        <v>66</v>
      </c>
      <c r="L1" s="206"/>
      <c r="M1" s="206"/>
      <c r="N1" s="207"/>
      <c r="O1" s="219" t="s">
        <v>67</v>
      </c>
      <c r="P1" s="219"/>
    </row>
    <row r="2" spans="1:19" s="27" customFormat="1" ht="113.25" customHeight="1">
      <c r="A2" s="26"/>
      <c r="B2" s="26"/>
      <c r="C2" s="221" t="s">
        <v>103</v>
      </c>
      <c r="D2" s="222"/>
      <c r="E2" s="221" t="s">
        <v>104</v>
      </c>
      <c r="F2" s="222"/>
      <c r="G2" s="221" t="s">
        <v>105</v>
      </c>
      <c r="H2" s="222"/>
      <c r="I2" s="221" t="s">
        <v>106</v>
      </c>
      <c r="J2" s="222"/>
      <c r="K2" s="223" t="s">
        <v>107</v>
      </c>
      <c r="L2" s="224"/>
      <c r="M2" s="224"/>
      <c r="N2" s="225"/>
      <c r="O2" s="221" t="s">
        <v>108</v>
      </c>
      <c r="P2" s="222"/>
    </row>
    <row r="3" spans="1:19" s="32" customFormat="1" ht="50.1" customHeight="1">
      <c r="A3" s="41"/>
      <c r="B3" s="41"/>
      <c r="C3" s="226" t="s">
        <v>109</v>
      </c>
      <c r="D3" s="227"/>
      <c r="E3" s="228" t="s">
        <v>110</v>
      </c>
      <c r="F3" s="229"/>
      <c r="G3" s="228" t="s">
        <v>111</v>
      </c>
      <c r="H3" s="229"/>
      <c r="I3" s="228" t="s">
        <v>112</v>
      </c>
      <c r="J3" s="229"/>
      <c r="K3" s="230" t="s">
        <v>113</v>
      </c>
      <c r="L3" s="231"/>
      <c r="M3" s="231"/>
      <c r="N3" s="232"/>
      <c r="O3" s="226" t="s">
        <v>114</v>
      </c>
      <c r="P3" s="227"/>
      <c r="R3" s="220" t="s">
        <v>81</v>
      </c>
      <c r="S3" s="220"/>
    </row>
    <row r="4" spans="1:19" s="8" customFormat="1" ht="30" customHeight="1">
      <c r="A4" s="111" t="s">
        <v>96</v>
      </c>
      <c r="B4" s="51"/>
      <c r="C4" s="203"/>
      <c r="D4" s="204"/>
      <c r="E4" s="203"/>
      <c r="F4" s="204"/>
      <c r="G4" s="203"/>
      <c r="H4" s="204"/>
      <c r="I4" s="203"/>
      <c r="J4" s="204"/>
      <c r="K4" s="203"/>
      <c r="L4" s="217"/>
      <c r="M4" s="217"/>
      <c r="N4" s="204"/>
      <c r="O4" s="51"/>
      <c r="P4" s="51"/>
      <c r="R4" s="220"/>
      <c r="S4" s="220"/>
    </row>
    <row r="5" spans="1:19" s="10" customFormat="1" ht="50.1" customHeight="1">
      <c r="A5" s="111" t="s">
        <v>99</v>
      </c>
      <c r="B5" s="111"/>
      <c r="C5" s="111" t="s">
        <v>115</v>
      </c>
      <c r="D5" s="111" t="s">
        <v>116</v>
      </c>
      <c r="E5" s="111" t="s">
        <v>115</v>
      </c>
      <c r="F5" s="111" t="s">
        <v>116</v>
      </c>
      <c r="G5" s="111" t="s">
        <v>115</v>
      </c>
      <c r="H5" s="111" t="s">
        <v>116</v>
      </c>
      <c r="I5" s="111" t="s">
        <v>115</v>
      </c>
      <c r="J5" s="111" t="s">
        <v>116</v>
      </c>
      <c r="K5" s="111" t="s">
        <v>115</v>
      </c>
      <c r="L5" s="111" t="s">
        <v>116</v>
      </c>
      <c r="M5" s="111" t="s">
        <v>65</v>
      </c>
      <c r="N5" s="111" t="s">
        <v>67</v>
      </c>
      <c r="O5" s="111" t="s">
        <v>115</v>
      </c>
      <c r="P5" s="111" t="s">
        <v>116</v>
      </c>
      <c r="R5" s="111"/>
      <c r="S5" s="111"/>
    </row>
    <row r="6" spans="1:19" ht="39.950000000000003" customHeight="1">
      <c r="A6" s="149">
        <v>44316</v>
      </c>
      <c r="B6" s="85"/>
      <c r="C6" s="86">
        <v>208178</v>
      </c>
      <c r="D6" s="78"/>
      <c r="E6" s="86">
        <v>208141</v>
      </c>
      <c r="F6" s="78"/>
      <c r="G6" s="86">
        <v>6455.5978999999998</v>
      </c>
      <c r="H6" s="79"/>
      <c r="I6" s="86">
        <v>13342</v>
      </c>
      <c r="J6" s="78"/>
      <c r="K6" s="77">
        <v>146995</v>
      </c>
      <c r="L6" s="78"/>
      <c r="M6" s="79"/>
      <c r="N6" s="79"/>
      <c r="O6" s="86">
        <v>107027</v>
      </c>
      <c r="P6" s="78"/>
      <c r="R6" s="110"/>
      <c r="S6" s="101"/>
    </row>
    <row r="7" spans="1:19" s="2" customFormat="1" ht="39.950000000000003" customHeight="1">
      <c r="A7" s="149">
        <v>44317</v>
      </c>
      <c r="B7" s="15"/>
      <c r="C7" s="87">
        <v>208441</v>
      </c>
      <c r="D7" s="186">
        <f>(C7-C6)</f>
        <v>263</v>
      </c>
      <c r="E7" s="87">
        <v>208510</v>
      </c>
      <c r="F7" s="186">
        <f>(E7-E6)</f>
        <v>369</v>
      </c>
      <c r="G7" s="87">
        <v>6458</v>
      </c>
      <c r="H7" s="186">
        <f>(G7-G6)</f>
        <v>2.4021000000002459</v>
      </c>
      <c r="I7" s="87">
        <v>13355</v>
      </c>
      <c r="J7" s="186">
        <f>(I7-I6)</f>
        <v>13</v>
      </c>
      <c r="K7" s="87">
        <v>147205</v>
      </c>
      <c r="L7" s="78">
        <f>(K7-K6)</f>
        <v>210</v>
      </c>
      <c r="M7" s="186">
        <f>L7*55%</f>
        <v>115.50000000000001</v>
      </c>
      <c r="N7" s="186">
        <f>L7*45%</f>
        <v>94.5</v>
      </c>
      <c r="O7" s="87">
        <v>107125</v>
      </c>
      <c r="P7" s="186">
        <f>(O7-O6)</f>
        <v>98</v>
      </c>
      <c r="R7" s="110">
        <f t="shared" ref="R7:R34" si="0">SUM(D7,F7,M71,H7)</f>
        <v>634.40210000000025</v>
      </c>
      <c r="S7" s="101">
        <f>SUM(N7,P7)</f>
        <v>192.5</v>
      </c>
    </row>
    <row r="8" spans="1:19" ht="39.950000000000003" customHeight="1">
      <c r="A8" s="149">
        <v>44318</v>
      </c>
      <c r="B8" s="16"/>
      <c r="C8" s="87">
        <v>208653</v>
      </c>
      <c r="D8" s="186">
        <f t="shared" ref="D8:F35" si="1">(C8-C7)</f>
        <v>212</v>
      </c>
      <c r="E8" s="87">
        <v>208816</v>
      </c>
      <c r="F8" s="186">
        <f t="shared" si="1"/>
        <v>306</v>
      </c>
      <c r="G8" s="87">
        <v>6462</v>
      </c>
      <c r="H8" s="186">
        <f t="shared" ref="H8" si="2">(G8-G7)</f>
        <v>4</v>
      </c>
      <c r="I8" s="87">
        <v>13366</v>
      </c>
      <c r="J8" s="186">
        <f t="shared" ref="J8" si="3">(I8-I7)</f>
        <v>11</v>
      </c>
      <c r="K8" s="87">
        <v>147365</v>
      </c>
      <c r="L8" s="78">
        <f t="shared" ref="L8" si="4">(K8-K7)</f>
        <v>160</v>
      </c>
      <c r="M8" s="186">
        <f t="shared" ref="M8:M34" si="5">L8*55%</f>
        <v>88</v>
      </c>
      <c r="N8" s="186">
        <f t="shared" ref="N8:N34" si="6">L8*45%</f>
        <v>72</v>
      </c>
      <c r="O8" s="87">
        <v>107209</v>
      </c>
      <c r="P8" s="186">
        <f t="shared" ref="P8" si="7">(O8-O7)</f>
        <v>84</v>
      </c>
      <c r="R8" s="110">
        <f t="shared" si="0"/>
        <v>522</v>
      </c>
      <c r="S8" s="101">
        <f t="shared" ref="S8:S34" si="8">SUM(N8,P8)</f>
        <v>156</v>
      </c>
    </row>
    <row r="9" spans="1:19" ht="39.950000000000003" customHeight="1">
      <c r="A9" s="149">
        <v>44319</v>
      </c>
      <c r="B9" s="16"/>
      <c r="C9" s="87">
        <v>208796</v>
      </c>
      <c r="D9" s="186">
        <f t="shared" si="1"/>
        <v>143</v>
      </c>
      <c r="E9" s="87">
        <v>209081</v>
      </c>
      <c r="F9" s="186">
        <f t="shared" si="1"/>
        <v>265</v>
      </c>
      <c r="G9" s="87">
        <v>6468</v>
      </c>
      <c r="H9" s="186">
        <f t="shared" ref="H9" si="9">(G9-G8)</f>
        <v>6</v>
      </c>
      <c r="I9" s="87">
        <v>13382</v>
      </c>
      <c r="J9" s="186">
        <f t="shared" ref="J9" si="10">(I9-I8)</f>
        <v>16</v>
      </c>
      <c r="K9" s="87">
        <v>147534</v>
      </c>
      <c r="L9" s="78">
        <f t="shared" ref="L9" si="11">(K9-K8)</f>
        <v>169</v>
      </c>
      <c r="M9" s="186">
        <f t="shared" si="5"/>
        <v>92.95</v>
      </c>
      <c r="N9" s="186">
        <f t="shared" si="6"/>
        <v>76.05</v>
      </c>
      <c r="O9" s="87">
        <v>107283</v>
      </c>
      <c r="P9" s="186">
        <f t="shared" ref="P9" si="12">(O9-O8)</f>
        <v>74</v>
      </c>
      <c r="R9" s="110">
        <f t="shared" si="0"/>
        <v>414</v>
      </c>
      <c r="S9" s="101">
        <f t="shared" si="8"/>
        <v>150.05000000000001</v>
      </c>
    </row>
    <row r="10" spans="1:19" ht="39.950000000000003" customHeight="1">
      <c r="A10" s="149">
        <v>44320</v>
      </c>
      <c r="B10" s="16"/>
      <c r="C10" s="87">
        <v>208935</v>
      </c>
      <c r="D10" s="186">
        <f t="shared" si="1"/>
        <v>139</v>
      </c>
      <c r="E10" s="87">
        <v>209344</v>
      </c>
      <c r="F10" s="186">
        <f t="shared" si="1"/>
        <v>263</v>
      </c>
      <c r="G10" s="87">
        <v>6471</v>
      </c>
      <c r="H10" s="186">
        <f t="shared" ref="H10" si="13">(G10-G9)</f>
        <v>3</v>
      </c>
      <c r="I10" s="87">
        <v>13394</v>
      </c>
      <c r="J10" s="186">
        <f t="shared" ref="J10" si="14">(I10-I9)</f>
        <v>12</v>
      </c>
      <c r="K10" s="87">
        <v>147719</v>
      </c>
      <c r="L10" s="78">
        <f t="shared" ref="L10" si="15">(K10-K9)</f>
        <v>185</v>
      </c>
      <c r="M10" s="186">
        <f t="shared" si="5"/>
        <v>101.75000000000001</v>
      </c>
      <c r="N10" s="186">
        <f t="shared" si="6"/>
        <v>83.25</v>
      </c>
      <c r="O10" s="87">
        <v>107498</v>
      </c>
      <c r="P10" s="186">
        <f t="shared" ref="P10" si="16">(O10-O9)</f>
        <v>215</v>
      </c>
      <c r="R10" s="110">
        <f t="shared" si="0"/>
        <v>405</v>
      </c>
      <c r="S10" s="101">
        <f t="shared" si="8"/>
        <v>298.25</v>
      </c>
    </row>
    <row r="11" spans="1:19" ht="39.950000000000003" customHeight="1">
      <c r="A11" s="149">
        <v>44321</v>
      </c>
      <c r="B11" s="16"/>
      <c r="C11" s="87">
        <v>209041</v>
      </c>
      <c r="D11" s="186">
        <f t="shared" si="1"/>
        <v>106</v>
      </c>
      <c r="E11" s="87">
        <v>209595</v>
      </c>
      <c r="F11" s="186">
        <f t="shared" si="1"/>
        <v>251</v>
      </c>
      <c r="G11" s="87">
        <v>6473</v>
      </c>
      <c r="H11" s="186">
        <f t="shared" ref="H11" si="17">(G11-G10)</f>
        <v>2</v>
      </c>
      <c r="I11" s="87">
        <v>13400</v>
      </c>
      <c r="J11" s="186">
        <f t="shared" ref="J11" si="18">(I11-I10)</f>
        <v>6</v>
      </c>
      <c r="K11" s="87">
        <v>147855</v>
      </c>
      <c r="L11" s="78">
        <f t="shared" ref="L11" si="19">(K11-K10)</f>
        <v>136</v>
      </c>
      <c r="M11" s="186">
        <f t="shared" si="5"/>
        <v>74.800000000000011</v>
      </c>
      <c r="N11" s="186">
        <f t="shared" si="6"/>
        <v>61.2</v>
      </c>
      <c r="O11" s="87">
        <v>107594</v>
      </c>
      <c r="P11" s="186">
        <f t="shared" ref="P11" si="20">(O11-O10)</f>
        <v>96</v>
      </c>
      <c r="R11" s="110">
        <f t="shared" si="0"/>
        <v>359</v>
      </c>
      <c r="S11" s="101">
        <f t="shared" si="8"/>
        <v>157.19999999999999</v>
      </c>
    </row>
    <row r="12" spans="1:19" ht="39.950000000000003" customHeight="1">
      <c r="A12" s="149">
        <v>44322</v>
      </c>
      <c r="B12" s="16"/>
      <c r="C12" s="87">
        <v>209143</v>
      </c>
      <c r="D12" s="186">
        <f t="shared" si="1"/>
        <v>102</v>
      </c>
      <c r="E12" s="87">
        <v>209874</v>
      </c>
      <c r="F12" s="186">
        <f t="shared" si="1"/>
        <v>279</v>
      </c>
      <c r="G12" s="87">
        <v>6479</v>
      </c>
      <c r="H12" s="186">
        <f t="shared" ref="H12" si="21">(G12-G11)</f>
        <v>6</v>
      </c>
      <c r="I12" s="87">
        <v>13409</v>
      </c>
      <c r="J12" s="186">
        <f t="shared" ref="J12" si="22">(I12-I11)</f>
        <v>9</v>
      </c>
      <c r="K12" s="87">
        <v>147991</v>
      </c>
      <c r="L12" s="78">
        <f t="shared" ref="L12" si="23">(K12-K11)</f>
        <v>136</v>
      </c>
      <c r="M12" s="186">
        <f t="shared" si="5"/>
        <v>74.800000000000011</v>
      </c>
      <c r="N12" s="186">
        <f t="shared" si="6"/>
        <v>61.2</v>
      </c>
      <c r="O12" s="87">
        <v>107673</v>
      </c>
      <c r="P12" s="186">
        <f t="shared" ref="P12" si="24">(O12-O11)</f>
        <v>79</v>
      </c>
      <c r="R12" s="110">
        <f t="shared" si="0"/>
        <v>387</v>
      </c>
      <c r="S12" s="101">
        <f t="shared" si="8"/>
        <v>140.19999999999999</v>
      </c>
    </row>
    <row r="13" spans="1:19" ht="39.950000000000003" customHeight="1">
      <c r="A13" s="149">
        <v>44323</v>
      </c>
      <c r="B13" s="16"/>
      <c r="C13" s="87">
        <v>209238</v>
      </c>
      <c r="D13" s="186">
        <f t="shared" si="1"/>
        <v>95</v>
      </c>
      <c r="E13" s="87">
        <v>210126</v>
      </c>
      <c r="F13" s="186">
        <f t="shared" si="1"/>
        <v>252</v>
      </c>
      <c r="G13" s="87">
        <v>6485</v>
      </c>
      <c r="H13" s="186">
        <f t="shared" ref="H13" si="25">(G13-G12)</f>
        <v>6</v>
      </c>
      <c r="I13" s="87">
        <v>13421</v>
      </c>
      <c r="J13" s="186">
        <f t="shared" ref="J13" si="26">(I13-I12)</f>
        <v>12</v>
      </c>
      <c r="K13" s="87">
        <v>148123</v>
      </c>
      <c r="L13" s="78">
        <f t="shared" ref="L13" si="27">(K13-K12)</f>
        <v>132</v>
      </c>
      <c r="M13" s="186">
        <f t="shared" si="5"/>
        <v>72.600000000000009</v>
      </c>
      <c r="N13" s="186">
        <f t="shared" si="6"/>
        <v>59.4</v>
      </c>
      <c r="O13" s="87">
        <v>107763</v>
      </c>
      <c r="P13" s="186">
        <f t="shared" ref="P13" si="28">(O13-O12)</f>
        <v>90</v>
      </c>
      <c r="R13" s="110">
        <f t="shared" si="0"/>
        <v>353</v>
      </c>
      <c r="S13" s="101">
        <f t="shared" si="8"/>
        <v>149.4</v>
      </c>
    </row>
    <row r="14" spans="1:19" ht="39.950000000000003" customHeight="1">
      <c r="A14" s="149">
        <v>44324</v>
      </c>
      <c r="B14" s="16"/>
      <c r="C14" s="87">
        <v>209349</v>
      </c>
      <c r="D14" s="186">
        <f t="shared" si="1"/>
        <v>111</v>
      </c>
      <c r="E14" s="87">
        <v>210409</v>
      </c>
      <c r="F14" s="186">
        <f t="shared" si="1"/>
        <v>283</v>
      </c>
      <c r="G14" s="87">
        <v>6490</v>
      </c>
      <c r="H14" s="186">
        <f t="shared" ref="H14" si="29">(G14-G13)</f>
        <v>5</v>
      </c>
      <c r="I14" s="87">
        <v>13431</v>
      </c>
      <c r="J14" s="186">
        <f t="shared" ref="J14" si="30">(I14-I13)</f>
        <v>10</v>
      </c>
      <c r="K14" s="87">
        <v>148250</v>
      </c>
      <c r="L14" s="78">
        <f t="shared" ref="L14" si="31">(K14-K13)</f>
        <v>127</v>
      </c>
      <c r="M14" s="186">
        <f t="shared" si="5"/>
        <v>69.850000000000009</v>
      </c>
      <c r="N14" s="186">
        <f t="shared" si="6"/>
        <v>57.15</v>
      </c>
      <c r="O14" s="87">
        <v>107826</v>
      </c>
      <c r="P14" s="186">
        <f t="shared" ref="P14" si="32">(O14-O13)</f>
        <v>63</v>
      </c>
      <c r="R14" s="110">
        <f t="shared" si="0"/>
        <v>399</v>
      </c>
      <c r="S14" s="101">
        <f t="shared" si="8"/>
        <v>120.15</v>
      </c>
    </row>
    <row r="15" spans="1:19" ht="39.950000000000003" customHeight="1">
      <c r="A15" s="149">
        <v>44325</v>
      </c>
      <c r="B15" s="16"/>
      <c r="C15" s="87">
        <v>209497</v>
      </c>
      <c r="D15" s="186">
        <f t="shared" si="1"/>
        <v>148</v>
      </c>
      <c r="E15" s="87">
        <v>210757</v>
      </c>
      <c r="F15" s="186">
        <f t="shared" si="1"/>
        <v>348</v>
      </c>
      <c r="G15" s="87">
        <v>6493</v>
      </c>
      <c r="H15" s="186">
        <f t="shared" ref="H15" si="33">(G15-G14)</f>
        <v>3</v>
      </c>
      <c r="I15" s="87">
        <v>13443</v>
      </c>
      <c r="J15" s="186">
        <f t="shared" ref="J15" si="34">(I15-I14)</f>
        <v>12</v>
      </c>
      <c r="K15" s="87">
        <v>148402</v>
      </c>
      <c r="L15" s="78">
        <f t="shared" ref="L15" si="35">(K15-K14)</f>
        <v>152</v>
      </c>
      <c r="M15" s="186">
        <f t="shared" si="5"/>
        <v>83.600000000000009</v>
      </c>
      <c r="N15" s="186">
        <f t="shared" si="6"/>
        <v>68.400000000000006</v>
      </c>
      <c r="O15" s="87">
        <v>107915</v>
      </c>
      <c r="P15" s="186">
        <f t="shared" ref="P15" si="36">(O15-O14)</f>
        <v>89</v>
      </c>
      <c r="R15" s="110">
        <f t="shared" si="0"/>
        <v>499</v>
      </c>
      <c r="S15" s="101">
        <f t="shared" si="8"/>
        <v>157.4</v>
      </c>
    </row>
    <row r="16" spans="1:19" ht="39.950000000000003" customHeight="1">
      <c r="A16" s="149">
        <v>44326</v>
      </c>
      <c r="B16" s="16"/>
      <c r="C16" s="87">
        <v>209634</v>
      </c>
      <c r="D16" s="186">
        <f t="shared" si="1"/>
        <v>137</v>
      </c>
      <c r="E16" s="87">
        <v>211006</v>
      </c>
      <c r="F16" s="186">
        <f t="shared" si="1"/>
        <v>249</v>
      </c>
      <c r="G16" s="87">
        <v>6496</v>
      </c>
      <c r="H16" s="186">
        <f t="shared" ref="H16" si="37">(G16-G15)</f>
        <v>3</v>
      </c>
      <c r="I16" s="87">
        <v>13458</v>
      </c>
      <c r="J16" s="186">
        <f t="shared" ref="J16" si="38">(I16-I15)</f>
        <v>15</v>
      </c>
      <c r="K16" s="87">
        <v>148529</v>
      </c>
      <c r="L16" s="78">
        <f t="shared" ref="L16" si="39">(K16-K15)</f>
        <v>127</v>
      </c>
      <c r="M16" s="186">
        <f t="shared" si="5"/>
        <v>69.850000000000009</v>
      </c>
      <c r="N16" s="186">
        <f t="shared" si="6"/>
        <v>57.15</v>
      </c>
      <c r="O16" s="87">
        <v>108003</v>
      </c>
      <c r="P16" s="186">
        <f t="shared" ref="P16" si="40">(O16-O15)</f>
        <v>88</v>
      </c>
      <c r="R16" s="110">
        <f t="shared" si="0"/>
        <v>389</v>
      </c>
      <c r="S16" s="101">
        <f t="shared" si="8"/>
        <v>145.15</v>
      </c>
    </row>
    <row r="17" spans="1:19" ht="39.950000000000003" customHeight="1">
      <c r="A17" s="149">
        <v>44327</v>
      </c>
      <c r="B17" s="16"/>
      <c r="C17" s="86">
        <v>209748</v>
      </c>
      <c r="D17" s="186">
        <f t="shared" si="1"/>
        <v>114</v>
      </c>
      <c r="E17" s="86">
        <v>211281</v>
      </c>
      <c r="F17" s="186">
        <f t="shared" si="1"/>
        <v>275</v>
      </c>
      <c r="G17" s="86">
        <v>6504</v>
      </c>
      <c r="H17" s="186">
        <f t="shared" ref="H17" si="41">(G17-G16)</f>
        <v>8</v>
      </c>
      <c r="I17" s="86">
        <v>13467</v>
      </c>
      <c r="J17" s="186">
        <f t="shared" ref="J17" si="42">(I17-I16)</f>
        <v>9</v>
      </c>
      <c r="K17" s="86">
        <v>148681</v>
      </c>
      <c r="L17" s="78">
        <f t="shared" ref="L17" si="43">(K17-K16)</f>
        <v>152</v>
      </c>
      <c r="M17" s="186">
        <f t="shared" si="5"/>
        <v>83.600000000000009</v>
      </c>
      <c r="N17" s="186">
        <f t="shared" si="6"/>
        <v>68.400000000000006</v>
      </c>
      <c r="O17" s="86">
        <v>108078</v>
      </c>
      <c r="P17" s="186">
        <f t="shared" ref="P17" si="44">(O17-O16)</f>
        <v>75</v>
      </c>
      <c r="R17" s="110">
        <f t="shared" si="0"/>
        <v>397</v>
      </c>
      <c r="S17" s="101">
        <f t="shared" si="8"/>
        <v>143.4</v>
      </c>
    </row>
    <row r="18" spans="1:19" ht="39.950000000000003" customHeight="1">
      <c r="A18" s="149">
        <v>44328</v>
      </c>
      <c r="B18" s="16"/>
      <c r="C18" s="86">
        <v>209901</v>
      </c>
      <c r="D18" s="186">
        <f t="shared" si="1"/>
        <v>153</v>
      </c>
      <c r="E18" s="86">
        <v>211531</v>
      </c>
      <c r="F18" s="186">
        <f t="shared" si="1"/>
        <v>250</v>
      </c>
      <c r="G18" s="86">
        <v>6507</v>
      </c>
      <c r="H18" s="186">
        <f t="shared" ref="H18" si="45">(G18-G17)</f>
        <v>3</v>
      </c>
      <c r="I18" s="86">
        <v>13480</v>
      </c>
      <c r="J18" s="186">
        <f t="shared" ref="J18" si="46">(I18-I17)</f>
        <v>13</v>
      </c>
      <c r="K18" s="86">
        <v>148843</v>
      </c>
      <c r="L18" s="78">
        <f t="shared" ref="L18" si="47">(K18-K17)</f>
        <v>162</v>
      </c>
      <c r="M18" s="186">
        <f t="shared" si="5"/>
        <v>89.100000000000009</v>
      </c>
      <c r="N18" s="186">
        <f t="shared" si="6"/>
        <v>72.900000000000006</v>
      </c>
      <c r="O18" s="86">
        <v>108179</v>
      </c>
      <c r="P18" s="186">
        <f t="shared" ref="P18" si="48">(O18-O17)</f>
        <v>101</v>
      </c>
      <c r="R18" s="110">
        <f t="shared" si="0"/>
        <v>406</v>
      </c>
      <c r="S18" s="101">
        <f t="shared" si="8"/>
        <v>173.9</v>
      </c>
    </row>
    <row r="19" spans="1:19" s="82" customFormat="1" ht="39.950000000000003" customHeight="1">
      <c r="A19" s="149">
        <v>44329</v>
      </c>
      <c r="B19" s="85"/>
      <c r="C19" s="87">
        <v>210054</v>
      </c>
      <c r="D19" s="186">
        <f t="shared" si="1"/>
        <v>153</v>
      </c>
      <c r="E19" s="87">
        <v>211767</v>
      </c>
      <c r="F19" s="186">
        <f t="shared" si="1"/>
        <v>236</v>
      </c>
      <c r="G19" s="87">
        <v>6510</v>
      </c>
      <c r="H19" s="186">
        <f t="shared" ref="H19" si="49">(G19-G18)</f>
        <v>3</v>
      </c>
      <c r="I19" s="87">
        <v>13489</v>
      </c>
      <c r="J19" s="186">
        <f t="shared" ref="J19" si="50">(I19-I18)</f>
        <v>9</v>
      </c>
      <c r="K19" s="87">
        <v>148989</v>
      </c>
      <c r="L19" s="78">
        <f t="shared" ref="L19" si="51">(K19-K18)</f>
        <v>146</v>
      </c>
      <c r="M19" s="186">
        <f t="shared" si="5"/>
        <v>80.300000000000011</v>
      </c>
      <c r="N19" s="186">
        <f t="shared" si="6"/>
        <v>65.7</v>
      </c>
      <c r="O19" s="87">
        <v>108254</v>
      </c>
      <c r="P19" s="186">
        <f t="shared" ref="P19" si="52">(O19-O18)</f>
        <v>75</v>
      </c>
      <c r="R19" s="172">
        <f t="shared" si="0"/>
        <v>392</v>
      </c>
      <c r="S19" s="109">
        <f t="shared" si="8"/>
        <v>140.69999999999999</v>
      </c>
    </row>
    <row r="20" spans="1:19" s="82" customFormat="1" ht="39.950000000000003" customHeight="1">
      <c r="A20" s="149">
        <v>44330</v>
      </c>
      <c r="B20" s="85"/>
      <c r="C20" s="87">
        <v>210227</v>
      </c>
      <c r="D20" s="186">
        <f t="shared" si="1"/>
        <v>173</v>
      </c>
      <c r="E20" s="87">
        <v>212031</v>
      </c>
      <c r="F20" s="186">
        <f t="shared" si="1"/>
        <v>264</v>
      </c>
      <c r="G20" s="87">
        <v>6514</v>
      </c>
      <c r="H20" s="186">
        <f t="shared" ref="H20" si="53">(G20-G19)</f>
        <v>4</v>
      </c>
      <c r="I20" s="87">
        <v>13493</v>
      </c>
      <c r="J20" s="186">
        <f t="shared" ref="J20" si="54">(I20-I19)</f>
        <v>4</v>
      </c>
      <c r="K20" s="87">
        <v>149132</v>
      </c>
      <c r="L20" s="78">
        <f t="shared" ref="L20" si="55">(K20-K19)</f>
        <v>143</v>
      </c>
      <c r="M20" s="186">
        <f t="shared" si="5"/>
        <v>78.650000000000006</v>
      </c>
      <c r="N20" s="186">
        <f t="shared" si="6"/>
        <v>64.350000000000009</v>
      </c>
      <c r="O20" s="87">
        <v>108328</v>
      </c>
      <c r="P20" s="186">
        <f t="shared" ref="P20" si="56">(O20-O19)</f>
        <v>74</v>
      </c>
      <c r="R20" s="172">
        <f t="shared" si="0"/>
        <v>441</v>
      </c>
      <c r="S20" s="109">
        <f t="shared" si="8"/>
        <v>138.35000000000002</v>
      </c>
    </row>
    <row r="21" spans="1:19" s="82" customFormat="1" ht="39.950000000000003" customHeight="1">
      <c r="A21" s="149">
        <v>44331</v>
      </c>
      <c r="B21" s="85"/>
      <c r="C21" s="87">
        <f>(C22+C20)/2</f>
        <v>210418</v>
      </c>
      <c r="D21" s="186">
        <f t="shared" si="1"/>
        <v>191</v>
      </c>
      <c r="E21" s="87">
        <f>(E22+E20)/2</f>
        <v>212356.5</v>
      </c>
      <c r="F21" s="186">
        <f>(E21-E20)</f>
        <v>325.5</v>
      </c>
      <c r="G21" s="87">
        <v>6522.6581999999999</v>
      </c>
      <c r="H21" s="186">
        <f t="shared" ref="H21" si="57">(G21-G20)</f>
        <v>8.6581999999998516</v>
      </c>
      <c r="I21" s="87">
        <v>13504</v>
      </c>
      <c r="J21" s="186">
        <f t="shared" ref="J21" si="58">(I21-I20)</f>
        <v>11</v>
      </c>
      <c r="K21" s="87">
        <v>149286</v>
      </c>
      <c r="L21" s="78">
        <f t="shared" ref="L21" si="59">(K21-K20)</f>
        <v>154</v>
      </c>
      <c r="M21" s="186">
        <f t="shared" si="5"/>
        <v>84.7</v>
      </c>
      <c r="N21" s="186">
        <f t="shared" si="6"/>
        <v>69.3</v>
      </c>
      <c r="O21" s="87">
        <f>(O22+O20)/2</f>
        <v>108407</v>
      </c>
      <c r="P21" s="186">
        <f t="shared" ref="P21" si="60">(O21-O20)</f>
        <v>79</v>
      </c>
      <c r="R21" s="172">
        <f t="shared" si="0"/>
        <v>525.15819999999985</v>
      </c>
      <c r="S21" s="109">
        <f t="shared" si="8"/>
        <v>148.30000000000001</v>
      </c>
    </row>
    <row r="22" spans="1:19" s="82" customFormat="1" ht="39.950000000000003" customHeight="1">
      <c r="A22" s="149">
        <v>44332</v>
      </c>
      <c r="B22" s="85"/>
      <c r="C22" s="86">
        <v>210609</v>
      </c>
      <c r="D22" s="186">
        <f t="shared" si="1"/>
        <v>191</v>
      </c>
      <c r="E22" s="86">
        <v>212682</v>
      </c>
      <c r="F22" s="186">
        <f>(E22-E21)</f>
        <v>325.5</v>
      </c>
      <c r="G22" s="86">
        <v>6532.6581999999999</v>
      </c>
      <c r="H22" s="186">
        <f t="shared" ref="H22" si="61">(G22-G21)</f>
        <v>10</v>
      </c>
      <c r="I22" s="86">
        <v>13513</v>
      </c>
      <c r="J22" s="186">
        <f t="shared" ref="J22" si="62">(I22-I21)</f>
        <v>9</v>
      </c>
      <c r="K22" s="86">
        <v>149441</v>
      </c>
      <c r="L22" s="78">
        <f t="shared" ref="L22" si="63">(K22-K21)</f>
        <v>155</v>
      </c>
      <c r="M22" s="186">
        <f t="shared" si="5"/>
        <v>85.25</v>
      </c>
      <c r="N22" s="186">
        <f t="shared" si="6"/>
        <v>69.75</v>
      </c>
      <c r="O22" s="86">
        <v>108486</v>
      </c>
      <c r="P22" s="186">
        <f t="shared" ref="P22" si="64">(O22-O21)</f>
        <v>79</v>
      </c>
      <c r="R22" s="172">
        <f t="shared" si="0"/>
        <v>526.5</v>
      </c>
      <c r="S22" s="109">
        <f t="shared" si="8"/>
        <v>148.75</v>
      </c>
    </row>
    <row r="23" spans="1:19" s="82" customFormat="1" ht="39.950000000000003" customHeight="1">
      <c r="A23" s="149">
        <v>44333</v>
      </c>
      <c r="B23" s="85"/>
      <c r="C23" s="86">
        <v>210771</v>
      </c>
      <c r="D23" s="186">
        <f t="shared" si="1"/>
        <v>162</v>
      </c>
      <c r="E23" s="86">
        <v>212999</v>
      </c>
      <c r="F23" s="186">
        <f>(E23-E22)</f>
        <v>317</v>
      </c>
      <c r="G23" s="86">
        <v>6528.3666999999996</v>
      </c>
      <c r="H23" s="186">
        <f t="shared" ref="H23" si="65">(G23-G22)</f>
        <v>-4.2915000000002692</v>
      </c>
      <c r="I23" s="86">
        <v>13520</v>
      </c>
      <c r="J23" s="186">
        <f t="shared" ref="J23" si="66">(I23-I22)</f>
        <v>7</v>
      </c>
      <c r="K23" s="86">
        <v>149607</v>
      </c>
      <c r="L23" s="78">
        <f t="shared" ref="L23" si="67">(K23-K22)</f>
        <v>166</v>
      </c>
      <c r="M23" s="186">
        <f t="shared" si="5"/>
        <v>91.300000000000011</v>
      </c>
      <c r="N23" s="186">
        <f t="shared" si="6"/>
        <v>74.7</v>
      </c>
      <c r="O23" s="86">
        <v>108562</v>
      </c>
      <c r="P23" s="186">
        <f t="shared" ref="P23" si="68">(O23-O22)</f>
        <v>76</v>
      </c>
      <c r="R23" s="172">
        <f t="shared" si="0"/>
        <v>474.70849999999973</v>
      </c>
      <c r="S23" s="109">
        <f t="shared" si="8"/>
        <v>150.69999999999999</v>
      </c>
    </row>
    <row r="24" spans="1:19" s="82" customFormat="1" ht="39.950000000000003" customHeight="1">
      <c r="A24" s="149">
        <v>44334</v>
      </c>
      <c r="B24" s="85"/>
      <c r="C24" s="86">
        <v>210937</v>
      </c>
      <c r="D24" s="186">
        <f t="shared" si="1"/>
        <v>166</v>
      </c>
      <c r="E24" s="86">
        <v>213281</v>
      </c>
      <c r="F24" s="186">
        <f t="shared" si="1"/>
        <v>282</v>
      </c>
      <c r="G24" s="86">
        <v>6533.7267000000002</v>
      </c>
      <c r="H24" s="186">
        <f t="shared" ref="H24" si="69">(G24-G23)</f>
        <v>5.3600000000005821</v>
      </c>
      <c r="I24" s="86">
        <v>13529</v>
      </c>
      <c r="J24" s="186">
        <f t="shared" ref="J24" si="70">(I24-I23)</f>
        <v>9</v>
      </c>
      <c r="K24" s="86">
        <v>149784</v>
      </c>
      <c r="L24" s="78">
        <f t="shared" ref="L24" si="71">(K24-K23)</f>
        <v>177</v>
      </c>
      <c r="M24" s="186">
        <f t="shared" si="5"/>
        <v>97.350000000000009</v>
      </c>
      <c r="N24" s="186">
        <f t="shared" si="6"/>
        <v>79.650000000000006</v>
      </c>
      <c r="O24" s="86">
        <v>108641</v>
      </c>
      <c r="P24" s="186">
        <f t="shared" ref="P24" si="72">(O24-O23)</f>
        <v>79</v>
      </c>
      <c r="R24" s="172">
        <f t="shared" si="0"/>
        <v>453.36000000000058</v>
      </c>
      <c r="S24" s="109">
        <f t="shared" si="8"/>
        <v>158.65</v>
      </c>
    </row>
    <row r="25" spans="1:19" s="82" customFormat="1" ht="39.950000000000003" customHeight="1">
      <c r="A25" s="149">
        <v>44335</v>
      </c>
      <c r="B25" s="85"/>
      <c r="C25" s="86">
        <v>211146</v>
      </c>
      <c r="D25" s="186">
        <f t="shared" si="1"/>
        <v>209</v>
      </c>
      <c r="E25" s="86">
        <v>213503</v>
      </c>
      <c r="F25" s="186">
        <f t="shared" si="1"/>
        <v>222</v>
      </c>
      <c r="G25" s="86">
        <v>6538.9989999999998</v>
      </c>
      <c r="H25" s="186">
        <f t="shared" ref="H25" si="73">(G25-G24)</f>
        <v>5.2722999999996318</v>
      </c>
      <c r="I25" s="86">
        <v>13557</v>
      </c>
      <c r="J25" s="186">
        <f t="shared" ref="J25" si="74">(I25-I24)</f>
        <v>28</v>
      </c>
      <c r="K25" s="86">
        <v>149928</v>
      </c>
      <c r="L25" s="78">
        <f t="shared" ref="L25" si="75">(K25-K24)</f>
        <v>144</v>
      </c>
      <c r="M25" s="186">
        <f t="shared" si="5"/>
        <v>79.2</v>
      </c>
      <c r="N25" s="186">
        <f t="shared" si="6"/>
        <v>64.8</v>
      </c>
      <c r="O25" s="86">
        <v>108716</v>
      </c>
      <c r="P25" s="186">
        <f t="shared" ref="P25" si="76">(O25-O24)</f>
        <v>75</v>
      </c>
      <c r="R25" s="172">
        <f t="shared" si="0"/>
        <v>436.27229999999963</v>
      </c>
      <c r="S25" s="109">
        <f t="shared" si="8"/>
        <v>139.80000000000001</v>
      </c>
    </row>
    <row r="26" spans="1:19" ht="39.950000000000003" customHeight="1">
      <c r="A26" s="149">
        <v>44336</v>
      </c>
      <c r="B26" s="85"/>
      <c r="C26" s="86">
        <v>211340</v>
      </c>
      <c r="D26" s="186">
        <f t="shared" si="1"/>
        <v>194</v>
      </c>
      <c r="E26" s="86">
        <v>213842</v>
      </c>
      <c r="F26" s="186">
        <f t="shared" si="1"/>
        <v>339</v>
      </c>
      <c r="G26" s="86">
        <v>6543.2629999999999</v>
      </c>
      <c r="H26" s="186">
        <f t="shared" ref="H26" si="77">(G26-G25)</f>
        <v>4.2640000000001237</v>
      </c>
      <c r="I26" s="86">
        <v>13558</v>
      </c>
      <c r="J26" s="186">
        <f t="shared" ref="J26" si="78">(I26-I25)</f>
        <v>1</v>
      </c>
      <c r="K26" s="86">
        <v>150116</v>
      </c>
      <c r="L26" s="78">
        <f t="shared" ref="L26" si="79">(K26-K25)</f>
        <v>188</v>
      </c>
      <c r="M26" s="186">
        <f t="shared" si="5"/>
        <v>103.4</v>
      </c>
      <c r="N26" s="186">
        <f t="shared" si="6"/>
        <v>84.600000000000009</v>
      </c>
      <c r="O26" s="86">
        <v>108799</v>
      </c>
      <c r="P26" s="186">
        <f t="shared" ref="P26" si="80">(O26-O25)</f>
        <v>83</v>
      </c>
      <c r="R26" s="110">
        <f t="shared" si="0"/>
        <v>537.26400000000012</v>
      </c>
      <c r="S26" s="101">
        <f t="shared" si="8"/>
        <v>167.60000000000002</v>
      </c>
    </row>
    <row r="27" spans="1:19" ht="39.950000000000003" customHeight="1">
      <c r="A27" s="149">
        <v>44337</v>
      </c>
      <c r="B27" s="85"/>
      <c r="C27" s="86">
        <v>211511</v>
      </c>
      <c r="D27" s="186">
        <f t="shared" si="1"/>
        <v>171</v>
      </c>
      <c r="E27" s="86">
        <v>214098</v>
      </c>
      <c r="F27" s="186">
        <f t="shared" si="1"/>
        <v>256</v>
      </c>
      <c r="G27" s="86">
        <v>6548.692</v>
      </c>
      <c r="H27" s="186">
        <f t="shared" ref="H27" si="81">(G27-G26)</f>
        <v>5.4290000000000873</v>
      </c>
      <c r="I27" s="86">
        <v>13561</v>
      </c>
      <c r="J27" s="186">
        <f t="shared" ref="J27" si="82">(I27-I26)</f>
        <v>3</v>
      </c>
      <c r="K27" s="86">
        <v>150283</v>
      </c>
      <c r="L27" s="78">
        <f t="shared" ref="L27" si="83">(K27-K26)</f>
        <v>167</v>
      </c>
      <c r="M27" s="186">
        <f t="shared" si="5"/>
        <v>91.850000000000009</v>
      </c>
      <c r="N27" s="186">
        <f t="shared" si="6"/>
        <v>75.150000000000006</v>
      </c>
      <c r="O27" s="86">
        <v>108898</v>
      </c>
      <c r="P27" s="186">
        <f t="shared" ref="P27" si="84">(O27-O26)</f>
        <v>99</v>
      </c>
      <c r="R27" s="110">
        <f t="shared" si="0"/>
        <v>432.42900000000009</v>
      </c>
      <c r="S27" s="101">
        <f t="shared" si="8"/>
        <v>174.15</v>
      </c>
    </row>
    <row r="28" spans="1:19" ht="39.950000000000003" customHeight="1">
      <c r="A28" s="149">
        <v>44338</v>
      </c>
      <c r="B28" s="85"/>
      <c r="C28" s="86">
        <v>211672</v>
      </c>
      <c r="D28" s="186">
        <f t="shared" si="1"/>
        <v>161</v>
      </c>
      <c r="E28" s="86">
        <v>214395</v>
      </c>
      <c r="F28" s="186">
        <f t="shared" si="1"/>
        <v>297</v>
      </c>
      <c r="G28" s="86">
        <v>6553.8908000000001</v>
      </c>
      <c r="H28" s="186">
        <f t="shared" ref="H28" si="85">(G28-G27)</f>
        <v>5.1988000000001193</v>
      </c>
      <c r="I28" s="86">
        <v>13576</v>
      </c>
      <c r="J28" s="186">
        <f t="shared" ref="J28" si="86">(I28-I27)</f>
        <v>15</v>
      </c>
      <c r="K28" s="86">
        <v>150441</v>
      </c>
      <c r="L28" s="78">
        <f t="shared" ref="L28" si="87">(K28-K27)</f>
        <v>158</v>
      </c>
      <c r="M28" s="186">
        <f t="shared" si="5"/>
        <v>86.9</v>
      </c>
      <c r="N28" s="186">
        <f t="shared" si="6"/>
        <v>71.100000000000009</v>
      </c>
      <c r="O28" s="86">
        <v>108939</v>
      </c>
      <c r="P28" s="186">
        <f t="shared" ref="P28" si="88">(O28-O27)</f>
        <v>41</v>
      </c>
      <c r="R28" s="110">
        <f t="shared" si="0"/>
        <v>463.19880000000012</v>
      </c>
      <c r="S28" s="101">
        <f t="shared" si="8"/>
        <v>112.10000000000001</v>
      </c>
    </row>
    <row r="29" spans="1:19" ht="39.950000000000003" customHeight="1">
      <c r="A29" s="149">
        <v>44339</v>
      </c>
      <c r="B29" s="85"/>
      <c r="C29" s="86">
        <v>211875</v>
      </c>
      <c r="D29" s="186">
        <f t="shared" si="1"/>
        <v>203</v>
      </c>
      <c r="E29" s="86">
        <v>214782</v>
      </c>
      <c r="F29" s="186">
        <f t="shared" si="1"/>
        <v>387</v>
      </c>
      <c r="G29" s="86">
        <v>6562.1251000000002</v>
      </c>
      <c r="H29" s="186">
        <f t="shared" ref="H29" si="89">(G29-G28)</f>
        <v>8.2343000000000757</v>
      </c>
      <c r="I29" s="86">
        <v>13579</v>
      </c>
      <c r="J29" s="186">
        <f t="shared" ref="J29" si="90">(I29-I28)</f>
        <v>3</v>
      </c>
      <c r="K29" s="86">
        <v>150608</v>
      </c>
      <c r="L29" s="78">
        <f t="shared" ref="L29" si="91">(K29-K28)</f>
        <v>167</v>
      </c>
      <c r="M29" s="186">
        <f t="shared" si="5"/>
        <v>91.850000000000009</v>
      </c>
      <c r="N29" s="186">
        <f t="shared" si="6"/>
        <v>75.150000000000006</v>
      </c>
      <c r="O29" s="86">
        <v>109015</v>
      </c>
      <c r="P29" s="186">
        <f t="shared" ref="P29" si="92">(O29-O28)</f>
        <v>76</v>
      </c>
      <c r="R29" s="110">
        <f t="shared" si="0"/>
        <v>598.23430000000008</v>
      </c>
      <c r="S29" s="101">
        <f t="shared" si="8"/>
        <v>151.15</v>
      </c>
    </row>
    <row r="30" spans="1:19" ht="39.950000000000003" customHeight="1">
      <c r="A30" s="149">
        <v>44340</v>
      </c>
      <c r="B30" s="85"/>
      <c r="C30" s="86">
        <v>212087</v>
      </c>
      <c r="D30" s="186">
        <f t="shared" si="1"/>
        <v>212</v>
      </c>
      <c r="E30" s="86">
        <v>215032</v>
      </c>
      <c r="F30" s="186">
        <f t="shared" si="1"/>
        <v>250</v>
      </c>
      <c r="G30" s="86">
        <v>6566</v>
      </c>
      <c r="H30" s="186">
        <f t="shared" ref="H30" si="93">(G30-G29)</f>
        <v>3.8748999999997977</v>
      </c>
      <c r="I30" s="86">
        <f>(I29+I31)/2</f>
        <v>13599</v>
      </c>
      <c r="J30" s="186">
        <f t="shared" ref="J30" si="94">(I30-I29)</f>
        <v>20</v>
      </c>
      <c r="K30" s="86">
        <v>150766</v>
      </c>
      <c r="L30" s="78">
        <f t="shared" ref="L30" si="95">(K30-K29)</f>
        <v>158</v>
      </c>
      <c r="M30" s="186">
        <f t="shared" si="5"/>
        <v>86.9</v>
      </c>
      <c r="N30" s="186">
        <f t="shared" si="6"/>
        <v>71.100000000000009</v>
      </c>
      <c r="O30" s="86">
        <f>(O29+O31)/2</f>
        <v>109103</v>
      </c>
      <c r="P30" s="186">
        <f t="shared" ref="P30" si="96">(O30-O29)</f>
        <v>88</v>
      </c>
      <c r="R30" s="110">
        <f t="shared" si="0"/>
        <v>465.8748999999998</v>
      </c>
      <c r="S30" s="101">
        <f t="shared" si="8"/>
        <v>159.10000000000002</v>
      </c>
    </row>
    <row r="31" spans="1:19" ht="39.950000000000003" customHeight="1">
      <c r="A31" s="149">
        <v>44341</v>
      </c>
      <c r="B31" s="85"/>
      <c r="C31" s="86">
        <v>212209</v>
      </c>
      <c r="D31" s="186">
        <f t="shared" si="1"/>
        <v>122</v>
      </c>
      <c r="E31" s="86">
        <v>215309</v>
      </c>
      <c r="F31" s="186">
        <f t="shared" si="1"/>
        <v>277</v>
      </c>
      <c r="G31" s="86">
        <v>6570</v>
      </c>
      <c r="H31" s="186">
        <f t="shared" ref="H31" si="97">(G31-G30)</f>
        <v>4</v>
      </c>
      <c r="I31" s="86">
        <v>13619</v>
      </c>
      <c r="J31" s="186">
        <f t="shared" ref="J31" si="98">(I31-I30)</f>
        <v>20</v>
      </c>
      <c r="K31" s="86">
        <v>150933</v>
      </c>
      <c r="L31" s="78">
        <f t="shared" ref="L31" si="99">(K31-K30)</f>
        <v>167</v>
      </c>
      <c r="M31" s="186">
        <f t="shared" si="5"/>
        <v>91.850000000000009</v>
      </c>
      <c r="N31" s="186">
        <f t="shared" si="6"/>
        <v>75.150000000000006</v>
      </c>
      <c r="O31" s="86">
        <v>109191</v>
      </c>
      <c r="P31" s="186">
        <f t="shared" ref="P31" si="100">(O31-O30)</f>
        <v>88</v>
      </c>
      <c r="R31" s="110">
        <f t="shared" si="0"/>
        <v>403</v>
      </c>
      <c r="S31" s="101">
        <f t="shared" si="8"/>
        <v>163.15</v>
      </c>
    </row>
    <row r="32" spans="1:19" ht="39.950000000000003" customHeight="1">
      <c r="A32" s="149">
        <v>44342</v>
      </c>
      <c r="B32" s="85"/>
      <c r="C32" s="86">
        <v>212377</v>
      </c>
      <c r="D32" s="186">
        <f t="shared" si="1"/>
        <v>168</v>
      </c>
      <c r="E32" s="86">
        <v>215587</v>
      </c>
      <c r="F32" s="186">
        <f t="shared" si="1"/>
        <v>278</v>
      </c>
      <c r="G32" s="86">
        <v>6573.5</v>
      </c>
      <c r="H32" s="186">
        <f t="shared" ref="H32" si="101">(G32-G31)</f>
        <v>3.5</v>
      </c>
      <c r="I32" s="86">
        <v>13626</v>
      </c>
      <c r="J32" s="186">
        <f t="shared" ref="J32" si="102">(I32-I31)</f>
        <v>7</v>
      </c>
      <c r="K32" s="86">
        <v>151087</v>
      </c>
      <c r="L32" s="78">
        <f t="shared" ref="L32" si="103">(K32-K31)</f>
        <v>154</v>
      </c>
      <c r="M32" s="186">
        <f t="shared" si="5"/>
        <v>84.7</v>
      </c>
      <c r="N32" s="186">
        <f t="shared" si="6"/>
        <v>69.3</v>
      </c>
      <c r="O32" s="86">
        <v>109257</v>
      </c>
      <c r="P32" s="186">
        <f t="shared" ref="P32" si="104">(O32-O31)</f>
        <v>66</v>
      </c>
      <c r="R32" s="110">
        <f t="shared" si="0"/>
        <v>449.5</v>
      </c>
      <c r="S32" s="101">
        <f t="shared" si="8"/>
        <v>135.30000000000001</v>
      </c>
    </row>
    <row r="33" spans="1:19" ht="39.950000000000003" customHeight="1">
      <c r="A33" s="149">
        <v>44343</v>
      </c>
      <c r="B33" s="85"/>
      <c r="C33" s="86">
        <v>212528</v>
      </c>
      <c r="D33" s="186">
        <f t="shared" si="1"/>
        <v>151</v>
      </c>
      <c r="E33" s="86">
        <v>215858</v>
      </c>
      <c r="F33" s="186">
        <f t="shared" si="1"/>
        <v>271</v>
      </c>
      <c r="G33" s="86">
        <v>6574.5</v>
      </c>
      <c r="H33" s="186">
        <f t="shared" ref="H33" si="105">(G33-G32)</f>
        <v>1</v>
      </c>
      <c r="I33" s="86">
        <v>13635</v>
      </c>
      <c r="J33" s="186">
        <f t="shared" ref="J33" si="106">(I33-I32)</f>
        <v>9</v>
      </c>
      <c r="K33" s="86">
        <v>151243</v>
      </c>
      <c r="L33" s="78">
        <f t="shared" ref="L33" si="107">(K33-K32)</f>
        <v>156</v>
      </c>
      <c r="M33" s="186">
        <f t="shared" si="5"/>
        <v>85.800000000000011</v>
      </c>
      <c r="N33" s="186">
        <f t="shared" si="6"/>
        <v>70.2</v>
      </c>
      <c r="O33" s="86">
        <v>109351</v>
      </c>
      <c r="P33" s="186">
        <f t="shared" ref="P33" si="108">(O33-O32)</f>
        <v>94</v>
      </c>
      <c r="R33" s="110">
        <f t="shared" si="0"/>
        <v>423</v>
      </c>
      <c r="S33" s="101">
        <f t="shared" si="8"/>
        <v>164.2</v>
      </c>
    </row>
    <row r="34" spans="1:19" ht="39.950000000000003" customHeight="1">
      <c r="A34" s="149">
        <v>44344</v>
      </c>
      <c r="B34" s="85"/>
      <c r="C34" s="86">
        <v>212686</v>
      </c>
      <c r="D34" s="186">
        <f t="shared" si="1"/>
        <v>158</v>
      </c>
      <c r="E34" s="86">
        <v>216161</v>
      </c>
      <c r="F34" s="186">
        <f t="shared" si="1"/>
        <v>303</v>
      </c>
      <c r="G34" s="86">
        <v>6578</v>
      </c>
      <c r="H34" s="186">
        <f t="shared" ref="H34:H36" si="109">(G34-G33)</f>
        <v>3.5</v>
      </c>
      <c r="I34" s="86">
        <v>13647</v>
      </c>
      <c r="J34" s="186">
        <f t="shared" ref="J34:J36" si="110">(I34-I33)</f>
        <v>12</v>
      </c>
      <c r="K34" s="86">
        <v>151409</v>
      </c>
      <c r="L34" s="78">
        <f t="shared" ref="L34" si="111">(K34-K33)</f>
        <v>166</v>
      </c>
      <c r="M34" s="186">
        <f t="shared" si="5"/>
        <v>91.300000000000011</v>
      </c>
      <c r="N34" s="186">
        <f t="shared" si="6"/>
        <v>74.7</v>
      </c>
      <c r="O34" s="86">
        <v>109214</v>
      </c>
      <c r="P34" s="186">
        <f t="shared" ref="P34:P36" si="112">(O34-O33)</f>
        <v>-137</v>
      </c>
      <c r="R34" s="110">
        <f t="shared" si="0"/>
        <v>464.5</v>
      </c>
      <c r="S34" s="101">
        <f t="shared" si="8"/>
        <v>-62.3</v>
      </c>
    </row>
    <row r="35" spans="1:19" ht="39.950000000000003" customHeight="1">
      <c r="A35" s="149">
        <v>44345</v>
      </c>
      <c r="B35" s="85"/>
      <c r="C35" s="86"/>
      <c r="D35" s="186">
        <f t="shared" si="1"/>
        <v>-212686</v>
      </c>
      <c r="E35" s="86"/>
      <c r="F35" s="186">
        <f t="shared" si="1"/>
        <v>-216161</v>
      </c>
      <c r="G35" s="86"/>
      <c r="H35" s="186">
        <f t="shared" si="109"/>
        <v>-6578</v>
      </c>
      <c r="I35" s="86"/>
      <c r="J35" s="186">
        <f t="shared" si="110"/>
        <v>-13647</v>
      </c>
      <c r="K35" s="86"/>
      <c r="L35" s="78">
        <f t="shared" ref="L35:L36" si="113">(K35-K34)</f>
        <v>-151409</v>
      </c>
      <c r="M35" s="186">
        <f t="shared" ref="M35:M36" si="114">L35*55%</f>
        <v>-83274.950000000012</v>
      </c>
      <c r="N35" s="186">
        <f t="shared" ref="N35:N36" si="115">L35*45%</f>
        <v>-68134.05</v>
      </c>
      <c r="O35" s="86"/>
      <c r="P35" s="186">
        <f t="shared" si="112"/>
        <v>-109214</v>
      </c>
      <c r="R35" s="110">
        <f t="shared" ref="R35:R36" si="116">SUM(D35,F35,M99,H35)</f>
        <v>-435425</v>
      </c>
      <c r="S35" s="101">
        <f t="shared" ref="S35:S36" si="117">SUM(N35,P35)</f>
        <v>-177348.05</v>
      </c>
    </row>
    <row r="36" spans="1:19" ht="39.950000000000003" customHeight="1">
      <c r="A36" s="149">
        <v>44346</v>
      </c>
      <c r="B36" s="85"/>
      <c r="C36" s="86"/>
      <c r="D36" s="186">
        <f t="shared" ref="D36" si="118">(C36-C35)</f>
        <v>0</v>
      </c>
      <c r="E36" s="86"/>
      <c r="F36" s="186">
        <f t="shared" ref="F36" si="119">(E36-E35)</f>
        <v>0</v>
      </c>
      <c r="G36" s="86"/>
      <c r="H36" s="186">
        <f t="shared" si="109"/>
        <v>0</v>
      </c>
      <c r="I36" s="86"/>
      <c r="J36" s="186">
        <f t="shared" si="110"/>
        <v>0</v>
      </c>
      <c r="K36" s="86"/>
      <c r="L36" s="78">
        <f t="shared" si="113"/>
        <v>0</v>
      </c>
      <c r="M36" s="186">
        <f t="shared" si="114"/>
        <v>0</v>
      </c>
      <c r="N36" s="186">
        <f t="shared" si="115"/>
        <v>0</v>
      </c>
      <c r="O36" s="86"/>
      <c r="P36" s="186">
        <f t="shared" si="112"/>
        <v>0</v>
      </c>
      <c r="R36" s="110">
        <f t="shared" si="116"/>
        <v>0</v>
      </c>
      <c r="S36" s="101">
        <f t="shared" si="117"/>
        <v>0</v>
      </c>
    </row>
    <row r="37" spans="1:19" ht="39.950000000000003" customHeight="1">
      <c r="A37" s="149">
        <v>44347</v>
      </c>
      <c r="B37" s="16"/>
      <c r="C37" s="87"/>
      <c r="D37" s="78"/>
      <c r="E37" s="76"/>
      <c r="F37" s="78"/>
      <c r="G37" s="76"/>
      <c r="H37" s="79"/>
      <c r="I37" s="76"/>
      <c r="J37" s="78"/>
      <c r="K37" s="76"/>
      <c r="L37" s="78"/>
      <c r="M37" s="79"/>
      <c r="N37" s="79"/>
      <c r="O37" s="76"/>
      <c r="P37" s="78"/>
      <c r="R37" s="110"/>
      <c r="S37" s="101"/>
    </row>
    <row r="38" spans="1:19" s="22" customFormat="1" ht="39.950000000000003" customHeight="1">
      <c r="A38" s="21"/>
      <c r="D38" s="23">
        <f>SUM(D7:D37)</f>
        <v>-208178</v>
      </c>
      <c r="F38" s="23">
        <f>SUM(F7:F37)</f>
        <v>-208141</v>
      </c>
      <c r="H38" s="23">
        <f>SUM(H7:H37)</f>
        <v>-6455.5978999999998</v>
      </c>
      <c r="J38" s="23">
        <f>SUM(J7:J37)</f>
        <v>-13342</v>
      </c>
      <c r="L38" s="23">
        <f>SUM(L7:L37)</f>
        <v>-146995</v>
      </c>
      <c r="M38" s="23"/>
      <c r="N38" s="23"/>
      <c r="P38" s="23">
        <f>SUM(P7:P37)</f>
        <v>-107027</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R26" activePane="bottomRight" state="frozen"/>
      <selection pane="topRight" activeCell="C1" sqref="C1"/>
      <selection pane="bottomLeft" activeCell="A8" sqref="A8"/>
      <selection pane="bottomRight" activeCell="BG37" sqref="BG37"/>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3"/>
      <c r="B1" s="113"/>
      <c r="C1" s="219" t="s">
        <v>66</v>
      </c>
      <c r="D1" s="219"/>
      <c r="E1" s="219"/>
      <c r="F1" s="219"/>
      <c r="G1" s="219" t="s">
        <v>65</v>
      </c>
      <c r="H1" s="219"/>
      <c r="I1" s="219" t="s">
        <v>65</v>
      </c>
      <c r="J1" s="219"/>
      <c r="K1" s="219" t="s">
        <v>65</v>
      </c>
      <c r="L1" s="219"/>
      <c r="M1" s="219" t="s">
        <v>65</v>
      </c>
      <c r="N1" s="219"/>
      <c r="O1" s="219" t="s">
        <v>65</v>
      </c>
      <c r="P1" s="219"/>
      <c r="Q1" s="205" t="s">
        <v>65</v>
      </c>
      <c r="R1" s="206"/>
      <c r="S1" s="205" t="s">
        <v>65</v>
      </c>
      <c r="T1" s="206"/>
      <c r="U1" s="205" t="s">
        <v>65</v>
      </c>
      <c r="V1" s="206"/>
      <c r="W1" s="205" t="s">
        <v>65</v>
      </c>
      <c r="X1" s="207"/>
      <c r="Y1" s="219" t="s">
        <v>65</v>
      </c>
      <c r="Z1" s="219"/>
      <c r="AA1" s="205" t="s">
        <v>65</v>
      </c>
      <c r="AB1" s="206"/>
      <c r="AC1" s="219" t="s">
        <v>65</v>
      </c>
      <c r="AD1" s="219"/>
      <c r="AE1" s="219" t="s">
        <v>65</v>
      </c>
      <c r="AF1" s="219"/>
      <c r="AG1" s="219" t="s">
        <v>65</v>
      </c>
      <c r="AH1" s="219"/>
      <c r="AI1" s="219" t="s">
        <v>65</v>
      </c>
      <c r="AJ1" s="219"/>
      <c r="AK1" s="219" t="s">
        <v>65</v>
      </c>
      <c r="AL1" s="219"/>
      <c r="AM1" s="219" t="s">
        <v>67</v>
      </c>
      <c r="AN1" s="219"/>
      <c r="AO1" s="219" t="s">
        <v>67</v>
      </c>
      <c r="AP1" s="219"/>
      <c r="AQ1" s="219" t="s">
        <v>67</v>
      </c>
      <c r="AR1" s="219"/>
      <c r="AS1" s="219" t="s">
        <v>67</v>
      </c>
      <c r="AT1" s="219"/>
      <c r="AU1" s="219" t="s">
        <v>67</v>
      </c>
      <c r="AV1" s="219"/>
      <c r="AW1" s="219" t="s">
        <v>67</v>
      </c>
      <c r="AX1" s="219"/>
      <c r="AY1" s="219" t="s">
        <v>67</v>
      </c>
      <c r="AZ1" s="219"/>
      <c r="BA1" s="219" t="s">
        <v>67</v>
      </c>
      <c r="BB1" s="219"/>
      <c r="BC1" s="219" t="s">
        <v>67</v>
      </c>
      <c r="BD1" s="219"/>
      <c r="BE1" s="219" t="s">
        <v>67</v>
      </c>
      <c r="BF1" s="219"/>
      <c r="BH1" s="33"/>
      <c r="BI1" s="33"/>
    </row>
    <row r="2" spans="1:61" s="25" customFormat="1" ht="75.75" customHeight="1">
      <c r="A2" s="50"/>
      <c r="B2" s="50"/>
      <c r="C2" s="235" t="s">
        <v>117</v>
      </c>
      <c r="D2" s="235"/>
      <c r="E2" s="235"/>
      <c r="F2" s="235"/>
      <c r="G2" s="235" t="s">
        <v>118</v>
      </c>
      <c r="H2" s="235"/>
      <c r="I2" s="235" t="s">
        <v>119</v>
      </c>
      <c r="J2" s="235"/>
      <c r="K2" s="235" t="s">
        <v>120</v>
      </c>
      <c r="L2" s="235"/>
      <c r="M2" s="235" t="s">
        <v>121</v>
      </c>
      <c r="N2" s="235"/>
      <c r="O2" s="233" t="s">
        <v>122</v>
      </c>
      <c r="P2" s="234"/>
      <c r="Q2" s="233" t="s">
        <v>123</v>
      </c>
      <c r="R2" s="234"/>
      <c r="S2" s="233" t="s">
        <v>124</v>
      </c>
      <c r="T2" s="234"/>
      <c r="U2" s="233" t="s">
        <v>125</v>
      </c>
      <c r="V2" s="234"/>
      <c r="W2" s="233" t="s">
        <v>126</v>
      </c>
      <c r="X2" s="236"/>
      <c r="Y2" s="235" t="s">
        <v>127</v>
      </c>
      <c r="Z2" s="235"/>
      <c r="AA2" s="233" t="s">
        <v>128</v>
      </c>
      <c r="AB2" s="234"/>
      <c r="AC2" s="235" t="s">
        <v>129</v>
      </c>
      <c r="AD2" s="235"/>
      <c r="AE2" s="235" t="s">
        <v>130</v>
      </c>
      <c r="AF2" s="235"/>
      <c r="AG2" s="235" t="s">
        <v>130</v>
      </c>
      <c r="AH2" s="235"/>
      <c r="AI2" s="235" t="s">
        <v>130</v>
      </c>
      <c r="AJ2" s="235"/>
      <c r="AK2" s="235" t="s">
        <v>130</v>
      </c>
      <c r="AL2" s="235"/>
      <c r="AM2" s="235" t="s">
        <v>131</v>
      </c>
      <c r="AN2" s="235"/>
      <c r="AO2" s="235" t="s">
        <v>132</v>
      </c>
      <c r="AP2" s="235"/>
      <c r="AQ2" s="235" t="s">
        <v>133</v>
      </c>
      <c r="AR2" s="235"/>
      <c r="AS2" s="235" t="s">
        <v>133</v>
      </c>
      <c r="AT2" s="235"/>
      <c r="AU2" s="235" t="s">
        <v>134</v>
      </c>
      <c r="AV2" s="235"/>
      <c r="AW2" s="235" t="s">
        <v>135</v>
      </c>
      <c r="AX2" s="235"/>
      <c r="AY2" s="235" t="s">
        <v>136</v>
      </c>
      <c r="AZ2" s="235"/>
      <c r="BA2" s="235" t="s">
        <v>136</v>
      </c>
      <c r="BB2" s="235"/>
      <c r="BC2" s="235" t="s">
        <v>137</v>
      </c>
      <c r="BD2" s="235"/>
      <c r="BE2" s="235" t="s">
        <v>137</v>
      </c>
      <c r="BF2" s="235"/>
      <c r="BH2" s="33"/>
      <c r="BI2" s="33"/>
    </row>
    <row r="3" spans="1:61" s="10" customFormat="1" ht="87.75" customHeight="1">
      <c r="A3" s="111"/>
      <c r="B3" s="111"/>
      <c r="C3" s="240" t="s">
        <v>138</v>
      </c>
      <c r="D3" s="241"/>
      <c r="E3" s="111" t="s">
        <v>65</v>
      </c>
      <c r="F3" s="113" t="s">
        <v>67</v>
      </c>
      <c r="G3" s="239" t="s">
        <v>139</v>
      </c>
      <c r="H3" s="238"/>
      <c r="I3" s="239" t="s">
        <v>139</v>
      </c>
      <c r="J3" s="238"/>
      <c r="K3" s="239" t="s">
        <v>139</v>
      </c>
      <c r="L3" s="238"/>
      <c r="M3" s="242" t="s">
        <v>140</v>
      </c>
      <c r="N3" s="243"/>
      <c r="O3" s="239" t="s">
        <v>139</v>
      </c>
      <c r="P3" s="238"/>
      <c r="Q3" s="239" t="s">
        <v>139</v>
      </c>
      <c r="R3" s="238"/>
      <c r="S3" s="246" t="s">
        <v>139</v>
      </c>
      <c r="T3" s="247"/>
      <c r="U3" s="239" t="s">
        <v>139</v>
      </c>
      <c r="V3" s="238"/>
      <c r="W3" s="239" t="s">
        <v>139</v>
      </c>
      <c r="X3" s="238"/>
      <c r="Y3" s="237" t="s">
        <v>141</v>
      </c>
      <c r="Z3" s="238"/>
      <c r="AA3" s="239" t="s">
        <v>142</v>
      </c>
      <c r="AB3" s="238"/>
      <c r="AC3" s="239" t="s">
        <v>143</v>
      </c>
      <c r="AD3" s="238"/>
      <c r="AE3" s="239" t="s">
        <v>143</v>
      </c>
      <c r="AF3" s="238"/>
      <c r="AG3" s="237" t="s">
        <v>144</v>
      </c>
      <c r="AH3" s="238"/>
      <c r="AI3" s="239" t="s">
        <v>145</v>
      </c>
      <c r="AJ3" s="238"/>
      <c r="AK3" s="237" t="s">
        <v>146</v>
      </c>
      <c r="AL3" s="238"/>
      <c r="AM3" s="239" t="s">
        <v>147</v>
      </c>
      <c r="AN3" s="238"/>
      <c r="AO3" s="239" t="s">
        <v>147</v>
      </c>
      <c r="AP3" s="238"/>
      <c r="AQ3" s="237" t="s">
        <v>148</v>
      </c>
      <c r="AR3" s="238"/>
      <c r="AS3" s="239" t="s">
        <v>149</v>
      </c>
      <c r="AT3" s="238"/>
      <c r="AU3" s="237" t="s">
        <v>150</v>
      </c>
      <c r="AV3" s="238"/>
      <c r="AW3" s="237" t="s">
        <v>150</v>
      </c>
      <c r="AX3" s="238"/>
      <c r="AY3" s="239" t="s">
        <v>145</v>
      </c>
      <c r="AZ3" s="238"/>
      <c r="BA3" s="237" t="s">
        <v>146</v>
      </c>
      <c r="BB3" s="238"/>
      <c r="BC3" s="239" t="s">
        <v>145</v>
      </c>
      <c r="BD3" s="238"/>
      <c r="BE3" s="237" t="s">
        <v>146</v>
      </c>
      <c r="BF3" s="238"/>
      <c r="BH3" s="33"/>
      <c r="BI3" s="33"/>
    </row>
    <row r="4" spans="1:61" s="25" customFormat="1" ht="50.1" customHeight="1">
      <c r="A4" s="111"/>
      <c r="B4" s="50"/>
      <c r="C4" s="211" t="s">
        <v>151</v>
      </c>
      <c r="D4" s="213"/>
      <c r="E4" s="244" t="s">
        <v>152</v>
      </c>
      <c r="F4" s="245"/>
      <c r="G4" s="211" t="s">
        <v>153</v>
      </c>
      <c r="H4" s="213"/>
      <c r="I4" s="211" t="s">
        <v>154</v>
      </c>
      <c r="J4" s="213"/>
      <c r="K4" s="211" t="s">
        <v>155</v>
      </c>
      <c r="L4" s="213"/>
      <c r="M4" s="211">
        <v>7092801222</v>
      </c>
      <c r="N4" s="213"/>
      <c r="O4" s="211" t="s">
        <v>156</v>
      </c>
      <c r="P4" s="212"/>
      <c r="Q4" s="211" t="s">
        <v>157</v>
      </c>
      <c r="R4" s="212"/>
      <c r="S4" s="211" t="s">
        <v>158</v>
      </c>
      <c r="T4" s="212"/>
      <c r="U4" s="211" t="s">
        <v>159</v>
      </c>
      <c r="V4" s="212"/>
      <c r="W4" s="211" t="s">
        <v>160</v>
      </c>
      <c r="X4" s="213"/>
      <c r="Y4" s="211" t="s">
        <v>161</v>
      </c>
      <c r="Z4" s="213"/>
      <c r="AA4" s="211" t="s">
        <v>162</v>
      </c>
      <c r="AB4" s="212"/>
      <c r="AC4" s="211" t="s">
        <v>163</v>
      </c>
      <c r="AD4" s="213"/>
      <c r="AE4" s="211" t="s">
        <v>164</v>
      </c>
      <c r="AF4" s="213"/>
      <c r="AG4" s="211" t="s">
        <v>165</v>
      </c>
      <c r="AH4" s="213"/>
      <c r="AI4" s="211">
        <v>7105826734</v>
      </c>
      <c r="AJ4" s="213"/>
      <c r="AK4" s="211">
        <v>7105825932</v>
      </c>
      <c r="AL4" s="213"/>
      <c r="AM4" s="211" t="s">
        <v>166</v>
      </c>
      <c r="AN4" s="213"/>
      <c r="AO4" s="211" t="s">
        <v>167</v>
      </c>
      <c r="AP4" s="213"/>
      <c r="AQ4" s="211" t="s">
        <v>168</v>
      </c>
      <c r="AR4" s="213"/>
      <c r="AS4" s="211" t="s">
        <v>169</v>
      </c>
      <c r="AT4" s="213"/>
      <c r="AU4" s="211" t="s">
        <v>170</v>
      </c>
      <c r="AV4" s="213"/>
      <c r="AW4" s="211" t="s">
        <v>171</v>
      </c>
      <c r="AX4" s="213"/>
      <c r="AY4" s="211">
        <v>7111912486</v>
      </c>
      <c r="AZ4" s="213"/>
      <c r="BA4" s="211">
        <v>7111911842</v>
      </c>
      <c r="BB4" s="213"/>
      <c r="BC4" s="211">
        <v>7111913281</v>
      </c>
      <c r="BD4" s="213"/>
      <c r="BE4" s="211">
        <v>7111912723</v>
      </c>
      <c r="BF4" s="213"/>
      <c r="BH4" s="220" t="s">
        <v>81</v>
      </c>
      <c r="BI4" s="220"/>
    </row>
    <row r="5" spans="1:61" s="25" customFormat="1" ht="50.1" customHeight="1">
      <c r="A5" s="50" t="s">
        <v>172</v>
      </c>
      <c r="B5" s="50"/>
      <c r="C5" s="211" t="s">
        <v>173</v>
      </c>
      <c r="D5" s="213"/>
      <c r="E5" s="83">
        <v>0.6</v>
      </c>
      <c r="F5" s="31">
        <v>0.4</v>
      </c>
      <c r="G5" s="211" t="s">
        <v>174</v>
      </c>
      <c r="H5" s="213"/>
      <c r="I5" s="211" t="s">
        <v>175</v>
      </c>
      <c r="J5" s="213"/>
      <c r="K5" s="211" t="s">
        <v>176</v>
      </c>
      <c r="L5" s="213"/>
      <c r="M5" s="211" t="s">
        <v>177</v>
      </c>
      <c r="N5" s="213"/>
      <c r="O5" s="211" t="s">
        <v>178</v>
      </c>
      <c r="P5" s="212"/>
      <c r="Q5" s="211" t="s">
        <v>179</v>
      </c>
      <c r="R5" s="212"/>
      <c r="S5" s="211" t="s">
        <v>180</v>
      </c>
      <c r="T5" s="212"/>
      <c r="U5" s="211" t="s">
        <v>181</v>
      </c>
      <c r="V5" s="212"/>
      <c r="W5" s="211" t="s">
        <v>182</v>
      </c>
      <c r="X5" s="213"/>
      <c r="Y5" s="211" t="s">
        <v>183</v>
      </c>
      <c r="Z5" s="213"/>
      <c r="AA5" s="211" t="s">
        <v>184</v>
      </c>
      <c r="AB5" s="212"/>
      <c r="AC5" s="211" t="s">
        <v>185</v>
      </c>
      <c r="AD5" s="213"/>
      <c r="AE5" s="211" t="s">
        <v>186</v>
      </c>
      <c r="AF5" s="213"/>
      <c r="AG5" s="211" t="s">
        <v>187</v>
      </c>
      <c r="AH5" s="213"/>
      <c r="AI5" s="211" t="s">
        <v>188</v>
      </c>
      <c r="AJ5" s="213"/>
      <c r="AK5" s="211" t="s">
        <v>189</v>
      </c>
      <c r="AL5" s="213"/>
      <c r="AM5" s="211" t="s">
        <v>190</v>
      </c>
      <c r="AN5" s="213"/>
      <c r="AO5" s="211" t="s">
        <v>191</v>
      </c>
      <c r="AP5" s="213"/>
      <c r="AQ5" s="211" t="s">
        <v>192</v>
      </c>
      <c r="AR5" s="213"/>
      <c r="AS5" s="211" t="s">
        <v>193</v>
      </c>
      <c r="AT5" s="213"/>
      <c r="AU5" s="211" t="s">
        <v>194</v>
      </c>
      <c r="AV5" s="213"/>
      <c r="AW5" s="211" t="s">
        <v>195</v>
      </c>
      <c r="AX5" s="213"/>
      <c r="AY5" s="211">
        <v>744483</v>
      </c>
      <c r="AZ5" s="213"/>
      <c r="BA5" s="211">
        <v>119314</v>
      </c>
      <c r="BB5" s="213"/>
      <c r="BC5" s="211">
        <v>1053229</v>
      </c>
      <c r="BD5" s="213"/>
      <c r="BE5" s="211">
        <v>1053215</v>
      </c>
      <c r="BF5" s="213"/>
      <c r="BH5" s="220"/>
      <c r="BI5" s="220"/>
    </row>
    <row r="6" spans="1:61" s="8" customFormat="1" ht="30" customHeight="1">
      <c r="A6" s="111" t="s">
        <v>96</v>
      </c>
      <c r="B6" s="51"/>
      <c r="C6" s="203"/>
      <c r="D6" s="204"/>
      <c r="E6" s="84"/>
      <c r="F6" s="116"/>
      <c r="G6" s="111"/>
      <c r="H6" s="51"/>
      <c r="I6" s="203"/>
      <c r="J6" s="204"/>
      <c r="K6" s="203"/>
      <c r="L6" s="204"/>
      <c r="M6" s="203"/>
      <c r="N6" s="204"/>
      <c r="O6" s="203"/>
      <c r="P6" s="217"/>
      <c r="Q6" s="203"/>
      <c r="R6" s="217"/>
      <c r="S6" s="203"/>
      <c r="T6" s="217"/>
      <c r="U6" s="203"/>
      <c r="V6" s="217"/>
      <c r="W6" s="203"/>
      <c r="X6" s="204"/>
      <c r="Y6" s="203"/>
      <c r="Z6" s="204"/>
      <c r="AA6" s="203"/>
      <c r="AB6" s="217"/>
      <c r="AC6" s="203"/>
      <c r="AD6" s="204"/>
      <c r="AE6" s="203"/>
      <c r="AF6" s="204"/>
      <c r="AG6" s="203"/>
      <c r="AH6" s="204"/>
      <c r="AI6" s="203"/>
      <c r="AJ6" s="204"/>
      <c r="AK6" s="203"/>
      <c r="AL6" s="204"/>
      <c r="AM6" s="203"/>
      <c r="AN6" s="204"/>
      <c r="AO6" s="203"/>
      <c r="AP6" s="204"/>
      <c r="AQ6" s="203"/>
      <c r="AR6" s="204"/>
      <c r="AS6" s="203"/>
      <c r="AT6" s="204"/>
      <c r="AU6" s="203"/>
      <c r="AV6" s="204"/>
      <c r="AW6" s="203"/>
      <c r="AX6" s="204"/>
      <c r="AY6" s="203"/>
      <c r="AZ6" s="204"/>
      <c r="BA6" s="203"/>
      <c r="BB6" s="204"/>
      <c r="BC6" s="203"/>
      <c r="BD6" s="204"/>
      <c r="BE6" s="203"/>
      <c r="BF6" s="204"/>
      <c r="BH6" s="33"/>
      <c r="BI6" s="33"/>
    </row>
    <row r="7" spans="1:61" s="10" customFormat="1" ht="50.1" customHeight="1">
      <c r="A7" s="111" t="s">
        <v>99</v>
      </c>
      <c r="B7" s="111"/>
      <c r="C7" s="111" t="s">
        <v>115</v>
      </c>
      <c r="D7" s="111" t="s">
        <v>196</v>
      </c>
      <c r="E7" s="111" t="s">
        <v>196</v>
      </c>
      <c r="F7" s="111" t="s">
        <v>196</v>
      </c>
      <c r="G7" s="111" t="s">
        <v>115</v>
      </c>
      <c r="H7" s="111" t="s">
        <v>196</v>
      </c>
      <c r="I7" s="111" t="s">
        <v>115</v>
      </c>
      <c r="J7" s="111" t="s">
        <v>196</v>
      </c>
      <c r="K7" s="111" t="s">
        <v>115</v>
      </c>
      <c r="L7" s="111" t="s">
        <v>196</v>
      </c>
      <c r="M7" s="111" t="s">
        <v>115</v>
      </c>
      <c r="N7" s="111" t="s">
        <v>196</v>
      </c>
      <c r="O7" s="111" t="s">
        <v>115</v>
      </c>
      <c r="P7" s="111" t="s">
        <v>196</v>
      </c>
      <c r="Q7" s="111" t="s">
        <v>115</v>
      </c>
      <c r="R7" s="111" t="s">
        <v>196</v>
      </c>
      <c r="S7" s="111" t="s">
        <v>115</v>
      </c>
      <c r="T7" s="111" t="s">
        <v>196</v>
      </c>
      <c r="U7" s="111" t="s">
        <v>115</v>
      </c>
      <c r="V7" s="111" t="s">
        <v>196</v>
      </c>
      <c r="W7" s="111" t="s">
        <v>115</v>
      </c>
      <c r="X7" s="111" t="s">
        <v>196</v>
      </c>
      <c r="Y7" s="111" t="s">
        <v>115</v>
      </c>
      <c r="Z7" s="111" t="s">
        <v>196</v>
      </c>
      <c r="AA7" s="111" t="s">
        <v>115</v>
      </c>
      <c r="AB7" s="111" t="s">
        <v>196</v>
      </c>
      <c r="AC7" s="111" t="s">
        <v>115</v>
      </c>
      <c r="AD7" s="111" t="s">
        <v>196</v>
      </c>
      <c r="AE7" s="13" t="s">
        <v>115</v>
      </c>
      <c r="AF7" s="111" t="s">
        <v>196</v>
      </c>
      <c r="AG7" s="13" t="s">
        <v>115</v>
      </c>
      <c r="AH7" s="111" t="s">
        <v>196</v>
      </c>
      <c r="AI7" s="13" t="s">
        <v>115</v>
      </c>
      <c r="AJ7" s="111" t="s">
        <v>196</v>
      </c>
      <c r="AK7" s="13" t="s">
        <v>115</v>
      </c>
      <c r="AL7" s="111" t="s">
        <v>196</v>
      </c>
      <c r="AM7" s="13" t="s">
        <v>115</v>
      </c>
      <c r="AN7" s="111" t="s">
        <v>196</v>
      </c>
      <c r="AO7" s="13" t="s">
        <v>115</v>
      </c>
      <c r="AP7" s="111" t="s">
        <v>196</v>
      </c>
      <c r="AQ7" s="13" t="s">
        <v>115</v>
      </c>
      <c r="AR7" s="111" t="s">
        <v>196</v>
      </c>
      <c r="AS7" s="13" t="s">
        <v>115</v>
      </c>
      <c r="AT7" s="111" t="s">
        <v>196</v>
      </c>
      <c r="AU7" s="13" t="s">
        <v>115</v>
      </c>
      <c r="AV7" s="111" t="s">
        <v>196</v>
      </c>
      <c r="AW7" s="13" t="s">
        <v>115</v>
      </c>
      <c r="AX7" s="111" t="s">
        <v>196</v>
      </c>
      <c r="AY7" s="13" t="s">
        <v>115</v>
      </c>
      <c r="AZ7" s="111" t="s">
        <v>196</v>
      </c>
      <c r="BA7" s="13" t="s">
        <v>115</v>
      </c>
      <c r="BB7" s="111" t="s">
        <v>196</v>
      </c>
      <c r="BC7" s="13" t="s">
        <v>115</v>
      </c>
      <c r="BD7" s="111" t="s">
        <v>196</v>
      </c>
      <c r="BE7" s="13" t="s">
        <v>115</v>
      </c>
      <c r="BF7" s="111" t="s">
        <v>196</v>
      </c>
      <c r="BH7" s="111" t="s">
        <v>65</v>
      </c>
      <c r="BI7" s="111" t="s">
        <v>67</v>
      </c>
    </row>
    <row r="8" spans="1:61" s="36" customFormat="1" ht="39.950000000000003" customHeight="1">
      <c r="A8" s="149">
        <v>44316</v>
      </c>
      <c r="B8" s="35"/>
      <c r="C8" s="80">
        <v>6004304</v>
      </c>
      <c r="D8" s="108"/>
      <c r="E8" s="108"/>
      <c r="F8" s="108"/>
      <c r="G8" s="80">
        <v>281100</v>
      </c>
      <c r="H8" s="108"/>
      <c r="I8" s="80">
        <v>121085</v>
      </c>
      <c r="J8" s="38"/>
      <c r="K8" s="80">
        <v>258044</v>
      </c>
      <c r="L8" s="108"/>
      <c r="M8" s="81">
        <v>24470</v>
      </c>
      <c r="N8" s="38"/>
      <c r="O8" s="80">
        <v>258470</v>
      </c>
      <c r="P8" s="38"/>
      <c r="Q8" s="80">
        <v>447388</v>
      </c>
      <c r="R8" s="108"/>
      <c r="S8" s="80">
        <v>720709</v>
      </c>
      <c r="T8" s="108"/>
      <c r="U8" s="80">
        <v>99107.247000000003</v>
      </c>
      <c r="V8" s="108"/>
      <c r="W8" s="80">
        <v>80540</v>
      </c>
      <c r="X8" s="108"/>
      <c r="Y8" s="81">
        <v>1494221</v>
      </c>
      <c r="Z8" s="108"/>
      <c r="AA8" s="81">
        <v>13232</v>
      </c>
      <c r="AB8" s="108"/>
      <c r="AC8" s="80">
        <v>453460</v>
      </c>
      <c r="AD8" s="108"/>
      <c r="AE8" s="80">
        <v>526296</v>
      </c>
      <c r="AF8" s="108"/>
      <c r="AG8" s="80">
        <v>49712</v>
      </c>
      <c r="AH8" s="108"/>
      <c r="AI8" s="80">
        <v>414751</v>
      </c>
      <c r="AJ8" s="108"/>
      <c r="AK8" s="81">
        <v>102770</v>
      </c>
      <c r="AL8" s="108"/>
      <c r="AM8" s="80">
        <v>571442</v>
      </c>
      <c r="AN8" s="108"/>
      <c r="AO8" s="80">
        <v>924404</v>
      </c>
      <c r="AP8" s="108"/>
      <c r="AQ8" s="81">
        <v>77468</v>
      </c>
      <c r="AR8" s="108"/>
      <c r="AS8" s="81">
        <v>2262</v>
      </c>
      <c r="AT8" s="108"/>
      <c r="AU8" s="81">
        <v>939</v>
      </c>
      <c r="AV8" s="108"/>
      <c r="AW8" s="81">
        <v>3109</v>
      </c>
      <c r="AX8" s="108"/>
      <c r="AY8" s="80">
        <v>315216</v>
      </c>
      <c r="AZ8" s="108"/>
      <c r="BA8" s="81">
        <v>161101</v>
      </c>
      <c r="BB8" s="108"/>
      <c r="BC8" s="80">
        <v>215570</v>
      </c>
      <c r="BD8" s="108"/>
      <c r="BE8" s="81">
        <v>5347</v>
      </c>
      <c r="BF8" s="108"/>
      <c r="BH8" s="109"/>
      <c r="BI8" s="109"/>
    </row>
    <row r="9" spans="1:61" s="29" customFormat="1" ht="39.950000000000003" customHeight="1">
      <c r="A9" s="149">
        <v>44317</v>
      </c>
      <c r="B9" s="28"/>
      <c r="C9" s="81">
        <v>6006509</v>
      </c>
      <c r="D9" s="38">
        <f>(+C9-+C8)*48</f>
        <v>105840</v>
      </c>
      <c r="E9" s="38">
        <f>D9*0.6</f>
        <v>63504</v>
      </c>
      <c r="F9" s="38">
        <f>D9*0.4</f>
        <v>42336</v>
      </c>
      <c r="G9" s="81">
        <v>281143</v>
      </c>
      <c r="H9" s="38">
        <f>(+G9-+G8)*48</f>
        <v>2064</v>
      </c>
      <c r="I9" s="81">
        <v>121260</v>
      </c>
      <c r="J9" s="38">
        <f>(+I9-+I8)*48</f>
        <v>8400</v>
      </c>
      <c r="K9" s="81">
        <v>258092</v>
      </c>
      <c r="L9" s="38">
        <f t="shared" ref="L9:L38" si="0">(+K9-+K8)*48</f>
        <v>2304</v>
      </c>
      <c r="M9" s="81">
        <v>24695</v>
      </c>
      <c r="N9" s="38">
        <f>(+M9-+M8)*48</f>
        <v>10800</v>
      </c>
      <c r="O9" s="81">
        <v>258663</v>
      </c>
      <c r="P9" s="38">
        <f>(+O9-+O8)*48</f>
        <v>9264</v>
      </c>
      <c r="Q9" s="81">
        <v>447440</v>
      </c>
      <c r="R9" s="38">
        <f>(+Q9-+Q8)*48</f>
        <v>2496</v>
      </c>
      <c r="S9" s="81">
        <v>720848</v>
      </c>
      <c r="T9" s="38">
        <f>(+S9-+S8)*48</f>
        <v>6672</v>
      </c>
      <c r="U9" s="81">
        <v>99130.803</v>
      </c>
      <c r="V9" s="108">
        <f>(+U9-+U8)*48</f>
        <v>1130.6879999998491</v>
      </c>
      <c r="W9" s="81">
        <v>80555</v>
      </c>
      <c r="X9" s="38">
        <f>(+W9-+W8)*48</f>
        <v>720</v>
      </c>
      <c r="Y9" s="81">
        <v>1499059</v>
      </c>
      <c r="Z9" s="38">
        <f>(+Y9-+Y8)*48</f>
        <v>232224</v>
      </c>
      <c r="AA9" s="81">
        <v>13264</v>
      </c>
      <c r="AB9" s="38">
        <f>(+AA9-+AA8)*48</f>
        <v>1536</v>
      </c>
      <c r="AC9" s="81">
        <v>453571</v>
      </c>
      <c r="AD9" s="38">
        <f>(+AC9-+AC8)*48</f>
        <v>5328</v>
      </c>
      <c r="AE9" s="81">
        <v>526398</v>
      </c>
      <c r="AF9" s="38">
        <f>(+AE9-+AE8)*48</f>
        <v>4896</v>
      </c>
      <c r="AG9" s="81">
        <v>49716</v>
      </c>
      <c r="AH9" s="38">
        <f>(+AG9-+AG8)*48</f>
        <v>192</v>
      </c>
      <c r="AI9" s="81">
        <v>414870</v>
      </c>
      <c r="AJ9" s="38">
        <f>(+AI9-+AI8)*48</f>
        <v>5712</v>
      </c>
      <c r="AK9" s="81">
        <v>102770</v>
      </c>
      <c r="AL9" s="38">
        <f>(+AK9-+AK8)*48</f>
        <v>0</v>
      </c>
      <c r="AM9" s="81">
        <v>571848</v>
      </c>
      <c r="AN9" s="38">
        <f>(+AM9-+AM8)*48</f>
        <v>19488</v>
      </c>
      <c r="AO9" s="81">
        <v>924601</v>
      </c>
      <c r="AP9" s="38">
        <f>(+AO9-+AO8)*48</f>
        <v>9456</v>
      </c>
      <c r="AQ9" s="81">
        <v>77519</v>
      </c>
      <c r="AR9" s="38">
        <f>(+AQ9-+AQ8)*48</f>
        <v>2448</v>
      </c>
      <c r="AS9" s="80">
        <v>2262</v>
      </c>
      <c r="AT9" s="38">
        <f>(+AS9-+AS8)*48</f>
        <v>0</v>
      </c>
      <c r="AU9" s="80">
        <v>939</v>
      </c>
      <c r="AV9" s="38">
        <f>(+AU9-+AU8)*48</f>
        <v>0</v>
      </c>
      <c r="AW9" s="80">
        <v>3109</v>
      </c>
      <c r="AX9" s="38">
        <f>(+AW9-+AW8)*48</f>
        <v>0</v>
      </c>
      <c r="AY9" s="81">
        <v>315287</v>
      </c>
      <c r="AZ9" s="38">
        <f>(+AY9-+AY8)*48</f>
        <v>3408</v>
      </c>
      <c r="BA9" s="81">
        <v>161101</v>
      </c>
      <c r="BB9" s="38">
        <f>(+BA9-+BA8)*48</f>
        <v>0</v>
      </c>
      <c r="BC9" s="81">
        <v>215619</v>
      </c>
      <c r="BD9" s="38">
        <f>(+BC9-+BC8)*48</f>
        <v>2352</v>
      </c>
      <c r="BE9" s="81">
        <v>5347</v>
      </c>
      <c r="BF9" s="38">
        <f>(+BE9-+BE8)*48</f>
        <v>0</v>
      </c>
      <c r="BH9" s="109">
        <f t="shared" ref="BH9:BH36" si="1">SUM(E9,J9,P9,H9,L9,R9,T9,V9,X9,N9,AB9,Z9,AD9,AF9,AH9,AL9,AJ9)</f>
        <v>357242.68799999985</v>
      </c>
      <c r="BI9" s="109">
        <f t="shared" ref="BI9:BI36" si="2">SUM(F9,AN9,AP9,AT9,AV9,AX9,AR9,AZ9,BB9,BD9,BF9)</f>
        <v>79488</v>
      </c>
    </row>
    <row r="10" spans="1:61" s="36" customFormat="1" ht="39.950000000000003" customHeight="1">
      <c r="A10" s="149">
        <v>44318</v>
      </c>
      <c r="B10" s="35"/>
      <c r="C10" s="87">
        <v>6008845</v>
      </c>
      <c r="D10" s="38">
        <f t="shared" ref="D10" si="3">(+C10-+C9)*48</f>
        <v>112128</v>
      </c>
      <c r="E10" s="38">
        <f t="shared" ref="E10:E39" si="4">D10*0.6</f>
        <v>67276.800000000003</v>
      </c>
      <c r="F10" s="108">
        <f t="shared" ref="F10:F36" si="5">D10*0.4</f>
        <v>44851.200000000004</v>
      </c>
      <c r="G10" s="87">
        <f>(G12-G9)/3+G9</f>
        <v>281179.33333333331</v>
      </c>
      <c r="H10" s="38">
        <f t="shared" ref="H10" si="6">(+G10-+G9)*48</f>
        <v>1743.9999999990687</v>
      </c>
      <c r="I10" s="87">
        <f>(I12-I9)/3+I9</f>
        <v>121426.66666666667</v>
      </c>
      <c r="J10" s="38">
        <f t="shared" ref="J10" si="7">(+I10-+I9)*48</f>
        <v>8000.0000000002328</v>
      </c>
      <c r="K10" s="87">
        <f>(K12-K9)/3+K9</f>
        <v>258120.66666666666</v>
      </c>
      <c r="L10" s="38">
        <f t="shared" si="0"/>
        <v>1375.9999999995343</v>
      </c>
      <c r="M10" s="87">
        <f>(M12-M9)/3+M9</f>
        <v>24717</v>
      </c>
      <c r="N10" s="38">
        <f t="shared" ref="N10" si="8">(+M10-+M9)*48</f>
        <v>1056</v>
      </c>
      <c r="O10" s="87">
        <f>(O12-O9)/3+O9</f>
        <v>258869.33333333334</v>
      </c>
      <c r="P10" s="38">
        <f t="shared" ref="P10" si="9">(+O10-+O9)*48</f>
        <v>9904.0000000004657</v>
      </c>
      <c r="Q10" s="87">
        <f>(Q12-Q9)/3+Q9</f>
        <v>447511.33333333331</v>
      </c>
      <c r="R10" s="38">
        <f t="shared" ref="R10" si="10">(+Q10-+Q9)*48</f>
        <v>3423.9999999990687</v>
      </c>
      <c r="S10" s="87">
        <f>(S12-S9)/3+S9</f>
        <v>720981.33333333337</v>
      </c>
      <c r="T10" s="38">
        <f t="shared" ref="T10" si="11">(+S10-+S9)*48</f>
        <v>6400.0000000018626</v>
      </c>
      <c r="U10" s="87">
        <f>(U12-U9)/3+U9</f>
        <v>99155.510333333339</v>
      </c>
      <c r="V10" s="108">
        <f t="shared" ref="V10" si="12">(+U10-+U9)*48</f>
        <v>1185.9520000002813</v>
      </c>
      <c r="W10" s="87">
        <f>(W12-W9)/3+W9</f>
        <v>80568.333333333328</v>
      </c>
      <c r="X10" s="38">
        <f t="shared" ref="X10" si="13">(+W10-+W9)*48</f>
        <v>639.99999999976717</v>
      </c>
      <c r="Y10" s="87">
        <f>(Y12-Y9)/3+Y9</f>
        <v>1499121.6666666667</v>
      </c>
      <c r="Z10" s="38">
        <f t="shared" ref="Z10" si="14">(+Y10-+Y9)*48</f>
        <v>3008.0000000037253</v>
      </c>
      <c r="AA10" s="87">
        <f>(AA12-AA9)/3+AA9</f>
        <v>13264</v>
      </c>
      <c r="AB10" s="38">
        <f t="shared" ref="AB10" si="15">(+AA10-+AA9)*48</f>
        <v>0</v>
      </c>
      <c r="AC10" s="87">
        <f>(AC12-AC9)/3+AC9</f>
        <v>453678.33333333331</v>
      </c>
      <c r="AD10" s="38">
        <f t="shared" ref="AD10:AF37" si="16">(+AC10-+AC9)*48</f>
        <v>5151.9999999990687</v>
      </c>
      <c r="AE10" s="87">
        <f>(AE12-AE9)/3+AE9</f>
        <v>526492.66666666663</v>
      </c>
      <c r="AF10" s="38">
        <f t="shared" si="16"/>
        <v>4543.9999999981374</v>
      </c>
      <c r="AG10" s="87">
        <f>(AG12-AG9)/3+AG9</f>
        <v>49720</v>
      </c>
      <c r="AH10" s="38">
        <f t="shared" ref="AH10" si="17">(+AG10-+AG9)*48</f>
        <v>192</v>
      </c>
      <c r="AI10" s="87">
        <f>(AI12-AI9)/3+AI9</f>
        <v>414980</v>
      </c>
      <c r="AJ10" s="38">
        <f t="shared" ref="AJ10" si="18">(+AI10-+AI9)*48</f>
        <v>5280</v>
      </c>
      <c r="AK10" s="87">
        <f>(AK12-AK9)/3+AK9</f>
        <v>102770</v>
      </c>
      <c r="AL10" s="38">
        <f t="shared" ref="AL10" si="19">(+AK10-+AK9)*48</f>
        <v>0</v>
      </c>
      <c r="AM10" s="87">
        <f>(AM12-AM9)/3+AM9</f>
        <v>571856.66666666663</v>
      </c>
      <c r="AN10" s="38">
        <f t="shared" ref="AN10" si="20">(+AM10-+AM9)*48</f>
        <v>415.99999999813735</v>
      </c>
      <c r="AO10" s="87">
        <f>(AO12-AO9)/3+AO9</f>
        <v>924799</v>
      </c>
      <c r="AP10" s="38">
        <f t="shared" ref="AP10" si="21">(+AO10-+AO9)*48</f>
        <v>9504</v>
      </c>
      <c r="AQ10" s="87">
        <f>(AQ12-AQ9)/3+AQ9</f>
        <v>77571.333333333328</v>
      </c>
      <c r="AR10" s="38">
        <f t="shared" ref="AR10" si="22">(+AQ10-+AQ9)*48</f>
        <v>2511.9999999997672</v>
      </c>
      <c r="AS10" s="80">
        <v>2262</v>
      </c>
      <c r="AT10" s="38">
        <f t="shared" ref="AT10" si="23">(+AS10-+AS9)*48</f>
        <v>0</v>
      </c>
      <c r="AU10" s="80">
        <v>939</v>
      </c>
      <c r="AV10" s="38">
        <f t="shared" ref="AV10" si="24">(+AU10-+AU9)*48</f>
        <v>0</v>
      </c>
      <c r="AW10" s="80">
        <v>3109</v>
      </c>
      <c r="AX10" s="38">
        <f t="shared" ref="AX10" si="25">(+AW10-+AW9)*48</f>
        <v>0</v>
      </c>
      <c r="AY10" s="87">
        <f>(AY12-AY9)/3+AY9</f>
        <v>315360</v>
      </c>
      <c r="AZ10" s="38">
        <f t="shared" ref="AZ10" si="26">(+AY10-+AY9)*48</f>
        <v>3504</v>
      </c>
      <c r="BA10" s="87">
        <v>161101</v>
      </c>
      <c r="BB10" s="38">
        <f t="shared" ref="BB10" si="27">(+BA10-+BA9)*48</f>
        <v>0</v>
      </c>
      <c r="BC10" s="87">
        <f>(BC12-BC9)/3+BC9</f>
        <v>215668</v>
      </c>
      <c r="BD10" s="38">
        <f t="shared" ref="BD10" si="28">(+BC10-+BC9)*48</f>
        <v>2352</v>
      </c>
      <c r="BE10" s="81">
        <v>5347</v>
      </c>
      <c r="BF10" s="38">
        <f t="shared" ref="BF10" si="29">(+BE10-+BE9)*48</f>
        <v>0</v>
      </c>
      <c r="BH10" s="109">
        <f t="shared" si="1"/>
        <v>119182.75200000122</v>
      </c>
      <c r="BI10" s="109">
        <f t="shared" si="2"/>
        <v>63139.199999997909</v>
      </c>
    </row>
    <row r="11" spans="1:61" s="36" customFormat="1" ht="39.950000000000003" customHeight="1">
      <c r="A11" s="149">
        <v>44319</v>
      </c>
      <c r="B11" s="35"/>
      <c r="C11" s="87">
        <v>6010971</v>
      </c>
      <c r="D11" s="38">
        <f t="shared" ref="D11" si="30">(+C11-+C10)*48</f>
        <v>102048</v>
      </c>
      <c r="E11" s="38">
        <f t="shared" si="4"/>
        <v>61228.799999999996</v>
      </c>
      <c r="F11" s="108">
        <f t="shared" si="5"/>
        <v>40819.200000000004</v>
      </c>
      <c r="G11" s="87">
        <f>(G12-G9)/3+G10</f>
        <v>281215.66666666663</v>
      </c>
      <c r="H11" s="38">
        <f t="shared" ref="H11" si="31">(+G11-+G10)*48</f>
        <v>1743.9999999990687</v>
      </c>
      <c r="I11" s="87">
        <f>(I12-I9)/3+I10</f>
        <v>121593.33333333334</v>
      </c>
      <c r="J11" s="38">
        <f t="shared" ref="J11" si="32">(+I11-+I10)*48</f>
        <v>8000.0000000002328</v>
      </c>
      <c r="K11" s="87">
        <f>(K12-K9)/3+K10</f>
        <v>258149.33333333331</v>
      </c>
      <c r="L11" s="38">
        <f t="shared" si="0"/>
        <v>1375.9999999995343</v>
      </c>
      <c r="M11" s="87">
        <f>(M12-M9)/3+M10</f>
        <v>24739</v>
      </c>
      <c r="N11" s="38">
        <f t="shared" ref="N11" si="33">(+M11-+M10)*48</f>
        <v>1056</v>
      </c>
      <c r="O11" s="87">
        <f>(O12-O9)/3+O10</f>
        <v>259075.66666666669</v>
      </c>
      <c r="P11" s="38">
        <f t="shared" ref="P11" si="34">(+O11-+O10)*48</f>
        <v>9904.0000000004657</v>
      </c>
      <c r="Q11" s="87">
        <f>(Q12-Q9)/3+Q10</f>
        <v>447582.66666666663</v>
      </c>
      <c r="R11" s="38">
        <f t="shared" ref="R11" si="35">(+Q11-+Q10)*48</f>
        <v>3423.9999999990687</v>
      </c>
      <c r="S11" s="87">
        <f>(S12-S9)/3+S10</f>
        <v>721114.66666666674</v>
      </c>
      <c r="T11" s="38">
        <f t="shared" ref="T11" si="36">(+S11-+S10)*48</f>
        <v>6400.0000000018626</v>
      </c>
      <c r="U11" s="87">
        <f>(U12-U9)/3+U10</f>
        <v>99180.217666666678</v>
      </c>
      <c r="V11" s="108">
        <f t="shared" ref="V11" si="37">(+U11-+U10)*48</f>
        <v>1185.9520000002813</v>
      </c>
      <c r="W11" s="87">
        <f>(W12-W9)/3+W10</f>
        <v>80581.666666666657</v>
      </c>
      <c r="X11" s="38">
        <f t="shared" ref="X11" si="38">(+W11-+W10)*48</f>
        <v>639.99999999976717</v>
      </c>
      <c r="Y11" s="87">
        <f>(Y12-Y9)/3+Y10</f>
        <v>1499184.3333333335</v>
      </c>
      <c r="Z11" s="38">
        <f t="shared" ref="Z11" si="39">(+Y11-+Y10)*48</f>
        <v>3008.0000000037253</v>
      </c>
      <c r="AA11" s="87">
        <f>(AA12-AA9)/3+AA10</f>
        <v>13264</v>
      </c>
      <c r="AB11" s="38">
        <f t="shared" ref="AB11" si="40">(+AA11-+AA10)*48</f>
        <v>0</v>
      </c>
      <c r="AC11" s="87">
        <f>(AC12-AC9)/3+AC10</f>
        <v>453785.66666666663</v>
      </c>
      <c r="AD11" s="38">
        <f t="shared" si="16"/>
        <v>5151.9999999990687</v>
      </c>
      <c r="AE11" s="87">
        <f>(AE12-AE9)/3+AE10</f>
        <v>526587.33333333326</v>
      </c>
      <c r="AF11" s="38">
        <f t="shared" si="16"/>
        <v>4543.9999999981374</v>
      </c>
      <c r="AG11" s="87">
        <f>(AG12-AG9)/3+AG10</f>
        <v>49724</v>
      </c>
      <c r="AH11" s="38">
        <f t="shared" ref="AH11" si="41">(+AG11-+AG10)*48</f>
        <v>192</v>
      </c>
      <c r="AI11" s="87">
        <f>(AI12-AI9)/3+AI10</f>
        <v>415090</v>
      </c>
      <c r="AJ11" s="38">
        <f t="shared" ref="AJ11" si="42">(+AI11-+AI10)*48</f>
        <v>5280</v>
      </c>
      <c r="AK11" s="87">
        <f>(AK12-AK9)/3+AK10</f>
        <v>102770</v>
      </c>
      <c r="AL11" s="38">
        <f t="shared" ref="AL11" si="43">(+AK11-+AK10)*48</f>
        <v>0</v>
      </c>
      <c r="AM11" s="87">
        <f>(AM12-AM9)/3+AM10</f>
        <v>571865.33333333326</v>
      </c>
      <c r="AN11" s="38">
        <f t="shared" ref="AN11" si="44">(+AM11-+AM10)*48</f>
        <v>415.99999999813735</v>
      </c>
      <c r="AO11" s="87">
        <f>(AO12-AO9)/3+AO10</f>
        <v>924997</v>
      </c>
      <c r="AP11" s="38">
        <f t="shared" ref="AP11" si="45">(+AO11-+AO10)*48</f>
        <v>9504</v>
      </c>
      <c r="AQ11" s="87">
        <f>(AQ12-AQ9)/3+AQ10</f>
        <v>77623.666666666657</v>
      </c>
      <c r="AR11" s="38">
        <f t="shared" ref="AR11" si="46">(+AQ11-+AQ10)*48</f>
        <v>2511.9999999997672</v>
      </c>
      <c r="AS11" s="80">
        <v>2262</v>
      </c>
      <c r="AT11" s="38">
        <f t="shared" ref="AT11" si="47">(+AS11-+AS10)*48</f>
        <v>0</v>
      </c>
      <c r="AU11" s="80">
        <v>939</v>
      </c>
      <c r="AV11" s="38">
        <f t="shared" ref="AV11" si="48">(+AU11-+AU10)*48</f>
        <v>0</v>
      </c>
      <c r="AW11" s="80">
        <v>3109</v>
      </c>
      <c r="AX11" s="38">
        <f t="shared" ref="AX11" si="49">(+AW11-+AW10)*48</f>
        <v>0</v>
      </c>
      <c r="AY11" s="87">
        <f>(AY12-AY9)/3+AY10</f>
        <v>315433</v>
      </c>
      <c r="AZ11" s="38">
        <f t="shared" ref="AZ11" si="50">(+AY11-+AY10)*48</f>
        <v>3504</v>
      </c>
      <c r="BA11" s="87">
        <v>161101</v>
      </c>
      <c r="BB11" s="38">
        <f t="shared" ref="BB11" si="51">(+BA11-+BA10)*48</f>
        <v>0</v>
      </c>
      <c r="BC11" s="87">
        <f>(BC12-BC9)/3+BC10</f>
        <v>215717</v>
      </c>
      <c r="BD11" s="38">
        <f t="shared" ref="BD11" si="52">(+BC11-+BC10)*48</f>
        <v>2352</v>
      </c>
      <c r="BE11" s="81">
        <v>5347</v>
      </c>
      <c r="BF11" s="38">
        <f t="shared" ref="BF11" si="53">(+BE11-+BE10)*48</f>
        <v>0</v>
      </c>
      <c r="BH11" s="109">
        <f t="shared" si="1"/>
        <v>113134.7520000012</v>
      </c>
      <c r="BI11" s="109">
        <f t="shared" si="2"/>
        <v>59107.199999997909</v>
      </c>
    </row>
    <row r="12" spans="1:61" s="36" customFormat="1" ht="39.950000000000003" customHeight="1">
      <c r="A12" s="149">
        <v>44320</v>
      </c>
      <c r="B12" s="35"/>
      <c r="C12" s="87">
        <v>6012938</v>
      </c>
      <c r="D12" s="38">
        <f t="shared" ref="D12" si="54">(+C12-+C11)*48</f>
        <v>94416</v>
      </c>
      <c r="E12" s="38">
        <f t="shared" si="4"/>
        <v>56649.599999999999</v>
      </c>
      <c r="F12" s="108">
        <f t="shared" si="5"/>
        <v>37766.400000000001</v>
      </c>
      <c r="G12" s="87">
        <v>281252</v>
      </c>
      <c r="H12" s="38">
        <f t="shared" ref="H12" si="55">(+G12-+G11)*48</f>
        <v>1744.0000000018626</v>
      </c>
      <c r="I12" s="87">
        <v>121760</v>
      </c>
      <c r="J12" s="38">
        <f t="shared" ref="J12" si="56">(+I12-+I11)*48</f>
        <v>7999.9999999995343</v>
      </c>
      <c r="K12" s="87">
        <v>258178</v>
      </c>
      <c r="L12" s="38">
        <f t="shared" si="0"/>
        <v>1376.0000000009313</v>
      </c>
      <c r="M12" s="87">
        <v>24761</v>
      </c>
      <c r="N12" s="38">
        <f t="shared" ref="N12" si="57">(+M12-+M11)*48</f>
        <v>1056</v>
      </c>
      <c r="O12" s="87">
        <v>259282</v>
      </c>
      <c r="P12" s="38">
        <f t="shared" ref="P12" si="58">(+O12-+O11)*48</f>
        <v>9903.9999999990687</v>
      </c>
      <c r="Q12" s="87">
        <v>447654</v>
      </c>
      <c r="R12" s="38">
        <f t="shared" ref="R12" si="59">(+Q12-+Q11)*48</f>
        <v>3424.0000000018626</v>
      </c>
      <c r="S12" s="87">
        <v>721248</v>
      </c>
      <c r="T12" s="38">
        <f t="shared" ref="T12" si="60">(+S12-+S11)*48</f>
        <v>6399.9999999962747</v>
      </c>
      <c r="U12" s="87">
        <v>99204.925000000003</v>
      </c>
      <c r="V12" s="108">
        <f t="shared" ref="V12" si="61">(+U12-+U11)*48</f>
        <v>1185.9519999995828</v>
      </c>
      <c r="W12" s="87">
        <v>80595</v>
      </c>
      <c r="X12" s="38">
        <f t="shared" ref="X12" si="62">(+W12-+W11)*48</f>
        <v>640.00000000046566</v>
      </c>
      <c r="Y12" s="87">
        <v>1499247</v>
      </c>
      <c r="Z12" s="38">
        <f t="shared" ref="Z12" si="63">(+Y12-+Y11)*48</f>
        <v>3007.9999999925494</v>
      </c>
      <c r="AA12" s="87">
        <v>13264</v>
      </c>
      <c r="AB12" s="38">
        <f t="shared" ref="AB12" si="64">(+AA12-+AA11)*48</f>
        <v>0</v>
      </c>
      <c r="AC12" s="87">
        <v>453893</v>
      </c>
      <c r="AD12" s="38">
        <f t="shared" si="16"/>
        <v>5152.0000000018626</v>
      </c>
      <c r="AE12" s="87">
        <v>526682</v>
      </c>
      <c r="AF12" s="38">
        <f t="shared" si="16"/>
        <v>4544.0000000037253</v>
      </c>
      <c r="AG12" s="87">
        <v>49728</v>
      </c>
      <c r="AH12" s="38">
        <f t="shared" ref="AH12" si="65">(+AG12-+AG11)*48</f>
        <v>192</v>
      </c>
      <c r="AI12" s="87">
        <v>415200</v>
      </c>
      <c r="AJ12" s="38">
        <f t="shared" ref="AJ12" si="66">(+AI12-+AI11)*48</f>
        <v>5280</v>
      </c>
      <c r="AK12" s="87">
        <v>102770</v>
      </c>
      <c r="AL12" s="38">
        <f t="shared" ref="AL12" si="67">(+AK12-+AK11)*48</f>
        <v>0</v>
      </c>
      <c r="AM12" s="87">
        <v>571874</v>
      </c>
      <c r="AN12" s="38">
        <f t="shared" ref="AN12" si="68">(+AM12-+AM11)*48</f>
        <v>416.00000000372529</v>
      </c>
      <c r="AO12" s="87">
        <v>925195</v>
      </c>
      <c r="AP12" s="38">
        <f t="shared" ref="AP12" si="69">(+AO12-+AO11)*48</f>
        <v>9504</v>
      </c>
      <c r="AQ12" s="87">
        <v>77676</v>
      </c>
      <c r="AR12" s="38">
        <f t="shared" ref="AR12" si="70">(+AQ12-+AQ11)*48</f>
        <v>2512.0000000004657</v>
      </c>
      <c r="AS12" s="80">
        <v>2262</v>
      </c>
      <c r="AT12" s="38">
        <f t="shared" ref="AT12" si="71">(+AS12-+AS11)*48</f>
        <v>0</v>
      </c>
      <c r="AU12" s="80">
        <v>939</v>
      </c>
      <c r="AV12" s="38">
        <f t="shared" ref="AV12" si="72">(+AU12-+AU11)*48</f>
        <v>0</v>
      </c>
      <c r="AW12" s="80">
        <v>3109</v>
      </c>
      <c r="AX12" s="38">
        <f t="shared" ref="AX12" si="73">(+AW12-+AW11)*48</f>
        <v>0</v>
      </c>
      <c r="AY12" s="87">
        <v>315506</v>
      </c>
      <c r="AZ12" s="38">
        <f t="shared" ref="AZ12" si="74">(+AY12-+AY11)*48</f>
        <v>3504</v>
      </c>
      <c r="BA12" s="87">
        <v>161101</v>
      </c>
      <c r="BB12" s="38">
        <f t="shared" ref="BB12" si="75">(+BA12-+BA11)*48</f>
        <v>0</v>
      </c>
      <c r="BC12" s="87">
        <v>215766</v>
      </c>
      <c r="BD12" s="38">
        <f t="shared" ref="BD12" si="76">(+BC12-+BC11)*48</f>
        <v>2352</v>
      </c>
      <c r="BE12" s="81">
        <v>5347</v>
      </c>
      <c r="BF12" s="38">
        <f t="shared" ref="BF12" si="77">(+BE12-+BE11)*48</f>
        <v>0</v>
      </c>
      <c r="BH12" s="109">
        <f t="shared" si="1"/>
        <v>108555.55199999773</v>
      </c>
      <c r="BI12" s="109">
        <f t="shared" si="2"/>
        <v>56054.400000004192</v>
      </c>
    </row>
    <row r="13" spans="1:61" s="36" customFormat="1" ht="39.950000000000003" customHeight="1">
      <c r="A13" s="149">
        <v>44321</v>
      </c>
      <c r="B13" s="35"/>
      <c r="C13" s="87">
        <v>6015008</v>
      </c>
      <c r="D13" s="38">
        <f t="shared" ref="D13" si="78">(+C13-+C12)*48</f>
        <v>99360</v>
      </c>
      <c r="E13" s="38">
        <f t="shared" si="4"/>
        <v>59616</v>
      </c>
      <c r="F13" s="108">
        <f t="shared" si="5"/>
        <v>39744</v>
      </c>
      <c r="G13" s="87">
        <v>281282</v>
      </c>
      <c r="H13" s="38">
        <f t="shared" ref="H13" si="79">(+G13-+G12)*48</f>
        <v>1440</v>
      </c>
      <c r="I13" s="87">
        <v>121933</v>
      </c>
      <c r="J13" s="38">
        <f t="shared" ref="J13" si="80">(+I13-+I12)*48</f>
        <v>8304</v>
      </c>
      <c r="K13" s="87">
        <v>258183</v>
      </c>
      <c r="L13" s="38">
        <f t="shared" si="0"/>
        <v>240</v>
      </c>
      <c r="M13" s="87">
        <v>24771</v>
      </c>
      <c r="N13" s="38">
        <f t="shared" ref="N13" si="81">(+M13-+M12)*48</f>
        <v>480</v>
      </c>
      <c r="O13" s="87">
        <v>259467</v>
      </c>
      <c r="P13" s="38">
        <f t="shared" ref="P13" si="82">(+O13-+O12)*48</f>
        <v>8880</v>
      </c>
      <c r="Q13" s="87">
        <v>447693</v>
      </c>
      <c r="R13" s="38">
        <f t="shared" ref="R13" si="83">(+Q13-+Q12)*48</f>
        <v>1872</v>
      </c>
      <c r="S13" s="87">
        <v>721369</v>
      </c>
      <c r="T13" s="38">
        <f t="shared" ref="T13" si="84">(+S13-+S12)*48</f>
        <v>5808</v>
      </c>
      <c r="U13" s="87">
        <v>99227.342999999993</v>
      </c>
      <c r="V13" s="108">
        <f t="shared" ref="V13" si="85">(+U13-+U12)*48</f>
        <v>1076.0639999995474</v>
      </c>
      <c r="W13" s="87">
        <v>80609</v>
      </c>
      <c r="X13" s="38">
        <f t="shared" ref="X13" si="86">(+W13-+W12)*48</f>
        <v>672</v>
      </c>
      <c r="Y13" s="87">
        <v>1499296</v>
      </c>
      <c r="Z13" s="38">
        <f t="shared" ref="Z13" si="87">(+Y13-+Y12)*48</f>
        <v>2352</v>
      </c>
      <c r="AA13" s="87">
        <v>13264</v>
      </c>
      <c r="AB13" s="38">
        <f t="shared" ref="AB13" si="88">(+AA13-+AA12)*48</f>
        <v>0</v>
      </c>
      <c r="AC13" s="87">
        <v>454002</v>
      </c>
      <c r="AD13" s="38">
        <f t="shared" si="16"/>
        <v>5232</v>
      </c>
      <c r="AE13" s="87">
        <v>526774</v>
      </c>
      <c r="AF13" s="38">
        <f t="shared" si="16"/>
        <v>4416</v>
      </c>
      <c r="AG13" s="87">
        <v>49732</v>
      </c>
      <c r="AH13" s="38">
        <f t="shared" ref="AH13" si="89">(+AG13-+AG12)*48</f>
        <v>192</v>
      </c>
      <c r="AI13" s="87">
        <v>415290</v>
      </c>
      <c r="AJ13" s="38">
        <f t="shared" ref="AJ13:AJ14" si="90">(+AI13-+AI12)*48</f>
        <v>4320</v>
      </c>
      <c r="AK13" s="87">
        <v>102770</v>
      </c>
      <c r="AL13" s="38">
        <f t="shared" ref="AL13" si="91">(+AK13-+AK12)*48</f>
        <v>0</v>
      </c>
      <c r="AM13" s="87">
        <v>571983</v>
      </c>
      <c r="AN13" s="38">
        <f t="shared" ref="AN13" si="92">(+AM13-+AM12)*48</f>
        <v>5232</v>
      </c>
      <c r="AO13" s="87">
        <v>925392</v>
      </c>
      <c r="AP13" s="38">
        <f t="shared" ref="AP13" si="93">(+AO13-+AO12)*48</f>
        <v>9456</v>
      </c>
      <c r="AQ13" s="87">
        <v>77689</v>
      </c>
      <c r="AR13" s="38">
        <f t="shared" ref="AR13" si="94">(+AQ13-+AQ12)*48</f>
        <v>624</v>
      </c>
      <c r="AS13" s="80">
        <v>2262</v>
      </c>
      <c r="AT13" s="38">
        <f t="shared" ref="AT13" si="95">(+AS13-+AS12)*48</f>
        <v>0</v>
      </c>
      <c r="AU13" s="80">
        <v>939</v>
      </c>
      <c r="AV13" s="38">
        <f t="shared" ref="AV13" si="96">(+AU13-+AU12)*48</f>
        <v>0</v>
      </c>
      <c r="AW13" s="80">
        <v>3109</v>
      </c>
      <c r="AX13" s="38">
        <f t="shared" ref="AX13" si="97">(+AW13-+AW12)*48</f>
        <v>0</v>
      </c>
      <c r="AY13" s="87">
        <v>315582</v>
      </c>
      <c r="AZ13" s="38">
        <f t="shared" ref="AZ13" si="98">(+AY13-+AY12)*48</f>
        <v>3648</v>
      </c>
      <c r="BA13" s="81">
        <v>161101</v>
      </c>
      <c r="BB13" s="38">
        <f t="shared" ref="BB13" si="99">(+BA13-+BA12)*48</f>
        <v>0</v>
      </c>
      <c r="BC13" s="87">
        <v>215816</v>
      </c>
      <c r="BD13" s="38">
        <f t="shared" ref="BD13" si="100">(+BC13-+BC12)*48</f>
        <v>2400</v>
      </c>
      <c r="BE13" s="81">
        <v>5347</v>
      </c>
      <c r="BF13" s="38">
        <f t="shared" ref="BF13" si="101">(+BE13-+BE12)*48</f>
        <v>0</v>
      </c>
      <c r="BH13" s="109">
        <f t="shared" si="1"/>
        <v>104900.06399999955</v>
      </c>
      <c r="BI13" s="109">
        <f t="shared" si="2"/>
        <v>61104</v>
      </c>
    </row>
    <row r="14" spans="1:61" s="36" customFormat="1" ht="39.950000000000003" customHeight="1">
      <c r="A14" s="149">
        <v>44322</v>
      </c>
      <c r="B14" s="35"/>
      <c r="C14" s="87">
        <v>6017001</v>
      </c>
      <c r="D14" s="38">
        <f t="shared" ref="D14" si="102">(+C14-+C13)*48</f>
        <v>95664</v>
      </c>
      <c r="E14" s="38">
        <f t="shared" si="4"/>
        <v>57398.400000000001</v>
      </c>
      <c r="F14" s="108">
        <f t="shared" si="5"/>
        <v>38265.599999999999</v>
      </c>
      <c r="G14" s="87">
        <v>281313</v>
      </c>
      <c r="H14" s="38">
        <f t="shared" ref="H14" si="103">(+G14-+G13)*48</f>
        <v>1488</v>
      </c>
      <c r="I14" s="87">
        <v>122098</v>
      </c>
      <c r="J14" s="38">
        <f t="shared" ref="J14" si="104">(+I14-+I13)*48</f>
        <v>7920</v>
      </c>
      <c r="K14" s="87">
        <v>258198</v>
      </c>
      <c r="L14" s="38">
        <f t="shared" si="0"/>
        <v>720</v>
      </c>
      <c r="M14" s="87">
        <v>24778</v>
      </c>
      <c r="N14" s="38">
        <f t="shared" ref="N14" si="105">(+M14-+M13)*48</f>
        <v>336</v>
      </c>
      <c r="O14" s="87">
        <v>259660</v>
      </c>
      <c r="P14" s="38">
        <f t="shared" ref="P14" si="106">(+O14-+O13)*48</f>
        <v>9264</v>
      </c>
      <c r="Q14" s="87">
        <v>447761</v>
      </c>
      <c r="R14" s="38">
        <f t="shared" ref="R14" si="107">(+Q14-+Q13)*48</f>
        <v>3264</v>
      </c>
      <c r="S14" s="87">
        <v>721534</v>
      </c>
      <c r="T14" s="38">
        <f t="shared" ref="T14" si="108">(+S14-+S13)*48</f>
        <v>7920</v>
      </c>
      <c r="U14" s="87">
        <v>99250.055999999997</v>
      </c>
      <c r="V14" s="108">
        <f>(+U14-+U13)*48</f>
        <v>1090.2240000001621</v>
      </c>
      <c r="W14" s="87">
        <v>80623</v>
      </c>
      <c r="X14" s="38">
        <f t="shared" ref="X14" si="109">(+W14-+W13)*48</f>
        <v>672</v>
      </c>
      <c r="Y14" s="87">
        <v>1499325</v>
      </c>
      <c r="Z14" s="38">
        <f t="shared" ref="Z14" si="110">(+Y14-+Y13)*48</f>
        <v>1392</v>
      </c>
      <c r="AA14" s="87">
        <v>13264</v>
      </c>
      <c r="AB14" s="38">
        <f t="shared" ref="AB14" si="111">(+AA14-+AA13)*48</f>
        <v>0</v>
      </c>
      <c r="AC14" s="87">
        <v>454108</v>
      </c>
      <c r="AD14" s="38">
        <f t="shared" si="16"/>
        <v>5088</v>
      </c>
      <c r="AE14" s="87">
        <v>526898</v>
      </c>
      <c r="AF14" s="38">
        <f t="shared" si="16"/>
        <v>5952</v>
      </c>
      <c r="AG14" s="87">
        <v>49736</v>
      </c>
      <c r="AH14" s="38">
        <f t="shared" ref="AH14" si="112">(+AG14-+AG13)*48</f>
        <v>192</v>
      </c>
      <c r="AI14" s="87">
        <v>415363</v>
      </c>
      <c r="AJ14" s="38">
        <f t="shared" si="90"/>
        <v>3504</v>
      </c>
      <c r="AK14" s="87">
        <v>102770</v>
      </c>
      <c r="AL14" s="38">
        <f t="shared" ref="AL14" si="113">(+AK14-+AK13)*48</f>
        <v>0</v>
      </c>
      <c r="AM14" s="87">
        <v>572088</v>
      </c>
      <c r="AN14" s="38">
        <f t="shared" ref="AN14" si="114">(+AM14-+AM13)*48</f>
        <v>5040</v>
      </c>
      <c r="AO14" s="87">
        <v>925585</v>
      </c>
      <c r="AP14" s="38">
        <f t="shared" ref="AP14" si="115">(+AO14-+AO13)*48</f>
        <v>9264</v>
      </c>
      <c r="AQ14" s="87">
        <v>77738</v>
      </c>
      <c r="AR14" s="38">
        <f t="shared" ref="AR14" si="116">(+AQ14-+AQ13)*48</f>
        <v>2352</v>
      </c>
      <c r="AS14" s="80">
        <v>2262</v>
      </c>
      <c r="AT14" s="38">
        <f t="shared" ref="AT14" si="117">(+AS14-+AS13)*48</f>
        <v>0</v>
      </c>
      <c r="AU14" s="80">
        <v>939</v>
      </c>
      <c r="AV14" s="38">
        <f t="shared" ref="AV14" si="118">(+AU14-+AU13)*48</f>
        <v>0</v>
      </c>
      <c r="AW14" s="81">
        <v>3109</v>
      </c>
      <c r="AX14" s="38">
        <f t="shared" ref="AX14" si="119">(+AW14-+AW13)*48</f>
        <v>0</v>
      </c>
      <c r="AY14" s="87">
        <v>315654</v>
      </c>
      <c r="AZ14" s="38">
        <f t="shared" ref="AZ14" si="120">(+AY14-+AY13)*48</f>
        <v>3456</v>
      </c>
      <c r="BA14" s="81">
        <v>161101</v>
      </c>
      <c r="BB14" s="38">
        <f t="shared" ref="BB14" si="121">(+BA14-+BA13)*48</f>
        <v>0</v>
      </c>
      <c r="BC14" s="87">
        <v>215866</v>
      </c>
      <c r="BD14" s="38">
        <f t="shared" ref="BD14" si="122">(+BC14-+BC13)*48</f>
        <v>2400</v>
      </c>
      <c r="BE14" s="81">
        <v>5347</v>
      </c>
      <c r="BF14" s="38">
        <f t="shared" ref="BF14" si="123">(+BE14-+BE13)*48</f>
        <v>0</v>
      </c>
      <c r="BH14" s="109">
        <f t="shared" si="1"/>
        <v>106200.62400000016</v>
      </c>
      <c r="BI14" s="109">
        <f t="shared" si="2"/>
        <v>60777.599999999999</v>
      </c>
    </row>
    <row r="15" spans="1:61" s="36" customFormat="1" ht="39.950000000000003" customHeight="1">
      <c r="A15" s="149">
        <v>44323</v>
      </c>
      <c r="B15" s="35"/>
      <c r="C15" s="81">
        <v>6018935</v>
      </c>
      <c r="D15" s="38">
        <f t="shared" ref="D15" si="124">(+C15-+C14)*48</f>
        <v>92832</v>
      </c>
      <c r="E15" s="38">
        <f t="shared" si="4"/>
        <v>55699.199999999997</v>
      </c>
      <c r="F15" s="108">
        <f t="shared" si="5"/>
        <v>37132.800000000003</v>
      </c>
      <c r="G15" s="81">
        <v>281346</v>
      </c>
      <c r="H15" s="38">
        <f t="shared" ref="H15" si="125">(+G15-+G14)*48</f>
        <v>1584</v>
      </c>
      <c r="I15" s="81">
        <v>122271</v>
      </c>
      <c r="J15" s="38">
        <f t="shared" ref="J15" si="126">(+I15-+I14)*48</f>
        <v>8304</v>
      </c>
      <c r="K15" s="81">
        <v>258198</v>
      </c>
      <c r="L15" s="38">
        <f t="shared" si="0"/>
        <v>0</v>
      </c>
      <c r="M15" s="81">
        <v>24778</v>
      </c>
      <c r="N15" s="38">
        <f t="shared" ref="N15" si="127">(+M15-+M14)*48</f>
        <v>0</v>
      </c>
      <c r="O15" s="81">
        <v>259857</v>
      </c>
      <c r="P15" s="38">
        <f t="shared" ref="P15" si="128">(+O15-+O14)*48</f>
        <v>9456</v>
      </c>
      <c r="Q15" s="81">
        <v>447829</v>
      </c>
      <c r="R15" s="38">
        <f t="shared" ref="R15" si="129">(+Q15-+Q14)*48</f>
        <v>3264</v>
      </c>
      <c r="S15" s="81">
        <v>721667</v>
      </c>
      <c r="T15" s="38">
        <f t="shared" ref="T15" si="130">(+S15-+S14)*48</f>
        <v>6384</v>
      </c>
      <c r="U15" s="81">
        <v>99273.731</v>
      </c>
      <c r="V15" s="108">
        <f t="shared" ref="V15" si="131">(+U15-+U14)*48</f>
        <v>1136.4000000001397</v>
      </c>
      <c r="W15" s="81">
        <v>80647</v>
      </c>
      <c r="X15" s="38">
        <f t="shared" ref="X15" si="132">(+W15-+W14)*48</f>
        <v>1152</v>
      </c>
      <c r="Y15" s="81">
        <v>1499372</v>
      </c>
      <c r="Z15" s="38">
        <f t="shared" ref="Z15" si="133">(+Y15-+Y14)*48</f>
        <v>2256</v>
      </c>
      <c r="AA15" s="81">
        <v>13264</v>
      </c>
      <c r="AB15" s="38">
        <f t="shared" ref="AB15" si="134">(+AA15-+AA14)*48</f>
        <v>0</v>
      </c>
      <c r="AC15" s="81">
        <v>454223</v>
      </c>
      <c r="AD15" s="38">
        <f t="shared" si="16"/>
        <v>5520</v>
      </c>
      <c r="AE15" s="81">
        <v>527012</v>
      </c>
      <c r="AF15" s="38">
        <f t="shared" si="16"/>
        <v>5472</v>
      </c>
      <c r="AG15" s="81">
        <v>49740</v>
      </c>
      <c r="AH15" s="38">
        <f t="shared" ref="AH15" si="135">(+AG15-+AG14)*48</f>
        <v>192</v>
      </c>
      <c r="AI15" s="81">
        <v>415434</v>
      </c>
      <c r="AJ15" s="38">
        <f t="shared" ref="AJ15" si="136">(+AI15-+AI14)*48</f>
        <v>3408</v>
      </c>
      <c r="AK15" s="81">
        <v>102770</v>
      </c>
      <c r="AL15" s="38">
        <f t="shared" ref="AL15" si="137">(+AK15-+AK14)*48</f>
        <v>0</v>
      </c>
      <c r="AM15" s="81">
        <v>572203</v>
      </c>
      <c r="AN15" s="38">
        <f t="shared" ref="AN15" si="138">(+AM15-+AM14)*48</f>
        <v>5520</v>
      </c>
      <c r="AO15" s="81">
        <v>925788</v>
      </c>
      <c r="AP15" s="38">
        <f t="shared" ref="AP15" si="139">(+AO15-+AO14)*48</f>
        <v>9744</v>
      </c>
      <c r="AQ15" s="81">
        <v>77799</v>
      </c>
      <c r="AR15" s="38">
        <f t="shared" ref="AR15" si="140">(+AQ15-+AQ14)*48</f>
        <v>2928</v>
      </c>
      <c r="AS15" s="80">
        <v>2262</v>
      </c>
      <c r="AT15" s="38">
        <f t="shared" ref="AT15" si="141">(+AS15-+AS14)*48</f>
        <v>0</v>
      </c>
      <c r="AU15" s="80">
        <v>939</v>
      </c>
      <c r="AV15" s="38">
        <f t="shared" ref="AV15" si="142">(+AU15-+AU14)*48</f>
        <v>0</v>
      </c>
      <c r="AW15" s="81">
        <v>3109</v>
      </c>
      <c r="AX15" s="38">
        <f t="shared" ref="AX15" si="143">(+AW15-+AW14)*48</f>
        <v>0</v>
      </c>
      <c r="AY15" s="81">
        <v>315727</v>
      </c>
      <c r="AZ15" s="38">
        <f t="shared" ref="AZ15" si="144">(+AY15-+AY14)*48</f>
        <v>3504</v>
      </c>
      <c r="BA15" s="81">
        <v>161101</v>
      </c>
      <c r="BB15" s="38">
        <f t="shared" ref="BB15" si="145">(+BA15-+BA14)*48</f>
        <v>0</v>
      </c>
      <c r="BC15" s="81">
        <v>215917</v>
      </c>
      <c r="BD15" s="38">
        <f t="shared" ref="BD15" si="146">(+BC15-+BC14)*48</f>
        <v>2448</v>
      </c>
      <c r="BE15" s="81">
        <v>5347</v>
      </c>
      <c r="BF15" s="38">
        <f t="shared" ref="BF15" si="147">(+BE15-+BE14)*48</f>
        <v>0</v>
      </c>
      <c r="BH15" s="109">
        <f t="shared" si="1"/>
        <v>103827.60000000014</v>
      </c>
      <c r="BI15" s="109">
        <f t="shared" si="2"/>
        <v>61276.800000000003</v>
      </c>
    </row>
    <row r="16" spans="1:61" s="36" customFormat="1" ht="39.950000000000003" customHeight="1">
      <c r="A16" s="149">
        <v>44324</v>
      </c>
      <c r="B16" s="35"/>
      <c r="C16" s="81">
        <v>6020911</v>
      </c>
      <c r="D16" s="38">
        <f t="shared" ref="D16" si="148">(+C16-+C15)*48</f>
        <v>94848</v>
      </c>
      <c r="E16" s="38">
        <f t="shared" si="4"/>
        <v>56908.799999999996</v>
      </c>
      <c r="F16" s="108">
        <f t="shared" si="5"/>
        <v>37939.200000000004</v>
      </c>
      <c r="G16" s="81">
        <v>281387</v>
      </c>
      <c r="H16" s="38">
        <f t="shared" ref="H16" si="149">(+G16-+G15)*48</f>
        <v>1968</v>
      </c>
      <c r="I16" s="81">
        <v>122446</v>
      </c>
      <c r="J16" s="38">
        <f t="shared" ref="J16" si="150">(+I16-+I15)*48</f>
        <v>8400</v>
      </c>
      <c r="K16" s="81">
        <v>258213</v>
      </c>
      <c r="L16" s="38">
        <f t="shared" si="0"/>
        <v>720</v>
      </c>
      <c r="M16" s="81">
        <v>24778</v>
      </c>
      <c r="N16" s="38">
        <f t="shared" ref="N16" si="151">(+M16-+M15)*48</f>
        <v>0</v>
      </c>
      <c r="O16" s="81">
        <v>260050</v>
      </c>
      <c r="P16" s="38">
        <f t="shared" ref="P16" si="152">(+O16-+O15)*48</f>
        <v>9264</v>
      </c>
      <c r="Q16" s="81">
        <v>447884</v>
      </c>
      <c r="R16" s="38">
        <f t="shared" ref="R16" si="153">(+Q16-+Q15)*48</f>
        <v>2640</v>
      </c>
      <c r="S16" s="81">
        <v>721800</v>
      </c>
      <c r="T16" s="38">
        <f t="shared" ref="T16" si="154">(+S16-+S15)*48</f>
        <v>6384</v>
      </c>
      <c r="U16" s="81">
        <v>99295.698000000004</v>
      </c>
      <c r="V16" s="108">
        <f t="shared" ref="V16" si="155">(+U16-+U15)*48</f>
        <v>1054.4160000002012</v>
      </c>
      <c r="W16" s="81">
        <v>80662</v>
      </c>
      <c r="X16" s="38">
        <f t="shared" ref="X16" si="156">(+W16-+W15)*48</f>
        <v>720</v>
      </c>
      <c r="Y16" s="81">
        <v>1499413</v>
      </c>
      <c r="Z16" s="38">
        <f t="shared" ref="Z16" si="157">(+Y16-+Y15)*48</f>
        <v>1968</v>
      </c>
      <c r="AA16" s="81">
        <v>13264</v>
      </c>
      <c r="AB16" s="38">
        <f t="shared" ref="AB16" si="158">(+AA16-+AA15)*48</f>
        <v>0</v>
      </c>
      <c r="AC16" s="81">
        <v>454330</v>
      </c>
      <c r="AD16" s="38">
        <f t="shared" si="16"/>
        <v>5136</v>
      </c>
      <c r="AE16" s="81">
        <v>527122</v>
      </c>
      <c r="AF16" s="38">
        <f t="shared" si="16"/>
        <v>5280</v>
      </c>
      <c r="AG16" s="81">
        <v>49744</v>
      </c>
      <c r="AH16" s="38">
        <f t="shared" ref="AH16" si="159">(+AG16-+AG15)*48</f>
        <v>192</v>
      </c>
      <c r="AI16" s="81">
        <v>415518</v>
      </c>
      <c r="AJ16" s="38">
        <f t="shared" ref="AJ16" si="160">(+AI16-+AI15)*48</f>
        <v>4032</v>
      </c>
      <c r="AK16" s="81">
        <v>102770</v>
      </c>
      <c r="AL16" s="38">
        <f t="shared" ref="AL16" si="161">(+AK16-+AK15)*48</f>
        <v>0</v>
      </c>
      <c r="AM16" s="81">
        <v>572309</v>
      </c>
      <c r="AN16" s="38">
        <f t="shared" ref="AN16" si="162">(+AM16-+AM15)*48</f>
        <v>5088</v>
      </c>
      <c r="AO16" s="81">
        <v>925984</v>
      </c>
      <c r="AP16" s="38">
        <f t="shared" ref="AP16" si="163">(+AO16-+AO15)*48</f>
        <v>9408</v>
      </c>
      <c r="AQ16" s="81">
        <v>77809</v>
      </c>
      <c r="AR16" s="38">
        <f t="shared" ref="AR16" si="164">(+AQ16-+AQ15)*48</f>
        <v>480</v>
      </c>
      <c r="AS16" s="80">
        <v>2262</v>
      </c>
      <c r="AT16" s="38">
        <f t="shared" ref="AT16" si="165">(+AS16-+AS15)*48</f>
        <v>0</v>
      </c>
      <c r="AU16" s="80">
        <v>939</v>
      </c>
      <c r="AV16" s="38">
        <f t="shared" ref="AV16" si="166">(+AU16-+AU15)*48</f>
        <v>0</v>
      </c>
      <c r="AW16" s="81">
        <v>3109</v>
      </c>
      <c r="AX16" s="38">
        <f t="shared" ref="AX16" si="167">(+AW16-+AW15)*48</f>
        <v>0</v>
      </c>
      <c r="AY16" s="81">
        <v>315799</v>
      </c>
      <c r="AZ16" s="38">
        <f t="shared" ref="AZ16" si="168">(+AY16-+AY15)*48</f>
        <v>3456</v>
      </c>
      <c r="BA16" s="81">
        <v>161101</v>
      </c>
      <c r="BB16" s="38">
        <f t="shared" ref="BB16" si="169">(+BA16-+BA15)*48</f>
        <v>0</v>
      </c>
      <c r="BC16" s="81">
        <v>215966</v>
      </c>
      <c r="BD16" s="38">
        <f t="shared" ref="BD16" si="170">(+BC16-+BC15)*48</f>
        <v>2352</v>
      </c>
      <c r="BE16" s="81">
        <v>5347</v>
      </c>
      <c r="BF16" s="38">
        <f t="shared" ref="BF16" si="171">(+BE16-+BE15)*48</f>
        <v>0</v>
      </c>
      <c r="BH16" s="109">
        <f t="shared" si="1"/>
        <v>104667.21600000019</v>
      </c>
      <c r="BI16" s="109">
        <f t="shared" si="2"/>
        <v>58723.200000000004</v>
      </c>
    </row>
    <row r="17" spans="1:61" s="36" customFormat="1" ht="39.950000000000003" customHeight="1">
      <c r="A17" s="149">
        <v>44325</v>
      </c>
      <c r="B17" s="35"/>
      <c r="C17" s="81">
        <f>(C16+C18)/2</f>
        <v>6023017</v>
      </c>
      <c r="D17" s="38">
        <f t="shared" ref="D17" si="172">(+C17-+C16)*48</f>
        <v>101088</v>
      </c>
      <c r="E17" s="38">
        <f t="shared" si="4"/>
        <v>60652.799999999996</v>
      </c>
      <c r="F17" s="108">
        <f t="shared" si="5"/>
        <v>40435.200000000004</v>
      </c>
      <c r="G17" s="81">
        <v>281428</v>
      </c>
      <c r="H17" s="38">
        <f t="shared" ref="H17" si="173">(+G17-+G16)*48</f>
        <v>1968</v>
      </c>
      <c r="I17" s="81">
        <v>122624</v>
      </c>
      <c r="J17" s="38">
        <f t="shared" ref="J17" si="174">(+I17-+I16)*48</f>
        <v>8544</v>
      </c>
      <c r="K17" s="81">
        <v>258237</v>
      </c>
      <c r="L17" s="38">
        <f t="shared" si="0"/>
        <v>1152</v>
      </c>
      <c r="M17" s="81">
        <v>24778</v>
      </c>
      <c r="N17" s="38">
        <f t="shared" ref="N17" si="175">(+M17-+M16)*48</f>
        <v>0</v>
      </c>
      <c r="O17" s="81">
        <v>260271</v>
      </c>
      <c r="P17" s="38">
        <f t="shared" ref="P17" si="176">(+O17-+O16)*48</f>
        <v>10608</v>
      </c>
      <c r="Q17" s="81">
        <v>447979</v>
      </c>
      <c r="R17" s="38">
        <f t="shared" ref="R17" si="177">(+Q17-+Q16)*48</f>
        <v>4560</v>
      </c>
      <c r="S17" s="81">
        <v>721936</v>
      </c>
      <c r="T17" s="38">
        <f t="shared" ref="T17" si="178">(+S17-+S16)*48</f>
        <v>6528</v>
      </c>
      <c r="U17" s="81">
        <v>99324.005000000005</v>
      </c>
      <c r="V17" s="108">
        <f t="shared" ref="V17" si="179">(+U17-+U16)*48</f>
        <v>1358.7360000000335</v>
      </c>
      <c r="W17" s="81">
        <v>80675</v>
      </c>
      <c r="X17" s="38">
        <f t="shared" ref="X17" si="180">(+W17-+W16)*48</f>
        <v>624</v>
      </c>
      <c r="Y17" s="81">
        <v>1499420</v>
      </c>
      <c r="Z17" s="38">
        <f t="shared" ref="Z17" si="181">(+Y17-+Y16)*48</f>
        <v>336</v>
      </c>
      <c r="AA17" s="81">
        <v>13264</v>
      </c>
      <c r="AB17" s="38">
        <f t="shared" ref="AB17" si="182">(+AA17-+AA16)*48</f>
        <v>0</v>
      </c>
      <c r="AC17" s="81">
        <f>(AC18+AC16)/2</f>
        <v>454431.5</v>
      </c>
      <c r="AD17" s="38">
        <f t="shared" si="16"/>
        <v>4872</v>
      </c>
      <c r="AE17" s="81">
        <f>(AE18+AE16)/2</f>
        <v>527224.5</v>
      </c>
      <c r="AF17" s="38">
        <f t="shared" si="16"/>
        <v>4920</v>
      </c>
      <c r="AG17" s="81">
        <f>(AG18+AG16)/2</f>
        <v>49747.5</v>
      </c>
      <c r="AH17" s="38">
        <f t="shared" ref="AH17" si="183">(+AG17-+AG16)*48</f>
        <v>168</v>
      </c>
      <c r="AI17" s="81">
        <f>(AI18+AI16)/2</f>
        <v>415610.5</v>
      </c>
      <c r="AJ17" s="38">
        <f t="shared" ref="AJ17" si="184">(+AI17-+AI16)*48</f>
        <v>4440</v>
      </c>
      <c r="AK17" s="81">
        <f>(AK18+AK16)/2</f>
        <v>102770</v>
      </c>
      <c r="AL17" s="38">
        <f t="shared" ref="AL17" si="185">(+AK17-+AK16)*48</f>
        <v>0</v>
      </c>
      <c r="AM17" s="81">
        <f>(AM18+AM16)/2</f>
        <v>572411.5</v>
      </c>
      <c r="AN17" s="38">
        <f t="shared" ref="AN17" si="186">(+AM17-+AM16)*48</f>
        <v>4920</v>
      </c>
      <c r="AO17" s="81">
        <f>(AO18+AO16)/2</f>
        <v>926174.5</v>
      </c>
      <c r="AP17" s="38">
        <f t="shared" ref="AP17" si="187">(+AO17-+AO16)*48</f>
        <v>9144</v>
      </c>
      <c r="AQ17" s="81">
        <f>(AQ18+AQ16)/2</f>
        <v>77821</v>
      </c>
      <c r="AR17" s="38">
        <f t="shared" ref="AR17" si="188">(+AQ17-+AQ16)*48</f>
        <v>576</v>
      </c>
      <c r="AS17" s="80">
        <v>2262</v>
      </c>
      <c r="AT17" s="38">
        <f t="shared" ref="AT17" si="189">(+AS17-+AS16)*48</f>
        <v>0</v>
      </c>
      <c r="AU17" s="80">
        <v>939</v>
      </c>
      <c r="AV17" s="38">
        <f t="shared" ref="AV17" si="190">(+AU17-+AU16)*48</f>
        <v>0</v>
      </c>
      <c r="AW17" s="81">
        <v>3109</v>
      </c>
      <c r="AX17" s="38">
        <f t="shared" ref="AX17" si="191">(+AW17-+AW16)*48</f>
        <v>0</v>
      </c>
      <c r="AY17" s="81">
        <f>(AY18+AY16)/2</f>
        <v>315867.5</v>
      </c>
      <c r="AZ17" s="38">
        <f t="shared" ref="AZ17" si="192">(+AY17-+AY16)*48</f>
        <v>3288</v>
      </c>
      <c r="BA17" s="81">
        <v>161101</v>
      </c>
      <c r="BB17" s="38">
        <f t="shared" ref="BB17" si="193">(+BA17-+BA16)*48</f>
        <v>0</v>
      </c>
      <c r="BC17" s="81">
        <f>(BC18+BC16)/2</f>
        <v>216014</v>
      </c>
      <c r="BD17" s="38">
        <f t="shared" ref="BD17" si="194">(+BC17-+BC16)*48</f>
        <v>2304</v>
      </c>
      <c r="BE17" s="81">
        <v>5347</v>
      </c>
      <c r="BF17" s="38">
        <f t="shared" ref="BF17" si="195">(+BE17-+BE16)*48</f>
        <v>0</v>
      </c>
      <c r="BH17" s="109">
        <f t="shared" si="1"/>
        <v>110731.53600000002</v>
      </c>
      <c r="BI17" s="109">
        <f t="shared" si="2"/>
        <v>60667.200000000004</v>
      </c>
    </row>
    <row r="18" spans="1:61" s="36" customFormat="1" ht="39.950000000000003" customHeight="1">
      <c r="A18" s="149">
        <v>44326</v>
      </c>
      <c r="B18" s="35"/>
      <c r="C18" s="81">
        <v>6025123</v>
      </c>
      <c r="D18" s="38">
        <f t="shared" ref="D18" si="196">(+C18-+C17)*48</f>
        <v>101088</v>
      </c>
      <c r="E18" s="38">
        <f t="shared" si="4"/>
        <v>60652.799999999996</v>
      </c>
      <c r="F18" s="108">
        <f t="shared" si="5"/>
        <v>40435.200000000004</v>
      </c>
      <c r="G18" s="81">
        <v>281472</v>
      </c>
      <c r="H18" s="38">
        <f t="shared" ref="H18" si="197">(+G18-+G17)*48</f>
        <v>2112</v>
      </c>
      <c r="I18" s="81">
        <v>122797</v>
      </c>
      <c r="J18" s="38">
        <f t="shared" ref="J18" si="198">(+I18-+I17)*48</f>
        <v>8304</v>
      </c>
      <c r="K18" s="81">
        <v>258248</v>
      </c>
      <c r="L18" s="38">
        <f t="shared" si="0"/>
        <v>528</v>
      </c>
      <c r="M18" s="81">
        <v>24778</v>
      </c>
      <c r="N18" s="38">
        <f t="shared" ref="N18" si="199">(+M18-+M17)*48</f>
        <v>0</v>
      </c>
      <c r="O18" s="81">
        <v>260470</v>
      </c>
      <c r="P18" s="38">
        <f t="shared" ref="P18" si="200">(+O18-+O17)*48</f>
        <v>9552</v>
      </c>
      <c r="Q18" s="81">
        <v>448055</v>
      </c>
      <c r="R18" s="38">
        <f t="shared" ref="R18" si="201">(+Q18-+Q17)*48</f>
        <v>3648</v>
      </c>
      <c r="S18" s="81">
        <v>722054</v>
      </c>
      <c r="T18" s="38">
        <f t="shared" ref="T18" si="202">(+S18-+S17)*48</f>
        <v>5664</v>
      </c>
      <c r="U18" s="81">
        <v>99351.535000000003</v>
      </c>
      <c r="V18" s="108">
        <f t="shared" ref="V18" si="203">(+U18-+U17)*48</f>
        <v>1321.4399999999441</v>
      </c>
      <c r="W18" s="81">
        <v>80689</v>
      </c>
      <c r="X18" s="38">
        <f t="shared" ref="X18" si="204">(+W18-+W17)*48</f>
        <v>672</v>
      </c>
      <c r="Y18" s="81">
        <v>1499428</v>
      </c>
      <c r="Z18" s="38">
        <f t="shared" ref="Z18" si="205">(+Y18-+Y17)*48</f>
        <v>384</v>
      </c>
      <c r="AA18" s="81">
        <v>13264</v>
      </c>
      <c r="AB18" s="38">
        <f t="shared" ref="AB18" si="206">(+AA18-+AA17)*48</f>
        <v>0</v>
      </c>
      <c r="AC18" s="81">
        <v>454533</v>
      </c>
      <c r="AD18" s="38">
        <f t="shared" si="16"/>
        <v>4872</v>
      </c>
      <c r="AE18" s="81">
        <v>527327</v>
      </c>
      <c r="AF18" s="38">
        <f t="shared" si="16"/>
        <v>4920</v>
      </c>
      <c r="AG18" s="81">
        <v>49751</v>
      </c>
      <c r="AH18" s="38">
        <f t="shared" ref="AH18" si="207">(+AG18-+AG17)*48</f>
        <v>168</v>
      </c>
      <c r="AI18" s="81">
        <v>415703</v>
      </c>
      <c r="AJ18" s="38">
        <f t="shared" ref="AJ18" si="208">(+AI18-+AI17)*48</f>
        <v>4440</v>
      </c>
      <c r="AK18" s="81">
        <v>102770</v>
      </c>
      <c r="AL18" s="38">
        <f t="shared" ref="AL18" si="209">(+AK18-+AK17)*48</f>
        <v>0</v>
      </c>
      <c r="AM18" s="81">
        <v>572514</v>
      </c>
      <c r="AN18" s="38">
        <f t="shared" ref="AN18" si="210">(+AM18-+AM17)*48</f>
        <v>4920</v>
      </c>
      <c r="AO18" s="81">
        <v>926365</v>
      </c>
      <c r="AP18" s="38">
        <f t="shared" ref="AP18" si="211">(+AO18-+AO17)*48</f>
        <v>9144</v>
      </c>
      <c r="AQ18" s="81">
        <v>77833</v>
      </c>
      <c r="AR18" s="38">
        <f t="shared" ref="AR18" si="212">(+AQ18-+AQ17)*48</f>
        <v>576</v>
      </c>
      <c r="AS18" s="80">
        <v>2262</v>
      </c>
      <c r="AT18" s="38">
        <f t="shared" ref="AT18" si="213">(+AS18-+AS17)*48</f>
        <v>0</v>
      </c>
      <c r="AU18" s="80">
        <v>939</v>
      </c>
      <c r="AV18" s="38">
        <f t="shared" ref="AV18" si="214">(+AU18-+AU17)*48</f>
        <v>0</v>
      </c>
      <c r="AW18" s="81">
        <v>3109</v>
      </c>
      <c r="AX18" s="38">
        <f t="shared" ref="AX18" si="215">(+AW18-+AW17)*48</f>
        <v>0</v>
      </c>
      <c r="AY18" s="81">
        <v>315936</v>
      </c>
      <c r="AZ18" s="38">
        <f t="shared" ref="AZ18" si="216">(+AY18-+AY17)*48</f>
        <v>3288</v>
      </c>
      <c r="BA18" s="81">
        <v>161101</v>
      </c>
      <c r="BB18" s="38">
        <f t="shared" ref="BB18" si="217">(+BA18-+BA17)*48</f>
        <v>0</v>
      </c>
      <c r="BC18" s="81">
        <v>216062</v>
      </c>
      <c r="BD18" s="38">
        <f t="shared" ref="BD18" si="218">(+BC18-+BC17)*48</f>
        <v>2304</v>
      </c>
      <c r="BE18" s="81">
        <v>5347</v>
      </c>
      <c r="BF18" s="38">
        <f t="shared" ref="BF18" si="219">(+BE18-+BE17)*48</f>
        <v>0</v>
      </c>
      <c r="BH18" s="109">
        <f t="shared" si="1"/>
        <v>107238.23999999993</v>
      </c>
      <c r="BI18" s="109">
        <f t="shared" si="2"/>
        <v>60667.200000000004</v>
      </c>
    </row>
    <row r="19" spans="1:61" s="36" customFormat="1" ht="39.950000000000003" customHeight="1">
      <c r="A19" s="149">
        <v>44327</v>
      </c>
      <c r="B19" s="35"/>
      <c r="C19" s="86">
        <v>6027134</v>
      </c>
      <c r="D19" s="38">
        <f t="shared" ref="D19" si="220">(+C19-+C18)*48</f>
        <v>96528</v>
      </c>
      <c r="E19" s="38">
        <f t="shared" si="4"/>
        <v>57916.799999999996</v>
      </c>
      <c r="F19" s="108">
        <f t="shared" si="5"/>
        <v>38611.200000000004</v>
      </c>
      <c r="G19" s="86">
        <v>281499</v>
      </c>
      <c r="H19" s="38">
        <f t="shared" ref="H19" si="221">(+G19-+G18)*48</f>
        <v>1296</v>
      </c>
      <c r="I19" s="86">
        <v>122965</v>
      </c>
      <c r="J19" s="38">
        <f t="shared" ref="J19" si="222">(+I19-+I18)*48</f>
        <v>8064</v>
      </c>
      <c r="K19" s="86">
        <v>258249</v>
      </c>
      <c r="L19" s="38">
        <f t="shared" si="0"/>
        <v>48</v>
      </c>
      <c r="M19" s="86">
        <v>24778</v>
      </c>
      <c r="N19" s="38">
        <f t="shared" ref="N19" si="223">(+M19-+M18)*48</f>
        <v>0</v>
      </c>
      <c r="O19" s="86">
        <v>260646</v>
      </c>
      <c r="P19" s="38">
        <f t="shared" ref="P19" si="224">(+O19-+O18)*48</f>
        <v>8448</v>
      </c>
      <c r="Q19" s="86">
        <v>448107</v>
      </c>
      <c r="R19" s="38">
        <f t="shared" ref="R19" si="225">(+Q19-+Q18)*48</f>
        <v>2496</v>
      </c>
      <c r="S19" s="86">
        <v>722179</v>
      </c>
      <c r="T19" s="38">
        <f t="shared" ref="T19" si="226">(+S19-+S18)*48</f>
        <v>6000</v>
      </c>
      <c r="U19" s="86">
        <v>99373.138000000006</v>
      </c>
      <c r="V19" s="108">
        <f t="shared" ref="V19" si="227">(+U19-+U18)*48</f>
        <v>1036.9440000001341</v>
      </c>
      <c r="W19" s="86">
        <v>80701</v>
      </c>
      <c r="X19" s="38">
        <f t="shared" ref="X19" si="228">(+W19-+W18)*48</f>
        <v>576</v>
      </c>
      <c r="Y19" s="86">
        <v>1499442</v>
      </c>
      <c r="Z19" s="38">
        <f t="shared" ref="Z19" si="229">(+Y19-+Y18)*48</f>
        <v>672</v>
      </c>
      <c r="AA19" s="86">
        <v>13264</v>
      </c>
      <c r="AB19" s="38">
        <f t="shared" ref="AB19" si="230">(+AA19-+AA18)*48</f>
        <v>0</v>
      </c>
      <c r="AC19" s="86">
        <v>454633</v>
      </c>
      <c r="AD19" s="38">
        <f t="shared" si="16"/>
        <v>4800</v>
      </c>
      <c r="AE19" s="86">
        <v>527433</v>
      </c>
      <c r="AF19" s="38">
        <f t="shared" si="16"/>
        <v>5088</v>
      </c>
      <c r="AG19" s="86">
        <v>49755</v>
      </c>
      <c r="AH19" s="38">
        <f t="shared" ref="AH19" si="231">(+AG19-+AG18)*48</f>
        <v>192</v>
      </c>
      <c r="AI19" s="86">
        <v>415785</v>
      </c>
      <c r="AJ19" s="38">
        <f t="shared" ref="AJ19" si="232">(+AI19-+AI18)*48</f>
        <v>3936</v>
      </c>
      <c r="AK19" s="86">
        <v>102770</v>
      </c>
      <c r="AL19" s="38">
        <f t="shared" ref="AL19" si="233">(+AK19-+AK18)*48</f>
        <v>0</v>
      </c>
      <c r="AM19" s="86">
        <v>572616</v>
      </c>
      <c r="AN19" s="38">
        <f t="shared" ref="AN19" si="234">(+AM19-+AM18)*48</f>
        <v>4896</v>
      </c>
      <c r="AO19" s="86">
        <v>926555</v>
      </c>
      <c r="AP19" s="38">
        <f t="shared" ref="AP19" si="235">(+AO19-+AO18)*48</f>
        <v>9120</v>
      </c>
      <c r="AQ19" s="86">
        <v>77843</v>
      </c>
      <c r="AR19" s="38">
        <f t="shared" ref="AR19" si="236">(+AQ19-+AQ18)*48</f>
        <v>480</v>
      </c>
      <c r="AS19" s="80">
        <v>2262</v>
      </c>
      <c r="AT19" s="38">
        <f t="shared" ref="AT19" si="237">(+AS19-+AS18)*48</f>
        <v>0</v>
      </c>
      <c r="AU19" s="80">
        <v>939</v>
      </c>
      <c r="AV19" s="38">
        <f t="shared" ref="AV19" si="238">(+AU19-+AU18)*48</f>
        <v>0</v>
      </c>
      <c r="AW19" s="81">
        <v>3109</v>
      </c>
      <c r="AX19" s="38">
        <f t="shared" ref="AX19" si="239">(+AW19-+AW18)*48</f>
        <v>0</v>
      </c>
      <c r="AY19" s="86">
        <v>316008</v>
      </c>
      <c r="AZ19" s="38">
        <f t="shared" ref="AZ19" si="240">(+AY19-+AY18)*48</f>
        <v>3456</v>
      </c>
      <c r="BA19" s="86">
        <f>(BA22-BA18)/4+BA18</f>
        <v>161101</v>
      </c>
      <c r="BB19" s="38">
        <f t="shared" ref="BB19" si="241">(+BA19-+BA18)*48</f>
        <v>0</v>
      </c>
      <c r="BC19" s="86">
        <v>216112</v>
      </c>
      <c r="BD19" s="38">
        <f t="shared" ref="BD19" si="242">(+BC19-+BC18)*48</f>
        <v>2400</v>
      </c>
      <c r="BE19" s="81">
        <v>5347</v>
      </c>
      <c r="BF19" s="38">
        <f t="shared" ref="BF19" si="243">(+BE19-+BE18)*48</f>
        <v>0</v>
      </c>
      <c r="BH19" s="173">
        <f t="shared" si="1"/>
        <v>100569.74400000012</v>
      </c>
      <c r="BI19" s="173">
        <f t="shared" si="2"/>
        <v>58963.200000000004</v>
      </c>
    </row>
    <row r="20" spans="1:61" s="36" customFormat="1" ht="39.950000000000003" customHeight="1">
      <c r="A20" s="149">
        <v>44328</v>
      </c>
      <c r="B20" s="35"/>
      <c r="C20" s="86">
        <v>6029133</v>
      </c>
      <c r="D20" s="38">
        <f t="shared" ref="D20" si="244">(+C20-+C19)*48</f>
        <v>95952</v>
      </c>
      <c r="E20" s="38">
        <f t="shared" si="4"/>
        <v>57571.199999999997</v>
      </c>
      <c r="F20" s="108">
        <f t="shared" si="5"/>
        <v>38380.800000000003</v>
      </c>
      <c r="G20" s="86">
        <v>281538</v>
      </c>
      <c r="H20" s="38">
        <f t="shared" ref="H20" si="245">(+G20-+G19)*48</f>
        <v>1872</v>
      </c>
      <c r="I20" s="86">
        <v>123131</v>
      </c>
      <c r="J20" s="38">
        <f t="shared" ref="J20" si="246">(+I20-+I19)*48</f>
        <v>7968</v>
      </c>
      <c r="K20" s="86">
        <v>258255</v>
      </c>
      <c r="L20" s="38">
        <f t="shared" si="0"/>
        <v>288</v>
      </c>
      <c r="M20" s="86">
        <v>24778</v>
      </c>
      <c r="N20" s="38">
        <f t="shared" ref="N20" si="247">(+M20-+M19)*48</f>
        <v>0</v>
      </c>
      <c r="O20" s="86">
        <v>260842</v>
      </c>
      <c r="P20" s="38">
        <f t="shared" ref="P20" si="248">(+O20-+O19)*48</f>
        <v>9408</v>
      </c>
      <c r="Q20" s="86">
        <v>448170</v>
      </c>
      <c r="R20" s="38">
        <f t="shared" ref="R20" si="249">(+Q20-+Q19)*48</f>
        <v>3024</v>
      </c>
      <c r="S20" s="81">
        <f>(S21+S19)/2</f>
        <v>722306</v>
      </c>
      <c r="T20" s="38">
        <f t="shared" ref="T20" si="250">(+S20-+S19)*48</f>
        <v>6096</v>
      </c>
      <c r="U20" s="86">
        <v>99393.258000000002</v>
      </c>
      <c r="V20" s="108">
        <f t="shared" ref="V20" si="251">(+U20-+U19)*48</f>
        <v>965.75999999977648</v>
      </c>
      <c r="W20" s="86">
        <v>80713</v>
      </c>
      <c r="X20" s="38">
        <f t="shared" ref="X20" si="252">(+W20-+W19)*48</f>
        <v>576</v>
      </c>
      <c r="Y20" s="86">
        <v>1499449</v>
      </c>
      <c r="Z20" s="38">
        <f t="shared" ref="Z20" si="253">(+Y20-+Y19)*48</f>
        <v>336</v>
      </c>
      <c r="AA20" s="86">
        <v>13264</v>
      </c>
      <c r="AB20" s="38">
        <f t="shared" ref="AB20" si="254">(+AA20-+AA19)*48</f>
        <v>0</v>
      </c>
      <c r="AC20" s="86">
        <v>454731</v>
      </c>
      <c r="AD20" s="38">
        <f t="shared" si="16"/>
        <v>4704</v>
      </c>
      <c r="AE20" s="86">
        <v>527538</v>
      </c>
      <c r="AF20" s="38">
        <f t="shared" si="16"/>
        <v>5040</v>
      </c>
      <c r="AG20" s="86">
        <v>49759</v>
      </c>
      <c r="AH20" s="38">
        <f t="shared" ref="AH20" si="255">(+AG20-+AG19)*48</f>
        <v>192</v>
      </c>
      <c r="AI20" s="86">
        <v>415872</v>
      </c>
      <c r="AJ20" s="38">
        <f t="shared" ref="AJ20" si="256">(+AI20-+AI19)*48</f>
        <v>4176</v>
      </c>
      <c r="AK20" s="86">
        <v>102770</v>
      </c>
      <c r="AL20" s="38">
        <f t="shared" ref="AL20" si="257">(+AK20-+AK19)*48</f>
        <v>0</v>
      </c>
      <c r="AM20" s="86">
        <v>572718</v>
      </c>
      <c r="AN20" s="38">
        <f t="shared" ref="AN20" si="258">(+AM20-+AM19)*48</f>
        <v>4896</v>
      </c>
      <c r="AO20" s="86">
        <v>926747</v>
      </c>
      <c r="AP20" s="38">
        <f t="shared" ref="AP20" si="259">(+AO20-+AO19)*48</f>
        <v>9216</v>
      </c>
      <c r="AQ20" s="86">
        <v>77848</v>
      </c>
      <c r="AR20" s="38">
        <f t="shared" ref="AR20" si="260">(+AQ20-+AQ19)*48</f>
        <v>240</v>
      </c>
      <c r="AS20" s="80">
        <v>2262</v>
      </c>
      <c r="AT20" s="38">
        <f t="shared" ref="AT20" si="261">(+AS20-+AS19)*48</f>
        <v>0</v>
      </c>
      <c r="AU20" s="80">
        <v>939</v>
      </c>
      <c r="AV20" s="38">
        <f t="shared" ref="AV20" si="262">(+AU20-+AU19)*48</f>
        <v>0</v>
      </c>
      <c r="AW20" s="81">
        <v>3109</v>
      </c>
      <c r="AX20" s="38">
        <f t="shared" ref="AX20" si="263">(+AW20-+AW19)*48</f>
        <v>0</v>
      </c>
      <c r="AY20" s="86">
        <v>316081</v>
      </c>
      <c r="AZ20" s="38">
        <f t="shared" ref="AZ20" si="264">(+AY20-+AY19)*48</f>
        <v>3504</v>
      </c>
      <c r="BA20" s="86">
        <f>(BA22-BA18)/4+BA19</f>
        <v>161101</v>
      </c>
      <c r="BB20" s="38">
        <f t="shared" ref="BB20" si="265">(+BA20-+BA19)*48</f>
        <v>0</v>
      </c>
      <c r="BC20" s="86">
        <v>216160</v>
      </c>
      <c r="BD20" s="38">
        <f t="shared" ref="BD20" si="266">(+BC20-+BC19)*48</f>
        <v>2304</v>
      </c>
      <c r="BE20" s="81">
        <v>5347</v>
      </c>
      <c r="BF20" s="38">
        <f t="shared" ref="BF20" si="267">(+BE20-+BE19)*48</f>
        <v>0</v>
      </c>
      <c r="BH20" s="173">
        <f t="shared" si="1"/>
        <v>102216.95999999977</v>
      </c>
      <c r="BI20" s="173">
        <f t="shared" si="2"/>
        <v>58540.800000000003</v>
      </c>
    </row>
    <row r="21" spans="1:61" s="36" customFormat="1" ht="39.950000000000003" customHeight="1">
      <c r="A21" s="149">
        <v>44329</v>
      </c>
      <c r="B21" s="35"/>
      <c r="C21" s="86">
        <v>6031068</v>
      </c>
      <c r="D21" s="38">
        <f t="shared" ref="D21" si="268">(+C21-+C20)*48</f>
        <v>92880</v>
      </c>
      <c r="E21" s="38">
        <f t="shared" si="4"/>
        <v>55728</v>
      </c>
      <c r="F21" s="108">
        <f t="shared" si="5"/>
        <v>37152</v>
      </c>
      <c r="G21" s="86">
        <v>281565</v>
      </c>
      <c r="H21" s="38">
        <f t="shared" ref="H21" si="269">(+G21-+G20)*48</f>
        <v>1296</v>
      </c>
      <c r="I21" s="86">
        <v>123295</v>
      </c>
      <c r="J21" s="38">
        <f t="shared" ref="J21" si="270">(+I21-+I20)*48</f>
        <v>7872</v>
      </c>
      <c r="K21" s="86">
        <v>258263</v>
      </c>
      <c r="L21" s="38">
        <f t="shared" si="0"/>
        <v>384</v>
      </c>
      <c r="M21" s="86">
        <v>24778</v>
      </c>
      <c r="N21" s="38">
        <f t="shared" ref="N21" si="271">(+M21-+M20)*48</f>
        <v>0</v>
      </c>
      <c r="O21" s="86">
        <v>261006</v>
      </c>
      <c r="P21" s="38">
        <f t="shared" ref="P21" si="272">(+O21-+O20)*48</f>
        <v>7872</v>
      </c>
      <c r="Q21" s="86">
        <v>448226</v>
      </c>
      <c r="R21" s="38">
        <f t="shared" ref="R21" si="273">(+Q21-+Q20)*48</f>
        <v>2688</v>
      </c>
      <c r="S21" s="86">
        <v>722433</v>
      </c>
      <c r="T21" s="38">
        <f t="shared" ref="T21" si="274">(+S21-+S20)*48</f>
        <v>6096</v>
      </c>
      <c r="U21" s="86">
        <v>99413.118000000002</v>
      </c>
      <c r="V21" s="108">
        <f t="shared" ref="V21" si="275">(+U21-+U20)*48</f>
        <v>953.28000000002794</v>
      </c>
      <c r="W21" s="86">
        <v>80725</v>
      </c>
      <c r="X21" s="38">
        <f t="shared" ref="X21" si="276">(+W21-+W20)*48</f>
        <v>576</v>
      </c>
      <c r="Y21" s="86">
        <v>1499454</v>
      </c>
      <c r="Z21" s="38">
        <f t="shared" ref="Z21" si="277">(+Y21-+Y20)*48</f>
        <v>240</v>
      </c>
      <c r="AA21" s="86">
        <v>13264</v>
      </c>
      <c r="AB21" s="38">
        <f t="shared" ref="AB21" si="278">(+AA21-+AA20)*48</f>
        <v>0</v>
      </c>
      <c r="AC21" s="86">
        <v>454828</v>
      </c>
      <c r="AD21" s="38">
        <f t="shared" si="16"/>
        <v>4656</v>
      </c>
      <c r="AE21" s="86">
        <v>527643</v>
      </c>
      <c r="AF21" s="38">
        <f t="shared" si="16"/>
        <v>5040</v>
      </c>
      <c r="AG21" s="86">
        <v>49762</v>
      </c>
      <c r="AH21" s="38">
        <f t="shared" ref="AH21" si="279">(+AG21-+AG20)*48</f>
        <v>144</v>
      </c>
      <c r="AI21" s="86">
        <v>415950</v>
      </c>
      <c r="AJ21" s="38">
        <f t="shared" ref="AJ21" si="280">(+AI21-+AI20)*48</f>
        <v>3744</v>
      </c>
      <c r="AK21" s="86">
        <v>102770</v>
      </c>
      <c r="AL21" s="38">
        <f t="shared" ref="AL21" si="281">(+AK21-+AK20)*48</f>
        <v>0</v>
      </c>
      <c r="AM21" s="86">
        <v>572818</v>
      </c>
      <c r="AN21" s="38">
        <f t="shared" ref="AN21" si="282">(+AM21-+AM20)*48</f>
        <v>4800</v>
      </c>
      <c r="AO21" s="86">
        <v>926934</v>
      </c>
      <c r="AP21" s="38">
        <f t="shared" ref="AP21" si="283">(+AO21-+AO20)*48</f>
        <v>8976</v>
      </c>
      <c r="AQ21" s="86">
        <v>77852</v>
      </c>
      <c r="AR21" s="38">
        <f t="shared" ref="AR21" si="284">(+AQ21-+AQ20)*48</f>
        <v>192</v>
      </c>
      <c r="AS21" s="80">
        <v>2262</v>
      </c>
      <c r="AT21" s="38">
        <f t="shared" ref="AT21" si="285">(+AS21-+AS20)*48</f>
        <v>0</v>
      </c>
      <c r="AU21" s="80">
        <v>939</v>
      </c>
      <c r="AV21" s="38">
        <f t="shared" ref="AV21" si="286">(+AU21-+AU20)*48</f>
        <v>0</v>
      </c>
      <c r="AW21" s="81">
        <v>3109</v>
      </c>
      <c r="AX21" s="38">
        <f t="shared" ref="AX21" si="287">(+AW21-+AW20)*48</f>
        <v>0</v>
      </c>
      <c r="AY21" s="86">
        <v>316149</v>
      </c>
      <c r="AZ21" s="38">
        <f t="shared" ref="AZ21" si="288">(+AY21-+AY20)*48</f>
        <v>3264</v>
      </c>
      <c r="BA21" s="86">
        <f>(BA22-BA18)/4+BA20</f>
        <v>161101</v>
      </c>
      <c r="BB21" s="38">
        <f t="shared" ref="BB21" si="289">(+BA21-+BA20)*48</f>
        <v>0</v>
      </c>
      <c r="BC21" s="86">
        <v>216207</v>
      </c>
      <c r="BD21" s="38">
        <f t="shared" ref="BD21" si="290">(+BC21-+BC20)*48</f>
        <v>2256</v>
      </c>
      <c r="BE21" s="81">
        <v>5347</v>
      </c>
      <c r="BF21" s="38">
        <f t="shared" ref="BF21" si="291">(+BE21-+BE20)*48</f>
        <v>0</v>
      </c>
      <c r="BH21" s="173">
        <f t="shared" si="1"/>
        <v>97289.280000000028</v>
      </c>
      <c r="BI21" s="173">
        <f t="shared" si="2"/>
        <v>56640</v>
      </c>
    </row>
    <row r="22" spans="1:61" s="36" customFormat="1" ht="39.950000000000003" customHeight="1">
      <c r="A22" s="149">
        <v>44330</v>
      </c>
      <c r="B22" s="35"/>
      <c r="C22" s="81">
        <v>6033121</v>
      </c>
      <c r="D22" s="38">
        <f t="shared" ref="D22" si="292">(+C22-+C21)*48</f>
        <v>98544</v>
      </c>
      <c r="E22" s="38">
        <f t="shared" si="4"/>
        <v>59126.399999999994</v>
      </c>
      <c r="F22" s="108">
        <f t="shared" si="5"/>
        <v>39417.600000000006</v>
      </c>
      <c r="G22" s="81">
        <v>281599</v>
      </c>
      <c r="H22" s="38">
        <f t="shared" ref="H22" si="293">(+G22-+G21)*48</f>
        <v>1632</v>
      </c>
      <c r="I22" s="81">
        <v>123468</v>
      </c>
      <c r="J22" s="38">
        <f t="shared" ref="J22" si="294">(+I22-+I21)*48</f>
        <v>8304</v>
      </c>
      <c r="K22" s="81">
        <v>258277</v>
      </c>
      <c r="L22" s="38">
        <f t="shared" si="0"/>
        <v>672</v>
      </c>
      <c r="M22" s="81">
        <v>24778</v>
      </c>
      <c r="N22" s="38">
        <f t="shared" ref="N22" si="295">(+M22-+M21)*48</f>
        <v>0</v>
      </c>
      <c r="O22" s="81">
        <v>261191</v>
      </c>
      <c r="P22" s="38">
        <f t="shared" ref="P22" si="296">(+O22-+O21)*48</f>
        <v>8880</v>
      </c>
      <c r="Q22" s="81">
        <v>448297</v>
      </c>
      <c r="R22" s="38">
        <f t="shared" ref="R22" si="297">(+Q22-+Q21)*48</f>
        <v>3408</v>
      </c>
      <c r="S22" s="81">
        <v>722575</v>
      </c>
      <c r="T22" s="38">
        <f t="shared" ref="T22" si="298">(+S22-+S21)*48</f>
        <v>6816</v>
      </c>
      <c r="U22" s="81">
        <v>99435.635999999999</v>
      </c>
      <c r="V22" s="108">
        <f t="shared" ref="V22" si="299">(+U22-+U21)*48</f>
        <v>1080.8639999998268</v>
      </c>
      <c r="W22" s="81">
        <v>80738</v>
      </c>
      <c r="X22" s="38">
        <f t="shared" ref="X22" si="300">(+W22-+W21)*48</f>
        <v>624</v>
      </c>
      <c r="Y22" s="81">
        <v>1499480</v>
      </c>
      <c r="Z22" s="38">
        <f t="shared" ref="Z22" si="301">(+Y22-+Y21)*48</f>
        <v>1248</v>
      </c>
      <c r="AA22" s="81">
        <v>13264</v>
      </c>
      <c r="AB22" s="38">
        <f t="shared" ref="AB22" si="302">(+AA22-+AA21)*48</f>
        <v>0</v>
      </c>
      <c r="AC22" s="81">
        <v>454929</v>
      </c>
      <c r="AD22" s="38">
        <f t="shared" si="16"/>
        <v>4848</v>
      </c>
      <c r="AE22" s="81">
        <v>527750</v>
      </c>
      <c r="AF22" s="38">
        <f t="shared" si="16"/>
        <v>5136</v>
      </c>
      <c r="AG22" s="81">
        <v>49766</v>
      </c>
      <c r="AH22" s="38">
        <f t="shared" ref="AH22" si="303">(+AG22-+AG21)*48</f>
        <v>192</v>
      </c>
      <c r="AI22" s="81">
        <v>416031</v>
      </c>
      <c r="AJ22" s="38">
        <f t="shared" ref="AJ22" si="304">(+AI22-+AI21)*48</f>
        <v>3888</v>
      </c>
      <c r="AK22" s="81">
        <v>102770</v>
      </c>
      <c r="AL22" s="38">
        <f t="shared" ref="AL22" si="305">(+AK22-+AK21)*48</f>
        <v>0</v>
      </c>
      <c r="AM22" s="81">
        <v>572919</v>
      </c>
      <c r="AN22" s="38">
        <f t="shared" ref="AN22" si="306">(+AM22-+AM21)*48</f>
        <v>4848</v>
      </c>
      <c r="AO22" s="81">
        <v>927125</v>
      </c>
      <c r="AP22" s="38">
        <f t="shared" ref="AP22" si="307">(+AO22-+AO21)*48</f>
        <v>9168</v>
      </c>
      <c r="AQ22" s="81">
        <v>77855</v>
      </c>
      <c r="AR22" s="38">
        <f t="shared" ref="AR22" si="308">(+AQ22-+AQ21)*48</f>
        <v>144</v>
      </c>
      <c r="AS22" s="80">
        <v>2262</v>
      </c>
      <c r="AT22" s="38">
        <f t="shared" ref="AT22" si="309">(+AS22-+AS21)*48</f>
        <v>0</v>
      </c>
      <c r="AU22" s="81">
        <v>939</v>
      </c>
      <c r="AV22" s="38">
        <f t="shared" ref="AV22" si="310">(+AU22-+AU21)*48</f>
        <v>0</v>
      </c>
      <c r="AW22" s="81">
        <v>3109</v>
      </c>
      <c r="AX22" s="38">
        <f t="shared" ref="AX22" si="311">(+AW22-+AW21)*48</f>
        <v>0</v>
      </c>
      <c r="AY22" s="81">
        <v>316216</v>
      </c>
      <c r="AZ22" s="38">
        <f t="shared" ref="AZ22" si="312">(+AY22-+AY21)*48</f>
        <v>3216</v>
      </c>
      <c r="BA22" s="81">
        <v>161101</v>
      </c>
      <c r="BB22" s="38">
        <f>(+BA23-+BA21)*48</f>
        <v>0</v>
      </c>
      <c r="BC22" s="81">
        <v>216254</v>
      </c>
      <c r="BD22" s="38">
        <f t="shared" ref="BD22" si="313">(+BC22-+BC21)*48</f>
        <v>2256</v>
      </c>
      <c r="BE22" s="81">
        <v>5347</v>
      </c>
      <c r="BF22" s="38">
        <f t="shared" ref="BF22" si="314">(+BE22-+BE21)*48</f>
        <v>0</v>
      </c>
      <c r="BH22" s="173">
        <f t="shared" si="1"/>
        <v>105855.26399999982</v>
      </c>
      <c r="BI22" s="173">
        <f t="shared" si="2"/>
        <v>59049.600000000006</v>
      </c>
    </row>
    <row r="23" spans="1:61" s="36" customFormat="1" ht="39.950000000000003" customHeight="1">
      <c r="A23" s="149">
        <v>44331</v>
      </c>
      <c r="B23" s="35"/>
      <c r="C23" s="81">
        <v>6035277</v>
      </c>
      <c r="D23" s="38">
        <f t="shared" ref="D23" si="315">(+C23-+C22)*48</f>
        <v>103488</v>
      </c>
      <c r="E23" s="38">
        <f t="shared" si="4"/>
        <v>62092.799999999996</v>
      </c>
      <c r="F23" s="108">
        <f t="shared" si="5"/>
        <v>41395.200000000004</v>
      </c>
      <c r="G23" s="81">
        <v>281636</v>
      </c>
      <c r="H23" s="38">
        <f t="shared" ref="H23" si="316">(+G23-+G22)*48</f>
        <v>1776</v>
      </c>
      <c r="I23" s="81">
        <v>123642</v>
      </c>
      <c r="J23" s="38">
        <f t="shared" ref="J23" si="317">(+I23-+I22)*48</f>
        <v>8352</v>
      </c>
      <c r="K23" s="81">
        <v>258321</v>
      </c>
      <c r="L23" s="38">
        <f t="shared" si="0"/>
        <v>2112</v>
      </c>
      <c r="M23" s="81">
        <v>24778</v>
      </c>
      <c r="N23" s="38">
        <f t="shared" ref="N23" si="318">(+M23-+M22)*48</f>
        <v>0</v>
      </c>
      <c r="O23" s="81">
        <v>261376</v>
      </c>
      <c r="P23" s="38">
        <f t="shared" ref="P23" si="319">(+O23-+O22)*48</f>
        <v>8880</v>
      </c>
      <c r="Q23" s="81">
        <v>448363</v>
      </c>
      <c r="R23" s="38">
        <f t="shared" ref="R23" si="320">(+Q23-+Q22)*48</f>
        <v>3168</v>
      </c>
      <c r="S23" s="81">
        <v>722701</v>
      </c>
      <c r="T23" s="38">
        <f t="shared" ref="T23" si="321">(+S23-+S22)*48</f>
        <v>6048</v>
      </c>
      <c r="U23" s="81">
        <v>99458.395999999993</v>
      </c>
      <c r="V23" s="108">
        <f t="shared" ref="V23" si="322">(+U23-+U22)*48</f>
        <v>1092.4799999997485</v>
      </c>
      <c r="W23" s="81">
        <v>80751</v>
      </c>
      <c r="X23" s="38">
        <f t="shared" ref="X23" si="323">(+W23-+W22)*48</f>
        <v>624</v>
      </c>
      <c r="Y23" s="81">
        <v>1499467</v>
      </c>
      <c r="Z23" s="38">
        <f t="shared" ref="Z23" si="324">(+Y23-+Y22)*48</f>
        <v>-624</v>
      </c>
      <c r="AA23" s="81">
        <v>13264</v>
      </c>
      <c r="AB23" s="38">
        <f t="shared" ref="AB23" si="325">(+AA23-+AA22)*48</f>
        <v>0</v>
      </c>
      <c r="AC23" s="81">
        <v>455026</v>
      </c>
      <c r="AD23" s="38">
        <f t="shared" si="16"/>
        <v>4656</v>
      </c>
      <c r="AE23" s="81">
        <v>527857</v>
      </c>
      <c r="AF23" s="38">
        <f t="shared" si="16"/>
        <v>5136</v>
      </c>
      <c r="AG23" s="81">
        <v>49769</v>
      </c>
      <c r="AH23" s="38">
        <f t="shared" ref="AH23" si="326">(+AG23-+AG22)*48</f>
        <v>144</v>
      </c>
      <c r="AI23" s="81">
        <v>416113</v>
      </c>
      <c r="AJ23" s="38">
        <f t="shared" ref="AJ23" si="327">(+AI23-+AI22)*48</f>
        <v>3936</v>
      </c>
      <c r="AK23" s="81">
        <v>102770</v>
      </c>
      <c r="AL23" s="38">
        <f t="shared" ref="AL23" si="328">(+AK23-+AK22)*48</f>
        <v>0</v>
      </c>
      <c r="AM23" s="81">
        <v>573022</v>
      </c>
      <c r="AN23" s="38">
        <f t="shared" ref="AN23" si="329">(+AM23-+AM22)*48</f>
        <v>4944</v>
      </c>
      <c r="AO23" s="81">
        <v>927318</v>
      </c>
      <c r="AP23" s="38">
        <f t="shared" ref="AP23" si="330">(+AO23-+AO22)*48</f>
        <v>9264</v>
      </c>
      <c r="AQ23" s="81">
        <v>77859</v>
      </c>
      <c r="AR23" s="38">
        <f t="shared" ref="AR23" si="331">(+AQ23-+AQ22)*48</f>
        <v>192</v>
      </c>
      <c r="AS23" s="80">
        <v>2262</v>
      </c>
      <c r="AT23" s="38">
        <f t="shared" ref="AT23" si="332">(+AS23-+AS22)*48</f>
        <v>0</v>
      </c>
      <c r="AU23" s="81">
        <v>939</v>
      </c>
      <c r="AV23" s="38">
        <f t="shared" ref="AV23" si="333">(+AU23-+AU22)*48</f>
        <v>0</v>
      </c>
      <c r="AW23" s="81">
        <v>3109</v>
      </c>
      <c r="AX23" s="38">
        <f t="shared" ref="AX23" si="334">(+AW23-+AW22)*48</f>
        <v>0</v>
      </c>
      <c r="AY23" s="81">
        <v>316284</v>
      </c>
      <c r="AZ23" s="38">
        <f t="shared" ref="AZ23" si="335">(+AY23-+AY22)*48</f>
        <v>3264</v>
      </c>
      <c r="BA23" s="81">
        <v>161101</v>
      </c>
      <c r="BB23" s="108">
        <f t="shared" ref="BB23:BB25" si="336">(+BA23-+BA22)*48</f>
        <v>0</v>
      </c>
      <c r="BC23" s="81">
        <v>216301</v>
      </c>
      <c r="BD23" s="38">
        <f t="shared" ref="BD23" si="337">(+BC23-+BC22)*48</f>
        <v>2256</v>
      </c>
      <c r="BE23" s="81">
        <v>5347</v>
      </c>
      <c r="BF23" s="38">
        <f t="shared" ref="BF23" si="338">(+BE23-+BE22)*48</f>
        <v>0</v>
      </c>
      <c r="BH23" s="109">
        <f t="shared" si="1"/>
        <v>107393.27999999974</v>
      </c>
      <c r="BI23" s="109">
        <f t="shared" si="2"/>
        <v>61315.200000000004</v>
      </c>
    </row>
    <row r="24" spans="1:61" s="36" customFormat="1" ht="39.950000000000003" customHeight="1">
      <c r="A24" s="149">
        <v>44332</v>
      </c>
      <c r="B24" s="35"/>
      <c r="C24" s="81">
        <v>6037551</v>
      </c>
      <c r="D24" s="108">
        <f t="shared" ref="D24" si="339">(+C24-+C23)*48</f>
        <v>109152</v>
      </c>
      <c r="E24" s="38">
        <f t="shared" si="4"/>
        <v>65491.199999999997</v>
      </c>
      <c r="F24" s="108">
        <f t="shared" si="5"/>
        <v>43660.800000000003</v>
      </c>
      <c r="G24" s="81">
        <v>281682</v>
      </c>
      <c r="H24" s="108">
        <f t="shared" ref="H24" si="340">(+G24-+G23)*48</f>
        <v>2208</v>
      </c>
      <c r="I24" s="81">
        <v>123814</v>
      </c>
      <c r="J24" s="108">
        <f t="shared" ref="J24" si="341">(+I24-+I23)*48</f>
        <v>8256</v>
      </c>
      <c r="K24" s="81">
        <v>258347</v>
      </c>
      <c r="L24" s="108">
        <f t="shared" si="0"/>
        <v>1248</v>
      </c>
      <c r="M24" s="81">
        <v>24778</v>
      </c>
      <c r="N24" s="38">
        <f t="shared" ref="N24" si="342">(+M24-+M23)*48</f>
        <v>0</v>
      </c>
      <c r="O24" s="81">
        <v>261582</v>
      </c>
      <c r="P24" s="108">
        <f t="shared" ref="P24" si="343">(+O24-+O23)*48</f>
        <v>9888</v>
      </c>
      <c r="Q24" s="81">
        <v>448485</v>
      </c>
      <c r="R24" s="108">
        <f t="shared" ref="R24" si="344">(+Q24-+Q23)*48</f>
        <v>5856</v>
      </c>
      <c r="S24" s="81">
        <v>722820</v>
      </c>
      <c r="T24" s="108">
        <f t="shared" ref="T24" si="345">(+S24-+S23)*48</f>
        <v>5712</v>
      </c>
      <c r="U24" s="81">
        <v>99486.288</v>
      </c>
      <c r="V24" s="108">
        <f t="shared" ref="V24" si="346">(+U24-+U23)*48</f>
        <v>1338.8160000003409</v>
      </c>
      <c r="W24" s="81">
        <v>80763</v>
      </c>
      <c r="X24" s="108">
        <f t="shared" ref="X24" si="347">(+W24-+W23)*48</f>
        <v>576</v>
      </c>
      <c r="Y24" s="81">
        <v>1499472</v>
      </c>
      <c r="Z24" s="108">
        <f t="shared" ref="Z24" si="348">(+Y24-+Y23)*48</f>
        <v>240</v>
      </c>
      <c r="AA24" s="81">
        <v>13264</v>
      </c>
      <c r="AB24" s="108">
        <f t="shared" ref="AB24" si="349">(+AA24-+AA23)*48</f>
        <v>0</v>
      </c>
      <c r="AC24" s="81">
        <v>455120</v>
      </c>
      <c r="AD24" s="108">
        <f t="shared" si="16"/>
        <v>4512</v>
      </c>
      <c r="AE24" s="81">
        <v>527962</v>
      </c>
      <c r="AF24" s="108">
        <f t="shared" si="16"/>
        <v>5040</v>
      </c>
      <c r="AG24" s="81">
        <v>49769</v>
      </c>
      <c r="AH24" s="108">
        <f t="shared" ref="AH24" si="350">(+AG24-+AG23)*48</f>
        <v>0</v>
      </c>
      <c r="AI24" s="81">
        <v>416205</v>
      </c>
      <c r="AJ24" s="108">
        <f t="shared" ref="AJ24" si="351">(+AI24-+AI23)*48</f>
        <v>4416</v>
      </c>
      <c r="AK24" s="81">
        <v>102770</v>
      </c>
      <c r="AL24" s="108">
        <f t="shared" ref="AL24" si="352">(+AK24-+AK23)*48</f>
        <v>0</v>
      </c>
      <c r="AM24" s="81">
        <v>573119</v>
      </c>
      <c r="AN24" s="108">
        <f t="shared" ref="AN24" si="353">(+AM24-+AM23)*48</f>
        <v>4656</v>
      </c>
      <c r="AO24" s="81">
        <v>927505</v>
      </c>
      <c r="AP24" s="108">
        <f t="shared" ref="AP24" si="354">(+AO24-+AO23)*48</f>
        <v>8976</v>
      </c>
      <c r="AQ24" s="81">
        <v>77863</v>
      </c>
      <c r="AR24" s="108">
        <f t="shared" ref="AR24" si="355">(+AQ24-+AQ23)*48</f>
        <v>192</v>
      </c>
      <c r="AS24" s="80">
        <v>2262</v>
      </c>
      <c r="AT24" s="108">
        <f t="shared" ref="AT24" si="356">(+AS24-+AS23)*48</f>
        <v>0</v>
      </c>
      <c r="AU24" s="81">
        <v>939</v>
      </c>
      <c r="AV24" s="108">
        <f t="shared" ref="AV24" si="357">(+AU24-+AU23)*48</f>
        <v>0</v>
      </c>
      <c r="AW24" s="81">
        <v>3109</v>
      </c>
      <c r="AX24" s="108">
        <f t="shared" ref="AX24" si="358">(+AW24-+AW23)*48</f>
        <v>0</v>
      </c>
      <c r="AY24" s="81">
        <v>316352</v>
      </c>
      <c r="AZ24" s="108">
        <f t="shared" ref="AZ24" si="359">(+AY24-+AY23)*48</f>
        <v>3264</v>
      </c>
      <c r="BA24" s="81">
        <v>161101</v>
      </c>
      <c r="BB24" s="108">
        <f t="shared" si="336"/>
        <v>0</v>
      </c>
      <c r="BC24" s="81">
        <v>216347</v>
      </c>
      <c r="BD24" s="108">
        <f t="shared" ref="BD24" si="360">(+BC24-+BC23)*48</f>
        <v>2208</v>
      </c>
      <c r="BE24" s="81">
        <v>5347</v>
      </c>
      <c r="BF24" s="108">
        <f t="shared" ref="BF24" si="361">(+BE24-+BE23)*48</f>
        <v>0</v>
      </c>
      <c r="BH24" s="109">
        <f t="shared" si="1"/>
        <v>114782.01600000034</v>
      </c>
      <c r="BI24" s="109">
        <f t="shared" si="2"/>
        <v>62956.800000000003</v>
      </c>
    </row>
    <row r="25" spans="1:61" s="36" customFormat="1" ht="39.950000000000003" customHeight="1">
      <c r="A25" s="149">
        <v>44333</v>
      </c>
      <c r="B25" s="35"/>
      <c r="C25" s="81">
        <v>6039262</v>
      </c>
      <c r="D25" s="108">
        <f t="shared" ref="D25" si="362">(+C25-+C24)*48</f>
        <v>82128</v>
      </c>
      <c r="E25" s="38">
        <f t="shared" si="4"/>
        <v>49276.799999999996</v>
      </c>
      <c r="F25" s="108">
        <f t="shared" si="5"/>
        <v>32851.200000000004</v>
      </c>
      <c r="G25" s="81">
        <v>281726</v>
      </c>
      <c r="H25" s="108">
        <f t="shared" ref="H25" si="363">(+G25-+G24)*48</f>
        <v>2112</v>
      </c>
      <c r="I25" s="81">
        <v>123987</v>
      </c>
      <c r="J25" s="108">
        <f t="shared" ref="J25" si="364">(+I25-+I24)*48</f>
        <v>8304</v>
      </c>
      <c r="K25" s="81">
        <v>258386</v>
      </c>
      <c r="L25" s="108">
        <f t="shared" si="0"/>
        <v>1872</v>
      </c>
      <c r="M25" s="81">
        <v>24778</v>
      </c>
      <c r="N25" s="38">
        <f t="shared" ref="N25" si="365">(+M25-+M24)*48</f>
        <v>0</v>
      </c>
      <c r="O25" s="81">
        <v>261758</v>
      </c>
      <c r="P25" s="108">
        <f t="shared" ref="P25" si="366">(+O25-+O24)*48</f>
        <v>8448</v>
      </c>
      <c r="Q25" s="81">
        <v>448564</v>
      </c>
      <c r="R25" s="108">
        <f t="shared" ref="R25" si="367">(+Q25-+Q24)*48</f>
        <v>3792</v>
      </c>
      <c r="S25" s="81">
        <v>722941</v>
      </c>
      <c r="T25" s="108">
        <f t="shared" ref="T25" si="368">(+S25-+S24)*48</f>
        <v>5808</v>
      </c>
      <c r="U25" s="81">
        <v>99513.98</v>
      </c>
      <c r="V25" s="108">
        <f t="shared" ref="V25" si="369">(+U25-+U24)*48</f>
        <v>1329.2159999997821</v>
      </c>
      <c r="W25" s="81">
        <v>80778</v>
      </c>
      <c r="X25" s="108">
        <f t="shared" ref="X25" si="370">(+W25-+W24)*48</f>
        <v>720</v>
      </c>
      <c r="Y25" s="81">
        <v>1499478</v>
      </c>
      <c r="Z25" s="108">
        <f t="shared" ref="Z25" si="371">(+Y25-+Y24)*48</f>
        <v>288</v>
      </c>
      <c r="AA25" s="81">
        <v>13264</v>
      </c>
      <c r="AB25" s="108">
        <f t="shared" ref="AB25" si="372">(+AA25-+AA24)*48</f>
        <v>0</v>
      </c>
      <c r="AC25" s="81">
        <v>455217</v>
      </c>
      <c r="AD25" s="108">
        <f t="shared" si="16"/>
        <v>4656</v>
      </c>
      <c r="AE25" s="81">
        <v>528009</v>
      </c>
      <c r="AF25" s="108">
        <f t="shared" si="16"/>
        <v>2256</v>
      </c>
      <c r="AG25" s="81">
        <v>49769</v>
      </c>
      <c r="AH25" s="108">
        <f t="shared" ref="AH25" si="373">(+AG25-+AG24)*48</f>
        <v>0</v>
      </c>
      <c r="AI25" s="81">
        <v>416303</v>
      </c>
      <c r="AJ25" s="108">
        <f t="shared" ref="AJ25" si="374">(+AI25-+AI24)*48</f>
        <v>4704</v>
      </c>
      <c r="AK25" s="81">
        <v>102770</v>
      </c>
      <c r="AL25" s="108">
        <f t="shared" ref="AL25" si="375">(+AK25-+AK24)*48</f>
        <v>0</v>
      </c>
      <c r="AM25" s="81">
        <v>573216</v>
      </c>
      <c r="AN25" s="108">
        <f t="shared" ref="AN25" si="376">(+AM25-+AM24)*48</f>
        <v>4656</v>
      </c>
      <c r="AO25" s="81">
        <v>927692</v>
      </c>
      <c r="AP25" s="108">
        <f t="shared" ref="AP25" si="377">(+AO25-+AO24)*48</f>
        <v>8976</v>
      </c>
      <c r="AQ25" s="81">
        <v>77866</v>
      </c>
      <c r="AR25" s="108">
        <f t="shared" ref="AR25" si="378">(+AQ25-+AQ24)*48</f>
        <v>144</v>
      </c>
      <c r="AS25" s="80">
        <v>2262</v>
      </c>
      <c r="AT25" s="108">
        <f t="shared" ref="AT25" si="379">(+AS25-+AS24)*48</f>
        <v>0</v>
      </c>
      <c r="AU25" s="81">
        <v>939</v>
      </c>
      <c r="AV25" s="108">
        <f t="shared" ref="AV25" si="380">(+AU25-+AU24)*48</f>
        <v>0</v>
      </c>
      <c r="AW25" s="81">
        <v>3109</v>
      </c>
      <c r="AX25" s="108">
        <f t="shared" ref="AX25" si="381">(+AW25-+AW24)*48</f>
        <v>0</v>
      </c>
      <c r="AY25" s="81">
        <v>316416</v>
      </c>
      <c r="AZ25" s="108">
        <f t="shared" ref="AZ25" si="382">(+AY25-+AY24)*48</f>
        <v>3072</v>
      </c>
      <c r="BA25" s="81">
        <v>161101</v>
      </c>
      <c r="BB25" s="108">
        <f t="shared" si="336"/>
        <v>0</v>
      </c>
      <c r="BC25" s="81">
        <v>216391</v>
      </c>
      <c r="BD25" s="108">
        <f t="shared" ref="BD25" si="383">(+BC25-+BC24)*48</f>
        <v>2112</v>
      </c>
      <c r="BE25" s="81">
        <v>5347</v>
      </c>
      <c r="BF25" s="108">
        <f t="shared" ref="BF25" si="384">(+BE25-+BE24)*48</f>
        <v>0</v>
      </c>
      <c r="BH25" s="109">
        <f t="shared" si="1"/>
        <v>93566.01599999977</v>
      </c>
      <c r="BI25" s="109">
        <f t="shared" si="2"/>
        <v>51811.200000000004</v>
      </c>
    </row>
    <row r="26" spans="1:61" s="36" customFormat="1" ht="39.950000000000003" customHeight="1">
      <c r="A26" s="149">
        <v>44334</v>
      </c>
      <c r="B26" s="35"/>
      <c r="C26" s="81">
        <v>6041925</v>
      </c>
      <c r="D26" s="108">
        <f t="shared" ref="D26" si="385">(+C26-+C25)*48</f>
        <v>127824</v>
      </c>
      <c r="E26" s="38">
        <f t="shared" si="4"/>
        <v>76694.399999999994</v>
      </c>
      <c r="F26" s="108">
        <f t="shared" si="5"/>
        <v>51129.600000000006</v>
      </c>
      <c r="G26" s="81">
        <v>281759</v>
      </c>
      <c r="H26" s="108">
        <f t="shared" ref="H26" si="386">(+G26-+G25)*48</f>
        <v>1584</v>
      </c>
      <c r="I26" s="81">
        <v>124162</v>
      </c>
      <c r="J26" s="108">
        <f t="shared" ref="J26" si="387">(+I26-+I25)*48</f>
        <v>8400</v>
      </c>
      <c r="K26" s="81">
        <v>258391</v>
      </c>
      <c r="L26" s="108">
        <f t="shared" si="0"/>
        <v>240</v>
      </c>
      <c r="M26" s="81">
        <v>24778</v>
      </c>
      <c r="N26" s="38">
        <f t="shared" ref="N26" si="388">(+M26-+M25)*48</f>
        <v>0</v>
      </c>
      <c r="O26" s="81">
        <v>261942</v>
      </c>
      <c r="P26" s="108">
        <f t="shared" ref="P26" si="389">(+O26-+O25)*48</f>
        <v>8832</v>
      </c>
      <c r="Q26" s="81">
        <v>448634</v>
      </c>
      <c r="R26" s="108">
        <f t="shared" ref="R26" si="390">(+Q26-+Q25)*48</f>
        <v>3360</v>
      </c>
      <c r="S26" s="81">
        <v>723065</v>
      </c>
      <c r="T26" s="108">
        <f t="shared" ref="T26" si="391">(+S26-+S25)*48</f>
        <v>5952</v>
      </c>
      <c r="U26" s="81">
        <v>99534.269</v>
      </c>
      <c r="V26" s="108">
        <f t="shared" ref="V26" si="392">(+U26-+U25)*48</f>
        <v>973.87200000020675</v>
      </c>
      <c r="W26" s="81">
        <v>80791</v>
      </c>
      <c r="X26" s="108">
        <f t="shared" ref="X26" si="393">(+W26-+W25)*48</f>
        <v>624</v>
      </c>
      <c r="Y26" s="81">
        <v>1499485</v>
      </c>
      <c r="Z26" s="108">
        <f t="shared" ref="Z26" si="394">(+Y26-+Y25)*48</f>
        <v>336</v>
      </c>
      <c r="AA26" s="81">
        <v>13264</v>
      </c>
      <c r="AB26" s="108">
        <f t="shared" ref="AB26" si="395">(+AA26-+AA25)*48</f>
        <v>0</v>
      </c>
      <c r="AC26" s="81">
        <v>455317</v>
      </c>
      <c r="AD26" s="108">
        <f t="shared" si="16"/>
        <v>4800</v>
      </c>
      <c r="AE26" s="81">
        <v>528175</v>
      </c>
      <c r="AF26" s="108">
        <f t="shared" si="16"/>
        <v>7968</v>
      </c>
      <c r="AG26" s="81">
        <v>49769</v>
      </c>
      <c r="AH26" s="108">
        <f t="shared" ref="AH26" si="396">(+AG26-+AG25)*48</f>
        <v>0</v>
      </c>
      <c r="AI26" s="81">
        <v>416387</v>
      </c>
      <c r="AJ26" s="108">
        <f t="shared" ref="AJ26" si="397">(+AI26-+AI25)*48</f>
        <v>4032</v>
      </c>
      <c r="AK26" s="81">
        <v>102770</v>
      </c>
      <c r="AL26" s="108">
        <f t="shared" ref="AL26" si="398">(+AK26-+AK25)*48</f>
        <v>0</v>
      </c>
      <c r="AM26" s="81">
        <v>573318</v>
      </c>
      <c r="AN26" s="108">
        <f t="shared" ref="AN26" si="399">(+AM26-+AM25)*48</f>
        <v>4896</v>
      </c>
      <c r="AO26" s="81">
        <v>927882</v>
      </c>
      <c r="AP26" s="108">
        <f t="shared" ref="AP26" si="400">(+AO26-+AO25)*48</f>
        <v>9120</v>
      </c>
      <c r="AQ26" s="81">
        <v>77870</v>
      </c>
      <c r="AR26" s="108">
        <f t="shared" ref="AR26" si="401">(+AQ26-+AQ25)*48</f>
        <v>192</v>
      </c>
      <c r="AS26" s="80">
        <v>2262</v>
      </c>
      <c r="AT26" s="108">
        <f t="shared" ref="AT26" si="402">(+AS26-+AS25)*48</f>
        <v>0</v>
      </c>
      <c r="AU26" s="81">
        <v>939</v>
      </c>
      <c r="AV26" s="108">
        <f t="shared" ref="AV26" si="403">(+AU26-+AU25)*48</f>
        <v>0</v>
      </c>
      <c r="AW26" s="81">
        <v>3109</v>
      </c>
      <c r="AX26" s="108">
        <f t="shared" ref="AX26" si="404">(+AW26-+AW25)*48</f>
        <v>0</v>
      </c>
      <c r="AY26" s="81">
        <v>316485</v>
      </c>
      <c r="AZ26" s="108">
        <f>(+AY26-+AY25)*48</f>
        <v>3312</v>
      </c>
      <c r="BA26" s="81">
        <v>161101</v>
      </c>
      <c r="BB26" s="108">
        <f>(+BA26-+BA25)*48</f>
        <v>0</v>
      </c>
      <c r="BC26" s="81">
        <v>216436</v>
      </c>
      <c r="BD26" s="108">
        <f t="shared" ref="BD26" si="405">(+BC26-+BC25)*48</f>
        <v>2160</v>
      </c>
      <c r="BE26" s="81">
        <v>5347</v>
      </c>
      <c r="BF26" s="108">
        <f t="shared" ref="BF26" si="406">(+BE26-+BE25)*48</f>
        <v>0</v>
      </c>
      <c r="BH26" s="109">
        <f t="shared" si="1"/>
        <v>123796.2720000002</v>
      </c>
      <c r="BI26" s="109">
        <f t="shared" si="2"/>
        <v>70809.600000000006</v>
      </c>
    </row>
    <row r="27" spans="1:61" s="36" customFormat="1" ht="39.950000000000003" customHeight="1">
      <c r="A27" s="149">
        <v>44335</v>
      </c>
      <c r="B27" s="35"/>
      <c r="C27" s="81">
        <v>6044079</v>
      </c>
      <c r="D27" s="108">
        <f t="shared" ref="D27" si="407">(+C27-+C26)*48</f>
        <v>103392</v>
      </c>
      <c r="E27" s="38">
        <f t="shared" si="4"/>
        <v>62035.199999999997</v>
      </c>
      <c r="F27" s="108">
        <f t="shared" si="5"/>
        <v>41356.800000000003</v>
      </c>
      <c r="G27" s="81">
        <v>281790</v>
      </c>
      <c r="H27" s="108">
        <f t="shared" ref="H27" si="408">(+G27-+G26)*48</f>
        <v>1488</v>
      </c>
      <c r="I27" s="81">
        <v>124341</v>
      </c>
      <c r="J27" s="108">
        <f t="shared" ref="J27" si="409">(+I27-+I26)*48</f>
        <v>8592</v>
      </c>
      <c r="K27" s="81">
        <v>258403</v>
      </c>
      <c r="L27" s="108">
        <f t="shared" si="0"/>
        <v>576</v>
      </c>
      <c r="M27" s="81">
        <v>24778</v>
      </c>
      <c r="N27" s="38">
        <f t="shared" ref="N27" si="410">(+M27-+M26)*48</f>
        <v>0</v>
      </c>
      <c r="O27" s="81">
        <v>262150</v>
      </c>
      <c r="P27" s="108">
        <f t="shared" ref="P27" si="411">(+O27-+O26)*48</f>
        <v>9984</v>
      </c>
      <c r="Q27" s="81">
        <v>448696</v>
      </c>
      <c r="R27" s="108">
        <f t="shared" ref="R27" si="412">(+Q27-+Q26)*48</f>
        <v>2976</v>
      </c>
      <c r="S27" s="81">
        <v>723197</v>
      </c>
      <c r="T27" s="108">
        <f t="shared" ref="T27" si="413">(+S27-+S26)*48</f>
        <v>6336</v>
      </c>
      <c r="U27" s="81">
        <v>99555.985000000001</v>
      </c>
      <c r="V27" s="108">
        <f t="shared" ref="V27" si="414">(+U27-+U26)*48</f>
        <v>1042.3680000000168</v>
      </c>
      <c r="W27" s="81">
        <v>80804</v>
      </c>
      <c r="X27" s="108">
        <f t="shared" ref="X27" si="415">(+W27-+W26)*48</f>
        <v>624</v>
      </c>
      <c r="Y27" s="81">
        <v>1499491</v>
      </c>
      <c r="Z27" s="108">
        <f t="shared" ref="Z27" si="416">(+Y27-+Y26)*48</f>
        <v>288</v>
      </c>
      <c r="AA27" s="81">
        <v>13264</v>
      </c>
      <c r="AB27" s="108">
        <f t="shared" ref="AB27" si="417">(+AA27-+AA26)*48</f>
        <v>0</v>
      </c>
      <c r="AC27" s="81">
        <v>455421</v>
      </c>
      <c r="AD27" s="108">
        <f t="shared" si="16"/>
        <v>4992</v>
      </c>
      <c r="AE27" s="81">
        <v>528281</v>
      </c>
      <c r="AF27" s="108">
        <f t="shared" si="16"/>
        <v>5088</v>
      </c>
      <c r="AG27" s="81">
        <v>49769</v>
      </c>
      <c r="AH27" s="108">
        <f t="shared" ref="AH27" si="418">(+AG27-+AG26)*48</f>
        <v>0</v>
      </c>
      <c r="AI27" s="81">
        <v>416473</v>
      </c>
      <c r="AJ27" s="108">
        <f t="shared" ref="AJ27" si="419">(+AI27-+AI26)*48</f>
        <v>4128</v>
      </c>
      <c r="AK27" s="81">
        <v>102770</v>
      </c>
      <c r="AL27" s="108">
        <f t="shared" ref="AL27" si="420">(+AK27-+AK26)*48</f>
        <v>0</v>
      </c>
      <c r="AM27" s="81">
        <v>573422</v>
      </c>
      <c r="AN27" s="108">
        <f t="shared" ref="AN27" si="421">(+AM27-+AM26)*48</f>
        <v>4992</v>
      </c>
      <c r="AO27" s="81">
        <v>928071</v>
      </c>
      <c r="AP27" s="108">
        <f t="shared" ref="AP27" si="422">(+AO27-+AO26)*48</f>
        <v>9072</v>
      </c>
      <c r="AQ27" s="81">
        <v>77871</v>
      </c>
      <c r="AR27" s="108">
        <f t="shared" ref="AR27" si="423">(+AQ27-+AQ26)*48</f>
        <v>48</v>
      </c>
      <c r="AS27" s="80">
        <v>2262</v>
      </c>
      <c r="AT27" s="108">
        <f t="shared" ref="AT27" si="424">(+AS27-+AS26)*48</f>
        <v>0</v>
      </c>
      <c r="AU27" s="81">
        <v>939</v>
      </c>
      <c r="AV27" s="108">
        <f t="shared" ref="AV27" si="425">(+AU27-+AU26)*48</f>
        <v>0</v>
      </c>
      <c r="AW27" s="81">
        <v>3109</v>
      </c>
      <c r="AX27" s="108">
        <f t="shared" ref="AX27" si="426">(+AW27-+AW26)*48</f>
        <v>0</v>
      </c>
      <c r="AY27" s="81">
        <v>316551</v>
      </c>
      <c r="AZ27" s="108">
        <f t="shared" ref="AZ27" si="427">(+AY27-+AY26)*48</f>
        <v>3168</v>
      </c>
      <c r="BA27" s="81">
        <v>161101</v>
      </c>
      <c r="BB27" s="108">
        <f>(+BA27-+BA26)*48</f>
        <v>0</v>
      </c>
      <c r="BC27" s="81">
        <v>216481</v>
      </c>
      <c r="BD27" s="108">
        <f t="shared" ref="BD27" si="428">(+BC27-+BC26)*48</f>
        <v>2160</v>
      </c>
      <c r="BE27" s="81">
        <v>5347</v>
      </c>
      <c r="BF27" s="108">
        <f t="shared" ref="BF27" si="429">(+BE27-+BE26)*48</f>
        <v>0</v>
      </c>
      <c r="BH27" s="109">
        <f t="shared" si="1"/>
        <v>108149.56800000001</v>
      </c>
      <c r="BI27" s="109">
        <f t="shared" si="2"/>
        <v>60796.800000000003</v>
      </c>
    </row>
    <row r="28" spans="1:61" s="36" customFormat="1" ht="39.950000000000003" customHeight="1">
      <c r="A28" s="149">
        <v>44336</v>
      </c>
      <c r="B28" s="35"/>
      <c r="C28" s="81">
        <v>6046282</v>
      </c>
      <c r="D28" s="108">
        <f t="shared" ref="D28" si="430">(+C28-+C27)*48</f>
        <v>105744</v>
      </c>
      <c r="E28" s="38">
        <f t="shared" si="4"/>
        <v>63446.399999999994</v>
      </c>
      <c r="F28" s="108">
        <f t="shared" si="5"/>
        <v>42297.600000000006</v>
      </c>
      <c r="G28" s="81">
        <v>281822</v>
      </c>
      <c r="H28" s="108">
        <f t="shared" ref="H28" si="431">(+G28-+G27)*48</f>
        <v>1536</v>
      </c>
      <c r="I28" s="81">
        <v>124513</v>
      </c>
      <c r="J28" s="108">
        <f t="shared" ref="J28" si="432">(+I28-+I27)*48</f>
        <v>8256</v>
      </c>
      <c r="K28" s="81">
        <v>258410</v>
      </c>
      <c r="L28" s="108">
        <f t="shared" si="0"/>
        <v>336</v>
      </c>
      <c r="M28" s="81">
        <v>24778</v>
      </c>
      <c r="N28" s="38">
        <f t="shared" ref="N28" si="433">(+M28-+M27)*48</f>
        <v>0</v>
      </c>
      <c r="O28" s="81">
        <v>262353</v>
      </c>
      <c r="P28" s="108">
        <f t="shared" ref="P28" si="434">(+O28-+O27)*48</f>
        <v>9744</v>
      </c>
      <c r="Q28" s="81">
        <v>448759</v>
      </c>
      <c r="R28" s="108">
        <f t="shared" ref="R28" si="435">(+Q28-+Q27)*48</f>
        <v>3024</v>
      </c>
      <c r="S28" s="81">
        <v>723335</v>
      </c>
      <c r="T28" s="108">
        <f t="shared" ref="T28" si="436">(+S28-+S27)*48</f>
        <v>6624</v>
      </c>
      <c r="U28" s="81">
        <v>99585.08</v>
      </c>
      <c r="V28" s="108">
        <f t="shared" ref="V28" si="437">(+U28-+U27)*48</f>
        <v>1396.5600000000559</v>
      </c>
      <c r="W28" s="81">
        <v>80818</v>
      </c>
      <c r="X28" s="108">
        <f t="shared" ref="X28" si="438">(+W28-+W27)*48</f>
        <v>672</v>
      </c>
      <c r="Y28" s="81">
        <v>1499498</v>
      </c>
      <c r="Z28" s="108">
        <f t="shared" ref="Z28" si="439">(+Y28-+Y27)*48</f>
        <v>336</v>
      </c>
      <c r="AA28" s="81">
        <v>13264</v>
      </c>
      <c r="AB28" s="108">
        <f t="shared" ref="AB28" si="440">(+AA28-+AA27)*48</f>
        <v>0</v>
      </c>
      <c r="AC28" s="81">
        <v>455526</v>
      </c>
      <c r="AD28" s="108">
        <f t="shared" si="16"/>
        <v>5040</v>
      </c>
      <c r="AE28" s="81">
        <v>528387</v>
      </c>
      <c r="AF28" s="108">
        <f t="shared" si="16"/>
        <v>5088</v>
      </c>
      <c r="AG28" s="81">
        <v>49769</v>
      </c>
      <c r="AH28" s="108">
        <f t="shared" ref="AH28" si="441">(+AG28-+AG27)*48</f>
        <v>0</v>
      </c>
      <c r="AI28" s="81">
        <v>416564</v>
      </c>
      <c r="AJ28" s="108">
        <f t="shared" ref="AJ28" si="442">(+AI28-+AI27)*48</f>
        <v>4368</v>
      </c>
      <c r="AK28" s="81">
        <v>102770</v>
      </c>
      <c r="AL28" s="108">
        <f t="shared" ref="AL28" si="443">(+AK28-+AK27)*48</f>
        <v>0</v>
      </c>
      <c r="AM28" s="81">
        <v>573526</v>
      </c>
      <c r="AN28" s="108">
        <f t="shared" ref="AN28" si="444">(+AM28-+AM27)*48</f>
        <v>4992</v>
      </c>
      <c r="AO28" s="81">
        <v>928259</v>
      </c>
      <c r="AP28" s="108">
        <f t="shared" ref="AP28" si="445">(+AO28-+AO27)*48</f>
        <v>9024</v>
      </c>
      <c r="AQ28" s="81">
        <v>77871</v>
      </c>
      <c r="AR28" s="108">
        <f t="shared" ref="AR28" si="446">(+AQ28-+AQ27)*48</f>
        <v>0</v>
      </c>
      <c r="AS28" s="80">
        <v>2262</v>
      </c>
      <c r="AT28" s="108">
        <f t="shared" ref="AT28" si="447">(+AS28-+AS27)*48</f>
        <v>0</v>
      </c>
      <c r="AU28" s="81">
        <v>939</v>
      </c>
      <c r="AV28" s="108">
        <f t="shared" ref="AV28" si="448">(+AU28-+AU27)*48</f>
        <v>0</v>
      </c>
      <c r="AW28" s="81">
        <v>3109</v>
      </c>
      <c r="AX28" s="108">
        <f t="shared" ref="AX28" si="449">(+AW28-+AW27)*48</f>
        <v>0</v>
      </c>
      <c r="AY28" s="81">
        <v>316615</v>
      </c>
      <c r="AZ28" s="108">
        <f t="shared" ref="AZ28" si="450">(+AY28-+AY27)*48</f>
        <v>3072</v>
      </c>
      <c r="BA28" s="81">
        <v>161101</v>
      </c>
      <c r="BB28" s="108">
        <f t="shared" ref="BB28" si="451">(+BA28-+BA27)*48</f>
        <v>0</v>
      </c>
      <c r="BC28" s="81">
        <v>216522</v>
      </c>
      <c r="BD28" s="108">
        <f t="shared" ref="BD28" si="452">(+BC28-+BC27)*48</f>
        <v>1968</v>
      </c>
      <c r="BE28" s="81">
        <v>5347</v>
      </c>
      <c r="BF28" s="108">
        <f t="shared" ref="BF28" si="453">(+BE28-+BE27)*48</f>
        <v>0</v>
      </c>
      <c r="BH28" s="109">
        <f t="shared" si="1"/>
        <v>109866.96000000005</v>
      </c>
      <c r="BI28" s="109">
        <f t="shared" si="2"/>
        <v>61353.600000000006</v>
      </c>
    </row>
    <row r="29" spans="1:61" s="36" customFormat="1" ht="39.950000000000003" customHeight="1">
      <c r="A29" s="149">
        <v>44337</v>
      </c>
      <c r="B29" s="35"/>
      <c r="C29" s="81">
        <v>6048451</v>
      </c>
      <c r="D29" s="108">
        <f t="shared" ref="D29" si="454">(+C29-+C28)*48</f>
        <v>104112</v>
      </c>
      <c r="E29" s="38">
        <f t="shared" si="4"/>
        <v>62467.199999999997</v>
      </c>
      <c r="F29" s="108">
        <f t="shared" si="5"/>
        <v>41644.800000000003</v>
      </c>
      <c r="G29" s="81">
        <v>281855</v>
      </c>
      <c r="H29" s="108">
        <f t="shared" ref="H29" si="455">(+G29-+G28)*48</f>
        <v>1584</v>
      </c>
      <c r="I29" s="81">
        <v>124686</v>
      </c>
      <c r="J29" s="108">
        <f t="shared" ref="J29" si="456">(+I29-+I28)*48</f>
        <v>8304</v>
      </c>
      <c r="K29" s="81">
        <v>258427</v>
      </c>
      <c r="L29" s="108">
        <f t="shared" si="0"/>
        <v>816</v>
      </c>
      <c r="M29" s="81">
        <v>24778</v>
      </c>
      <c r="N29" s="38">
        <f t="shared" ref="N29" si="457">(+M29-+M28)*48</f>
        <v>0</v>
      </c>
      <c r="O29" s="81">
        <v>262540</v>
      </c>
      <c r="P29" s="108">
        <f t="shared" ref="P29" si="458">(+O29-+O28)*48</f>
        <v>8976</v>
      </c>
      <c r="Q29" s="81">
        <v>448823</v>
      </c>
      <c r="R29" s="108">
        <f t="shared" ref="R29" si="459">(+Q29-+Q28)*48</f>
        <v>3072</v>
      </c>
      <c r="S29" s="81">
        <v>723459</v>
      </c>
      <c r="T29" s="108">
        <f t="shared" ref="T29" si="460">(+S29-+S28)*48</f>
        <v>5952</v>
      </c>
      <c r="U29" s="81">
        <v>99605.123000000007</v>
      </c>
      <c r="V29" s="108">
        <f t="shared" ref="V29" si="461">(+U29-+U28)*48</f>
        <v>962.06400000024587</v>
      </c>
      <c r="W29" s="81">
        <v>80830</v>
      </c>
      <c r="X29" s="108">
        <f t="shared" ref="X29" si="462">(+W29-+W28)*48</f>
        <v>576</v>
      </c>
      <c r="Y29" s="81">
        <v>1499498</v>
      </c>
      <c r="Z29" s="108">
        <f t="shared" ref="Z29" si="463">(+Y29-+Y28)*48</f>
        <v>0</v>
      </c>
      <c r="AA29" s="81">
        <v>13264</v>
      </c>
      <c r="AB29" s="108">
        <f t="shared" ref="AB29" si="464">(+AA29-+AA28)*48</f>
        <v>0</v>
      </c>
      <c r="AC29" s="81">
        <v>455629</v>
      </c>
      <c r="AD29" s="108">
        <f t="shared" si="16"/>
        <v>4944</v>
      </c>
      <c r="AE29" s="81">
        <v>528491</v>
      </c>
      <c r="AF29" s="108">
        <f t="shared" si="16"/>
        <v>4992</v>
      </c>
      <c r="AG29" s="81">
        <v>49769</v>
      </c>
      <c r="AH29" s="108">
        <f t="shared" ref="AH29" si="465">(+AG29-+AG28)*48</f>
        <v>0</v>
      </c>
      <c r="AI29" s="81">
        <v>416640</v>
      </c>
      <c r="AJ29" s="108">
        <f t="shared" ref="AJ29" si="466">(+AI29-+AI28)*48</f>
        <v>3648</v>
      </c>
      <c r="AK29" s="81">
        <v>102770</v>
      </c>
      <c r="AL29" s="108">
        <f t="shared" ref="AL29" si="467">(+AK29-+AK28)*48</f>
        <v>0</v>
      </c>
      <c r="AM29" s="81">
        <v>573631</v>
      </c>
      <c r="AN29" s="108">
        <f t="shared" ref="AN29" si="468">(+AM29-+AM28)*48</f>
        <v>5040</v>
      </c>
      <c r="AO29" s="81">
        <v>928450</v>
      </c>
      <c r="AP29" s="108">
        <f t="shared" ref="AP29" si="469">(+AO29-+AO28)*48</f>
        <v>9168</v>
      </c>
      <c r="AQ29" s="81">
        <v>77871</v>
      </c>
      <c r="AR29" s="108">
        <f t="shared" ref="AR29" si="470">(+AQ29-+AQ28)*48</f>
        <v>0</v>
      </c>
      <c r="AS29" s="80">
        <v>2262</v>
      </c>
      <c r="AT29" s="108">
        <f t="shared" ref="AT29" si="471">(+AS29-+AS28)*48</f>
        <v>0</v>
      </c>
      <c r="AU29" s="81">
        <v>939</v>
      </c>
      <c r="AV29" s="108">
        <f t="shared" ref="AV29" si="472">(+AU29-+AU28)*48</f>
        <v>0</v>
      </c>
      <c r="AW29" s="81">
        <v>3109</v>
      </c>
      <c r="AX29" s="108">
        <f t="shared" ref="AX29" si="473">(+AW29-+AW28)*48</f>
        <v>0</v>
      </c>
      <c r="AY29" s="81">
        <v>316682</v>
      </c>
      <c r="AZ29" s="108">
        <f t="shared" ref="AZ29" si="474">(+AY29-+AY28)*48</f>
        <v>3216</v>
      </c>
      <c r="BA29" s="81">
        <v>161101</v>
      </c>
      <c r="BB29" s="108">
        <f t="shared" ref="BB29" si="475">(+BA29-+BA28)*48</f>
        <v>0</v>
      </c>
      <c r="BC29" s="81">
        <v>216567</v>
      </c>
      <c r="BD29" s="108">
        <f t="shared" ref="BD29" si="476">(+BC29-+BC28)*48</f>
        <v>2160</v>
      </c>
      <c r="BE29" s="81">
        <v>5347</v>
      </c>
      <c r="BF29" s="108">
        <f t="shared" ref="BF29" si="477">(+BE29-+BE28)*48</f>
        <v>0</v>
      </c>
      <c r="BH29" s="109">
        <f t="shared" si="1"/>
        <v>106293.26400000024</v>
      </c>
      <c r="BI29" s="109">
        <f t="shared" si="2"/>
        <v>61228.800000000003</v>
      </c>
    </row>
    <row r="30" spans="1:61" s="36" customFormat="1" ht="39.950000000000003" customHeight="1">
      <c r="A30" s="149">
        <v>44338</v>
      </c>
      <c r="B30" s="35"/>
      <c r="C30" s="86">
        <f>(C32-C29)/3+C29</f>
        <v>6050492.666666667</v>
      </c>
      <c r="D30" s="108">
        <f t="shared" ref="D30" si="478">(+C30-+C29)*48</f>
        <v>98000.000000014901</v>
      </c>
      <c r="E30" s="38">
        <f t="shared" si="4"/>
        <v>58800.000000008942</v>
      </c>
      <c r="F30" s="108">
        <f t="shared" si="5"/>
        <v>39200.000000005959</v>
      </c>
      <c r="G30" s="86">
        <f>(G32-G29)/3+G29</f>
        <v>281898</v>
      </c>
      <c r="H30" s="108">
        <f t="shared" ref="H30" si="479">(+G30-+G29)*48</f>
        <v>2064</v>
      </c>
      <c r="I30" s="86">
        <f>(I32-I29)/3+I29</f>
        <v>124852.33333333333</v>
      </c>
      <c r="J30" s="108">
        <f t="shared" ref="J30" si="480">(+I30-+I29)*48</f>
        <v>7983.9999999997672</v>
      </c>
      <c r="K30" s="86">
        <f>(K32-K29)/3+K29</f>
        <v>258455</v>
      </c>
      <c r="L30" s="108">
        <f t="shared" si="0"/>
        <v>1344</v>
      </c>
      <c r="M30" s="86">
        <f>(M32-M29)/3+M29</f>
        <v>24778</v>
      </c>
      <c r="N30" s="38">
        <f t="shared" ref="N30" si="481">(+M30-+M29)*48</f>
        <v>0</v>
      </c>
      <c r="O30" s="86">
        <f>(O32-O29)/3+O29</f>
        <v>262748</v>
      </c>
      <c r="P30" s="108">
        <f t="shared" ref="P30" si="482">(+O30-+O29)*48</f>
        <v>9984</v>
      </c>
      <c r="Q30" s="86">
        <f>(Q32-Q29)/3+Q29</f>
        <v>448901</v>
      </c>
      <c r="R30" s="108">
        <f t="shared" ref="R30" si="483">(+Q30-+Q29)*48</f>
        <v>3744</v>
      </c>
      <c r="S30" s="86">
        <f>(S32-S29)/3+S29</f>
        <v>723588.66666666663</v>
      </c>
      <c r="T30" s="108">
        <f t="shared" ref="T30" si="484">(+S30-+S29)*48</f>
        <v>6223.9999999981374</v>
      </c>
      <c r="U30" s="86">
        <f>(U32-U29)/3+U29</f>
        <v>99628.71</v>
      </c>
      <c r="V30" s="108">
        <f t="shared" ref="V30" si="485">(+U30-+U29)*48</f>
        <v>1132.1759999999776</v>
      </c>
      <c r="W30" s="86">
        <f>(W32-W29)/3+W29</f>
        <v>80843.666666666672</v>
      </c>
      <c r="X30" s="108">
        <f t="shared" ref="X30" si="486">(+W30-+W29)*48</f>
        <v>656.00000000023283</v>
      </c>
      <c r="Y30" s="86">
        <f>(Y32-Y29)/3+Y29</f>
        <v>1499506</v>
      </c>
      <c r="Z30" s="108">
        <f t="shared" ref="Z30" si="487">(+Y30-+Y29)*48</f>
        <v>384</v>
      </c>
      <c r="AA30" s="81">
        <v>13264</v>
      </c>
      <c r="AB30" s="108">
        <f t="shared" ref="AB30" si="488">(+AA30-+AA29)*48</f>
        <v>0</v>
      </c>
      <c r="AC30" s="86">
        <f>(AC32-AC29)/3+AC29</f>
        <v>455732</v>
      </c>
      <c r="AD30" s="108">
        <f t="shared" si="16"/>
        <v>4944</v>
      </c>
      <c r="AE30" s="86">
        <f>(AE32-AE29)/3+AE29</f>
        <v>528594.33333333337</v>
      </c>
      <c r="AF30" s="108">
        <f t="shared" si="16"/>
        <v>4960.0000000018626</v>
      </c>
      <c r="AG30" s="81">
        <v>49769</v>
      </c>
      <c r="AH30" s="108">
        <f t="shared" ref="AH30" si="489">(+AG30-+AG29)*48</f>
        <v>0</v>
      </c>
      <c r="AI30" s="86">
        <f>(AI32-AI29)/3+AI29</f>
        <v>416722</v>
      </c>
      <c r="AJ30" s="108">
        <f t="shared" ref="AJ30" si="490">(+AI30-+AI29)*48</f>
        <v>3936</v>
      </c>
      <c r="AK30" s="81">
        <v>102770</v>
      </c>
      <c r="AL30" s="108">
        <f t="shared" ref="AL30" si="491">(+AK30-+AK29)*48</f>
        <v>0</v>
      </c>
      <c r="AM30" s="86">
        <f>(AM32-AM29)/3+AM29</f>
        <v>573735.33333333337</v>
      </c>
      <c r="AN30" s="108">
        <f t="shared" ref="AN30" si="492">(+AM30-+AM29)*48</f>
        <v>5008.0000000018626</v>
      </c>
      <c r="AO30" s="86">
        <f>(AO32-AO29)/3+AO29</f>
        <v>928639</v>
      </c>
      <c r="AP30" s="108">
        <f t="shared" ref="AP30" si="493">(+AO30-+AO29)*48</f>
        <v>9072</v>
      </c>
      <c r="AQ30" s="81">
        <v>77871</v>
      </c>
      <c r="AR30" s="108">
        <f t="shared" ref="AR30" si="494">(+AQ30-+AQ29)*48</f>
        <v>0</v>
      </c>
      <c r="AS30" s="80">
        <v>2262</v>
      </c>
      <c r="AT30" s="108">
        <f t="shared" ref="AT30" si="495">(+AS30-+AS29)*48</f>
        <v>0</v>
      </c>
      <c r="AU30" s="81">
        <v>939</v>
      </c>
      <c r="AV30" s="108">
        <f t="shared" ref="AV30" si="496">(+AU30-+AU29)*48</f>
        <v>0</v>
      </c>
      <c r="AW30" s="81">
        <v>3109</v>
      </c>
      <c r="AX30" s="108">
        <f t="shared" ref="AX30" si="497">(+AW30-+AW29)*48</f>
        <v>0</v>
      </c>
      <c r="AY30" s="86">
        <f>(AY32-AY29)/3+AY29</f>
        <v>316747</v>
      </c>
      <c r="AZ30" s="108">
        <f t="shared" ref="AZ30" si="498">(+AY30-+AY29)*48</f>
        <v>3120</v>
      </c>
      <c r="BA30" s="81">
        <v>161101</v>
      </c>
      <c r="BB30" s="108">
        <f t="shared" ref="BB30" si="499">(+BA30-+BA29)*48</f>
        <v>0</v>
      </c>
      <c r="BC30" s="86">
        <f>(BC32-BC29)/3+BC29</f>
        <v>216608</v>
      </c>
      <c r="BD30" s="108">
        <f t="shared" ref="BD30" si="500">(+BC30-+BC29)*48</f>
        <v>1968</v>
      </c>
      <c r="BE30" s="81">
        <v>5347</v>
      </c>
      <c r="BF30" s="108">
        <f t="shared" ref="BF30" si="501">(+BE30-+BE29)*48</f>
        <v>0</v>
      </c>
      <c r="BH30" s="109">
        <f t="shared" si="1"/>
        <v>106156.17600000891</v>
      </c>
      <c r="BI30" s="109">
        <f t="shared" si="2"/>
        <v>58368.000000007822</v>
      </c>
    </row>
    <row r="31" spans="1:61" s="36" customFormat="1" ht="39.950000000000003" customHeight="1">
      <c r="A31" s="149">
        <v>44339</v>
      </c>
      <c r="B31" s="35"/>
      <c r="C31" s="86">
        <f>(C32-C29)/3+C30</f>
        <v>6052534.333333334</v>
      </c>
      <c r="D31" s="108">
        <f t="shared" ref="D31" si="502">(+C31-+C30)*48</f>
        <v>98000.000000014901</v>
      </c>
      <c r="E31" s="38">
        <f t="shared" si="4"/>
        <v>58800.000000008942</v>
      </c>
      <c r="F31" s="108">
        <f t="shared" si="5"/>
        <v>39200.000000005959</v>
      </c>
      <c r="G31" s="86">
        <f>(G32-G29)/3+G30</f>
        <v>281941</v>
      </c>
      <c r="H31" s="38">
        <f t="shared" ref="H31" si="503">(+G31-+G30)*48</f>
        <v>2064</v>
      </c>
      <c r="I31" s="86">
        <f>(I32-I29)/3+I30</f>
        <v>125018.66666666666</v>
      </c>
      <c r="J31" s="38">
        <f t="shared" ref="J31" si="504">(+I31-+I30)*48</f>
        <v>7983.9999999997672</v>
      </c>
      <c r="K31" s="86">
        <f>(K32-K29)/3+K30</f>
        <v>258483</v>
      </c>
      <c r="L31" s="38">
        <f t="shared" si="0"/>
        <v>1344</v>
      </c>
      <c r="M31" s="86">
        <f>(M32-M29)/3+M30</f>
        <v>24778</v>
      </c>
      <c r="N31" s="38">
        <f t="shared" ref="N31" si="505">(+M31-+M30)*48</f>
        <v>0</v>
      </c>
      <c r="O31" s="86">
        <f>(O32-O29)/3+O30</f>
        <v>262956</v>
      </c>
      <c r="P31" s="38">
        <f t="shared" ref="P31" si="506">(+O31-+O30)*48</f>
        <v>9984</v>
      </c>
      <c r="Q31" s="86">
        <f>(Q32-Q29)/3+Q30</f>
        <v>448979</v>
      </c>
      <c r="R31" s="108">
        <f t="shared" ref="R31" si="507">(+Q31-+Q30)*48</f>
        <v>3744</v>
      </c>
      <c r="S31" s="86">
        <f>(S32-S29)/3+S30</f>
        <v>723718.33333333326</v>
      </c>
      <c r="T31" s="108">
        <f t="shared" ref="T31" si="508">(+S31-+S30)*48</f>
        <v>6223.9999999981374</v>
      </c>
      <c r="U31" s="86">
        <f>(U32-U29)/3+U30</f>
        <v>99652.297000000006</v>
      </c>
      <c r="V31" s="108">
        <f t="shared" ref="V31" si="509">(+U31-+U30)*48</f>
        <v>1132.1759999999776</v>
      </c>
      <c r="W31" s="86">
        <f>(W32-W29)/3+W30</f>
        <v>80857.333333333343</v>
      </c>
      <c r="X31" s="108">
        <f t="shared" ref="X31" si="510">(+W31-+W30)*48</f>
        <v>656.00000000023283</v>
      </c>
      <c r="Y31" s="86">
        <f>(Y32-Y29)/3+Y30</f>
        <v>1499514</v>
      </c>
      <c r="Z31" s="108">
        <f t="shared" ref="Z31" si="511">(+Y31-+Y30)*48</f>
        <v>384</v>
      </c>
      <c r="AA31" s="81">
        <v>13264</v>
      </c>
      <c r="AB31" s="108">
        <f t="shared" ref="AB31" si="512">(+AA31-+AA30)*48</f>
        <v>0</v>
      </c>
      <c r="AC31" s="86">
        <f>(AC32-AC29)/3+AC30</f>
        <v>455835</v>
      </c>
      <c r="AD31" s="108">
        <f t="shared" si="16"/>
        <v>4944</v>
      </c>
      <c r="AE31" s="86">
        <f>(AE32-AE29)/3+AE30</f>
        <v>528697.66666666674</v>
      </c>
      <c r="AF31" s="108">
        <f t="shared" si="16"/>
        <v>4960.0000000018626</v>
      </c>
      <c r="AG31" s="81">
        <v>49769</v>
      </c>
      <c r="AH31" s="108">
        <f t="shared" ref="AH31" si="513">(+AG31-+AG30)*48</f>
        <v>0</v>
      </c>
      <c r="AI31" s="86">
        <f>(AI32-AI29)/3+AI30</f>
        <v>416804</v>
      </c>
      <c r="AJ31" s="108">
        <f t="shared" ref="AJ31" si="514">(+AI31-+AI30)*48</f>
        <v>3936</v>
      </c>
      <c r="AK31" s="81">
        <v>102770</v>
      </c>
      <c r="AL31" s="108">
        <f t="shared" ref="AL31" si="515">(+AK31-+AK30)*48</f>
        <v>0</v>
      </c>
      <c r="AM31" s="86">
        <f>(AM32-AM29)/3+AM30</f>
        <v>573839.66666666674</v>
      </c>
      <c r="AN31" s="108">
        <f t="shared" ref="AN31" si="516">(+AM31-+AM30)*48</f>
        <v>5008.0000000018626</v>
      </c>
      <c r="AO31" s="86">
        <f>(AO32-AO29)/3+AO30</f>
        <v>928828</v>
      </c>
      <c r="AP31" s="108">
        <f t="shared" ref="AP31" si="517">(+AO31-+AO30)*48</f>
        <v>9072</v>
      </c>
      <c r="AQ31" s="81">
        <v>77871</v>
      </c>
      <c r="AR31" s="108">
        <f t="shared" ref="AR31" si="518">(+AQ31-+AQ30)*48</f>
        <v>0</v>
      </c>
      <c r="AS31" s="80">
        <v>2262</v>
      </c>
      <c r="AT31" s="108">
        <f t="shared" ref="AT31" si="519">(+AS31-+AS30)*48</f>
        <v>0</v>
      </c>
      <c r="AU31" s="81">
        <v>939</v>
      </c>
      <c r="AV31" s="108">
        <f t="shared" ref="AV31" si="520">(+AU31-+AU30)*48</f>
        <v>0</v>
      </c>
      <c r="AW31" s="81">
        <v>3109</v>
      </c>
      <c r="AX31" s="108">
        <f t="shared" ref="AX31" si="521">(+AW31-+AW30)*48</f>
        <v>0</v>
      </c>
      <c r="AY31" s="86">
        <f>(AY32-AY29)/3+AY30</f>
        <v>316812</v>
      </c>
      <c r="AZ31" s="108">
        <f t="shared" ref="AZ31" si="522">(+AY31-+AY30)*48</f>
        <v>3120</v>
      </c>
      <c r="BA31" s="81">
        <v>161101</v>
      </c>
      <c r="BB31" s="108">
        <f t="shared" ref="BB31" si="523">(+BA31-+BA30)*48</f>
        <v>0</v>
      </c>
      <c r="BC31" s="86">
        <f>(BC32-BC29)/3+BC30</f>
        <v>216649</v>
      </c>
      <c r="BD31" s="108">
        <f t="shared" ref="BD31" si="524">(+BC31-+BC30)*48</f>
        <v>1968</v>
      </c>
      <c r="BE31" s="81">
        <v>5347</v>
      </c>
      <c r="BF31" s="108">
        <f t="shared" ref="BF31" si="525">(+BE31-+BE30)*48</f>
        <v>0</v>
      </c>
      <c r="BH31" s="109">
        <f t="shared" si="1"/>
        <v>106156.17600000891</v>
      </c>
      <c r="BI31" s="109">
        <f t="shared" si="2"/>
        <v>58368.000000007822</v>
      </c>
    </row>
    <row r="32" spans="1:61" s="36" customFormat="1" ht="39.950000000000003" customHeight="1">
      <c r="A32" s="149">
        <v>44340</v>
      </c>
      <c r="B32" s="35"/>
      <c r="C32" s="81">
        <v>6054576</v>
      </c>
      <c r="D32" s="108">
        <f t="shared" ref="D32" si="526">(+C32-+C31)*48</f>
        <v>97999.999999970198</v>
      </c>
      <c r="E32" s="38">
        <f t="shared" si="4"/>
        <v>58799.999999982116</v>
      </c>
      <c r="F32" s="108">
        <f t="shared" si="5"/>
        <v>39199.999999988082</v>
      </c>
      <c r="G32" s="81">
        <v>281984</v>
      </c>
      <c r="H32" s="38">
        <f t="shared" ref="H32" si="527">(+G32-+G31)*48</f>
        <v>2064</v>
      </c>
      <c r="I32" s="81">
        <v>125185</v>
      </c>
      <c r="J32" s="38">
        <f t="shared" ref="J32" si="528">(+I32-+I31)*48</f>
        <v>7984.0000000004657</v>
      </c>
      <c r="K32" s="81">
        <v>258511</v>
      </c>
      <c r="L32" s="38">
        <f t="shared" si="0"/>
        <v>1344</v>
      </c>
      <c r="M32" s="81">
        <v>24778</v>
      </c>
      <c r="N32" s="38">
        <f t="shared" ref="N32" si="529">(+M32-+M31)*48</f>
        <v>0</v>
      </c>
      <c r="O32" s="81">
        <v>263164</v>
      </c>
      <c r="P32" s="38">
        <f t="shared" ref="P32" si="530">(+O32-+O31)*48</f>
        <v>9984</v>
      </c>
      <c r="Q32" s="81">
        <v>449057</v>
      </c>
      <c r="R32" s="108">
        <f t="shared" ref="R32" si="531">(+Q32-+Q31)*48</f>
        <v>3744</v>
      </c>
      <c r="S32" s="81">
        <v>723848</v>
      </c>
      <c r="T32" s="108">
        <f t="shared" ref="T32" si="532">(+S32-+S31)*48</f>
        <v>6224.0000000037253</v>
      </c>
      <c r="U32" s="81">
        <v>99675.884000000005</v>
      </c>
      <c r="V32" s="108">
        <f t="shared" ref="V32" si="533">(+U32-+U31)*48</f>
        <v>1132.1759999999776</v>
      </c>
      <c r="W32" s="81">
        <v>80871</v>
      </c>
      <c r="X32" s="108">
        <f t="shared" ref="X32" si="534">(+W32-+W31)*48</f>
        <v>655.99999999953434</v>
      </c>
      <c r="Y32" s="81">
        <v>1499522</v>
      </c>
      <c r="Z32" s="108">
        <f t="shared" ref="Z32" si="535">(+Y32-+Y31)*48</f>
        <v>384</v>
      </c>
      <c r="AA32" s="81">
        <v>13264</v>
      </c>
      <c r="AB32" s="108">
        <f t="shared" ref="AB32" si="536">(+AA32-+AA31)*48</f>
        <v>0</v>
      </c>
      <c r="AC32" s="81">
        <v>455938</v>
      </c>
      <c r="AD32" s="108">
        <f t="shared" si="16"/>
        <v>4944</v>
      </c>
      <c r="AE32" s="81">
        <v>528801</v>
      </c>
      <c r="AF32" s="108">
        <f t="shared" si="16"/>
        <v>4959.9999999962747</v>
      </c>
      <c r="AG32" s="81">
        <v>49769</v>
      </c>
      <c r="AH32" s="108">
        <f t="shared" ref="AH32" si="537">(+AG32-+AG31)*48</f>
        <v>0</v>
      </c>
      <c r="AI32" s="81">
        <v>416886</v>
      </c>
      <c r="AJ32" s="108">
        <f t="shared" ref="AJ32" si="538">(+AI32-+AI31)*48</f>
        <v>3936</v>
      </c>
      <c r="AK32" s="81">
        <v>102770</v>
      </c>
      <c r="AL32" s="108">
        <f t="shared" ref="AL32" si="539">(+AK32-+AK31)*48</f>
        <v>0</v>
      </c>
      <c r="AM32" s="81">
        <v>573944</v>
      </c>
      <c r="AN32" s="108">
        <f t="shared" ref="AN32" si="540">(+AM32-+AM31)*48</f>
        <v>5007.9999999962747</v>
      </c>
      <c r="AO32" s="81">
        <v>929017</v>
      </c>
      <c r="AP32" s="108">
        <f t="shared" ref="AP32" si="541">(+AO32-+AO31)*48</f>
        <v>9072</v>
      </c>
      <c r="AQ32" s="81">
        <v>77871</v>
      </c>
      <c r="AR32" s="108">
        <f t="shared" ref="AR32" si="542">(+AQ32-+AQ31)*48</f>
        <v>0</v>
      </c>
      <c r="AS32" s="80">
        <v>2262</v>
      </c>
      <c r="AT32" s="108">
        <f t="shared" ref="AT32" si="543">(+AS32-+AS31)*48</f>
        <v>0</v>
      </c>
      <c r="AU32" s="81">
        <v>939</v>
      </c>
      <c r="AV32" s="108">
        <f t="shared" ref="AV32" si="544">(+AU32-+AU31)*48</f>
        <v>0</v>
      </c>
      <c r="AW32" s="81">
        <v>3109</v>
      </c>
      <c r="AX32" s="108">
        <f t="shared" ref="AX32" si="545">(+AW32-+AW31)*48</f>
        <v>0</v>
      </c>
      <c r="AY32" s="81">
        <v>316877</v>
      </c>
      <c r="AZ32" s="108">
        <f t="shared" ref="AZ32" si="546">(+AY32-+AY31)*48</f>
        <v>3120</v>
      </c>
      <c r="BA32" s="81">
        <v>161101</v>
      </c>
      <c r="BB32" s="108">
        <f t="shared" ref="BB32" si="547">(+BA32-+BA31)*48</f>
        <v>0</v>
      </c>
      <c r="BC32" s="81">
        <v>216690</v>
      </c>
      <c r="BD32" s="108">
        <f t="shared" ref="BD32" si="548">(+BC32-+BC31)*48</f>
        <v>1968</v>
      </c>
      <c r="BE32" s="81">
        <v>5347</v>
      </c>
      <c r="BF32" s="108">
        <f t="shared" ref="BF32" si="549">(+BE32-+BE31)*48</f>
        <v>0</v>
      </c>
      <c r="BH32" s="109">
        <f t="shared" si="1"/>
        <v>106156.17599998209</v>
      </c>
      <c r="BI32" s="109">
        <f t="shared" si="2"/>
        <v>58367.999999984357</v>
      </c>
    </row>
    <row r="33" spans="1:61" s="36" customFormat="1" ht="39.950000000000003" customHeight="1">
      <c r="A33" s="149">
        <v>44341</v>
      </c>
      <c r="B33" s="35"/>
      <c r="C33" s="81">
        <v>6056724</v>
      </c>
      <c r="D33" s="108">
        <f t="shared" ref="D33" si="550">(+C33-+C32)*48</f>
        <v>103104</v>
      </c>
      <c r="E33" s="38">
        <f t="shared" si="4"/>
        <v>61862.399999999994</v>
      </c>
      <c r="F33" s="108">
        <f t="shared" si="5"/>
        <v>41241.600000000006</v>
      </c>
      <c r="G33" s="81">
        <v>282019</v>
      </c>
      <c r="H33" s="108">
        <f t="shared" ref="H33" si="551">(+G33-+G32)*48</f>
        <v>1680</v>
      </c>
      <c r="I33" s="81">
        <v>125352</v>
      </c>
      <c r="J33" s="38">
        <f t="shared" ref="J33" si="552">(+I33-+I32)*48</f>
        <v>8016</v>
      </c>
      <c r="K33" s="81">
        <v>258519</v>
      </c>
      <c r="L33" s="108">
        <f t="shared" si="0"/>
        <v>384</v>
      </c>
      <c r="M33" s="81">
        <v>24778</v>
      </c>
      <c r="N33" s="38">
        <f t="shared" ref="N33" si="553">(+M33-+M32)*48</f>
        <v>0</v>
      </c>
      <c r="O33" s="81">
        <v>263347</v>
      </c>
      <c r="P33" s="38">
        <f t="shared" ref="P33" si="554">(+O33-+O32)*48</f>
        <v>8784</v>
      </c>
      <c r="Q33" s="81">
        <v>449124</v>
      </c>
      <c r="R33" s="108">
        <f t="shared" ref="R33" si="555">(+Q33-+Q32)*48</f>
        <v>3216</v>
      </c>
      <c r="S33" s="81">
        <v>723965</v>
      </c>
      <c r="T33" s="108">
        <f t="shared" ref="T33" si="556">(+S33-+S32)*48</f>
        <v>5616</v>
      </c>
      <c r="U33" s="81">
        <v>99693.755999999994</v>
      </c>
      <c r="V33" s="108">
        <f t="shared" ref="V33" si="557">(+U33-+U32)*48</f>
        <v>857.85599999944679</v>
      </c>
      <c r="W33" s="81">
        <v>80885</v>
      </c>
      <c r="X33" s="108">
        <f t="shared" ref="X33" si="558">(+W33-+W32)*48</f>
        <v>672</v>
      </c>
      <c r="Y33" s="81">
        <v>1499528</v>
      </c>
      <c r="Z33" s="108">
        <f t="shared" ref="Z33" si="559">(+Y33-+Y32)*48</f>
        <v>288</v>
      </c>
      <c r="AA33" s="81">
        <v>13264</v>
      </c>
      <c r="AB33" s="108">
        <f t="shared" ref="AB33" si="560">(+AA33-+AA32)*48</f>
        <v>0</v>
      </c>
      <c r="AC33" s="81">
        <v>456043</v>
      </c>
      <c r="AD33" s="108">
        <f t="shared" si="16"/>
        <v>5040</v>
      </c>
      <c r="AE33" s="81">
        <v>528904</v>
      </c>
      <c r="AF33" s="108">
        <f t="shared" si="16"/>
        <v>4944</v>
      </c>
      <c r="AG33" s="81">
        <v>49769</v>
      </c>
      <c r="AH33" s="108">
        <f t="shared" ref="AH33" si="561">(+AG33-+AG32)*48</f>
        <v>0</v>
      </c>
      <c r="AI33" s="81">
        <v>416969</v>
      </c>
      <c r="AJ33" s="108">
        <f t="shared" ref="AJ33" si="562">(+AI33-+AI32)*48</f>
        <v>3984</v>
      </c>
      <c r="AK33" s="81">
        <v>102770</v>
      </c>
      <c r="AL33" s="108">
        <f t="shared" ref="AL33" si="563">(+AK33-+AK32)*48</f>
        <v>0</v>
      </c>
      <c r="AM33" s="81">
        <v>574050</v>
      </c>
      <c r="AN33" s="108">
        <f t="shared" ref="AN33" si="564">(+AM33-+AM32)*48</f>
        <v>5088</v>
      </c>
      <c r="AO33" s="81">
        <v>929204</v>
      </c>
      <c r="AP33" s="108">
        <f t="shared" ref="AP33" si="565">(+AO33-+AO32)*48</f>
        <v>8976</v>
      </c>
      <c r="AQ33" s="81">
        <v>77871</v>
      </c>
      <c r="AR33" s="108">
        <f t="shared" ref="AR33" si="566">(+AQ33-+AQ32)*48</f>
        <v>0</v>
      </c>
      <c r="AS33" s="80">
        <v>2262</v>
      </c>
      <c r="AT33" s="108">
        <f t="shared" ref="AT33" si="567">(+AS33-+AS32)*48</f>
        <v>0</v>
      </c>
      <c r="AU33" s="81">
        <v>939</v>
      </c>
      <c r="AV33" s="108">
        <f t="shared" ref="AV33" si="568">(+AU33-+AU32)*48</f>
        <v>0</v>
      </c>
      <c r="AW33" s="81">
        <v>3109</v>
      </c>
      <c r="AX33" s="108">
        <f t="shared" ref="AX33" si="569">(+AW33-+AW32)*48</f>
        <v>0</v>
      </c>
      <c r="AY33" s="81">
        <v>316942</v>
      </c>
      <c r="AZ33" s="108">
        <f t="shared" ref="AZ33" si="570">(+AY33-+AY32)*48</f>
        <v>3120</v>
      </c>
      <c r="BA33" s="81">
        <v>161101</v>
      </c>
      <c r="BB33" s="108">
        <f t="shared" ref="BB33" si="571">(+BA33-+BA32)*48</f>
        <v>0</v>
      </c>
      <c r="BC33" s="81">
        <v>216742</v>
      </c>
      <c r="BD33" s="108">
        <f t="shared" ref="BD33" si="572">(+BC33-+BC32)*48</f>
        <v>2496</v>
      </c>
      <c r="BE33" s="81">
        <v>5347</v>
      </c>
      <c r="BF33" s="108">
        <f t="shared" ref="BF33" si="573">(+BE33-+BE32)*48</f>
        <v>0</v>
      </c>
      <c r="BH33" s="109">
        <f t="shared" si="1"/>
        <v>105344.25599999944</v>
      </c>
      <c r="BI33" s="109">
        <f t="shared" si="2"/>
        <v>60921.600000000006</v>
      </c>
    </row>
    <row r="34" spans="1:61" s="36" customFormat="1" ht="39.950000000000003" customHeight="1">
      <c r="A34" s="149">
        <v>44342</v>
      </c>
      <c r="B34" s="35"/>
      <c r="C34" s="81">
        <v>6058792</v>
      </c>
      <c r="D34" s="108">
        <f t="shared" ref="D34" si="574">(+C34-+C33)*48</f>
        <v>99264</v>
      </c>
      <c r="E34" s="38">
        <f t="shared" si="4"/>
        <v>59558.399999999994</v>
      </c>
      <c r="F34" s="108">
        <f t="shared" si="5"/>
        <v>39705.600000000006</v>
      </c>
      <c r="G34" s="81">
        <v>282055</v>
      </c>
      <c r="H34" s="108">
        <f t="shared" ref="H34" si="575">(+G34-+G33)*48</f>
        <v>1728</v>
      </c>
      <c r="I34" s="81">
        <v>125529</v>
      </c>
      <c r="J34" s="38">
        <f t="shared" ref="J34" si="576">(+I34-+I33)*48</f>
        <v>8496</v>
      </c>
      <c r="K34" s="81">
        <v>258537</v>
      </c>
      <c r="L34" s="108">
        <f t="shared" si="0"/>
        <v>864</v>
      </c>
      <c r="M34" s="81">
        <v>24778</v>
      </c>
      <c r="N34" s="38">
        <f t="shared" ref="N34" si="577">(+M34-+M33)*48</f>
        <v>0</v>
      </c>
      <c r="O34" s="81">
        <v>263536</v>
      </c>
      <c r="P34" s="38">
        <f t="shared" ref="P34" si="578">(+O34-+O33)*48</f>
        <v>9072</v>
      </c>
      <c r="Q34" s="81">
        <v>449177</v>
      </c>
      <c r="R34" s="108">
        <f t="shared" ref="R34" si="579">(+Q34-+Q33)*48</f>
        <v>2544</v>
      </c>
      <c r="S34" s="81">
        <v>724095</v>
      </c>
      <c r="T34" s="108">
        <f t="shared" ref="T34" si="580">(+S34-+S33)*48</f>
        <v>6240</v>
      </c>
      <c r="U34" s="81">
        <v>99711.774999999994</v>
      </c>
      <c r="V34" s="108">
        <f t="shared" ref="V34" si="581">(+U34-+U33)*48</f>
        <v>864.91200000001118</v>
      </c>
      <c r="W34" s="81">
        <v>80896</v>
      </c>
      <c r="X34" s="108">
        <f t="shared" ref="X34" si="582">(+W34-+W33)*48</f>
        <v>528</v>
      </c>
      <c r="Y34" s="81">
        <v>1499528</v>
      </c>
      <c r="Z34" s="108">
        <f t="shared" ref="Z34" si="583">(+Y34-+Y33)*48</f>
        <v>0</v>
      </c>
      <c r="AA34" s="81">
        <v>13264</v>
      </c>
      <c r="AB34" s="108">
        <f t="shared" ref="AB34" si="584">(+AA34-+AA33)*48</f>
        <v>0</v>
      </c>
      <c r="AC34" s="81">
        <v>456154</v>
      </c>
      <c r="AD34" s="108">
        <f t="shared" si="16"/>
        <v>5328</v>
      </c>
      <c r="AE34" s="81">
        <v>529013</v>
      </c>
      <c r="AF34" s="108">
        <f t="shared" si="16"/>
        <v>5232</v>
      </c>
      <c r="AG34" s="81">
        <v>49769</v>
      </c>
      <c r="AH34" s="108">
        <f t="shared" ref="AH34" si="585">(+AG34-+AG33)*48</f>
        <v>0</v>
      </c>
      <c r="AI34" s="81">
        <v>417008</v>
      </c>
      <c r="AJ34" s="108">
        <f t="shared" ref="AJ34" si="586">(+AI34-+AI33)*48</f>
        <v>1872</v>
      </c>
      <c r="AK34" s="81">
        <v>102770</v>
      </c>
      <c r="AL34" s="108">
        <f t="shared" ref="AL34" si="587">(+AK34-+AK33)*48</f>
        <v>0</v>
      </c>
      <c r="AM34" s="81">
        <v>574161</v>
      </c>
      <c r="AN34" s="108">
        <f t="shared" ref="AN34" si="588">(+AM34-+AM33)*48</f>
        <v>5328</v>
      </c>
      <c r="AO34" s="81">
        <v>929397</v>
      </c>
      <c r="AP34" s="108">
        <f t="shared" ref="AP34" si="589">(+AO34-+AO33)*48</f>
        <v>9264</v>
      </c>
      <c r="AQ34" s="81">
        <v>77871</v>
      </c>
      <c r="AR34" s="108">
        <f t="shared" ref="AR34" si="590">(+AQ34-+AQ33)*48</f>
        <v>0</v>
      </c>
      <c r="AS34" s="80">
        <v>2262</v>
      </c>
      <c r="AT34" s="108">
        <f t="shared" ref="AT34" si="591">(+AS34-+AS33)*48</f>
        <v>0</v>
      </c>
      <c r="AU34" s="81">
        <v>939</v>
      </c>
      <c r="AV34" s="108">
        <f t="shared" ref="AV34" si="592">(+AU34-+AU33)*48</f>
        <v>0</v>
      </c>
      <c r="AW34" s="81">
        <v>3109</v>
      </c>
      <c r="AX34" s="108">
        <f t="shared" ref="AX34" si="593">(+AW34-+AW33)*48</f>
        <v>0</v>
      </c>
      <c r="AY34" s="81">
        <v>317006</v>
      </c>
      <c r="AZ34" s="108">
        <f t="shared" ref="AZ34" si="594">(+AY34-+AY33)*48</f>
        <v>3072</v>
      </c>
      <c r="BA34" s="81">
        <v>161101</v>
      </c>
      <c r="BB34" s="108">
        <f t="shared" ref="BB34" si="595">(+BA34-+BA33)*48</f>
        <v>0</v>
      </c>
      <c r="BC34" s="81">
        <v>216783</v>
      </c>
      <c r="BD34" s="108">
        <f t="shared" ref="BD34" si="596">(+BC34-+BC33)*48</f>
        <v>1968</v>
      </c>
      <c r="BE34" s="81">
        <v>5347</v>
      </c>
      <c r="BF34" s="108">
        <f t="shared" ref="BF34" si="597">(+BE34-+BE33)*48</f>
        <v>0</v>
      </c>
      <c r="BH34" s="109">
        <f t="shared" si="1"/>
        <v>102327.31200000001</v>
      </c>
      <c r="BI34" s="109">
        <f t="shared" si="2"/>
        <v>59337.600000000006</v>
      </c>
    </row>
    <row r="35" spans="1:61" s="36" customFormat="1" ht="39.950000000000003" customHeight="1">
      <c r="A35" s="149">
        <v>44343</v>
      </c>
      <c r="B35" s="35"/>
      <c r="C35" s="81">
        <v>6060789</v>
      </c>
      <c r="D35" s="108">
        <f t="shared" ref="D35" si="598">(+C35-+C34)*48</f>
        <v>95856</v>
      </c>
      <c r="E35" s="38">
        <f t="shared" si="4"/>
        <v>57513.599999999999</v>
      </c>
      <c r="F35" s="108">
        <f t="shared" si="5"/>
        <v>38342.400000000001</v>
      </c>
      <c r="G35" s="81">
        <v>282091</v>
      </c>
      <c r="H35" s="108">
        <f t="shared" ref="H35" si="599">(+G35-+G34)*48</f>
        <v>1728</v>
      </c>
      <c r="I35" s="81">
        <v>125695</v>
      </c>
      <c r="J35" s="38">
        <f t="shared" ref="J35" si="600">(+I35-+I34)*48</f>
        <v>7968</v>
      </c>
      <c r="K35" s="81">
        <v>258543</v>
      </c>
      <c r="L35" s="108">
        <f t="shared" si="0"/>
        <v>288</v>
      </c>
      <c r="M35" s="81">
        <v>24778</v>
      </c>
      <c r="N35" s="38">
        <f t="shared" ref="N35" si="601">(+M35-+M34)*48</f>
        <v>0</v>
      </c>
      <c r="O35" s="81">
        <v>263730</v>
      </c>
      <c r="P35" s="38">
        <f t="shared" ref="P35" si="602">(+O35-+O34)*48</f>
        <v>9312</v>
      </c>
      <c r="Q35" s="81">
        <v>449226</v>
      </c>
      <c r="R35" s="108">
        <f t="shared" ref="R35" si="603">(+Q35-+Q34)*48</f>
        <v>2352</v>
      </c>
      <c r="S35" s="81">
        <v>724218</v>
      </c>
      <c r="T35" s="108">
        <f t="shared" ref="T35" si="604">(+S35-+S34)*48</f>
        <v>5904</v>
      </c>
      <c r="U35" s="81">
        <v>99729.764999999999</v>
      </c>
      <c r="V35" s="108">
        <f t="shared" ref="V35" si="605">(+U35-+U34)*48</f>
        <v>863.52000000025146</v>
      </c>
      <c r="W35" s="81">
        <v>80910</v>
      </c>
      <c r="X35" s="108">
        <f t="shared" ref="X35" si="606">(+W35-+W34)*48</f>
        <v>672</v>
      </c>
      <c r="Y35" s="81">
        <v>1499539</v>
      </c>
      <c r="Z35" s="108">
        <f t="shared" ref="Z35" si="607">(+Y35-+Y34)*48</f>
        <v>528</v>
      </c>
      <c r="AA35" s="81">
        <v>13264</v>
      </c>
      <c r="AB35" s="108">
        <f t="shared" ref="AB35" si="608">(+AA35-+AA34)*48</f>
        <v>0</v>
      </c>
      <c r="AC35" s="81">
        <v>456259</v>
      </c>
      <c r="AD35" s="108">
        <f t="shared" si="16"/>
        <v>5040</v>
      </c>
      <c r="AE35" s="81">
        <v>529119</v>
      </c>
      <c r="AF35" s="108">
        <f t="shared" si="16"/>
        <v>5088</v>
      </c>
      <c r="AG35" s="81">
        <v>49769</v>
      </c>
      <c r="AH35" s="108">
        <f t="shared" ref="AH35" si="609">(+AG35-+AG34)*48</f>
        <v>0</v>
      </c>
      <c r="AI35" s="81">
        <v>417077</v>
      </c>
      <c r="AJ35" s="108">
        <f t="shared" ref="AJ35" si="610">(+AI35-+AI34)*48</f>
        <v>3312</v>
      </c>
      <c r="AK35" s="81">
        <v>102770</v>
      </c>
      <c r="AL35" s="108">
        <f t="shared" ref="AL35" si="611">(+AK35-+AK34)*48</f>
        <v>0</v>
      </c>
      <c r="AM35" s="81">
        <v>574266</v>
      </c>
      <c r="AN35" s="108">
        <f t="shared" ref="AN35" si="612">(+AM35-+AM34)*48</f>
        <v>5040</v>
      </c>
      <c r="AO35" s="81">
        <v>929585</v>
      </c>
      <c r="AP35" s="108">
        <f t="shared" ref="AP35" si="613">(+AO35-+AO34)*48</f>
        <v>9024</v>
      </c>
      <c r="AQ35" s="81">
        <v>77871</v>
      </c>
      <c r="AR35" s="108">
        <f t="shared" ref="AR35" si="614">(+AQ35-+AQ34)*48</f>
        <v>0</v>
      </c>
      <c r="AS35" s="80">
        <v>2262</v>
      </c>
      <c r="AT35" s="108">
        <f t="shared" ref="AT35" si="615">(+AS35-+AS34)*48</f>
        <v>0</v>
      </c>
      <c r="AU35" s="81">
        <v>939</v>
      </c>
      <c r="AV35" s="108">
        <f t="shared" ref="AV35" si="616">(+AU35-+AU34)*48</f>
        <v>0</v>
      </c>
      <c r="AW35" s="81">
        <v>3109</v>
      </c>
      <c r="AX35" s="108">
        <f t="shared" ref="AX35" si="617">(+AW35-+AW34)*48</f>
        <v>0</v>
      </c>
      <c r="AY35" s="81">
        <v>317070</v>
      </c>
      <c r="AZ35" s="108">
        <f t="shared" ref="AZ35" si="618">(+AY35-+AY34)*48</f>
        <v>3072</v>
      </c>
      <c r="BA35" s="81">
        <v>161101</v>
      </c>
      <c r="BB35" s="108">
        <f t="shared" ref="BB35" si="619">(+BA35-+BA34)*48</f>
        <v>0</v>
      </c>
      <c r="BC35" s="81">
        <v>216824</v>
      </c>
      <c r="BD35" s="108">
        <f t="shared" ref="BD35" si="620">(+BC35-+BC34)*48</f>
        <v>1968</v>
      </c>
      <c r="BE35" s="81">
        <v>5347</v>
      </c>
      <c r="BF35" s="108">
        <f t="shared" ref="BF35" si="621">(+BE35-+BE34)*48</f>
        <v>0</v>
      </c>
      <c r="BH35" s="109">
        <f t="shared" si="1"/>
        <v>100569.12000000026</v>
      </c>
      <c r="BI35" s="109">
        <f t="shared" si="2"/>
        <v>57446.400000000001</v>
      </c>
    </row>
    <row r="36" spans="1:61" s="36" customFormat="1" ht="39.950000000000003" customHeight="1">
      <c r="A36" s="149">
        <v>44344</v>
      </c>
      <c r="B36" s="35"/>
      <c r="C36" s="81">
        <v>6062857</v>
      </c>
      <c r="D36" s="108">
        <f t="shared" ref="D36" si="622">(+C36-+C35)*48</f>
        <v>99264</v>
      </c>
      <c r="E36" s="38">
        <f t="shared" si="4"/>
        <v>59558.399999999994</v>
      </c>
      <c r="F36" s="108">
        <f t="shared" si="5"/>
        <v>39705.600000000006</v>
      </c>
      <c r="G36" s="81">
        <v>282129</v>
      </c>
      <c r="H36" s="108">
        <f t="shared" ref="H36:H38" si="623">(+G36-+G35)*48</f>
        <v>1824</v>
      </c>
      <c r="I36" s="81">
        <v>125868</v>
      </c>
      <c r="J36" s="38">
        <f t="shared" ref="J36:J38" si="624">(+I36-+I35)*48</f>
        <v>8304</v>
      </c>
      <c r="K36" s="81">
        <v>258576</v>
      </c>
      <c r="L36" s="108">
        <f t="shared" si="0"/>
        <v>1584</v>
      </c>
      <c r="M36" s="81">
        <v>24781</v>
      </c>
      <c r="N36" s="38">
        <f t="shared" ref="N36:N38" si="625">(+M36-+M35)*48</f>
        <v>144</v>
      </c>
      <c r="O36" s="81">
        <v>263914</v>
      </c>
      <c r="P36" s="38">
        <f t="shared" ref="P36:P38" si="626">(+O36-+O35)*48</f>
        <v>8832</v>
      </c>
      <c r="Q36" s="81">
        <v>449299</v>
      </c>
      <c r="R36" s="108">
        <f t="shared" ref="R36:R38" si="627">(+Q36-+Q35)*48</f>
        <v>3504</v>
      </c>
      <c r="S36" s="81">
        <v>724357</v>
      </c>
      <c r="T36" s="108">
        <f t="shared" ref="T36:T38" si="628">(+S36-+S35)*48</f>
        <v>6672</v>
      </c>
      <c r="U36" s="81">
        <v>99749.017999999996</v>
      </c>
      <c r="V36" s="108">
        <f t="shared" ref="V36:V38" si="629">(+U36-+U35)*48</f>
        <v>924.14399999985471</v>
      </c>
      <c r="W36" s="81">
        <v>80925</v>
      </c>
      <c r="X36" s="108">
        <f t="shared" ref="X36:X38" si="630">(+W36-+W35)*48</f>
        <v>720</v>
      </c>
      <c r="Y36" s="81">
        <v>1499545</v>
      </c>
      <c r="Z36" s="108">
        <f t="shared" ref="Z36:Z38" si="631">(+Y36-+Y35)*48</f>
        <v>288</v>
      </c>
      <c r="AA36" s="81">
        <v>13264</v>
      </c>
      <c r="AB36" s="108">
        <f t="shared" ref="AB36:AB38" si="632">(+AA36-+AA35)*48</f>
        <v>0</v>
      </c>
      <c r="AC36" s="81">
        <v>456368</v>
      </c>
      <c r="AD36" s="108">
        <f t="shared" si="16"/>
        <v>5232</v>
      </c>
      <c r="AE36" s="81">
        <v>529218</v>
      </c>
      <c r="AF36" s="108">
        <f t="shared" si="16"/>
        <v>4752</v>
      </c>
      <c r="AG36" s="81">
        <v>49769</v>
      </c>
      <c r="AH36" s="108">
        <f t="shared" ref="AH36:AH38" si="633">(+AG36-+AG35)*48</f>
        <v>0</v>
      </c>
      <c r="AI36" s="81">
        <v>417134</v>
      </c>
      <c r="AJ36" s="108">
        <f t="shared" ref="AJ36:AJ38" si="634">(+AI36-+AI35)*48</f>
        <v>2736</v>
      </c>
      <c r="AK36" s="81">
        <v>102770</v>
      </c>
      <c r="AL36" s="108">
        <f t="shared" ref="AL36:AL38" si="635">(+AK36-+AK35)*48</f>
        <v>0</v>
      </c>
      <c r="AM36" s="81">
        <v>574378</v>
      </c>
      <c r="AN36" s="108">
        <f t="shared" ref="AN36:AN38" si="636">(+AM36-+AM35)*48</f>
        <v>5376</v>
      </c>
      <c r="AO36" s="81">
        <v>929774</v>
      </c>
      <c r="AP36" s="108">
        <f t="shared" ref="AP36:AP38" si="637">(+AO36-+AO35)*48</f>
        <v>9072</v>
      </c>
      <c r="AQ36" s="81">
        <v>77871</v>
      </c>
      <c r="AR36" s="108">
        <f t="shared" ref="AR36:AR38" si="638">(+AQ36-+AQ35)*48</f>
        <v>0</v>
      </c>
      <c r="AS36" s="80">
        <v>2262</v>
      </c>
      <c r="AT36" s="108">
        <f t="shared" ref="AT36:AT38" si="639">(+AS36-+AS35)*48</f>
        <v>0</v>
      </c>
      <c r="AU36" s="81">
        <v>939</v>
      </c>
      <c r="AV36" s="108">
        <f t="shared" ref="AV36:AV38" si="640">(+AU36-+AU35)*48</f>
        <v>0</v>
      </c>
      <c r="AW36" s="81">
        <v>3109</v>
      </c>
      <c r="AX36" s="108">
        <f t="shared" ref="AX36:AX38" si="641">(+AW36-+AW35)*48</f>
        <v>0</v>
      </c>
      <c r="AY36" s="81">
        <v>317134</v>
      </c>
      <c r="AZ36" s="108">
        <f t="shared" ref="AZ36:AZ38" si="642">(+AY36-+AY35)*48</f>
        <v>3072</v>
      </c>
      <c r="BA36" s="81">
        <v>161101</v>
      </c>
      <c r="BB36" s="108">
        <f t="shared" ref="BB36:BB38" si="643">(+BA36-+BA35)*48</f>
        <v>0</v>
      </c>
      <c r="BC36" s="81">
        <v>216866</v>
      </c>
      <c r="BD36" s="108">
        <f t="shared" ref="BD36:BD38" si="644">(+BC36-+BC35)*48</f>
        <v>2016</v>
      </c>
      <c r="BE36" s="81">
        <v>5347</v>
      </c>
      <c r="BF36" s="108">
        <f t="shared" ref="BF36:BF38" si="645">(+BE36-+BE35)*48</f>
        <v>0</v>
      </c>
      <c r="BH36" s="109">
        <f t="shared" si="1"/>
        <v>105074.54399999985</v>
      </c>
      <c r="BI36" s="109">
        <f t="shared" si="2"/>
        <v>59241.600000000006</v>
      </c>
    </row>
    <row r="37" spans="1:61" s="36" customFormat="1" ht="39.950000000000003" customHeight="1">
      <c r="A37" s="149">
        <v>44345</v>
      </c>
      <c r="B37" s="35"/>
      <c r="C37" s="81"/>
      <c r="D37" s="108">
        <f t="shared" ref="D37:D38" si="646">(+C37-+C36)*48</f>
        <v>-291017136</v>
      </c>
      <c r="E37" s="38">
        <f t="shared" si="4"/>
        <v>-174610281.59999999</v>
      </c>
      <c r="F37" s="108">
        <f t="shared" ref="F37:F38" si="647">D37*0.4</f>
        <v>-116406854.40000001</v>
      </c>
      <c r="G37" s="81"/>
      <c r="H37" s="108">
        <f t="shared" si="623"/>
        <v>-13542192</v>
      </c>
      <c r="I37" s="81"/>
      <c r="J37" s="38">
        <f t="shared" si="624"/>
        <v>-6041664</v>
      </c>
      <c r="K37" s="81"/>
      <c r="L37" s="108">
        <f t="shared" si="0"/>
        <v>-12411648</v>
      </c>
      <c r="M37" s="81"/>
      <c r="N37" s="38">
        <f t="shared" si="625"/>
        <v>-1189488</v>
      </c>
      <c r="O37" s="81"/>
      <c r="P37" s="38">
        <f t="shared" si="626"/>
        <v>-12667872</v>
      </c>
      <c r="Q37" s="81"/>
      <c r="R37" s="108">
        <f t="shared" si="627"/>
        <v>-21566352</v>
      </c>
      <c r="S37" s="81"/>
      <c r="T37" s="108">
        <f t="shared" si="628"/>
        <v>-34769136</v>
      </c>
      <c r="U37" s="81"/>
      <c r="V37" s="108">
        <f t="shared" si="629"/>
        <v>-4787952.8640000001</v>
      </c>
      <c r="W37" s="81"/>
      <c r="X37" s="108">
        <f t="shared" si="630"/>
        <v>-3884400</v>
      </c>
      <c r="Y37" s="81"/>
      <c r="Z37" s="108">
        <f t="shared" si="631"/>
        <v>-71978160</v>
      </c>
      <c r="AA37" s="81"/>
      <c r="AB37" s="108">
        <f t="shared" si="632"/>
        <v>-636672</v>
      </c>
      <c r="AC37" s="81"/>
      <c r="AD37" s="108">
        <f t="shared" si="16"/>
        <v>-21905664</v>
      </c>
      <c r="AE37" s="81"/>
      <c r="AF37" s="108">
        <f t="shared" si="16"/>
        <v>-25402464</v>
      </c>
      <c r="AG37" s="81"/>
      <c r="AH37" s="108">
        <f t="shared" si="633"/>
        <v>-2388912</v>
      </c>
      <c r="AI37" s="81"/>
      <c r="AJ37" s="108">
        <f t="shared" si="634"/>
        <v>-20022432</v>
      </c>
      <c r="AK37" s="81"/>
      <c r="AL37" s="108">
        <f t="shared" si="635"/>
        <v>-4932960</v>
      </c>
      <c r="AM37" s="81"/>
      <c r="AN37" s="108">
        <f t="shared" si="636"/>
        <v>-27570144</v>
      </c>
      <c r="AO37" s="81"/>
      <c r="AP37" s="108">
        <f t="shared" si="637"/>
        <v>-44629152</v>
      </c>
      <c r="AQ37" s="81"/>
      <c r="AR37" s="108">
        <f t="shared" si="638"/>
        <v>-3737808</v>
      </c>
      <c r="AS37" s="80"/>
      <c r="AT37" s="108">
        <f t="shared" si="639"/>
        <v>-108576</v>
      </c>
      <c r="AU37" s="81"/>
      <c r="AV37" s="108">
        <f t="shared" si="640"/>
        <v>-45072</v>
      </c>
      <c r="AW37" s="81"/>
      <c r="AX37" s="108">
        <f t="shared" si="641"/>
        <v>-149232</v>
      </c>
      <c r="AY37" s="81"/>
      <c r="AZ37" s="108">
        <f t="shared" si="642"/>
        <v>-15222432</v>
      </c>
      <c r="BA37" s="81"/>
      <c r="BB37" s="108">
        <f t="shared" si="643"/>
        <v>-7732848</v>
      </c>
      <c r="BC37" s="81"/>
      <c r="BD37" s="108">
        <f t="shared" si="644"/>
        <v>-10409568</v>
      </c>
      <c r="BE37" s="81"/>
      <c r="BF37" s="108">
        <f t="shared" si="645"/>
        <v>-256656</v>
      </c>
      <c r="BH37" s="109">
        <f t="shared" ref="BH37:BH38" si="648">SUM(E37,J37,P37,H37,L37,R37,T37,V37,X37,N37,AB37,Z37,AD37,AF37,AH37,AL37,AJ37)</f>
        <v>-432738250.46400005</v>
      </c>
      <c r="BI37" s="109">
        <f t="shared" ref="BI37:BI38" si="649">SUM(F37,AN37,AP37,AT37,AV37,AX37,AR37,AZ37,BB37,BD37,BF37)</f>
        <v>-226268342.40000001</v>
      </c>
    </row>
    <row r="38" spans="1:61" s="36" customFormat="1" ht="39.950000000000003" customHeight="1">
      <c r="A38" s="149">
        <v>44346</v>
      </c>
      <c r="B38" s="35"/>
      <c r="C38" s="81"/>
      <c r="D38" s="108">
        <f t="shared" si="646"/>
        <v>0</v>
      </c>
      <c r="E38" s="38">
        <f t="shared" si="4"/>
        <v>0</v>
      </c>
      <c r="F38" s="108">
        <f t="shared" si="647"/>
        <v>0</v>
      </c>
      <c r="G38" s="81"/>
      <c r="H38" s="108">
        <f t="shared" si="623"/>
        <v>0</v>
      </c>
      <c r="I38" s="81"/>
      <c r="J38" s="38">
        <f t="shared" si="624"/>
        <v>0</v>
      </c>
      <c r="K38" s="81"/>
      <c r="L38" s="108">
        <f t="shared" si="0"/>
        <v>0</v>
      </c>
      <c r="M38" s="81"/>
      <c r="N38" s="38">
        <f t="shared" si="625"/>
        <v>0</v>
      </c>
      <c r="O38" s="81"/>
      <c r="P38" s="38">
        <f t="shared" si="626"/>
        <v>0</v>
      </c>
      <c r="Q38" s="81"/>
      <c r="R38" s="108">
        <f t="shared" si="627"/>
        <v>0</v>
      </c>
      <c r="S38" s="81"/>
      <c r="T38" s="108">
        <f t="shared" si="628"/>
        <v>0</v>
      </c>
      <c r="U38" s="81"/>
      <c r="V38" s="108">
        <f t="shared" si="629"/>
        <v>0</v>
      </c>
      <c r="W38" s="81"/>
      <c r="X38" s="108">
        <f t="shared" si="630"/>
        <v>0</v>
      </c>
      <c r="Y38" s="81"/>
      <c r="Z38" s="108">
        <f t="shared" si="631"/>
        <v>0</v>
      </c>
      <c r="AA38" s="81"/>
      <c r="AB38" s="108">
        <f t="shared" si="632"/>
        <v>0</v>
      </c>
      <c r="AC38" s="81"/>
      <c r="AD38" s="108">
        <f t="shared" ref="AD38" si="650">(+AC38-+AC37)*48</f>
        <v>0</v>
      </c>
      <c r="AE38" s="81"/>
      <c r="AF38" s="108">
        <f t="shared" ref="AF38" si="651">(+AE38-+AE37)*48</f>
        <v>0</v>
      </c>
      <c r="AG38" s="81"/>
      <c r="AH38" s="108">
        <f t="shared" si="633"/>
        <v>0</v>
      </c>
      <c r="AI38" s="81"/>
      <c r="AJ38" s="108">
        <f t="shared" si="634"/>
        <v>0</v>
      </c>
      <c r="AK38" s="81"/>
      <c r="AL38" s="108">
        <f t="shared" si="635"/>
        <v>0</v>
      </c>
      <c r="AM38" s="81"/>
      <c r="AN38" s="108">
        <f t="shared" si="636"/>
        <v>0</v>
      </c>
      <c r="AO38" s="81"/>
      <c r="AP38" s="108">
        <f t="shared" si="637"/>
        <v>0</v>
      </c>
      <c r="AQ38" s="81"/>
      <c r="AR38" s="108">
        <f t="shared" si="638"/>
        <v>0</v>
      </c>
      <c r="AS38" s="80"/>
      <c r="AT38" s="108">
        <f t="shared" si="639"/>
        <v>0</v>
      </c>
      <c r="AU38" s="81"/>
      <c r="AV38" s="108">
        <f t="shared" si="640"/>
        <v>0</v>
      </c>
      <c r="AW38" s="81"/>
      <c r="AX38" s="108">
        <f t="shared" si="641"/>
        <v>0</v>
      </c>
      <c r="AY38" s="81"/>
      <c r="AZ38" s="108">
        <f t="shared" si="642"/>
        <v>0</v>
      </c>
      <c r="BA38" s="81"/>
      <c r="BB38" s="108">
        <f t="shared" si="643"/>
        <v>0</v>
      </c>
      <c r="BC38" s="81"/>
      <c r="BD38" s="108">
        <f t="shared" si="644"/>
        <v>0</v>
      </c>
      <c r="BE38" s="81"/>
      <c r="BF38" s="108">
        <f t="shared" si="645"/>
        <v>0</v>
      </c>
      <c r="BH38" s="109">
        <f t="shared" si="648"/>
        <v>0</v>
      </c>
      <c r="BI38" s="109">
        <f t="shared" si="649"/>
        <v>0</v>
      </c>
    </row>
    <row r="39" spans="1:61" s="36" customFormat="1" ht="39.950000000000003" customHeight="1">
      <c r="A39" s="149">
        <v>44347</v>
      </c>
      <c r="B39" s="35"/>
      <c r="C39" s="80"/>
      <c r="D39" s="108"/>
      <c r="E39" s="38">
        <f t="shared" si="4"/>
        <v>0</v>
      </c>
      <c r="F39" s="108"/>
      <c r="G39" s="80"/>
      <c r="H39" s="108"/>
      <c r="I39" s="80"/>
      <c r="J39" s="38"/>
      <c r="K39" s="80"/>
      <c r="L39" s="108"/>
      <c r="M39" s="80"/>
      <c r="N39" s="38"/>
      <c r="O39" s="80"/>
      <c r="P39" s="38"/>
      <c r="Q39" s="80"/>
      <c r="R39" s="108"/>
      <c r="S39" s="80"/>
      <c r="T39" s="108"/>
      <c r="U39" s="80"/>
      <c r="V39" s="108"/>
      <c r="W39" s="80"/>
      <c r="X39" s="108"/>
      <c r="Y39" s="80"/>
      <c r="Z39" s="108"/>
      <c r="AA39" s="80"/>
      <c r="AB39" s="108"/>
      <c r="AC39" s="80"/>
      <c r="AD39" s="108"/>
      <c r="AE39" s="80"/>
      <c r="AF39" s="108"/>
      <c r="AG39" s="80"/>
      <c r="AH39" s="108"/>
      <c r="AI39" s="80"/>
      <c r="AJ39" s="108"/>
      <c r="AK39" s="80"/>
      <c r="AL39" s="108"/>
      <c r="AM39" s="80"/>
      <c r="AN39" s="108"/>
      <c r="AO39" s="80"/>
      <c r="AP39" s="108"/>
      <c r="AQ39" s="80"/>
      <c r="AR39" s="108"/>
      <c r="AS39" s="81"/>
      <c r="AT39" s="108"/>
      <c r="AU39" s="81"/>
      <c r="AV39" s="108"/>
      <c r="AW39" s="81"/>
      <c r="AX39" s="108"/>
      <c r="AY39" s="80"/>
      <c r="AZ39" s="108"/>
      <c r="BA39" s="81"/>
      <c r="BB39" s="108"/>
      <c r="BC39" s="80"/>
      <c r="BD39" s="108"/>
      <c r="BE39" s="81"/>
      <c r="BF39" s="108"/>
      <c r="BH39" s="109"/>
      <c r="BI39" s="109"/>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9" t="s">
        <v>197</v>
      </c>
      <c r="C1" s="249"/>
      <c r="D1" s="249" t="s">
        <v>197</v>
      </c>
      <c r="E1" s="249"/>
      <c r="F1" s="249" t="s">
        <v>197</v>
      </c>
      <c r="G1" s="249"/>
      <c r="H1" s="249" t="s">
        <v>198</v>
      </c>
      <c r="I1" s="249"/>
      <c r="J1" s="248"/>
      <c r="K1" s="248"/>
      <c r="L1" s="249" t="s">
        <v>199</v>
      </c>
      <c r="M1" s="249"/>
      <c r="N1" s="249" t="s">
        <v>199</v>
      </c>
      <c r="O1" s="249"/>
      <c r="P1" s="249" t="s">
        <v>199</v>
      </c>
      <c r="Q1" s="249"/>
      <c r="R1" s="249" t="s">
        <v>199</v>
      </c>
      <c r="S1" s="249"/>
      <c r="T1" s="249" t="s">
        <v>200</v>
      </c>
      <c r="U1" s="249"/>
      <c r="V1" s="253" t="s">
        <v>200</v>
      </c>
      <c r="W1" s="253"/>
      <c r="X1" s="249" t="s">
        <v>200</v>
      </c>
      <c r="Y1" s="249"/>
      <c r="Z1" s="249" t="s">
        <v>200</v>
      </c>
      <c r="AA1" s="249"/>
      <c r="AB1" s="248"/>
      <c r="AC1" s="248"/>
      <c r="AD1" s="249" t="s">
        <v>200</v>
      </c>
      <c r="AE1" s="249"/>
      <c r="AF1" s="249" t="s">
        <v>200</v>
      </c>
      <c r="AG1" s="249"/>
      <c r="AH1" s="249" t="s">
        <v>201</v>
      </c>
      <c r="AI1" s="249"/>
      <c r="AJ1" s="249" t="s">
        <v>201</v>
      </c>
      <c r="AK1" s="249"/>
      <c r="AL1" s="252" t="s">
        <v>201</v>
      </c>
      <c r="AM1" s="252"/>
      <c r="AN1" s="249" t="s">
        <v>201</v>
      </c>
      <c r="AO1" s="249"/>
      <c r="AP1" s="248" t="s">
        <v>201</v>
      </c>
      <c r="AQ1" s="248"/>
      <c r="AR1" s="252" t="s">
        <v>201</v>
      </c>
      <c r="AS1" s="252"/>
      <c r="AT1" s="249" t="s">
        <v>201</v>
      </c>
      <c r="AU1" s="249"/>
      <c r="AV1" s="248"/>
      <c r="AW1" s="248"/>
      <c r="AX1" s="249" t="s">
        <v>201</v>
      </c>
      <c r="AY1" s="249"/>
      <c r="AZ1" s="249" t="s">
        <v>201</v>
      </c>
      <c r="BA1" s="249"/>
      <c r="BB1" s="249" t="s">
        <v>201</v>
      </c>
      <c r="BC1" s="249"/>
      <c r="BD1" s="249" t="s">
        <v>202</v>
      </c>
      <c r="BE1" s="249"/>
      <c r="BF1" s="249" t="s">
        <v>202</v>
      </c>
      <c r="BG1" s="249"/>
      <c r="BH1" s="249" t="s">
        <v>202</v>
      </c>
      <c r="BI1" s="249"/>
      <c r="BJ1" s="249" t="s">
        <v>202</v>
      </c>
      <c r="BK1" s="249"/>
      <c r="BL1" s="249" t="s">
        <v>202</v>
      </c>
      <c r="BM1" s="249"/>
      <c r="BN1" s="249" t="s">
        <v>202</v>
      </c>
      <c r="BO1" s="249"/>
      <c r="BP1" s="249" t="s">
        <v>202</v>
      </c>
      <c r="BQ1" s="249"/>
      <c r="BR1" s="249" t="s">
        <v>202</v>
      </c>
      <c r="BS1" s="249"/>
      <c r="BT1" s="249" t="s">
        <v>202</v>
      </c>
      <c r="BU1" s="249"/>
      <c r="BV1" s="249" t="s">
        <v>202</v>
      </c>
      <c r="BW1" s="249"/>
      <c r="BX1" s="249" t="s">
        <v>202</v>
      </c>
      <c r="BY1" s="249"/>
      <c r="BZ1" s="249" t="s">
        <v>203</v>
      </c>
      <c r="CA1" s="249"/>
      <c r="CB1" s="253" t="s">
        <v>203</v>
      </c>
      <c r="CC1" s="253"/>
      <c r="CD1" s="249" t="s">
        <v>203</v>
      </c>
      <c r="CE1" s="249"/>
      <c r="CF1" s="249" t="s">
        <v>203</v>
      </c>
      <c r="CG1" s="249"/>
      <c r="CH1" s="249" t="s">
        <v>204</v>
      </c>
      <c r="CI1" s="249"/>
      <c r="CJ1" s="249" t="s">
        <v>204</v>
      </c>
      <c r="CK1" s="249"/>
      <c r="CL1" s="249" t="s">
        <v>204</v>
      </c>
      <c r="CM1" s="249"/>
      <c r="CN1" s="249" t="s">
        <v>205</v>
      </c>
      <c r="CO1" s="249"/>
      <c r="CP1" s="249" t="s">
        <v>205</v>
      </c>
      <c r="CQ1" s="249"/>
      <c r="CR1" s="253" t="s">
        <v>205</v>
      </c>
      <c r="CS1" s="253"/>
      <c r="CT1" s="249" t="s">
        <v>205</v>
      </c>
      <c r="CU1" s="249"/>
      <c r="CV1" s="249" t="s">
        <v>205</v>
      </c>
      <c r="CW1" s="249"/>
      <c r="CX1" s="249" t="s">
        <v>205</v>
      </c>
      <c r="CY1" s="249"/>
      <c r="CZ1" s="249" t="s">
        <v>205</v>
      </c>
      <c r="DA1" s="249"/>
      <c r="DB1" s="249" t="s">
        <v>205</v>
      </c>
      <c r="DC1" s="249"/>
      <c r="DD1" s="249" t="s">
        <v>205</v>
      </c>
      <c r="DE1" s="249"/>
      <c r="DF1" s="249" t="s">
        <v>205</v>
      </c>
      <c r="DG1" s="249"/>
      <c r="DH1" s="249" t="s">
        <v>205</v>
      </c>
      <c r="DI1" s="249"/>
      <c r="DJ1" s="248" t="s">
        <v>205</v>
      </c>
      <c r="DK1" s="248"/>
      <c r="DL1" s="249" t="s">
        <v>206</v>
      </c>
      <c r="DM1" s="249"/>
      <c r="DN1" s="249" t="s">
        <v>206</v>
      </c>
      <c r="DO1" s="249"/>
      <c r="DP1" s="249" t="s">
        <v>206</v>
      </c>
      <c r="DQ1" s="249"/>
      <c r="DR1" s="249" t="s">
        <v>206</v>
      </c>
      <c r="DS1" s="249"/>
      <c r="DT1" s="249" t="s">
        <v>206</v>
      </c>
      <c r="DU1" s="249"/>
      <c r="DV1" s="249" t="s">
        <v>206</v>
      </c>
      <c r="DW1" s="249"/>
      <c r="DX1" s="249" t="s">
        <v>207</v>
      </c>
      <c r="DY1" s="249"/>
      <c r="DZ1" s="249" t="s">
        <v>207</v>
      </c>
      <c r="EA1" s="249"/>
      <c r="EB1" s="249" t="s">
        <v>207</v>
      </c>
      <c r="EC1" s="249"/>
      <c r="ED1" s="249" t="s">
        <v>207</v>
      </c>
      <c r="EE1" s="249"/>
      <c r="EF1" s="249" t="s">
        <v>207</v>
      </c>
      <c r="EG1" s="249"/>
      <c r="EH1" s="249" t="s">
        <v>207</v>
      </c>
      <c r="EI1" s="249"/>
      <c r="EJ1" s="249" t="s">
        <v>207</v>
      </c>
      <c r="EK1" s="249"/>
      <c r="EL1" s="249" t="s">
        <v>208</v>
      </c>
      <c r="EM1" s="249"/>
      <c r="EN1" s="249" t="s">
        <v>208</v>
      </c>
      <c r="EO1" s="249"/>
      <c r="EP1" s="249" t="s">
        <v>208</v>
      </c>
      <c r="EQ1" s="249"/>
      <c r="ER1" s="249" t="s">
        <v>209</v>
      </c>
      <c r="ES1" s="249"/>
      <c r="ET1" s="249" t="s">
        <v>209</v>
      </c>
      <c r="EU1" s="249"/>
      <c r="EV1" s="249" t="s">
        <v>209</v>
      </c>
      <c r="EW1" s="249"/>
      <c r="EX1" s="249" t="s">
        <v>210</v>
      </c>
      <c r="EY1" s="249"/>
      <c r="EZ1" s="249" t="s">
        <v>211</v>
      </c>
      <c r="FA1" s="249"/>
      <c r="FB1" s="249" t="s">
        <v>211</v>
      </c>
      <c r="FC1" s="249"/>
      <c r="FD1" s="249" t="s">
        <v>211</v>
      </c>
      <c r="FE1" s="249"/>
      <c r="FF1" s="249" t="s">
        <v>212</v>
      </c>
      <c r="FG1" s="249"/>
      <c r="FH1" s="249" t="s">
        <v>212</v>
      </c>
      <c r="FI1" s="249"/>
      <c r="FJ1" s="249" t="s">
        <v>212</v>
      </c>
      <c r="FK1" s="249"/>
      <c r="FL1" s="248" t="s">
        <v>212</v>
      </c>
      <c r="FM1" s="248"/>
    </row>
    <row r="2" spans="1:169" s="24" customFormat="1" ht="49.5" customHeight="1">
      <c r="B2" s="249" t="s">
        <v>213</v>
      </c>
      <c r="C2" s="249"/>
      <c r="D2" s="249" t="s">
        <v>214</v>
      </c>
      <c r="E2" s="249"/>
      <c r="F2" s="249" t="s">
        <v>213</v>
      </c>
      <c r="G2" s="249"/>
      <c r="H2" s="249" t="s">
        <v>214</v>
      </c>
      <c r="I2" s="249"/>
      <c r="J2" s="249" t="s">
        <v>214</v>
      </c>
      <c r="K2" s="249"/>
      <c r="L2" s="249" t="s">
        <v>213</v>
      </c>
      <c r="M2" s="249"/>
      <c r="N2" s="249" t="s">
        <v>213</v>
      </c>
      <c r="O2" s="249"/>
      <c r="P2" s="249" t="s">
        <v>214</v>
      </c>
      <c r="Q2" s="249"/>
      <c r="R2" s="249" t="s">
        <v>214</v>
      </c>
      <c r="S2" s="249"/>
      <c r="T2" s="249" t="s">
        <v>213</v>
      </c>
      <c r="U2" s="249"/>
      <c r="V2" s="249" t="s">
        <v>214</v>
      </c>
      <c r="W2" s="249"/>
      <c r="X2" s="249" t="s">
        <v>214</v>
      </c>
      <c r="Y2" s="249"/>
      <c r="Z2" s="249" t="s">
        <v>214</v>
      </c>
      <c r="AA2" s="249"/>
      <c r="AB2" s="248" t="s">
        <v>214</v>
      </c>
      <c r="AC2" s="248"/>
      <c r="AD2" s="249" t="s">
        <v>213</v>
      </c>
      <c r="AE2" s="249"/>
      <c r="AF2" s="249" t="s">
        <v>214</v>
      </c>
      <c r="AG2" s="249"/>
      <c r="AH2" s="249" t="s">
        <v>214</v>
      </c>
      <c r="AI2" s="249"/>
      <c r="AJ2" s="249" t="s">
        <v>214</v>
      </c>
      <c r="AK2" s="249"/>
      <c r="AL2" s="249" t="s">
        <v>214</v>
      </c>
      <c r="AM2" s="249"/>
      <c r="AN2" s="249" t="s">
        <v>214</v>
      </c>
      <c r="AO2" s="249"/>
      <c r="AP2" s="248" t="s">
        <v>214</v>
      </c>
      <c r="AQ2" s="248"/>
      <c r="AR2" s="249" t="s">
        <v>214</v>
      </c>
      <c r="AS2" s="249"/>
      <c r="AT2" s="249" t="s">
        <v>214</v>
      </c>
      <c r="AU2" s="249"/>
      <c r="AV2" s="248" t="s">
        <v>214</v>
      </c>
      <c r="AW2" s="248"/>
      <c r="AX2" s="249" t="s">
        <v>214</v>
      </c>
      <c r="AY2" s="249"/>
      <c r="AZ2" s="249" t="s">
        <v>214</v>
      </c>
      <c r="BA2" s="249"/>
      <c r="BB2" s="249" t="s">
        <v>214</v>
      </c>
      <c r="BC2" s="249"/>
      <c r="BD2" s="249" t="s">
        <v>213</v>
      </c>
      <c r="BE2" s="249"/>
      <c r="BF2" s="249" t="s">
        <v>215</v>
      </c>
      <c r="BG2" s="249"/>
      <c r="BH2" s="249" t="s">
        <v>214</v>
      </c>
      <c r="BI2" s="249"/>
      <c r="BJ2" s="249" t="s">
        <v>214</v>
      </c>
      <c r="BK2" s="249"/>
      <c r="BL2" s="249" t="s">
        <v>214</v>
      </c>
      <c r="BM2" s="249"/>
      <c r="BN2" s="249" t="s">
        <v>214</v>
      </c>
      <c r="BO2" s="249"/>
      <c r="BP2" s="249" t="s">
        <v>214</v>
      </c>
      <c r="BQ2" s="249"/>
      <c r="BR2" s="249" t="s">
        <v>214</v>
      </c>
      <c r="BS2" s="249"/>
      <c r="BT2" s="249" t="s">
        <v>214</v>
      </c>
      <c r="BU2" s="249"/>
      <c r="BV2" s="249" t="s">
        <v>214</v>
      </c>
      <c r="BW2" s="249"/>
      <c r="BX2" s="249" t="s">
        <v>214</v>
      </c>
      <c r="BY2" s="249"/>
      <c r="BZ2" s="249" t="s">
        <v>213</v>
      </c>
      <c r="CA2" s="249"/>
      <c r="CB2" s="249" t="s">
        <v>213</v>
      </c>
      <c r="CC2" s="249"/>
      <c r="CD2" s="249" t="s">
        <v>213</v>
      </c>
      <c r="CE2" s="249"/>
      <c r="CF2" s="249" t="s">
        <v>213</v>
      </c>
      <c r="CG2" s="249"/>
      <c r="CH2" s="249" t="s">
        <v>214</v>
      </c>
      <c r="CI2" s="249"/>
      <c r="CJ2" s="249" t="s">
        <v>214</v>
      </c>
      <c r="CK2" s="249"/>
      <c r="CL2" s="249" t="s">
        <v>214</v>
      </c>
      <c r="CM2" s="249"/>
      <c r="CN2" s="249" t="s">
        <v>213</v>
      </c>
      <c r="CO2" s="249"/>
      <c r="CP2" s="249" t="s">
        <v>214</v>
      </c>
      <c r="CQ2" s="249"/>
      <c r="CR2" s="249" t="s">
        <v>214</v>
      </c>
      <c r="CS2" s="249"/>
      <c r="CT2" s="249" t="s">
        <v>214</v>
      </c>
      <c r="CU2" s="249"/>
      <c r="CV2" s="249" t="s">
        <v>214</v>
      </c>
      <c r="CW2" s="249"/>
      <c r="CX2" s="249" t="s">
        <v>214</v>
      </c>
      <c r="CY2" s="249"/>
      <c r="CZ2" s="249" t="s">
        <v>214</v>
      </c>
      <c r="DA2" s="249"/>
      <c r="DB2" s="249" t="s">
        <v>213</v>
      </c>
      <c r="DC2" s="249"/>
      <c r="DD2" s="249" t="s">
        <v>214</v>
      </c>
      <c r="DE2" s="249"/>
      <c r="DF2" s="249" t="s">
        <v>214</v>
      </c>
      <c r="DG2" s="249"/>
      <c r="DH2" s="249" t="s">
        <v>214</v>
      </c>
      <c r="DI2" s="249"/>
      <c r="DJ2" s="248" t="s">
        <v>214</v>
      </c>
      <c r="DK2" s="248"/>
      <c r="DL2" s="249" t="s">
        <v>214</v>
      </c>
      <c r="DM2" s="249"/>
      <c r="DN2" s="249" t="s">
        <v>214</v>
      </c>
      <c r="DO2" s="249"/>
      <c r="DP2" s="249" t="s">
        <v>214</v>
      </c>
      <c r="DQ2" s="249"/>
      <c r="DR2" s="249" t="s">
        <v>214</v>
      </c>
      <c r="DS2" s="249"/>
      <c r="DT2" s="249" t="s">
        <v>214</v>
      </c>
      <c r="DU2" s="249"/>
      <c r="DV2" s="249" t="s">
        <v>214</v>
      </c>
      <c r="DW2" s="249"/>
      <c r="DX2" s="249" t="s">
        <v>214</v>
      </c>
      <c r="DY2" s="249"/>
      <c r="DZ2" s="249" t="s">
        <v>214</v>
      </c>
      <c r="EA2" s="249"/>
      <c r="EB2" s="249" t="s">
        <v>214</v>
      </c>
      <c r="EC2" s="249"/>
      <c r="ED2" s="249" t="s">
        <v>214</v>
      </c>
      <c r="EE2" s="249"/>
      <c r="EF2" s="249" t="s">
        <v>214</v>
      </c>
      <c r="EG2" s="249"/>
      <c r="EH2" s="249" t="s">
        <v>214</v>
      </c>
      <c r="EI2" s="249"/>
      <c r="EJ2" s="249" t="s">
        <v>214</v>
      </c>
      <c r="EK2" s="249"/>
      <c r="EL2" s="249" t="s">
        <v>214</v>
      </c>
      <c r="EM2" s="249"/>
      <c r="EN2" s="249" t="s">
        <v>214</v>
      </c>
      <c r="EO2" s="249"/>
      <c r="EP2" s="249" t="s">
        <v>214</v>
      </c>
      <c r="EQ2" s="249"/>
      <c r="ER2" s="249" t="s">
        <v>214</v>
      </c>
      <c r="ES2" s="249"/>
      <c r="ET2" s="249" t="s">
        <v>214</v>
      </c>
      <c r="EU2" s="249"/>
      <c r="EV2" s="249" t="s">
        <v>214</v>
      </c>
      <c r="EW2" s="249"/>
      <c r="EX2" s="249" t="s">
        <v>214</v>
      </c>
      <c r="EY2" s="249"/>
      <c r="EZ2" s="249" t="s">
        <v>214</v>
      </c>
      <c r="FA2" s="249"/>
      <c r="FB2" s="249" t="s">
        <v>214</v>
      </c>
      <c r="FC2" s="249"/>
      <c r="FD2" s="249" t="s">
        <v>214</v>
      </c>
      <c r="FE2" s="249"/>
      <c r="FF2" s="249" t="s">
        <v>214</v>
      </c>
      <c r="FG2" s="249"/>
      <c r="FH2" s="249" t="s">
        <v>214</v>
      </c>
      <c r="FI2" s="249"/>
      <c r="FJ2" s="249" t="s">
        <v>214</v>
      </c>
      <c r="FK2" s="249"/>
      <c r="FL2" s="248" t="s">
        <v>214</v>
      </c>
      <c r="FM2" s="248"/>
    </row>
    <row r="3" spans="1:169" s="24" customFormat="1" ht="49.5" customHeight="1">
      <c r="B3" s="214" t="s">
        <v>67</v>
      </c>
      <c r="C3" s="216"/>
      <c r="D3" s="214" t="s">
        <v>216</v>
      </c>
      <c r="E3" s="216"/>
      <c r="F3" s="214"/>
      <c r="G3" s="216"/>
      <c r="H3" s="214" t="s">
        <v>216</v>
      </c>
      <c r="I3" s="216"/>
      <c r="J3" s="214" t="s">
        <v>216</v>
      </c>
      <c r="K3" s="216"/>
      <c r="L3" s="214"/>
      <c r="M3" s="216"/>
      <c r="N3" s="214"/>
      <c r="O3" s="216"/>
      <c r="P3" s="214" t="s">
        <v>216</v>
      </c>
      <c r="Q3" s="216"/>
      <c r="R3" s="214" t="s">
        <v>216</v>
      </c>
      <c r="S3" s="216"/>
      <c r="T3" s="214"/>
      <c r="U3" s="216"/>
      <c r="V3" s="214" t="s">
        <v>217</v>
      </c>
      <c r="W3" s="216"/>
      <c r="X3" s="214" t="s">
        <v>217</v>
      </c>
      <c r="Y3" s="216"/>
      <c r="Z3" s="214" t="s">
        <v>217</v>
      </c>
      <c r="AA3" s="216"/>
      <c r="AB3" s="250" t="s">
        <v>217</v>
      </c>
      <c r="AC3" s="251"/>
      <c r="AD3" s="214"/>
      <c r="AE3" s="216"/>
      <c r="AF3" s="214" t="s">
        <v>217</v>
      </c>
      <c r="AG3" s="216"/>
      <c r="AH3" s="214" t="s">
        <v>216</v>
      </c>
      <c r="AI3" s="216"/>
      <c r="AJ3" s="214" t="s">
        <v>216</v>
      </c>
      <c r="AK3" s="216"/>
      <c r="AL3" s="214" t="s">
        <v>216</v>
      </c>
      <c r="AM3" s="216"/>
      <c r="AN3" s="214" t="s">
        <v>216</v>
      </c>
      <c r="AO3" s="216"/>
      <c r="AP3" s="250" t="s">
        <v>216</v>
      </c>
      <c r="AQ3" s="251"/>
      <c r="AR3" s="214" t="s">
        <v>216</v>
      </c>
      <c r="AS3" s="216"/>
      <c r="AT3" s="214" t="s">
        <v>216</v>
      </c>
      <c r="AU3" s="216"/>
      <c r="AV3" s="250" t="s">
        <v>216</v>
      </c>
      <c r="AW3" s="251"/>
      <c r="AX3" s="214" t="s">
        <v>216</v>
      </c>
      <c r="AY3" s="216"/>
      <c r="AZ3" s="214" t="s">
        <v>216</v>
      </c>
      <c r="BA3" s="216"/>
      <c r="BB3" s="214" t="s">
        <v>216</v>
      </c>
      <c r="BC3" s="216"/>
      <c r="BD3" s="214"/>
      <c r="BE3" s="216"/>
      <c r="BF3" s="214"/>
      <c r="BG3" s="216"/>
      <c r="BH3" s="214" t="s">
        <v>216</v>
      </c>
      <c r="BI3" s="216"/>
      <c r="BJ3" s="214" t="s">
        <v>216</v>
      </c>
      <c r="BK3" s="216"/>
      <c r="BL3" s="214" t="s">
        <v>216</v>
      </c>
      <c r="BM3" s="216"/>
      <c r="BN3" s="214" t="s">
        <v>216</v>
      </c>
      <c r="BO3" s="216"/>
      <c r="BP3" s="214" t="s">
        <v>216</v>
      </c>
      <c r="BQ3" s="216"/>
      <c r="BR3" s="214" t="s">
        <v>216</v>
      </c>
      <c r="BS3" s="216"/>
      <c r="BT3" s="214" t="s">
        <v>216</v>
      </c>
      <c r="BU3" s="216"/>
      <c r="BV3" s="214" t="s">
        <v>216</v>
      </c>
      <c r="BW3" s="216"/>
      <c r="BX3" s="214" t="s">
        <v>216</v>
      </c>
      <c r="BY3" s="216"/>
      <c r="BZ3" s="214" t="s">
        <v>66</v>
      </c>
      <c r="CA3" s="216"/>
      <c r="CB3" s="214" t="s">
        <v>66</v>
      </c>
      <c r="CC3" s="216"/>
      <c r="CD3" s="214" t="s">
        <v>66</v>
      </c>
      <c r="CE3" s="216"/>
      <c r="CF3" s="117"/>
      <c r="CG3" s="117"/>
      <c r="CH3" s="214" t="s">
        <v>67</v>
      </c>
      <c r="CI3" s="216"/>
      <c r="CJ3" s="214" t="s">
        <v>67</v>
      </c>
      <c r="CK3" s="216"/>
      <c r="CL3" s="214" t="s">
        <v>216</v>
      </c>
      <c r="CM3" s="216"/>
      <c r="CN3" s="214"/>
      <c r="CO3" s="216"/>
      <c r="CP3" s="214" t="s">
        <v>216</v>
      </c>
      <c r="CQ3" s="216"/>
      <c r="CR3" s="214" t="s">
        <v>216</v>
      </c>
      <c r="CS3" s="216"/>
      <c r="CT3" s="214" t="s">
        <v>216</v>
      </c>
      <c r="CU3" s="216"/>
      <c r="CV3" s="214" t="s">
        <v>216</v>
      </c>
      <c r="CW3" s="216"/>
      <c r="CX3" s="214" t="s">
        <v>216</v>
      </c>
      <c r="CY3" s="216"/>
      <c r="CZ3" s="214" t="s">
        <v>216</v>
      </c>
      <c r="DA3" s="216"/>
      <c r="DB3" s="214" t="s">
        <v>216</v>
      </c>
      <c r="DC3" s="216"/>
      <c r="DD3" s="214" t="s">
        <v>216</v>
      </c>
      <c r="DE3" s="216"/>
      <c r="DF3" s="214" t="s">
        <v>216</v>
      </c>
      <c r="DG3" s="216"/>
      <c r="DH3" s="214" t="s">
        <v>216</v>
      </c>
      <c r="DI3" s="216"/>
      <c r="DJ3" s="250" t="s">
        <v>216</v>
      </c>
      <c r="DK3" s="251"/>
      <c r="DL3" s="214" t="s">
        <v>65</v>
      </c>
      <c r="DM3" s="216"/>
      <c r="DN3" s="214" t="s">
        <v>65</v>
      </c>
      <c r="DO3" s="216"/>
      <c r="DP3" s="214" t="s">
        <v>65</v>
      </c>
      <c r="DQ3" s="216"/>
      <c r="DR3" s="214" t="s">
        <v>65</v>
      </c>
      <c r="DS3" s="216"/>
      <c r="DT3" s="214" t="s">
        <v>65</v>
      </c>
      <c r="DU3" s="216"/>
      <c r="DV3" s="214" t="s">
        <v>218</v>
      </c>
      <c r="DW3" s="216"/>
      <c r="DX3" s="214" t="s">
        <v>65</v>
      </c>
      <c r="DY3" s="216"/>
      <c r="DZ3" s="214" t="s">
        <v>217</v>
      </c>
      <c r="EA3" s="216"/>
      <c r="EB3" s="214" t="s">
        <v>65</v>
      </c>
      <c r="EC3" s="216"/>
      <c r="ED3" s="214" t="s">
        <v>65</v>
      </c>
      <c r="EE3" s="216"/>
      <c r="EF3" s="214" t="s">
        <v>65</v>
      </c>
      <c r="EG3" s="216"/>
      <c r="EH3" s="214" t="s">
        <v>65</v>
      </c>
      <c r="EI3" s="216"/>
      <c r="EJ3" s="214" t="s">
        <v>65</v>
      </c>
      <c r="EK3" s="216"/>
      <c r="EL3" s="214" t="s">
        <v>67</v>
      </c>
      <c r="EM3" s="216"/>
      <c r="EN3" s="214" t="s">
        <v>67</v>
      </c>
      <c r="EO3" s="216"/>
      <c r="EP3" s="214" t="s">
        <v>67</v>
      </c>
      <c r="EQ3" s="216"/>
      <c r="ER3" s="214" t="s">
        <v>67</v>
      </c>
      <c r="ES3" s="216"/>
      <c r="ET3" s="214" t="s">
        <v>67</v>
      </c>
      <c r="EU3" s="216"/>
      <c r="EV3" s="214" t="s">
        <v>67</v>
      </c>
      <c r="EW3" s="216"/>
      <c r="EX3" s="214" t="s">
        <v>67</v>
      </c>
      <c r="EY3" s="216"/>
      <c r="EZ3" s="214" t="s">
        <v>67</v>
      </c>
      <c r="FA3" s="216"/>
      <c r="FB3" s="214" t="s">
        <v>67</v>
      </c>
      <c r="FC3" s="216"/>
      <c r="FD3" s="214" t="s">
        <v>67</v>
      </c>
      <c r="FE3" s="216"/>
      <c r="FF3" s="214" t="s">
        <v>67</v>
      </c>
      <c r="FG3" s="216"/>
      <c r="FH3" s="214" t="s">
        <v>67</v>
      </c>
      <c r="FI3" s="216"/>
      <c r="FJ3" s="214" t="s">
        <v>67</v>
      </c>
      <c r="FK3" s="216"/>
      <c r="FL3" s="250" t="s">
        <v>216</v>
      </c>
      <c r="FM3" s="251"/>
    </row>
    <row r="4" spans="1:169" s="24" customFormat="1" ht="30" customHeight="1">
      <c r="B4" s="214" t="s">
        <v>219</v>
      </c>
      <c r="C4" s="216"/>
      <c r="D4" s="214" t="s">
        <v>219</v>
      </c>
      <c r="E4" s="216"/>
      <c r="F4" s="114"/>
      <c r="G4" s="115"/>
      <c r="H4" s="214" t="s">
        <v>219</v>
      </c>
      <c r="I4" s="216"/>
      <c r="J4" s="214" t="s">
        <v>220</v>
      </c>
      <c r="K4" s="216"/>
      <c r="L4" s="114"/>
      <c r="M4" s="115"/>
      <c r="N4" s="214"/>
      <c r="O4" s="216"/>
      <c r="P4" s="214" t="s">
        <v>221</v>
      </c>
      <c r="Q4" s="216"/>
      <c r="R4" s="214" t="s">
        <v>221</v>
      </c>
      <c r="S4" s="216"/>
      <c r="T4" s="114"/>
      <c r="U4" s="115"/>
      <c r="V4" s="214" t="s">
        <v>221</v>
      </c>
      <c r="W4" s="216"/>
      <c r="X4" s="214" t="s">
        <v>221</v>
      </c>
      <c r="Y4" s="216"/>
      <c r="Z4" s="214" t="s">
        <v>221</v>
      </c>
      <c r="AA4" s="216"/>
      <c r="AB4" s="250" t="s">
        <v>221</v>
      </c>
      <c r="AC4" s="251"/>
      <c r="AD4" s="114"/>
      <c r="AE4" s="115"/>
      <c r="AF4" s="214" t="s">
        <v>221</v>
      </c>
      <c r="AG4" s="216"/>
      <c r="AH4" s="214" t="s">
        <v>221</v>
      </c>
      <c r="AI4" s="216"/>
      <c r="AJ4" s="214" t="s">
        <v>219</v>
      </c>
      <c r="AK4" s="216"/>
      <c r="AL4" s="214" t="s">
        <v>219</v>
      </c>
      <c r="AM4" s="216"/>
      <c r="AN4" s="214" t="s">
        <v>219</v>
      </c>
      <c r="AO4" s="216"/>
      <c r="AP4" s="250" t="s">
        <v>220</v>
      </c>
      <c r="AQ4" s="251"/>
      <c r="AR4" s="214" t="s">
        <v>219</v>
      </c>
      <c r="AS4" s="216"/>
      <c r="AT4" s="214" t="s">
        <v>219</v>
      </c>
      <c r="AU4" s="216"/>
      <c r="AV4" s="250" t="s">
        <v>219</v>
      </c>
      <c r="AW4" s="251"/>
      <c r="AX4" s="214" t="s">
        <v>221</v>
      </c>
      <c r="AY4" s="216"/>
      <c r="AZ4" s="214" t="s">
        <v>219</v>
      </c>
      <c r="BA4" s="216"/>
      <c r="BB4" s="214" t="s">
        <v>219</v>
      </c>
      <c r="BC4" s="216"/>
      <c r="BD4" s="114"/>
      <c r="BE4" s="115"/>
      <c r="BF4" s="114"/>
      <c r="BG4" s="115"/>
      <c r="BH4" s="214" t="s">
        <v>220</v>
      </c>
      <c r="BI4" s="216"/>
      <c r="BJ4" s="214" t="s">
        <v>221</v>
      </c>
      <c r="BK4" s="216"/>
      <c r="BL4" s="214" t="s">
        <v>219</v>
      </c>
      <c r="BM4" s="216"/>
      <c r="BN4" s="214" t="s">
        <v>219</v>
      </c>
      <c r="BO4" s="216"/>
      <c r="BP4" s="214" t="s">
        <v>219</v>
      </c>
      <c r="BQ4" s="216"/>
      <c r="BR4" s="214" t="s">
        <v>219</v>
      </c>
      <c r="BS4" s="216"/>
      <c r="BT4" s="214" t="s">
        <v>219</v>
      </c>
      <c r="BU4" s="216"/>
      <c r="BV4" s="214" t="s">
        <v>219</v>
      </c>
      <c r="BW4" s="216"/>
      <c r="BX4" s="214" t="s">
        <v>219</v>
      </c>
      <c r="BY4" s="216"/>
      <c r="BZ4" s="214" t="s">
        <v>221</v>
      </c>
      <c r="CA4" s="216"/>
      <c r="CB4" s="214" t="s">
        <v>221</v>
      </c>
      <c r="CC4" s="216"/>
      <c r="CD4" s="214" t="s">
        <v>221</v>
      </c>
      <c r="CE4" s="216"/>
      <c r="CF4" s="214" t="s">
        <v>219</v>
      </c>
      <c r="CG4" s="216"/>
      <c r="CH4" s="214" t="s">
        <v>219</v>
      </c>
      <c r="CI4" s="216"/>
      <c r="CJ4" s="214" t="s">
        <v>219</v>
      </c>
      <c r="CK4" s="216"/>
      <c r="CL4" s="214" t="s">
        <v>219</v>
      </c>
      <c r="CM4" s="216"/>
      <c r="CN4" s="114"/>
      <c r="CO4" s="115"/>
      <c r="CP4" s="214" t="s">
        <v>220</v>
      </c>
      <c r="CQ4" s="216"/>
      <c r="CR4" s="214" t="s">
        <v>222</v>
      </c>
      <c r="CS4" s="216"/>
      <c r="CT4" s="214" t="s">
        <v>220</v>
      </c>
      <c r="CU4" s="216"/>
      <c r="CV4" s="214" t="s">
        <v>221</v>
      </c>
      <c r="CW4" s="216"/>
      <c r="CX4" s="214" t="s">
        <v>219</v>
      </c>
      <c r="CY4" s="216"/>
      <c r="CZ4" s="214" t="s">
        <v>219</v>
      </c>
      <c r="DA4" s="216"/>
      <c r="DB4" s="114"/>
      <c r="DC4" s="115"/>
      <c r="DD4" s="214" t="s">
        <v>220</v>
      </c>
      <c r="DE4" s="216"/>
      <c r="DF4" s="214" t="s">
        <v>221</v>
      </c>
      <c r="DG4" s="216"/>
      <c r="DH4" s="214" t="s">
        <v>221</v>
      </c>
      <c r="DI4" s="216"/>
      <c r="DJ4" s="250" t="s">
        <v>220</v>
      </c>
      <c r="DK4" s="251"/>
      <c r="DL4" s="214" t="s">
        <v>219</v>
      </c>
      <c r="DM4" s="216"/>
      <c r="DN4" s="214" t="s">
        <v>219</v>
      </c>
      <c r="DO4" s="216"/>
      <c r="DP4" s="214" t="s">
        <v>219</v>
      </c>
      <c r="DQ4" s="216"/>
      <c r="DR4" s="214" t="s">
        <v>219</v>
      </c>
      <c r="DS4" s="216"/>
      <c r="DT4" s="214" t="s">
        <v>221</v>
      </c>
      <c r="DU4" s="216"/>
      <c r="DV4" s="214" t="s">
        <v>221</v>
      </c>
      <c r="DW4" s="216"/>
      <c r="DX4" s="214" t="s">
        <v>223</v>
      </c>
      <c r="DY4" s="216"/>
      <c r="DZ4" s="214" t="s">
        <v>224</v>
      </c>
      <c r="EA4" s="216"/>
      <c r="EB4" s="214" t="s">
        <v>223</v>
      </c>
      <c r="EC4" s="216"/>
      <c r="ED4" s="214" t="s">
        <v>219</v>
      </c>
      <c r="EE4" s="216"/>
      <c r="EF4" s="214" t="s">
        <v>219</v>
      </c>
      <c r="EG4" s="216"/>
      <c r="EH4" s="214" t="s">
        <v>221</v>
      </c>
      <c r="EI4" s="216"/>
      <c r="EJ4" s="214" t="s">
        <v>221</v>
      </c>
      <c r="EK4" s="216"/>
      <c r="EL4" s="214" t="s">
        <v>219</v>
      </c>
      <c r="EM4" s="216"/>
      <c r="EN4" s="214" t="s">
        <v>219</v>
      </c>
      <c r="EO4" s="216"/>
      <c r="EP4" s="214" t="s">
        <v>219</v>
      </c>
      <c r="EQ4" s="216"/>
      <c r="ER4" s="214" t="s">
        <v>219</v>
      </c>
      <c r="ES4" s="216"/>
      <c r="ET4" s="214" t="s">
        <v>219</v>
      </c>
      <c r="EU4" s="216"/>
      <c r="EV4" s="214" t="s">
        <v>219</v>
      </c>
      <c r="EW4" s="216"/>
      <c r="EX4" s="214" t="s">
        <v>219</v>
      </c>
      <c r="EY4" s="216"/>
      <c r="EZ4" s="214" t="s">
        <v>221</v>
      </c>
      <c r="FA4" s="216"/>
      <c r="FB4" s="214" t="s">
        <v>219</v>
      </c>
      <c r="FC4" s="216"/>
      <c r="FD4" s="214" t="s">
        <v>219</v>
      </c>
      <c r="FE4" s="216"/>
      <c r="FF4" s="214" t="s">
        <v>223</v>
      </c>
      <c r="FG4" s="216"/>
      <c r="FH4" s="214" t="s">
        <v>219</v>
      </c>
      <c r="FI4" s="216"/>
      <c r="FJ4" s="214" t="s">
        <v>223</v>
      </c>
      <c r="FK4" s="216"/>
      <c r="FL4" s="250" t="s">
        <v>219</v>
      </c>
      <c r="FM4" s="251"/>
    </row>
    <row r="5" spans="1:169" s="88" customFormat="1" ht="138.75" customHeight="1">
      <c r="B5" s="254" t="s">
        <v>78</v>
      </c>
      <c r="C5" s="254"/>
      <c r="D5" s="254" t="s">
        <v>225</v>
      </c>
      <c r="E5" s="254"/>
      <c r="F5" s="254" t="s">
        <v>79</v>
      </c>
      <c r="G5" s="254"/>
      <c r="H5" s="254" t="s">
        <v>226</v>
      </c>
      <c r="I5" s="254"/>
      <c r="J5" s="254" t="s">
        <v>227</v>
      </c>
      <c r="K5" s="254"/>
      <c r="L5" s="254" t="s">
        <v>78</v>
      </c>
      <c r="M5" s="254"/>
      <c r="N5" s="254" t="s">
        <v>80</v>
      </c>
      <c r="O5" s="254"/>
      <c r="P5" s="254" t="s">
        <v>228</v>
      </c>
      <c r="Q5" s="254"/>
      <c r="R5" s="254" t="s">
        <v>228</v>
      </c>
      <c r="S5" s="254"/>
      <c r="T5" s="254" t="s">
        <v>68</v>
      </c>
      <c r="U5" s="254"/>
      <c r="V5" s="254" t="s">
        <v>229</v>
      </c>
      <c r="W5" s="254"/>
      <c r="X5" s="254" t="s">
        <v>230</v>
      </c>
      <c r="Y5" s="254"/>
      <c r="Z5" s="254" t="s">
        <v>231</v>
      </c>
      <c r="AA5" s="254"/>
      <c r="AB5" s="255" t="s">
        <v>228</v>
      </c>
      <c r="AC5" s="255"/>
      <c r="AD5" s="254" t="s">
        <v>69</v>
      </c>
      <c r="AE5" s="254"/>
      <c r="AF5" s="254" t="s">
        <v>232</v>
      </c>
      <c r="AG5" s="254"/>
      <c r="AH5" s="254" t="s">
        <v>233</v>
      </c>
      <c r="AI5" s="254"/>
      <c r="AJ5" s="254" t="s">
        <v>234</v>
      </c>
      <c r="AK5" s="254"/>
      <c r="AL5" s="254" t="s">
        <v>226</v>
      </c>
      <c r="AM5" s="254"/>
      <c r="AN5" s="254" t="s">
        <v>235</v>
      </c>
      <c r="AO5" s="254"/>
      <c r="AP5" s="255" t="s">
        <v>236</v>
      </c>
      <c r="AQ5" s="255"/>
      <c r="AR5" s="254" t="s">
        <v>237</v>
      </c>
      <c r="AS5" s="254"/>
      <c r="AT5" s="254" t="s">
        <v>238</v>
      </c>
      <c r="AU5" s="254"/>
      <c r="AV5" s="255" t="s">
        <v>239</v>
      </c>
      <c r="AW5" s="255"/>
      <c r="AX5" s="254" t="s">
        <v>228</v>
      </c>
      <c r="AY5" s="254"/>
      <c r="AZ5" s="254" t="s">
        <v>226</v>
      </c>
      <c r="BA5" s="254"/>
      <c r="BB5" s="254" t="s">
        <v>240</v>
      </c>
      <c r="BC5" s="254"/>
      <c r="BD5" s="254" t="s">
        <v>71</v>
      </c>
      <c r="BE5" s="254"/>
      <c r="BF5" s="254" t="s">
        <v>72</v>
      </c>
      <c r="BG5" s="254"/>
      <c r="BH5" s="254" t="s">
        <v>241</v>
      </c>
      <c r="BI5" s="254"/>
      <c r="BJ5" s="254" t="s">
        <v>242</v>
      </c>
      <c r="BK5" s="254"/>
      <c r="BL5" s="254" t="s">
        <v>243</v>
      </c>
      <c r="BM5" s="254"/>
      <c r="BN5" s="254" t="s">
        <v>244</v>
      </c>
      <c r="BO5" s="254"/>
      <c r="BP5" s="254" t="s">
        <v>245</v>
      </c>
      <c r="BQ5" s="254"/>
      <c r="BR5" s="254" t="s">
        <v>246</v>
      </c>
      <c r="BS5" s="254"/>
      <c r="BT5" s="254" t="s">
        <v>247</v>
      </c>
      <c r="BU5" s="254"/>
      <c r="BV5" s="254" t="s">
        <v>248</v>
      </c>
      <c r="BW5" s="254"/>
      <c r="BX5" s="254" t="s">
        <v>246</v>
      </c>
      <c r="BY5" s="254"/>
      <c r="BZ5" s="254" t="s">
        <v>74</v>
      </c>
      <c r="CA5" s="254"/>
      <c r="CB5" s="254" t="s">
        <v>75</v>
      </c>
      <c r="CC5" s="254"/>
      <c r="CD5" s="254" t="s">
        <v>76</v>
      </c>
      <c r="CE5" s="254"/>
      <c r="CF5" s="254" t="s">
        <v>77</v>
      </c>
      <c r="CG5" s="254"/>
      <c r="CH5" s="254" t="s">
        <v>249</v>
      </c>
      <c r="CI5" s="254"/>
      <c r="CJ5" s="254" t="s">
        <v>249</v>
      </c>
      <c r="CK5" s="254"/>
      <c r="CL5" s="254" t="s">
        <v>250</v>
      </c>
      <c r="CM5" s="254"/>
      <c r="CN5" s="254" t="s">
        <v>70</v>
      </c>
      <c r="CO5" s="254"/>
      <c r="CP5" s="256" t="s">
        <v>251</v>
      </c>
      <c r="CQ5" s="256"/>
      <c r="CR5" s="256" t="s">
        <v>222</v>
      </c>
      <c r="CS5" s="256"/>
      <c r="CT5" s="256" t="s">
        <v>252</v>
      </c>
      <c r="CU5" s="256"/>
      <c r="CV5" s="256" t="s">
        <v>253</v>
      </c>
      <c r="CW5" s="256"/>
      <c r="CX5" s="256" t="s">
        <v>254</v>
      </c>
      <c r="CY5" s="256"/>
      <c r="CZ5" s="256" t="s">
        <v>255</v>
      </c>
      <c r="DA5" s="256"/>
      <c r="DB5" s="254" t="s">
        <v>73</v>
      </c>
      <c r="DC5" s="254"/>
      <c r="DD5" s="254" t="s">
        <v>256</v>
      </c>
      <c r="DE5" s="254"/>
      <c r="DF5" s="254" t="s">
        <v>257</v>
      </c>
      <c r="DG5" s="254"/>
      <c r="DH5" s="254" t="s">
        <v>258</v>
      </c>
      <c r="DI5" s="254"/>
      <c r="DJ5" s="255" t="s">
        <v>256</v>
      </c>
      <c r="DK5" s="255"/>
      <c r="DL5" s="254" t="s">
        <v>259</v>
      </c>
      <c r="DM5" s="254"/>
      <c r="DN5" s="254" t="s">
        <v>259</v>
      </c>
      <c r="DO5" s="254"/>
      <c r="DP5" s="254" t="s">
        <v>260</v>
      </c>
      <c r="DQ5" s="254"/>
      <c r="DR5" s="254" t="s">
        <v>260</v>
      </c>
      <c r="DS5" s="254"/>
      <c r="DT5" s="254" t="s">
        <v>232</v>
      </c>
      <c r="DU5" s="254"/>
      <c r="DV5" s="254" t="s">
        <v>261</v>
      </c>
      <c r="DW5" s="254"/>
      <c r="DX5" s="256" t="s">
        <v>262</v>
      </c>
      <c r="DY5" s="256"/>
      <c r="DZ5" s="254" t="s">
        <v>226</v>
      </c>
      <c r="EA5" s="254"/>
      <c r="EB5" s="256" t="s">
        <v>263</v>
      </c>
      <c r="EC5" s="256"/>
      <c r="ED5" s="256" t="s">
        <v>264</v>
      </c>
      <c r="EE5" s="256"/>
      <c r="EF5" s="256" t="s">
        <v>265</v>
      </c>
      <c r="EG5" s="256"/>
      <c r="EH5" s="256" t="s">
        <v>228</v>
      </c>
      <c r="EI5" s="256"/>
      <c r="EJ5" s="256" t="s">
        <v>266</v>
      </c>
      <c r="EK5" s="256"/>
      <c r="EL5" s="254" t="s">
        <v>267</v>
      </c>
      <c r="EM5" s="254"/>
      <c r="EN5" s="254" t="s">
        <v>268</v>
      </c>
      <c r="EO5" s="254"/>
      <c r="EP5" s="254" t="s">
        <v>269</v>
      </c>
      <c r="EQ5" s="254"/>
      <c r="ER5" s="254" t="s">
        <v>270</v>
      </c>
      <c r="ES5" s="254"/>
      <c r="ET5" s="254" t="s">
        <v>268</v>
      </c>
      <c r="EU5" s="254"/>
      <c r="EV5" s="254" t="s">
        <v>269</v>
      </c>
      <c r="EW5" s="254"/>
      <c r="EX5" s="254" t="s">
        <v>271</v>
      </c>
      <c r="EY5" s="254"/>
      <c r="EZ5" s="254" t="s">
        <v>266</v>
      </c>
      <c r="FA5" s="254"/>
      <c r="FB5" s="254" t="s">
        <v>272</v>
      </c>
      <c r="FC5" s="254"/>
      <c r="FD5" s="254" t="s">
        <v>273</v>
      </c>
      <c r="FE5" s="254"/>
      <c r="FF5" s="254" t="s">
        <v>274</v>
      </c>
      <c r="FG5" s="254"/>
      <c r="FH5" s="254" t="s">
        <v>275</v>
      </c>
      <c r="FI5" s="254"/>
      <c r="FJ5" s="254" t="s">
        <v>276</v>
      </c>
      <c r="FK5" s="254"/>
      <c r="FL5" s="255" t="s">
        <v>277</v>
      </c>
      <c r="FM5" s="255"/>
    </row>
    <row r="6" spans="1:169" s="24" customFormat="1" ht="30" customHeight="1">
      <c r="B6" s="249">
        <v>5065544</v>
      </c>
      <c r="C6" s="249"/>
      <c r="D6" s="214"/>
      <c r="E6" s="216"/>
      <c r="F6" s="249">
        <v>5065541</v>
      </c>
      <c r="G6" s="249"/>
      <c r="H6" s="214"/>
      <c r="I6" s="216"/>
      <c r="J6" s="214"/>
      <c r="K6" s="216"/>
      <c r="L6" s="249">
        <v>5065542</v>
      </c>
      <c r="M6" s="249"/>
      <c r="N6" s="249">
        <v>5065540</v>
      </c>
      <c r="O6" s="249"/>
      <c r="P6" s="214"/>
      <c r="Q6" s="216"/>
      <c r="R6" s="214"/>
      <c r="S6" s="216"/>
      <c r="T6" s="249">
        <v>5065546</v>
      </c>
      <c r="U6" s="249"/>
      <c r="V6" s="214"/>
      <c r="W6" s="216"/>
      <c r="X6" s="214"/>
      <c r="Y6" s="216"/>
      <c r="Z6" s="214"/>
      <c r="AA6" s="216"/>
      <c r="AB6" s="214"/>
      <c r="AC6" s="216"/>
      <c r="AD6" s="249">
        <v>5065547</v>
      </c>
      <c r="AE6" s="249"/>
      <c r="AF6" s="214"/>
      <c r="AG6" s="216"/>
      <c r="AH6" s="257"/>
      <c r="AI6" s="258"/>
      <c r="AJ6" s="257"/>
      <c r="AK6" s="258"/>
      <c r="AL6" s="257"/>
      <c r="AM6" s="258"/>
      <c r="AN6" s="257"/>
      <c r="AO6" s="258"/>
      <c r="AP6" s="257"/>
      <c r="AQ6" s="258"/>
      <c r="AR6" s="257"/>
      <c r="AS6" s="258"/>
      <c r="AT6" s="257"/>
      <c r="AU6" s="258"/>
      <c r="AV6" s="257"/>
      <c r="AW6" s="258"/>
      <c r="AX6" s="257"/>
      <c r="AY6" s="258"/>
      <c r="AZ6" s="257"/>
      <c r="BA6" s="258"/>
      <c r="BB6" s="257"/>
      <c r="BC6" s="258"/>
      <c r="BD6" s="249">
        <v>5065548</v>
      </c>
      <c r="BE6" s="249"/>
      <c r="BF6" s="249">
        <v>5465545</v>
      </c>
      <c r="BG6" s="249"/>
      <c r="BH6" s="214"/>
      <c r="BI6" s="216"/>
      <c r="BJ6" s="214"/>
      <c r="BK6" s="216"/>
      <c r="BL6" s="214"/>
      <c r="BM6" s="216"/>
      <c r="BN6" s="214"/>
      <c r="BO6" s="216"/>
      <c r="BP6" s="214"/>
      <c r="BQ6" s="216"/>
      <c r="BR6" s="214"/>
      <c r="BS6" s="216"/>
      <c r="BT6" s="214"/>
      <c r="BU6" s="216"/>
      <c r="BV6" s="214"/>
      <c r="BW6" s="216"/>
      <c r="BX6" s="214"/>
      <c r="BY6" s="216"/>
      <c r="BZ6" s="249">
        <v>5018351</v>
      </c>
      <c r="CA6" s="249"/>
      <c r="CB6" s="249">
        <v>5018354</v>
      </c>
      <c r="CC6" s="249"/>
      <c r="CD6" s="249">
        <v>5018350</v>
      </c>
      <c r="CE6" s="249"/>
      <c r="CF6" s="249">
        <v>5065543</v>
      </c>
      <c r="CG6" s="249"/>
      <c r="CH6" s="214"/>
      <c r="CI6" s="216"/>
      <c r="CJ6" s="214"/>
      <c r="CK6" s="216"/>
      <c r="CL6" s="214"/>
      <c r="CM6" s="216"/>
      <c r="CN6" s="249">
        <v>5008272</v>
      </c>
      <c r="CO6" s="249"/>
      <c r="CP6" s="214"/>
      <c r="CQ6" s="216"/>
      <c r="CR6" s="214"/>
      <c r="CS6" s="216"/>
      <c r="CT6" s="214"/>
      <c r="CU6" s="216"/>
      <c r="CV6" s="214"/>
      <c r="CW6" s="216"/>
      <c r="CX6" s="214"/>
      <c r="CY6" s="216"/>
      <c r="CZ6" s="214"/>
      <c r="DA6" s="216"/>
      <c r="DB6" s="249">
        <v>5008273</v>
      </c>
      <c r="DC6" s="249"/>
      <c r="DD6" s="214"/>
      <c r="DE6" s="216"/>
      <c r="DF6" s="214"/>
      <c r="DG6" s="216"/>
      <c r="DH6" s="214"/>
      <c r="DI6" s="216"/>
      <c r="DJ6" s="214"/>
      <c r="DK6" s="216"/>
      <c r="DL6" s="214"/>
      <c r="DM6" s="216"/>
      <c r="DN6" s="214"/>
      <c r="DO6" s="216"/>
      <c r="DP6" s="214"/>
      <c r="DQ6" s="216"/>
      <c r="DR6" s="214"/>
      <c r="DS6" s="216"/>
      <c r="DT6" s="214"/>
      <c r="DU6" s="216"/>
      <c r="DV6" s="214"/>
      <c r="DW6" s="216"/>
      <c r="DX6" s="214"/>
      <c r="DY6" s="216"/>
      <c r="DZ6" s="214"/>
      <c r="EA6" s="216"/>
      <c r="EB6" s="214"/>
      <c r="EC6" s="216"/>
      <c r="ED6" s="214"/>
      <c r="EE6" s="216"/>
      <c r="EF6" s="214"/>
      <c r="EG6" s="216"/>
      <c r="EH6" s="214"/>
      <c r="EI6" s="216"/>
      <c r="EJ6" s="214"/>
      <c r="EK6" s="216"/>
      <c r="EL6" s="214"/>
      <c r="EM6" s="216"/>
      <c r="EN6" s="214"/>
      <c r="EO6" s="216"/>
      <c r="EP6" s="214"/>
      <c r="EQ6" s="216"/>
      <c r="ER6" s="214"/>
      <c r="ES6" s="216"/>
      <c r="ET6" s="214"/>
      <c r="EU6" s="216"/>
      <c r="EV6" s="214"/>
      <c r="EW6" s="216"/>
      <c r="EX6" s="214"/>
      <c r="EY6" s="216"/>
      <c r="EZ6" s="214"/>
      <c r="FA6" s="216"/>
      <c r="FB6" s="214"/>
      <c r="FC6" s="216"/>
      <c r="FD6" s="214"/>
      <c r="FE6" s="216"/>
      <c r="FF6" s="214"/>
      <c r="FG6" s="216"/>
      <c r="FH6" s="214"/>
      <c r="FI6" s="216"/>
      <c r="FJ6" s="214"/>
      <c r="FK6" s="216"/>
      <c r="FL6" s="214"/>
      <c r="FM6" s="216"/>
    </row>
    <row r="7" spans="1:169" s="24" customFormat="1" ht="30" customHeight="1">
      <c r="B7" s="259" t="s">
        <v>92</v>
      </c>
      <c r="C7" s="259"/>
      <c r="D7" s="259" t="s">
        <v>92</v>
      </c>
      <c r="E7" s="259"/>
      <c r="F7" s="260" t="s">
        <v>93</v>
      </c>
      <c r="G7" s="260"/>
      <c r="H7" s="261" t="s">
        <v>94</v>
      </c>
      <c r="I7" s="261"/>
      <c r="J7" s="261" t="s">
        <v>94</v>
      </c>
      <c r="K7" s="261"/>
      <c r="L7" s="261" t="s">
        <v>94</v>
      </c>
      <c r="M7" s="261"/>
      <c r="N7" s="262" t="s">
        <v>95</v>
      </c>
      <c r="O7" s="262"/>
      <c r="P7" s="262" t="s">
        <v>95</v>
      </c>
      <c r="Q7" s="262"/>
      <c r="R7" s="262" t="s">
        <v>95</v>
      </c>
      <c r="S7" s="262"/>
      <c r="T7" s="263" t="s">
        <v>82</v>
      </c>
      <c r="U7" s="263"/>
      <c r="V7" s="263" t="s">
        <v>82</v>
      </c>
      <c r="W7" s="263"/>
      <c r="X7" s="263" t="s">
        <v>82</v>
      </c>
      <c r="Y7" s="263"/>
      <c r="Z7" s="263" t="s">
        <v>82</v>
      </c>
      <c r="AA7" s="263"/>
      <c r="AB7" s="263" t="s">
        <v>82</v>
      </c>
      <c r="AC7" s="263"/>
      <c r="AD7" s="264" t="s">
        <v>83</v>
      </c>
      <c r="AE7" s="264"/>
      <c r="AF7" s="264" t="s">
        <v>83</v>
      </c>
      <c r="AG7" s="264"/>
      <c r="AH7" s="265" t="s">
        <v>85</v>
      </c>
      <c r="AI7" s="265"/>
      <c r="AJ7" s="265" t="s">
        <v>85</v>
      </c>
      <c r="AK7" s="265"/>
      <c r="AL7" s="265" t="s">
        <v>85</v>
      </c>
      <c r="AM7" s="265"/>
      <c r="AN7" s="265" t="s">
        <v>85</v>
      </c>
      <c r="AO7" s="265"/>
      <c r="AP7" s="265" t="s">
        <v>85</v>
      </c>
      <c r="AQ7" s="265"/>
      <c r="AR7" s="265" t="s">
        <v>85</v>
      </c>
      <c r="AS7" s="265"/>
      <c r="AT7" s="265" t="s">
        <v>85</v>
      </c>
      <c r="AU7" s="265"/>
      <c r="AV7" s="265" t="s">
        <v>85</v>
      </c>
      <c r="AW7" s="265"/>
      <c r="AX7" s="265" t="s">
        <v>85</v>
      </c>
      <c r="AY7" s="265"/>
      <c r="AZ7" s="265" t="s">
        <v>85</v>
      </c>
      <c r="BA7" s="265"/>
      <c r="BB7" s="265" t="s">
        <v>85</v>
      </c>
      <c r="BC7" s="265"/>
      <c r="BD7" s="265" t="s">
        <v>85</v>
      </c>
      <c r="BE7" s="265"/>
      <c r="BF7" s="266" t="s">
        <v>86</v>
      </c>
      <c r="BG7" s="266"/>
      <c r="BH7" s="266" t="s">
        <v>86</v>
      </c>
      <c r="BI7" s="266"/>
      <c r="BJ7" s="266" t="s">
        <v>86</v>
      </c>
      <c r="BK7" s="266"/>
      <c r="BL7" s="266" t="s">
        <v>86</v>
      </c>
      <c r="BM7" s="266"/>
      <c r="BN7" s="266" t="s">
        <v>86</v>
      </c>
      <c r="BO7" s="266"/>
      <c r="BP7" s="266" t="s">
        <v>86</v>
      </c>
      <c r="BQ7" s="266"/>
      <c r="BR7" s="266" t="s">
        <v>86</v>
      </c>
      <c r="BS7" s="266"/>
      <c r="BT7" s="266" t="s">
        <v>86</v>
      </c>
      <c r="BU7" s="266"/>
      <c r="BV7" s="266" t="s">
        <v>86</v>
      </c>
      <c r="BW7" s="266"/>
      <c r="BX7" s="266" t="s">
        <v>86</v>
      </c>
      <c r="BY7" s="266"/>
      <c r="BZ7" s="267" t="s">
        <v>88</v>
      </c>
      <c r="CA7" s="267"/>
      <c r="CB7" s="268" t="s">
        <v>89</v>
      </c>
      <c r="CC7" s="268"/>
      <c r="CD7" s="248" t="s">
        <v>90</v>
      </c>
      <c r="CE7" s="248"/>
      <c r="CF7" s="269" t="s">
        <v>91</v>
      </c>
      <c r="CG7" s="269"/>
      <c r="CH7" s="269" t="s">
        <v>91</v>
      </c>
      <c r="CI7" s="269"/>
      <c r="CJ7" s="269" t="s">
        <v>91</v>
      </c>
      <c r="CK7" s="269"/>
      <c r="CL7" s="269" t="s">
        <v>91</v>
      </c>
      <c r="CM7" s="269"/>
      <c r="CN7" s="270" t="s">
        <v>84</v>
      </c>
      <c r="CO7" s="270"/>
      <c r="CP7" s="270" t="s">
        <v>84</v>
      </c>
      <c r="CQ7" s="270"/>
      <c r="CR7" s="270" t="s">
        <v>84</v>
      </c>
      <c r="CS7" s="270"/>
      <c r="CT7" s="270" t="s">
        <v>84</v>
      </c>
      <c r="CU7" s="270"/>
      <c r="CV7" s="270" t="s">
        <v>84</v>
      </c>
      <c r="CW7" s="270"/>
      <c r="CX7" s="270" t="s">
        <v>84</v>
      </c>
      <c r="CY7" s="270"/>
      <c r="CZ7" s="270" t="s">
        <v>84</v>
      </c>
      <c r="DA7" s="270"/>
      <c r="DB7" s="271" t="s">
        <v>87</v>
      </c>
      <c r="DC7" s="271"/>
      <c r="DD7" s="271" t="s">
        <v>87</v>
      </c>
      <c r="DE7" s="271"/>
      <c r="DF7" s="271" t="s">
        <v>87</v>
      </c>
      <c r="DG7" s="271"/>
      <c r="DH7" s="271" t="s">
        <v>87</v>
      </c>
      <c r="DI7" s="271"/>
      <c r="DJ7" s="271" t="s">
        <v>87</v>
      </c>
      <c r="DK7" s="271"/>
      <c r="DL7" s="264" t="s">
        <v>83</v>
      </c>
      <c r="DM7" s="264"/>
      <c r="DN7" s="264" t="s">
        <v>83</v>
      </c>
      <c r="DO7" s="264"/>
      <c r="DP7" s="264" t="s">
        <v>83</v>
      </c>
      <c r="DQ7" s="264"/>
      <c r="DR7" s="264" t="s">
        <v>83</v>
      </c>
      <c r="DS7" s="264"/>
      <c r="DT7" s="264" t="s">
        <v>83</v>
      </c>
      <c r="DU7" s="264"/>
      <c r="DV7" s="264" t="s">
        <v>83</v>
      </c>
      <c r="DW7" s="264"/>
      <c r="DX7" s="263" t="s">
        <v>82</v>
      </c>
      <c r="DY7" s="263"/>
      <c r="DZ7" s="263" t="s">
        <v>82</v>
      </c>
      <c r="EA7" s="263"/>
      <c r="EB7" s="263" t="s">
        <v>82</v>
      </c>
      <c r="EC7" s="263"/>
      <c r="ED7" s="263" t="s">
        <v>82</v>
      </c>
      <c r="EE7" s="263"/>
      <c r="EF7" s="263" t="s">
        <v>82</v>
      </c>
      <c r="EG7" s="263"/>
      <c r="EH7" s="263" t="s">
        <v>82</v>
      </c>
      <c r="EI7" s="263"/>
      <c r="EJ7" s="263" t="s">
        <v>82</v>
      </c>
      <c r="EK7" s="263"/>
      <c r="EL7" s="261" t="s">
        <v>94</v>
      </c>
      <c r="EM7" s="261"/>
      <c r="EN7" s="261" t="s">
        <v>94</v>
      </c>
      <c r="EO7" s="261"/>
      <c r="EP7" s="261" t="s">
        <v>94</v>
      </c>
      <c r="EQ7" s="261"/>
      <c r="ER7" s="259" t="s">
        <v>92</v>
      </c>
      <c r="ES7" s="259"/>
      <c r="ET7" s="259" t="s">
        <v>92</v>
      </c>
      <c r="EU7" s="259"/>
      <c r="EV7" s="259" t="s">
        <v>92</v>
      </c>
      <c r="EW7" s="259"/>
      <c r="EX7" s="260" t="s">
        <v>93</v>
      </c>
      <c r="EY7" s="260"/>
      <c r="EZ7" s="262" t="s">
        <v>95</v>
      </c>
      <c r="FA7" s="262"/>
      <c r="FB7" s="262" t="s">
        <v>95</v>
      </c>
      <c r="FC7" s="262"/>
      <c r="FD7" s="262" t="s">
        <v>95</v>
      </c>
      <c r="FE7" s="262"/>
      <c r="FF7" s="260" t="s">
        <v>93</v>
      </c>
      <c r="FG7" s="260"/>
      <c r="FH7" s="260" t="s">
        <v>93</v>
      </c>
      <c r="FI7" s="260"/>
      <c r="FJ7" s="260" t="s">
        <v>93</v>
      </c>
      <c r="FK7" s="260"/>
      <c r="FL7" s="260" t="s">
        <v>93</v>
      </c>
      <c r="FM7" s="260"/>
    </row>
    <row r="8" spans="1:169" s="24" customFormat="1" ht="30" customHeight="1">
      <c r="B8" s="272"/>
      <c r="C8" s="272"/>
      <c r="D8" s="273" t="s">
        <v>278</v>
      </c>
      <c r="E8" s="274"/>
      <c r="F8" s="272"/>
      <c r="G8" s="272"/>
      <c r="H8" s="273" t="s">
        <v>279</v>
      </c>
      <c r="I8" s="274"/>
      <c r="J8" s="273" t="s">
        <v>280</v>
      </c>
      <c r="K8" s="274"/>
      <c r="L8" s="272"/>
      <c r="M8" s="272"/>
      <c r="N8" s="272"/>
      <c r="O8" s="272"/>
      <c r="P8" s="273" t="s">
        <v>281</v>
      </c>
      <c r="Q8" s="274"/>
      <c r="R8" s="273" t="s">
        <v>282</v>
      </c>
      <c r="S8" s="274"/>
      <c r="T8" s="272"/>
      <c r="U8" s="272"/>
      <c r="V8" s="273" t="s">
        <v>283</v>
      </c>
      <c r="W8" s="274"/>
      <c r="X8" s="273" t="s">
        <v>284</v>
      </c>
      <c r="Y8" s="274"/>
      <c r="Z8" s="273" t="s">
        <v>285</v>
      </c>
      <c r="AA8" s="274"/>
      <c r="AB8" s="273" t="s">
        <v>286</v>
      </c>
      <c r="AC8" s="274"/>
      <c r="AD8" s="272"/>
      <c r="AE8" s="272"/>
      <c r="AF8" s="273" t="s">
        <v>287</v>
      </c>
      <c r="AG8" s="274"/>
      <c r="AH8" s="273" t="s">
        <v>288</v>
      </c>
      <c r="AI8" s="274"/>
      <c r="AJ8" s="273" t="s">
        <v>289</v>
      </c>
      <c r="AK8" s="274"/>
      <c r="AL8" s="273" t="s">
        <v>290</v>
      </c>
      <c r="AM8" s="274"/>
      <c r="AN8" s="273" t="s">
        <v>291</v>
      </c>
      <c r="AO8" s="274"/>
      <c r="AP8" s="273" t="s">
        <v>292</v>
      </c>
      <c r="AQ8" s="274"/>
      <c r="AR8" s="273" t="s">
        <v>293</v>
      </c>
      <c r="AS8" s="274"/>
      <c r="AT8" s="273" t="s">
        <v>294</v>
      </c>
      <c r="AU8" s="274"/>
      <c r="AV8" s="273" t="s">
        <v>295</v>
      </c>
      <c r="AW8" s="274"/>
      <c r="AX8" s="273" t="s">
        <v>296</v>
      </c>
      <c r="AY8" s="274"/>
      <c r="AZ8" s="273" t="s">
        <v>297</v>
      </c>
      <c r="BA8" s="274"/>
      <c r="BB8" s="273" t="s">
        <v>298</v>
      </c>
      <c r="BC8" s="274"/>
      <c r="BD8" s="273"/>
      <c r="BE8" s="274"/>
      <c r="BF8" s="272"/>
      <c r="BG8" s="272"/>
      <c r="BH8" s="273" t="s">
        <v>299</v>
      </c>
      <c r="BI8" s="274"/>
      <c r="BJ8" s="273" t="s">
        <v>300</v>
      </c>
      <c r="BK8" s="274"/>
      <c r="BL8" s="273" t="s">
        <v>301</v>
      </c>
      <c r="BM8" s="274"/>
      <c r="BN8" s="273" t="s">
        <v>302</v>
      </c>
      <c r="BO8" s="274"/>
      <c r="BP8" s="273" t="s">
        <v>303</v>
      </c>
      <c r="BQ8" s="274"/>
      <c r="BR8" s="273" t="s">
        <v>304</v>
      </c>
      <c r="BS8" s="274"/>
      <c r="BT8" s="273" t="s">
        <v>305</v>
      </c>
      <c r="BU8" s="274"/>
      <c r="BV8" s="273" t="s">
        <v>306</v>
      </c>
      <c r="BW8" s="274"/>
      <c r="BX8" s="273" t="s">
        <v>307</v>
      </c>
      <c r="BY8" s="274"/>
      <c r="BZ8" s="272"/>
      <c r="CA8" s="272"/>
      <c r="CB8" s="272"/>
      <c r="CC8" s="272"/>
      <c r="CD8" s="272"/>
      <c r="CE8" s="272"/>
      <c r="CF8" s="272"/>
      <c r="CG8" s="272"/>
      <c r="CH8" s="273" t="s">
        <v>308</v>
      </c>
      <c r="CI8" s="274"/>
      <c r="CJ8" s="273" t="s">
        <v>309</v>
      </c>
      <c r="CK8" s="274"/>
      <c r="CL8" s="273" t="s">
        <v>310</v>
      </c>
      <c r="CM8" s="274"/>
      <c r="CN8" s="272"/>
      <c r="CO8" s="272"/>
      <c r="CP8" s="273" t="s">
        <v>311</v>
      </c>
      <c r="CQ8" s="274"/>
      <c r="CR8" s="273" t="s">
        <v>312</v>
      </c>
      <c r="CS8" s="274"/>
      <c r="CT8" s="273" t="s">
        <v>313</v>
      </c>
      <c r="CU8" s="274"/>
      <c r="CV8" s="273" t="s">
        <v>314</v>
      </c>
      <c r="CW8" s="274"/>
      <c r="CX8" s="273" t="s">
        <v>315</v>
      </c>
      <c r="CY8" s="274"/>
      <c r="CZ8" s="273" t="s">
        <v>316</v>
      </c>
      <c r="DA8" s="274"/>
      <c r="DB8" s="272"/>
      <c r="DC8" s="272"/>
      <c r="DD8" s="273" t="s">
        <v>317</v>
      </c>
      <c r="DE8" s="274"/>
      <c r="DF8" s="273" t="s">
        <v>318</v>
      </c>
      <c r="DG8" s="274"/>
      <c r="DH8" s="273" t="s">
        <v>319</v>
      </c>
      <c r="DI8" s="274"/>
      <c r="DJ8" s="273" t="s">
        <v>320</v>
      </c>
      <c r="DK8" s="274"/>
      <c r="DL8" s="273" t="s">
        <v>321</v>
      </c>
      <c r="DM8" s="274"/>
      <c r="DN8" s="273" t="s">
        <v>322</v>
      </c>
      <c r="DO8" s="274"/>
      <c r="DP8" s="273" t="s">
        <v>323</v>
      </c>
      <c r="DQ8" s="274"/>
      <c r="DR8" s="273" t="s">
        <v>324</v>
      </c>
      <c r="DS8" s="274"/>
      <c r="DT8" s="273" t="s">
        <v>325</v>
      </c>
      <c r="DU8" s="274"/>
      <c r="DV8" s="273" t="s">
        <v>326</v>
      </c>
      <c r="DW8" s="274"/>
      <c r="DX8" s="273" t="s">
        <v>327</v>
      </c>
      <c r="DY8" s="274"/>
      <c r="DZ8" s="273" t="s">
        <v>328</v>
      </c>
      <c r="EA8" s="274"/>
      <c r="EB8" s="273" t="s">
        <v>329</v>
      </c>
      <c r="EC8" s="274"/>
      <c r="ED8" s="273" t="s">
        <v>330</v>
      </c>
      <c r="EE8" s="274"/>
      <c r="EF8" s="273" t="s">
        <v>331</v>
      </c>
      <c r="EG8" s="274"/>
      <c r="EH8" s="273" t="s">
        <v>332</v>
      </c>
      <c r="EI8" s="274"/>
      <c r="EJ8" s="273" t="s">
        <v>333</v>
      </c>
      <c r="EK8" s="274"/>
      <c r="EL8" s="273" t="s">
        <v>334</v>
      </c>
      <c r="EM8" s="274"/>
      <c r="EN8" s="273" t="s">
        <v>335</v>
      </c>
      <c r="EO8" s="274"/>
      <c r="EP8" s="273" t="s">
        <v>336</v>
      </c>
      <c r="EQ8" s="274"/>
      <c r="ER8" s="273" t="s">
        <v>337</v>
      </c>
      <c r="ES8" s="274"/>
      <c r="ET8" s="273" t="s">
        <v>338</v>
      </c>
      <c r="EU8" s="274"/>
      <c r="EV8" s="273" t="s">
        <v>339</v>
      </c>
      <c r="EW8" s="274"/>
      <c r="EX8" s="273" t="s">
        <v>340</v>
      </c>
      <c r="EY8" s="274"/>
      <c r="EZ8" s="273" t="s">
        <v>341</v>
      </c>
      <c r="FA8" s="274"/>
      <c r="FB8" s="273" t="s">
        <v>342</v>
      </c>
      <c r="FC8" s="274"/>
      <c r="FD8" s="273" t="s">
        <v>343</v>
      </c>
      <c r="FE8" s="274"/>
      <c r="FF8" s="273" t="s">
        <v>344</v>
      </c>
      <c r="FG8" s="274"/>
      <c r="FH8" s="273" t="s">
        <v>345</v>
      </c>
      <c r="FI8" s="274"/>
      <c r="FJ8" s="273" t="s">
        <v>346</v>
      </c>
      <c r="FK8" s="274"/>
      <c r="FL8" s="273" t="s">
        <v>347</v>
      </c>
      <c r="FM8" s="274"/>
    </row>
    <row r="9" spans="1:169" s="88" customFormat="1" ht="50.1" customHeight="1">
      <c r="A9" s="118" t="s">
        <v>99</v>
      </c>
      <c r="B9" s="118" t="s">
        <v>100</v>
      </c>
      <c r="C9" s="118" t="s">
        <v>101</v>
      </c>
      <c r="D9" s="118" t="s">
        <v>100</v>
      </c>
      <c r="E9" s="118" t="s">
        <v>101</v>
      </c>
      <c r="F9" s="118" t="s">
        <v>100</v>
      </c>
      <c r="G9" s="118" t="s">
        <v>101</v>
      </c>
      <c r="H9" s="118" t="s">
        <v>100</v>
      </c>
      <c r="I9" s="118" t="s">
        <v>101</v>
      </c>
      <c r="J9" s="118" t="s">
        <v>100</v>
      </c>
      <c r="K9" s="118" t="s">
        <v>101</v>
      </c>
      <c r="L9" s="118" t="s">
        <v>100</v>
      </c>
      <c r="M9" s="118" t="s">
        <v>101</v>
      </c>
      <c r="N9" s="118" t="s">
        <v>100</v>
      </c>
      <c r="O9" s="118" t="s">
        <v>101</v>
      </c>
      <c r="P9" s="118" t="s">
        <v>100</v>
      </c>
      <c r="Q9" s="118" t="s">
        <v>101</v>
      </c>
      <c r="R9" s="118" t="s">
        <v>100</v>
      </c>
      <c r="S9" s="118" t="s">
        <v>101</v>
      </c>
      <c r="T9" s="118" t="s">
        <v>100</v>
      </c>
      <c r="U9" s="118" t="s">
        <v>101</v>
      </c>
      <c r="V9" s="118" t="s">
        <v>100</v>
      </c>
      <c r="W9" s="118" t="s">
        <v>101</v>
      </c>
      <c r="X9" s="118" t="s">
        <v>100</v>
      </c>
      <c r="Y9" s="118" t="s">
        <v>101</v>
      </c>
      <c r="Z9" s="118" t="s">
        <v>100</v>
      </c>
      <c r="AA9" s="118" t="s">
        <v>101</v>
      </c>
      <c r="AB9" s="118" t="s">
        <v>100</v>
      </c>
      <c r="AC9" s="118" t="s">
        <v>101</v>
      </c>
      <c r="AD9" s="118" t="s">
        <v>100</v>
      </c>
      <c r="AE9" s="118" t="s">
        <v>101</v>
      </c>
      <c r="AF9" s="118" t="s">
        <v>100</v>
      </c>
      <c r="AG9" s="118" t="s">
        <v>101</v>
      </c>
      <c r="AH9" s="118" t="s">
        <v>100</v>
      </c>
      <c r="AI9" s="118" t="s">
        <v>101</v>
      </c>
      <c r="AJ9" s="118" t="s">
        <v>100</v>
      </c>
      <c r="AK9" s="118" t="s">
        <v>101</v>
      </c>
      <c r="AL9" s="118" t="s">
        <v>100</v>
      </c>
      <c r="AM9" s="118" t="s">
        <v>101</v>
      </c>
      <c r="AN9" s="118" t="s">
        <v>100</v>
      </c>
      <c r="AO9" s="118" t="s">
        <v>101</v>
      </c>
      <c r="AP9" s="118" t="s">
        <v>100</v>
      </c>
      <c r="AQ9" s="118" t="s">
        <v>101</v>
      </c>
      <c r="AR9" s="118" t="s">
        <v>100</v>
      </c>
      <c r="AS9" s="118" t="s">
        <v>101</v>
      </c>
      <c r="AT9" s="118" t="s">
        <v>100</v>
      </c>
      <c r="AU9" s="118" t="s">
        <v>101</v>
      </c>
      <c r="AV9" s="118" t="s">
        <v>100</v>
      </c>
      <c r="AW9" s="118" t="s">
        <v>101</v>
      </c>
      <c r="AX9" s="118" t="s">
        <v>100</v>
      </c>
      <c r="AY9" s="118" t="s">
        <v>101</v>
      </c>
      <c r="AZ9" s="118" t="s">
        <v>100</v>
      </c>
      <c r="BA9" s="118" t="s">
        <v>101</v>
      </c>
      <c r="BB9" s="118" t="s">
        <v>100</v>
      </c>
      <c r="BC9" s="118" t="s">
        <v>101</v>
      </c>
      <c r="BD9" s="118" t="s">
        <v>100</v>
      </c>
      <c r="BE9" s="118" t="s">
        <v>101</v>
      </c>
      <c r="BF9" s="118" t="s">
        <v>100</v>
      </c>
      <c r="BG9" s="118" t="s">
        <v>101</v>
      </c>
      <c r="BH9" s="118" t="s">
        <v>100</v>
      </c>
      <c r="BI9" s="118" t="s">
        <v>101</v>
      </c>
      <c r="BJ9" s="118" t="s">
        <v>100</v>
      </c>
      <c r="BK9" s="118" t="s">
        <v>101</v>
      </c>
      <c r="BL9" s="118" t="s">
        <v>100</v>
      </c>
      <c r="BM9" s="118" t="s">
        <v>101</v>
      </c>
      <c r="BN9" s="118" t="s">
        <v>100</v>
      </c>
      <c r="BO9" s="118" t="s">
        <v>101</v>
      </c>
      <c r="BP9" s="118" t="s">
        <v>100</v>
      </c>
      <c r="BQ9" s="118" t="s">
        <v>101</v>
      </c>
      <c r="BR9" s="118" t="s">
        <v>100</v>
      </c>
      <c r="BS9" s="118" t="s">
        <v>101</v>
      </c>
      <c r="BT9" s="118" t="s">
        <v>100</v>
      </c>
      <c r="BU9" s="118" t="s">
        <v>101</v>
      </c>
      <c r="BV9" s="118" t="s">
        <v>100</v>
      </c>
      <c r="BW9" s="118" t="s">
        <v>101</v>
      </c>
      <c r="BX9" s="118" t="s">
        <v>100</v>
      </c>
      <c r="BY9" s="118" t="s">
        <v>101</v>
      </c>
      <c r="BZ9" s="118" t="s">
        <v>100</v>
      </c>
      <c r="CA9" s="118" t="s">
        <v>101</v>
      </c>
      <c r="CB9" s="118" t="s">
        <v>100</v>
      </c>
      <c r="CC9" s="118" t="s">
        <v>101</v>
      </c>
      <c r="CD9" s="118" t="s">
        <v>100</v>
      </c>
      <c r="CE9" s="118" t="s">
        <v>101</v>
      </c>
      <c r="CF9" s="118" t="s">
        <v>100</v>
      </c>
      <c r="CG9" s="118" t="s">
        <v>101</v>
      </c>
      <c r="CH9" s="118" t="s">
        <v>100</v>
      </c>
      <c r="CI9" s="118" t="s">
        <v>101</v>
      </c>
      <c r="CJ9" s="118" t="s">
        <v>100</v>
      </c>
      <c r="CK9" s="118" t="s">
        <v>101</v>
      </c>
      <c r="CL9" s="118" t="s">
        <v>100</v>
      </c>
      <c r="CM9" s="118" t="s">
        <v>101</v>
      </c>
      <c r="CN9" s="118" t="s">
        <v>100</v>
      </c>
      <c r="CO9" s="118" t="s">
        <v>101</v>
      </c>
      <c r="CP9" s="118" t="s">
        <v>100</v>
      </c>
      <c r="CQ9" s="118" t="s">
        <v>101</v>
      </c>
      <c r="CR9" s="118" t="s">
        <v>100</v>
      </c>
      <c r="CS9" s="118" t="s">
        <v>101</v>
      </c>
      <c r="CT9" s="118" t="s">
        <v>100</v>
      </c>
      <c r="CU9" s="118" t="s">
        <v>101</v>
      </c>
      <c r="CV9" s="118" t="s">
        <v>100</v>
      </c>
      <c r="CW9" s="118" t="s">
        <v>101</v>
      </c>
      <c r="CX9" s="118" t="s">
        <v>100</v>
      </c>
      <c r="CY9" s="118" t="s">
        <v>101</v>
      </c>
      <c r="CZ9" s="118" t="s">
        <v>100</v>
      </c>
      <c r="DA9" s="118" t="s">
        <v>101</v>
      </c>
      <c r="DB9" s="118" t="s">
        <v>100</v>
      </c>
      <c r="DC9" s="118" t="s">
        <v>101</v>
      </c>
      <c r="DD9" s="118" t="s">
        <v>100</v>
      </c>
      <c r="DE9" s="118" t="s">
        <v>101</v>
      </c>
      <c r="DF9" s="118" t="s">
        <v>100</v>
      </c>
      <c r="DG9" s="118" t="s">
        <v>101</v>
      </c>
      <c r="DH9" s="118" t="s">
        <v>100</v>
      </c>
      <c r="DI9" s="118" t="s">
        <v>101</v>
      </c>
      <c r="DJ9" s="118" t="s">
        <v>100</v>
      </c>
      <c r="DK9" s="118" t="s">
        <v>101</v>
      </c>
      <c r="DL9" s="118" t="s">
        <v>100</v>
      </c>
      <c r="DM9" s="118" t="s">
        <v>101</v>
      </c>
      <c r="DN9" s="118" t="s">
        <v>100</v>
      </c>
      <c r="DO9" s="118" t="s">
        <v>101</v>
      </c>
      <c r="DP9" s="118" t="s">
        <v>100</v>
      </c>
      <c r="DQ9" s="118" t="s">
        <v>101</v>
      </c>
      <c r="DR9" s="118" t="s">
        <v>100</v>
      </c>
      <c r="DS9" s="118" t="s">
        <v>101</v>
      </c>
      <c r="DT9" s="118" t="s">
        <v>100</v>
      </c>
      <c r="DU9" s="118" t="s">
        <v>101</v>
      </c>
      <c r="DV9" s="118" t="s">
        <v>100</v>
      </c>
      <c r="DW9" s="118" t="s">
        <v>101</v>
      </c>
      <c r="DX9" s="118" t="s">
        <v>100</v>
      </c>
      <c r="DY9" s="118" t="s">
        <v>101</v>
      </c>
      <c r="DZ9" s="118" t="s">
        <v>100</v>
      </c>
      <c r="EA9" s="118" t="s">
        <v>101</v>
      </c>
      <c r="EB9" s="118" t="s">
        <v>100</v>
      </c>
      <c r="EC9" s="118" t="s">
        <v>101</v>
      </c>
      <c r="ED9" s="118" t="s">
        <v>100</v>
      </c>
      <c r="EE9" s="118" t="s">
        <v>101</v>
      </c>
      <c r="EF9" s="118" t="s">
        <v>100</v>
      </c>
      <c r="EG9" s="118" t="s">
        <v>101</v>
      </c>
      <c r="EH9" s="118" t="s">
        <v>100</v>
      </c>
      <c r="EI9" s="118" t="s">
        <v>101</v>
      </c>
      <c r="EJ9" s="118" t="s">
        <v>100</v>
      </c>
      <c r="EK9" s="118" t="s">
        <v>101</v>
      </c>
      <c r="EL9" s="118" t="s">
        <v>100</v>
      </c>
      <c r="EM9" s="118" t="s">
        <v>101</v>
      </c>
      <c r="EN9" s="118" t="s">
        <v>100</v>
      </c>
      <c r="EO9" s="118" t="s">
        <v>101</v>
      </c>
      <c r="EP9" s="118" t="s">
        <v>100</v>
      </c>
      <c r="EQ9" s="118" t="s">
        <v>101</v>
      </c>
      <c r="ER9" s="118" t="s">
        <v>100</v>
      </c>
      <c r="ES9" s="118" t="s">
        <v>101</v>
      </c>
      <c r="ET9" s="118" t="s">
        <v>100</v>
      </c>
      <c r="EU9" s="118" t="s">
        <v>101</v>
      </c>
      <c r="EV9" s="118" t="s">
        <v>100</v>
      </c>
      <c r="EW9" s="118" t="s">
        <v>101</v>
      </c>
      <c r="EX9" s="118" t="s">
        <v>100</v>
      </c>
      <c r="EY9" s="118" t="s">
        <v>101</v>
      </c>
      <c r="EZ9" s="118" t="s">
        <v>100</v>
      </c>
      <c r="FA9" s="118" t="s">
        <v>101</v>
      </c>
      <c r="FB9" s="118" t="s">
        <v>100</v>
      </c>
      <c r="FC9" s="118" t="s">
        <v>101</v>
      </c>
      <c r="FD9" s="118" t="s">
        <v>100</v>
      </c>
      <c r="FE9" s="118" t="s">
        <v>101</v>
      </c>
      <c r="FF9" s="118" t="s">
        <v>100</v>
      </c>
      <c r="FG9" s="118" t="s">
        <v>101</v>
      </c>
      <c r="FH9" s="118" t="s">
        <v>100</v>
      </c>
      <c r="FI9" s="118" t="s">
        <v>101</v>
      </c>
      <c r="FJ9" s="118" t="s">
        <v>100</v>
      </c>
      <c r="FK9" s="118" t="s">
        <v>101</v>
      </c>
      <c r="FL9" s="118" t="s">
        <v>100</v>
      </c>
      <c r="FM9" s="118"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3"/>
      <c r="B1" s="11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7" t="s">
        <v>348</v>
      </c>
      <c r="D2" s="277"/>
      <c r="E2" s="277" t="s">
        <v>349</v>
      </c>
      <c r="F2" s="277"/>
      <c r="G2" s="277" t="s">
        <v>350</v>
      </c>
      <c r="H2" s="277"/>
      <c r="I2" s="277" t="s">
        <v>351</v>
      </c>
      <c r="J2" s="277"/>
      <c r="K2" s="277" t="s">
        <v>352</v>
      </c>
      <c r="L2" s="277"/>
      <c r="M2" s="277" t="s">
        <v>353</v>
      </c>
      <c r="N2" s="277"/>
      <c r="O2" s="277" t="s">
        <v>354</v>
      </c>
      <c r="P2" s="277"/>
      <c r="Q2" s="277" t="s">
        <v>355</v>
      </c>
      <c r="R2" s="277"/>
      <c r="S2" s="277" t="s">
        <v>356</v>
      </c>
      <c r="T2" s="277"/>
      <c r="V2" s="277" t="s">
        <v>357</v>
      </c>
      <c r="W2" s="277"/>
      <c r="X2" s="277" t="s">
        <v>358</v>
      </c>
      <c r="Y2" s="277"/>
      <c r="Z2" s="277" t="s">
        <v>359</v>
      </c>
      <c r="AA2" s="277"/>
      <c r="AB2" s="277" t="s">
        <v>360</v>
      </c>
      <c r="AC2" s="277"/>
      <c r="AD2" s="277" t="s">
        <v>361</v>
      </c>
      <c r="AE2" s="277"/>
      <c r="AF2" s="277" t="s">
        <v>362</v>
      </c>
      <c r="AG2" s="277"/>
      <c r="AH2" s="277" t="s">
        <v>363</v>
      </c>
      <c r="AI2" s="277"/>
      <c r="AJ2" s="277" t="s">
        <v>364</v>
      </c>
      <c r="AK2" s="277"/>
      <c r="AL2" s="277" t="s">
        <v>365</v>
      </c>
      <c r="AM2" s="277"/>
      <c r="AO2" s="277" t="s">
        <v>366</v>
      </c>
      <c r="AP2" s="277"/>
      <c r="AQ2" s="277" t="s">
        <v>367</v>
      </c>
      <c r="AR2" s="277"/>
      <c r="AS2" s="277" t="s">
        <v>368</v>
      </c>
      <c r="AT2" s="277"/>
      <c r="AU2" s="277" t="s">
        <v>369</v>
      </c>
      <c r="AV2" s="277"/>
      <c r="AW2" s="277" t="s">
        <v>370</v>
      </c>
      <c r="AX2" s="277"/>
      <c r="AY2" s="277" t="s">
        <v>371</v>
      </c>
      <c r="AZ2" s="277"/>
      <c r="BA2" s="277" t="s">
        <v>372</v>
      </c>
      <c r="BB2" s="277"/>
      <c r="BC2" s="277" t="s">
        <v>373</v>
      </c>
      <c r="BD2" s="277"/>
      <c r="BE2" s="277" t="s">
        <v>374</v>
      </c>
      <c r="BF2" s="277"/>
      <c r="BH2" s="277" t="s">
        <v>104</v>
      </c>
      <c r="BI2" s="277"/>
      <c r="BJ2" s="277" t="s">
        <v>375</v>
      </c>
      <c r="BK2" s="277"/>
      <c r="BL2" s="277" t="s">
        <v>376</v>
      </c>
      <c r="BM2" s="277"/>
      <c r="BN2" s="277" t="s">
        <v>377</v>
      </c>
      <c r="BO2" s="277"/>
      <c r="BP2" s="277" t="s">
        <v>378</v>
      </c>
      <c r="BQ2" s="277"/>
      <c r="BR2" s="277" t="s">
        <v>379</v>
      </c>
      <c r="BS2" s="277"/>
      <c r="BT2" s="277" t="s">
        <v>380</v>
      </c>
      <c r="BU2" s="277"/>
      <c r="BV2" s="277" t="s">
        <v>381</v>
      </c>
      <c r="BW2" s="277"/>
      <c r="BX2" s="277" t="s">
        <v>382</v>
      </c>
      <c r="BY2" s="277"/>
      <c r="BZ2" s="277" t="s">
        <v>383</v>
      </c>
      <c r="CA2" s="277"/>
      <c r="CB2" s="277" t="s">
        <v>384</v>
      </c>
      <c r="CC2" s="277"/>
      <c r="CD2" s="277" t="s">
        <v>385</v>
      </c>
      <c r="CE2" s="277"/>
      <c r="CF2" s="277" t="s">
        <v>386</v>
      </c>
      <c r="CG2" s="277"/>
      <c r="CH2" s="277" t="s">
        <v>387</v>
      </c>
      <c r="CI2" s="277"/>
      <c r="CJ2" s="277" t="s">
        <v>388</v>
      </c>
      <c r="CK2" s="277"/>
      <c r="CL2" s="277" t="s">
        <v>389</v>
      </c>
      <c r="CM2" s="277"/>
      <c r="CN2" s="277" t="s">
        <v>390</v>
      </c>
      <c r="CO2" s="277"/>
      <c r="CP2" s="277" t="s">
        <v>391</v>
      </c>
      <c r="CQ2" s="277"/>
      <c r="CR2" s="277" t="s">
        <v>392</v>
      </c>
      <c r="CS2" s="277"/>
    </row>
    <row r="3" spans="1:97" s="56" customFormat="1" ht="49.5" customHeight="1">
      <c r="A3" s="119"/>
      <c r="B3" s="70"/>
      <c r="C3" s="275"/>
      <c r="D3" s="275"/>
      <c r="E3" s="278" t="s">
        <v>111</v>
      </c>
      <c r="F3" s="278"/>
      <c r="G3" s="275"/>
      <c r="H3" s="275"/>
      <c r="I3" s="279" t="s">
        <v>113</v>
      </c>
      <c r="J3" s="279"/>
      <c r="K3" s="275"/>
      <c r="L3" s="275"/>
      <c r="M3" s="275"/>
      <c r="N3" s="275"/>
      <c r="O3" s="275"/>
      <c r="P3" s="275"/>
      <c r="Q3" s="276" t="s">
        <v>114</v>
      </c>
      <c r="R3" s="276"/>
      <c r="S3" s="275"/>
      <c r="T3" s="275"/>
      <c r="U3" s="55"/>
      <c r="V3" s="276" t="s">
        <v>109</v>
      </c>
      <c r="W3" s="276"/>
      <c r="X3" s="275"/>
      <c r="Y3" s="275"/>
      <c r="Z3" s="275"/>
      <c r="AA3" s="275"/>
      <c r="AB3" s="275"/>
      <c r="AC3" s="275"/>
      <c r="AD3" s="275"/>
      <c r="AE3" s="275"/>
      <c r="AF3" s="275"/>
      <c r="AG3" s="275"/>
      <c r="AH3" s="275"/>
      <c r="AI3" s="275"/>
      <c r="AJ3" s="275"/>
      <c r="AK3" s="275"/>
      <c r="AL3" s="275"/>
      <c r="AM3" s="275"/>
      <c r="AN3" s="55"/>
      <c r="AO3" s="278" t="s">
        <v>112</v>
      </c>
      <c r="AP3" s="278"/>
      <c r="AQ3" s="275"/>
      <c r="AR3" s="275"/>
      <c r="AS3" s="275"/>
      <c r="AT3" s="275"/>
      <c r="AU3" s="275"/>
      <c r="AV3" s="275"/>
      <c r="AW3" s="275"/>
      <c r="AX3" s="275"/>
      <c r="AY3" s="275"/>
      <c r="AZ3" s="275"/>
      <c r="BA3" s="275"/>
      <c r="BB3" s="275"/>
      <c r="BC3" s="275"/>
      <c r="BD3" s="275"/>
      <c r="BE3" s="275"/>
      <c r="BF3" s="275"/>
      <c r="BG3" s="55"/>
      <c r="BH3" s="278" t="s">
        <v>110</v>
      </c>
      <c r="BI3" s="278"/>
      <c r="BJ3" s="275"/>
      <c r="BK3" s="275"/>
      <c r="BL3" s="275"/>
      <c r="BM3" s="275"/>
      <c r="BN3" s="275"/>
      <c r="BO3" s="275"/>
      <c r="BP3" s="275"/>
      <c r="BQ3" s="275"/>
      <c r="BR3" s="275"/>
      <c r="BS3" s="275"/>
      <c r="BT3" s="275"/>
      <c r="BU3" s="275"/>
      <c r="BV3" s="275"/>
      <c r="BW3" s="275"/>
      <c r="BX3" s="275"/>
      <c r="BY3" s="275"/>
      <c r="BZ3" s="275"/>
      <c r="CA3" s="275"/>
      <c r="CB3" s="275"/>
      <c r="CC3" s="275"/>
      <c r="CD3" s="275"/>
      <c r="CE3" s="275"/>
      <c r="CF3" s="275"/>
      <c r="CG3" s="275"/>
      <c r="CH3" s="275"/>
      <c r="CI3" s="275"/>
      <c r="CJ3" s="275"/>
      <c r="CK3" s="275"/>
      <c r="CL3" s="275"/>
      <c r="CM3" s="275"/>
      <c r="CN3" s="275"/>
      <c r="CO3" s="275"/>
      <c r="CP3" s="275"/>
      <c r="CQ3" s="275"/>
      <c r="CR3" s="275"/>
      <c r="CS3" s="275"/>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2021-05-29T02:07:33Z</dcterms:modified>
  <cp:category/>
  <cp:contentStatus/>
</cp:coreProperties>
</file>