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ron.taddese\Downloads\"/>
    </mc:Choice>
  </mc:AlternateContent>
  <bookViews>
    <workbookView xWindow="0" yWindow="0" windowWidth="2370" windowHeight="0" tabRatio="620"/>
  </bookViews>
  <sheets>
    <sheet name="Apr" sheetId="128" r:id="rId1"/>
    <sheet name="DAILY" sheetId="119" r:id="rId2"/>
    <sheet name="Jan" sheetId="131" r:id="rId3"/>
    <sheet name="Feb" sheetId="130" r:id="rId4"/>
    <sheet name="Mar" sheetId="129" r:id="rId5"/>
    <sheet name="May" sheetId="127" r:id="rId6"/>
    <sheet name="Jun" sheetId="126" r:id="rId7"/>
    <sheet name="July" sheetId="120" r:id="rId8"/>
    <sheet name="August " sheetId="121" r:id="rId9"/>
    <sheet name="September" sheetId="122" r:id="rId10"/>
    <sheet name="October" sheetId="123" r:id="rId11"/>
    <sheet name="November" sheetId="124" r:id="rId12"/>
    <sheet name="December" sheetId="125" r:id="rId13"/>
  </sheets>
  <definedNames>
    <definedName name="Electricity" localSheetId="1">DAILY!$A$1:$I$41</definedName>
    <definedName name="GASHP" localSheetId="1">DAILY!$K$1:$Q$42</definedName>
    <definedName name="GASLP" localSheetId="1">DAILY!$K$44:$Q$84</definedName>
    <definedName name="GASWW" localSheetId="1">DAILY!$K$94:$Q$134</definedName>
    <definedName name="WATER" localSheetId="1">DAILY!$A$43:$G$83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3" i="131" l="1"/>
  <c r="J4" i="131" s="1"/>
  <c r="J5" i="131" s="1"/>
  <c r="J6" i="131" s="1"/>
  <c r="J7" i="131" s="1"/>
  <c r="J8" i="131" s="1"/>
  <c r="J9" i="131" s="1"/>
  <c r="J10" i="131" s="1"/>
  <c r="J11" i="131" s="1"/>
  <c r="J12" i="131" s="1"/>
  <c r="J13" i="131" s="1"/>
  <c r="J14" i="131" s="1"/>
  <c r="J15" i="131" s="1"/>
  <c r="J16" i="131" s="1"/>
  <c r="J17" i="131" s="1"/>
  <c r="J18" i="131" s="1"/>
  <c r="J19" i="131" s="1"/>
  <c r="J20" i="131" s="1"/>
  <c r="J21" i="131" s="1"/>
  <c r="J22" i="131" s="1"/>
  <c r="J23" i="131" s="1"/>
  <c r="J24" i="131" s="1"/>
  <c r="J25" i="131" s="1"/>
  <c r="J26" i="131" s="1"/>
  <c r="J27" i="131" s="1"/>
  <c r="J28" i="131" s="1"/>
  <c r="J29" i="131" s="1"/>
  <c r="J30" i="131" s="1"/>
  <c r="J31" i="131" s="1"/>
  <c r="J32" i="131" s="1"/>
  <c r="H3" i="131"/>
  <c r="H4" i="131" s="1"/>
  <c r="H5" i="131" s="1"/>
  <c r="H6" i="131" s="1"/>
  <c r="H7" i="131" s="1"/>
  <c r="H8" i="131" s="1"/>
  <c r="H9" i="131" s="1"/>
  <c r="H10" i="131" s="1"/>
  <c r="H11" i="131" s="1"/>
  <c r="H12" i="131" s="1"/>
  <c r="H13" i="131" s="1"/>
  <c r="H14" i="131" s="1"/>
  <c r="H15" i="131" s="1"/>
  <c r="H16" i="131" s="1"/>
  <c r="H17" i="131" s="1"/>
  <c r="H18" i="131" s="1"/>
  <c r="H19" i="131" s="1"/>
  <c r="H20" i="131" s="1"/>
  <c r="H21" i="131" s="1"/>
  <c r="H22" i="131" s="1"/>
  <c r="H23" i="131" s="1"/>
  <c r="H24" i="131" s="1"/>
  <c r="H25" i="131" s="1"/>
  <c r="H26" i="131" s="1"/>
  <c r="H27" i="131" s="1"/>
  <c r="H28" i="131" s="1"/>
  <c r="H29" i="131" s="1"/>
  <c r="H30" i="131" s="1"/>
  <c r="H31" i="131" s="1"/>
  <c r="H32" i="131" s="1"/>
  <c r="B3" i="131"/>
  <c r="B4" i="131" s="1"/>
  <c r="B5" i="131" s="1"/>
  <c r="B6" i="131" s="1"/>
  <c r="B7" i="131" s="1"/>
  <c r="B8" i="131" s="1"/>
  <c r="B9" i="131" s="1"/>
  <c r="B10" i="131" s="1"/>
  <c r="B11" i="131" s="1"/>
  <c r="B12" i="131" s="1"/>
  <c r="B13" i="131" s="1"/>
  <c r="B14" i="131" s="1"/>
  <c r="B15" i="131" s="1"/>
  <c r="B16" i="131" s="1"/>
  <c r="B17" i="131" s="1"/>
  <c r="B18" i="131" s="1"/>
  <c r="B19" i="131" s="1"/>
  <c r="B20" i="131" s="1"/>
  <c r="B21" i="131" s="1"/>
  <c r="B22" i="131" s="1"/>
  <c r="B23" i="131" s="1"/>
  <c r="B24" i="131" s="1"/>
  <c r="B25" i="131" s="1"/>
  <c r="B26" i="131" s="1"/>
  <c r="B27" i="131" s="1"/>
  <c r="B28" i="131" s="1"/>
  <c r="B29" i="131" s="1"/>
  <c r="B30" i="131" s="1"/>
  <c r="B31" i="131" s="1"/>
  <c r="B32" i="131" s="1"/>
  <c r="F2" i="131"/>
  <c r="F3" i="131" s="1"/>
  <c r="F4" i="131" s="1"/>
  <c r="F5" i="131" s="1"/>
  <c r="F6" i="131" s="1"/>
  <c r="F7" i="131" s="1"/>
  <c r="F8" i="131" s="1"/>
  <c r="F9" i="131" s="1"/>
  <c r="F10" i="131" s="1"/>
  <c r="F11" i="131" s="1"/>
  <c r="F12" i="131" s="1"/>
  <c r="F13" i="131" s="1"/>
  <c r="F14" i="131" s="1"/>
  <c r="F15" i="131" s="1"/>
  <c r="F16" i="131" s="1"/>
  <c r="F17" i="131" s="1"/>
  <c r="F18" i="131" s="1"/>
  <c r="F19" i="131" s="1"/>
  <c r="F20" i="131" s="1"/>
  <c r="F21" i="131" s="1"/>
  <c r="F22" i="131" s="1"/>
  <c r="F23" i="131" s="1"/>
  <c r="F24" i="131" s="1"/>
  <c r="F25" i="131" s="1"/>
  <c r="F26" i="131" s="1"/>
  <c r="F27" i="131" s="1"/>
  <c r="F28" i="131" s="1"/>
  <c r="F29" i="131" s="1"/>
  <c r="F30" i="131" s="1"/>
  <c r="F31" i="131" s="1"/>
  <c r="F32" i="131" s="1"/>
  <c r="J3" i="130"/>
  <c r="J4" i="130" s="1"/>
  <c r="J5" i="130" s="1"/>
  <c r="J6" i="130" s="1"/>
  <c r="J7" i="130" s="1"/>
  <c r="J8" i="130" s="1"/>
  <c r="J9" i="130" s="1"/>
  <c r="J10" i="130" s="1"/>
  <c r="J11" i="130" s="1"/>
  <c r="J12" i="130" s="1"/>
  <c r="J13" i="130" s="1"/>
  <c r="J14" i="130" s="1"/>
  <c r="J15" i="130" s="1"/>
  <c r="J16" i="130" s="1"/>
  <c r="J17" i="130" s="1"/>
  <c r="J18" i="130" s="1"/>
  <c r="J19" i="130" s="1"/>
  <c r="J20" i="130" s="1"/>
  <c r="J21" i="130" s="1"/>
  <c r="J22" i="130" s="1"/>
  <c r="J23" i="130" s="1"/>
  <c r="J24" i="130" s="1"/>
  <c r="J25" i="130" s="1"/>
  <c r="J26" i="130" s="1"/>
  <c r="J27" i="130" s="1"/>
  <c r="J28" i="130" s="1"/>
  <c r="J29" i="130" s="1"/>
  <c r="H3" i="130"/>
  <c r="H4" i="130" s="1"/>
  <c r="H5" i="130" s="1"/>
  <c r="H6" i="130" s="1"/>
  <c r="H7" i="130" s="1"/>
  <c r="H8" i="130" s="1"/>
  <c r="H9" i="130" s="1"/>
  <c r="H10" i="130" s="1"/>
  <c r="H11" i="130" s="1"/>
  <c r="H12" i="130" s="1"/>
  <c r="H13" i="130" s="1"/>
  <c r="H14" i="130" s="1"/>
  <c r="H15" i="130" s="1"/>
  <c r="H16" i="130" s="1"/>
  <c r="H17" i="130" s="1"/>
  <c r="H18" i="130" s="1"/>
  <c r="H19" i="130" s="1"/>
  <c r="H20" i="130" s="1"/>
  <c r="H21" i="130" s="1"/>
  <c r="H22" i="130" s="1"/>
  <c r="H23" i="130" s="1"/>
  <c r="H24" i="130" s="1"/>
  <c r="H25" i="130" s="1"/>
  <c r="H26" i="130" s="1"/>
  <c r="H27" i="130" s="1"/>
  <c r="H28" i="130" s="1"/>
  <c r="H29" i="130" s="1"/>
  <c r="B3" i="130"/>
  <c r="B4" i="130" s="1"/>
  <c r="B5" i="130" s="1"/>
  <c r="B6" i="130" s="1"/>
  <c r="B7" i="130" s="1"/>
  <c r="B8" i="130" s="1"/>
  <c r="B9" i="130" s="1"/>
  <c r="B10" i="130" s="1"/>
  <c r="B11" i="130" s="1"/>
  <c r="B12" i="130" s="1"/>
  <c r="B13" i="130" s="1"/>
  <c r="B14" i="130" s="1"/>
  <c r="B15" i="130" s="1"/>
  <c r="B16" i="130" s="1"/>
  <c r="B17" i="130" s="1"/>
  <c r="B18" i="130" s="1"/>
  <c r="B19" i="130" s="1"/>
  <c r="B20" i="130" s="1"/>
  <c r="B21" i="130" s="1"/>
  <c r="B22" i="130" s="1"/>
  <c r="B23" i="130" s="1"/>
  <c r="B24" i="130" s="1"/>
  <c r="B25" i="130" s="1"/>
  <c r="B26" i="130" s="1"/>
  <c r="B27" i="130" s="1"/>
  <c r="B28" i="130" s="1"/>
  <c r="B29" i="130" s="1"/>
  <c r="F2" i="130"/>
  <c r="F3" i="130" s="1"/>
  <c r="F4" i="130" s="1"/>
  <c r="F5" i="130" s="1"/>
  <c r="F6" i="130" s="1"/>
  <c r="F7" i="130" s="1"/>
  <c r="F8" i="130" s="1"/>
  <c r="F9" i="130" s="1"/>
  <c r="F10" i="130" s="1"/>
  <c r="F11" i="130" s="1"/>
  <c r="F12" i="130" s="1"/>
  <c r="F13" i="130" s="1"/>
  <c r="F14" i="130" s="1"/>
  <c r="F15" i="130" s="1"/>
  <c r="F16" i="130" s="1"/>
  <c r="F17" i="130" s="1"/>
  <c r="F18" i="130" s="1"/>
  <c r="F19" i="130" s="1"/>
  <c r="F20" i="130" s="1"/>
  <c r="F21" i="130" s="1"/>
  <c r="F22" i="130" s="1"/>
  <c r="F23" i="130" s="1"/>
  <c r="F24" i="130" s="1"/>
  <c r="F25" i="130" s="1"/>
  <c r="F26" i="130" s="1"/>
  <c r="F27" i="130" s="1"/>
  <c r="F28" i="130" s="1"/>
  <c r="F29" i="130" s="1"/>
  <c r="J3" i="129"/>
  <c r="J4" i="129" s="1"/>
  <c r="J5" i="129" s="1"/>
  <c r="J6" i="129" s="1"/>
  <c r="J7" i="129" s="1"/>
  <c r="J8" i="129" s="1"/>
  <c r="J9" i="129" s="1"/>
  <c r="J10" i="129" s="1"/>
  <c r="J11" i="129" s="1"/>
  <c r="J12" i="129" s="1"/>
  <c r="J13" i="129" s="1"/>
  <c r="J14" i="129" s="1"/>
  <c r="J15" i="129" s="1"/>
  <c r="J16" i="129" s="1"/>
  <c r="J17" i="129" s="1"/>
  <c r="J18" i="129" s="1"/>
  <c r="J19" i="129" s="1"/>
  <c r="J20" i="129" s="1"/>
  <c r="J21" i="129" s="1"/>
  <c r="J22" i="129" s="1"/>
  <c r="J23" i="129" s="1"/>
  <c r="J24" i="129" s="1"/>
  <c r="J25" i="129" s="1"/>
  <c r="J26" i="129" s="1"/>
  <c r="J27" i="129" s="1"/>
  <c r="J28" i="129" s="1"/>
  <c r="J29" i="129" s="1"/>
  <c r="J30" i="129" s="1"/>
  <c r="J31" i="129" s="1"/>
  <c r="J32" i="129" s="1"/>
  <c r="H3" i="129"/>
  <c r="H4" i="129" s="1"/>
  <c r="H5" i="129" s="1"/>
  <c r="H6" i="129" s="1"/>
  <c r="H7" i="129" s="1"/>
  <c r="H8" i="129" s="1"/>
  <c r="H9" i="129" s="1"/>
  <c r="H10" i="129" s="1"/>
  <c r="H11" i="129" s="1"/>
  <c r="H12" i="129" s="1"/>
  <c r="H13" i="129" s="1"/>
  <c r="H14" i="129" s="1"/>
  <c r="H15" i="129" s="1"/>
  <c r="H16" i="129" s="1"/>
  <c r="H17" i="129" s="1"/>
  <c r="H18" i="129" s="1"/>
  <c r="H19" i="129" s="1"/>
  <c r="H20" i="129" s="1"/>
  <c r="H21" i="129" s="1"/>
  <c r="H22" i="129" s="1"/>
  <c r="H23" i="129" s="1"/>
  <c r="H24" i="129" s="1"/>
  <c r="H25" i="129" s="1"/>
  <c r="H26" i="129" s="1"/>
  <c r="H27" i="129" s="1"/>
  <c r="H28" i="129" s="1"/>
  <c r="H29" i="129" s="1"/>
  <c r="H30" i="129" s="1"/>
  <c r="H31" i="129" s="1"/>
  <c r="H32" i="129" s="1"/>
  <c r="B3" i="129"/>
  <c r="B4" i="129" s="1"/>
  <c r="B5" i="129" s="1"/>
  <c r="B6" i="129" s="1"/>
  <c r="B7" i="129" s="1"/>
  <c r="B8" i="129" s="1"/>
  <c r="B9" i="129" s="1"/>
  <c r="B10" i="129" s="1"/>
  <c r="B11" i="129" s="1"/>
  <c r="B12" i="129" s="1"/>
  <c r="B13" i="129" s="1"/>
  <c r="B14" i="129" s="1"/>
  <c r="B15" i="129" s="1"/>
  <c r="B16" i="129" s="1"/>
  <c r="B17" i="129" s="1"/>
  <c r="B18" i="129" s="1"/>
  <c r="B19" i="129" s="1"/>
  <c r="B20" i="129" s="1"/>
  <c r="B21" i="129" s="1"/>
  <c r="B22" i="129" s="1"/>
  <c r="B23" i="129" s="1"/>
  <c r="B24" i="129" s="1"/>
  <c r="B25" i="129" s="1"/>
  <c r="B26" i="129" s="1"/>
  <c r="B27" i="129" s="1"/>
  <c r="B28" i="129" s="1"/>
  <c r="B29" i="129" s="1"/>
  <c r="B30" i="129" s="1"/>
  <c r="B31" i="129" s="1"/>
  <c r="B32" i="129" s="1"/>
  <c r="F2" i="129"/>
  <c r="F3" i="129" s="1"/>
  <c r="F4" i="129" s="1"/>
  <c r="F5" i="129" s="1"/>
  <c r="F6" i="129" s="1"/>
  <c r="F7" i="129" s="1"/>
  <c r="F8" i="129" s="1"/>
  <c r="F9" i="129" s="1"/>
  <c r="F10" i="129" s="1"/>
  <c r="F11" i="129" s="1"/>
  <c r="F12" i="129" s="1"/>
  <c r="F13" i="129" s="1"/>
  <c r="F14" i="129" s="1"/>
  <c r="F15" i="129" s="1"/>
  <c r="F16" i="129" s="1"/>
  <c r="F17" i="129" s="1"/>
  <c r="F18" i="129" s="1"/>
  <c r="F19" i="129" s="1"/>
  <c r="F20" i="129" s="1"/>
  <c r="F21" i="129" s="1"/>
  <c r="F22" i="129" s="1"/>
  <c r="F23" i="129" s="1"/>
  <c r="F24" i="129" s="1"/>
  <c r="F25" i="129" s="1"/>
  <c r="F26" i="129" s="1"/>
  <c r="F27" i="129" s="1"/>
  <c r="F28" i="129" s="1"/>
  <c r="F29" i="129" s="1"/>
  <c r="F30" i="129" s="1"/>
  <c r="F31" i="129" s="1"/>
  <c r="F32" i="129" s="1"/>
  <c r="J3" i="128"/>
  <c r="J4" i="128" s="1"/>
  <c r="J5" i="128" s="1"/>
  <c r="J6" i="128" s="1"/>
  <c r="J7" i="128" s="1"/>
  <c r="J8" i="128" s="1"/>
  <c r="J9" i="128" s="1"/>
  <c r="J10" i="128" s="1"/>
  <c r="J11" i="128" s="1"/>
  <c r="J12" i="128" s="1"/>
  <c r="J13" i="128" s="1"/>
  <c r="J14" i="128" s="1"/>
  <c r="J15" i="128" s="1"/>
  <c r="J16" i="128" s="1"/>
  <c r="J17" i="128" s="1"/>
  <c r="J18" i="128" s="1"/>
  <c r="J19" i="128" s="1"/>
  <c r="J20" i="128" s="1"/>
  <c r="J21" i="128" s="1"/>
  <c r="J22" i="128" s="1"/>
  <c r="J23" i="128" s="1"/>
  <c r="J24" i="128" s="1"/>
  <c r="J25" i="128" s="1"/>
  <c r="J26" i="128" s="1"/>
  <c r="J27" i="128" s="1"/>
  <c r="J28" i="128" s="1"/>
  <c r="J29" i="128" s="1"/>
  <c r="J30" i="128" s="1"/>
  <c r="J31" i="128" s="1"/>
  <c r="H3" i="128"/>
  <c r="H4" i="128" s="1"/>
  <c r="H5" i="128" s="1"/>
  <c r="H6" i="128" s="1"/>
  <c r="H7" i="128" s="1"/>
  <c r="H8" i="128" s="1"/>
  <c r="H9" i="128" s="1"/>
  <c r="H10" i="128" s="1"/>
  <c r="H11" i="128" s="1"/>
  <c r="H12" i="128" s="1"/>
  <c r="H13" i="128" s="1"/>
  <c r="H14" i="128" s="1"/>
  <c r="H15" i="128" s="1"/>
  <c r="H16" i="128" s="1"/>
  <c r="H17" i="128" s="1"/>
  <c r="H18" i="128" s="1"/>
  <c r="H19" i="128" s="1"/>
  <c r="H20" i="128" s="1"/>
  <c r="H21" i="128" s="1"/>
  <c r="H22" i="128" s="1"/>
  <c r="H23" i="128" s="1"/>
  <c r="H24" i="128" s="1"/>
  <c r="H25" i="128" s="1"/>
  <c r="H26" i="128" s="1"/>
  <c r="H27" i="128" s="1"/>
  <c r="H28" i="128" s="1"/>
  <c r="H29" i="128" s="1"/>
  <c r="H30" i="128" s="1"/>
  <c r="H31" i="128" s="1"/>
  <c r="B3" i="128"/>
  <c r="B4" i="128" s="1"/>
  <c r="B5" i="128" s="1"/>
  <c r="B6" i="128" s="1"/>
  <c r="B7" i="128" s="1"/>
  <c r="B8" i="128" s="1"/>
  <c r="B9" i="128" s="1"/>
  <c r="B10" i="128" s="1"/>
  <c r="B11" i="128" s="1"/>
  <c r="B12" i="128" s="1"/>
  <c r="B13" i="128" s="1"/>
  <c r="B14" i="128" s="1"/>
  <c r="B15" i="128" s="1"/>
  <c r="B16" i="128" s="1"/>
  <c r="B17" i="128" s="1"/>
  <c r="B18" i="128" s="1"/>
  <c r="B19" i="128" s="1"/>
  <c r="B20" i="128" s="1"/>
  <c r="B21" i="128" s="1"/>
  <c r="B22" i="128" s="1"/>
  <c r="B23" i="128" s="1"/>
  <c r="B24" i="128" s="1"/>
  <c r="B25" i="128" s="1"/>
  <c r="B26" i="128" s="1"/>
  <c r="B27" i="128" s="1"/>
  <c r="B28" i="128" s="1"/>
  <c r="B29" i="128" s="1"/>
  <c r="B30" i="128" s="1"/>
  <c r="B31" i="128" s="1"/>
  <c r="F2" i="128"/>
  <c r="F3" i="128" s="1"/>
  <c r="F4" i="128" s="1"/>
  <c r="F5" i="128" s="1"/>
  <c r="F6" i="128" s="1"/>
  <c r="F7" i="128" s="1"/>
  <c r="F8" i="128" s="1"/>
  <c r="F9" i="128" s="1"/>
  <c r="F10" i="128" s="1"/>
  <c r="F11" i="128" s="1"/>
  <c r="F12" i="128" s="1"/>
  <c r="F13" i="128" s="1"/>
  <c r="F14" i="128" s="1"/>
  <c r="F15" i="128" s="1"/>
  <c r="F16" i="128" s="1"/>
  <c r="F17" i="128" s="1"/>
  <c r="F18" i="128" s="1"/>
  <c r="F19" i="128" s="1"/>
  <c r="F20" i="128" s="1"/>
  <c r="F21" i="128" s="1"/>
  <c r="F22" i="128" s="1"/>
  <c r="F23" i="128" s="1"/>
  <c r="F24" i="128" s="1"/>
  <c r="F25" i="128" s="1"/>
  <c r="F26" i="128" s="1"/>
  <c r="F27" i="128" s="1"/>
  <c r="F28" i="128" s="1"/>
  <c r="F29" i="128" s="1"/>
  <c r="F30" i="128" s="1"/>
  <c r="F31" i="128" s="1"/>
  <c r="J3" i="127"/>
  <c r="J4" i="127" s="1"/>
  <c r="J5" i="127" s="1"/>
  <c r="J6" i="127" s="1"/>
  <c r="J7" i="127" s="1"/>
  <c r="J8" i="127" s="1"/>
  <c r="J9" i="127" s="1"/>
  <c r="J10" i="127" s="1"/>
  <c r="J11" i="127" s="1"/>
  <c r="J12" i="127" s="1"/>
  <c r="J13" i="127" s="1"/>
  <c r="J14" i="127" s="1"/>
  <c r="J15" i="127" s="1"/>
  <c r="J16" i="127" s="1"/>
  <c r="J17" i="127" s="1"/>
  <c r="J18" i="127" s="1"/>
  <c r="J19" i="127" s="1"/>
  <c r="J20" i="127" s="1"/>
  <c r="J21" i="127" s="1"/>
  <c r="J22" i="127" s="1"/>
  <c r="J23" i="127" s="1"/>
  <c r="J24" i="127" s="1"/>
  <c r="J25" i="127" s="1"/>
  <c r="J26" i="127" s="1"/>
  <c r="J27" i="127" s="1"/>
  <c r="J28" i="127" s="1"/>
  <c r="J29" i="127" s="1"/>
  <c r="J30" i="127" s="1"/>
  <c r="J31" i="127" s="1"/>
  <c r="J32" i="127" s="1"/>
  <c r="H3" i="127"/>
  <c r="H4" i="127" s="1"/>
  <c r="H5" i="127" s="1"/>
  <c r="H6" i="127" s="1"/>
  <c r="H7" i="127" s="1"/>
  <c r="H8" i="127" s="1"/>
  <c r="H9" i="127" s="1"/>
  <c r="H10" i="127" s="1"/>
  <c r="H11" i="127" s="1"/>
  <c r="H12" i="127" s="1"/>
  <c r="H13" i="127" s="1"/>
  <c r="H14" i="127" s="1"/>
  <c r="H15" i="127" s="1"/>
  <c r="H16" i="127" s="1"/>
  <c r="H17" i="127" s="1"/>
  <c r="H18" i="127" s="1"/>
  <c r="H19" i="127" s="1"/>
  <c r="H20" i="127" s="1"/>
  <c r="H21" i="127" s="1"/>
  <c r="H22" i="127" s="1"/>
  <c r="H23" i="127" s="1"/>
  <c r="H24" i="127" s="1"/>
  <c r="H25" i="127" s="1"/>
  <c r="H26" i="127" s="1"/>
  <c r="H27" i="127" s="1"/>
  <c r="H28" i="127" s="1"/>
  <c r="H29" i="127" s="1"/>
  <c r="H30" i="127" s="1"/>
  <c r="H31" i="127" s="1"/>
  <c r="H32" i="127" s="1"/>
  <c r="B3" i="127"/>
  <c r="B4" i="127" s="1"/>
  <c r="B5" i="127" s="1"/>
  <c r="B6" i="127" s="1"/>
  <c r="B7" i="127" s="1"/>
  <c r="B8" i="127" s="1"/>
  <c r="B9" i="127" s="1"/>
  <c r="B10" i="127" s="1"/>
  <c r="B11" i="127" s="1"/>
  <c r="B12" i="127" s="1"/>
  <c r="B13" i="127" s="1"/>
  <c r="B14" i="127" s="1"/>
  <c r="B15" i="127" s="1"/>
  <c r="B16" i="127" s="1"/>
  <c r="B17" i="127" s="1"/>
  <c r="B18" i="127" s="1"/>
  <c r="B19" i="127" s="1"/>
  <c r="B20" i="127" s="1"/>
  <c r="B21" i="127" s="1"/>
  <c r="B22" i="127" s="1"/>
  <c r="B23" i="127" s="1"/>
  <c r="B24" i="127" s="1"/>
  <c r="B25" i="127" s="1"/>
  <c r="B26" i="127" s="1"/>
  <c r="B27" i="127" s="1"/>
  <c r="B28" i="127" s="1"/>
  <c r="B29" i="127" s="1"/>
  <c r="B30" i="127" s="1"/>
  <c r="B31" i="127" s="1"/>
  <c r="B32" i="127" s="1"/>
  <c r="F2" i="127"/>
  <c r="F3" i="127" s="1"/>
  <c r="F4" i="127" s="1"/>
  <c r="F5" i="127" s="1"/>
  <c r="F6" i="127" s="1"/>
  <c r="F7" i="127" s="1"/>
  <c r="F8" i="127" s="1"/>
  <c r="F9" i="127" s="1"/>
  <c r="F10" i="127" s="1"/>
  <c r="F11" i="127" s="1"/>
  <c r="F12" i="127" s="1"/>
  <c r="F13" i="127" s="1"/>
  <c r="F14" i="127" s="1"/>
  <c r="F15" i="127" s="1"/>
  <c r="F16" i="127" s="1"/>
  <c r="F17" i="127" s="1"/>
  <c r="F18" i="127" s="1"/>
  <c r="F19" i="127" s="1"/>
  <c r="F20" i="127" s="1"/>
  <c r="F21" i="127" s="1"/>
  <c r="F22" i="127" s="1"/>
  <c r="F23" i="127" s="1"/>
  <c r="F24" i="127" s="1"/>
  <c r="F25" i="127" s="1"/>
  <c r="F26" i="127" s="1"/>
  <c r="F27" i="127" s="1"/>
  <c r="F28" i="127" s="1"/>
  <c r="F29" i="127" s="1"/>
  <c r="F30" i="127" s="1"/>
  <c r="F31" i="127" s="1"/>
  <c r="F32" i="127" s="1"/>
  <c r="J3" i="126"/>
  <c r="J4" i="126" s="1"/>
  <c r="J5" i="126" s="1"/>
  <c r="J6" i="126" s="1"/>
  <c r="J7" i="126" s="1"/>
  <c r="J8" i="126" s="1"/>
  <c r="J9" i="126" s="1"/>
  <c r="J10" i="126" s="1"/>
  <c r="J11" i="126" s="1"/>
  <c r="J12" i="126" s="1"/>
  <c r="J13" i="126" s="1"/>
  <c r="J14" i="126" s="1"/>
  <c r="J15" i="126" s="1"/>
  <c r="J16" i="126" s="1"/>
  <c r="J17" i="126" s="1"/>
  <c r="J18" i="126" s="1"/>
  <c r="J19" i="126" s="1"/>
  <c r="J20" i="126" s="1"/>
  <c r="J21" i="126" s="1"/>
  <c r="J22" i="126" s="1"/>
  <c r="J23" i="126" s="1"/>
  <c r="J24" i="126" s="1"/>
  <c r="J25" i="126" s="1"/>
  <c r="J26" i="126" s="1"/>
  <c r="J27" i="126" s="1"/>
  <c r="J28" i="126" s="1"/>
  <c r="J29" i="126" s="1"/>
  <c r="J30" i="126" s="1"/>
  <c r="J31" i="126" s="1"/>
  <c r="J32" i="126" s="1"/>
  <c r="H3" i="126"/>
  <c r="H4" i="126" s="1"/>
  <c r="H5" i="126" s="1"/>
  <c r="H6" i="126" s="1"/>
  <c r="H7" i="126" s="1"/>
  <c r="H8" i="126" s="1"/>
  <c r="H9" i="126" s="1"/>
  <c r="H10" i="126" s="1"/>
  <c r="H11" i="126" s="1"/>
  <c r="H12" i="126" s="1"/>
  <c r="H13" i="126" s="1"/>
  <c r="H14" i="126" s="1"/>
  <c r="H15" i="126" s="1"/>
  <c r="H16" i="126" s="1"/>
  <c r="H17" i="126" s="1"/>
  <c r="H18" i="126" s="1"/>
  <c r="H19" i="126" s="1"/>
  <c r="H20" i="126" s="1"/>
  <c r="H21" i="126" s="1"/>
  <c r="H22" i="126" s="1"/>
  <c r="H23" i="126" s="1"/>
  <c r="H24" i="126" s="1"/>
  <c r="H25" i="126" s="1"/>
  <c r="H26" i="126" s="1"/>
  <c r="H27" i="126" s="1"/>
  <c r="H28" i="126" s="1"/>
  <c r="H29" i="126" s="1"/>
  <c r="H30" i="126" s="1"/>
  <c r="H31" i="126" s="1"/>
  <c r="H32" i="126" s="1"/>
  <c r="B3" i="126"/>
  <c r="B4" i="126" s="1"/>
  <c r="B5" i="126" s="1"/>
  <c r="B6" i="126" s="1"/>
  <c r="B7" i="126" s="1"/>
  <c r="B8" i="126" s="1"/>
  <c r="B9" i="126" s="1"/>
  <c r="B10" i="126" s="1"/>
  <c r="B11" i="126" s="1"/>
  <c r="B12" i="126" s="1"/>
  <c r="B13" i="126" s="1"/>
  <c r="B14" i="126" s="1"/>
  <c r="B15" i="126" s="1"/>
  <c r="B16" i="126" s="1"/>
  <c r="B17" i="126" s="1"/>
  <c r="B18" i="126" s="1"/>
  <c r="B19" i="126" s="1"/>
  <c r="B20" i="126" s="1"/>
  <c r="B21" i="126" s="1"/>
  <c r="B22" i="126" s="1"/>
  <c r="B23" i="126" s="1"/>
  <c r="B24" i="126" s="1"/>
  <c r="B25" i="126" s="1"/>
  <c r="B26" i="126" s="1"/>
  <c r="B27" i="126" s="1"/>
  <c r="B28" i="126" s="1"/>
  <c r="B29" i="126" s="1"/>
  <c r="B30" i="126" s="1"/>
  <c r="B31" i="126" s="1"/>
  <c r="B32" i="126" s="1"/>
  <c r="F2" i="126"/>
  <c r="F3" i="126" s="1"/>
  <c r="F4" i="126" s="1"/>
  <c r="F5" i="126" s="1"/>
  <c r="F6" i="126" s="1"/>
  <c r="F7" i="126" s="1"/>
  <c r="F8" i="126" s="1"/>
  <c r="F9" i="126" s="1"/>
  <c r="F10" i="126" s="1"/>
  <c r="F11" i="126" s="1"/>
  <c r="F12" i="126" s="1"/>
  <c r="F13" i="126" s="1"/>
  <c r="F14" i="126" s="1"/>
  <c r="F15" i="126" s="1"/>
  <c r="F16" i="126" s="1"/>
  <c r="F17" i="126" s="1"/>
  <c r="F18" i="126" s="1"/>
  <c r="F19" i="126" s="1"/>
  <c r="F20" i="126" s="1"/>
  <c r="F21" i="126" s="1"/>
  <c r="F22" i="126" s="1"/>
  <c r="F23" i="126" s="1"/>
  <c r="F24" i="126" s="1"/>
  <c r="F25" i="126" s="1"/>
  <c r="F26" i="126" s="1"/>
  <c r="F27" i="126" s="1"/>
  <c r="F28" i="126" s="1"/>
  <c r="F29" i="126" s="1"/>
  <c r="F30" i="126" s="1"/>
  <c r="F31" i="126" s="1"/>
  <c r="F32" i="126" s="1"/>
  <c r="J31" i="125"/>
  <c r="H31" i="125"/>
  <c r="F31" i="125"/>
  <c r="J3" i="125"/>
  <c r="J4" i="125" s="1"/>
  <c r="J5" i="125" s="1"/>
  <c r="J6" i="125" s="1"/>
  <c r="J7" i="125" s="1"/>
  <c r="J8" i="125" s="1"/>
  <c r="J9" i="125" s="1"/>
  <c r="J10" i="125" s="1"/>
  <c r="J11" i="125" s="1"/>
  <c r="J12" i="125" s="1"/>
  <c r="J13" i="125" s="1"/>
  <c r="J14" i="125" s="1"/>
  <c r="J15" i="125" s="1"/>
  <c r="J16" i="125" s="1"/>
  <c r="J17" i="125" s="1"/>
  <c r="J18" i="125" s="1"/>
  <c r="J19" i="125" s="1"/>
  <c r="J20" i="125" s="1"/>
  <c r="J21" i="125" s="1"/>
  <c r="J22" i="125" s="1"/>
  <c r="J23" i="125" s="1"/>
  <c r="J24" i="125" s="1"/>
  <c r="J25" i="125" s="1"/>
  <c r="J26" i="125" s="1"/>
  <c r="J27" i="125" s="1"/>
  <c r="J28" i="125" s="1"/>
  <c r="J29" i="125" s="1"/>
  <c r="H3" i="125"/>
  <c r="H4" i="125" s="1"/>
  <c r="H5" i="125" s="1"/>
  <c r="H6" i="125" s="1"/>
  <c r="H7" i="125" s="1"/>
  <c r="H8" i="125" s="1"/>
  <c r="H9" i="125" s="1"/>
  <c r="H10" i="125" s="1"/>
  <c r="H11" i="125" s="1"/>
  <c r="H12" i="125" s="1"/>
  <c r="H13" i="125" s="1"/>
  <c r="H14" i="125" s="1"/>
  <c r="H15" i="125" s="1"/>
  <c r="H16" i="125" s="1"/>
  <c r="H17" i="125" s="1"/>
  <c r="H18" i="125" s="1"/>
  <c r="H19" i="125" s="1"/>
  <c r="H20" i="125" s="1"/>
  <c r="H21" i="125" s="1"/>
  <c r="H22" i="125" s="1"/>
  <c r="H23" i="125" s="1"/>
  <c r="H24" i="125" s="1"/>
  <c r="H25" i="125" s="1"/>
  <c r="H26" i="125" s="1"/>
  <c r="H27" i="125" s="1"/>
  <c r="H28" i="125" s="1"/>
  <c r="H29" i="125" s="1"/>
  <c r="B3" i="125"/>
  <c r="B4" i="125" s="1"/>
  <c r="B5" i="125" s="1"/>
  <c r="B6" i="125" s="1"/>
  <c r="B7" i="125" s="1"/>
  <c r="B8" i="125" s="1"/>
  <c r="B9" i="125" s="1"/>
  <c r="B10" i="125" s="1"/>
  <c r="B11" i="125" s="1"/>
  <c r="B12" i="125" s="1"/>
  <c r="B13" i="125" s="1"/>
  <c r="B14" i="125" s="1"/>
  <c r="B15" i="125" s="1"/>
  <c r="B16" i="125" s="1"/>
  <c r="B17" i="125" s="1"/>
  <c r="B18" i="125" s="1"/>
  <c r="B19" i="125" s="1"/>
  <c r="B20" i="125" s="1"/>
  <c r="B21" i="125" s="1"/>
  <c r="B22" i="125" s="1"/>
  <c r="B23" i="125" s="1"/>
  <c r="B24" i="125" s="1"/>
  <c r="B25" i="125" s="1"/>
  <c r="B26" i="125" s="1"/>
  <c r="B27" i="125" s="1"/>
  <c r="B28" i="125" s="1"/>
  <c r="B29" i="125" s="1"/>
  <c r="B30" i="125" s="1"/>
  <c r="F2" i="125"/>
  <c r="F3" i="125" s="1"/>
  <c r="F4" i="125" s="1"/>
  <c r="F5" i="125" s="1"/>
  <c r="F6" i="125" s="1"/>
  <c r="F7" i="125" s="1"/>
  <c r="F8" i="125" s="1"/>
  <c r="F9" i="125" s="1"/>
  <c r="F10" i="125" s="1"/>
  <c r="F11" i="125" s="1"/>
  <c r="F12" i="125" s="1"/>
  <c r="F13" i="125" s="1"/>
  <c r="F14" i="125" s="1"/>
  <c r="F15" i="125" s="1"/>
  <c r="F16" i="125" s="1"/>
  <c r="F17" i="125" s="1"/>
  <c r="F18" i="125" s="1"/>
  <c r="F19" i="125" s="1"/>
  <c r="F20" i="125" s="1"/>
  <c r="F21" i="125" s="1"/>
  <c r="F22" i="125" s="1"/>
  <c r="F23" i="125" s="1"/>
  <c r="F24" i="125" s="1"/>
  <c r="F25" i="125" s="1"/>
  <c r="F26" i="125" s="1"/>
  <c r="F27" i="125" s="1"/>
  <c r="F28" i="125" s="1"/>
  <c r="F29" i="125" s="1"/>
  <c r="J3" i="124"/>
  <c r="J4" i="124" s="1"/>
  <c r="J5" i="124" s="1"/>
  <c r="J6" i="124" s="1"/>
  <c r="J7" i="124" s="1"/>
  <c r="J8" i="124" s="1"/>
  <c r="J9" i="124" s="1"/>
  <c r="J10" i="124" s="1"/>
  <c r="J11" i="124" s="1"/>
  <c r="J12" i="124" s="1"/>
  <c r="J13" i="124" s="1"/>
  <c r="J14" i="124" s="1"/>
  <c r="J15" i="124" s="1"/>
  <c r="J16" i="124" s="1"/>
  <c r="J17" i="124" s="1"/>
  <c r="J18" i="124" s="1"/>
  <c r="J19" i="124" s="1"/>
  <c r="J20" i="124" s="1"/>
  <c r="J21" i="124" s="1"/>
  <c r="J22" i="124" s="1"/>
  <c r="J23" i="124" s="1"/>
  <c r="J24" i="124" s="1"/>
  <c r="J25" i="124" s="1"/>
  <c r="J26" i="124" s="1"/>
  <c r="J27" i="124" s="1"/>
  <c r="J28" i="124" s="1"/>
  <c r="J29" i="124" s="1"/>
  <c r="H3" i="124"/>
  <c r="H4" i="124" s="1"/>
  <c r="H5" i="124" s="1"/>
  <c r="H6" i="124" s="1"/>
  <c r="H7" i="124" s="1"/>
  <c r="H8" i="124" s="1"/>
  <c r="H9" i="124" s="1"/>
  <c r="H10" i="124" s="1"/>
  <c r="H11" i="124" s="1"/>
  <c r="H12" i="124" s="1"/>
  <c r="H13" i="124" s="1"/>
  <c r="H14" i="124" s="1"/>
  <c r="H15" i="124" s="1"/>
  <c r="H16" i="124" s="1"/>
  <c r="H17" i="124" s="1"/>
  <c r="H18" i="124" s="1"/>
  <c r="H19" i="124" s="1"/>
  <c r="H20" i="124" s="1"/>
  <c r="H21" i="124" s="1"/>
  <c r="H22" i="124" s="1"/>
  <c r="H23" i="124" s="1"/>
  <c r="H24" i="124" s="1"/>
  <c r="H25" i="124" s="1"/>
  <c r="H26" i="124" s="1"/>
  <c r="H27" i="124" s="1"/>
  <c r="H28" i="124" s="1"/>
  <c r="H29" i="124" s="1"/>
  <c r="B3" i="124"/>
  <c r="B4" i="124" s="1"/>
  <c r="B5" i="124" s="1"/>
  <c r="B6" i="124" s="1"/>
  <c r="B7" i="124" s="1"/>
  <c r="B8" i="124" s="1"/>
  <c r="B9" i="124" s="1"/>
  <c r="B10" i="124" s="1"/>
  <c r="B11" i="124" s="1"/>
  <c r="B12" i="124" s="1"/>
  <c r="B13" i="124" s="1"/>
  <c r="B14" i="124" s="1"/>
  <c r="B15" i="124" s="1"/>
  <c r="B16" i="124" s="1"/>
  <c r="B17" i="124" s="1"/>
  <c r="B18" i="124" s="1"/>
  <c r="B19" i="124" s="1"/>
  <c r="B20" i="124" s="1"/>
  <c r="B21" i="124" s="1"/>
  <c r="B22" i="124" s="1"/>
  <c r="B23" i="124" s="1"/>
  <c r="B24" i="124" s="1"/>
  <c r="B25" i="124" s="1"/>
  <c r="B26" i="124" s="1"/>
  <c r="B27" i="124" s="1"/>
  <c r="B28" i="124" s="1"/>
  <c r="B29" i="124" s="1"/>
  <c r="B30" i="124" s="1"/>
  <c r="B31" i="124" s="1"/>
  <c r="F2" i="124"/>
  <c r="F3" i="124" s="1"/>
  <c r="F4" i="124" s="1"/>
  <c r="F5" i="124" s="1"/>
  <c r="F6" i="124" s="1"/>
  <c r="F7" i="124" s="1"/>
  <c r="F8" i="124" s="1"/>
  <c r="F9" i="124" s="1"/>
  <c r="F10" i="124" s="1"/>
  <c r="F11" i="124" s="1"/>
  <c r="F12" i="124" s="1"/>
  <c r="F13" i="124" s="1"/>
  <c r="F14" i="124" s="1"/>
  <c r="F15" i="124" s="1"/>
  <c r="F16" i="124" s="1"/>
  <c r="F17" i="124" s="1"/>
  <c r="F18" i="124" s="1"/>
  <c r="F19" i="124" s="1"/>
  <c r="F20" i="124" s="1"/>
  <c r="F21" i="124" s="1"/>
  <c r="F22" i="124" s="1"/>
  <c r="F23" i="124" s="1"/>
  <c r="F24" i="124" s="1"/>
  <c r="F25" i="124" s="1"/>
  <c r="F26" i="124" s="1"/>
  <c r="F27" i="124" s="1"/>
  <c r="F28" i="124" s="1"/>
  <c r="F29" i="124" s="1"/>
  <c r="B29" i="123"/>
  <c r="B30" i="123"/>
  <c r="B31" i="123"/>
  <c r="B32" i="123"/>
  <c r="J31" i="123"/>
  <c r="H31" i="123"/>
  <c r="F31" i="123"/>
  <c r="J3" i="123"/>
  <c r="J4" i="123" s="1"/>
  <c r="J5" i="123" s="1"/>
  <c r="J6" i="123" s="1"/>
  <c r="J7" i="123" s="1"/>
  <c r="J8" i="123" s="1"/>
  <c r="J9" i="123" s="1"/>
  <c r="J10" i="123" s="1"/>
  <c r="J11" i="123" s="1"/>
  <c r="J12" i="123" s="1"/>
  <c r="J13" i="123" s="1"/>
  <c r="J14" i="123" s="1"/>
  <c r="J15" i="123" s="1"/>
  <c r="J16" i="123" s="1"/>
  <c r="J17" i="123" s="1"/>
  <c r="J18" i="123" s="1"/>
  <c r="J19" i="123" s="1"/>
  <c r="J20" i="123" s="1"/>
  <c r="J21" i="123" s="1"/>
  <c r="J22" i="123" s="1"/>
  <c r="J23" i="123" s="1"/>
  <c r="J24" i="123" s="1"/>
  <c r="J25" i="123" s="1"/>
  <c r="J26" i="123" s="1"/>
  <c r="J27" i="123" s="1"/>
  <c r="J28" i="123" s="1"/>
  <c r="J29" i="123" s="1"/>
  <c r="J30" i="123" s="1"/>
  <c r="J32" i="123" s="1"/>
  <c r="H3" i="123"/>
  <c r="H4" i="123" s="1"/>
  <c r="H5" i="123" s="1"/>
  <c r="H6" i="123" s="1"/>
  <c r="H7" i="123" s="1"/>
  <c r="H8" i="123" s="1"/>
  <c r="H9" i="123" s="1"/>
  <c r="H10" i="123" s="1"/>
  <c r="H11" i="123" s="1"/>
  <c r="H12" i="123" s="1"/>
  <c r="H13" i="123" s="1"/>
  <c r="H14" i="123" s="1"/>
  <c r="H15" i="123" s="1"/>
  <c r="H16" i="123" s="1"/>
  <c r="H17" i="123" s="1"/>
  <c r="H18" i="123" s="1"/>
  <c r="H19" i="123" s="1"/>
  <c r="H20" i="123" s="1"/>
  <c r="H21" i="123" s="1"/>
  <c r="H22" i="123" s="1"/>
  <c r="H23" i="123" s="1"/>
  <c r="H24" i="123" s="1"/>
  <c r="H25" i="123" s="1"/>
  <c r="H26" i="123" s="1"/>
  <c r="H27" i="123" s="1"/>
  <c r="H28" i="123" s="1"/>
  <c r="H29" i="123" s="1"/>
  <c r="H30" i="123" s="1"/>
  <c r="H32" i="123" s="1"/>
  <c r="B3" i="123"/>
  <c r="B4" i="123" s="1"/>
  <c r="B5" i="123" s="1"/>
  <c r="B6" i="123" s="1"/>
  <c r="B7" i="123" s="1"/>
  <c r="B8" i="123" s="1"/>
  <c r="B9" i="123" s="1"/>
  <c r="B10" i="123" s="1"/>
  <c r="B11" i="123" s="1"/>
  <c r="B12" i="123" s="1"/>
  <c r="B13" i="123" s="1"/>
  <c r="B14" i="123" s="1"/>
  <c r="B15" i="123" s="1"/>
  <c r="B16" i="123" s="1"/>
  <c r="B17" i="123" s="1"/>
  <c r="B18" i="123" s="1"/>
  <c r="B19" i="123" s="1"/>
  <c r="B20" i="123" s="1"/>
  <c r="B21" i="123" s="1"/>
  <c r="B22" i="123" s="1"/>
  <c r="B23" i="123" s="1"/>
  <c r="B24" i="123" s="1"/>
  <c r="B25" i="123" s="1"/>
  <c r="B26" i="123" s="1"/>
  <c r="B27" i="123" s="1"/>
  <c r="B28" i="123" s="1"/>
  <c r="F2" i="123"/>
  <c r="F3" i="123" s="1"/>
  <c r="F4" i="123" s="1"/>
  <c r="F5" i="123" s="1"/>
  <c r="F6" i="123" s="1"/>
  <c r="F7" i="123" s="1"/>
  <c r="F8" i="123" s="1"/>
  <c r="F9" i="123" s="1"/>
  <c r="F10" i="123" s="1"/>
  <c r="F11" i="123" s="1"/>
  <c r="F12" i="123" s="1"/>
  <c r="F13" i="123" s="1"/>
  <c r="F14" i="123" s="1"/>
  <c r="F15" i="123" s="1"/>
  <c r="F16" i="123" s="1"/>
  <c r="F17" i="123" s="1"/>
  <c r="F18" i="123" s="1"/>
  <c r="F19" i="123" s="1"/>
  <c r="F20" i="123" s="1"/>
  <c r="F21" i="123" s="1"/>
  <c r="F22" i="123" s="1"/>
  <c r="F23" i="123" s="1"/>
  <c r="F24" i="123" s="1"/>
  <c r="F25" i="123" s="1"/>
  <c r="F26" i="123" s="1"/>
  <c r="F27" i="123" s="1"/>
  <c r="F28" i="123" s="1"/>
  <c r="F29" i="123" s="1"/>
  <c r="F30" i="123" s="1"/>
  <c r="F32" i="123" s="1"/>
  <c r="J3" i="122"/>
  <c r="J4" i="122" s="1"/>
  <c r="J5" i="122" s="1"/>
  <c r="J6" i="122" s="1"/>
  <c r="J7" i="122" s="1"/>
  <c r="J8" i="122" s="1"/>
  <c r="J9" i="122" s="1"/>
  <c r="J10" i="122" s="1"/>
  <c r="J11" i="122" s="1"/>
  <c r="J12" i="122" s="1"/>
  <c r="J13" i="122" s="1"/>
  <c r="J14" i="122" s="1"/>
  <c r="J15" i="122" s="1"/>
  <c r="J16" i="122" s="1"/>
  <c r="J17" i="122" s="1"/>
  <c r="J18" i="122" s="1"/>
  <c r="J19" i="122" s="1"/>
  <c r="J20" i="122" s="1"/>
  <c r="J21" i="122" s="1"/>
  <c r="J22" i="122" s="1"/>
  <c r="J23" i="122" s="1"/>
  <c r="J24" i="122" s="1"/>
  <c r="J25" i="122" s="1"/>
  <c r="J26" i="122" s="1"/>
  <c r="J27" i="122" s="1"/>
  <c r="J28" i="122" s="1"/>
  <c r="J29" i="122" s="1"/>
  <c r="J30" i="122" s="1"/>
  <c r="J31" i="122" s="1"/>
  <c r="H3" i="122"/>
  <c r="H4" i="122" s="1"/>
  <c r="H5" i="122" s="1"/>
  <c r="H6" i="122" s="1"/>
  <c r="H7" i="122" s="1"/>
  <c r="H8" i="122" s="1"/>
  <c r="H9" i="122" s="1"/>
  <c r="H10" i="122" s="1"/>
  <c r="H11" i="122" s="1"/>
  <c r="H12" i="122" s="1"/>
  <c r="H13" i="122" s="1"/>
  <c r="H14" i="122" s="1"/>
  <c r="H15" i="122" s="1"/>
  <c r="H16" i="122" s="1"/>
  <c r="H17" i="122" s="1"/>
  <c r="H18" i="122" s="1"/>
  <c r="H19" i="122" s="1"/>
  <c r="H20" i="122" s="1"/>
  <c r="H21" i="122" s="1"/>
  <c r="H22" i="122" s="1"/>
  <c r="H23" i="122" s="1"/>
  <c r="H24" i="122" s="1"/>
  <c r="H25" i="122" s="1"/>
  <c r="H26" i="122" s="1"/>
  <c r="H27" i="122" s="1"/>
  <c r="H28" i="122" s="1"/>
  <c r="H29" i="122" s="1"/>
  <c r="H30" i="122" s="1"/>
  <c r="H31" i="122" s="1"/>
  <c r="B3" i="122"/>
  <c r="B4" i="122" s="1"/>
  <c r="B5" i="122" s="1"/>
  <c r="B6" i="122" s="1"/>
  <c r="B7" i="122" s="1"/>
  <c r="B8" i="122" s="1"/>
  <c r="B9" i="122" s="1"/>
  <c r="B10" i="122" s="1"/>
  <c r="B11" i="122" s="1"/>
  <c r="B12" i="122" s="1"/>
  <c r="B13" i="122" s="1"/>
  <c r="B14" i="122" s="1"/>
  <c r="B15" i="122" s="1"/>
  <c r="B16" i="122" s="1"/>
  <c r="B17" i="122" s="1"/>
  <c r="B18" i="122" s="1"/>
  <c r="B19" i="122" s="1"/>
  <c r="B20" i="122" s="1"/>
  <c r="B21" i="122" s="1"/>
  <c r="B22" i="122" s="1"/>
  <c r="B23" i="122" s="1"/>
  <c r="B24" i="122" s="1"/>
  <c r="B25" i="122" s="1"/>
  <c r="B26" i="122" s="1"/>
  <c r="B27" i="122" s="1"/>
  <c r="B28" i="122" s="1"/>
  <c r="B29" i="122" s="1"/>
  <c r="B30" i="122" s="1"/>
  <c r="B31" i="122" s="1"/>
  <c r="F2" i="122"/>
  <c r="F3" i="122" s="1"/>
  <c r="F4" i="122" s="1"/>
  <c r="F5" i="122" s="1"/>
  <c r="F6" i="122" s="1"/>
  <c r="F7" i="122" s="1"/>
  <c r="F8" i="122" s="1"/>
  <c r="F9" i="122" s="1"/>
  <c r="F10" i="122" s="1"/>
  <c r="F11" i="122" s="1"/>
  <c r="F12" i="122" s="1"/>
  <c r="F13" i="122" s="1"/>
  <c r="F14" i="122" s="1"/>
  <c r="F15" i="122" s="1"/>
  <c r="F16" i="122" s="1"/>
  <c r="F17" i="122" s="1"/>
  <c r="F18" i="122" s="1"/>
  <c r="F19" i="122" s="1"/>
  <c r="F20" i="122" s="1"/>
  <c r="F21" i="122" s="1"/>
  <c r="F22" i="122" s="1"/>
  <c r="F23" i="122" s="1"/>
  <c r="F24" i="122" s="1"/>
  <c r="F25" i="122" s="1"/>
  <c r="F26" i="122" s="1"/>
  <c r="F27" i="122" s="1"/>
  <c r="F28" i="122" s="1"/>
  <c r="F29" i="122" s="1"/>
  <c r="F30" i="122" s="1"/>
  <c r="F31" i="122" s="1"/>
  <c r="J3" i="121"/>
  <c r="J4" i="121" s="1"/>
  <c r="J5" i="121" s="1"/>
  <c r="J6" i="121" s="1"/>
  <c r="J7" i="121" s="1"/>
  <c r="J8" i="121" s="1"/>
  <c r="J9" i="121" s="1"/>
  <c r="J10" i="121" s="1"/>
  <c r="J11" i="121" s="1"/>
  <c r="J12" i="121" s="1"/>
  <c r="J13" i="121" s="1"/>
  <c r="J14" i="121" s="1"/>
  <c r="J15" i="121" s="1"/>
  <c r="J16" i="121" s="1"/>
  <c r="J17" i="121" s="1"/>
  <c r="J18" i="121" s="1"/>
  <c r="J19" i="121" s="1"/>
  <c r="J20" i="121" s="1"/>
  <c r="J21" i="121" s="1"/>
  <c r="J22" i="121" s="1"/>
  <c r="J23" i="121" s="1"/>
  <c r="J24" i="121" s="1"/>
  <c r="J25" i="121" s="1"/>
  <c r="J26" i="121" s="1"/>
  <c r="J27" i="121" s="1"/>
  <c r="J28" i="121" s="1"/>
  <c r="J29" i="121" s="1"/>
  <c r="J30" i="121" s="1"/>
  <c r="J31" i="121" s="1"/>
  <c r="J32" i="121" s="1"/>
  <c r="H3" i="121"/>
  <c r="H4" i="121" s="1"/>
  <c r="H5" i="121" s="1"/>
  <c r="H6" i="121" s="1"/>
  <c r="H7" i="121" s="1"/>
  <c r="H8" i="121" s="1"/>
  <c r="H9" i="121" s="1"/>
  <c r="H10" i="121" s="1"/>
  <c r="H11" i="121" s="1"/>
  <c r="H12" i="121" s="1"/>
  <c r="H13" i="121" s="1"/>
  <c r="H14" i="121" s="1"/>
  <c r="H15" i="121" s="1"/>
  <c r="H16" i="121" s="1"/>
  <c r="H17" i="121" s="1"/>
  <c r="H18" i="121" s="1"/>
  <c r="H19" i="121" s="1"/>
  <c r="H20" i="121" s="1"/>
  <c r="H21" i="121" s="1"/>
  <c r="H22" i="121" s="1"/>
  <c r="H23" i="121" s="1"/>
  <c r="H24" i="121" s="1"/>
  <c r="H25" i="121" s="1"/>
  <c r="H26" i="121" s="1"/>
  <c r="H27" i="121" s="1"/>
  <c r="H28" i="121" s="1"/>
  <c r="H29" i="121" s="1"/>
  <c r="H30" i="121" s="1"/>
  <c r="H31" i="121" s="1"/>
  <c r="H32" i="121" s="1"/>
  <c r="B3" i="121"/>
  <c r="B4" i="121" s="1"/>
  <c r="B5" i="121" s="1"/>
  <c r="B6" i="121" s="1"/>
  <c r="B7" i="121" s="1"/>
  <c r="B8" i="121" s="1"/>
  <c r="B9" i="121" s="1"/>
  <c r="B10" i="121" s="1"/>
  <c r="B11" i="121" s="1"/>
  <c r="B12" i="121" s="1"/>
  <c r="B13" i="121" s="1"/>
  <c r="B14" i="121" s="1"/>
  <c r="B15" i="121" s="1"/>
  <c r="B16" i="121" s="1"/>
  <c r="B17" i="121" s="1"/>
  <c r="B18" i="121" s="1"/>
  <c r="B19" i="121" s="1"/>
  <c r="B20" i="121" s="1"/>
  <c r="B21" i="121" s="1"/>
  <c r="B22" i="121" s="1"/>
  <c r="B23" i="121" s="1"/>
  <c r="B24" i="121" s="1"/>
  <c r="B25" i="121" s="1"/>
  <c r="B26" i="121" s="1"/>
  <c r="B27" i="121" s="1"/>
  <c r="B28" i="121" s="1"/>
  <c r="B29" i="121" s="1"/>
  <c r="B30" i="121" s="1"/>
  <c r="B31" i="121" s="1"/>
  <c r="B32" i="121" s="1"/>
  <c r="F2" i="121"/>
  <c r="F3" i="121" s="1"/>
  <c r="F4" i="121" s="1"/>
  <c r="F5" i="121" s="1"/>
  <c r="F6" i="121" s="1"/>
  <c r="F7" i="121" s="1"/>
  <c r="F8" i="121" s="1"/>
  <c r="F9" i="121" s="1"/>
  <c r="F10" i="121" s="1"/>
  <c r="F11" i="121" s="1"/>
  <c r="F12" i="121" s="1"/>
  <c r="F13" i="121" s="1"/>
  <c r="F14" i="121" s="1"/>
  <c r="F15" i="121" s="1"/>
  <c r="F16" i="121" s="1"/>
  <c r="F17" i="121" s="1"/>
  <c r="F18" i="121" s="1"/>
  <c r="F19" i="121" s="1"/>
  <c r="F20" i="121" s="1"/>
  <c r="F21" i="121" s="1"/>
  <c r="F22" i="121" s="1"/>
  <c r="F23" i="121" s="1"/>
  <c r="F24" i="121" s="1"/>
  <c r="F25" i="121" s="1"/>
  <c r="F26" i="121" s="1"/>
  <c r="F27" i="121" s="1"/>
  <c r="F28" i="121" s="1"/>
  <c r="F29" i="121" s="1"/>
  <c r="F30" i="121" s="1"/>
  <c r="F31" i="121" s="1"/>
  <c r="F32" i="121" s="1"/>
  <c r="J3" i="120"/>
  <c r="J4" i="120" s="1"/>
  <c r="J5" i="120" s="1"/>
  <c r="J6" i="120" s="1"/>
  <c r="J7" i="120" s="1"/>
  <c r="J8" i="120" s="1"/>
  <c r="J9" i="120" s="1"/>
  <c r="J10" i="120" s="1"/>
  <c r="J11" i="120" s="1"/>
  <c r="J12" i="120" s="1"/>
  <c r="J13" i="120" s="1"/>
  <c r="J14" i="120" s="1"/>
  <c r="J15" i="120" s="1"/>
  <c r="J16" i="120" s="1"/>
  <c r="J17" i="120" s="1"/>
  <c r="J18" i="120" s="1"/>
  <c r="J19" i="120" s="1"/>
  <c r="J20" i="120" s="1"/>
  <c r="J21" i="120" s="1"/>
  <c r="J22" i="120" s="1"/>
  <c r="J23" i="120" s="1"/>
  <c r="J24" i="120" s="1"/>
  <c r="J25" i="120" s="1"/>
  <c r="J26" i="120" s="1"/>
  <c r="J27" i="120" s="1"/>
  <c r="J28" i="120" s="1"/>
  <c r="J29" i="120" s="1"/>
  <c r="J30" i="120" s="1"/>
  <c r="J31" i="120" s="1"/>
  <c r="J32" i="120" s="1"/>
  <c r="H3" i="120"/>
  <c r="H4" i="120" s="1"/>
  <c r="H5" i="120" s="1"/>
  <c r="H6" i="120" s="1"/>
  <c r="H7" i="120" s="1"/>
  <c r="H8" i="120" s="1"/>
  <c r="H9" i="120" s="1"/>
  <c r="H10" i="120" s="1"/>
  <c r="H11" i="120" s="1"/>
  <c r="H12" i="120" s="1"/>
  <c r="H13" i="120" s="1"/>
  <c r="H14" i="120" s="1"/>
  <c r="H15" i="120" s="1"/>
  <c r="H16" i="120" s="1"/>
  <c r="H17" i="120" s="1"/>
  <c r="H18" i="120" s="1"/>
  <c r="H19" i="120" s="1"/>
  <c r="H20" i="120" s="1"/>
  <c r="H21" i="120" s="1"/>
  <c r="H22" i="120" s="1"/>
  <c r="H23" i="120" s="1"/>
  <c r="H24" i="120" s="1"/>
  <c r="H25" i="120" s="1"/>
  <c r="H26" i="120" s="1"/>
  <c r="H27" i="120" s="1"/>
  <c r="H28" i="120" s="1"/>
  <c r="H29" i="120" s="1"/>
  <c r="H30" i="120" s="1"/>
  <c r="H31" i="120" s="1"/>
  <c r="H32" i="120" s="1"/>
  <c r="B3" i="120"/>
  <c r="B4" i="120" s="1"/>
  <c r="B5" i="120" s="1"/>
  <c r="B6" i="120" s="1"/>
  <c r="B7" i="120" s="1"/>
  <c r="B8" i="120" s="1"/>
  <c r="B9" i="120" s="1"/>
  <c r="B10" i="120" s="1"/>
  <c r="B11" i="120" s="1"/>
  <c r="B12" i="120" s="1"/>
  <c r="B13" i="120" s="1"/>
  <c r="B14" i="120" s="1"/>
  <c r="B15" i="120" s="1"/>
  <c r="B16" i="120" s="1"/>
  <c r="B17" i="120" s="1"/>
  <c r="B18" i="120" s="1"/>
  <c r="B19" i="120" s="1"/>
  <c r="B20" i="120" s="1"/>
  <c r="B21" i="120" s="1"/>
  <c r="B22" i="120" s="1"/>
  <c r="B23" i="120" s="1"/>
  <c r="B24" i="120" s="1"/>
  <c r="B25" i="120" s="1"/>
  <c r="B26" i="120" s="1"/>
  <c r="B27" i="120" s="1"/>
  <c r="B28" i="120" s="1"/>
  <c r="B29" i="120" s="1"/>
  <c r="B30" i="120" s="1"/>
  <c r="B31" i="120" s="1"/>
  <c r="B32" i="120" s="1"/>
  <c r="F2" i="120"/>
  <c r="F3" i="120" s="1"/>
  <c r="F4" i="120" s="1"/>
  <c r="F5" i="120" s="1"/>
  <c r="F6" i="120" s="1"/>
  <c r="F7" i="120" s="1"/>
  <c r="F8" i="120" s="1"/>
  <c r="F9" i="120" s="1"/>
  <c r="F10" i="120" s="1"/>
  <c r="F11" i="120" s="1"/>
  <c r="F12" i="120" s="1"/>
  <c r="F13" i="120" s="1"/>
  <c r="F14" i="120" s="1"/>
  <c r="F15" i="120" s="1"/>
  <c r="F16" i="120" s="1"/>
  <c r="F17" i="120" s="1"/>
  <c r="F18" i="120" s="1"/>
  <c r="F19" i="120" s="1"/>
  <c r="F20" i="120" s="1"/>
  <c r="F21" i="120" s="1"/>
  <c r="F22" i="120" s="1"/>
  <c r="F23" i="120" s="1"/>
  <c r="F24" i="120" s="1"/>
  <c r="F25" i="120" s="1"/>
  <c r="F26" i="120" s="1"/>
  <c r="F27" i="120" s="1"/>
  <c r="F28" i="120" s="1"/>
  <c r="F29" i="120" s="1"/>
  <c r="F30" i="120" s="1"/>
  <c r="F31" i="120" s="1"/>
  <c r="F32" i="120" s="1"/>
  <c r="N134" i="119"/>
  <c r="P133" i="119"/>
  <c r="M133" i="119"/>
  <c r="O133" i="119" s="1"/>
  <c r="P132" i="119"/>
  <c r="M132" i="119"/>
  <c r="O132" i="119" s="1"/>
  <c r="P131" i="119"/>
  <c r="M131" i="119"/>
  <c r="O131" i="119" s="1"/>
  <c r="P130" i="119"/>
  <c r="M130" i="119"/>
  <c r="O130" i="119" s="1"/>
  <c r="P129" i="119"/>
  <c r="M129" i="119"/>
  <c r="O129" i="119" s="1"/>
  <c r="P128" i="119"/>
  <c r="M128" i="119"/>
  <c r="O128" i="119" s="1"/>
  <c r="P127" i="119"/>
  <c r="M127" i="119"/>
  <c r="O127" i="119" s="1"/>
  <c r="P126" i="119"/>
  <c r="M126" i="119"/>
  <c r="O126" i="119" s="1"/>
  <c r="P125" i="119"/>
  <c r="M125" i="119"/>
  <c r="O125" i="119" s="1"/>
  <c r="P124" i="119"/>
  <c r="M124" i="119"/>
  <c r="O124" i="119" s="1"/>
  <c r="P123" i="119"/>
  <c r="M123" i="119"/>
  <c r="O123" i="119" s="1"/>
  <c r="P122" i="119"/>
  <c r="M122" i="119"/>
  <c r="O122" i="119" s="1"/>
  <c r="P121" i="119"/>
  <c r="M121" i="119"/>
  <c r="O121" i="119" s="1"/>
  <c r="P120" i="119"/>
  <c r="M120" i="119"/>
  <c r="O120" i="119" s="1"/>
  <c r="P119" i="119"/>
  <c r="M119" i="119"/>
  <c r="O119" i="119" s="1"/>
  <c r="P118" i="119"/>
  <c r="M118" i="119"/>
  <c r="O118" i="119" s="1"/>
  <c r="P117" i="119"/>
  <c r="M117" i="119"/>
  <c r="O117" i="119" s="1"/>
  <c r="M116" i="119"/>
  <c r="O116" i="119" s="1"/>
  <c r="P116" i="119" s="1"/>
  <c r="M115" i="119"/>
  <c r="O115" i="119" s="1"/>
  <c r="P115" i="119" s="1"/>
  <c r="M114" i="119"/>
  <c r="O114" i="119" s="1"/>
  <c r="P114" i="119" s="1"/>
  <c r="M113" i="119"/>
  <c r="O113" i="119" s="1"/>
  <c r="P113" i="119" s="1"/>
  <c r="M112" i="119"/>
  <c r="O112" i="119" s="1"/>
  <c r="P112" i="119" s="1"/>
  <c r="M111" i="119"/>
  <c r="O111" i="119" s="1"/>
  <c r="P111" i="119" s="1"/>
  <c r="M110" i="119"/>
  <c r="O110" i="119" s="1"/>
  <c r="P110" i="119" s="1"/>
  <c r="M109" i="119"/>
  <c r="O109" i="119" s="1"/>
  <c r="P109" i="119" s="1"/>
  <c r="M108" i="119"/>
  <c r="O108" i="119" s="1"/>
  <c r="P108" i="119" s="1"/>
  <c r="M107" i="119"/>
  <c r="O107" i="119" s="1"/>
  <c r="P107" i="119" s="1"/>
  <c r="M106" i="119"/>
  <c r="O106" i="119" s="1"/>
  <c r="P106" i="119" s="1"/>
  <c r="M105" i="119"/>
  <c r="O105" i="119" s="1"/>
  <c r="P105" i="119" s="1"/>
  <c r="M104" i="119"/>
  <c r="O104" i="119" s="1"/>
  <c r="P104" i="119" s="1"/>
  <c r="M103" i="119"/>
  <c r="N83" i="119"/>
  <c r="G83" i="119"/>
  <c r="E83" i="119"/>
  <c r="P82" i="119"/>
  <c r="M82" i="119"/>
  <c r="O82" i="119" s="1"/>
  <c r="D82" i="119"/>
  <c r="P81" i="119"/>
  <c r="M81" i="119"/>
  <c r="O81" i="119" s="1"/>
  <c r="D81" i="119"/>
  <c r="F81" i="119" s="1"/>
  <c r="P80" i="119"/>
  <c r="M80" i="119"/>
  <c r="O80" i="119" s="1"/>
  <c r="D80" i="119"/>
  <c r="F80" i="119" s="1"/>
  <c r="P79" i="119"/>
  <c r="M79" i="119"/>
  <c r="O79" i="119" s="1"/>
  <c r="D79" i="119"/>
  <c r="P78" i="119"/>
  <c r="M78" i="119"/>
  <c r="O78" i="119" s="1"/>
  <c r="D78" i="119"/>
  <c r="P77" i="119"/>
  <c r="M77" i="119"/>
  <c r="O77" i="119" s="1"/>
  <c r="D77" i="119"/>
  <c r="P76" i="119"/>
  <c r="M76" i="119"/>
  <c r="O76" i="119" s="1"/>
  <c r="D76" i="119"/>
  <c r="P75" i="119"/>
  <c r="M75" i="119"/>
  <c r="O75" i="119" s="1"/>
  <c r="D75" i="119"/>
  <c r="F75" i="119" s="1"/>
  <c r="P74" i="119"/>
  <c r="M74" i="119"/>
  <c r="O74" i="119" s="1"/>
  <c r="D74" i="119"/>
  <c r="P73" i="119"/>
  <c r="M73" i="119"/>
  <c r="O73" i="119" s="1"/>
  <c r="D73" i="119"/>
  <c r="F73" i="119" s="1"/>
  <c r="P72" i="119"/>
  <c r="M72" i="119"/>
  <c r="O72" i="119" s="1"/>
  <c r="D72" i="119"/>
  <c r="F72" i="119" s="1"/>
  <c r="P71" i="119"/>
  <c r="M71" i="119"/>
  <c r="O71" i="119" s="1"/>
  <c r="D71" i="119"/>
  <c r="P70" i="119"/>
  <c r="M70" i="119"/>
  <c r="O70" i="119" s="1"/>
  <c r="D70" i="119"/>
  <c r="P69" i="119"/>
  <c r="M69" i="119"/>
  <c r="O69" i="119" s="1"/>
  <c r="D69" i="119"/>
  <c r="P68" i="119"/>
  <c r="M68" i="119"/>
  <c r="O68" i="119" s="1"/>
  <c r="D68" i="119"/>
  <c r="P67" i="119"/>
  <c r="M67" i="119"/>
  <c r="O67" i="119" s="1"/>
  <c r="D67" i="119"/>
  <c r="F67" i="119" s="1"/>
  <c r="P66" i="119"/>
  <c r="M66" i="119"/>
  <c r="O66" i="119" s="1"/>
  <c r="M65" i="119"/>
  <c r="O65" i="119" s="1"/>
  <c r="P65" i="119" s="1"/>
  <c r="D65" i="119"/>
  <c r="M64" i="119"/>
  <c r="O64" i="119" s="1"/>
  <c r="P64" i="119" s="1"/>
  <c r="D64" i="119"/>
  <c r="M63" i="119"/>
  <c r="O63" i="119" s="1"/>
  <c r="P63" i="119" s="1"/>
  <c r="D63" i="119"/>
  <c r="M62" i="119"/>
  <c r="O62" i="119" s="1"/>
  <c r="P62" i="119" s="1"/>
  <c r="D62" i="119"/>
  <c r="M61" i="119"/>
  <c r="O61" i="119" s="1"/>
  <c r="P61" i="119" s="1"/>
  <c r="D61" i="119"/>
  <c r="M60" i="119"/>
  <c r="O60" i="119" s="1"/>
  <c r="P60" i="119" s="1"/>
  <c r="D60" i="119"/>
  <c r="M59" i="119"/>
  <c r="O59" i="119" s="1"/>
  <c r="P59" i="119" s="1"/>
  <c r="D59" i="119"/>
  <c r="M58" i="119"/>
  <c r="O58" i="119" s="1"/>
  <c r="P58" i="119" s="1"/>
  <c r="D58" i="119"/>
  <c r="M57" i="119"/>
  <c r="O57" i="119" s="1"/>
  <c r="P57" i="119" s="1"/>
  <c r="D57" i="119"/>
  <c r="M56" i="119"/>
  <c r="O56" i="119" s="1"/>
  <c r="P56" i="119" s="1"/>
  <c r="D56" i="119"/>
  <c r="M55" i="119"/>
  <c r="O55" i="119" s="1"/>
  <c r="P55" i="119" s="1"/>
  <c r="D55" i="119"/>
  <c r="M54" i="119"/>
  <c r="O54" i="119" s="1"/>
  <c r="P54" i="119" s="1"/>
  <c r="D54" i="119"/>
  <c r="M53" i="119"/>
  <c r="D53" i="119"/>
  <c r="M52" i="119"/>
  <c r="O52" i="119" s="1"/>
  <c r="P52" i="119" s="1"/>
  <c r="D52" i="119"/>
  <c r="N41" i="119"/>
  <c r="F41" i="119"/>
  <c r="P40" i="119"/>
  <c r="M40" i="119"/>
  <c r="O40" i="119" s="1"/>
  <c r="E40" i="119"/>
  <c r="D40" i="119"/>
  <c r="G40" i="119" s="1"/>
  <c r="P39" i="119"/>
  <c r="M39" i="119"/>
  <c r="E39" i="119"/>
  <c r="D39" i="119"/>
  <c r="G39" i="119" s="1"/>
  <c r="P38" i="119"/>
  <c r="M38" i="119"/>
  <c r="E38" i="119"/>
  <c r="D38" i="119"/>
  <c r="P37" i="119"/>
  <c r="M37" i="119"/>
  <c r="E37" i="119"/>
  <c r="D37" i="119"/>
  <c r="P36" i="119"/>
  <c r="M36" i="119"/>
  <c r="O36" i="119" s="1"/>
  <c r="E36" i="119"/>
  <c r="D36" i="119"/>
  <c r="G36" i="119" s="1"/>
  <c r="P35" i="119"/>
  <c r="M35" i="119"/>
  <c r="E35" i="119"/>
  <c r="D35" i="119"/>
  <c r="G35" i="119" s="1"/>
  <c r="P34" i="119"/>
  <c r="M34" i="119"/>
  <c r="E34" i="119"/>
  <c r="D34" i="119"/>
  <c r="P33" i="119"/>
  <c r="M33" i="119"/>
  <c r="E33" i="119"/>
  <c r="D33" i="119"/>
  <c r="P32" i="119"/>
  <c r="M32" i="119"/>
  <c r="O32" i="119" s="1"/>
  <c r="E32" i="119"/>
  <c r="D32" i="119"/>
  <c r="G32" i="119" s="1"/>
  <c r="P31" i="119"/>
  <c r="M31" i="119"/>
  <c r="E31" i="119"/>
  <c r="D31" i="119"/>
  <c r="G31" i="119" s="1"/>
  <c r="P30" i="119"/>
  <c r="M30" i="119"/>
  <c r="E30" i="119"/>
  <c r="D30" i="119"/>
  <c r="P29" i="119"/>
  <c r="M29" i="119"/>
  <c r="E29" i="119"/>
  <c r="D29" i="119"/>
  <c r="P28" i="119"/>
  <c r="M28" i="119"/>
  <c r="O28" i="119" s="1"/>
  <c r="E28" i="119"/>
  <c r="D28" i="119"/>
  <c r="G28" i="119" s="1"/>
  <c r="P27" i="119"/>
  <c r="M27" i="119"/>
  <c r="E27" i="119"/>
  <c r="D27" i="119"/>
  <c r="G27" i="119" s="1"/>
  <c r="P26" i="119"/>
  <c r="M26" i="119"/>
  <c r="E26" i="119"/>
  <c r="D26" i="119"/>
  <c r="P25" i="119"/>
  <c r="M25" i="119"/>
  <c r="E25" i="119"/>
  <c r="D25" i="119"/>
  <c r="P24" i="119"/>
  <c r="M24" i="119"/>
  <c r="O24" i="119" s="1"/>
  <c r="E24" i="119"/>
  <c r="D24" i="119"/>
  <c r="G24" i="119" s="1"/>
  <c r="M23" i="119"/>
  <c r="E23" i="119"/>
  <c r="D23" i="119"/>
  <c r="M22" i="119"/>
  <c r="E22" i="119"/>
  <c r="D22" i="119"/>
  <c r="M21" i="119"/>
  <c r="E21" i="119"/>
  <c r="D21" i="119"/>
  <c r="M20" i="119"/>
  <c r="E20" i="119"/>
  <c r="D20" i="119"/>
  <c r="G20" i="119" s="1"/>
  <c r="M19" i="119"/>
  <c r="E19" i="119"/>
  <c r="D19" i="119"/>
  <c r="G19" i="119" s="1"/>
  <c r="M18" i="119"/>
  <c r="E18" i="119"/>
  <c r="D18" i="119"/>
  <c r="M17" i="119"/>
  <c r="O17" i="119" s="1"/>
  <c r="P17" i="119" s="1"/>
  <c r="E17" i="119"/>
  <c r="D17" i="119"/>
  <c r="M16" i="119"/>
  <c r="E16" i="119"/>
  <c r="D16" i="119"/>
  <c r="M15" i="119"/>
  <c r="E15" i="119"/>
  <c r="D15" i="119"/>
  <c r="M14" i="119"/>
  <c r="E14" i="119"/>
  <c r="D14" i="119"/>
  <c r="M13" i="119"/>
  <c r="E13" i="119"/>
  <c r="D13" i="119"/>
  <c r="M12" i="119"/>
  <c r="E12" i="119"/>
  <c r="D12" i="119"/>
  <c r="M11" i="119"/>
  <c r="E11" i="119"/>
  <c r="D11" i="119"/>
  <c r="M10" i="119"/>
  <c r="E10" i="119"/>
  <c r="D10" i="119"/>
  <c r="S9" i="119"/>
  <c r="F32" i="125" l="1"/>
  <c r="F30" i="125"/>
  <c r="H32" i="125"/>
  <c r="H30" i="125"/>
  <c r="J32" i="125"/>
  <c r="J30" i="125"/>
  <c r="F31" i="124"/>
  <c r="F30" i="124"/>
  <c r="H31" i="124"/>
  <c r="H30" i="124"/>
  <c r="J31" i="124"/>
  <c r="J30" i="124"/>
  <c r="G11" i="119"/>
  <c r="G12" i="119"/>
  <c r="O16" i="119"/>
  <c r="P16" i="119" s="1"/>
  <c r="G23" i="119"/>
  <c r="F57" i="119"/>
  <c r="F62" i="119"/>
  <c r="F64" i="119"/>
  <c r="G13" i="119"/>
  <c r="O19" i="119"/>
  <c r="P19" i="119" s="1"/>
  <c r="O27" i="119"/>
  <c r="G29" i="119"/>
  <c r="G37" i="119"/>
  <c r="O39" i="119"/>
  <c r="F58" i="119"/>
  <c r="M134" i="119"/>
  <c r="O134" i="119" s="1"/>
  <c r="P134" i="119" s="1"/>
  <c r="O10" i="119"/>
  <c r="P10" i="119" s="1"/>
  <c r="O11" i="119"/>
  <c r="P11" i="119" s="1"/>
  <c r="G15" i="119"/>
  <c r="G16" i="119"/>
  <c r="G18" i="119"/>
  <c r="G21" i="119"/>
  <c r="F52" i="119"/>
  <c r="F74" i="119"/>
  <c r="F82" i="119"/>
  <c r="O12" i="119"/>
  <c r="P12" i="119" s="1"/>
  <c r="O13" i="119"/>
  <c r="P13" i="119" s="1"/>
  <c r="O14" i="119"/>
  <c r="P14" i="119" s="1"/>
  <c r="O15" i="119"/>
  <c r="P15" i="119" s="1"/>
  <c r="G22" i="119"/>
  <c r="O25" i="119"/>
  <c r="O26" i="119"/>
  <c r="O29" i="119"/>
  <c r="O30" i="119"/>
  <c r="O33" i="119"/>
  <c r="O34" i="119"/>
  <c r="O37" i="119"/>
  <c r="O38" i="119"/>
  <c r="M83" i="119"/>
  <c r="O83" i="119" s="1"/>
  <c r="F59" i="119"/>
  <c r="F63" i="119"/>
  <c r="F65" i="119"/>
  <c r="D41" i="119"/>
  <c r="O18" i="119"/>
  <c r="P18" i="119" s="1"/>
  <c r="G25" i="119"/>
  <c r="O31" i="119"/>
  <c r="G33" i="119"/>
  <c r="O35" i="119"/>
  <c r="F55" i="119"/>
  <c r="E41" i="119"/>
  <c r="G14" i="119"/>
  <c r="G17" i="119"/>
  <c r="O20" i="119"/>
  <c r="P20" i="119" s="1"/>
  <c r="O21" i="119"/>
  <c r="P21" i="119" s="1"/>
  <c r="O22" i="119"/>
  <c r="P22" i="119" s="1"/>
  <c r="O23" i="119"/>
  <c r="P23" i="119" s="1"/>
  <c r="G26" i="119"/>
  <c r="G30" i="119"/>
  <c r="G34" i="119"/>
  <c r="G38" i="119"/>
  <c r="F54" i="119"/>
  <c r="F56" i="119"/>
  <c r="F60" i="119"/>
  <c r="F61" i="119"/>
  <c r="F68" i="119"/>
  <c r="F69" i="119"/>
  <c r="F70" i="119"/>
  <c r="F71" i="119"/>
  <c r="F76" i="119"/>
  <c r="F77" i="119"/>
  <c r="F78" i="119"/>
  <c r="F79" i="119"/>
  <c r="O103" i="119"/>
  <c r="P103" i="119" s="1"/>
  <c r="P83" i="119"/>
  <c r="M41" i="119"/>
  <c r="O41" i="119" s="1"/>
  <c r="P41" i="119" s="1"/>
  <c r="G10" i="119"/>
  <c r="O53" i="119"/>
  <c r="P53" i="119" s="1"/>
  <c r="F53" i="119"/>
  <c r="D66" i="119"/>
  <c r="G41" i="119" l="1"/>
  <c r="H41" i="119" s="1"/>
  <c r="F66" i="119"/>
  <c r="F83" i="119" s="1"/>
  <c r="D83" i="119"/>
</calcChain>
</file>

<file path=xl/sharedStrings.xml><?xml version="1.0" encoding="utf-8"?>
<sst xmlns="http://schemas.openxmlformats.org/spreadsheetml/2006/main" count="574" uniqueCount="51">
  <si>
    <t>DAILY ENERGY CONSUMPTION</t>
  </si>
  <si>
    <t>For the month July 2021</t>
  </si>
  <si>
    <t>For the month of July 2021.</t>
  </si>
  <si>
    <t>Meter A</t>
  </si>
  <si>
    <t>Meter B</t>
  </si>
  <si>
    <t>Meter A # 1182080412-8  Meter B # 12089312810</t>
  </si>
  <si>
    <t>end of last month reading</t>
  </si>
  <si>
    <t>Meter # 615942</t>
  </si>
  <si>
    <t>unit cost</t>
  </si>
  <si>
    <t>Area- Serves whole building</t>
  </si>
  <si>
    <t>Area: Plant for Hot water boilers, steam boiler.</t>
  </si>
  <si>
    <t>ELECTRICITY</t>
  </si>
  <si>
    <t>GAS HP</t>
  </si>
  <si>
    <t>date</t>
  </si>
  <si>
    <t>Reading "A"</t>
  </si>
  <si>
    <t>Reading "B"</t>
  </si>
  <si>
    <t>Meter A kwh ( x 600)</t>
  </si>
  <si>
    <t>Meter B kwh  ( x 600)</t>
  </si>
  <si>
    <t>rooms occ</t>
  </si>
  <si>
    <t>cost/day</t>
  </si>
  <si>
    <t>cost /occ room</t>
  </si>
  <si>
    <t>remarks</t>
  </si>
  <si>
    <t>meter reading</t>
  </si>
  <si>
    <t xml:space="preserve">therms consumption </t>
  </si>
  <si>
    <t>Total</t>
  </si>
  <si>
    <t>Meter #  16096382A</t>
  </si>
  <si>
    <t>Meter #   174863</t>
  </si>
  <si>
    <t>BYPASS METER# 16096382B</t>
  </si>
  <si>
    <t>Area</t>
  </si>
  <si>
    <t>Area: Fire pits,Kitchens,BSDC,Laundry</t>
  </si>
  <si>
    <t>WATER</t>
  </si>
  <si>
    <t>GAS LP</t>
  </si>
  <si>
    <t>meter reading "A"</t>
  </si>
  <si>
    <t>meter reading "B"</t>
  </si>
  <si>
    <t>CCF consumption</t>
  </si>
  <si>
    <t>For the month of July 2021</t>
  </si>
  <si>
    <t>Meter #  Z43884</t>
  </si>
  <si>
    <t>Area: West Wing Gas Heaters ( hot water guest rooms)</t>
  </si>
  <si>
    <t>GAS West Wing</t>
  </si>
  <si>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</si>
  <si>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</si>
  <si>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</si>
  <si>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</si>
  <si>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</si>
  <si>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</si>
  <si>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</si>
  <si>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</si>
  <si>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</si>
  <si>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</si>
  <si>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</si>
  <si>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Washington 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</si>
</sst>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0.0000"/>
  </numFmts>
  <fonts count="12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</font>
    <font>
      <b/>
      <sz val="12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3">
    <xf numFmtId="0" fontId="0" fillId="0" borderId="0"/>
    <xf numFmtId="164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5" fillId="0" borderId="0"/>
    <xf numFmtId="0" fontId="2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" fillId="0" borderId="0"/>
    <xf numFmtId="44" fontId="9" fillId="0" borderId="0" applyFont="0" applyFill="0" applyBorder="0" applyAlignment="0" applyProtection="0"/>
  </cellStyleXfs>
  <cellXfs count="107">
    <xf numFmtId="0" fontId="0" fillId="0" borderId="0" xfId="0"/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7" fillId="0" borderId="1" xfId="0" applyNumberFormat="1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44" fontId="0" fillId="0" borderId="0" xfId="12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11" fillId="2" borderId="6" xfId="0" applyFont="1" applyFill="1" applyBorder="1" applyAlignment="1">
      <alignment vertical="top"/>
    </xf>
    <xf numFmtId="0" fontId="11" fillId="2" borderId="0" xfId="0" applyFont="1" applyFill="1" applyAlignment="1">
      <alignment vertical="top"/>
    </xf>
    <xf numFmtId="0" fontId="11" fillId="0" borderId="0" xfId="0" applyFont="1" applyAlignment="1">
      <alignment vertical="top"/>
    </xf>
    <xf numFmtId="0" fontId="11" fillId="3" borderId="3" xfId="0" applyFont="1" applyFill="1" applyBorder="1" applyAlignment="1">
      <alignment horizontal="center"/>
    </xf>
    <xf numFmtId="0" fontId="11" fillId="3" borderId="5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0" fillId="2" borderId="0" xfId="0" applyFill="1" applyAlignment="1">
      <alignment horizontal="center"/>
    </xf>
    <xf numFmtId="0" fontId="11" fillId="3" borderId="8" xfId="0" applyFont="1" applyFill="1" applyBorder="1" applyAlignment="1">
      <alignment horizontal="center" vertical="top"/>
    </xf>
    <xf numFmtId="0" fontId="11" fillId="3" borderId="9" xfId="0" applyFont="1" applyFill="1" applyBorder="1" applyAlignment="1">
      <alignment horizontal="center"/>
    </xf>
    <xf numFmtId="0" fontId="11" fillId="2" borderId="10" xfId="0" applyFont="1" applyFill="1" applyBorder="1" applyAlignment="1">
      <alignment vertical="top"/>
    </xf>
    <xf numFmtId="0" fontId="11" fillId="4" borderId="0" xfId="0" applyFont="1" applyFill="1" applyAlignment="1">
      <alignment horizontal="center"/>
    </xf>
    <xf numFmtId="0" fontId="0" fillId="0" borderId="6" xfId="0" applyBorder="1"/>
    <xf numFmtId="0" fontId="0" fillId="4" borderId="0" xfId="0" applyFill="1" applyAlignment="1">
      <alignment horizontal="center"/>
    </xf>
    <xf numFmtId="0" fontId="11" fillId="0" borderId="6" xfId="0" applyFont="1" applyBorder="1" applyAlignment="1">
      <alignment horizontal="center"/>
    </xf>
    <xf numFmtId="0" fontId="11" fillId="0" borderId="6" xfId="0" applyFont="1" applyBorder="1" applyAlignment="1">
      <alignment horizontal="center" wrapText="1"/>
    </xf>
    <xf numFmtId="1" fontId="11" fillId="0" borderId="0" xfId="0" applyNumberFormat="1" applyFont="1" applyAlignment="1">
      <alignment horizontal="center"/>
    </xf>
    <xf numFmtId="44" fontId="11" fillId="0" borderId="0" xfId="12" applyFont="1" applyBorder="1" applyAlignment="1">
      <alignment horizontal="center"/>
    </xf>
    <xf numFmtId="0" fontId="11" fillId="2" borderId="1" xfId="0" applyFont="1" applyFill="1" applyBorder="1" applyAlignment="1">
      <alignment horizontal="center" vertical="center" wrapText="1"/>
    </xf>
    <xf numFmtId="1" fontId="11" fillId="2" borderId="1" xfId="0" applyNumberFormat="1" applyFont="1" applyFill="1" applyBorder="1" applyAlignment="1">
      <alignment horizontal="center" vertical="center" wrapText="1"/>
    </xf>
    <xf numFmtId="44" fontId="11" fillId="2" borderId="1" xfId="12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11" fillId="2" borderId="13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44" fontId="9" fillId="0" borderId="1" xfId="12" applyBorder="1" applyAlignment="1">
      <alignment horizontal="center"/>
    </xf>
    <xf numFmtId="44" fontId="0" fillId="0" borderId="1" xfId="12" applyFont="1" applyBorder="1" applyAlignment="1">
      <alignment horizontal="center"/>
    </xf>
    <xf numFmtId="0" fontId="0" fillId="0" borderId="14" xfId="0" applyBorder="1" applyAlignment="1">
      <alignment horizontal="center"/>
    </xf>
    <xf numFmtId="1" fontId="0" fillId="0" borderId="14" xfId="0" applyNumberFormat="1" applyBorder="1" applyAlignment="1">
      <alignment horizontal="center"/>
    </xf>
    <xf numFmtId="44" fontId="0" fillId="0" borderId="14" xfId="12" applyFont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1" fontId="0" fillId="2" borderId="16" xfId="0" applyNumberFormat="1" applyFill="1" applyBorder="1" applyAlignment="1">
      <alignment horizontal="center"/>
    </xf>
    <xf numFmtId="44" fontId="0" fillId="2" borderId="16" xfId="12" applyFont="1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44" fontId="0" fillId="0" borderId="0" xfId="12" applyFont="1" applyAlignment="1">
      <alignment horizont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7" xfId="0" applyBorder="1" applyAlignment="1">
      <alignment horizontal="center" vertical="center"/>
    </xf>
    <xf numFmtId="44" fontId="0" fillId="0" borderId="7" xfId="12" applyFont="1" applyBorder="1" applyAlignment="1">
      <alignment horizontal="center"/>
    </xf>
    <xf numFmtId="0" fontId="11" fillId="2" borderId="0" xfId="0" applyFont="1" applyFill="1" applyAlignment="1">
      <alignment horizontal="left" vertical="top"/>
    </xf>
    <xf numFmtId="1" fontId="11" fillId="2" borderId="0" xfId="0" applyNumberFormat="1" applyFont="1" applyFill="1" applyAlignment="1">
      <alignment horizontal="left" vertical="top"/>
    </xf>
    <xf numFmtId="0" fontId="11" fillId="2" borderId="7" xfId="0" applyFont="1" applyFill="1" applyBorder="1" applyAlignment="1">
      <alignment horizontal="left" vertical="top"/>
    </xf>
    <xf numFmtId="0" fontId="0" fillId="0" borderId="0" xfId="0" applyAlignment="1">
      <alignment horizontal="left"/>
    </xf>
    <xf numFmtId="0" fontId="11" fillId="0" borderId="8" xfId="0" applyFont="1" applyBorder="1" applyAlignment="1">
      <alignment horizontal="center" wrapText="1"/>
    </xf>
    <xf numFmtId="0" fontId="11" fillId="0" borderId="2" xfId="0" applyFont="1" applyBorder="1" applyAlignment="1">
      <alignment horizontal="center" wrapText="1"/>
    </xf>
    <xf numFmtId="1" fontId="11" fillId="0" borderId="2" xfId="0" applyNumberFormat="1" applyFont="1" applyBorder="1" applyAlignment="1">
      <alignment horizontal="center"/>
    </xf>
    <xf numFmtId="44" fontId="11" fillId="0" borderId="9" xfId="12" applyFont="1" applyBorder="1" applyAlignment="1">
      <alignment horizontal="center"/>
    </xf>
    <xf numFmtId="44" fontId="11" fillId="2" borderId="13" xfId="12" applyFont="1" applyFill="1" applyBorder="1" applyAlignment="1">
      <alignment horizontal="center" vertical="center" wrapText="1"/>
    </xf>
    <xf numFmtId="1" fontId="11" fillId="2" borderId="13" xfId="12" applyNumberFormat="1" applyFont="1" applyFill="1" applyBorder="1" applyAlignment="1">
      <alignment horizontal="center" vertical="center" wrapText="1"/>
    </xf>
    <xf numFmtId="0" fontId="0" fillId="2" borderId="19" xfId="0" applyFill="1" applyBorder="1" applyAlignment="1">
      <alignment horizontal="center"/>
    </xf>
    <xf numFmtId="44" fontId="0" fillId="2" borderId="16" xfId="0" applyNumberFormat="1" applyFill="1" applyBorder="1" applyAlignment="1">
      <alignment horizontal="center"/>
    </xf>
    <xf numFmtId="1" fontId="0" fillId="2" borderId="16" xfId="12" applyNumberFormat="1" applyFont="1" applyFill="1" applyBorder="1" applyAlignment="1">
      <alignment horizontal="center"/>
    </xf>
    <xf numFmtId="1" fontId="0" fillId="0" borderId="0" xfId="12" applyNumberFormat="1" applyFont="1" applyAlignment="1">
      <alignment horizontal="center"/>
    </xf>
    <xf numFmtId="44" fontId="0" fillId="0" borderId="0" xfId="0" applyNumberFormat="1" applyAlignment="1">
      <alignment horizontal="center"/>
    </xf>
    <xf numFmtId="165" fontId="7" fillId="0" borderId="1" xfId="0" applyNumberFormat="1" applyFont="1" applyBorder="1" applyAlignment="1">
      <alignment horizontal="center"/>
    </xf>
    <xf numFmtId="0" fontId="0" fillId="0" borderId="1" xfId="0" applyBorder="1"/>
    <xf numFmtId="0" fontId="0" fillId="0" borderId="13" xfId="0" applyBorder="1"/>
    <xf numFmtId="0" fontId="11" fillId="0" borderId="2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20" xfId="0" applyBorder="1"/>
    <xf numFmtId="0" fontId="0" fillId="0" borderId="13" xfId="0" applyBorder="1" applyAlignment="1">
      <alignment horizontal="center"/>
    </xf>
    <xf numFmtId="0" fontId="0" fillId="0" borderId="21" xfId="0" applyBorder="1"/>
    <xf numFmtId="2" fontId="7" fillId="0" borderId="23" xfId="0" applyNumberFormat="1" applyFont="1" applyBorder="1" applyAlignment="1">
      <alignment horizontal="center"/>
    </xf>
    <xf numFmtId="0" fontId="0" fillId="0" borderId="22" xfId="0" applyBorder="1" applyAlignment="1">
      <alignment horizontal="right"/>
    </xf>
    <xf numFmtId="0" fontId="10" fillId="0" borderId="2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11" fillId="2" borderId="4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1" fillId="2" borderId="3" xfId="0" applyFont="1" applyFill="1" applyBorder="1" applyAlignment="1">
      <alignment horizontal="left" vertical="top"/>
    </xf>
    <xf numFmtId="0" fontId="11" fillId="2" borderId="4" xfId="0" applyFont="1" applyFill="1" applyBorder="1" applyAlignment="1">
      <alignment horizontal="left" vertical="top"/>
    </xf>
    <xf numFmtId="0" fontId="0" fillId="0" borderId="5" xfId="0" applyBorder="1" applyAlignment="1">
      <alignment horizontal="left"/>
    </xf>
    <xf numFmtId="0" fontId="11" fillId="2" borderId="8" xfId="0" applyFont="1" applyFill="1" applyBorder="1" applyAlignment="1">
      <alignment horizontal="left" vertical="top"/>
    </xf>
    <xf numFmtId="0" fontId="11" fillId="2" borderId="2" xfId="0" applyFont="1" applyFill="1" applyBorder="1" applyAlignment="1">
      <alignment horizontal="left" vertical="top"/>
    </xf>
    <xf numFmtId="0" fontId="0" fillId="0" borderId="9" xfId="0" applyBorder="1" applyAlignment="1">
      <alignment horizontal="left"/>
    </xf>
    <xf numFmtId="0" fontId="11" fillId="4" borderId="11" xfId="0" applyFont="1" applyFill="1" applyBorder="1" applyAlignment="1">
      <alignment horizontal="center" wrapText="1"/>
    </xf>
    <xf numFmtId="0" fontId="11" fillId="4" borderId="12" xfId="0" applyFont="1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11" fillId="4" borderId="11" xfId="0" applyFont="1" applyFill="1" applyBorder="1" applyAlignment="1">
      <alignment horizontal="right"/>
    </xf>
    <xf numFmtId="0" fontId="0" fillId="4" borderId="12" xfId="0" applyFill="1" applyBorder="1" applyAlignment="1">
      <alignment horizontal="right"/>
    </xf>
    <xf numFmtId="0" fontId="10" fillId="3" borderId="3" xfId="0" applyFont="1" applyFill="1" applyBorder="1" applyAlignment="1">
      <alignment horizontal="center"/>
    </xf>
    <xf numFmtId="0" fontId="10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1" fillId="2" borderId="6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0" fillId="0" borderId="0" xfId="0" applyAlignment="1"/>
    <xf numFmtId="0" fontId="11" fillId="4" borderId="11" xfId="0" applyFont="1" applyFill="1" applyBorder="1" applyAlignment="1">
      <alignment horizontal="center"/>
    </xf>
    <xf numFmtId="0" fontId="11" fillId="4" borderId="18" xfId="0" applyFont="1" applyFill="1" applyBorder="1" applyAlignment="1">
      <alignment horizontal="center"/>
    </xf>
  </cellXfs>
  <cellStyles count="13">
    <cellStyle name="Comma 2" xfId="1"/>
    <cellStyle name="Comma 3" xfId="2"/>
    <cellStyle name="Comma 4" xfId="3"/>
    <cellStyle name="Currency" xfId="12" builtinId="4"/>
    <cellStyle name="Currency 2" xfId="4"/>
    <cellStyle name="Currency 3" xfId="5"/>
    <cellStyle name="Normal" xfId="0" builtinId="0"/>
    <cellStyle name="Normal 2" xfId="6"/>
    <cellStyle name="Normal 3" xfId="7"/>
    <cellStyle name="Normal 4" xfId="11"/>
    <cellStyle name="Percent 2" xfId="8"/>
    <cellStyle name="Percent 3" xfId="9"/>
    <cellStyle name="Percent 4" xf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333375</xdr:colOff>
      <xdr:row>4</xdr:row>
      <xdr:rowOff>95250</xdr:rowOff>
    </xdr:from>
    <xdr:to>
      <xdr:col>2</xdr:col>
      <xdr:colOff>1085850</xdr:colOff>
      <xdr:row>4</xdr:row>
      <xdr:rowOff>95250</xdr:rowOff>
    </xdr:to>
    <xdr:sp macro="" textlink="">
      <xdr:nvSpPr>
        <xdr:cNvPr id="2" name="Line 9">
          <a:extLst>
            <a:ext uri="{FF2B5EF4-FFF2-40B4-BE49-F238E27FC236}">
              <a16:creationId xmlns:a16="http://schemas.microsoft.com/office/drawing/2014/main" id="{8743F4CB-4A30-470C-B27C-EDDF6EC6DA93}"/>
            </a:ext>
          </a:extLst>
        </xdr:cNvPr>
        <xdr:cNvSpPr>
          <a:spLocks noChangeShapeType="1"/>
        </xdr:cNvSpPr>
      </xdr:nvSpPr>
      <xdr:spPr bwMode="auto">
        <a:xfrm>
          <a:off x="1609725" y="933450"/>
          <a:ext cx="752475" cy="0"/>
        </a:xfrm>
        <a:prstGeom prst="line">
          <a:avLst/>
        </a:prstGeom>
        <a:noFill/>
        <a:ln w="5715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"/>
  <sheetViews>
    <sheetView tabSelected="1" workbookViewId="0">
      <selection activeCell="K31" sqref="K31"/>
    </sheetView>
  </sheetViews>
  <sheetFormatPr defaultRowHeight="12.75" x14ac:dyDescent="0.2"/>
  <cols>
    <col min="1" max="1" width="14.570312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1" ht="60" x14ac:dyDescent="0.2">
      <c r="A1" s="1" t="s">
        <v>39</v>
      </c>
      <c r="B1" s="1" t="s">
        <v>40</v>
      </c>
      <c r="C1" s="2" t="s">
        <v>41</v>
      </c>
      <c r="D1" s="1" t="s">
        <v>42</v>
      </c>
      <c r="E1" s="3" t="s">
        <v>43</v>
      </c>
      <c r="F1" s="4" t="s">
        <v>44</v>
      </c>
      <c r="G1" s="3" t="s">
        <v>45</v>
      </c>
      <c r="H1" s="4" t="s">
        <v>46</v>
      </c>
      <c r="I1" s="3" t="s">
        <v>47</v>
      </c>
      <c r="J1" s="5" t="s">
        <v>48</v>
      </c>
      <c r="K1" s="3" t="s">
        <v>49</v>
      </c>
    </row>
    <row r="2" spans="1:11" ht="15" x14ac:dyDescent="0.25">
      <c r="A2" s="6" t="s">
        <v>50</v>
      </c>
      <c r="B2" s="7">
        <v>1</v>
      </c>
      <c r="C2" s="8">
        <v>4</v>
      </c>
      <c r="D2" s="7">
        <v>2022</v>
      </c>
      <c r="E2" s="9">
        <v>22200</v>
      </c>
      <c r="F2" s="71">
        <f>DAILY!D7</f>
        <v>7.8100000000000003E-2</v>
      </c>
      <c r="G2" s="9">
        <v>914</v>
      </c>
      <c r="H2" s="10">
        <v>1.08</v>
      </c>
      <c r="I2" s="9">
        <v>669</v>
      </c>
      <c r="J2" s="10">
        <v>4.6500000000000004</v>
      </c>
      <c r="K2" s="72">
        <v>153</v>
      </c>
    </row>
    <row r="3" spans="1:11" ht="15" x14ac:dyDescent="0.25">
      <c r="A3" s="6" t="s">
        <v>50</v>
      </c>
      <c r="B3" s="7">
        <f>B2+1</f>
        <v>2</v>
      </c>
      <c r="C3" s="8">
        <v>4</v>
      </c>
      <c r="D3" s="7">
        <v>2022</v>
      </c>
      <c r="E3" s="9">
        <v>20400</v>
      </c>
      <c r="F3" s="71">
        <f>F2</f>
        <v>7.8100000000000003E-2</v>
      </c>
      <c r="G3" s="9">
        <v>791</v>
      </c>
      <c r="H3" s="10">
        <f>H2</f>
        <v>1.08</v>
      </c>
      <c r="I3" s="9">
        <v>592</v>
      </c>
      <c r="J3" s="10">
        <f>J2</f>
        <v>4.6500000000000004</v>
      </c>
      <c r="K3" s="73">
        <v>177</v>
      </c>
    </row>
    <row r="4" spans="1:11" ht="15" x14ac:dyDescent="0.25">
      <c r="A4" s="6" t="s">
        <v>50</v>
      </c>
      <c r="B4" s="7">
        <f t="shared" ref="B4:B31" si="0">B3+1</f>
        <v>3</v>
      </c>
      <c r="C4" s="8">
        <v>4</v>
      </c>
      <c r="D4" s="7">
        <v>2022</v>
      </c>
      <c r="E4" s="9">
        <v>81600</v>
      </c>
      <c r="F4" s="71">
        <f t="shared" ref="F4:F31" si="1">F3</f>
        <v>7.8100000000000003E-2</v>
      </c>
      <c r="G4" s="9">
        <v>1364</v>
      </c>
      <c r="H4" s="10">
        <f t="shared" ref="H4:H31" si="2">H3</f>
        <v>1.08</v>
      </c>
      <c r="I4" s="9">
        <v>604</v>
      </c>
      <c r="J4" s="10">
        <f t="shared" ref="J4:J31" si="3">J3</f>
        <v>4.6500000000000004</v>
      </c>
      <c r="K4" s="73">
        <v>85</v>
      </c>
    </row>
    <row r="5" spans="1:11" ht="15" x14ac:dyDescent="0.25">
      <c r="A5" s="6" t="s">
        <v>50</v>
      </c>
      <c r="B5" s="7">
        <f t="shared" si="0"/>
        <v>4</v>
      </c>
      <c r="C5" s="8">
        <v>4</v>
      </c>
      <c r="D5" s="7">
        <v>2022</v>
      </c>
      <c r="E5" s="9">
        <v>75600</v>
      </c>
      <c r="F5" s="71">
        <f t="shared" si="1"/>
        <v>7.8100000000000003E-2</v>
      </c>
      <c r="G5" s="9">
        <v>413</v>
      </c>
      <c r="H5" s="10">
        <f t="shared" si="2"/>
        <v>1.08</v>
      </c>
      <c r="I5" s="9">
        <v>648</v>
      </c>
      <c r="J5" s="10">
        <f t="shared" si="3"/>
        <v>4.6500000000000004</v>
      </c>
      <c r="K5" s="73">
        <v>103</v>
      </c>
    </row>
    <row r="6" spans="1:11" ht="15" x14ac:dyDescent="0.25">
      <c r="A6" s="6" t="s">
        <v>50</v>
      </c>
      <c r="B6" s="7">
        <f t="shared" si="0"/>
        <v>5</v>
      </c>
      <c r="C6" s="8">
        <v>4</v>
      </c>
      <c r="D6" s="7">
        <v>2022</v>
      </c>
      <c r="E6" s="9">
        <v>102000</v>
      </c>
      <c r="F6" s="71">
        <f t="shared" si="1"/>
        <v>7.8100000000000003E-2</v>
      </c>
      <c r="G6" s="9">
        <v>3870</v>
      </c>
      <c r="H6" s="10">
        <f t="shared" si="2"/>
        <v>1.08</v>
      </c>
      <c r="I6" s="9">
        <v>441</v>
      </c>
      <c r="J6" s="10">
        <f t="shared" si="3"/>
        <v>4.6500000000000004</v>
      </c>
      <c r="K6" s="73">
        <v>113</v>
      </c>
    </row>
    <row r="7" spans="1:11" ht="15" x14ac:dyDescent="0.25">
      <c r="A7" s="6" t="s">
        <v>50</v>
      </c>
      <c r="B7" s="7">
        <f t="shared" si="0"/>
        <v>6</v>
      </c>
      <c r="C7" s="8">
        <v>4</v>
      </c>
      <c r="D7" s="7">
        <v>2022</v>
      </c>
      <c r="E7" s="9">
        <v>77400</v>
      </c>
      <c r="F7" s="71">
        <f t="shared" si="1"/>
        <v>7.8100000000000003E-2</v>
      </c>
      <c r="G7" s="9">
        <v>930</v>
      </c>
      <c r="H7" s="10">
        <f t="shared" si="2"/>
        <v>1.08</v>
      </c>
      <c r="I7" s="9">
        <v>451</v>
      </c>
      <c r="J7" s="10">
        <f t="shared" si="3"/>
        <v>4.6500000000000004</v>
      </c>
      <c r="K7" s="73">
        <v>134</v>
      </c>
    </row>
    <row r="8" spans="1:11" ht="15" x14ac:dyDescent="0.25">
      <c r="A8" s="6" t="s">
        <v>50</v>
      </c>
      <c r="B8" s="7">
        <f t="shared" si="0"/>
        <v>7</v>
      </c>
      <c r="C8" s="8">
        <v>4</v>
      </c>
      <c r="D8" s="7">
        <v>2022</v>
      </c>
      <c r="E8" s="9">
        <v>79200</v>
      </c>
      <c r="F8" s="71">
        <f t="shared" si="1"/>
        <v>7.8100000000000003E-2</v>
      </c>
      <c r="G8" s="9">
        <v>429</v>
      </c>
      <c r="H8" s="10">
        <f t="shared" si="2"/>
        <v>1.08</v>
      </c>
      <c r="I8" s="9">
        <v>240</v>
      </c>
      <c r="J8" s="10">
        <f t="shared" si="3"/>
        <v>4.6500000000000004</v>
      </c>
      <c r="K8" s="73">
        <v>201</v>
      </c>
    </row>
    <row r="9" spans="1:11" ht="15" x14ac:dyDescent="0.25">
      <c r="A9" s="6" t="s">
        <v>50</v>
      </c>
      <c r="B9" s="7">
        <f t="shared" si="0"/>
        <v>8</v>
      </c>
      <c r="C9" s="8">
        <v>4</v>
      </c>
      <c r="D9" s="7">
        <v>2022</v>
      </c>
      <c r="E9" s="9">
        <v>89200</v>
      </c>
      <c r="F9" s="71">
        <f t="shared" si="1"/>
        <v>7.8100000000000003E-2</v>
      </c>
      <c r="G9" s="9">
        <v>1469</v>
      </c>
      <c r="H9" s="10">
        <f t="shared" si="2"/>
        <v>1.08</v>
      </c>
      <c r="I9" s="9">
        <v>1325</v>
      </c>
      <c r="J9" s="10">
        <f t="shared" si="3"/>
        <v>4.6500000000000004</v>
      </c>
      <c r="K9" s="73">
        <v>200</v>
      </c>
    </row>
    <row r="10" spans="1:11" ht="15" x14ac:dyDescent="0.25">
      <c r="A10" s="6" t="s">
        <v>50</v>
      </c>
      <c r="B10" s="7">
        <f t="shared" si="0"/>
        <v>9</v>
      </c>
      <c r="C10" s="8">
        <v>4</v>
      </c>
      <c r="D10" s="7">
        <v>2022</v>
      </c>
      <c r="E10" s="9">
        <v>19800</v>
      </c>
      <c r="F10" s="71">
        <f t="shared" si="1"/>
        <v>7.8100000000000003E-2</v>
      </c>
      <c r="G10" s="9">
        <v>852</v>
      </c>
      <c r="H10" s="10">
        <f t="shared" si="2"/>
        <v>1.08</v>
      </c>
      <c r="I10" s="9">
        <v>649</v>
      </c>
      <c r="J10" s="10">
        <f t="shared" si="3"/>
        <v>4.6500000000000004</v>
      </c>
      <c r="K10" s="73">
        <v>181</v>
      </c>
    </row>
    <row r="11" spans="1:11" ht="15" x14ac:dyDescent="0.25">
      <c r="A11" s="6" t="s">
        <v>50</v>
      </c>
      <c r="B11" s="7">
        <f t="shared" si="0"/>
        <v>10</v>
      </c>
      <c r="C11" s="8">
        <v>4</v>
      </c>
      <c r="D11" s="7">
        <v>2022</v>
      </c>
      <c r="E11" s="9">
        <v>69000</v>
      </c>
      <c r="F11" s="71">
        <f t="shared" si="1"/>
        <v>7.8100000000000003E-2</v>
      </c>
      <c r="G11" s="9">
        <v>1126</v>
      </c>
      <c r="H11" s="10">
        <f t="shared" si="2"/>
        <v>1.08</v>
      </c>
      <c r="I11" s="9">
        <v>786</v>
      </c>
      <c r="J11" s="10">
        <f t="shared" si="3"/>
        <v>4.6500000000000004</v>
      </c>
      <c r="K11" s="73">
        <v>84</v>
      </c>
    </row>
    <row r="12" spans="1:11" ht="15" x14ac:dyDescent="0.25">
      <c r="A12" s="6" t="s">
        <v>50</v>
      </c>
      <c r="B12" s="7">
        <f t="shared" si="0"/>
        <v>11</v>
      </c>
      <c r="C12" s="8">
        <v>4</v>
      </c>
      <c r="D12" s="7">
        <v>2022</v>
      </c>
      <c r="E12" s="9">
        <v>70200</v>
      </c>
      <c r="F12" s="71">
        <f t="shared" si="1"/>
        <v>7.8100000000000003E-2</v>
      </c>
      <c r="G12" s="9">
        <v>1258</v>
      </c>
      <c r="H12" s="10">
        <f t="shared" si="2"/>
        <v>1.08</v>
      </c>
      <c r="I12" s="9">
        <v>507</v>
      </c>
      <c r="J12" s="10">
        <f t="shared" si="3"/>
        <v>4.6500000000000004</v>
      </c>
      <c r="K12" s="73">
        <v>149</v>
      </c>
    </row>
    <row r="13" spans="1:11" ht="15" x14ac:dyDescent="0.25">
      <c r="A13" s="6" t="s">
        <v>50</v>
      </c>
      <c r="B13" s="7">
        <f t="shared" si="0"/>
        <v>12</v>
      </c>
      <c r="C13" s="8">
        <v>4</v>
      </c>
      <c r="D13" s="7">
        <v>2022</v>
      </c>
      <c r="E13" s="9">
        <v>62400</v>
      </c>
      <c r="F13" s="71">
        <f t="shared" si="1"/>
        <v>7.8100000000000003E-2</v>
      </c>
      <c r="G13" s="9">
        <v>339</v>
      </c>
      <c r="H13" s="10">
        <f t="shared" si="2"/>
        <v>1.08</v>
      </c>
      <c r="I13" s="9">
        <v>750</v>
      </c>
      <c r="J13" s="10">
        <f t="shared" si="3"/>
        <v>4.6500000000000004</v>
      </c>
      <c r="K13" s="73">
        <v>77</v>
      </c>
    </row>
    <row r="14" spans="1:11" ht="15" x14ac:dyDescent="0.25">
      <c r="A14" s="6" t="s">
        <v>50</v>
      </c>
      <c r="B14" s="7">
        <f t="shared" si="0"/>
        <v>13</v>
      </c>
      <c r="C14" s="8">
        <v>4</v>
      </c>
      <c r="D14" s="7">
        <v>2022</v>
      </c>
      <c r="E14" s="9">
        <v>66000</v>
      </c>
      <c r="F14" s="71">
        <f t="shared" si="1"/>
        <v>7.8100000000000003E-2</v>
      </c>
      <c r="G14" s="9">
        <v>976</v>
      </c>
      <c r="H14" s="10">
        <f t="shared" si="2"/>
        <v>1.08</v>
      </c>
      <c r="I14" s="9">
        <v>613</v>
      </c>
      <c r="J14" s="10">
        <f t="shared" si="3"/>
        <v>4.6500000000000004</v>
      </c>
      <c r="K14" s="72">
        <v>65</v>
      </c>
    </row>
    <row r="15" spans="1:11" ht="15" x14ac:dyDescent="0.25">
      <c r="A15" s="6" t="s">
        <v>50</v>
      </c>
      <c r="B15" s="7">
        <f t="shared" si="0"/>
        <v>14</v>
      </c>
      <c r="C15" s="8">
        <v>4</v>
      </c>
      <c r="D15" s="7">
        <v>2022</v>
      </c>
      <c r="E15" s="9">
        <v>35400</v>
      </c>
      <c r="F15" s="71">
        <f t="shared" si="1"/>
        <v>7.8100000000000003E-2</v>
      </c>
      <c r="G15" s="9">
        <v>409</v>
      </c>
      <c r="H15" s="10">
        <f t="shared" si="2"/>
        <v>1.08</v>
      </c>
      <c r="I15" s="9">
        <v>496</v>
      </c>
      <c r="J15" s="10">
        <f t="shared" si="3"/>
        <v>4.6500000000000004</v>
      </c>
      <c r="K15" s="73">
        <v>73</v>
      </c>
    </row>
    <row r="16" spans="1:11" ht="15" x14ac:dyDescent="0.25">
      <c r="A16" s="6" t="s">
        <v>50</v>
      </c>
      <c r="B16" s="7">
        <f t="shared" si="0"/>
        <v>15</v>
      </c>
      <c r="C16" s="8">
        <v>4</v>
      </c>
      <c r="D16" s="7">
        <v>2022</v>
      </c>
      <c r="E16" s="9">
        <v>20000</v>
      </c>
      <c r="F16" s="71">
        <f t="shared" si="1"/>
        <v>7.8100000000000003E-2</v>
      </c>
      <c r="G16" s="9">
        <v>307</v>
      </c>
      <c r="H16" s="10">
        <f t="shared" si="2"/>
        <v>1.08</v>
      </c>
      <c r="I16" s="9">
        <v>441</v>
      </c>
      <c r="J16" s="10">
        <f t="shared" si="3"/>
        <v>4.6500000000000004</v>
      </c>
      <c r="K16" s="73">
        <v>117</v>
      </c>
    </row>
    <row r="17" spans="1:11" ht="15" x14ac:dyDescent="0.25">
      <c r="A17" s="6" t="s">
        <v>50</v>
      </c>
      <c r="B17" s="7">
        <f t="shared" si="0"/>
        <v>16</v>
      </c>
      <c r="C17" s="8">
        <v>4</v>
      </c>
      <c r="D17" s="7">
        <v>2022</v>
      </c>
      <c r="E17" s="9">
        <v>19200</v>
      </c>
      <c r="F17" s="71">
        <f t="shared" si="1"/>
        <v>7.8100000000000003E-2</v>
      </c>
      <c r="G17" s="9">
        <v>712</v>
      </c>
      <c r="H17" s="10">
        <f t="shared" si="2"/>
        <v>1.08</v>
      </c>
      <c r="I17" s="9">
        <v>609</v>
      </c>
      <c r="J17" s="10">
        <f t="shared" si="3"/>
        <v>4.6500000000000004</v>
      </c>
      <c r="K17" s="73">
        <v>132</v>
      </c>
    </row>
    <row r="18" spans="1:11" ht="15" x14ac:dyDescent="0.25">
      <c r="A18" s="6" t="s">
        <v>50</v>
      </c>
      <c r="B18" s="7">
        <f t="shared" si="0"/>
        <v>17</v>
      </c>
      <c r="C18" s="8">
        <v>4</v>
      </c>
      <c r="D18" s="7">
        <v>2022</v>
      </c>
      <c r="E18" s="9">
        <v>21000</v>
      </c>
      <c r="F18" s="71">
        <f t="shared" si="1"/>
        <v>7.8100000000000003E-2</v>
      </c>
      <c r="G18" s="9">
        <v>813</v>
      </c>
      <c r="H18" s="10">
        <f t="shared" si="2"/>
        <v>1.08</v>
      </c>
      <c r="I18" s="9">
        <v>810</v>
      </c>
      <c r="J18" s="10">
        <f t="shared" si="3"/>
        <v>4.6500000000000004</v>
      </c>
      <c r="K18" s="73">
        <v>106</v>
      </c>
    </row>
    <row r="19" spans="1:11" ht="15" x14ac:dyDescent="0.25">
      <c r="A19" s="6" t="s">
        <v>50</v>
      </c>
      <c r="B19" s="7">
        <f t="shared" si="0"/>
        <v>18</v>
      </c>
      <c r="C19" s="8">
        <v>4</v>
      </c>
      <c r="D19" s="7">
        <v>2022</v>
      </c>
      <c r="E19" s="9">
        <v>18600</v>
      </c>
      <c r="F19" s="71">
        <f t="shared" si="1"/>
        <v>7.8100000000000003E-2</v>
      </c>
      <c r="G19" s="9">
        <v>9701</v>
      </c>
      <c r="H19" s="10">
        <f t="shared" si="2"/>
        <v>1.08</v>
      </c>
      <c r="I19" s="9">
        <v>467</v>
      </c>
      <c r="J19" s="10">
        <f t="shared" si="3"/>
        <v>4.6500000000000004</v>
      </c>
      <c r="K19" s="73">
        <v>135</v>
      </c>
    </row>
    <row r="20" spans="1:11" ht="15" x14ac:dyDescent="0.25">
      <c r="A20" s="6" t="s">
        <v>50</v>
      </c>
      <c r="B20" s="7">
        <f t="shared" si="0"/>
        <v>19</v>
      </c>
      <c r="C20" s="8">
        <v>4</v>
      </c>
      <c r="D20" s="7">
        <v>2022</v>
      </c>
      <c r="E20" s="9">
        <v>18000</v>
      </c>
      <c r="F20" s="71">
        <f t="shared" si="1"/>
        <v>7.8100000000000003E-2</v>
      </c>
      <c r="G20" s="9">
        <v>1248</v>
      </c>
      <c r="H20" s="10">
        <f t="shared" si="2"/>
        <v>1.08</v>
      </c>
      <c r="I20" s="9">
        <v>968</v>
      </c>
      <c r="J20" s="10">
        <f t="shared" si="3"/>
        <v>4.6500000000000004</v>
      </c>
      <c r="K20" s="73">
        <v>164</v>
      </c>
    </row>
    <row r="21" spans="1:11" ht="15" x14ac:dyDescent="0.25">
      <c r="A21" s="6" t="s">
        <v>50</v>
      </c>
      <c r="B21" s="7">
        <f t="shared" si="0"/>
        <v>20</v>
      </c>
      <c r="C21" s="8">
        <v>4</v>
      </c>
      <c r="D21" s="7">
        <v>2022</v>
      </c>
      <c r="E21" s="9">
        <v>17400</v>
      </c>
      <c r="F21" s="71">
        <f t="shared" si="1"/>
        <v>7.8100000000000003E-2</v>
      </c>
      <c r="G21" s="9">
        <v>1296</v>
      </c>
      <c r="H21" s="10">
        <f t="shared" si="2"/>
        <v>1.08</v>
      </c>
      <c r="I21" s="9">
        <v>651</v>
      </c>
      <c r="J21" s="10">
        <f t="shared" si="3"/>
        <v>4.6500000000000004</v>
      </c>
      <c r="K21" s="73">
        <v>160</v>
      </c>
    </row>
    <row r="22" spans="1:11" ht="15" x14ac:dyDescent="0.25">
      <c r="A22" s="6" t="s">
        <v>50</v>
      </c>
      <c r="B22" s="7">
        <f t="shared" si="0"/>
        <v>21</v>
      </c>
      <c r="C22" s="8">
        <v>4</v>
      </c>
      <c r="D22" s="7">
        <v>2022</v>
      </c>
      <c r="E22" s="9">
        <v>22200</v>
      </c>
      <c r="F22" s="71">
        <f t="shared" si="1"/>
        <v>7.8100000000000003E-2</v>
      </c>
      <c r="G22" s="9">
        <v>1141</v>
      </c>
      <c r="H22" s="10">
        <f t="shared" si="2"/>
        <v>1.08</v>
      </c>
      <c r="I22" s="9">
        <v>607</v>
      </c>
      <c r="J22" s="10">
        <f t="shared" si="3"/>
        <v>4.6500000000000004</v>
      </c>
      <c r="K22" s="73">
        <v>142</v>
      </c>
    </row>
    <row r="23" spans="1:11" ht="15" x14ac:dyDescent="0.25">
      <c r="A23" s="6" t="s">
        <v>50</v>
      </c>
      <c r="B23" s="7">
        <f t="shared" si="0"/>
        <v>22</v>
      </c>
      <c r="C23" s="8">
        <v>4</v>
      </c>
      <c r="D23" s="7">
        <v>2022</v>
      </c>
      <c r="E23" s="9">
        <v>20400</v>
      </c>
      <c r="F23" s="71">
        <f t="shared" si="1"/>
        <v>7.8100000000000003E-2</v>
      </c>
      <c r="G23" s="9">
        <v>553</v>
      </c>
      <c r="H23" s="10">
        <f t="shared" si="2"/>
        <v>1.08</v>
      </c>
      <c r="I23" s="9">
        <v>111</v>
      </c>
      <c r="J23" s="10">
        <f t="shared" si="3"/>
        <v>4.6500000000000004</v>
      </c>
      <c r="K23" s="73">
        <v>152</v>
      </c>
    </row>
    <row r="24" spans="1:11" ht="15" x14ac:dyDescent="0.25">
      <c r="A24" s="6" t="s">
        <v>50</v>
      </c>
      <c r="B24" s="7">
        <f t="shared" si="0"/>
        <v>23</v>
      </c>
      <c r="C24" s="8">
        <v>4</v>
      </c>
      <c r="D24" s="7">
        <v>2022</v>
      </c>
      <c r="E24" s="9">
        <v>18600</v>
      </c>
      <c r="F24" s="71">
        <f t="shared" si="1"/>
        <v>7.8100000000000003E-2</v>
      </c>
      <c r="G24" s="9">
        <v>736</v>
      </c>
      <c r="H24" s="10">
        <f t="shared" si="2"/>
        <v>1.08</v>
      </c>
      <c r="I24" s="9">
        <v>209</v>
      </c>
      <c r="J24" s="10">
        <f t="shared" si="3"/>
        <v>4.6500000000000004</v>
      </c>
      <c r="K24" s="73">
        <v>207</v>
      </c>
    </row>
    <row r="25" spans="1:11" ht="15" x14ac:dyDescent="0.25">
      <c r="A25" s="6" t="s">
        <v>50</v>
      </c>
      <c r="B25" s="7">
        <f t="shared" si="0"/>
        <v>24</v>
      </c>
      <c r="C25" s="8">
        <v>4</v>
      </c>
      <c r="D25" s="7">
        <v>2022</v>
      </c>
      <c r="E25" s="9">
        <v>22800</v>
      </c>
      <c r="F25" s="71">
        <f t="shared" si="1"/>
        <v>7.8100000000000003E-2</v>
      </c>
      <c r="G25" s="9">
        <v>577</v>
      </c>
      <c r="H25" s="10">
        <f t="shared" si="2"/>
        <v>1.08</v>
      </c>
      <c r="I25" s="9">
        <v>1246</v>
      </c>
      <c r="J25" s="10">
        <f t="shared" si="3"/>
        <v>4.6500000000000004</v>
      </c>
      <c r="K25" s="73">
        <v>182</v>
      </c>
    </row>
    <row r="26" spans="1:11" ht="15" x14ac:dyDescent="0.25">
      <c r="A26" s="6" t="s">
        <v>50</v>
      </c>
      <c r="B26" s="7">
        <f>B25+1</f>
        <v>25</v>
      </c>
      <c r="C26" s="8">
        <v>4</v>
      </c>
      <c r="D26" s="7">
        <v>2022</v>
      </c>
      <c r="E26" s="9">
        <v>22800</v>
      </c>
      <c r="F26" s="71">
        <f t="shared" si="1"/>
        <v>7.8100000000000003E-2</v>
      </c>
      <c r="G26" s="9">
        <v>1362</v>
      </c>
      <c r="H26" s="10">
        <f t="shared" si="2"/>
        <v>1.08</v>
      </c>
      <c r="I26" s="9">
        <v>890</v>
      </c>
      <c r="J26" s="10">
        <f t="shared" si="3"/>
        <v>4.6500000000000004</v>
      </c>
      <c r="K26" s="73">
        <v>183</v>
      </c>
    </row>
    <row r="27" spans="1:11" ht="15" x14ac:dyDescent="0.25">
      <c r="A27" s="6" t="s">
        <v>50</v>
      </c>
      <c r="B27" s="7">
        <f t="shared" si="0"/>
        <v>26</v>
      </c>
      <c r="C27" s="8">
        <v>4</v>
      </c>
      <c r="D27" s="7">
        <v>2022</v>
      </c>
      <c r="E27" s="9">
        <v>19800</v>
      </c>
      <c r="F27" s="71">
        <f t="shared" si="1"/>
        <v>7.8100000000000003E-2</v>
      </c>
      <c r="G27" s="9">
        <v>1136</v>
      </c>
      <c r="H27" s="10">
        <f t="shared" si="2"/>
        <v>1.08</v>
      </c>
      <c r="I27" s="9">
        <v>736</v>
      </c>
      <c r="J27" s="10">
        <f t="shared" si="3"/>
        <v>4.6500000000000004</v>
      </c>
      <c r="K27" s="73">
        <v>126</v>
      </c>
    </row>
    <row r="28" spans="1:11" ht="15" x14ac:dyDescent="0.25">
      <c r="A28" s="6" t="s">
        <v>50</v>
      </c>
      <c r="B28" s="7">
        <f t="shared" si="0"/>
        <v>27</v>
      </c>
      <c r="C28" s="8">
        <v>4</v>
      </c>
      <c r="D28" s="7">
        <v>2022</v>
      </c>
      <c r="E28" s="9">
        <v>16200</v>
      </c>
      <c r="F28" s="71">
        <f t="shared" si="1"/>
        <v>7.8100000000000003E-2</v>
      </c>
      <c r="G28" s="9">
        <v>1183</v>
      </c>
      <c r="H28" s="10">
        <f t="shared" si="2"/>
        <v>1.08</v>
      </c>
      <c r="I28" s="9">
        <v>217</v>
      </c>
      <c r="J28" s="10">
        <f t="shared" si="3"/>
        <v>4.6500000000000004</v>
      </c>
      <c r="K28" s="73">
        <v>108</v>
      </c>
    </row>
    <row r="29" spans="1:11" ht="15" x14ac:dyDescent="0.25">
      <c r="A29" s="6" t="s">
        <v>50</v>
      </c>
      <c r="B29" s="7">
        <f t="shared" si="0"/>
        <v>28</v>
      </c>
      <c r="C29" s="8">
        <v>4</v>
      </c>
      <c r="D29" s="7">
        <v>2022</v>
      </c>
      <c r="E29" s="9">
        <v>10800</v>
      </c>
      <c r="F29" s="71">
        <f t="shared" si="1"/>
        <v>7.8100000000000003E-2</v>
      </c>
      <c r="G29" s="9">
        <v>5064</v>
      </c>
      <c r="H29" s="10">
        <f t="shared" si="2"/>
        <v>1.08</v>
      </c>
      <c r="I29" s="9">
        <v>402</v>
      </c>
      <c r="J29" s="10">
        <f t="shared" si="3"/>
        <v>4.6500000000000004</v>
      </c>
      <c r="K29" s="73">
        <v>125</v>
      </c>
    </row>
    <row r="30" spans="1:11" ht="15" x14ac:dyDescent="0.25">
      <c r="A30" s="6" t="s">
        <v>50</v>
      </c>
      <c r="B30" s="7">
        <f t="shared" si="0"/>
        <v>29</v>
      </c>
      <c r="C30" s="8">
        <v>4</v>
      </c>
      <c r="D30" s="7">
        <v>2022</v>
      </c>
      <c r="E30" s="9">
        <v>21600</v>
      </c>
      <c r="F30" s="71">
        <f t="shared" si="1"/>
        <v>7.8100000000000003E-2</v>
      </c>
      <c r="G30" s="9">
        <v>283</v>
      </c>
      <c r="H30" s="10">
        <f t="shared" si="2"/>
        <v>1.08</v>
      </c>
      <c r="I30" s="9">
        <v>656</v>
      </c>
      <c r="J30" s="10">
        <f t="shared" si="3"/>
        <v>4.6500000000000004</v>
      </c>
      <c r="K30" s="73">
        <v>180</v>
      </c>
    </row>
    <row r="31" spans="1:11" ht="15" x14ac:dyDescent="0.25">
      <c r="A31" s="6" t="s">
        <v>50</v>
      </c>
      <c r="B31" s="7">
        <f t="shared" si="0"/>
        <v>30</v>
      </c>
      <c r="C31" s="8">
        <v>4</v>
      </c>
      <c r="D31" s="7">
        <v>2022</v>
      </c>
      <c r="E31" s="9">
        <v>16200</v>
      </c>
      <c r="F31" s="71">
        <f t="shared" si="1"/>
        <v>7.8100000000000003E-2</v>
      </c>
      <c r="G31" s="9">
        <v>872</v>
      </c>
      <c r="H31" s="10">
        <f t="shared" si="2"/>
        <v>1.08</v>
      </c>
      <c r="I31" s="9">
        <v>588</v>
      </c>
      <c r="J31" s="10">
        <f t="shared" si="3"/>
        <v>4.6500000000000004</v>
      </c>
      <c r="K31" s="76">
        <v>197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34"/>
  <sheetViews>
    <sheetView zoomScaleNormal="100" workbookViewId="0">
      <selection activeCell="B24" sqref="B24"/>
    </sheetView>
  </sheetViews>
  <sheetFormatPr defaultRowHeight="12.75" x14ac:dyDescent="0.2"/>
  <cols>
    <col min="1" max="1" width="5.140625" style="13" customWidth="1"/>
    <col min="2" max="2" width="14" style="13" bestFit="1" customWidth="1"/>
    <col min="3" max="3" width="17" style="13" bestFit="1" customWidth="1"/>
    <col min="4" max="4" width="15.28515625" style="13" bestFit="1" customWidth="1"/>
    <col min="5" max="5" width="15.85546875" style="13" bestFit="1" customWidth="1"/>
    <col min="6" max="6" width="14" style="14" customWidth="1"/>
    <col min="7" max="7" width="15.28515625" style="51" customWidth="1"/>
    <col min="8" max="8" width="17.7109375" style="51" bestFit="1" customWidth="1"/>
    <col min="9" max="9" width="23" style="13" customWidth="1"/>
    <col min="11" max="11" width="5.28515625" customWidth="1"/>
    <col min="12" max="13" width="16.85546875" customWidth="1"/>
    <col min="14" max="14" width="8" customWidth="1"/>
    <col min="15" max="16" width="16.85546875" customWidth="1"/>
    <col min="17" max="17" width="23.7109375" customWidth="1"/>
    <col min="19" max="19" width="11.5703125" bestFit="1" customWidth="1"/>
  </cols>
  <sheetData>
    <row r="1" spans="1:19" ht="16.5" thickBot="1" x14ac:dyDescent="0.3">
      <c r="A1" s="83" t="s">
        <v>0</v>
      </c>
      <c r="B1" s="84"/>
      <c r="C1" s="84"/>
      <c r="D1" s="84"/>
      <c r="E1" s="84"/>
      <c r="F1" s="84"/>
      <c r="G1" s="84"/>
      <c r="H1" s="84"/>
      <c r="I1" s="84"/>
      <c r="K1" s="83" t="s">
        <v>0</v>
      </c>
      <c r="L1" s="84"/>
      <c r="M1" s="84"/>
      <c r="N1" s="84"/>
      <c r="O1" s="84"/>
      <c r="P1" s="84"/>
      <c r="Q1" s="84"/>
    </row>
    <row r="2" spans="1:19" ht="22.5" customHeight="1" x14ac:dyDescent="0.2">
      <c r="A2" s="11"/>
      <c r="B2" s="85" t="s">
        <v>1</v>
      </c>
      <c r="C2" s="85"/>
      <c r="D2" s="86"/>
      <c r="E2" s="86"/>
      <c r="F2" s="86"/>
      <c r="G2" s="86"/>
      <c r="H2" s="86"/>
      <c r="I2" s="75"/>
      <c r="K2" s="11"/>
      <c r="L2" s="85" t="s">
        <v>2</v>
      </c>
      <c r="M2" s="86"/>
      <c r="N2" s="86"/>
      <c r="O2" s="86"/>
      <c r="P2" s="86"/>
      <c r="Q2" s="75"/>
    </row>
    <row r="3" spans="1:19" ht="13.5" thickBot="1" x14ac:dyDescent="0.25">
      <c r="A3" s="12"/>
      <c r="G3" s="15"/>
      <c r="H3" s="15"/>
      <c r="I3" s="16"/>
      <c r="K3" s="12"/>
      <c r="L3" s="13"/>
      <c r="M3" s="13"/>
      <c r="N3" s="13"/>
      <c r="O3" s="15"/>
      <c r="P3" s="15"/>
      <c r="Q3" s="16"/>
    </row>
    <row r="4" spans="1:19" ht="13.5" thickBot="1" x14ac:dyDescent="0.25">
      <c r="A4" s="17"/>
      <c r="B4" s="18"/>
      <c r="C4" s="19"/>
      <c r="D4" s="20" t="s">
        <v>3</v>
      </c>
      <c r="E4" s="21" t="s">
        <v>4</v>
      </c>
      <c r="F4" s="87" t="s">
        <v>5</v>
      </c>
      <c r="G4" s="88"/>
      <c r="H4" s="88"/>
      <c r="I4" s="89"/>
      <c r="K4" s="17" t="s">
        <v>6</v>
      </c>
      <c r="L4" s="18"/>
      <c r="M4" s="22"/>
      <c r="N4" s="87" t="s">
        <v>7</v>
      </c>
      <c r="O4" s="88"/>
      <c r="P4" s="88"/>
      <c r="Q4" s="89"/>
    </row>
    <row r="5" spans="1:19" ht="13.5" thickBot="1" x14ac:dyDescent="0.25">
      <c r="A5" s="17" t="s">
        <v>6</v>
      </c>
      <c r="B5" s="23"/>
      <c r="C5" s="23"/>
      <c r="D5" s="24">
        <v>52554</v>
      </c>
      <c r="E5" s="25">
        <v>20699</v>
      </c>
      <c r="F5" s="90"/>
      <c r="G5" s="91"/>
      <c r="H5" s="91"/>
      <c r="I5" s="92"/>
      <c r="K5" s="17"/>
      <c r="L5" s="26">
        <v>1588100</v>
      </c>
      <c r="M5" s="27" t="s">
        <v>8</v>
      </c>
      <c r="N5" s="90"/>
      <c r="O5" s="91"/>
      <c r="P5" s="91"/>
      <c r="Q5" s="92"/>
    </row>
    <row r="6" spans="1:19" ht="13.5" thickBot="1" x14ac:dyDescent="0.25">
      <c r="A6" s="28"/>
      <c r="B6"/>
      <c r="C6"/>
      <c r="E6" s="22"/>
      <c r="F6" s="87" t="s">
        <v>9</v>
      </c>
      <c r="G6" s="88"/>
      <c r="H6" s="88"/>
      <c r="I6" s="89"/>
      <c r="K6" s="28"/>
      <c r="M6" s="27">
        <v>1.08</v>
      </c>
      <c r="N6" s="87" t="s">
        <v>10</v>
      </c>
      <c r="O6" s="88"/>
      <c r="P6" s="88"/>
      <c r="Q6" s="89"/>
    </row>
    <row r="7" spans="1:19" ht="13.5" thickBot="1" x14ac:dyDescent="0.25">
      <c r="A7" s="96" t="s">
        <v>11</v>
      </c>
      <c r="B7" s="97"/>
      <c r="C7" s="29"/>
      <c r="D7" s="27">
        <v>7.8100000000000003E-2</v>
      </c>
      <c r="E7" s="22"/>
      <c r="F7" s="90"/>
      <c r="G7" s="91"/>
      <c r="H7" s="91"/>
      <c r="I7" s="92"/>
      <c r="K7" s="30"/>
      <c r="L7" s="22"/>
      <c r="M7" s="22"/>
      <c r="N7" s="90"/>
      <c r="O7" s="91"/>
      <c r="P7" s="91"/>
      <c r="Q7" s="92"/>
    </row>
    <row r="8" spans="1:19" ht="13.5" thickBot="1" x14ac:dyDescent="0.25">
      <c r="A8" s="31"/>
      <c r="B8" s="22"/>
      <c r="C8" s="22"/>
      <c r="D8" s="22"/>
      <c r="E8" s="22"/>
      <c r="F8" s="32"/>
      <c r="G8" s="33"/>
      <c r="H8" s="33"/>
      <c r="I8" s="16"/>
      <c r="K8" s="93" t="s">
        <v>12</v>
      </c>
      <c r="L8" s="95"/>
      <c r="M8" s="22"/>
      <c r="N8" s="22"/>
      <c r="O8" s="33"/>
      <c r="P8" s="33"/>
      <c r="Q8" s="16"/>
    </row>
    <row r="9" spans="1:19" s="38" customFormat="1" ht="25.5" x14ac:dyDescent="0.2">
      <c r="A9" s="34" t="s">
        <v>13</v>
      </c>
      <c r="B9" s="34" t="s">
        <v>14</v>
      </c>
      <c r="C9" s="34" t="s">
        <v>15</v>
      </c>
      <c r="D9" s="34" t="s">
        <v>16</v>
      </c>
      <c r="E9" s="34" t="s">
        <v>17</v>
      </c>
      <c r="F9" s="35" t="s">
        <v>18</v>
      </c>
      <c r="G9" s="36" t="s">
        <v>19</v>
      </c>
      <c r="H9" s="36" t="s">
        <v>20</v>
      </c>
      <c r="I9" s="37" t="s">
        <v>21</v>
      </c>
      <c r="K9" s="39" t="s">
        <v>13</v>
      </c>
      <c r="L9" s="39" t="s">
        <v>22</v>
      </c>
      <c r="M9" s="34" t="s">
        <v>23</v>
      </c>
      <c r="N9" s="34" t="s">
        <v>18</v>
      </c>
      <c r="O9" s="36" t="s">
        <v>19</v>
      </c>
      <c r="P9" s="36" t="s">
        <v>20</v>
      </c>
      <c r="Q9" s="37"/>
      <c r="S9" s="38">
        <f>7446.43/24513.7</f>
        <v>0.30376605734752404</v>
      </c>
    </row>
    <row r="10" spans="1:19" ht="16.5" customHeight="1" x14ac:dyDescent="0.2">
      <c r="A10" s="40">
        <v>1</v>
      </c>
      <c r="B10" s="40">
        <v>52570</v>
      </c>
      <c r="C10" s="40">
        <v>20721</v>
      </c>
      <c r="D10" s="40">
        <f>SUM(B10-D5)*600</f>
        <v>9600</v>
      </c>
      <c r="E10" s="40">
        <f>SUM(C10-E5)*600</f>
        <v>13200</v>
      </c>
      <c r="F10" s="9">
        <v>66</v>
      </c>
      <c r="G10" s="41">
        <f>SUM(D10*D$7)+SUM(E10*D$7)</f>
        <v>1780.68</v>
      </c>
      <c r="H10" s="42"/>
      <c r="I10" s="40"/>
      <c r="K10" s="40">
        <v>1</v>
      </c>
      <c r="L10" s="40">
        <v>1588250</v>
      </c>
      <c r="M10" s="40">
        <f>SUM(L10-L5)</f>
        <v>150</v>
      </c>
      <c r="N10" s="9">
        <v>66</v>
      </c>
      <c r="O10" s="42">
        <f>SUM(M10*M$6)</f>
        <v>162</v>
      </c>
      <c r="P10" s="42">
        <f>IF(N10=0,"",O10/N10)</f>
        <v>2.4545454545454546</v>
      </c>
      <c r="Q10" s="40"/>
    </row>
    <row r="11" spans="1:19" ht="16.5" customHeight="1" x14ac:dyDescent="0.2">
      <c r="A11" s="40">
        <v>2</v>
      </c>
      <c r="B11" s="40">
        <v>52586</v>
      </c>
      <c r="C11" s="40">
        <v>20741</v>
      </c>
      <c r="D11" s="40">
        <f>SUM(B11-B10)*600</f>
        <v>9600</v>
      </c>
      <c r="E11" s="40">
        <f>SUM(C11-C10)*600</f>
        <v>12000</v>
      </c>
      <c r="F11" s="9">
        <v>102</v>
      </c>
      <c r="G11" s="41">
        <f>SUM(D11*D$7)+SUM(E11*D$7)</f>
        <v>1686.96</v>
      </c>
      <c r="H11" s="42"/>
      <c r="I11" s="40"/>
      <c r="K11" s="40">
        <v>2</v>
      </c>
      <c r="L11" s="40">
        <v>1588349</v>
      </c>
      <c r="M11" s="40">
        <f>SUM(L11-L10)</f>
        <v>99</v>
      </c>
      <c r="N11" s="9">
        <v>102</v>
      </c>
      <c r="O11" s="42">
        <f>SUM(M11*M$6)</f>
        <v>106.92</v>
      </c>
      <c r="P11" s="42">
        <f t="shared" ref="P11:P41" si="0">IF(N11=0,"",O11/N11)</f>
        <v>1.0482352941176472</v>
      </c>
      <c r="Q11" s="40"/>
    </row>
    <row r="12" spans="1:19" ht="16.5" customHeight="1" x14ac:dyDescent="0.2">
      <c r="A12" s="40">
        <v>3</v>
      </c>
      <c r="B12" s="40">
        <v>52605</v>
      </c>
      <c r="C12" s="40">
        <v>20762</v>
      </c>
      <c r="D12" s="40">
        <f t="shared" ref="D12:D40" si="1">SUM(B12-B11)*600</f>
        <v>11400</v>
      </c>
      <c r="E12" s="40">
        <f t="shared" ref="E12:E40" si="2">SUM(C12-C11)*600</f>
        <v>12600</v>
      </c>
      <c r="F12" s="9">
        <v>130</v>
      </c>
      <c r="G12" s="41">
        <f t="shared" ref="G12:G40" si="3">SUM(D12*D$7)+SUM(E12*D$7)</f>
        <v>1874.4</v>
      </c>
      <c r="H12" s="42"/>
      <c r="I12" s="40"/>
      <c r="K12" s="40">
        <v>3</v>
      </c>
      <c r="L12" s="40">
        <v>1588472</v>
      </c>
      <c r="M12" s="40">
        <f t="shared" ref="M12:M40" si="4">SUM(L12-L11)</f>
        <v>123</v>
      </c>
      <c r="N12" s="9">
        <v>130</v>
      </c>
      <c r="O12" s="42">
        <f t="shared" ref="O12:O40" si="5">SUM(M12*M$6)</f>
        <v>132.84</v>
      </c>
      <c r="P12" s="42">
        <f t="shared" si="0"/>
        <v>1.0218461538461538</v>
      </c>
      <c r="Q12" s="40"/>
    </row>
    <row r="13" spans="1:19" ht="16.5" customHeight="1" x14ac:dyDescent="0.2">
      <c r="A13" s="40">
        <v>4</v>
      </c>
      <c r="B13" s="40">
        <v>52628</v>
      </c>
      <c r="C13" s="40">
        <v>20787</v>
      </c>
      <c r="D13" s="40">
        <f t="shared" si="1"/>
        <v>13800</v>
      </c>
      <c r="E13" s="40">
        <f t="shared" si="2"/>
        <v>15000</v>
      </c>
      <c r="F13" s="9">
        <v>123</v>
      </c>
      <c r="G13" s="41">
        <f t="shared" si="3"/>
        <v>2249.2799999999997</v>
      </c>
      <c r="H13" s="42"/>
      <c r="I13" s="40"/>
      <c r="K13" s="40">
        <v>4</v>
      </c>
      <c r="L13" s="40">
        <v>1588703</v>
      </c>
      <c r="M13" s="40">
        <f t="shared" si="4"/>
        <v>231</v>
      </c>
      <c r="N13" s="9">
        <v>123</v>
      </c>
      <c r="O13" s="42">
        <f t="shared" si="5"/>
        <v>249.48000000000002</v>
      </c>
      <c r="P13" s="42">
        <f t="shared" si="0"/>
        <v>2.0282926829268293</v>
      </c>
      <c r="Q13" s="40"/>
    </row>
    <row r="14" spans="1:19" ht="16.5" customHeight="1" x14ac:dyDescent="0.2">
      <c r="A14" s="40">
        <v>5</v>
      </c>
      <c r="B14" s="40">
        <v>52641</v>
      </c>
      <c r="C14" s="40">
        <v>20805</v>
      </c>
      <c r="D14" s="40">
        <f t="shared" si="1"/>
        <v>7800</v>
      </c>
      <c r="E14" s="40">
        <f t="shared" si="2"/>
        <v>10800</v>
      </c>
      <c r="F14" s="9">
        <v>130</v>
      </c>
      <c r="G14" s="41">
        <f t="shared" si="3"/>
        <v>1452.66</v>
      </c>
      <c r="H14" s="42"/>
      <c r="I14" s="40"/>
      <c r="K14" s="40">
        <v>5</v>
      </c>
      <c r="L14" s="40">
        <v>1588817</v>
      </c>
      <c r="M14" s="40">
        <f t="shared" si="4"/>
        <v>114</v>
      </c>
      <c r="N14" s="9">
        <v>130</v>
      </c>
      <c r="O14" s="42">
        <f t="shared" si="5"/>
        <v>123.12</v>
      </c>
      <c r="P14" s="42">
        <f t="shared" si="0"/>
        <v>0.94707692307692315</v>
      </c>
      <c r="Q14" s="40"/>
    </row>
    <row r="15" spans="1:19" ht="16.5" customHeight="1" x14ac:dyDescent="0.2">
      <c r="A15" s="40">
        <v>6</v>
      </c>
      <c r="B15" s="40">
        <v>52665</v>
      </c>
      <c r="C15" s="40">
        <v>20837</v>
      </c>
      <c r="D15" s="40">
        <f t="shared" si="1"/>
        <v>14400</v>
      </c>
      <c r="E15" s="40">
        <f t="shared" si="2"/>
        <v>19200</v>
      </c>
      <c r="F15" s="9">
        <v>126</v>
      </c>
      <c r="G15" s="41">
        <f t="shared" si="3"/>
        <v>2624.16</v>
      </c>
      <c r="H15" s="42"/>
      <c r="I15" s="40"/>
      <c r="K15" s="40">
        <v>6</v>
      </c>
      <c r="L15" s="40">
        <v>1588958</v>
      </c>
      <c r="M15" s="40">
        <f t="shared" si="4"/>
        <v>141</v>
      </c>
      <c r="N15" s="9">
        <v>126</v>
      </c>
      <c r="O15" s="42">
        <f t="shared" si="5"/>
        <v>152.28</v>
      </c>
      <c r="P15" s="42">
        <f t="shared" si="0"/>
        <v>1.2085714285714286</v>
      </c>
      <c r="Q15" s="40"/>
    </row>
    <row r="16" spans="1:19" ht="16.5" customHeight="1" x14ac:dyDescent="0.2">
      <c r="A16" s="40">
        <v>7</v>
      </c>
      <c r="B16" s="40">
        <v>52682</v>
      </c>
      <c r="C16" s="40">
        <v>20853</v>
      </c>
      <c r="D16" s="40">
        <f t="shared" si="1"/>
        <v>10200</v>
      </c>
      <c r="E16" s="40">
        <f t="shared" si="2"/>
        <v>9600</v>
      </c>
      <c r="F16" s="9">
        <v>116</v>
      </c>
      <c r="G16" s="41">
        <f t="shared" si="3"/>
        <v>1546.38</v>
      </c>
      <c r="H16" s="42"/>
      <c r="I16" s="40"/>
      <c r="K16" s="40">
        <v>7</v>
      </c>
      <c r="L16" s="40">
        <v>1589121</v>
      </c>
      <c r="M16" s="40">
        <f t="shared" si="4"/>
        <v>163</v>
      </c>
      <c r="N16" s="9">
        <v>116</v>
      </c>
      <c r="O16" s="42">
        <f t="shared" si="5"/>
        <v>176.04000000000002</v>
      </c>
      <c r="P16" s="42">
        <f t="shared" si="0"/>
        <v>1.517586206896552</v>
      </c>
      <c r="Q16" s="40"/>
    </row>
    <row r="17" spans="1:17" ht="16.5" customHeight="1" x14ac:dyDescent="0.2">
      <c r="A17" s="40">
        <v>8</v>
      </c>
      <c r="B17" s="40">
        <v>52699</v>
      </c>
      <c r="C17" s="40">
        <v>20873</v>
      </c>
      <c r="D17" s="40">
        <f t="shared" si="1"/>
        <v>10200</v>
      </c>
      <c r="E17" s="40">
        <f t="shared" si="2"/>
        <v>12000</v>
      </c>
      <c r="F17" s="9">
        <v>61</v>
      </c>
      <c r="G17" s="41">
        <f t="shared" si="3"/>
        <v>1733.8200000000002</v>
      </c>
      <c r="H17" s="42"/>
      <c r="I17" s="40"/>
      <c r="K17" s="40">
        <v>8</v>
      </c>
      <c r="L17" s="40">
        <v>1589324</v>
      </c>
      <c r="M17" s="40">
        <f t="shared" si="4"/>
        <v>203</v>
      </c>
      <c r="N17" s="9">
        <v>61</v>
      </c>
      <c r="O17" s="42">
        <f t="shared" si="5"/>
        <v>219.24</v>
      </c>
      <c r="P17" s="42">
        <f t="shared" si="0"/>
        <v>3.594098360655738</v>
      </c>
      <c r="Q17" s="40"/>
    </row>
    <row r="18" spans="1:17" ht="16.5" customHeight="1" x14ac:dyDescent="0.2">
      <c r="A18" s="40">
        <v>9</v>
      </c>
      <c r="B18" s="40">
        <v>52719</v>
      </c>
      <c r="C18" s="40">
        <v>20898</v>
      </c>
      <c r="D18" s="40">
        <f t="shared" si="1"/>
        <v>12000</v>
      </c>
      <c r="E18" s="40">
        <f t="shared" si="2"/>
        <v>15000</v>
      </c>
      <c r="F18" s="9">
        <v>72</v>
      </c>
      <c r="G18" s="41">
        <f t="shared" si="3"/>
        <v>2108.6999999999998</v>
      </c>
      <c r="H18" s="42"/>
      <c r="I18" s="40"/>
      <c r="K18" s="40">
        <v>9</v>
      </c>
      <c r="L18" s="40">
        <v>1589452</v>
      </c>
      <c r="M18" s="40">
        <f t="shared" si="4"/>
        <v>128</v>
      </c>
      <c r="N18" s="9">
        <v>72</v>
      </c>
      <c r="O18" s="42">
        <f t="shared" si="5"/>
        <v>138.24</v>
      </c>
      <c r="P18" s="42">
        <f t="shared" si="0"/>
        <v>1.9200000000000002</v>
      </c>
      <c r="Q18" s="40"/>
    </row>
    <row r="19" spans="1:17" ht="16.5" customHeight="1" x14ac:dyDescent="0.2">
      <c r="A19" s="40">
        <v>10</v>
      </c>
      <c r="B19" s="40">
        <v>52738</v>
      </c>
      <c r="C19" s="40">
        <v>20919</v>
      </c>
      <c r="D19" s="40">
        <f t="shared" si="1"/>
        <v>11400</v>
      </c>
      <c r="E19" s="40">
        <f t="shared" si="2"/>
        <v>12600</v>
      </c>
      <c r="F19" s="9">
        <v>83</v>
      </c>
      <c r="G19" s="41">
        <f t="shared" si="3"/>
        <v>1874.4</v>
      </c>
      <c r="H19" s="42"/>
      <c r="I19" s="40"/>
      <c r="K19" s="40">
        <v>10</v>
      </c>
      <c r="L19" s="40">
        <v>1589616</v>
      </c>
      <c r="M19" s="40">
        <f t="shared" si="4"/>
        <v>164</v>
      </c>
      <c r="N19" s="9">
        <v>83</v>
      </c>
      <c r="O19" s="42">
        <f t="shared" si="5"/>
        <v>177.12</v>
      </c>
      <c r="P19" s="42">
        <f t="shared" si="0"/>
        <v>2.1339759036144579</v>
      </c>
      <c r="Q19" s="40"/>
    </row>
    <row r="20" spans="1:17" ht="16.5" customHeight="1" x14ac:dyDescent="0.2">
      <c r="A20" s="40">
        <v>11</v>
      </c>
      <c r="B20" s="40">
        <v>52753</v>
      </c>
      <c r="C20" s="40">
        <v>20942</v>
      </c>
      <c r="D20" s="40">
        <f t="shared" si="1"/>
        <v>9000</v>
      </c>
      <c r="E20" s="40">
        <f t="shared" si="2"/>
        <v>13800</v>
      </c>
      <c r="F20" s="9">
        <v>96</v>
      </c>
      <c r="G20" s="41">
        <f t="shared" si="3"/>
        <v>1780.6799999999998</v>
      </c>
      <c r="H20" s="42"/>
      <c r="I20" s="40"/>
      <c r="K20" s="40">
        <v>11</v>
      </c>
      <c r="L20" s="40">
        <v>1589838</v>
      </c>
      <c r="M20" s="40">
        <f t="shared" si="4"/>
        <v>222</v>
      </c>
      <c r="N20" s="9">
        <v>96</v>
      </c>
      <c r="O20" s="42">
        <f t="shared" si="5"/>
        <v>239.76000000000002</v>
      </c>
      <c r="P20" s="42">
        <f t="shared" si="0"/>
        <v>2.4975000000000001</v>
      </c>
      <c r="Q20" s="40"/>
    </row>
    <row r="21" spans="1:17" ht="16.5" customHeight="1" x14ac:dyDescent="0.2">
      <c r="A21" s="40">
        <v>12</v>
      </c>
      <c r="B21" s="40">
        <v>52781</v>
      </c>
      <c r="C21" s="40">
        <v>20970</v>
      </c>
      <c r="D21" s="40">
        <f t="shared" si="1"/>
        <v>16800</v>
      </c>
      <c r="E21" s="40">
        <f t="shared" si="2"/>
        <v>16800</v>
      </c>
      <c r="F21" s="9">
        <v>121</v>
      </c>
      <c r="G21" s="41">
        <f t="shared" si="3"/>
        <v>2624.1600000000003</v>
      </c>
      <c r="H21" s="42"/>
      <c r="I21" s="40"/>
      <c r="K21" s="40">
        <v>12</v>
      </c>
      <c r="L21" s="40">
        <v>1589978</v>
      </c>
      <c r="M21" s="40">
        <f t="shared" si="4"/>
        <v>140</v>
      </c>
      <c r="N21" s="9">
        <v>121</v>
      </c>
      <c r="O21" s="42">
        <f t="shared" si="5"/>
        <v>151.20000000000002</v>
      </c>
      <c r="P21" s="42">
        <f t="shared" si="0"/>
        <v>1.2495867768595044</v>
      </c>
      <c r="Q21" s="40"/>
    </row>
    <row r="22" spans="1:17" ht="16.5" customHeight="1" x14ac:dyDescent="0.2">
      <c r="A22" s="40">
        <v>13</v>
      </c>
      <c r="B22" s="40">
        <v>52800</v>
      </c>
      <c r="C22" s="40">
        <v>20991</v>
      </c>
      <c r="D22" s="40">
        <f t="shared" si="1"/>
        <v>11400</v>
      </c>
      <c r="E22" s="40">
        <f t="shared" si="2"/>
        <v>12600</v>
      </c>
      <c r="F22" s="9">
        <v>136</v>
      </c>
      <c r="G22" s="41">
        <f t="shared" si="3"/>
        <v>1874.4</v>
      </c>
      <c r="H22" s="42"/>
      <c r="I22" s="40"/>
      <c r="K22" s="40">
        <v>13</v>
      </c>
      <c r="L22" s="40">
        <v>1590099</v>
      </c>
      <c r="M22" s="40">
        <f t="shared" si="4"/>
        <v>121</v>
      </c>
      <c r="N22" s="9">
        <v>136</v>
      </c>
      <c r="O22" s="42">
        <f t="shared" si="5"/>
        <v>130.68</v>
      </c>
      <c r="P22" s="42">
        <f t="shared" si="0"/>
        <v>0.96088235294117652</v>
      </c>
      <c r="Q22" s="40"/>
    </row>
    <row r="23" spans="1:17" ht="16.5" customHeight="1" x14ac:dyDescent="0.2">
      <c r="A23" s="40">
        <v>14</v>
      </c>
      <c r="B23" s="40">
        <v>52818</v>
      </c>
      <c r="C23" s="40">
        <v>21011</v>
      </c>
      <c r="D23" s="40">
        <f t="shared" si="1"/>
        <v>10800</v>
      </c>
      <c r="E23" s="40">
        <f t="shared" si="2"/>
        <v>12000</v>
      </c>
      <c r="F23" s="9">
        <v>171</v>
      </c>
      <c r="G23" s="41">
        <f t="shared" si="3"/>
        <v>1780.68</v>
      </c>
      <c r="H23" s="42"/>
      <c r="I23" s="40"/>
      <c r="K23" s="40">
        <v>14</v>
      </c>
      <c r="L23" s="40">
        <v>1590287</v>
      </c>
      <c r="M23" s="40">
        <f t="shared" si="4"/>
        <v>188</v>
      </c>
      <c r="N23" s="9">
        <v>171</v>
      </c>
      <c r="O23" s="42">
        <f t="shared" si="5"/>
        <v>203.04000000000002</v>
      </c>
      <c r="P23" s="42">
        <f t="shared" si="0"/>
        <v>1.1873684210526316</v>
      </c>
      <c r="Q23" s="40"/>
    </row>
    <row r="24" spans="1:17" ht="16.5" customHeight="1" x14ac:dyDescent="0.2">
      <c r="A24" s="40">
        <v>15</v>
      </c>
      <c r="B24" s="40"/>
      <c r="C24" s="40"/>
      <c r="D24" s="40">
        <f t="shared" si="1"/>
        <v>-31690800</v>
      </c>
      <c r="E24" s="40">
        <f t="shared" si="2"/>
        <v>-12606600</v>
      </c>
      <c r="F24" s="9"/>
      <c r="G24" s="41">
        <f t="shared" si="3"/>
        <v>-3459626.94</v>
      </c>
      <c r="H24" s="42"/>
      <c r="I24" s="40"/>
      <c r="K24" s="40">
        <v>15</v>
      </c>
      <c r="L24" s="40"/>
      <c r="M24" s="40">
        <f t="shared" si="4"/>
        <v>-1590287</v>
      </c>
      <c r="N24" s="40"/>
      <c r="O24" s="42">
        <f t="shared" si="5"/>
        <v>-1717509.9600000002</v>
      </c>
      <c r="P24" s="42" t="str">
        <f t="shared" si="0"/>
        <v/>
      </c>
      <c r="Q24" s="40"/>
    </row>
    <row r="25" spans="1:17" ht="16.5" customHeight="1" x14ac:dyDescent="0.2">
      <c r="A25" s="40">
        <v>16</v>
      </c>
      <c r="B25" s="40"/>
      <c r="C25" s="40"/>
      <c r="D25" s="40">
        <f t="shared" si="1"/>
        <v>0</v>
      </c>
      <c r="E25" s="40">
        <f t="shared" si="2"/>
        <v>0</v>
      </c>
      <c r="F25" s="9"/>
      <c r="G25" s="41">
        <f t="shared" si="3"/>
        <v>0</v>
      </c>
      <c r="H25" s="42"/>
      <c r="I25" s="40"/>
      <c r="K25" s="40">
        <v>16</v>
      </c>
      <c r="L25" s="40"/>
      <c r="M25" s="40">
        <f t="shared" si="4"/>
        <v>0</v>
      </c>
      <c r="N25" s="40"/>
      <c r="O25" s="42">
        <f t="shared" si="5"/>
        <v>0</v>
      </c>
      <c r="P25" s="42" t="str">
        <f t="shared" si="0"/>
        <v/>
      </c>
      <c r="Q25" s="40"/>
    </row>
    <row r="26" spans="1:17" ht="16.5" customHeight="1" x14ac:dyDescent="0.2">
      <c r="A26" s="40">
        <v>17</v>
      </c>
      <c r="B26" s="40"/>
      <c r="C26" s="40"/>
      <c r="D26" s="40">
        <f t="shared" si="1"/>
        <v>0</v>
      </c>
      <c r="E26" s="40">
        <f t="shared" si="2"/>
        <v>0</v>
      </c>
      <c r="F26" s="9"/>
      <c r="G26" s="41">
        <f t="shared" si="3"/>
        <v>0</v>
      </c>
      <c r="H26" s="42"/>
      <c r="I26" s="40"/>
      <c r="K26" s="40">
        <v>17</v>
      </c>
      <c r="L26" s="40"/>
      <c r="M26" s="40">
        <f t="shared" si="4"/>
        <v>0</v>
      </c>
      <c r="N26" s="40"/>
      <c r="O26" s="42">
        <f t="shared" si="5"/>
        <v>0</v>
      </c>
      <c r="P26" s="42" t="str">
        <f t="shared" si="0"/>
        <v/>
      </c>
      <c r="Q26" s="40"/>
    </row>
    <row r="27" spans="1:17" ht="16.5" customHeight="1" x14ac:dyDescent="0.2">
      <c r="A27" s="40">
        <v>18</v>
      </c>
      <c r="B27" s="40"/>
      <c r="C27" s="40"/>
      <c r="D27" s="40">
        <f t="shared" si="1"/>
        <v>0</v>
      </c>
      <c r="E27" s="40">
        <f t="shared" si="2"/>
        <v>0</v>
      </c>
      <c r="F27" s="9"/>
      <c r="G27" s="41">
        <f t="shared" si="3"/>
        <v>0</v>
      </c>
      <c r="H27" s="42"/>
      <c r="I27" s="40"/>
      <c r="K27" s="40">
        <v>18</v>
      </c>
      <c r="L27" s="13"/>
      <c r="M27" s="40">
        <f t="shared" si="4"/>
        <v>0</v>
      </c>
      <c r="N27" s="40"/>
      <c r="O27" s="42">
        <f t="shared" si="5"/>
        <v>0</v>
      </c>
      <c r="P27" s="42" t="str">
        <f t="shared" si="0"/>
        <v/>
      </c>
      <c r="Q27" s="40"/>
    </row>
    <row r="28" spans="1:17" ht="16.5" customHeight="1" x14ac:dyDescent="0.2">
      <c r="A28" s="40">
        <v>19</v>
      </c>
      <c r="B28" s="40"/>
      <c r="C28" s="40"/>
      <c r="D28" s="40">
        <f t="shared" si="1"/>
        <v>0</v>
      </c>
      <c r="E28" s="40">
        <f t="shared" si="2"/>
        <v>0</v>
      </c>
      <c r="F28" s="9"/>
      <c r="G28" s="41">
        <f t="shared" si="3"/>
        <v>0</v>
      </c>
      <c r="H28" s="42"/>
      <c r="I28" s="40"/>
      <c r="K28" s="40">
        <v>19</v>
      </c>
      <c r="L28" s="40"/>
      <c r="M28" s="40">
        <f t="shared" si="4"/>
        <v>0</v>
      </c>
      <c r="N28" s="40"/>
      <c r="O28" s="42">
        <f t="shared" si="5"/>
        <v>0</v>
      </c>
      <c r="P28" s="42" t="str">
        <f t="shared" si="0"/>
        <v/>
      </c>
      <c r="Q28" s="40"/>
    </row>
    <row r="29" spans="1:17" ht="16.5" customHeight="1" x14ac:dyDescent="0.2">
      <c r="A29" s="40">
        <v>20</v>
      </c>
      <c r="B29" s="40"/>
      <c r="C29" s="40"/>
      <c r="D29" s="40">
        <f t="shared" si="1"/>
        <v>0</v>
      </c>
      <c r="E29" s="40">
        <f t="shared" si="2"/>
        <v>0</v>
      </c>
      <c r="F29" s="9"/>
      <c r="G29" s="41">
        <f t="shared" si="3"/>
        <v>0</v>
      </c>
      <c r="H29" s="42"/>
      <c r="I29" s="40"/>
      <c r="K29" s="40">
        <v>20</v>
      </c>
      <c r="L29" s="40"/>
      <c r="M29" s="40">
        <f t="shared" si="4"/>
        <v>0</v>
      </c>
      <c r="N29" s="40"/>
      <c r="O29" s="42">
        <f t="shared" si="5"/>
        <v>0</v>
      </c>
      <c r="P29" s="42" t="str">
        <f t="shared" si="0"/>
        <v/>
      </c>
      <c r="Q29" s="40"/>
    </row>
    <row r="30" spans="1:17" ht="16.5" customHeight="1" x14ac:dyDescent="0.2">
      <c r="A30" s="40">
        <v>21</v>
      </c>
      <c r="B30" s="40"/>
      <c r="C30" s="40"/>
      <c r="D30" s="40">
        <f t="shared" si="1"/>
        <v>0</v>
      </c>
      <c r="E30" s="40">
        <f t="shared" si="2"/>
        <v>0</v>
      </c>
      <c r="F30" s="9"/>
      <c r="G30" s="41">
        <f t="shared" si="3"/>
        <v>0</v>
      </c>
      <c r="H30" s="42"/>
      <c r="I30" s="40"/>
      <c r="K30" s="40">
        <v>21</v>
      </c>
      <c r="L30" s="40"/>
      <c r="M30" s="40">
        <f t="shared" si="4"/>
        <v>0</v>
      </c>
      <c r="N30" s="40"/>
      <c r="O30" s="42">
        <f t="shared" si="5"/>
        <v>0</v>
      </c>
      <c r="P30" s="42" t="str">
        <f t="shared" si="0"/>
        <v/>
      </c>
      <c r="Q30" s="40"/>
    </row>
    <row r="31" spans="1:17" ht="16.5" customHeight="1" x14ac:dyDescent="0.2">
      <c r="A31" s="40">
        <v>22</v>
      </c>
      <c r="B31" s="40"/>
      <c r="C31" s="40"/>
      <c r="D31" s="40">
        <f t="shared" si="1"/>
        <v>0</v>
      </c>
      <c r="E31" s="40">
        <f t="shared" si="2"/>
        <v>0</v>
      </c>
      <c r="F31" s="9"/>
      <c r="G31" s="41">
        <f t="shared" si="3"/>
        <v>0</v>
      </c>
      <c r="H31" s="42"/>
      <c r="I31" s="40"/>
      <c r="K31" s="40">
        <v>22</v>
      </c>
      <c r="L31" s="40"/>
      <c r="M31" s="40">
        <f t="shared" si="4"/>
        <v>0</v>
      </c>
      <c r="N31" s="40"/>
      <c r="O31" s="42">
        <f t="shared" si="5"/>
        <v>0</v>
      </c>
      <c r="P31" s="42" t="str">
        <f t="shared" si="0"/>
        <v/>
      </c>
      <c r="Q31" s="40"/>
    </row>
    <row r="32" spans="1:17" ht="16.5" customHeight="1" x14ac:dyDescent="0.2">
      <c r="A32" s="40">
        <v>23</v>
      </c>
      <c r="B32" s="40"/>
      <c r="C32" s="40"/>
      <c r="D32" s="40">
        <f t="shared" si="1"/>
        <v>0</v>
      </c>
      <c r="E32" s="40">
        <f t="shared" si="2"/>
        <v>0</v>
      </c>
      <c r="F32" s="9"/>
      <c r="G32" s="41">
        <f t="shared" si="3"/>
        <v>0</v>
      </c>
      <c r="H32" s="42"/>
      <c r="I32" s="40"/>
      <c r="K32" s="40">
        <v>23</v>
      </c>
      <c r="L32" s="40"/>
      <c r="M32" s="40">
        <f t="shared" si="4"/>
        <v>0</v>
      </c>
      <c r="N32" s="40"/>
      <c r="O32" s="42">
        <f t="shared" si="5"/>
        <v>0</v>
      </c>
      <c r="P32" s="42" t="str">
        <f t="shared" si="0"/>
        <v/>
      </c>
      <c r="Q32" s="40"/>
    </row>
    <row r="33" spans="1:17" ht="16.5" customHeight="1" x14ac:dyDescent="0.2">
      <c r="A33" s="40">
        <v>24</v>
      </c>
      <c r="B33" s="40"/>
      <c r="C33" s="40"/>
      <c r="D33" s="40">
        <f t="shared" si="1"/>
        <v>0</v>
      </c>
      <c r="E33" s="40">
        <f t="shared" si="2"/>
        <v>0</v>
      </c>
      <c r="F33" s="9"/>
      <c r="G33" s="41">
        <f t="shared" si="3"/>
        <v>0</v>
      </c>
      <c r="H33" s="42"/>
      <c r="I33" s="40"/>
      <c r="K33" s="40">
        <v>24</v>
      </c>
      <c r="L33" s="40"/>
      <c r="M33" s="40">
        <f t="shared" si="4"/>
        <v>0</v>
      </c>
      <c r="N33" s="40"/>
      <c r="O33" s="42">
        <f t="shared" si="5"/>
        <v>0</v>
      </c>
      <c r="P33" s="42" t="str">
        <f t="shared" si="0"/>
        <v/>
      </c>
      <c r="Q33" s="40"/>
    </row>
    <row r="34" spans="1:17" ht="16.5" customHeight="1" x14ac:dyDescent="0.2">
      <c r="A34" s="40">
        <v>25</v>
      </c>
      <c r="B34" s="40"/>
      <c r="C34" s="40"/>
      <c r="D34" s="40">
        <f t="shared" si="1"/>
        <v>0</v>
      </c>
      <c r="E34" s="40">
        <f t="shared" si="2"/>
        <v>0</v>
      </c>
      <c r="F34" s="9"/>
      <c r="G34" s="41">
        <f t="shared" si="3"/>
        <v>0</v>
      </c>
      <c r="H34" s="42"/>
      <c r="I34" s="40"/>
      <c r="K34" s="40">
        <v>25</v>
      </c>
      <c r="L34" s="40"/>
      <c r="M34" s="40">
        <f t="shared" si="4"/>
        <v>0</v>
      </c>
      <c r="N34" s="40"/>
      <c r="O34" s="42">
        <f t="shared" si="5"/>
        <v>0</v>
      </c>
      <c r="P34" s="42" t="str">
        <f t="shared" si="0"/>
        <v/>
      </c>
      <c r="Q34" s="40"/>
    </row>
    <row r="35" spans="1:17" ht="16.5" customHeight="1" x14ac:dyDescent="0.2">
      <c r="A35" s="40">
        <v>26</v>
      </c>
      <c r="B35" s="40"/>
      <c r="C35" s="40"/>
      <c r="D35" s="40">
        <f t="shared" si="1"/>
        <v>0</v>
      </c>
      <c r="E35" s="40">
        <f t="shared" si="2"/>
        <v>0</v>
      </c>
      <c r="F35" s="9"/>
      <c r="G35" s="41">
        <f t="shared" si="3"/>
        <v>0</v>
      </c>
      <c r="H35" s="42"/>
      <c r="I35" s="40"/>
      <c r="K35" s="40">
        <v>26</v>
      </c>
      <c r="L35" s="40"/>
      <c r="M35" s="40">
        <f t="shared" si="4"/>
        <v>0</v>
      </c>
      <c r="N35" s="40"/>
      <c r="O35" s="42">
        <f t="shared" si="5"/>
        <v>0</v>
      </c>
      <c r="P35" s="42" t="str">
        <f t="shared" si="0"/>
        <v/>
      </c>
      <c r="Q35" s="40"/>
    </row>
    <row r="36" spans="1:17" ht="16.5" customHeight="1" x14ac:dyDescent="0.2">
      <c r="A36" s="40">
        <v>27</v>
      </c>
      <c r="B36" s="40"/>
      <c r="C36" s="40"/>
      <c r="D36" s="40">
        <f t="shared" si="1"/>
        <v>0</v>
      </c>
      <c r="E36" s="40">
        <f t="shared" si="2"/>
        <v>0</v>
      </c>
      <c r="F36" s="9"/>
      <c r="G36" s="41">
        <f t="shared" si="3"/>
        <v>0</v>
      </c>
      <c r="H36" s="42"/>
      <c r="I36" s="40"/>
      <c r="K36" s="40">
        <v>27</v>
      </c>
      <c r="L36" s="40"/>
      <c r="M36" s="40">
        <f t="shared" si="4"/>
        <v>0</v>
      </c>
      <c r="N36" s="40"/>
      <c r="O36" s="42">
        <f t="shared" si="5"/>
        <v>0</v>
      </c>
      <c r="P36" s="42" t="str">
        <f t="shared" si="0"/>
        <v/>
      </c>
      <c r="Q36" s="40"/>
    </row>
    <row r="37" spans="1:17" ht="16.5" customHeight="1" x14ac:dyDescent="0.2">
      <c r="A37" s="40">
        <v>28</v>
      </c>
      <c r="B37" s="40"/>
      <c r="C37" s="40"/>
      <c r="D37" s="40">
        <f t="shared" si="1"/>
        <v>0</v>
      </c>
      <c r="E37" s="40">
        <f t="shared" si="2"/>
        <v>0</v>
      </c>
      <c r="F37" s="9"/>
      <c r="G37" s="41">
        <f t="shared" si="3"/>
        <v>0</v>
      </c>
      <c r="H37" s="42"/>
      <c r="I37" s="40"/>
      <c r="K37" s="40">
        <v>28</v>
      </c>
      <c r="L37" s="40"/>
      <c r="M37" s="40">
        <f t="shared" si="4"/>
        <v>0</v>
      </c>
      <c r="N37" s="40"/>
      <c r="O37" s="42">
        <f t="shared" si="5"/>
        <v>0</v>
      </c>
      <c r="P37" s="42" t="str">
        <f t="shared" si="0"/>
        <v/>
      </c>
      <c r="Q37" s="40"/>
    </row>
    <row r="38" spans="1:17" ht="16.5" customHeight="1" x14ac:dyDescent="0.2">
      <c r="A38" s="40">
        <v>29</v>
      </c>
      <c r="B38" s="40"/>
      <c r="C38" s="40"/>
      <c r="D38" s="40">
        <f t="shared" si="1"/>
        <v>0</v>
      </c>
      <c r="E38" s="40">
        <f t="shared" si="2"/>
        <v>0</v>
      </c>
      <c r="F38" s="9"/>
      <c r="G38" s="41">
        <f t="shared" si="3"/>
        <v>0</v>
      </c>
      <c r="H38" s="42"/>
      <c r="I38" s="40"/>
      <c r="K38" s="40">
        <v>29</v>
      </c>
      <c r="L38" s="40"/>
      <c r="M38" s="40">
        <f t="shared" si="4"/>
        <v>0</v>
      </c>
      <c r="N38" s="40"/>
      <c r="O38" s="42">
        <f t="shared" si="5"/>
        <v>0</v>
      </c>
      <c r="P38" s="42" t="str">
        <f t="shared" si="0"/>
        <v/>
      </c>
      <c r="Q38" s="40"/>
    </row>
    <row r="39" spans="1:17" ht="16.5" customHeight="1" x14ac:dyDescent="0.2">
      <c r="A39" s="40">
        <v>30</v>
      </c>
      <c r="B39" s="40"/>
      <c r="C39" s="40"/>
      <c r="D39" s="40">
        <f t="shared" si="1"/>
        <v>0</v>
      </c>
      <c r="E39" s="40">
        <f t="shared" si="2"/>
        <v>0</v>
      </c>
      <c r="F39" s="9"/>
      <c r="G39" s="41">
        <f t="shared" si="3"/>
        <v>0</v>
      </c>
      <c r="H39" s="42"/>
      <c r="I39" s="40"/>
      <c r="K39" s="40">
        <v>30</v>
      </c>
      <c r="L39" s="40"/>
      <c r="M39" s="40">
        <f t="shared" si="4"/>
        <v>0</v>
      </c>
      <c r="N39" s="40"/>
      <c r="O39" s="42">
        <f t="shared" si="5"/>
        <v>0</v>
      </c>
      <c r="P39" s="42" t="str">
        <f t="shared" si="0"/>
        <v/>
      </c>
      <c r="Q39" s="40"/>
    </row>
    <row r="40" spans="1:17" ht="16.5" customHeight="1" thickBot="1" x14ac:dyDescent="0.25">
      <c r="A40" s="40">
        <v>31</v>
      </c>
      <c r="B40" s="43"/>
      <c r="C40" s="43"/>
      <c r="D40" s="40">
        <f t="shared" si="1"/>
        <v>0</v>
      </c>
      <c r="E40" s="40">
        <f t="shared" si="2"/>
        <v>0</v>
      </c>
      <c r="F40" s="44"/>
      <c r="G40" s="41">
        <f t="shared" si="3"/>
        <v>0</v>
      </c>
      <c r="H40" s="42"/>
      <c r="I40" s="43"/>
      <c r="K40" s="43">
        <v>31</v>
      </c>
      <c r="L40" s="43"/>
      <c r="M40" s="40">
        <f t="shared" si="4"/>
        <v>0</v>
      </c>
      <c r="N40" s="40"/>
      <c r="O40" s="42">
        <f t="shared" si="5"/>
        <v>0</v>
      </c>
      <c r="P40" s="45" t="str">
        <f t="shared" si="0"/>
        <v/>
      </c>
      <c r="Q40" s="43"/>
    </row>
    <row r="41" spans="1:17" ht="12.75" customHeight="1" thickBot="1" x14ac:dyDescent="0.25">
      <c r="A41" s="46" t="s">
        <v>24</v>
      </c>
      <c r="B41" s="47"/>
      <c r="C41" s="47"/>
      <c r="D41" s="47">
        <f>SUM(D10:D40)</f>
        <v>-31532400</v>
      </c>
      <c r="E41" s="47">
        <f>SUM(E10:E40)</f>
        <v>-12419400</v>
      </c>
      <c r="F41" s="48">
        <f>SUM(F10:F40)</f>
        <v>1533</v>
      </c>
      <c r="G41" s="49">
        <f>SUM(G10:G40)</f>
        <v>-3432635.58</v>
      </c>
      <c r="H41" s="49">
        <f>G41/F41</f>
        <v>-2239.1621526418785</v>
      </c>
      <c r="I41" s="50"/>
      <c r="K41" s="46" t="s">
        <v>24</v>
      </c>
      <c r="L41" s="47"/>
      <c r="M41" s="47">
        <f>SUM(M10:M40)</f>
        <v>-1588100</v>
      </c>
      <c r="N41" s="47">
        <f>SUM(N10:N40)</f>
        <v>1533</v>
      </c>
      <c r="O41" s="49">
        <f>SUM(M41*0.15)</f>
        <v>-238215</v>
      </c>
      <c r="P41" s="49">
        <f t="shared" si="0"/>
        <v>-155.39138943248531</v>
      </c>
      <c r="Q41" s="50"/>
    </row>
    <row r="42" spans="1:17" ht="13.5" thickBot="1" x14ac:dyDescent="0.25"/>
    <row r="43" spans="1:17" ht="16.5" thickBot="1" x14ac:dyDescent="0.3">
      <c r="A43" s="98" t="s">
        <v>0</v>
      </c>
      <c r="B43" s="99"/>
      <c r="C43" s="100"/>
      <c r="D43" s="100"/>
      <c r="E43" s="100"/>
      <c r="F43" s="100"/>
      <c r="G43" s="100"/>
      <c r="H43" s="101"/>
      <c r="I43" s="22"/>
      <c r="K43" s="83" t="s">
        <v>0</v>
      </c>
      <c r="L43" s="84"/>
      <c r="M43" s="84"/>
      <c r="N43" s="84"/>
      <c r="O43" s="84"/>
      <c r="P43" s="84"/>
      <c r="Q43" s="84"/>
    </row>
    <row r="44" spans="1:17" x14ac:dyDescent="0.2">
      <c r="A44" s="102" t="s">
        <v>2</v>
      </c>
      <c r="B44" s="103"/>
      <c r="C44" s="104"/>
      <c r="D44" s="104"/>
      <c r="E44" s="52"/>
      <c r="F44" s="52"/>
      <c r="G44" s="53"/>
      <c r="H44" s="54"/>
      <c r="K44" s="11"/>
      <c r="L44" s="85" t="s">
        <v>2</v>
      </c>
      <c r="M44" s="86"/>
      <c r="N44" s="86"/>
      <c r="O44" s="86"/>
      <c r="P44" s="86"/>
      <c r="Q44" s="75"/>
    </row>
    <row r="45" spans="1:17" ht="13.5" thickBot="1" x14ac:dyDescent="0.25">
      <c r="A45" s="12"/>
      <c r="F45" s="13"/>
      <c r="G45" s="14"/>
      <c r="H45" s="55"/>
      <c r="K45" s="12"/>
      <c r="L45" s="13"/>
      <c r="M45" s="13"/>
      <c r="N45" s="13"/>
      <c r="O45" s="15"/>
      <c r="P45" s="15"/>
      <c r="Q45" s="16"/>
    </row>
    <row r="46" spans="1:17" ht="13.5" thickBot="1" x14ac:dyDescent="0.25">
      <c r="A46" s="17" t="s">
        <v>6</v>
      </c>
      <c r="B46" s="18"/>
      <c r="C46" s="18"/>
      <c r="D46" s="18"/>
      <c r="E46" s="22"/>
      <c r="F46" s="56" t="s">
        <v>25</v>
      </c>
      <c r="G46" s="57"/>
      <c r="H46" s="58"/>
      <c r="I46" s="59"/>
      <c r="K46" s="17" t="s">
        <v>6</v>
      </c>
      <c r="L46" s="18"/>
      <c r="M46" s="22"/>
      <c r="N46" s="87" t="s">
        <v>26</v>
      </c>
      <c r="O46" s="88"/>
      <c r="P46" s="88"/>
      <c r="Q46" s="89"/>
    </row>
    <row r="47" spans="1:17" ht="13.5" thickBot="1" x14ac:dyDescent="0.25">
      <c r="A47" s="17"/>
      <c r="B47" s="26">
        <v>13468</v>
      </c>
      <c r="C47" s="26">
        <v>13717</v>
      </c>
      <c r="D47" s="18"/>
      <c r="E47" s="27" t="s">
        <v>8</v>
      </c>
      <c r="F47" s="56" t="s">
        <v>27</v>
      </c>
      <c r="G47" s="57"/>
      <c r="H47" s="58"/>
      <c r="I47" s="59"/>
      <c r="K47" s="17"/>
      <c r="L47" s="26">
        <v>96588</v>
      </c>
      <c r="M47" s="27" t="s">
        <v>8</v>
      </c>
      <c r="N47" s="90"/>
      <c r="O47" s="91"/>
      <c r="P47" s="91"/>
      <c r="Q47" s="92"/>
    </row>
    <row r="48" spans="1:17" ht="13.5" thickBot="1" x14ac:dyDescent="0.25">
      <c r="A48" s="28"/>
      <c r="B48"/>
      <c r="C48"/>
      <c r="D48"/>
      <c r="E48" s="27">
        <v>4.6500000000000004</v>
      </c>
      <c r="F48" s="56" t="s">
        <v>28</v>
      </c>
      <c r="G48" s="57"/>
      <c r="H48" s="58"/>
      <c r="I48" s="59"/>
      <c r="K48" s="28"/>
      <c r="M48" s="27">
        <v>1.08</v>
      </c>
      <c r="N48" s="87" t="s">
        <v>29</v>
      </c>
      <c r="O48" s="88"/>
      <c r="P48" s="88"/>
      <c r="Q48" s="89"/>
    </row>
    <row r="49" spans="1:17" ht="13.5" thickBot="1" x14ac:dyDescent="0.25">
      <c r="A49" s="105" t="s">
        <v>30</v>
      </c>
      <c r="B49" s="106"/>
      <c r="C49" s="95"/>
      <c r="D49" s="29"/>
      <c r="E49" s="22"/>
      <c r="F49" s="56"/>
      <c r="G49" s="57"/>
      <c r="H49" s="58"/>
      <c r="I49" s="59"/>
      <c r="K49" s="30"/>
      <c r="L49" s="22"/>
      <c r="M49" s="22"/>
      <c r="N49" s="90"/>
      <c r="O49" s="91"/>
      <c r="P49" s="91"/>
      <c r="Q49" s="92"/>
    </row>
    <row r="50" spans="1:17" ht="13.5" thickBot="1" x14ac:dyDescent="0.25">
      <c r="A50" s="60"/>
      <c r="B50" s="61"/>
      <c r="C50" s="74"/>
      <c r="D50" s="74"/>
      <c r="E50" s="74"/>
      <c r="F50" s="74"/>
      <c r="G50" s="62"/>
      <c r="H50" s="63"/>
      <c r="K50" s="93" t="s">
        <v>31</v>
      </c>
      <c r="L50" s="95"/>
      <c r="M50" s="22"/>
      <c r="N50" s="22"/>
      <c r="O50" s="33"/>
      <c r="P50" s="33"/>
      <c r="Q50" s="16"/>
    </row>
    <row r="51" spans="1:17" ht="25.5" x14ac:dyDescent="0.2">
      <c r="A51" s="39" t="s">
        <v>13</v>
      </c>
      <c r="B51" s="39" t="s">
        <v>32</v>
      </c>
      <c r="C51" s="39" t="s">
        <v>33</v>
      </c>
      <c r="D51" s="39" t="s">
        <v>34</v>
      </c>
      <c r="E51" s="39" t="s">
        <v>18</v>
      </c>
      <c r="F51" s="64" t="s">
        <v>19</v>
      </c>
      <c r="G51" s="65" t="s">
        <v>20</v>
      </c>
      <c r="H51" s="39"/>
      <c r="K51" s="39" t="s">
        <v>13</v>
      </c>
      <c r="L51" s="39" t="s">
        <v>22</v>
      </c>
      <c r="M51" s="34" t="s">
        <v>23</v>
      </c>
      <c r="N51" s="34" t="s">
        <v>18</v>
      </c>
      <c r="O51" s="36" t="s">
        <v>19</v>
      </c>
      <c r="P51" s="36" t="s">
        <v>20</v>
      </c>
      <c r="Q51" s="37"/>
    </row>
    <row r="52" spans="1:17" x14ac:dyDescent="0.2">
      <c r="A52" s="40">
        <v>1</v>
      </c>
      <c r="B52" s="40">
        <v>13802</v>
      </c>
      <c r="C52" s="40">
        <v>14081</v>
      </c>
      <c r="D52" s="40">
        <f>SUM(B52-B47)+(C52-C47)</f>
        <v>698</v>
      </c>
      <c r="E52" s="9">
        <v>66</v>
      </c>
      <c r="F52" s="42">
        <f>SUM(D52*E$48)</f>
        <v>3245.7000000000003</v>
      </c>
      <c r="G52" s="9"/>
      <c r="H52" s="40"/>
      <c r="K52" s="40">
        <v>1</v>
      </c>
      <c r="L52" s="40">
        <v>96610</v>
      </c>
      <c r="M52" s="40">
        <f>SUM(L52-L47)</f>
        <v>22</v>
      </c>
      <c r="N52" s="9">
        <v>66</v>
      </c>
      <c r="O52" s="42">
        <f>SUM(M52*M$48)</f>
        <v>23.76</v>
      </c>
      <c r="P52" s="42">
        <f>IF(N52=0,"",O52/N52)</f>
        <v>0.36000000000000004</v>
      </c>
      <c r="Q52" s="40"/>
    </row>
    <row r="53" spans="1:17" x14ac:dyDescent="0.2">
      <c r="A53" s="40">
        <v>2</v>
      </c>
      <c r="B53" s="40">
        <v>13995</v>
      </c>
      <c r="C53" s="40">
        <v>14301</v>
      </c>
      <c r="D53" s="40">
        <f>SUM(B53-B52)+(C53-C52)</f>
        <v>413</v>
      </c>
      <c r="E53" s="9">
        <v>102</v>
      </c>
      <c r="F53" s="42">
        <f>SUM(D53*E$48)</f>
        <v>1920.45</v>
      </c>
      <c r="G53" s="9"/>
      <c r="H53" s="40"/>
      <c r="K53" s="40">
        <v>2</v>
      </c>
      <c r="L53" s="40">
        <v>96738</v>
      </c>
      <c r="M53" s="40">
        <f>SUM(L53-L52)</f>
        <v>128</v>
      </c>
      <c r="N53" s="9">
        <v>102</v>
      </c>
      <c r="O53" s="42">
        <f>SUM(M53*M$48)</f>
        <v>138.24</v>
      </c>
      <c r="P53" s="42">
        <f t="shared" ref="P53:P83" si="6">IF(N53=0,"",O53/N53)</f>
        <v>1.355294117647059</v>
      </c>
      <c r="Q53" s="40"/>
    </row>
    <row r="54" spans="1:17" x14ac:dyDescent="0.2">
      <c r="A54" s="40">
        <v>3</v>
      </c>
      <c r="B54" s="40">
        <v>14326</v>
      </c>
      <c r="C54" s="40">
        <v>14587</v>
      </c>
      <c r="D54" s="40">
        <f t="shared" ref="D54:D82" si="7">SUM(B54-B53)+(C54-C53)</f>
        <v>617</v>
      </c>
      <c r="E54" s="9">
        <v>130</v>
      </c>
      <c r="F54" s="42">
        <f t="shared" ref="F54:F82" si="8">SUM(D54*E$48)</f>
        <v>2869.05</v>
      </c>
      <c r="G54" s="9"/>
      <c r="H54" s="40"/>
      <c r="K54" s="40">
        <v>3</v>
      </c>
      <c r="L54" s="40">
        <v>96830</v>
      </c>
      <c r="M54" s="40">
        <f t="shared" ref="M54:M82" si="9">SUM(L54-L53)</f>
        <v>92</v>
      </c>
      <c r="N54" s="9">
        <v>130</v>
      </c>
      <c r="O54" s="42">
        <f t="shared" ref="O54:O82" si="10">SUM(M54*M$48)</f>
        <v>99.360000000000014</v>
      </c>
      <c r="P54" s="42">
        <f t="shared" si="6"/>
        <v>0.76430769230769247</v>
      </c>
      <c r="Q54" s="40"/>
    </row>
    <row r="55" spans="1:17" x14ac:dyDescent="0.2">
      <c r="A55" s="40">
        <v>4</v>
      </c>
      <c r="B55" s="40">
        <v>14717</v>
      </c>
      <c r="C55" s="40">
        <v>14973</v>
      </c>
      <c r="D55" s="40">
        <f t="shared" si="7"/>
        <v>777</v>
      </c>
      <c r="E55" s="9">
        <v>123</v>
      </c>
      <c r="F55" s="42">
        <f t="shared" si="8"/>
        <v>3613.05</v>
      </c>
      <c r="G55" s="9"/>
      <c r="H55" s="40"/>
      <c r="K55" s="40">
        <v>4</v>
      </c>
      <c r="L55" s="40">
        <v>96942</v>
      </c>
      <c r="M55" s="40">
        <f t="shared" si="9"/>
        <v>112</v>
      </c>
      <c r="N55" s="9">
        <v>123</v>
      </c>
      <c r="O55" s="42">
        <f t="shared" si="10"/>
        <v>120.96000000000001</v>
      </c>
      <c r="P55" s="42">
        <f t="shared" si="6"/>
        <v>0.98341463414634156</v>
      </c>
      <c r="Q55" s="40"/>
    </row>
    <row r="56" spans="1:17" x14ac:dyDescent="0.2">
      <c r="A56" s="40">
        <v>5</v>
      </c>
      <c r="B56" s="40">
        <v>14928</v>
      </c>
      <c r="C56" s="40">
        <v>15211</v>
      </c>
      <c r="D56" s="40">
        <f t="shared" si="7"/>
        <v>449</v>
      </c>
      <c r="E56" s="9">
        <v>130</v>
      </c>
      <c r="F56" s="42">
        <f t="shared" si="8"/>
        <v>2087.8500000000004</v>
      </c>
      <c r="G56" s="9"/>
      <c r="H56" s="40"/>
      <c r="K56" s="40">
        <v>5</v>
      </c>
      <c r="L56" s="40">
        <v>97002</v>
      </c>
      <c r="M56" s="40">
        <f t="shared" si="9"/>
        <v>60</v>
      </c>
      <c r="N56" s="9">
        <v>130</v>
      </c>
      <c r="O56" s="42">
        <f t="shared" si="10"/>
        <v>64.800000000000011</v>
      </c>
      <c r="P56" s="42">
        <f t="shared" si="6"/>
        <v>0.49846153846153857</v>
      </c>
      <c r="Q56" s="40"/>
    </row>
    <row r="57" spans="1:17" x14ac:dyDescent="0.2">
      <c r="A57" s="40">
        <v>6</v>
      </c>
      <c r="B57" s="40">
        <v>15266</v>
      </c>
      <c r="C57" s="40">
        <v>15611</v>
      </c>
      <c r="D57" s="40">
        <f t="shared" si="7"/>
        <v>738</v>
      </c>
      <c r="E57" s="9">
        <v>126</v>
      </c>
      <c r="F57" s="42">
        <f t="shared" si="8"/>
        <v>3431.7000000000003</v>
      </c>
      <c r="G57" s="9"/>
      <c r="H57" s="40"/>
      <c r="K57" s="40">
        <v>6</v>
      </c>
      <c r="L57" s="40">
        <v>97114</v>
      </c>
      <c r="M57" s="40">
        <f t="shared" si="9"/>
        <v>112</v>
      </c>
      <c r="N57" s="9">
        <v>126</v>
      </c>
      <c r="O57" s="42">
        <f t="shared" si="10"/>
        <v>120.96000000000001</v>
      </c>
      <c r="P57" s="42">
        <f t="shared" si="6"/>
        <v>0.96000000000000008</v>
      </c>
      <c r="Q57" s="40"/>
    </row>
    <row r="58" spans="1:17" x14ac:dyDescent="0.2">
      <c r="A58" s="40">
        <v>7</v>
      </c>
      <c r="B58" s="40">
        <v>15576</v>
      </c>
      <c r="C58" s="40">
        <v>15906</v>
      </c>
      <c r="D58" s="40">
        <f t="shared" si="7"/>
        <v>605</v>
      </c>
      <c r="E58" s="9">
        <v>116</v>
      </c>
      <c r="F58" s="42">
        <f t="shared" si="8"/>
        <v>2813.25</v>
      </c>
      <c r="G58" s="9"/>
      <c r="H58" s="40"/>
      <c r="K58" s="40">
        <v>7</v>
      </c>
      <c r="L58" s="40">
        <v>97217</v>
      </c>
      <c r="M58" s="40">
        <f t="shared" si="9"/>
        <v>103</v>
      </c>
      <c r="N58" s="9">
        <v>116</v>
      </c>
      <c r="O58" s="42">
        <f t="shared" si="10"/>
        <v>111.24000000000001</v>
      </c>
      <c r="P58" s="42">
        <f t="shared" si="6"/>
        <v>0.95896551724137935</v>
      </c>
      <c r="Q58" s="40"/>
    </row>
    <row r="59" spans="1:17" x14ac:dyDescent="0.2">
      <c r="A59" s="40">
        <v>8</v>
      </c>
      <c r="B59" s="40">
        <v>16256</v>
      </c>
      <c r="C59" s="40">
        <v>15983</v>
      </c>
      <c r="D59" s="40">
        <f t="shared" si="7"/>
        <v>757</v>
      </c>
      <c r="E59" s="9">
        <v>61</v>
      </c>
      <c r="F59" s="42">
        <f t="shared" si="8"/>
        <v>3520.05</v>
      </c>
      <c r="G59" s="9"/>
      <c r="H59" s="40"/>
      <c r="K59" s="40">
        <v>8</v>
      </c>
      <c r="L59" s="40">
        <v>97311</v>
      </c>
      <c r="M59" s="40">
        <f t="shared" si="9"/>
        <v>94</v>
      </c>
      <c r="N59" s="9">
        <v>61</v>
      </c>
      <c r="O59" s="42">
        <f t="shared" si="10"/>
        <v>101.52000000000001</v>
      </c>
      <c r="P59" s="42">
        <f t="shared" si="6"/>
        <v>1.6642622950819674</v>
      </c>
      <c r="Q59" s="40"/>
    </row>
    <row r="60" spans="1:17" x14ac:dyDescent="0.2">
      <c r="A60" s="40">
        <v>9</v>
      </c>
      <c r="B60" s="40">
        <v>16221</v>
      </c>
      <c r="C60" s="40">
        <v>16512</v>
      </c>
      <c r="D60" s="40">
        <f t="shared" si="7"/>
        <v>494</v>
      </c>
      <c r="E60" s="9">
        <v>72</v>
      </c>
      <c r="F60" s="42">
        <f t="shared" si="8"/>
        <v>2297.1000000000004</v>
      </c>
      <c r="G60" s="9"/>
      <c r="H60" s="40"/>
      <c r="K60" s="40">
        <v>9</v>
      </c>
      <c r="L60" s="40">
        <v>97384</v>
      </c>
      <c r="M60" s="40">
        <f t="shared" si="9"/>
        <v>73</v>
      </c>
      <c r="N60" s="9">
        <v>72</v>
      </c>
      <c r="O60" s="42">
        <f t="shared" si="10"/>
        <v>78.84</v>
      </c>
      <c r="P60" s="42">
        <f t="shared" si="6"/>
        <v>1.095</v>
      </c>
      <c r="Q60" s="40"/>
    </row>
    <row r="61" spans="1:17" x14ac:dyDescent="0.2">
      <c r="A61" s="40">
        <v>10</v>
      </c>
      <c r="B61" s="40">
        <v>16471</v>
      </c>
      <c r="C61" s="40">
        <v>16801</v>
      </c>
      <c r="D61" s="40">
        <f t="shared" si="7"/>
        <v>539</v>
      </c>
      <c r="E61" s="9">
        <v>83</v>
      </c>
      <c r="F61" s="42">
        <f t="shared" si="8"/>
        <v>2506.3500000000004</v>
      </c>
      <c r="G61" s="9"/>
      <c r="H61" s="40"/>
      <c r="K61" s="40">
        <v>10</v>
      </c>
      <c r="L61" s="40">
        <v>97475</v>
      </c>
      <c r="M61" s="40">
        <f t="shared" si="9"/>
        <v>91</v>
      </c>
      <c r="N61" s="9">
        <v>83</v>
      </c>
      <c r="O61" s="42">
        <f t="shared" si="10"/>
        <v>98.28</v>
      </c>
      <c r="P61" s="42">
        <f t="shared" si="6"/>
        <v>1.1840963855421687</v>
      </c>
      <c r="Q61" s="40"/>
    </row>
    <row r="62" spans="1:17" x14ac:dyDescent="0.2">
      <c r="A62" s="40">
        <v>11</v>
      </c>
      <c r="B62" s="40">
        <v>16882</v>
      </c>
      <c r="C62" s="40">
        <v>17200</v>
      </c>
      <c r="D62" s="40">
        <f t="shared" si="7"/>
        <v>810</v>
      </c>
      <c r="E62" s="9">
        <v>96</v>
      </c>
      <c r="F62" s="42">
        <f t="shared" si="8"/>
        <v>3766.5000000000005</v>
      </c>
      <c r="G62" s="9"/>
      <c r="H62" s="40"/>
      <c r="K62" s="40">
        <v>11</v>
      </c>
      <c r="L62" s="40">
        <v>97516</v>
      </c>
      <c r="M62" s="40">
        <f t="shared" si="9"/>
        <v>41</v>
      </c>
      <c r="N62" s="9">
        <v>96</v>
      </c>
      <c r="O62" s="42">
        <f t="shared" si="10"/>
        <v>44.28</v>
      </c>
      <c r="P62" s="42">
        <f t="shared" si="6"/>
        <v>0.46124999999999999</v>
      </c>
      <c r="Q62" s="40"/>
    </row>
    <row r="63" spans="1:17" x14ac:dyDescent="0.2">
      <c r="A63" s="40">
        <v>12</v>
      </c>
      <c r="B63" s="40">
        <v>17156</v>
      </c>
      <c r="C63" s="40">
        <v>17496</v>
      </c>
      <c r="D63" s="40">
        <f t="shared" si="7"/>
        <v>570</v>
      </c>
      <c r="E63" s="9">
        <v>121</v>
      </c>
      <c r="F63" s="42">
        <f t="shared" si="8"/>
        <v>2650.5</v>
      </c>
      <c r="G63" s="9"/>
      <c r="H63" s="40"/>
      <c r="K63" s="40">
        <v>12</v>
      </c>
      <c r="L63" s="40">
        <v>97682</v>
      </c>
      <c r="M63" s="40">
        <f t="shared" si="9"/>
        <v>166</v>
      </c>
      <c r="N63" s="9">
        <v>121</v>
      </c>
      <c r="O63" s="42">
        <f t="shared" si="10"/>
        <v>179.28</v>
      </c>
      <c r="P63" s="42">
        <f t="shared" si="6"/>
        <v>1.4816528925619834</v>
      </c>
      <c r="Q63" s="40"/>
    </row>
    <row r="64" spans="1:17" x14ac:dyDescent="0.2">
      <c r="A64" s="40">
        <v>13</v>
      </c>
      <c r="B64" s="40">
        <v>17429</v>
      </c>
      <c r="C64" s="40">
        <v>17444</v>
      </c>
      <c r="D64" s="40">
        <f t="shared" si="7"/>
        <v>221</v>
      </c>
      <c r="E64" s="9">
        <v>136</v>
      </c>
      <c r="F64" s="42">
        <f t="shared" si="8"/>
        <v>1027.6500000000001</v>
      </c>
      <c r="G64" s="9"/>
      <c r="H64" s="40"/>
      <c r="K64" s="40">
        <v>13</v>
      </c>
      <c r="L64" s="40">
        <v>97746</v>
      </c>
      <c r="M64" s="40">
        <f t="shared" si="9"/>
        <v>64</v>
      </c>
      <c r="N64" s="9">
        <v>136</v>
      </c>
      <c r="O64" s="42">
        <f t="shared" si="10"/>
        <v>69.12</v>
      </c>
      <c r="P64" s="42">
        <f t="shared" si="6"/>
        <v>0.50823529411764712</v>
      </c>
      <c r="Q64" s="40"/>
    </row>
    <row r="65" spans="1:17" x14ac:dyDescent="0.2">
      <c r="A65" s="40">
        <v>14</v>
      </c>
      <c r="B65" s="40">
        <v>17907</v>
      </c>
      <c r="C65" s="40">
        <v>18131</v>
      </c>
      <c r="D65" s="40">
        <f t="shared" si="7"/>
        <v>1165</v>
      </c>
      <c r="E65" s="9">
        <v>171</v>
      </c>
      <c r="F65" s="42">
        <f t="shared" si="8"/>
        <v>5417.25</v>
      </c>
      <c r="G65" s="9"/>
      <c r="H65" s="40"/>
      <c r="K65" s="40">
        <v>14</v>
      </c>
      <c r="L65" s="40">
        <v>97847</v>
      </c>
      <c r="M65" s="40">
        <f t="shared" si="9"/>
        <v>101</v>
      </c>
      <c r="N65" s="9">
        <v>171</v>
      </c>
      <c r="O65" s="42">
        <f t="shared" si="10"/>
        <v>109.08000000000001</v>
      </c>
      <c r="P65" s="42">
        <f t="shared" si="6"/>
        <v>0.63789473684210529</v>
      </c>
      <c r="Q65" s="40"/>
    </row>
    <row r="66" spans="1:17" x14ac:dyDescent="0.2">
      <c r="A66" s="40">
        <v>15</v>
      </c>
      <c r="B66" s="40"/>
      <c r="C66" s="40"/>
      <c r="D66" s="40">
        <f>SUM(D52:D65)</f>
        <v>8853</v>
      </c>
      <c r="E66" s="40"/>
      <c r="F66" s="42">
        <f t="shared" si="8"/>
        <v>41166.450000000004</v>
      </c>
      <c r="G66" s="9"/>
      <c r="H66" s="40"/>
      <c r="K66" s="40">
        <v>15</v>
      </c>
      <c r="L66" s="40"/>
      <c r="M66" s="40">
        <f t="shared" si="9"/>
        <v>-97847</v>
      </c>
      <c r="N66" s="40"/>
      <c r="O66" s="42">
        <f t="shared" si="10"/>
        <v>-105674.76000000001</v>
      </c>
      <c r="P66" s="42" t="str">
        <f t="shared" si="6"/>
        <v/>
      </c>
      <c r="Q66" s="40"/>
    </row>
    <row r="67" spans="1:17" x14ac:dyDescent="0.2">
      <c r="A67" s="40">
        <v>16</v>
      </c>
      <c r="B67" s="40"/>
      <c r="C67" s="40"/>
      <c r="D67" s="40">
        <f t="shared" si="7"/>
        <v>0</v>
      </c>
      <c r="E67" s="40"/>
      <c r="F67" s="42">
        <f t="shared" si="8"/>
        <v>0</v>
      </c>
      <c r="G67" s="9"/>
      <c r="H67" s="40"/>
      <c r="K67" s="40">
        <v>16</v>
      </c>
      <c r="L67" s="40"/>
      <c r="M67" s="40">
        <f t="shared" si="9"/>
        <v>0</v>
      </c>
      <c r="N67" s="40"/>
      <c r="O67" s="42">
        <f t="shared" si="10"/>
        <v>0</v>
      </c>
      <c r="P67" s="42" t="str">
        <f t="shared" si="6"/>
        <v/>
      </c>
      <c r="Q67" s="40"/>
    </row>
    <row r="68" spans="1:17" x14ac:dyDescent="0.2">
      <c r="A68" s="40">
        <v>17</v>
      </c>
      <c r="B68" s="40"/>
      <c r="C68" s="40"/>
      <c r="D68" s="40">
        <f t="shared" si="7"/>
        <v>0</v>
      </c>
      <c r="E68" s="40"/>
      <c r="F68" s="42">
        <f t="shared" si="8"/>
        <v>0</v>
      </c>
      <c r="G68" s="9"/>
      <c r="H68" s="40"/>
      <c r="K68" s="40">
        <v>17</v>
      </c>
      <c r="L68" s="40"/>
      <c r="M68" s="40">
        <f t="shared" si="9"/>
        <v>0</v>
      </c>
      <c r="N68" s="40"/>
      <c r="O68" s="42">
        <f t="shared" si="10"/>
        <v>0</v>
      </c>
      <c r="P68" s="42" t="str">
        <f t="shared" si="6"/>
        <v/>
      </c>
      <c r="Q68" s="40"/>
    </row>
    <row r="69" spans="1:17" x14ac:dyDescent="0.2">
      <c r="A69" s="40">
        <v>18</v>
      </c>
      <c r="B69" s="40"/>
      <c r="D69" s="40">
        <f t="shared" si="7"/>
        <v>0</v>
      </c>
      <c r="E69" s="40"/>
      <c r="F69" s="42">
        <f t="shared" si="8"/>
        <v>0</v>
      </c>
      <c r="G69" s="9"/>
      <c r="H69" s="40"/>
      <c r="K69" s="40">
        <v>18</v>
      </c>
      <c r="L69" s="13"/>
      <c r="M69" s="40">
        <f t="shared" si="9"/>
        <v>0</v>
      </c>
      <c r="N69" s="40"/>
      <c r="O69" s="42">
        <f t="shared" si="10"/>
        <v>0</v>
      </c>
      <c r="P69" s="42" t="str">
        <f t="shared" si="6"/>
        <v/>
      </c>
      <c r="Q69" s="40"/>
    </row>
    <row r="70" spans="1:17" x14ac:dyDescent="0.2">
      <c r="A70" s="40">
        <v>19</v>
      </c>
      <c r="B70" s="40"/>
      <c r="C70" s="40"/>
      <c r="D70" s="40">
        <f t="shared" si="7"/>
        <v>0</v>
      </c>
      <c r="E70" s="40"/>
      <c r="F70" s="42">
        <f t="shared" si="8"/>
        <v>0</v>
      </c>
      <c r="G70" s="9"/>
      <c r="H70" s="40"/>
      <c r="K70" s="40">
        <v>19</v>
      </c>
      <c r="L70" s="40"/>
      <c r="M70" s="40">
        <f t="shared" si="9"/>
        <v>0</v>
      </c>
      <c r="N70" s="40"/>
      <c r="O70" s="42">
        <f t="shared" si="10"/>
        <v>0</v>
      </c>
      <c r="P70" s="42" t="str">
        <f t="shared" si="6"/>
        <v/>
      </c>
      <c r="Q70" s="40"/>
    </row>
    <row r="71" spans="1:17" x14ac:dyDescent="0.2">
      <c r="A71" s="40">
        <v>20</v>
      </c>
      <c r="B71" s="40"/>
      <c r="C71" s="40"/>
      <c r="D71" s="40">
        <f t="shared" si="7"/>
        <v>0</v>
      </c>
      <c r="E71" s="40"/>
      <c r="F71" s="42">
        <f t="shared" si="8"/>
        <v>0</v>
      </c>
      <c r="G71" s="9"/>
      <c r="H71" s="40"/>
      <c r="K71" s="40">
        <v>20</v>
      </c>
      <c r="L71" s="40"/>
      <c r="M71" s="40">
        <f t="shared" si="9"/>
        <v>0</v>
      </c>
      <c r="N71" s="40"/>
      <c r="O71" s="42">
        <f t="shared" si="10"/>
        <v>0</v>
      </c>
      <c r="P71" s="42" t="str">
        <f t="shared" si="6"/>
        <v/>
      </c>
      <c r="Q71" s="40"/>
    </row>
    <row r="72" spans="1:17" x14ac:dyDescent="0.2">
      <c r="A72" s="40">
        <v>21</v>
      </c>
      <c r="B72" s="40"/>
      <c r="C72" s="40"/>
      <c r="D72" s="40">
        <f t="shared" si="7"/>
        <v>0</v>
      </c>
      <c r="E72" s="40"/>
      <c r="F72" s="42">
        <f t="shared" si="8"/>
        <v>0</v>
      </c>
      <c r="G72" s="9"/>
      <c r="H72" s="40"/>
      <c r="K72" s="40">
        <v>21</v>
      </c>
      <c r="L72" s="40"/>
      <c r="M72" s="40">
        <f t="shared" si="9"/>
        <v>0</v>
      </c>
      <c r="N72" s="40"/>
      <c r="O72" s="42">
        <f t="shared" si="10"/>
        <v>0</v>
      </c>
      <c r="P72" s="42" t="str">
        <f t="shared" si="6"/>
        <v/>
      </c>
      <c r="Q72" s="40"/>
    </row>
    <row r="73" spans="1:17" x14ac:dyDescent="0.2">
      <c r="A73" s="40">
        <v>22</v>
      </c>
      <c r="B73" s="40"/>
      <c r="C73" s="40"/>
      <c r="D73" s="40">
        <f t="shared" si="7"/>
        <v>0</v>
      </c>
      <c r="E73" s="40"/>
      <c r="F73" s="42">
        <f t="shared" si="8"/>
        <v>0</v>
      </c>
      <c r="G73" s="9"/>
      <c r="H73" s="40"/>
      <c r="K73" s="40">
        <v>22</v>
      </c>
      <c r="L73" s="40"/>
      <c r="M73" s="40">
        <f t="shared" si="9"/>
        <v>0</v>
      </c>
      <c r="N73" s="40"/>
      <c r="O73" s="42">
        <f t="shared" si="10"/>
        <v>0</v>
      </c>
      <c r="P73" s="42" t="str">
        <f t="shared" si="6"/>
        <v/>
      </c>
      <c r="Q73" s="40"/>
    </row>
    <row r="74" spans="1:17" x14ac:dyDescent="0.2">
      <c r="A74" s="40">
        <v>23</v>
      </c>
      <c r="B74" s="40"/>
      <c r="C74" s="40"/>
      <c r="D74" s="40">
        <f t="shared" si="7"/>
        <v>0</v>
      </c>
      <c r="E74" s="40"/>
      <c r="F74" s="42">
        <f t="shared" si="8"/>
        <v>0</v>
      </c>
      <c r="G74" s="9"/>
      <c r="H74" s="40"/>
      <c r="K74" s="40">
        <v>23</v>
      </c>
      <c r="L74" s="40"/>
      <c r="M74" s="40">
        <f t="shared" si="9"/>
        <v>0</v>
      </c>
      <c r="N74" s="40"/>
      <c r="O74" s="42">
        <f t="shared" si="10"/>
        <v>0</v>
      </c>
      <c r="P74" s="42" t="str">
        <f t="shared" si="6"/>
        <v/>
      </c>
      <c r="Q74" s="40"/>
    </row>
    <row r="75" spans="1:17" x14ac:dyDescent="0.2">
      <c r="A75" s="40">
        <v>24</v>
      </c>
      <c r="B75" s="40"/>
      <c r="C75" s="40"/>
      <c r="D75" s="40">
        <f t="shared" si="7"/>
        <v>0</v>
      </c>
      <c r="E75" s="40"/>
      <c r="F75" s="42">
        <f t="shared" si="8"/>
        <v>0</v>
      </c>
      <c r="G75" s="9"/>
      <c r="H75" s="40"/>
      <c r="K75" s="40">
        <v>24</v>
      </c>
      <c r="L75" s="40"/>
      <c r="M75" s="40">
        <f t="shared" si="9"/>
        <v>0</v>
      </c>
      <c r="N75" s="40"/>
      <c r="O75" s="42">
        <f t="shared" si="10"/>
        <v>0</v>
      </c>
      <c r="P75" s="42" t="str">
        <f t="shared" si="6"/>
        <v/>
      </c>
      <c r="Q75" s="40"/>
    </row>
    <row r="76" spans="1:17" x14ac:dyDescent="0.2">
      <c r="A76" s="40">
        <v>25</v>
      </c>
      <c r="B76" s="40"/>
      <c r="C76" s="40"/>
      <c r="D76" s="40">
        <f t="shared" si="7"/>
        <v>0</v>
      </c>
      <c r="E76" s="40"/>
      <c r="F76" s="42">
        <f t="shared" si="8"/>
        <v>0</v>
      </c>
      <c r="G76" s="9"/>
      <c r="H76" s="40"/>
      <c r="K76" s="40">
        <v>25</v>
      </c>
      <c r="L76" s="40"/>
      <c r="M76" s="40">
        <f t="shared" si="9"/>
        <v>0</v>
      </c>
      <c r="N76" s="40"/>
      <c r="O76" s="42">
        <f t="shared" si="10"/>
        <v>0</v>
      </c>
      <c r="P76" s="42" t="str">
        <f t="shared" si="6"/>
        <v/>
      </c>
      <c r="Q76" s="40"/>
    </row>
    <row r="77" spans="1:17" x14ac:dyDescent="0.2">
      <c r="A77" s="40">
        <v>26</v>
      </c>
      <c r="B77" s="40"/>
      <c r="C77" s="40"/>
      <c r="D77" s="40">
        <f t="shared" si="7"/>
        <v>0</v>
      </c>
      <c r="E77" s="40"/>
      <c r="F77" s="42">
        <f t="shared" si="8"/>
        <v>0</v>
      </c>
      <c r="G77" s="9"/>
      <c r="H77" s="40"/>
      <c r="K77" s="40">
        <v>26</v>
      </c>
      <c r="L77" s="40"/>
      <c r="M77" s="40">
        <f t="shared" si="9"/>
        <v>0</v>
      </c>
      <c r="N77" s="40"/>
      <c r="O77" s="42">
        <f t="shared" si="10"/>
        <v>0</v>
      </c>
      <c r="P77" s="42" t="str">
        <f t="shared" si="6"/>
        <v/>
      </c>
      <c r="Q77" s="40"/>
    </row>
    <row r="78" spans="1:17" x14ac:dyDescent="0.2">
      <c r="A78" s="40">
        <v>27</v>
      </c>
      <c r="B78" s="40"/>
      <c r="C78" s="40"/>
      <c r="D78" s="40">
        <f t="shared" si="7"/>
        <v>0</v>
      </c>
      <c r="E78" s="40"/>
      <c r="F78" s="42">
        <f t="shared" si="8"/>
        <v>0</v>
      </c>
      <c r="G78" s="9"/>
      <c r="H78" s="40"/>
      <c r="K78" s="40">
        <v>27</v>
      </c>
      <c r="L78" s="40"/>
      <c r="M78" s="40">
        <f t="shared" si="9"/>
        <v>0</v>
      </c>
      <c r="N78" s="40"/>
      <c r="O78" s="42">
        <f t="shared" si="10"/>
        <v>0</v>
      </c>
      <c r="P78" s="42" t="str">
        <f t="shared" si="6"/>
        <v/>
      </c>
      <c r="Q78" s="40"/>
    </row>
    <row r="79" spans="1:17" x14ac:dyDescent="0.2">
      <c r="A79" s="40">
        <v>28</v>
      </c>
      <c r="B79" s="40"/>
      <c r="C79" s="40"/>
      <c r="D79" s="40">
        <f t="shared" si="7"/>
        <v>0</v>
      </c>
      <c r="E79" s="40"/>
      <c r="F79" s="42">
        <f t="shared" si="8"/>
        <v>0</v>
      </c>
      <c r="G79" s="9"/>
      <c r="H79" s="40"/>
      <c r="K79" s="40">
        <v>28</v>
      </c>
      <c r="L79" s="40"/>
      <c r="M79" s="40">
        <f t="shared" si="9"/>
        <v>0</v>
      </c>
      <c r="N79" s="40"/>
      <c r="O79" s="42">
        <f t="shared" si="10"/>
        <v>0</v>
      </c>
      <c r="P79" s="42" t="str">
        <f t="shared" si="6"/>
        <v/>
      </c>
      <c r="Q79" s="40"/>
    </row>
    <row r="80" spans="1:17" x14ac:dyDescent="0.2">
      <c r="A80" s="40">
        <v>29</v>
      </c>
      <c r="B80" s="40"/>
      <c r="C80" s="40"/>
      <c r="D80" s="40">
        <f t="shared" si="7"/>
        <v>0</v>
      </c>
      <c r="E80" s="40"/>
      <c r="F80" s="42">
        <f t="shared" si="8"/>
        <v>0</v>
      </c>
      <c r="G80" s="9"/>
      <c r="H80" s="40"/>
      <c r="K80" s="40">
        <v>29</v>
      </c>
      <c r="L80" s="40"/>
      <c r="M80" s="40">
        <f t="shared" si="9"/>
        <v>0</v>
      </c>
      <c r="N80" s="40"/>
      <c r="O80" s="42">
        <f t="shared" si="10"/>
        <v>0</v>
      </c>
      <c r="P80" s="42" t="str">
        <f t="shared" si="6"/>
        <v/>
      </c>
      <c r="Q80" s="40"/>
    </row>
    <row r="81" spans="1:17" x14ac:dyDescent="0.2">
      <c r="A81" s="40">
        <v>30</v>
      </c>
      <c r="B81" s="40"/>
      <c r="C81" s="40"/>
      <c r="D81" s="40">
        <f t="shared" si="7"/>
        <v>0</v>
      </c>
      <c r="E81" s="40"/>
      <c r="F81" s="42">
        <f t="shared" si="8"/>
        <v>0</v>
      </c>
      <c r="G81" s="9"/>
      <c r="H81" s="40"/>
      <c r="K81" s="40">
        <v>30</v>
      </c>
      <c r="L81" s="40"/>
      <c r="M81" s="40">
        <f t="shared" si="9"/>
        <v>0</v>
      </c>
      <c r="N81" s="40"/>
      <c r="O81" s="42">
        <f t="shared" si="10"/>
        <v>0</v>
      </c>
      <c r="P81" s="42" t="str">
        <f t="shared" si="6"/>
        <v/>
      </c>
      <c r="Q81" s="40"/>
    </row>
    <row r="82" spans="1:17" ht="13.5" thickBot="1" x14ac:dyDescent="0.25">
      <c r="A82" s="43">
        <v>31</v>
      </c>
      <c r="B82" s="43"/>
      <c r="C82" s="43"/>
      <c r="D82" s="40">
        <f t="shared" si="7"/>
        <v>0</v>
      </c>
      <c r="E82" s="43"/>
      <c r="F82" s="42">
        <f t="shared" si="8"/>
        <v>0</v>
      </c>
      <c r="G82" s="9"/>
      <c r="H82" s="43"/>
      <c r="K82" s="43">
        <v>31</v>
      </c>
      <c r="L82" s="43"/>
      <c r="M82" s="40">
        <f t="shared" si="9"/>
        <v>0</v>
      </c>
      <c r="N82" s="40"/>
      <c r="O82" s="42">
        <f t="shared" si="10"/>
        <v>0</v>
      </c>
      <c r="P82" s="45" t="str">
        <f t="shared" si="6"/>
        <v/>
      </c>
      <c r="Q82" s="43"/>
    </row>
    <row r="83" spans="1:17" ht="13.5" thickBot="1" x14ac:dyDescent="0.25">
      <c r="A83" s="46" t="s">
        <v>24</v>
      </c>
      <c r="B83" s="66"/>
      <c r="C83" s="47"/>
      <c r="D83" s="47">
        <f>SUM(D52:D82)</f>
        <v>17706</v>
      </c>
      <c r="E83" s="47">
        <f>SUM(E52:E82)</f>
        <v>1533</v>
      </c>
      <c r="F83" s="67">
        <f xml:space="preserve"> SUM(F52:F82)</f>
        <v>82332.899999999994</v>
      </c>
      <c r="G83" s="68">
        <f>SUM(G52:G82)</f>
        <v>0</v>
      </c>
      <c r="H83" s="47"/>
      <c r="K83" s="46" t="s">
        <v>24</v>
      </c>
      <c r="L83" s="47"/>
      <c r="M83" s="47">
        <f>SUM(M52:M82)</f>
        <v>-96588</v>
      </c>
      <c r="N83" s="47">
        <f>SUM(N52:N82)</f>
        <v>1533</v>
      </c>
      <c r="O83" s="49">
        <f>SUM(M83*0.15)</f>
        <v>-14488.199999999999</v>
      </c>
      <c r="P83" s="49">
        <f t="shared" si="6"/>
        <v>-9.4508806262230909</v>
      </c>
      <c r="Q83" s="50"/>
    </row>
    <row r="84" spans="1:17" x14ac:dyDescent="0.2">
      <c r="E84" s="51"/>
      <c r="F84" s="69"/>
      <c r="G84" s="13"/>
    </row>
    <row r="85" spans="1:17" x14ac:dyDescent="0.2">
      <c r="E85" s="51"/>
      <c r="F85" s="69"/>
      <c r="G85" s="13"/>
    </row>
    <row r="86" spans="1:17" x14ac:dyDescent="0.2">
      <c r="D86" s="70"/>
      <c r="E86" s="51"/>
      <c r="F86" s="69"/>
      <c r="G86" s="13"/>
    </row>
    <row r="94" spans="1:17" ht="16.5" thickBot="1" x14ac:dyDescent="0.3">
      <c r="K94" s="83" t="s">
        <v>0</v>
      </c>
      <c r="L94" s="84"/>
      <c r="M94" s="84"/>
      <c r="N94" s="84"/>
      <c r="O94" s="84"/>
      <c r="P94" s="84"/>
      <c r="Q94" s="84"/>
    </row>
    <row r="95" spans="1:17" x14ac:dyDescent="0.2">
      <c r="K95" s="11"/>
      <c r="L95" s="85" t="s">
        <v>35</v>
      </c>
      <c r="M95" s="86"/>
      <c r="N95" s="86"/>
      <c r="O95" s="86"/>
      <c r="P95" s="86"/>
      <c r="Q95" s="75"/>
    </row>
    <row r="96" spans="1:17" ht="13.5" thickBot="1" x14ac:dyDescent="0.25">
      <c r="K96" s="12"/>
      <c r="L96" s="13"/>
      <c r="M96" s="13"/>
      <c r="N96" s="13"/>
      <c r="O96" s="15"/>
      <c r="P96" s="15"/>
      <c r="Q96" s="16"/>
    </row>
    <row r="97" spans="11:17" ht="13.5" thickBot="1" x14ac:dyDescent="0.25">
      <c r="K97" s="17" t="s">
        <v>6</v>
      </c>
      <c r="L97" s="18"/>
      <c r="M97" s="22"/>
      <c r="N97" s="87" t="s">
        <v>36</v>
      </c>
      <c r="O97" s="88"/>
      <c r="P97" s="88"/>
      <c r="Q97" s="89"/>
    </row>
    <row r="98" spans="11:17" ht="13.5" thickBot="1" x14ac:dyDescent="0.25">
      <c r="K98" s="17"/>
      <c r="L98" s="26">
        <v>35352</v>
      </c>
      <c r="M98" s="27" t="s">
        <v>8</v>
      </c>
      <c r="N98" s="90"/>
      <c r="O98" s="91"/>
      <c r="P98" s="91"/>
      <c r="Q98" s="92"/>
    </row>
    <row r="99" spans="11:17" x14ac:dyDescent="0.2">
      <c r="K99" s="28"/>
      <c r="M99" s="27">
        <v>1.08</v>
      </c>
      <c r="N99" s="87" t="s">
        <v>37</v>
      </c>
      <c r="O99" s="88"/>
      <c r="P99" s="88"/>
      <c r="Q99" s="89"/>
    </row>
    <row r="100" spans="11:17" ht="13.5" thickBot="1" x14ac:dyDescent="0.25">
      <c r="K100" s="30"/>
      <c r="L100" s="22"/>
      <c r="M100" s="22"/>
      <c r="N100" s="90"/>
      <c r="O100" s="91"/>
      <c r="P100" s="91"/>
      <c r="Q100" s="92"/>
    </row>
    <row r="101" spans="11:17" ht="13.5" thickBot="1" x14ac:dyDescent="0.25">
      <c r="K101" s="93" t="s">
        <v>38</v>
      </c>
      <c r="L101" s="94"/>
      <c r="M101" s="22"/>
      <c r="N101" s="22"/>
      <c r="O101" s="33"/>
      <c r="P101" s="33"/>
      <c r="Q101" s="16"/>
    </row>
    <row r="102" spans="11:17" ht="25.5" x14ac:dyDescent="0.2">
      <c r="K102" s="39" t="s">
        <v>13</v>
      </c>
      <c r="L102" s="39" t="s">
        <v>22</v>
      </c>
      <c r="M102" s="34" t="s">
        <v>23</v>
      </c>
      <c r="N102" s="34" t="s">
        <v>18</v>
      </c>
      <c r="O102" s="36" t="s">
        <v>19</v>
      </c>
      <c r="P102" s="36" t="s">
        <v>20</v>
      </c>
      <c r="Q102" s="37"/>
    </row>
    <row r="103" spans="11:17" x14ac:dyDescent="0.2">
      <c r="K103" s="40">
        <v>1</v>
      </c>
      <c r="L103" s="40">
        <v>35367</v>
      </c>
      <c r="M103" s="40">
        <f>SUM(L103-L98)</f>
        <v>15</v>
      </c>
      <c r="N103" s="9">
        <v>66</v>
      </c>
      <c r="O103" s="42">
        <f>SUM(M103*M$99)</f>
        <v>16.200000000000003</v>
      </c>
      <c r="P103" s="42">
        <f>IF(N103=0,"",O103/N103)</f>
        <v>0.24545454545454551</v>
      </c>
      <c r="Q103" s="40"/>
    </row>
    <row r="104" spans="11:17" x14ac:dyDescent="0.2">
      <c r="K104" s="40">
        <v>2</v>
      </c>
      <c r="L104" s="40">
        <v>35384</v>
      </c>
      <c r="M104" s="40">
        <f>SUM(L104-L103)</f>
        <v>17</v>
      </c>
      <c r="N104" s="9">
        <v>102</v>
      </c>
      <c r="O104" s="42">
        <f>SUM(M104*M$99)</f>
        <v>18.36</v>
      </c>
      <c r="P104" s="42">
        <f t="shared" ref="P104:P134" si="11">IF(N104=0,"",O104/N104)</f>
        <v>0.18</v>
      </c>
      <c r="Q104" s="40"/>
    </row>
    <row r="105" spans="11:17" x14ac:dyDescent="0.2">
      <c r="K105" s="40">
        <v>3</v>
      </c>
      <c r="L105" s="40">
        <v>35407</v>
      </c>
      <c r="M105" s="40">
        <f t="shared" ref="M105:M133" si="12">SUM(L105-L104)</f>
        <v>23</v>
      </c>
      <c r="N105" s="9">
        <v>130</v>
      </c>
      <c r="O105" s="42">
        <f t="shared" ref="O105:O133" si="13">SUM(M105*M$99)</f>
        <v>24.840000000000003</v>
      </c>
      <c r="P105" s="42">
        <f t="shared" si="11"/>
        <v>0.19107692307692312</v>
      </c>
      <c r="Q105" s="40"/>
    </row>
    <row r="106" spans="11:17" x14ac:dyDescent="0.2">
      <c r="K106" s="40">
        <v>4</v>
      </c>
      <c r="L106" s="40">
        <v>35427</v>
      </c>
      <c r="M106" s="40">
        <f t="shared" si="12"/>
        <v>20</v>
      </c>
      <c r="N106" s="9">
        <v>123</v>
      </c>
      <c r="O106" s="42">
        <f t="shared" si="13"/>
        <v>21.6</v>
      </c>
      <c r="P106" s="42">
        <f t="shared" si="11"/>
        <v>0.17560975609756099</v>
      </c>
      <c r="Q106" s="40"/>
    </row>
    <row r="107" spans="11:17" x14ac:dyDescent="0.2">
      <c r="K107" s="40">
        <v>5</v>
      </c>
      <c r="L107" s="40">
        <v>35445</v>
      </c>
      <c r="M107" s="40">
        <f t="shared" si="12"/>
        <v>18</v>
      </c>
      <c r="N107" s="9">
        <v>130</v>
      </c>
      <c r="O107" s="42">
        <f t="shared" si="13"/>
        <v>19.440000000000001</v>
      </c>
      <c r="P107" s="42">
        <f t="shared" si="11"/>
        <v>0.14953846153846154</v>
      </c>
      <c r="Q107" s="40"/>
    </row>
    <row r="108" spans="11:17" x14ac:dyDescent="0.2">
      <c r="K108" s="40">
        <v>6</v>
      </c>
      <c r="L108" s="40">
        <v>35460</v>
      </c>
      <c r="M108" s="40">
        <f t="shared" si="12"/>
        <v>15</v>
      </c>
      <c r="N108" s="9">
        <v>126</v>
      </c>
      <c r="O108" s="42">
        <f t="shared" si="13"/>
        <v>16.200000000000003</v>
      </c>
      <c r="P108" s="42">
        <f t="shared" si="11"/>
        <v>0.12857142857142859</v>
      </c>
      <c r="Q108" s="40"/>
    </row>
    <row r="109" spans="11:17" x14ac:dyDescent="0.2">
      <c r="K109" s="40">
        <v>7</v>
      </c>
      <c r="L109" s="40">
        <v>35473</v>
      </c>
      <c r="M109" s="40">
        <f t="shared" si="12"/>
        <v>13</v>
      </c>
      <c r="N109" s="9">
        <v>116</v>
      </c>
      <c r="O109" s="42">
        <f t="shared" si="13"/>
        <v>14.040000000000001</v>
      </c>
      <c r="P109" s="42">
        <f t="shared" si="11"/>
        <v>0.12103448275862069</v>
      </c>
      <c r="Q109" s="40"/>
    </row>
    <row r="110" spans="11:17" x14ac:dyDescent="0.2">
      <c r="K110" s="40">
        <v>8</v>
      </c>
      <c r="L110" s="40">
        <v>35487</v>
      </c>
      <c r="M110" s="40">
        <f t="shared" si="12"/>
        <v>14</v>
      </c>
      <c r="N110" s="9">
        <v>61</v>
      </c>
      <c r="O110" s="42">
        <f t="shared" si="13"/>
        <v>15.120000000000001</v>
      </c>
      <c r="P110" s="42">
        <f t="shared" si="11"/>
        <v>0.24786885245901641</v>
      </c>
      <c r="Q110" s="40"/>
    </row>
    <row r="111" spans="11:17" x14ac:dyDescent="0.2">
      <c r="K111" s="40">
        <v>9</v>
      </c>
      <c r="L111" s="40">
        <v>35502</v>
      </c>
      <c r="M111" s="40">
        <f t="shared" si="12"/>
        <v>15</v>
      </c>
      <c r="N111" s="9">
        <v>72</v>
      </c>
      <c r="O111" s="42">
        <f t="shared" si="13"/>
        <v>16.200000000000003</v>
      </c>
      <c r="P111" s="42">
        <f t="shared" si="11"/>
        <v>0.22500000000000003</v>
      </c>
      <c r="Q111" s="40"/>
    </row>
    <row r="112" spans="11:17" x14ac:dyDescent="0.2">
      <c r="K112" s="40">
        <v>10</v>
      </c>
      <c r="L112" s="40">
        <v>35517</v>
      </c>
      <c r="M112" s="40">
        <f t="shared" si="12"/>
        <v>15</v>
      </c>
      <c r="N112" s="9">
        <v>83</v>
      </c>
      <c r="O112" s="42">
        <f t="shared" si="13"/>
        <v>16.200000000000003</v>
      </c>
      <c r="P112" s="42">
        <f t="shared" si="11"/>
        <v>0.19518072289156629</v>
      </c>
      <c r="Q112" s="40"/>
    </row>
    <row r="113" spans="11:17" x14ac:dyDescent="0.2">
      <c r="K113" s="40">
        <v>11</v>
      </c>
      <c r="L113" s="40">
        <v>35522</v>
      </c>
      <c r="M113" s="40">
        <f t="shared" si="12"/>
        <v>5</v>
      </c>
      <c r="N113" s="9">
        <v>96</v>
      </c>
      <c r="O113" s="42">
        <f t="shared" si="13"/>
        <v>5.4</v>
      </c>
      <c r="P113" s="42">
        <f t="shared" si="11"/>
        <v>5.6250000000000001E-2</v>
      </c>
      <c r="Q113" s="40"/>
    </row>
    <row r="114" spans="11:17" x14ac:dyDescent="0.2">
      <c r="K114" s="40">
        <v>12</v>
      </c>
      <c r="L114" s="40">
        <v>35547</v>
      </c>
      <c r="M114" s="40">
        <f t="shared" si="12"/>
        <v>25</v>
      </c>
      <c r="N114" s="9">
        <v>121</v>
      </c>
      <c r="O114" s="42">
        <f t="shared" si="13"/>
        <v>27</v>
      </c>
      <c r="P114" s="42">
        <f t="shared" si="11"/>
        <v>0.2231404958677686</v>
      </c>
      <c r="Q114" s="40"/>
    </row>
    <row r="115" spans="11:17" x14ac:dyDescent="0.2">
      <c r="K115" s="40">
        <v>13</v>
      </c>
      <c r="L115" s="40">
        <v>35563</v>
      </c>
      <c r="M115" s="40">
        <f t="shared" si="12"/>
        <v>16</v>
      </c>
      <c r="N115" s="9">
        <v>136</v>
      </c>
      <c r="O115" s="42">
        <f t="shared" si="13"/>
        <v>17.28</v>
      </c>
      <c r="P115" s="42">
        <f t="shared" si="11"/>
        <v>0.12705882352941178</v>
      </c>
      <c r="Q115" s="40"/>
    </row>
    <row r="116" spans="11:17" x14ac:dyDescent="0.2">
      <c r="K116" s="40">
        <v>14</v>
      </c>
      <c r="L116" s="40">
        <v>35578</v>
      </c>
      <c r="M116" s="40">
        <f t="shared" si="12"/>
        <v>15</v>
      </c>
      <c r="N116" s="9">
        <v>171</v>
      </c>
      <c r="O116" s="42">
        <f t="shared" si="13"/>
        <v>16.200000000000003</v>
      </c>
      <c r="P116" s="42">
        <f t="shared" si="11"/>
        <v>9.4736842105263175E-2</v>
      </c>
      <c r="Q116" s="40"/>
    </row>
    <row r="117" spans="11:17" x14ac:dyDescent="0.2">
      <c r="K117" s="40">
        <v>15</v>
      </c>
      <c r="L117" s="40"/>
      <c r="M117" s="40">
        <f t="shared" si="12"/>
        <v>-35578</v>
      </c>
      <c r="N117" s="40"/>
      <c r="O117" s="42">
        <f t="shared" si="13"/>
        <v>-38424.240000000005</v>
      </c>
      <c r="P117" s="42" t="str">
        <f t="shared" si="11"/>
        <v/>
      </c>
      <c r="Q117" s="40"/>
    </row>
    <row r="118" spans="11:17" x14ac:dyDescent="0.2">
      <c r="K118" s="40">
        <v>16</v>
      </c>
      <c r="L118" s="40"/>
      <c r="M118" s="40">
        <f t="shared" si="12"/>
        <v>0</v>
      </c>
      <c r="N118" s="40"/>
      <c r="O118" s="42">
        <f t="shared" si="13"/>
        <v>0</v>
      </c>
      <c r="P118" s="42" t="str">
        <f t="shared" si="11"/>
        <v/>
      </c>
      <c r="Q118" s="40"/>
    </row>
    <row r="119" spans="11:17" x14ac:dyDescent="0.2">
      <c r="K119" s="40">
        <v>17</v>
      </c>
      <c r="L119" s="40"/>
      <c r="M119" s="40">
        <f t="shared" si="12"/>
        <v>0</v>
      </c>
      <c r="N119" s="40"/>
      <c r="O119" s="42">
        <f t="shared" si="13"/>
        <v>0</v>
      </c>
      <c r="P119" s="42" t="str">
        <f t="shared" si="11"/>
        <v/>
      </c>
      <c r="Q119" s="40"/>
    </row>
    <row r="120" spans="11:17" x14ac:dyDescent="0.2">
      <c r="K120" s="40">
        <v>18</v>
      </c>
      <c r="L120" s="13"/>
      <c r="M120" s="40">
        <f t="shared" si="12"/>
        <v>0</v>
      </c>
      <c r="N120" s="40"/>
      <c r="O120" s="42">
        <f t="shared" si="13"/>
        <v>0</v>
      </c>
      <c r="P120" s="42" t="str">
        <f t="shared" si="11"/>
        <v/>
      </c>
      <c r="Q120" s="40"/>
    </row>
    <row r="121" spans="11:17" x14ac:dyDescent="0.2">
      <c r="K121" s="40">
        <v>19</v>
      </c>
      <c r="L121" s="40"/>
      <c r="M121" s="40">
        <f t="shared" si="12"/>
        <v>0</v>
      </c>
      <c r="N121" s="40"/>
      <c r="O121" s="42">
        <f t="shared" si="13"/>
        <v>0</v>
      </c>
      <c r="P121" s="42" t="str">
        <f t="shared" si="11"/>
        <v/>
      </c>
      <c r="Q121" s="40"/>
    </row>
    <row r="122" spans="11:17" x14ac:dyDescent="0.2">
      <c r="K122" s="40">
        <v>20</v>
      </c>
      <c r="L122" s="40"/>
      <c r="M122" s="40">
        <f t="shared" si="12"/>
        <v>0</v>
      </c>
      <c r="N122" s="40"/>
      <c r="O122" s="42">
        <f t="shared" si="13"/>
        <v>0</v>
      </c>
      <c r="P122" s="42" t="str">
        <f t="shared" si="11"/>
        <v/>
      </c>
      <c r="Q122" s="40"/>
    </row>
    <row r="123" spans="11:17" x14ac:dyDescent="0.2">
      <c r="K123" s="40">
        <v>21</v>
      </c>
      <c r="L123" s="40"/>
      <c r="M123" s="40">
        <f t="shared" si="12"/>
        <v>0</v>
      </c>
      <c r="N123" s="40"/>
      <c r="O123" s="42">
        <f t="shared" si="13"/>
        <v>0</v>
      </c>
      <c r="P123" s="42" t="str">
        <f t="shared" si="11"/>
        <v/>
      </c>
      <c r="Q123" s="40"/>
    </row>
    <row r="124" spans="11:17" x14ac:dyDescent="0.2">
      <c r="K124" s="40">
        <v>22</v>
      </c>
      <c r="L124" s="40"/>
      <c r="M124" s="40">
        <f t="shared" si="12"/>
        <v>0</v>
      </c>
      <c r="N124" s="40"/>
      <c r="O124" s="42">
        <f t="shared" si="13"/>
        <v>0</v>
      </c>
      <c r="P124" s="42" t="str">
        <f t="shared" si="11"/>
        <v/>
      </c>
      <c r="Q124" s="40"/>
    </row>
    <row r="125" spans="11:17" x14ac:dyDescent="0.2">
      <c r="K125" s="40">
        <v>23</v>
      </c>
      <c r="L125" s="40"/>
      <c r="M125" s="40">
        <f t="shared" si="12"/>
        <v>0</v>
      </c>
      <c r="N125" s="40"/>
      <c r="O125" s="42">
        <f t="shared" si="13"/>
        <v>0</v>
      </c>
      <c r="P125" s="42" t="str">
        <f t="shared" si="11"/>
        <v/>
      </c>
      <c r="Q125" s="40"/>
    </row>
    <row r="126" spans="11:17" x14ac:dyDescent="0.2">
      <c r="K126" s="40">
        <v>24</v>
      </c>
      <c r="L126" s="40"/>
      <c r="M126" s="40">
        <f t="shared" si="12"/>
        <v>0</v>
      </c>
      <c r="N126" s="40"/>
      <c r="O126" s="42">
        <f t="shared" si="13"/>
        <v>0</v>
      </c>
      <c r="P126" s="42" t="str">
        <f t="shared" si="11"/>
        <v/>
      </c>
      <c r="Q126" s="40"/>
    </row>
    <row r="127" spans="11:17" x14ac:dyDescent="0.2">
      <c r="K127" s="40">
        <v>25</v>
      </c>
      <c r="L127" s="40"/>
      <c r="M127" s="40">
        <f t="shared" si="12"/>
        <v>0</v>
      </c>
      <c r="N127" s="40"/>
      <c r="O127" s="42">
        <f t="shared" si="13"/>
        <v>0</v>
      </c>
      <c r="P127" s="42" t="str">
        <f t="shared" si="11"/>
        <v/>
      </c>
      <c r="Q127" s="40"/>
    </row>
    <row r="128" spans="11:17" x14ac:dyDescent="0.2">
      <c r="K128" s="40">
        <v>26</v>
      </c>
      <c r="L128" s="40"/>
      <c r="M128" s="40">
        <f t="shared" si="12"/>
        <v>0</v>
      </c>
      <c r="N128" s="40"/>
      <c r="O128" s="42">
        <f t="shared" si="13"/>
        <v>0</v>
      </c>
      <c r="P128" s="42" t="str">
        <f t="shared" si="11"/>
        <v/>
      </c>
      <c r="Q128" s="40"/>
    </row>
    <row r="129" spans="11:17" x14ac:dyDescent="0.2">
      <c r="K129" s="40">
        <v>27</v>
      </c>
      <c r="L129" s="40"/>
      <c r="M129" s="40">
        <f t="shared" si="12"/>
        <v>0</v>
      </c>
      <c r="N129" s="40"/>
      <c r="O129" s="42">
        <f t="shared" si="13"/>
        <v>0</v>
      </c>
      <c r="P129" s="42" t="str">
        <f t="shared" si="11"/>
        <v/>
      </c>
      <c r="Q129" s="40"/>
    </row>
    <row r="130" spans="11:17" x14ac:dyDescent="0.2">
      <c r="K130" s="40">
        <v>28</v>
      </c>
      <c r="L130" s="40"/>
      <c r="M130" s="40">
        <f t="shared" si="12"/>
        <v>0</v>
      </c>
      <c r="N130" s="40"/>
      <c r="O130" s="42">
        <f t="shared" si="13"/>
        <v>0</v>
      </c>
      <c r="P130" s="42" t="str">
        <f t="shared" si="11"/>
        <v/>
      </c>
      <c r="Q130" s="40"/>
    </row>
    <row r="131" spans="11:17" x14ac:dyDescent="0.2">
      <c r="K131" s="40">
        <v>29</v>
      </c>
      <c r="L131" s="40"/>
      <c r="M131" s="40">
        <f t="shared" si="12"/>
        <v>0</v>
      </c>
      <c r="N131" s="40"/>
      <c r="O131" s="42">
        <f t="shared" si="13"/>
        <v>0</v>
      </c>
      <c r="P131" s="42" t="str">
        <f t="shared" si="11"/>
        <v/>
      </c>
      <c r="Q131" s="40"/>
    </row>
    <row r="132" spans="11:17" x14ac:dyDescent="0.2">
      <c r="K132" s="40">
        <v>30</v>
      </c>
      <c r="L132" s="40"/>
      <c r="M132" s="40">
        <f t="shared" si="12"/>
        <v>0</v>
      </c>
      <c r="N132" s="40"/>
      <c r="O132" s="42">
        <f t="shared" si="13"/>
        <v>0</v>
      </c>
      <c r="P132" s="42" t="str">
        <f t="shared" si="11"/>
        <v/>
      </c>
      <c r="Q132" s="40"/>
    </row>
    <row r="133" spans="11:17" ht="13.5" thickBot="1" x14ac:dyDescent="0.25">
      <c r="K133" s="43">
        <v>31</v>
      </c>
      <c r="L133" s="43"/>
      <c r="M133" s="40">
        <f t="shared" si="12"/>
        <v>0</v>
      </c>
      <c r="N133" s="40"/>
      <c r="O133" s="42">
        <f t="shared" si="13"/>
        <v>0</v>
      </c>
      <c r="P133" s="45" t="str">
        <f t="shared" si="11"/>
        <v/>
      </c>
      <c r="Q133" s="43"/>
    </row>
    <row r="134" spans="11:17" ht="13.5" thickBot="1" x14ac:dyDescent="0.25">
      <c r="K134" s="46" t="s">
        <v>24</v>
      </c>
      <c r="L134" s="47"/>
      <c r="M134" s="47">
        <f>SUM(M103:M133)</f>
        <v>-35352</v>
      </c>
      <c r="N134" s="47">
        <f>SUM(N103:N133)</f>
        <v>1533</v>
      </c>
      <c r="O134" s="49">
        <f>SUM(M134*0.15)</f>
        <v>-5302.8</v>
      </c>
      <c r="P134" s="49">
        <f t="shared" si="11"/>
        <v>-3.4590998043052839</v>
      </c>
      <c r="Q134" s="50"/>
    </row>
  </sheetData>
  <mergeCells count="23">
    <mergeCell ref="A1:I1"/>
    <mergeCell ref="K1:Q1"/>
    <mergeCell ref="B2:H2"/>
    <mergeCell ref="L2:P2"/>
    <mergeCell ref="F4:I5"/>
    <mergeCell ref="N4:Q5"/>
    <mergeCell ref="K50:L50"/>
    <mergeCell ref="F6:I7"/>
    <mergeCell ref="N6:Q7"/>
    <mergeCell ref="A7:B7"/>
    <mergeCell ref="K8:L8"/>
    <mergeCell ref="A43:H43"/>
    <mergeCell ref="K43:Q43"/>
    <mergeCell ref="A44:D44"/>
    <mergeCell ref="L44:P44"/>
    <mergeCell ref="N46:Q47"/>
    <mergeCell ref="N48:Q49"/>
    <mergeCell ref="A49:C49"/>
    <mergeCell ref="K94:Q94"/>
    <mergeCell ref="L95:P95"/>
    <mergeCell ref="N97:Q98"/>
    <mergeCell ref="N99:Q100"/>
    <mergeCell ref="K101:L101"/>
  </mergeCells>
  <pageMargins left="0.75" right="0.75" top="1" bottom="1" header="0.5" footer="0.5"/>
  <pageSetup scale="71" orientation="landscape" r:id="rId1"/>
  <headerFooter alignWithMargins="0"/>
  <rowBreaks count="1" manualBreakCount="1">
    <brk id="41" max="16383" man="1"/>
  </rowBreaks>
  <colBreaks count="1" manualBreakCount="1">
    <brk id="9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workbookViewId="0">
      <selection activeCell="E2" sqref="E2"/>
    </sheetView>
  </sheetViews>
  <sheetFormatPr defaultRowHeight="12.75" x14ac:dyDescent="0.2"/>
  <cols>
    <col min="1" max="1" width="14.570312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1" ht="60" x14ac:dyDescent="0.2">
      <c r="A1" s="1" t="s">
        <v>39</v>
      </c>
      <c r="B1" s="1" t="s">
        <v>40</v>
      </c>
      <c r="C1" s="2" t="s">
        <v>41</v>
      </c>
      <c r="D1" s="1" t="s">
        <v>42</v>
      </c>
      <c r="E1" s="3" t="s">
        <v>43</v>
      </c>
      <c r="F1" s="4" t="s">
        <v>44</v>
      </c>
      <c r="G1" s="3" t="s">
        <v>45</v>
      </c>
      <c r="H1" s="4" t="s">
        <v>46</v>
      </c>
      <c r="I1" s="3" t="s">
        <v>47</v>
      </c>
      <c r="J1" s="5" t="s">
        <v>48</v>
      </c>
      <c r="K1" s="3" t="s">
        <v>49</v>
      </c>
    </row>
    <row r="2" spans="1:11" ht="15" x14ac:dyDescent="0.25">
      <c r="A2" s="6" t="s">
        <v>50</v>
      </c>
      <c r="B2" s="7">
        <v>1</v>
      </c>
      <c r="C2" s="8">
        <v>1</v>
      </c>
      <c r="D2" s="7">
        <v>2022</v>
      </c>
      <c r="E2" s="9">
        <v>23400</v>
      </c>
      <c r="F2" s="71">
        <f>DAILY!D7</f>
        <v>7.8100000000000003E-2</v>
      </c>
      <c r="G2" s="9">
        <v>944</v>
      </c>
      <c r="H2" s="10">
        <v>1.08</v>
      </c>
      <c r="I2" s="40">
        <v>714</v>
      </c>
      <c r="J2" s="10">
        <v>4.6500000000000004</v>
      </c>
      <c r="K2" s="72">
        <v>149</v>
      </c>
    </row>
    <row r="3" spans="1:11" ht="15" x14ac:dyDescent="0.25">
      <c r="A3" s="6" t="s">
        <v>50</v>
      </c>
      <c r="B3" s="7">
        <f>B2+1</f>
        <v>2</v>
      </c>
      <c r="C3" s="8">
        <v>1</v>
      </c>
      <c r="D3" s="7">
        <v>2022</v>
      </c>
      <c r="E3" s="9">
        <v>21000</v>
      </c>
      <c r="F3" s="71">
        <f>F2</f>
        <v>7.8100000000000003E-2</v>
      </c>
      <c r="G3" s="9">
        <v>611</v>
      </c>
      <c r="H3" s="10">
        <f>H2</f>
        <v>1.08</v>
      </c>
      <c r="I3" s="79">
        <v>630</v>
      </c>
      <c r="J3" s="10">
        <f>J2</f>
        <v>4.6500000000000004</v>
      </c>
      <c r="K3" s="73">
        <v>77</v>
      </c>
    </row>
    <row r="4" spans="1:11" ht="15" x14ac:dyDescent="0.25">
      <c r="A4" s="6" t="s">
        <v>50</v>
      </c>
      <c r="B4" s="7">
        <f t="shared" ref="B4:B32" si="0">B3+1</f>
        <v>3</v>
      </c>
      <c r="C4" s="8">
        <v>1</v>
      </c>
      <c r="D4" s="7">
        <v>2022</v>
      </c>
      <c r="E4" s="9">
        <v>21000</v>
      </c>
      <c r="F4" s="71">
        <f t="shared" ref="F4:F32" si="1">F3</f>
        <v>7.8100000000000003E-2</v>
      </c>
      <c r="G4" s="9">
        <v>1016</v>
      </c>
      <c r="H4" s="10">
        <f t="shared" ref="H4:H32" si="2">H3</f>
        <v>1.08</v>
      </c>
      <c r="I4" s="79">
        <v>589</v>
      </c>
      <c r="J4" s="10">
        <f t="shared" ref="J4:J32" si="3">J3</f>
        <v>4.6500000000000004</v>
      </c>
      <c r="K4" s="73">
        <v>120</v>
      </c>
    </row>
    <row r="5" spans="1:11" ht="15" x14ac:dyDescent="0.25">
      <c r="A5" s="6" t="s">
        <v>50</v>
      </c>
      <c r="B5" s="7">
        <f t="shared" si="0"/>
        <v>4</v>
      </c>
      <c r="C5" s="8">
        <v>1</v>
      </c>
      <c r="D5" s="7">
        <v>2022</v>
      </c>
      <c r="E5" s="9">
        <v>22200</v>
      </c>
      <c r="F5" s="71">
        <f t="shared" si="1"/>
        <v>7.8100000000000003E-2</v>
      </c>
      <c r="G5" s="9">
        <v>782</v>
      </c>
      <c r="H5" s="10">
        <f t="shared" si="2"/>
        <v>1.08</v>
      </c>
      <c r="I5" s="79">
        <v>448</v>
      </c>
      <c r="J5" s="10">
        <f t="shared" si="3"/>
        <v>4.6500000000000004</v>
      </c>
      <c r="K5" s="73">
        <v>63</v>
      </c>
    </row>
    <row r="6" spans="1:11" ht="15" x14ac:dyDescent="0.25">
      <c r="A6" s="6" t="s">
        <v>50</v>
      </c>
      <c r="B6" s="7">
        <f t="shared" si="0"/>
        <v>5</v>
      </c>
      <c r="C6" s="8">
        <v>1</v>
      </c>
      <c r="D6" s="7">
        <v>2022</v>
      </c>
      <c r="E6" s="9">
        <v>62400</v>
      </c>
      <c r="F6" s="71">
        <f t="shared" si="1"/>
        <v>7.8100000000000003E-2</v>
      </c>
      <c r="G6" s="9">
        <v>1110</v>
      </c>
      <c r="H6" s="10">
        <f t="shared" si="2"/>
        <v>1.08</v>
      </c>
      <c r="I6" s="79">
        <v>687</v>
      </c>
      <c r="J6" s="10">
        <f t="shared" si="3"/>
        <v>4.6500000000000004</v>
      </c>
      <c r="K6" s="73">
        <v>26</v>
      </c>
    </row>
    <row r="7" spans="1:11" ht="15" x14ac:dyDescent="0.25">
      <c r="A7" s="6" t="s">
        <v>50</v>
      </c>
      <c r="B7" s="7">
        <f t="shared" si="0"/>
        <v>6</v>
      </c>
      <c r="C7" s="8">
        <v>1</v>
      </c>
      <c r="D7" s="7">
        <v>2022</v>
      </c>
      <c r="E7" s="9">
        <v>19800</v>
      </c>
      <c r="F7" s="71">
        <f t="shared" si="1"/>
        <v>7.8100000000000003E-2</v>
      </c>
      <c r="G7" s="9">
        <v>802</v>
      </c>
      <c r="H7" s="10">
        <f t="shared" si="2"/>
        <v>1.08</v>
      </c>
      <c r="I7" s="79">
        <v>376</v>
      </c>
      <c r="J7" s="10">
        <f t="shared" si="3"/>
        <v>4.6500000000000004</v>
      </c>
      <c r="K7" s="73">
        <v>30</v>
      </c>
    </row>
    <row r="8" spans="1:11" ht="15" x14ac:dyDescent="0.25">
      <c r="A8" s="6" t="s">
        <v>50</v>
      </c>
      <c r="B8" s="7">
        <f t="shared" si="0"/>
        <v>7</v>
      </c>
      <c r="C8" s="8">
        <v>1</v>
      </c>
      <c r="D8" s="7">
        <v>2022</v>
      </c>
      <c r="E8" s="9">
        <v>22800</v>
      </c>
      <c r="F8" s="71">
        <f t="shared" si="1"/>
        <v>7.8100000000000003E-2</v>
      </c>
      <c r="G8" s="9">
        <v>1065</v>
      </c>
      <c r="H8" s="10">
        <f t="shared" si="2"/>
        <v>1.08</v>
      </c>
      <c r="I8" s="79">
        <v>526</v>
      </c>
      <c r="J8" s="10">
        <f t="shared" si="3"/>
        <v>4.6500000000000004</v>
      </c>
      <c r="K8" s="73">
        <v>36</v>
      </c>
    </row>
    <row r="9" spans="1:11" ht="15" x14ac:dyDescent="0.25">
      <c r="A9" s="6" t="s">
        <v>50</v>
      </c>
      <c r="B9" s="7">
        <f t="shared" si="0"/>
        <v>8</v>
      </c>
      <c r="C9" s="8">
        <v>1</v>
      </c>
      <c r="D9" s="7">
        <v>2022</v>
      </c>
      <c r="E9" s="9">
        <v>20400</v>
      </c>
      <c r="F9" s="71">
        <f t="shared" si="1"/>
        <v>7.8100000000000003E-2</v>
      </c>
      <c r="G9" s="9">
        <v>1009</v>
      </c>
      <c r="H9" s="10">
        <f t="shared" si="2"/>
        <v>1.08</v>
      </c>
      <c r="I9" s="79">
        <v>491</v>
      </c>
      <c r="J9" s="10">
        <f t="shared" si="3"/>
        <v>4.6500000000000004</v>
      </c>
      <c r="K9" s="73">
        <v>46</v>
      </c>
    </row>
    <row r="10" spans="1:11" ht="15" x14ac:dyDescent="0.25">
      <c r="A10" s="6" t="s">
        <v>50</v>
      </c>
      <c r="B10" s="7">
        <f t="shared" si="0"/>
        <v>9</v>
      </c>
      <c r="C10" s="8">
        <v>1</v>
      </c>
      <c r="D10" s="7">
        <v>2022</v>
      </c>
      <c r="E10" s="9">
        <v>24600</v>
      </c>
      <c r="F10" s="71">
        <f t="shared" si="1"/>
        <v>7.8100000000000003E-2</v>
      </c>
      <c r="G10" s="9">
        <v>192</v>
      </c>
      <c r="H10" s="10">
        <f t="shared" si="2"/>
        <v>1.08</v>
      </c>
      <c r="I10" s="79">
        <v>617</v>
      </c>
      <c r="J10" s="10">
        <f t="shared" si="3"/>
        <v>4.6500000000000004</v>
      </c>
      <c r="K10" s="73">
        <v>75</v>
      </c>
    </row>
    <row r="11" spans="1:11" ht="15" x14ac:dyDescent="0.25">
      <c r="A11" s="6" t="s">
        <v>50</v>
      </c>
      <c r="B11" s="7">
        <f t="shared" si="0"/>
        <v>10</v>
      </c>
      <c r="C11" s="8">
        <v>1</v>
      </c>
      <c r="D11" s="7">
        <v>2022</v>
      </c>
      <c r="E11" s="9">
        <v>18000</v>
      </c>
      <c r="F11" s="71">
        <f t="shared" si="1"/>
        <v>7.8100000000000003E-2</v>
      </c>
      <c r="G11" s="9">
        <v>873</v>
      </c>
      <c r="H11" s="10">
        <f t="shared" si="2"/>
        <v>1.08</v>
      </c>
      <c r="I11" s="79">
        <v>459</v>
      </c>
      <c r="J11" s="10">
        <f t="shared" si="3"/>
        <v>4.6500000000000004</v>
      </c>
      <c r="K11" s="73">
        <v>84</v>
      </c>
    </row>
    <row r="12" spans="1:11" ht="15" x14ac:dyDescent="0.25">
      <c r="A12" s="6" t="s">
        <v>50</v>
      </c>
      <c r="B12" s="7">
        <f t="shared" si="0"/>
        <v>11</v>
      </c>
      <c r="C12" s="8">
        <v>1</v>
      </c>
      <c r="D12" s="7">
        <v>2022</v>
      </c>
      <c r="E12" s="9">
        <v>22800</v>
      </c>
      <c r="F12" s="71">
        <f t="shared" si="1"/>
        <v>7.8100000000000003E-2</v>
      </c>
      <c r="G12" s="9">
        <v>823</v>
      </c>
      <c r="H12" s="10">
        <f t="shared" si="2"/>
        <v>1.08</v>
      </c>
      <c r="I12" s="79">
        <v>601</v>
      </c>
      <c r="J12" s="10">
        <f t="shared" si="3"/>
        <v>4.6500000000000004</v>
      </c>
      <c r="K12" s="73">
        <v>80</v>
      </c>
    </row>
    <row r="13" spans="1:11" ht="15" x14ac:dyDescent="0.25">
      <c r="A13" s="6" t="s">
        <v>50</v>
      </c>
      <c r="B13" s="7">
        <f t="shared" si="0"/>
        <v>12</v>
      </c>
      <c r="C13" s="8">
        <v>1</v>
      </c>
      <c r="D13" s="7">
        <v>2022</v>
      </c>
      <c r="E13" s="9">
        <v>22200</v>
      </c>
      <c r="F13" s="71">
        <f t="shared" si="1"/>
        <v>7.8100000000000003E-2</v>
      </c>
      <c r="G13" s="9">
        <v>1309</v>
      </c>
      <c r="H13" s="10">
        <f t="shared" si="2"/>
        <v>1.08</v>
      </c>
      <c r="I13" s="9">
        <v>415</v>
      </c>
      <c r="J13" s="10">
        <f t="shared" si="3"/>
        <v>4.6500000000000004</v>
      </c>
      <c r="K13" s="72">
        <v>32</v>
      </c>
    </row>
    <row r="14" spans="1:11" ht="15" x14ac:dyDescent="0.25">
      <c r="A14" s="6" t="s">
        <v>50</v>
      </c>
      <c r="B14" s="7">
        <f t="shared" si="0"/>
        <v>13</v>
      </c>
      <c r="C14" s="8">
        <v>1</v>
      </c>
      <c r="D14" s="7">
        <v>2022</v>
      </c>
      <c r="E14" s="9">
        <v>21600</v>
      </c>
      <c r="F14" s="71">
        <f t="shared" si="1"/>
        <v>7.8100000000000003E-2</v>
      </c>
      <c r="G14" s="9">
        <v>1023</v>
      </c>
      <c r="H14" s="10">
        <f t="shared" si="2"/>
        <v>1.08</v>
      </c>
      <c r="I14" s="9">
        <v>460</v>
      </c>
      <c r="J14" s="10">
        <f t="shared" si="3"/>
        <v>4.6500000000000004</v>
      </c>
      <c r="K14" s="73">
        <v>33</v>
      </c>
    </row>
    <row r="15" spans="1:11" ht="15" x14ac:dyDescent="0.25">
      <c r="A15" s="6" t="s">
        <v>50</v>
      </c>
      <c r="B15" s="7">
        <f t="shared" si="0"/>
        <v>14</v>
      </c>
      <c r="C15" s="8">
        <v>1</v>
      </c>
      <c r="D15" s="7">
        <v>2022</v>
      </c>
      <c r="E15" s="9">
        <v>24600</v>
      </c>
      <c r="F15" s="71">
        <f t="shared" si="1"/>
        <v>7.8100000000000003E-2</v>
      </c>
      <c r="G15" s="9">
        <v>1037</v>
      </c>
      <c r="H15" s="10">
        <f t="shared" si="2"/>
        <v>1.08</v>
      </c>
      <c r="I15" s="9">
        <v>469</v>
      </c>
      <c r="J15" s="10">
        <f t="shared" si="3"/>
        <v>4.6500000000000004</v>
      </c>
      <c r="K15" s="73">
        <v>80</v>
      </c>
    </row>
    <row r="16" spans="1:11" ht="15" x14ac:dyDescent="0.25">
      <c r="A16" s="6" t="s">
        <v>50</v>
      </c>
      <c r="B16" s="7">
        <f t="shared" si="0"/>
        <v>15</v>
      </c>
      <c r="C16" s="8">
        <v>1</v>
      </c>
      <c r="D16" s="7">
        <v>2022</v>
      </c>
      <c r="E16" s="9">
        <v>17400</v>
      </c>
      <c r="F16" s="71">
        <f t="shared" si="1"/>
        <v>7.8100000000000003E-2</v>
      </c>
      <c r="G16" s="9">
        <v>970</v>
      </c>
      <c r="H16" s="10">
        <f t="shared" si="2"/>
        <v>1.08</v>
      </c>
      <c r="I16" s="9">
        <v>229</v>
      </c>
      <c r="J16" s="10">
        <f t="shared" si="3"/>
        <v>4.6500000000000004</v>
      </c>
      <c r="K16" s="73">
        <v>148</v>
      </c>
    </row>
    <row r="17" spans="1:11" ht="15" x14ac:dyDescent="0.25">
      <c r="A17" s="6" t="s">
        <v>50</v>
      </c>
      <c r="B17" s="7">
        <f t="shared" si="0"/>
        <v>16</v>
      </c>
      <c r="C17" s="8">
        <v>1</v>
      </c>
      <c r="D17" s="7">
        <v>2022</v>
      </c>
      <c r="E17" s="9">
        <v>22800</v>
      </c>
      <c r="F17" s="71">
        <f t="shared" si="1"/>
        <v>7.8100000000000003E-2</v>
      </c>
      <c r="G17" s="9">
        <v>1200</v>
      </c>
      <c r="H17" s="10">
        <f t="shared" si="2"/>
        <v>1.08</v>
      </c>
      <c r="I17" s="9">
        <v>752</v>
      </c>
      <c r="J17" s="10">
        <f t="shared" si="3"/>
        <v>4.6500000000000004</v>
      </c>
      <c r="K17" s="73">
        <v>157</v>
      </c>
    </row>
    <row r="18" spans="1:11" ht="15" x14ac:dyDescent="0.25">
      <c r="A18" s="6" t="s">
        <v>50</v>
      </c>
      <c r="B18" s="7">
        <f t="shared" si="0"/>
        <v>17</v>
      </c>
      <c r="C18" s="8">
        <v>1</v>
      </c>
      <c r="D18" s="7">
        <v>2022</v>
      </c>
      <c r="E18" s="9">
        <v>22800</v>
      </c>
      <c r="F18" s="71">
        <f t="shared" si="1"/>
        <v>7.8100000000000003E-2</v>
      </c>
      <c r="G18" s="9">
        <v>1287</v>
      </c>
      <c r="H18" s="10">
        <f t="shared" si="2"/>
        <v>1.08</v>
      </c>
      <c r="I18" s="9">
        <v>533</v>
      </c>
      <c r="J18" s="10">
        <f t="shared" si="3"/>
        <v>4.6500000000000004</v>
      </c>
      <c r="K18" s="73">
        <v>152</v>
      </c>
    </row>
    <row r="19" spans="1:11" ht="15" x14ac:dyDescent="0.25">
      <c r="A19" s="6" t="s">
        <v>50</v>
      </c>
      <c r="B19" s="7">
        <f t="shared" si="0"/>
        <v>18</v>
      </c>
      <c r="C19" s="8">
        <v>1</v>
      </c>
      <c r="D19" s="7">
        <v>2022</v>
      </c>
      <c r="E19" s="9">
        <v>21000</v>
      </c>
      <c r="F19" s="71">
        <f t="shared" si="1"/>
        <v>7.8100000000000003E-2</v>
      </c>
      <c r="G19" s="9">
        <v>1095</v>
      </c>
      <c r="H19" s="10">
        <f t="shared" si="2"/>
        <v>1.08</v>
      </c>
      <c r="I19" s="9">
        <v>449</v>
      </c>
      <c r="J19" s="10">
        <f t="shared" si="3"/>
        <v>4.6500000000000004</v>
      </c>
      <c r="K19" s="73">
        <v>113</v>
      </c>
    </row>
    <row r="20" spans="1:11" ht="15" x14ac:dyDescent="0.25">
      <c r="A20" s="6" t="s">
        <v>50</v>
      </c>
      <c r="B20" s="7">
        <f t="shared" si="0"/>
        <v>19</v>
      </c>
      <c r="C20" s="8">
        <v>1</v>
      </c>
      <c r="D20" s="7">
        <v>2022</v>
      </c>
      <c r="E20" s="9">
        <v>24000</v>
      </c>
      <c r="F20" s="71">
        <f t="shared" si="1"/>
        <v>7.8100000000000003E-2</v>
      </c>
      <c r="G20" s="9">
        <v>1008</v>
      </c>
      <c r="H20" s="10">
        <f t="shared" si="2"/>
        <v>1.08</v>
      </c>
      <c r="I20" s="9">
        <v>586</v>
      </c>
      <c r="J20" s="10">
        <f t="shared" si="3"/>
        <v>4.6500000000000004</v>
      </c>
      <c r="K20" s="73">
        <v>95</v>
      </c>
    </row>
    <row r="21" spans="1:11" ht="15" x14ac:dyDescent="0.25">
      <c r="A21" s="6" t="s">
        <v>50</v>
      </c>
      <c r="B21" s="7">
        <f t="shared" si="0"/>
        <v>20</v>
      </c>
      <c r="C21" s="8">
        <v>1</v>
      </c>
      <c r="D21" s="7">
        <v>2022</v>
      </c>
      <c r="E21" s="9">
        <v>20400</v>
      </c>
      <c r="F21" s="71">
        <f t="shared" si="1"/>
        <v>7.8100000000000003E-2</v>
      </c>
      <c r="G21" s="9">
        <v>1148</v>
      </c>
      <c r="H21" s="10">
        <f t="shared" si="2"/>
        <v>1.08</v>
      </c>
      <c r="I21" s="9">
        <v>473</v>
      </c>
      <c r="J21" s="10">
        <f t="shared" si="3"/>
        <v>4.6500000000000004</v>
      </c>
      <c r="K21" s="73">
        <v>131</v>
      </c>
    </row>
    <row r="22" spans="1:11" ht="15" x14ac:dyDescent="0.25">
      <c r="A22" s="6" t="s">
        <v>50</v>
      </c>
      <c r="B22" s="7">
        <f t="shared" si="0"/>
        <v>21</v>
      </c>
      <c r="C22" s="8">
        <v>1</v>
      </c>
      <c r="D22" s="7">
        <v>2022</v>
      </c>
      <c r="E22" s="9">
        <v>24600</v>
      </c>
      <c r="F22" s="71">
        <f t="shared" si="1"/>
        <v>7.8100000000000003E-2</v>
      </c>
      <c r="G22" s="9">
        <v>1228</v>
      </c>
      <c r="H22" s="10">
        <f t="shared" si="2"/>
        <v>1.08</v>
      </c>
      <c r="I22" s="9">
        <v>516</v>
      </c>
      <c r="J22" s="10">
        <f t="shared" si="3"/>
        <v>4.6500000000000004</v>
      </c>
      <c r="K22" s="73">
        <v>109</v>
      </c>
    </row>
    <row r="23" spans="1:11" ht="15" x14ac:dyDescent="0.25">
      <c r="A23" s="6" t="s">
        <v>50</v>
      </c>
      <c r="B23" s="7">
        <f t="shared" si="0"/>
        <v>22</v>
      </c>
      <c r="C23" s="8">
        <v>1</v>
      </c>
      <c r="D23" s="7">
        <v>2022</v>
      </c>
      <c r="E23" s="9">
        <v>25800</v>
      </c>
      <c r="F23" s="71">
        <f t="shared" si="1"/>
        <v>7.8100000000000003E-2</v>
      </c>
      <c r="G23" s="9">
        <v>1234</v>
      </c>
      <c r="H23" s="10">
        <f t="shared" si="2"/>
        <v>1.08</v>
      </c>
      <c r="I23" s="9">
        <v>254</v>
      </c>
      <c r="J23" s="10">
        <f t="shared" si="3"/>
        <v>4.6500000000000004</v>
      </c>
      <c r="K23" s="73">
        <v>108</v>
      </c>
    </row>
    <row r="24" spans="1:11" ht="15" x14ac:dyDescent="0.25">
      <c r="A24" s="6" t="s">
        <v>50</v>
      </c>
      <c r="B24" s="7">
        <f t="shared" si="0"/>
        <v>23</v>
      </c>
      <c r="C24" s="8">
        <v>1</v>
      </c>
      <c r="D24" s="7">
        <v>2022</v>
      </c>
      <c r="E24" s="9">
        <v>22200</v>
      </c>
      <c r="F24" s="71">
        <f t="shared" si="1"/>
        <v>7.8100000000000003E-2</v>
      </c>
      <c r="G24" s="9">
        <v>1405</v>
      </c>
      <c r="H24" s="10">
        <f t="shared" si="2"/>
        <v>1.08</v>
      </c>
      <c r="I24" s="9">
        <v>948</v>
      </c>
      <c r="J24" s="10">
        <f t="shared" si="3"/>
        <v>4.6500000000000004</v>
      </c>
      <c r="K24" s="73">
        <v>48</v>
      </c>
    </row>
    <row r="25" spans="1:11" ht="15" x14ac:dyDescent="0.25">
      <c r="A25" s="6" t="s">
        <v>50</v>
      </c>
      <c r="B25" s="7">
        <f t="shared" si="0"/>
        <v>24</v>
      </c>
      <c r="C25" s="8">
        <v>1</v>
      </c>
      <c r="D25" s="7">
        <v>2022</v>
      </c>
      <c r="E25" s="9">
        <v>25800</v>
      </c>
      <c r="F25" s="71">
        <f t="shared" si="1"/>
        <v>7.8100000000000003E-2</v>
      </c>
      <c r="G25" s="9">
        <v>2296</v>
      </c>
      <c r="H25" s="10">
        <f t="shared" si="2"/>
        <v>1.08</v>
      </c>
      <c r="I25" s="9">
        <v>968</v>
      </c>
      <c r="J25" s="10">
        <f t="shared" si="3"/>
        <v>4.6500000000000004</v>
      </c>
      <c r="K25" s="73">
        <v>114</v>
      </c>
    </row>
    <row r="26" spans="1:11" ht="15" x14ac:dyDescent="0.25">
      <c r="A26" s="6" t="s">
        <v>50</v>
      </c>
      <c r="B26" s="7">
        <f>B25+1</f>
        <v>25</v>
      </c>
      <c r="C26" s="8">
        <v>1</v>
      </c>
      <c r="D26" s="7">
        <v>2022</v>
      </c>
      <c r="E26" s="9">
        <v>25800</v>
      </c>
      <c r="F26" s="71">
        <f t="shared" si="1"/>
        <v>7.8100000000000003E-2</v>
      </c>
      <c r="G26" s="9">
        <v>451</v>
      </c>
      <c r="H26" s="10">
        <f t="shared" si="2"/>
        <v>1.08</v>
      </c>
      <c r="I26" s="9">
        <v>193</v>
      </c>
      <c r="J26" s="10">
        <f t="shared" si="3"/>
        <v>4.6500000000000004</v>
      </c>
      <c r="K26" s="73">
        <v>106</v>
      </c>
    </row>
    <row r="27" spans="1:11" ht="15" x14ac:dyDescent="0.25">
      <c r="A27" s="6" t="s">
        <v>50</v>
      </c>
      <c r="B27" s="7">
        <f t="shared" si="0"/>
        <v>26</v>
      </c>
      <c r="C27" s="8">
        <v>1</v>
      </c>
      <c r="D27" s="7">
        <v>2022</v>
      </c>
      <c r="E27" s="9">
        <v>16800</v>
      </c>
      <c r="F27" s="71">
        <f t="shared" si="1"/>
        <v>7.8100000000000003E-2</v>
      </c>
      <c r="G27" s="9">
        <v>637</v>
      </c>
      <c r="H27" s="10">
        <f t="shared" si="2"/>
        <v>1.08</v>
      </c>
      <c r="I27" s="9">
        <v>369</v>
      </c>
      <c r="J27" s="10">
        <f t="shared" si="3"/>
        <v>4.6500000000000004</v>
      </c>
      <c r="K27" s="73">
        <v>82</v>
      </c>
    </row>
    <row r="28" spans="1:11" ht="15" x14ac:dyDescent="0.25">
      <c r="A28" s="6" t="s">
        <v>50</v>
      </c>
      <c r="B28" s="7">
        <f t="shared" si="0"/>
        <v>27</v>
      </c>
      <c r="C28" s="8">
        <v>1</v>
      </c>
      <c r="D28" s="7">
        <v>2022</v>
      </c>
      <c r="E28" s="9">
        <v>17400</v>
      </c>
      <c r="F28" s="71">
        <f t="shared" si="1"/>
        <v>7.8100000000000003E-2</v>
      </c>
      <c r="G28" s="9">
        <v>634</v>
      </c>
      <c r="H28" s="10">
        <f t="shared" si="2"/>
        <v>1.08</v>
      </c>
      <c r="I28" s="9">
        <v>280</v>
      </c>
      <c r="J28" s="10">
        <f t="shared" si="3"/>
        <v>4.6500000000000004</v>
      </c>
      <c r="K28" s="73">
        <v>80</v>
      </c>
    </row>
    <row r="29" spans="1:11" ht="15" x14ac:dyDescent="0.25">
      <c r="A29" s="6" t="s">
        <v>50</v>
      </c>
      <c r="B29" s="7">
        <f t="shared" si="0"/>
        <v>28</v>
      </c>
      <c r="C29" s="8">
        <v>1</v>
      </c>
      <c r="D29" s="7">
        <v>2022</v>
      </c>
      <c r="E29" s="9">
        <v>14600</v>
      </c>
      <c r="F29" s="71">
        <f t="shared" si="1"/>
        <v>7.8100000000000003E-2</v>
      </c>
      <c r="G29" s="9">
        <v>1597</v>
      </c>
      <c r="H29" s="10">
        <f t="shared" si="2"/>
        <v>1.08</v>
      </c>
      <c r="I29" s="9">
        <v>518</v>
      </c>
      <c r="J29" s="10">
        <f t="shared" si="3"/>
        <v>4.6500000000000004</v>
      </c>
      <c r="K29" s="73">
        <v>94</v>
      </c>
    </row>
    <row r="30" spans="1:11" ht="15" x14ac:dyDescent="0.25">
      <c r="A30" s="6" t="s">
        <v>50</v>
      </c>
      <c r="B30" s="7">
        <f t="shared" si="0"/>
        <v>29</v>
      </c>
      <c r="C30" s="8">
        <v>1</v>
      </c>
      <c r="D30" s="7">
        <v>2022</v>
      </c>
      <c r="E30" s="9">
        <v>22800</v>
      </c>
      <c r="F30" s="71">
        <f t="shared" si="1"/>
        <v>7.8100000000000003E-2</v>
      </c>
      <c r="G30" s="9">
        <v>1287</v>
      </c>
      <c r="H30" s="10">
        <f t="shared" si="2"/>
        <v>1.08</v>
      </c>
      <c r="I30" s="9">
        <v>363</v>
      </c>
      <c r="J30" s="10">
        <f t="shared" si="3"/>
        <v>4.6500000000000004</v>
      </c>
      <c r="K30" s="73">
        <v>159</v>
      </c>
    </row>
    <row r="31" spans="1:11" ht="15" x14ac:dyDescent="0.25">
      <c r="A31" s="6" t="s">
        <v>50</v>
      </c>
      <c r="B31" s="7">
        <f t="shared" si="0"/>
        <v>30</v>
      </c>
      <c r="C31" s="8">
        <v>1</v>
      </c>
      <c r="D31" s="7">
        <v>2022</v>
      </c>
      <c r="E31" s="9">
        <v>23400</v>
      </c>
      <c r="F31" s="71">
        <f t="shared" si="1"/>
        <v>7.8100000000000003E-2</v>
      </c>
      <c r="G31" s="9">
        <v>1169</v>
      </c>
      <c r="H31" s="10">
        <f t="shared" si="2"/>
        <v>1.08</v>
      </c>
      <c r="I31" s="9">
        <v>361</v>
      </c>
      <c r="J31" s="10">
        <f t="shared" si="3"/>
        <v>4.6500000000000004</v>
      </c>
      <c r="K31" s="73">
        <v>141</v>
      </c>
    </row>
    <row r="32" spans="1:11" ht="15" x14ac:dyDescent="0.25">
      <c r="A32" s="6" t="s">
        <v>50</v>
      </c>
      <c r="B32" s="7">
        <f t="shared" si="0"/>
        <v>31</v>
      </c>
      <c r="C32" s="8">
        <v>1</v>
      </c>
      <c r="D32" s="7">
        <v>2022</v>
      </c>
      <c r="E32" s="9">
        <v>25800</v>
      </c>
      <c r="F32" s="71">
        <f t="shared" si="1"/>
        <v>7.8100000000000003E-2</v>
      </c>
      <c r="G32" s="9">
        <v>1280</v>
      </c>
      <c r="H32" s="10">
        <f t="shared" si="2"/>
        <v>1.08</v>
      </c>
      <c r="I32" s="9">
        <v>374</v>
      </c>
      <c r="J32" s="10">
        <f t="shared" si="3"/>
        <v>4.6500000000000004</v>
      </c>
      <c r="K32" s="80">
        <v>157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9"/>
  <sheetViews>
    <sheetView workbookViewId="0">
      <selection activeCell="I30" sqref="I30"/>
    </sheetView>
  </sheetViews>
  <sheetFormatPr defaultRowHeight="12.75" x14ac:dyDescent="0.2"/>
  <cols>
    <col min="1" max="1" width="14.570312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1" ht="60" x14ac:dyDescent="0.2">
      <c r="A1" s="1" t="s">
        <v>39</v>
      </c>
      <c r="B1" s="1" t="s">
        <v>40</v>
      </c>
      <c r="C1" s="2" t="s">
        <v>41</v>
      </c>
      <c r="D1" s="1" t="s">
        <v>42</v>
      </c>
      <c r="E1" s="3" t="s">
        <v>43</v>
      </c>
      <c r="F1" s="4" t="s">
        <v>44</v>
      </c>
      <c r="G1" s="3" t="s">
        <v>45</v>
      </c>
      <c r="H1" s="4" t="s">
        <v>46</v>
      </c>
      <c r="I1" s="3" t="s">
        <v>47</v>
      </c>
      <c r="J1" s="5" t="s">
        <v>48</v>
      </c>
      <c r="K1" s="3" t="s">
        <v>49</v>
      </c>
    </row>
    <row r="2" spans="1:11" ht="15" x14ac:dyDescent="0.25">
      <c r="A2" s="6" t="s">
        <v>50</v>
      </c>
      <c r="B2" s="7">
        <v>1</v>
      </c>
      <c r="C2" s="8">
        <v>2</v>
      </c>
      <c r="D2" s="7">
        <v>2022</v>
      </c>
      <c r="E2" s="9">
        <v>22800</v>
      </c>
      <c r="F2" s="71">
        <f>DAILY!D7</f>
        <v>7.8100000000000003E-2</v>
      </c>
      <c r="G2" s="9">
        <v>1109</v>
      </c>
      <c r="H2" s="10">
        <v>1.08</v>
      </c>
      <c r="I2" s="9">
        <v>623</v>
      </c>
      <c r="J2" s="10">
        <v>4.6500000000000004</v>
      </c>
      <c r="K2" s="72">
        <v>84</v>
      </c>
    </row>
    <row r="3" spans="1:11" ht="15" x14ac:dyDescent="0.25">
      <c r="A3" s="6" t="s">
        <v>50</v>
      </c>
      <c r="B3" s="7">
        <f>B2+1</f>
        <v>2</v>
      </c>
      <c r="C3" s="8">
        <v>2</v>
      </c>
      <c r="D3" s="7">
        <v>2022</v>
      </c>
      <c r="E3" s="9">
        <v>22200</v>
      </c>
      <c r="F3" s="71">
        <f>F2</f>
        <v>7.8100000000000003E-2</v>
      </c>
      <c r="G3" s="9">
        <v>341</v>
      </c>
      <c r="H3" s="10">
        <f>H2</f>
        <v>1.08</v>
      </c>
      <c r="I3" s="9">
        <v>124</v>
      </c>
      <c r="J3" s="10">
        <f>J2</f>
        <v>4.6500000000000004</v>
      </c>
      <c r="K3" s="73">
        <v>54</v>
      </c>
    </row>
    <row r="4" spans="1:11" ht="15" x14ac:dyDescent="0.25">
      <c r="A4" s="6" t="s">
        <v>50</v>
      </c>
      <c r="B4" s="7">
        <f t="shared" ref="B4:B29" si="0">B3+1</f>
        <v>3</v>
      </c>
      <c r="C4" s="8">
        <v>2</v>
      </c>
      <c r="D4" s="7">
        <v>2022</v>
      </c>
      <c r="E4" s="9">
        <v>23400</v>
      </c>
      <c r="F4" s="71">
        <f t="shared" ref="F4:F29" si="1">F3</f>
        <v>7.8100000000000003E-2</v>
      </c>
      <c r="G4" s="9">
        <v>1753</v>
      </c>
      <c r="H4" s="10">
        <f t="shared" ref="H4:H29" si="2">H3</f>
        <v>1.08</v>
      </c>
      <c r="I4" s="9">
        <v>825</v>
      </c>
      <c r="J4" s="10">
        <f t="shared" ref="J4:J29" si="3">J3</f>
        <v>4.6500000000000004</v>
      </c>
      <c r="K4" s="73">
        <v>81</v>
      </c>
    </row>
    <row r="5" spans="1:11" ht="15" x14ac:dyDescent="0.25">
      <c r="A5" s="6" t="s">
        <v>50</v>
      </c>
      <c r="B5" s="7">
        <f t="shared" si="0"/>
        <v>4</v>
      </c>
      <c r="C5" s="8">
        <v>2</v>
      </c>
      <c r="D5" s="7">
        <v>2022</v>
      </c>
      <c r="E5" s="9">
        <v>17400</v>
      </c>
      <c r="F5" s="71">
        <f t="shared" si="1"/>
        <v>7.8100000000000003E-2</v>
      </c>
      <c r="G5" s="9">
        <v>892</v>
      </c>
      <c r="H5" s="10">
        <f t="shared" si="2"/>
        <v>1.08</v>
      </c>
      <c r="I5" s="9">
        <v>411</v>
      </c>
      <c r="J5" s="10">
        <f t="shared" si="3"/>
        <v>4.6500000000000004</v>
      </c>
      <c r="K5" s="73">
        <v>98</v>
      </c>
    </row>
    <row r="6" spans="1:11" ht="15" x14ac:dyDescent="0.25">
      <c r="A6" s="6" t="s">
        <v>50</v>
      </c>
      <c r="B6" s="7">
        <f t="shared" si="0"/>
        <v>5</v>
      </c>
      <c r="C6" s="8">
        <v>2</v>
      </c>
      <c r="D6" s="7">
        <v>2022</v>
      </c>
      <c r="E6" s="9">
        <v>21000</v>
      </c>
      <c r="F6" s="71">
        <f t="shared" si="1"/>
        <v>7.8100000000000003E-2</v>
      </c>
      <c r="G6" s="9">
        <v>904</v>
      </c>
      <c r="H6" s="10">
        <f t="shared" si="2"/>
        <v>1.08</v>
      </c>
      <c r="I6" s="9">
        <v>432</v>
      </c>
      <c r="J6" s="10">
        <f t="shared" si="3"/>
        <v>4.6500000000000004</v>
      </c>
      <c r="K6" s="73">
        <v>55</v>
      </c>
    </row>
    <row r="7" spans="1:11" ht="15" x14ac:dyDescent="0.25">
      <c r="A7" s="6" t="s">
        <v>50</v>
      </c>
      <c r="B7" s="7">
        <f t="shared" si="0"/>
        <v>6</v>
      </c>
      <c r="C7" s="8">
        <v>2</v>
      </c>
      <c r="D7" s="7">
        <v>2022</v>
      </c>
      <c r="E7" s="9">
        <v>27600</v>
      </c>
      <c r="F7" s="71">
        <f t="shared" si="1"/>
        <v>7.8100000000000003E-2</v>
      </c>
      <c r="G7" s="9">
        <v>1427</v>
      </c>
      <c r="H7" s="10">
        <f t="shared" si="2"/>
        <v>1.08</v>
      </c>
      <c r="I7" s="9">
        <v>571</v>
      </c>
      <c r="J7" s="10">
        <f t="shared" si="3"/>
        <v>4.6500000000000004</v>
      </c>
      <c r="K7" s="73">
        <v>122</v>
      </c>
    </row>
    <row r="8" spans="1:11" ht="15" x14ac:dyDescent="0.25">
      <c r="A8" s="6" t="s">
        <v>50</v>
      </c>
      <c r="B8" s="7">
        <f t="shared" si="0"/>
        <v>7</v>
      </c>
      <c r="C8" s="8">
        <v>2</v>
      </c>
      <c r="D8" s="7">
        <v>2022</v>
      </c>
      <c r="E8" s="9">
        <v>13200</v>
      </c>
      <c r="F8" s="71">
        <f t="shared" si="1"/>
        <v>7.8100000000000003E-2</v>
      </c>
      <c r="G8" s="9">
        <v>653</v>
      </c>
      <c r="H8" s="10">
        <f t="shared" si="2"/>
        <v>1.08</v>
      </c>
      <c r="I8" s="9">
        <v>416</v>
      </c>
      <c r="J8" s="10">
        <f t="shared" si="3"/>
        <v>4.6500000000000004</v>
      </c>
      <c r="K8" s="73">
        <v>147</v>
      </c>
    </row>
    <row r="9" spans="1:11" ht="15" x14ac:dyDescent="0.25">
      <c r="A9" s="6" t="s">
        <v>50</v>
      </c>
      <c r="B9" s="7">
        <f t="shared" si="0"/>
        <v>8</v>
      </c>
      <c r="C9" s="8">
        <v>2</v>
      </c>
      <c r="D9" s="7">
        <v>2022</v>
      </c>
      <c r="E9" s="9">
        <v>25800</v>
      </c>
      <c r="F9" s="71">
        <f t="shared" si="1"/>
        <v>7.8100000000000003E-2</v>
      </c>
      <c r="G9" s="9">
        <v>1153</v>
      </c>
      <c r="H9" s="10">
        <f t="shared" si="2"/>
        <v>1.08</v>
      </c>
      <c r="I9" s="9">
        <v>428</v>
      </c>
      <c r="J9" s="10">
        <f t="shared" si="3"/>
        <v>4.6500000000000004</v>
      </c>
      <c r="K9" s="73">
        <v>101</v>
      </c>
    </row>
    <row r="10" spans="1:11" ht="15" x14ac:dyDescent="0.25">
      <c r="A10" s="6" t="s">
        <v>50</v>
      </c>
      <c r="B10" s="7">
        <f t="shared" si="0"/>
        <v>9</v>
      </c>
      <c r="C10" s="8">
        <v>2</v>
      </c>
      <c r="D10" s="7">
        <v>2022</v>
      </c>
      <c r="E10" s="9">
        <v>26400</v>
      </c>
      <c r="F10" s="71">
        <f t="shared" si="1"/>
        <v>7.8100000000000003E-2</v>
      </c>
      <c r="G10" s="9">
        <v>1092</v>
      </c>
      <c r="H10" s="10">
        <f t="shared" si="2"/>
        <v>1.08</v>
      </c>
      <c r="I10" s="9">
        <v>573</v>
      </c>
      <c r="J10" s="10">
        <f t="shared" si="3"/>
        <v>4.6500000000000004</v>
      </c>
      <c r="K10" s="73">
        <v>91</v>
      </c>
    </row>
    <row r="11" spans="1:11" ht="15" x14ac:dyDescent="0.25">
      <c r="A11" s="6" t="s">
        <v>50</v>
      </c>
      <c r="B11" s="7">
        <f t="shared" si="0"/>
        <v>10</v>
      </c>
      <c r="C11" s="8">
        <v>2</v>
      </c>
      <c r="D11" s="7">
        <v>2022</v>
      </c>
      <c r="E11" s="9">
        <v>23400</v>
      </c>
      <c r="F11" s="71">
        <f t="shared" si="1"/>
        <v>7.8100000000000003E-2</v>
      </c>
      <c r="G11" s="9">
        <v>942</v>
      </c>
      <c r="H11" s="10">
        <f t="shared" si="2"/>
        <v>1.08</v>
      </c>
      <c r="I11" s="9">
        <v>528</v>
      </c>
      <c r="J11" s="10">
        <f t="shared" si="3"/>
        <v>4.6500000000000004</v>
      </c>
      <c r="K11" s="73">
        <v>145</v>
      </c>
    </row>
    <row r="12" spans="1:11" ht="15" x14ac:dyDescent="0.25">
      <c r="A12" s="6" t="s">
        <v>50</v>
      </c>
      <c r="B12" s="7">
        <f t="shared" si="0"/>
        <v>11</v>
      </c>
      <c r="C12" s="8">
        <v>2</v>
      </c>
      <c r="D12" s="7">
        <v>2022</v>
      </c>
      <c r="E12" s="9">
        <v>18600</v>
      </c>
      <c r="F12" s="71">
        <f t="shared" si="1"/>
        <v>7.8100000000000003E-2</v>
      </c>
      <c r="G12" s="9">
        <v>797</v>
      </c>
      <c r="H12" s="10">
        <f t="shared" si="2"/>
        <v>1.08</v>
      </c>
      <c r="I12" s="9">
        <v>476</v>
      </c>
      <c r="J12" s="10">
        <f t="shared" si="3"/>
        <v>4.6500000000000004</v>
      </c>
      <c r="K12" s="73">
        <v>115</v>
      </c>
    </row>
    <row r="13" spans="1:11" ht="15" x14ac:dyDescent="0.25">
      <c r="A13" s="6" t="s">
        <v>50</v>
      </c>
      <c r="B13" s="7">
        <f t="shared" si="0"/>
        <v>12</v>
      </c>
      <c r="C13" s="8">
        <v>2</v>
      </c>
      <c r="D13" s="7">
        <v>2022</v>
      </c>
      <c r="E13" s="9">
        <v>21600</v>
      </c>
      <c r="F13" s="71">
        <f t="shared" si="1"/>
        <v>7.8100000000000003E-2</v>
      </c>
      <c r="G13" s="9">
        <v>849</v>
      </c>
      <c r="H13" s="10">
        <f t="shared" si="2"/>
        <v>1.08</v>
      </c>
      <c r="I13" s="9">
        <v>525</v>
      </c>
      <c r="J13" s="10">
        <f t="shared" si="3"/>
        <v>4.6500000000000004</v>
      </c>
      <c r="K13" s="73">
        <v>140</v>
      </c>
    </row>
    <row r="14" spans="1:11" ht="15" x14ac:dyDescent="0.25">
      <c r="A14" s="6" t="s">
        <v>50</v>
      </c>
      <c r="B14" s="7">
        <f t="shared" si="0"/>
        <v>13</v>
      </c>
      <c r="C14" s="8">
        <v>2</v>
      </c>
      <c r="D14" s="7">
        <v>2022</v>
      </c>
      <c r="E14" s="9">
        <v>28600</v>
      </c>
      <c r="F14" s="71">
        <f t="shared" si="1"/>
        <v>7.8100000000000003E-2</v>
      </c>
      <c r="G14" s="9">
        <v>562</v>
      </c>
      <c r="H14" s="10">
        <f t="shared" si="2"/>
        <v>1.08</v>
      </c>
      <c r="I14" s="9">
        <v>121</v>
      </c>
      <c r="J14" s="10">
        <f t="shared" si="3"/>
        <v>4.6500000000000004</v>
      </c>
      <c r="K14" s="73">
        <v>111</v>
      </c>
    </row>
    <row r="15" spans="1:11" ht="15" x14ac:dyDescent="0.25">
      <c r="A15" s="6" t="s">
        <v>50</v>
      </c>
      <c r="B15" s="7">
        <f t="shared" si="0"/>
        <v>14</v>
      </c>
      <c r="C15" s="8">
        <v>2</v>
      </c>
      <c r="D15" s="7">
        <v>2022</v>
      </c>
      <c r="E15" s="9">
        <v>21650</v>
      </c>
      <c r="F15" s="71">
        <f t="shared" si="1"/>
        <v>7.8100000000000003E-2</v>
      </c>
      <c r="G15" s="9">
        <v>949</v>
      </c>
      <c r="H15" s="10">
        <f t="shared" si="2"/>
        <v>1.08</v>
      </c>
      <c r="I15" s="9">
        <v>153</v>
      </c>
      <c r="J15" s="10">
        <f t="shared" si="3"/>
        <v>4.6500000000000004</v>
      </c>
      <c r="K15" s="73">
        <v>110</v>
      </c>
    </row>
    <row r="16" spans="1:11" ht="15" x14ac:dyDescent="0.25">
      <c r="A16" s="6" t="s">
        <v>50</v>
      </c>
      <c r="B16" s="7">
        <f t="shared" si="0"/>
        <v>15</v>
      </c>
      <c r="C16" s="8">
        <v>2</v>
      </c>
      <c r="D16" s="7">
        <v>2022</v>
      </c>
      <c r="E16" s="9">
        <v>23401</v>
      </c>
      <c r="F16" s="71">
        <f t="shared" si="1"/>
        <v>7.8100000000000003E-2</v>
      </c>
      <c r="G16" s="9">
        <v>1689</v>
      </c>
      <c r="H16" s="10">
        <f t="shared" si="2"/>
        <v>1.08</v>
      </c>
      <c r="I16" s="9">
        <v>1308</v>
      </c>
      <c r="J16" s="10">
        <f t="shared" si="3"/>
        <v>4.6500000000000004</v>
      </c>
      <c r="K16" s="73">
        <v>49</v>
      </c>
    </row>
    <row r="17" spans="1:11" ht="15" x14ac:dyDescent="0.25">
      <c r="A17" s="6" t="s">
        <v>50</v>
      </c>
      <c r="B17" s="7">
        <f t="shared" si="0"/>
        <v>16</v>
      </c>
      <c r="C17" s="8">
        <v>2</v>
      </c>
      <c r="D17" s="7">
        <v>2022</v>
      </c>
      <c r="E17" s="9">
        <v>26000</v>
      </c>
      <c r="F17" s="71">
        <f t="shared" si="1"/>
        <v>7.8100000000000003E-2</v>
      </c>
      <c r="G17" s="9">
        <v>2294</v>
      </c>
      <c r="H17" s="10">
        <f t="shared" si="2"/>
        <v>1.08</v>
      </c>
      <c r="I17" s="9">
        <v>451</v>
      </c>
      <c r="J17" s="10">
        <f t="shared" si="3"/>
        <v>4.6500000000000004</v>
      </c>
      <c r="K17" s="73">
        <v>50</v>
      </c>
    </row>
    <row r="18" spans="1:11" ht="15" x14ac:dyDescent="0.25">
      <c r="A18" s="6" t="s">
        <v>50</v>
      </c>
      <c r="B18" s="7">
        <f t="shared" si="0"/>
        <v>17</v>
      </c>
      <c r="C18" s="8">
        <v>2</v>
      </c>
      <c r="D18" s="7">
        <v>2022</v>
      </c>
      <c r="E18" s="9">
        <v>18300</v>
      </c>
      <c r="F18" s="71">
        <f t="shared" si="1"/>
        <v>7.8100000000000003E-2</v>
      </c>
      <c r="G18" s="9">
        <v>2015</v>
      </c>
      <c r="H18" s="10">
        <f t="shared" si="2"/>
        <v>1.08</v>
      </c>
      <c r="I18" s="9">
        <v>121</v>
      </c>
      <c r="J18" s="10">
        <f t="shared" si="3"/>
        <v>4.6500000000000004</v>
      </c>
      <c r="K18" s="73">
        <v>37</v>
      </c>
    </row>
    <row r="19" spans="1:11" ht="15" x14ac:dyDescent="0.25">
      <c r="A19" s="6" t="s">
        <v>50</v>
      </c>
      <c r="B19" s="7">
        <f t="shared" si="0"/>
        <v>18</v>
      </c>
      <c r="C19" s="8">
        <v>2</v>
      </c>
      <c r="D19" s="7">
        <v>2022</v>
      </c>
      <c r="E19" s="9">
        <v>26580</v>
      </c>
      <c r="F19" s="71">
        <f t="shared" si="1"/>
        <v>7.8100000000000003E-2</v>
      </c>
      <c r="G19" s="9">
        <v>1558</v>
      </c>
      <c r="H19" s="10">
        <f t="shared" si="2"/>
        <v>1.08</v>
      </c>
      <c r="I19" s="9">
        <v>842</v>
      </c>
      <c r="J19" s="10">
        <f t="shared" si="3"/>
        <v>4.6500000000000004</v>
      </c>
      <c r="K19" s="73">
        <v>64</v>
      </c>
    </row>
    <row r="20" spans="1:11" ht="15" x14ac:dyDescent="0.25">
      <c r="A20" s="6" t="s">
        <v>50</v>
      </c>
      <c r="B20" s="7">
        <f t="shared" si="0"/>
        <v>19</v>
      </c>
      <c r="C20" s="8">
        <v>2</v>
      </c>
      <c r="D20" s="7">
        <v>2022</v>
      </c>
      <c r="E20" s="9">
        <v>21600</v>
      </c>
      <c r="F20" s="71">
        <f t="shared" si="1"/>
        <v>7.8100000000000003E-2</v>
      </c>
      <c r="G20" s="9">
        <v>1004</v>
      </c>
      <c r="H20" s="10">
        <f t="shared" si="2"/>
        <v>1.08</v>
      </c>
      <c r="I20" s="9">
        <v>464</v>
      </c>
      <c r="J20" s="10">
        <f t="shared" si="3"/>
        <v>4.6500000000000004</v>
      </c>
      <c r="K20" s="73">
        <v>93</v>
      </c>
    </row>
    <row r="21" spans="1:11" ht="15" x14ac:dyDescent="0.25">
      <c r="A21" s="6" t="s">
        <v>50</v>
      </c>
      <c r="B21" s="7">
        <f t="shared" si="0"/>
        <v>20</v>
      </c>
      <c r="C21" s="8">
        <v>2</v>
      </c>
      <c r="D21" s="7">
        <v>2022</v>
      </c>
      <c r="E21" s="9">
        <v>25800</v>
      </c>
      <c r="F21" s="71">
        <f t="shared" si="1"/>
        <v>7.8100000000000003E-2</v>
      </c>
      <c r="G21" s="9">
        <v>1224</v>
      </c>
      <c r="H21" s="10">
        <f t="shared" si="2"/>
        <v>1.08</v>
      </c>
      <c r="I21" s="9">
        <v>602</v>
      </c>
      <c r="J21" s="10">
        <f t="shared" si="3"/>
        <v>4.6500000000000004</v>
      </c>
      <c r="K21" s="73">
        <v>86</v>
      </c>
    </row>
    <row r="22" spans="1:11" ht="15" x14ac:dyDescent="0.25">
      <c r="A22" s="6" t="s">
        <v>50</v>
      </c>
      <c r="B22" s="7">
        <f t="shared" si="0"/>
        <v>21</v>
      </c>
      <c r="C22" s="8">
        <v>2</v>
      </c>
      <c r="D22" s="7">
        <v>2022</v>
      </c>
      <c r="E22" s="9">
        <v>22200</v>
      </c>
      <c r="F22" s="71">
        <f t="shared" si="1"/>
        <v>7.8100000000000003E-2</v>
      </c>
      <c r="G22" s="9">
        <v>965</v>
      </c>
      <c r="H22" s="10">
        <f t="shared" si="2"/>
        <v>1.08</v>
      </c>
      <c r="I22" s="9">
        <v>483</v>
      </c>
      <c r="J22" s="10">
        <f t="shared" si="3"/>
        <v>4.6500000000000004</v>
      </c>
      <c r="K22" s="73">
        <v>74</v>
      </c>
    </row>
    <row r="23" spans="1:11" ht="15" x14ac:dyDescent="0.25">
      <c r="A23" s="6" t="s">
        <v>50</v>
      </c>
      <c r="B23" s="7">
        <f t="shared" si="0"/>
        <v>22</v>
      </c>
      <c r="C23" s="8">
        <v>2</v>
      </c>
      <c r="D23" s="7">
        <v>2022</v>
      </c>
      <c r="E23" s="9">
        <v>17400</v>
      </c>
      <c r="F23" s="71">
        <f t="shared" si="1"/>
        <v>7.8100000000000003E-2</v>
      </c>
      <c r="G23" s="9">
        <v>633</v>
      </c>
      <c r="H23" s="10">
        <f t="shared" si="2"/>
        <v>1.08</v>
      </c>
      <c r="I23" s="9">
        <v>317</v>
      </c>
      <c r="J23" s="10">
        <f t="shared" si="3"/>
        <v>4.6500000000000004</v>
      </c>
      <c r="K23" s="73">
        <v>157</v>
      </c>
    </row>
    <row r="24" spans="1:11" ht="15" x14ac:dyDescent="0.25">
      <c r="A24" s="6" t="s">
        <v>50</v>
      </c>
      <c r="B24" s="7">
        <f t="shared" si="0"/>
        <v>23</v>
      </c>
      <c r="C24" s="8">
        <v>2</v>
      </c>
      <c r="D24" s="7">
        <v>2022</v>
      </c>
      <c r="E24" s="9">
        <v>22200</v>
      </c>
      <c r="F24" s="71">
        <f t="shared" si="1"/>
        <v>7.8100000000000003E-2</v>
      </c>
      <c r="G24" s="9">
        <v>698</v>
      </c>
      <c r="H24" s="10">
        <f t="shared" si="2"/>
        <v>1.08</v>
      </c>
      <c r="I24" s="9">
        <v>582</v>
      </c>
      <c r="J24" s="10">
        <f t="shared" si="3"/>
        <v>4.6500000000000004</v>
      </c>
      <c r="K24" s="73">
        <v>189</v>
      </c>
    </row>
    <row r="25" spans="1:11" ht="15" x14ac:dyDescent="0.25">
      <c r="A25" s="6" t="s">
        <v>50</v>
      </c>
      <c r="B25" s="7">
        <f t="shared" si="0"/>
        <v>24</v>
      </c>
      <c r="C25" s="8">
        <v>2</v>
      </c>
      <c r="D25" s="7">
        <v>2022</v>
      </c>
      <c r="E25" s="9">
        <v>27000</v>
      </c>
      <c r="F25" s="71">
        <f t="shared" si="1"/>
        <v>7.8100000000000003E-2</v>
      </c>
      <c r="G25" s="9">
        <v>1121</v>
      </c>
      <c r="H25" s="10">
        <f t="shared" si="2"/>
        <v>1.08</v>
      </c>
      <c r="I25" s="9">
        <v>711</v>
      </c>
      <c r="J25" s="10">
        <f t="shared" si="3"/>
        <v>4.6500000000000004</v>
      </c>
      <c r="K25" s="73">
        <v>119</v>
      </c>
    </row>
    <row r="26" spans="1:11" ht="15" x14ac:dyDescent="0.25">
      <c r="A26" s="6" t="s">
        <v>50</v>
      </c>
      <c r="B26" s="7">
        <f>B25+1</f>
        <v>25</v>
      </c>
      <c r="C26" s="8">
        <v>2</v>
      </c>
      <c r="D26" s="7">
        <v>2022</v>
      </c>
      <c r="E26" s="9">
        <v>20400</v>
      </c>
      <c r="F26" s="71">
        <f t="shared" si="1"/>
        <v>7.8100000000000003E-2</v>
      </c>
      <c r="G26" s="9">
        <v>881</v>
      </c>
      <c r="H26" s="10">
        <f t="shared" si="2"/>
        <v>1.08</v>
      </c>
      <c r="I26" s="9">
        <v>477</v>
      </c>
      <c r="J26" s="10">
        <f t="shared" si="3"/>
        <v>4.6500000000000004</v>
      </c>
      <c r="K26" s="73">
        <v>60</v>
      </c>
    </row>
    <row r="27" spans="1:11" ht="15" x14ac:dyDescent="0.25">
      <c r="A27" s="6" t="s">
        <v>50</v>
      </c>
      <c r="B27" s="7">
        <f t="shared" si="0"/>
        <v>26</v>
      </c>
      <c r="C27" s="8">
        <v>2</v>
      </c>
      <c r="D27" s="7">
        <v>2022</v>
      </c>
      <c r="E27" s="9">
        <v>22200</v>
      </c>
      <c r="F27" s="71">
        <f t="shared" si="1"/>
        <v>7.8100000000000003E-2</v>
      </c>
      <c r="G27" s="9">
        <v>940</v>
      </c>
      <c r="H27" s="10">
        <f t="shared" si="2"/>
        <v>1.08</v>
      </c>
      <c r="I27" s="9">
        <v>481</v>
      </c>
      <c r="J27" s="10">
        <f t="shared" si="3"/>
        <v>4.6500000000000004</v>
      </c>
      <c r="K27" s="73">
        <v>113</v>
      </c>
    </row>
    <row r="28" spans="1:11" ht="15" x14ac:dyDescent="0.25">
      <c r="A28" s="6" t="s">
        <v>50</v>
      </c>
      <c r="B28" s="7">
        <f t="shared" si="0"/>
        <v>27</v>
      </c>
      <c r="C28" s="8">
        <v>2</v>
      </c>
      <c r="D28" s="7">
        <v>2022</v>
      </c>
      <c r="E28" s="9">
        <v>26400</v>
      </c>
      <c r="F28" s="71">
        <f t="shared" si="1"/>
        <v>7.8100000000000003E-2</v>
      </c>
      <c r="G28" s="9">
        <v>1126</v>
      </c>
      <c r="H28" s="10">
        <f t="shared" si="2"/>
        <v>1.08</v>
      </c>
      <c r="I28" s="9">
        <v>633</v>
      </c>
      <c r="J28" s="10">
        <f t="shared" si="3"/>
        <v>4.6500000000000004</v>
      </c>
      <c r="K28" s="73">
        <v>140</v>
      </c>
    </row>
    <row r="29" spans="1:11" ht="15" x14ac:dyDescent="0.25">
      <c r="A29" s="6" t="s">
        <v>50</v>
      </c>
      <c r="B29" s="7">
        <f t="shared" si="0"/>
        <v>28</v>
      </c>
      <c r="C29" s="8">
        <v>2</v>
      </c>
      <c r="D29" s="7">
        <v>2022</v>
      </c>
      <c r="E29" s="9">
        <v>19800</v>
      </c>
      <c r="F29" s="71">
        <f t="shared" si="1"/>
        <v>7.8100000000000003E-2</v>
      </c>
      <c r="G29" s="9">
        <v>860</v>
      </c>
      <c r="H29" s="10">
        <f t="shared" si="2"/>
        <v>1.08</v>
      </c>
      <c r="I29" s="9">
        <v>815</v>
      </c>
      <c r="J29" s="10">
        <f t="shared" si="3"/>
        <v>4.6500000000000004</v>
      </c>
      <c r="K29" s="73">
        <v>122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topLeftCell="A8" workbookViewId="0">
      <selection activeCell="K25" sqref="K25:K32"/>
    </sheetView>
  </sheetViews>
  <sheetFormatPr defaultRowHeight="12.75" x14ac:dyDescent="0.2"/>
  <cols>
    <col min="1" max="1" width="14.570312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1" ht="60" x14ac:dyDescent="0.2">
      <c r="A1" s="1" t="s">
        <v>39</v>
      </c>
      <c r="B1" s="1" t="s">
        <v>40</v>
      </c>
      <c r="C1" s="2" t="s">
        <v>41</v>
      </c>
      <c r="D1" s="1" t="s">
        <v>42</v>
      </c>
      <c r="E1" s="3" t="s">
        <v>43</v>
      </c>
      <c r="F1" s="4" t="s">
        <v>44</v>
      </c>
      <c r="G1" s="3" t="s">
        <v>45</v>
      </c>
      <c r="H1" s="4" t="s">
        <v>46</v>
      </c>
      <c r="I1" s="3" t="s">
        <v>47</v>
      </c>
      <c r="J1" s="5" t="s">
        <v>48</v>
      </c>
      <c r="K1" s="3" t="s">
        <v>49</v>
      </c>
    </row>
    <row r="2" spans="1:11" ht="15" x14ac:dyDescent="0.25">
      <c r="A2" s="6" t="s">
        <v>50</v>
      </c>
      <c r="B2" s="7">
        <v>1</v>
      </c>
      <c r="C2" s="8">
        <v>3</v>
      </c>
      <c r="D2" s="7">
        <v>2022</v>
      </c>
      <c r="E2" s="9">
        <v>23400</v>
      </c>
      <c r="F2" s="71">
        <f>DAILY!D7</f>
        <v>7.8100000000000003E-2</v>
      </c>
      <c r="G2" s="9">
        <v>926</v>
      </c>
      <c r="H2" s="10">
        <v>1.08</v>
      </c>
      <c r="I2" s="40">
        <v>541</v>
      </c>
      <c r="J2" s="10">
        <v>4.6500000000000004</v>
      </c>
      <c r="K2" s="72">
        <v>196</v>
      </c>
    </row>
    <row r="3" spans="1:11" ht="15" x14ac:dyDescent="0.25">
      <c r="A3" s="6" t="s">
        <v>50</v>
      </c>
      <c r="B3" s="7">
        <f>B2+1</f>
        <v>2</v>
      </c>
      <c r="C3" s="8">
        <v>3</v>
      </c>
      <c r="D3" s="7">
        <v>2022</v>
      </c>
      <c r="E3" s="9">
        <v>24600</v>
      </c>
      <c r="F3" s="71">
        <f>F2</f>
        <v>7.8100000000000003E-2</v>
      </c>
      <c r="G3" s="9">
        <v>819</v>
      </c>
      <c r="H3" s="10">
        <f>H2</f>
        <v>1.08</v>
      </c>
      <c r="I3" s="79">
        <v>384</v>
      </c>
      <c r="J3" s="10">
        <f>J2</f>
        <v>4.6500000000000004</v>
      </c>
      <c r="K3" s="73">
        <v>146</v>
      </c>
    </row>
    <row r="4" spans="1:11" ht="15" x14ac:dyDescent="0.25">
      <c r="A4" s="6" t="s">
        <v>50</v>
      </c>
      <c r="B4" s="7">
        <f t="shared" ref="B4:B32" si="0">B3+1</f>
        <v>3</v>
      </c>
      <c r="C4" s="8">
        <v>3</v>
      </c>
      <c r="D4" s="7">
        <v>2022</v>
      </c>
      <c r="E4" s="9">
        <v>25800</v>
      </c>
      <c r="F4" s="71">
        <f t="shared" ref="F4:F32" si="1">F3</f>
        <v>7.8100000000000003E-2</v>
      </c>
      <c r="G4" s="9">
        <v>1254</v>
      </c>
      <c r="H4" s="10">
        <f t="shared" ref="H4:H32" si="2">H3</f>
        <v>1.08</v>
      </c>
      <c r="I4" s="79">
        <v>643</v>
      </c>
      <c r="J4" s="10">
        <f t="shared" ref="J4:J32" si="3">J3</f>
        <v>4.6500000000000004</v>
      </c>
      <c r="K4" s="73">
        <v>199</v>
      </c>
    </row>
    <row r="5" spans="1:11" ht="15" x14ac:dyDescent="0.25">
      <c r="A5" s="6" t="s">
        <v>50</v>
      </c>
      <c r="B5" s="7">
        <f t="shared" si="0"/>
        <v>4</v>
      </c>
      <c r="C5" s="8">
        <v>3</v>
      </c>
      <c r="D5" s="7">
        <v>2022</v>
      </c>
      <c r="E5" s="9">
        <v>16800</v>
      </c>
      <c r="F5" s="71">
        <f t="shared" si="1"/>
        <v>7.8100000000000003E-2</v>
      </c>
      <c r="G5" s="9">
        <v>454</v>
      </c>
      <c r="H5" s="10">
        <f t="shared" si="2"/>
        <v>1.08</v>
      </c>
      <c r="I5" s="79">
        <v>494</v>
      </c>
      <c r="J5" s="10">
        <f t="shared" si="3"/>
        <v>4.6500000000000004</v>
      </c>
      <c r="K5" s="73">
        <v>222</v>
      </c>
    </row>
    <row r="6" spans="1:11" ht="15" x14ac:dyDescent="0.25">
      <c r="A6" s="6" t="s">
        <v>50</v>
      </c>
      <c r="B6" s="7">
        <f t="shared" si="0"/>
        <v>5</v>
      </c>
      <c r="C6" s="8">
        <v>3</v>
      </c>
      <c r="D6" s="7">
        <v>2022</v>
      </c>
      <c r="E6" s="9">
        <v>22200</v>
      </c>
      <c r="F6" s="71">
        <f t="shared" si="1"/>
        <v>7.8100000000000003E-2</v>
      </c>
      <c r="G6" s="9">
        <v>935</v>
      </c>
      <c r="H6" s="10">
        <f t="shared" si="2"/>
        <v>1.08</v>
      </c>
      <c r="I6" s="79">
        <v>602</v>
      </c>
      <c r="J6" s="10">
        <f t="shared" si="3"/>
        <v>4.6500000000000004</v>
      </c>
      <c r="K6" s="73">
        <v>156</v>
      </c>
    </row>
    <row r="7" spans="1:11" ht="15" x14ac:dyDescent="0.25">
      <c r="A7" s="6" t="s">
        <v>50</v>
      </c>
      <c r="B7" s="7">
        <f t="shared" si="0"/>
        <v>6</v>
      </c>
      <c r="C7" s="8">
        <v>3</v>
      </c>
      <c r="D7" s="7">
        <v>2022</v>
      </c>
      <c r="E7" s="9">
        <v>24000</v>
      </c>
      <c r="F7" s="71">
        <f t="shared" si="1"/>
        <v>7.8100000000000003E-2</v>
      </c>
      <c r="G7" s="9">
        <v>937</v>
      </c>
      <c r="H7" s="10">
        <f t="shared" si="2"/>
        <v>1.08</v>
      </c>
      <c r="I7" s="79">
        <v>679</v>
      </c>
      <c r="J7" s="10">
        <f t="shared" si="3"/>
        <v>4.6500000000000004</v>
      </c>
      <c r="K7" s="73">
        <v>48</v>
      </c>
    </row>
    <row r="8" spans="1:11" ht="15" x14ac:dyDescent="0.25">
      <c r="A8" s="6" t="s">
        <v>50</v>
      </c>
      <c r="B8" s="7">
        <f t="shared" si="0"/>
        <v>7</v>
      </c>
      <c r="C8" s="8">
        <v>3</v>
      </c>
      <c r="D8" s="7">
        <v>2022</v>
      </c>
      <c r="E8" s="9">
        <v>22800</v>
      </c>
      <c r="F8" s="71">
        <f t="shared" si="1"/>
        <v>7.8100000000000003E-2</v>
      </c>
      <c r="G8" s="9">
        <v>352</v>
      </c>
      <c r="H8" s="10">
        <f t="shared" si="2"/>
        <v>1.08</v>
      </c>
      <c r="I8" s="79">
        <v>549</v>
      </c>
      <c r="J8" s="10">
        <f t="shared" si="3"/>
        <v>4.6500000000000004</v>
      </c>
      <c r="K8" s="73">
        <v>85</v>
      </c>
    </row>
    <row r="9" spans="1:11" ht="15" x14ac:dyDescent="0.25">
      <c r="A9" s="6" t="s">
        <v>50</v>
      </c>
      <c r="B9" s="7">
        <f t="shared" si="0"/>
        <v>8</v>
      </c>
      <c r="C9" s="8">
        <v>3</v>
      </c>
      <c r="D9" s="7">
        <v>2022</v>
      </c>
      <c r="E9" s="9">
        <v>19800</v>
      </c>
      <c r="F9" s="71">
        <f t="shared" si="1"/>
        <v>7.8100000000000003E-2</v>
      </c>
      <c r="G9" s="9">
        <v>593</v>
      </c>
      <c r="H9" s="10">
        <f t="shared" si="2"/>
        <v>1.08</v>
      </c>
      <c r="I9" s="79">
        <v>434</v>
      </c>
      <c r="J9" s="10">
        <f t="shared" si="3"/>
        <v>4.6500000000000004</v>
      </c>
      <c r="K9" s="73">
        <v>104</v>
      </c>
    </row>
    <row r="10" spans="1:11" ht="15" x14ac:dyDescent="0.25">
      <c r="A10" s="6" t="s">
        <v>50</v>
      </c>
      <c r="B10" s="7">
        <f t="shared" si="0"/>
        <v>9</v>
      </c>
      <c r="C10" s="8">
        <v>3</v>
      </c>
      <c r="D10" s="7">
        <v>2022</v>
      </c>
      <c r="E10" s="9">
        <v>16200</v>
      </c>
      <c r="F10" s="71">
        <f t="shared" si="1"/>
        <v>7.8100000000000003E-2</v>
      </c>
      <c r="G10" s="9">
        <v>848</v>
      </c>
      <c r="H10" s="10">
        <f t="shared" si="2"/>
        <v>1.08</v>
      </c>
      <c r="I10" s="79">
        <v>530</v>
      </c>
      <c r="J10" s="10">
        <f t="shared" si="3"/>
        <v>4.6500000000000004</v>
      </c>
      <c r="K10" s="73">
        <v>183</v>
      </c>
    </row>
    <row r="11" spans="1:11" ht="15" x14ac:dyDescent="0.25">
      <c r="A11" s="6" t="s">
        <v>50</v>
      </c>
      <c r="B11" s="7">
        <f t="shared" si="0"/>
        <v>10</v>
      </c>
      <c r="C11" s="8">
        <v>3</v>
      </c>
      <c r="D11" s="7">
        <v>2022</v>
      </c>
      <c r="E11" s="9">
        <v>21000</v>
      </c>
      <c r="F11" s="71">
        <f t="shared" si="1"/>
        <v>7.8100000000000003E-2</v>
      </c>
      <c r="G11" s="9">
        <v>1058</v>
      </c>
      <c r="H11" s="10">
        <f t="shared" si="2"/>
        <v>1.08</v>
      </c>
      <c r="I11" s="79">
        <v>615</v>
      </c>
      <c r="J11" s="10">
        <f t="shared" si="3"/>
        <v>4.6500000000000004</v>
      </c>
      <c r="K11" s="73">
        <v>189</v>
      </c>
    </row>
    <row r="12" spans="1:11" ht="15" x14ac:dyDescent="0.25">
      <c r="A12" s="6" t="s">
        <v>50</v>
      </c>
      <c r="B12" s="7">
        <f t="shared" si="0"/>
        <v>11</v>
      </c>
      <c r="C12" s="8">
        <v>3</v>
      </c>
      <c r="D12" s="7">
        <v>2022</v>
      </c>
      <c r="E12" s="9">
        <v>23400</v>
      </c>
      <c r="F12" s="71">
        <f t="shared" si="1"/>
        <v>7.8100000000000003E-2</v>
      </c>
      <c r="G12" s="9">
        <v>929</v>
      </c>
      <c r="H12" s="10">
        <f t="shared" si="2"/>
        <v>1.08</v>
      </c>
      <c r="I12" s="79">
        <v>607</v>
      </c>
      <c r="J12" s="10">
        <f t="shared" si="3"/>
        <v>4.6500000000000004</v>
      </c>
      <c r="K12" s="73">
        <v>205</v>
      </c>
    </row>
    <row r="13" spans="1:11" ht="15" x14ac:dyDescent="0.25">
      <c r="A13" s="6" t="s">
        <v>50</v>
      </c>
      <c r="B13" s="7">
        <f t="shared" si="0"/>
        <v>12</v>
      </c>
      <c r="C13" s="8">
        <v>3</v>
      </c>
      <c r="D13" s="7">
        <v>2022</v>
      </c>
      <c r="E13" s="9">
        <v>22800</v>
      </c>
      <c r="F13" s="71">
        <f t="shared" si="1"/>
        <v>7.8100000000000003E-2</v>
      </c>
      <c r="G13" s="9">
        <v>873</v>
      </c>
      <c r="H13" s="10">
        <f t="shared" si="2"/>
        <v>1.08</v>
      </c>
      <c r="I13" s="79">
        <v>570</v>
      </c>
      <c r="J13" s="10">
        <f t="shared" si="3"/>
        <v>4.6500000000000004</v>
      </c>
      <c r="K13" s="73">
        <v>105</v>
      </c>
    </row>
    <row r="14" spans="1:11" ht="15" x14ac:dyDescent="0.25">
      <c r="A14" s="6" t="s">
        <v>50</v>
      </c>
      <c r="B14" s="7">
        <f t="shared" si="0"/>
        <v>13</v>
      </c>
      <c r="C14" s="8">
        <v>3</v>
      </c>
      <c r="D14" s="7">
        <v>2022</v>
      </c>
      <c r="E14" s="9">
        <v>23400</v>
      </c>
      <c r="F14" s="71">
        <f t="shared" si="1"/>
        <v>7.8100000000000003E-2</v>
      </c>
      <c r="G14" s="9">
        <v>1248</v>
      </c>
      <c r="H14" s="10">
        <f t="shared" si="2"/>
        <v>1.08</v>
      </c>
      <c r="I14" s="79">
        <v>543</v>
      </c>
      <c r="J14" s="10">
        <f t="shared" si="3"/>
        <v>4.6500000000000004</v>
      </c>
      <c r="K14" s="73">
        <v>158</v>
      </c>
    </row>
    <row r="15" spans="1:11" ht="15" x14ac:dyDescent="0.25">
      <c r="A15" s="6" t="s">
        <v>50</v>
      </c>
      <c r="B15" s="7">
        <f t="shared" si="0"/>
        <v>14</v>
      </c>
      <c r="C15" s="8">
        <v>3</v>
      </c>
      <c r="D15" s="7">
        <v>2022</v>
      </c>
      <c r="E15" s="9">
        <v>40800</v>
      </c>
      <c r="F15" s="71">
        <f t="shared" si="1"/>
        <v>7.8100000000000003E-2</v>
      </c>
      <c r="G15" s="9">
        <v>760</v>
      </c>
      <c r="H15" s="10">
        <f t="shared" si="2"/>
        <v>1.08</v>
      </c>
      <c r="I15" s="79">
        <v>657</v>
      </c>
      <c r="J15" s="10">
        <f t="shared" si="3"/>
        <v>4.6500000000000004</v>
      </c>
      <c r="K15" s="73">
        <v>200</v>
      </c>
    </row>
    <row r="16" spans="1:11" ht="15" x14ac:dyDescent="0.25">
      <c r="A16" s="6" t="s">
        <v>50</v>
      </c>
      <c r="B16" s="7">
        <f t="shared" si="0"/>
        <v>15</v>
      </c>
      <c r="C16" s="8">
        <v>3</v>
      </c>
      <c r="D16" s="7">
        <v>2022</v>
      </c>
      <c r="E16" s="9">
        <v>29400</v>
      </c>
      <c r="F16" s="71">
        <f t="shared" si="1"/>
        <v>7.8100000000000003E-2</v>
      </c>
      <c r="G16" s="9">
        <v>713</v>
      </c>
      <c r="H16" s="10">
        <f t="shared" si="2"/>
        <v>1.08</v>
      </c>
      <c r="I16" s="79">
        <v>508</v>
      </c>
      <c r="J16" s="10">
        <f t="shared" si="3"/>
        <v>4.6500000000000004</v>
      </c>
      <c r="K16" s="73">
        <v>215</v>
      </c>
    </row>
    <row r="17" spans="1:11" ht="15" x14ac:dyDescent="0.25">
      <c r="A17" s="6" t="s">
        <v>50</v>
      </c>
      <c r="B17" s="7">
        <f t="shared" si="0"/>
        <v>16</v>
      </c>
      <c r="C17" s="8">
        <v>3</v>
      </c>
      <c r="D17" s="7">
        <v>2022</v>
      </c>
      <c r="E17" s="9">
        <v>19800</v>
      </c>
      <c r="F17" s="71">
        <f t="shared" si="1"/>
        <v>7.8100000000000003E-2</v>
      </c>
      <c r="G17" s="9">
        <v>583</v>
      </c>
      <c r="H17" s="10">
        <f t="shared" si="2"/>
        <v>1.08</v>
      </c>
      <c r="I17" s="79">
        <v>489</v>
      </c>
      <c r="J17" s="10">
        <f t="shared" si="3"/>
        <v>4.6500000000000004</v>
      </c>
      <c r="K17" s="73">
        <v>134</v>
      </c>
    </row>
    <row r="18" spans="1:11" ht="15" x14ac:dyDescent="0.25">
      <c r="A18" s="6" t="s">
        <v>50</v>
      </c>
      <c r="B18" s="7">
        <f t="shared" si="0"/>
        <v>17</v>
      </c>
      <c r="C18" s="8">
        <v>3</v>
      </c>
      <c r="D18" s="7">
        <v>2022</v>
      </c>
      <c r="E18" s="9">
        <v>15000</v>
      </c>
      <c r="F18" s="71">
        <f t="shared" si="1"/>
        <v>7.8100000000000003E-2</v>
      </c>
      <c r="G18" s="9">
        <v>923</v>
      </c>
      <c r="H18" s="10">
        <f t="shared" si="2"/>
        <v>1.08</v>
      </c>
      <c r="I18" s="79">
        <v>834</v>
      </c>
      <c r="J18" s="10">
        <f t="shared" si="3"/>
        <v>4.6500000000000004</v>
      </c>
      <c r="K18" s="73">
        <v>95</v>
      </c>
    </row>
    <row r="19" spans="1:11" ht="15" x14ac:dyDescent="0.25">
      <c r="A19" s="6" t="s">
        <v>50</v>
      </c>
      <c r="B19" s="7">
        <f t="shared" si="0"/>
        <v>18</v>
      </c>
      <c r="C19" s="8">
        <v>3</v>
      </c>
      <c r="D19" s="7">
        <v>2022</v>
      </c>
      <c r="E19" s="9">
        <v>21000</v>
      </c>
      <c r="F19" s="71">
        <f t="shared" si="1"/>
        <v>7.8100000000000003E-2</v>
      </c>
      <c r="G19" s="9">
        <v>755</v>
      </c>
      <c r="H19" s="10">
        <f t="shared" si="2"/>
        <v>1.08</v>
      </c>
      <c r="I19" s="79">
        <v>646</v>
      </c>
      <c r="J19" s="10">
        <f t="shared" si="3"/>
        <v>4.6500000000000004</v>
      </c>
      <c r="K19" s="73">
        <v>170</v>
      </c>
    </row>
    <row r="20" spans="1:11" ht="15" x14ac:dyDescent="0.25">
      <c r="A20" s="6" t="s">
        <v>50</v>
      </c>
      <c r="B20" s="7">
        <f t="shared" si="0"/>
        <v>19</v>
      </c>
      <c r="C20" s="8">
        <v>3</v>
      </c>
      <c r="D20" s="7">
        <v>2022</v>
      </c>
      <c r="E20" s="9">
        <v>18600</v>
      </c>
      <c r="F20" s="71">
        <f t="shared" si="1"/>
        <v>7.8100000000000003E-2</v>
      </c>
      <c r="G20" s="9">
        <v>695</v>
      </c>
      <c r="H20" s="10">
        <f t="shared" si="2"/>
        <v>1.08</v>
      </c>
      <c r="I20" s="79">
        <v>615</v>
      </c>
      <c r="J20" s="10">
        <f t="shared" si="3"/>
        <v>4.6500000000000004</v>
      </c>
      <c r="K20" s="73">
        <v>168</v>
      </c>
    </row>
    <row r="21" spans="1:11" ht="15" x14ac:dyDescent="0.25">
      <c r="A21" s="6" t="s">
        <v>50</v>
      </c>
      <c r="B21" s="7">
        <f t="shared" si="0"/>
        <v>20</v>
      </c>
      <c r="C21" s="8">
        <v>3</v>
      </c>
      <c r="D21" s="7">
        <v>2022</v>
      </c>
      <c r="E21" s="9">
        <v>21000</v>
      </c>
      <c r="F21" s="71">
        <f t="shared" si="1"/>
        <v>7.8100000000000003E-2</v>
      </c>
      <c r="G21" s="9">
        <v>1637</v>
      </c>
      <c r="H21" s="10">
        <f t="shared" si="2"/>
        <v>1.08</v>
      </c>
      <c r="I21" s="79">
        <v>580</v>
      </c>
      <c r="J21" s="10">
        <f t="shared" si="3"/>
        <v>4.6500000000000004</v>
      </c>
      <c r="K21" s="73">
        <v>59</v>
      </c>
    </row>
    <row r="22" spans="1:11" ht="15" x14ac:dyDescent="0.25">
      <c r="A22" s="6" t="s">
        <v>50</v>
      </c>
      <c r="B22" s="7">
        <f t="shared" si="0"/>
        <v>21</v>
      </c>
      <c r="C22" s="8">
        <v>3</v>
      </c>
      <c r="D22" s="7">
        <v>2022</v>
      </c>
      <c r="E22" s="9">
        <v>7200</v>
      </c>
      <c r="F22" s="71">
        <f t="shared" si="1"/>
        <v>7.8100000000000003E-2</v>
      </c>
      <c r="G22" s="9">
        <v>226</v>
      </c>
      <c r="H22" s="10">
        <f t="shared" si="2"/>
        <v>1.08</v>
      </c>
      <c r="I22" s="79">
        <v>336</v>
      </c>
      <c r="J22" s="10">
        <f t="shared" si="3"/>
        <v>4.6500000000000004</v>
      </c>
      <c r="K22" s="73">
        <v>105</v>
      </c>
    </row>
    <row r="23" spans="1:11" ht="15" x14ac:dyDescent="0.25">
      <c r="A23" s="6" t="s">
        <v>50</v>
      </c>
      <c r="B23" s="7">
        <f t="shared" si="0"/>
        <v>22</v>
      </c>
      <c r="C23" s="8">
        <v>3</v>
      </c>
      <c r="D23" s="7">
        <v>2022</v>
      </c>
      <c r="E23" s="9">
        <v>20400</v>
      </c>
      <c r="F23" s="71">
        <f t="shared" si="1"/>
        <v>7.8100000000000003E-2</v>
      </c>
      <c r="G23" s="9">
        <v>139</v>
      </c>
      <c r="H23" s="10">
        <f t="shared" si="2"/>
        <v>1.08</v>
      </c>
      <c r="I23" s="79">
        <v>609</v>
      </c>
      <c r="J23" s="10">
        <f t="shared" si="3"/>
        <v>4.6500000000000004</v>
      </c>
      <c r="K23" s="73">
        <v>72</v>
      </c>
    </row>
    <row r="24" spans="1:11" ht="15" x14ac:dyDescent="0.25">
      <c r="A24" s="6" t="s">
        <v>50</v>
      </c>
      <c r="B24" s="7">
        <f t="shared" si="0"/>
        <v>23</v>
      </c>
      <c r="C24" s="8">
        <v>3</v>
      </c>
      <c r="D24" s="7">
        <v>2022</v>
      </c>
      <c r="E24" s="9">
        <v>21600</v>
      </c>
      <c r="F24" s="71">
        <f t="shared" si="1"/>
        <v>7.8100000000000003E-2</v>
      </c>
      <c r="G24" s="9">
        <v>203</v>
      </c>
      <c r="H24" s="10">
        <f t="shared" si="2"/>
        <v>1.08</v>
      </c>
      <c r="I24" s="79">
        <v>710</v>
      </c>
      <c r="J24" s="10">
        <f t="shared" si="3"/>
        <v>4.6500000000000004</v>
      </c>
      <c r="K24" s="80">
        <v>81</v>
      </c>
    </row>
    <row r="25" spans="1:11" ht="15" x14ac:dyDescent="0.25">
      <c r="A25" s="6" t="s">
        <v>50</v>
      </c>
      <c r="B25" s="7">
        <f t="shared" si="0"/>
        <v>24</v>
      </c>
      <c r="C25" s="8">
        <v>3</v>
      </c>
      <c r="D25" s="7">
        <v>2022</v>
      </c>
      <c r="E25" s="9">
        <v>9000</v>
      </c>
      <c r="F25" s="71">
        <f t="shared" si="1"/>
        <v>7.8100000000000003E-2</v>
      </c>
      <c r="G25" s="9">
        <v>1874</v>
      </c>
      <c r="H25" s="10">
        <f t="shared" si="2"/>
        <v>1.08</v>
      </c>
      <c r="I25" s="9">
        <v>1652</v>
      </c>
      <c r="J25" s="81">
        <f t="shared" si="3"/>
        <v>4.6500000000000004</v>
      </c>
      <c r="K25" s="82">
        <v>87</v>
      </c>
    </row>
    <row r="26" spans="1:11" ht="15" x14ac:dyDescent="0.25">
      <c r="A26" s="6" t="s">
        <v>50</v>
      </c>
      <c r="B26" s="7">
        <f>B25+1</f>
        <v>25</v>
      </c>
      <c r="C26" s="8">
        <v>3</v>
      </c>
      <c r="D26" s="7">
        <v>2022</v>
      </c>
      <c r="E26" s="9">
        <v>42000</v>
      </c>
      <c r="F26" s="71">
        <f t="shared" si="1"/>
        <v>7.8100000000000003E-2</v>
      </c>
      <c r="G26" s="9">
        <v>717</v>
      </c>
      <c r="H26" s="10">
        <f t="shared" si="2"/>
        <v>1.08</v>
      </c>
      <c r="I26" s="9">
        <v>149</v>
      </c>
      <c r="J26" s="81">
        <f t="shared" si="3"/>
        <v>4.6500000000000004</v>
      </c>
      <c r="K26" s="82">
        <v>163</v>
      </c>
    </row>
    <row r="27" spans="1:11" ht="15" x14ac:dyDescent="0.25">
      <c r="A27" s="6" t="s">
        <v>50</v>
      </c>
      <c r="B27" s="7">
        <f t="shared" si="0"/>
        <v>26</v>
      </c>
      <c r="C27" s="8">
        <v>3</v>
      </c>
      <c r="D27" s="7">
        <v>2022</v>
      </c>
      <c r="E27" s="9">
        <v>21600</v>
      </c>
      <c r="F27" s="71">
        <f t="shared" si="1"/>
        <v>7.8100000000000003E-2</v>
      </c>
      <c r="G27" s="9">
        <v>231</v>
      </c>
      <c r="H27" s="10">
        <f t="shared" si="2"/>
        <v>1.08</v>
      </c>
      <c r="I27" s="9">
        <v>405</v>
      </c>
      <c r="J27" s="81">
        <f t="shared" si="3"/>
        <v>4.6500000000000004</v>
      </c>
      <c r="K27" s="82">
        <v>222</v>
      </c>
    </row>
    <row r="28" spans="1:11" ht="15" x14ac:dyDescent="0.25">
      <c r="A28" s="6" t="s">
        <v>50</v>
      </c>
      <c r="B28" s="7">
        <f t="shared" si="0"/>
        <v>27</v>
      </c>
      <c r="C28" s="8">
        <v>3</v>
      </c>
      <c r="D28" s="7">
        <v>2022</v>
      </c>
      <c r="E28" s="9">
        <v>18000</v>
      </c>
      <c r="F28" s="71">
        <f t="shared" si="1"/>
        <v>7.8100000000000003E-2</v>
      </c>
      <c r="G28" s="9">
        <v>1269</v>
      </c>
      <c r="H28" s="10">
        <f t="shared" si="2"/>
        <v>1.08</v>
      </c>
      <c r="I28" s="9">
        <v>1742</v>
      </c>
      <c r="J28" s="81">
        <f t="shared" si="3"/>
        <v>4.6500000000000004</v>
      </c>
      <c r="K28" s="82">
        <v>139</v>
      </c>
    </row>
    <row r="29" spans="1:11" ht="15" x14ac:dyDescent="0.25">
      <c r="A29" s="6" t="s">
        <v>50</v>
      </c>
      <c r="B29" s="7">
        <f t="shared" si="0"/>
        <v>28</v>
      </c>
      <c r="C29" s="8">
        <v>3</v>
      </c>
      <c r="D29" s="7">
        <v>2022</v>
      </c>
      <c r="E29" s="9">
        <v>18000</v>
      </c>
      <c r="F29" s="71">
        <f t="shared" si="1"/>
        <v>7.8100000000000003E-2</v>
      </c>
      <c r="G29" s="9">
        <v>1184</v>
      </c>
      <c r="H29" s="10">
        <f t="shared" si="2"/>
        <v>1.08</v>
      </c>
      <c r="I29" s="9">
        <v>496</v>
      </c>
      <c r="J29" s="81">
        <f t="shared" si="3"/>
        <v>4.6500000000000004</v>
      </c>
      <c r="K29" s="82">
        <v>215</v>
      </c>
    </row>
    <row r="30" spans="1:11" ht="15" x14ac:dyDescent="0.25">
      <c r="A30" s="6" t="s">
        <v>50</v>
      </c>
      <c r="B30" s="7">
        <f t="shared" si="0"/>
        <v>29</v>
      </c>
      <c r="C30" s="8">
        <v>3</v>
      </c>
      <c r="D30" s="7">
        <v>2022</v>
      </c>
      <c r="E30" s="9">
        <v>39000</v>
      </c>
      <c r="F30" s="71">
        <f t="shared" si="1"/>
        <v>7.8100000000000003E-2</v>
      </c>
      <c r="G30" s="9">
        <v>751</v>
      </c>
      <c r="H30" s="10">
        <f t="shared" si="2"/>
        <v>1.08</v>
      </c>
      <c r="I30" s="9">
        <v>3962</v>
      </c>
      <c r="J30" s="81">
        <f t="shared" si="3"/>
        <v>4.6500000000000004</v>
      </c>
      <c r="K30" s="82">
        <v>210</v>
      </c>
    </row>
    <row r="31" spans="1:11" ht="15" x14ac:dyDescent="0.25">
      <c r="A31" s="6" t="s">
        <v>50</v>
      </c>
      <c r="B31" s="7">
        <f t="shared" si="0"/>
        <v>30</v>
      </c>
      <c r="C31" s="8">
        <v>3</v>
      </c>
      <c r="D31" s="7">
        <v>2022</v>
      </c>
      <c r="E31" s="9">
        <v>25800</v>
      </c>
      <c r="F31" s="71">
        <f t="shared" si="1"/>
        <v>7.8100000000000003E-2</v>
      </c>
      <c r="G31" s="9">
        <v>1137</v>
      </c>
      <c r="H31" s="10">
        <f t="shared" si="2"/>
        <v>1.08</v>
      </c>
      <c r="I31" s="9">
        <v>674</v>
      </c>
      <c r="J31" s="81">
        <f t="shared" si="3"/>
        <v>4.6500000000000004</v>
      </c>
      <c r="K31" s="82">
        <v>182</v>
      </c>
    </row>
    <row r="32" spans="1:11" ht="15" x14ac:dyDescent="0.25">
      <c r="A32" s="6" t="s">
        <v>50</v>
      </c>
      <c r="B32" s="7">
        <f t="shared" si="0"/>
        <v>31</v>
      </c>
      <c r="C32" s="8">
        <v>3</v>
      </c>
      <c r="D32" s="7">
        <v>2022</v>
      </c>
      <c r="E32" s="9">
        <v>13200</v>
      </c>
      <c r="F32" s="71">
        <f t="shared" si="1"/>
        <v>7.8100000000000003E-2</v>
      </c>
      <c r="G32" s="9">
        <v>486</v>
      </c>
      <c r="H32" s="10">
        <f t="shared" si="2"/>
        <v>1.08</v>
      </c>
      <c r="I32" s="9">
        <v>497</v>
      </c>
      <c r="J32" s="81">
        <f t="shared" si="3"/>
        <v>4.6500000000000004</v>
      </c>
      <c r="K32" s="82">
        <v>144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workbookViewId="0">
      <selection activeCell="C2" sqref="C2"/>
    </sheetView>
  </sheetViews>
  <sheetFormatPr defaultRowHeight="12.75" x14ac:dyDescent="0.2"/>
  <cols>
    <col min="1" max="1" width="14.570312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1" ht="60" x14ac:dyDescent="0.2">
      <c r="A1" s="1" t="s">
        <v>39</v>
      </c>
      <c r="B1" s="1" t="s">
        <v>40</v>
      </c>
      <c r="C1" s="2" t="s">
        <v>41</v>
      </c>
      <c r="D1" s="1" t="s">
        <v>42</v>
      </c>
      <c r="E1" s="3" t="s">
        <v>43</v>
      </c>
      <c r="F1" s="4" t="s">
        <v>44</v>
      </c>
      <c r="G1" s="3" t="s">
        <v>45</v>
      </c>
      <c r="H1" s="4" t="s">
        <v>46</v>
      </c>
      <c r="I1" s="3" t="s">
        <v>47</v>
      </c>
      <c r="J1" s="5" t="s">
        <v>48</v>
      </c>
      <c r="K1" s="3" t="s">
        <v>49</v>
      </c>
    </row>
    <row r="2" spans="1:11" ht="15" x14ac:dyDescent="0.25">
      <c r="A2" s="6" t="s">
        <v>50</v>
      </c>
      <c r="B2" s="7">
        <v>1</v>
      </c>
      <c r="C2" s="8">
        <v>5</v>
      </c>
      <c r="D2" s="7">
        <v>2022</v>
      </c>
      <c r="E2" s="9"/>
      <c r="F2" s="71">
        <f>DAILY!D7</f>
        <v>7.8100000000000003E-2</v>
      </c>
      <c r="G2" s="9"/>
      <c r="H2" s="10">
        <v>1.08</v>
      </c>
      <c r="I2" s="9"/>
      <c r="J2" s="10">
        <v>4.6500000000000004</v>
      </c>
      <c r="K2" s="9"/>
    </row>
    <row r="3" spans="1:11" ht="15" x14ac:dyDescent="0.25">
      <c r="A3" s="6" t="s">
        <v>50</v>
      </c>
      <c r="B3" s="7">
        <f>B2+1</f>
        <v>2</v>
      </c>
      <c r="C3" s="8">
        <v>5</v>
      </c>
      <c r="D3" s="7">
        <v>2022</v>
      </c>
      <c r="E3" s="9"/>
      <c r="F3" s="71">
        <f>F2</f>
        <v>7.8100000000000003E-2</v>
      </c>
      <c r="G3" s="9"/>
      <c r="H3" s="10">
        <f>H2</f>
        <v>1.08</v>
      </c>
      <c r="I3" s="9"/>
      <c r="J3" s="10">
        <f>J2</f>
        <v>4.6500000000000004</v>
      </c>
      <c r="K3" s="9"/>
    </row>
    <row r="4" spans="1:11" ht="15" x14ac:dyDescent="0.25">
      <c r="A4" s="6" t="s">
        <v>50</v>
      </c>
      <c r="B4" s="7">
        <f t="shared" ref="B4:B32" si="0">B3+1</f>
        <v>3</v>
      </c>
      <c r="C4" s="8">
        <v>5</v>
      </c>
      <c r="D4" s="7">
        <v>2022</v>
      </c>
      <c r="E4" s="9"/>
      <c r="F4" s="71">
        <f t="shared" ref="F4:F32" si="1">F3</f>
        <v>7.8100000000000003E-2</v>
      </c>
      <c r="G4" s="9"/>
      <c r="H4" s="10">
        <f t="shared" ref="H4:H32" si="2">H3</f>
        <v>1.08</v>
      </c>
      <c r="I4" s="9"/>
      <c r="J4" s="10">
        <f t="shared" ref="J4:J32" si="3">J3</f>
        <v>4.6500000000000004</v>
      </c>
      <c r="K4" s="9"/>
    </row>
    <row r="5" spans="1:11" ht="15" x14ac:dyDescent="0.25">
      <c r="A5" s="6" t="s">
        <v>50</v>
      </c>
      <c r="B5" s="7">
        <f t="shared" si="0"/>
        <v>4</v>
      </c>
      <c r="C5" s="8">
        <v>5</v>
      </c>
      <c r="D5" s="7">
        <v>2022</v>
      </c>
      <c r="E5" s="9"/>
      <c r="F5" s="71">
        <f t="shared" si="1"/>
        <v>7.8100000000000003E-2</v>
      </c>
      <c r="G5" s="9"/>
      <c r="H5" s="10">
        <f t="shared" si="2"/>
        <v>1.08</v>
      </c>
      <c r="I5" s="9"/>
      <c r="J5" s="10">
        <f t="shared" si="3"/>
        <v>4.6500000000000004</v>
      </c>
      <c r="K5" s="9"/>
    </row>
    <row r="6" spans="1:11" ht="15" x14ac:dyDescent="0.25">
      <c r="A6" s="6" t="s">
        <v>50</v>
      </c>
      <c r="B6" s="7">
        <f t="shared" si="0"/>
        <v>5</v>
      </c>
      <c r="C6" s="8">
        <v>5</v>
      </c>
      <c r="D6" s="7">
        <v>2022</v>
      </c>
      <c r="E6" s="9"/>
      <c r="F6" s="71">
        <f t="shared" si="1"/>
        <v>7.8100000000000003E-2</v>
      </c>
      <c r="G6" s="9"/>
      <c r="H6" s="10">
        <f t="shared" si="2"/>
        <v>1.08</v>
      </c>
      <c r="I6" s="9"/>
      <c r="J6" s="10">
        <f t="shared" si="3"/>
        <v>4.6500000000000004</v>
      </c>
      <c r="K6" s="9"/>
    </row>
    <row r="7" spans="1:11" ht="15" x14ac:dyDescent="0.25">
      <c r="A7" s="6" t="s">
        <v>50</v>
      </c>
      <c r="B7" s="7">
        <f t="shared" si="0"/>
        <v>6</v>
      </c>
      <c r="C7" s="8">
        <v>5</v>
      </c>
      <c r="D7" s="7">
        <v>2022</v>
      </c>
      <c r="E7" s="9"/>
      <c r="F7" s="71">
        <f t="shared" si="1"/>
        <v>7.8100000000000003E-2</v>
      </c>
      <c r="G7" s="9"/>
      <c r="H7" s="10">
        <f t="shared" si="2"/>
        <v>1.08</v>
      </c>
      <c r="I7" s="9"/>
      <c r="J7" s="10">
        <f t="shared" si="3"/>
        <v>4.6500000000000004</v>
      </c>
      <c r="K7" s="9"/>
    </row>
    <row r="8" spans="1:11" ht="15" x14ac:dyDescent="0.25">
      <c r="A8" s="6" t="s">
        <v>50</v>
      </c>
      <c r="B8" s="7">
        <f t="shared" si="0"/>
        <v>7</v>
      </c>
      <c r="C8" s="8">
        <v>5</v>
      </c>
      <c r="D8" s="7">
        <v>2022</v>
      </c>
      <c r="E8" s="9"/>
      <c r="F8" s="71">
        <f t="shared" si="1"/>
        <v>7.8100000000000003E-2</v>
      </c>
      <c r="G8" s="9"/>
      <c r="H8" s="10">
        <f t="shared" si="2"/>
        <v>1.08</v>
      </c>
      <c r="I8" s="9"/>
      <c r="J8" s="10">
        <f t="shared" si="3"/>
        <v>4.6500000000000004</v>
      </c>
      <c r="K8" s="9"/>
    </row>
    <row r="9" spans="1:11" ht="15" x14ac:dyDescent="0.25">
      <c r="A9" s="6" t="s">
        <v>50</v>
      </c>
      <c r="B9" s="7">
        <f t="shared" si="0"/>
        <v>8</v>
      </c>
      <c r="C9" s="8">
        <v>5</v>
      </c>
      <c r="D9" s="7">
        <v>2022</v>
      </c>
      <c r="E9" s="9"/>
      <c r="F9" s="71">
        <f t="shared" si="1"/>
        <v>7.8100000000000003E-2</v>
      </c>
      <c r="G9" s="9"/>
      <c r="H9" s="10">
        <f t="shared" si="2"/>
        <v>1.08</v>
      </c>
      <c r="I9" s="9"/>
      <c r="J9" s="10">
        <f t="shared" si="3"/>
        <v>4.6500000000000004</v>
      </c>
      <c r="K9" s="9"/>
    </row>
    <row r="10" spans="1:11" ht="15" x14ac:dyDescent="0.25">
      <c r="A10" s="6" t="s">
        <v>50</v>
      </c>
      <c r="B10" s="7">
        <f t="shared" si="0"/>
        <v>9</v>
      </c>
      <c r="C10" s="8">
        <v>5</v>
      </c>
      <c r="D10" s="7">
        <v>2022</v>
      </c>
      <c r="E10" s="9"/>
      <c r="F10" s="71">
        <f t="shared" si="1"/>
        <v>7.8100000000000003E-2</v>
      </c>
      <c r="G10" s="9"/>
      <c r="H10" s="10">
        <f t="shared" si="2"/>
        <v>1.08</v>
      </c>
      <c r="I10" s="9"/>
      <c r="J10" s="10">
        <f t="shared" si="3"/>
        <v>4.6500000000000004</v>
      </c>
      <c r="K10" s="9"/>
    </row>
    <row r="11" spans="1:11" ht="15" x14ac:dyDescent="0.25">
      <c r="A11" s="6" t="s">
        <v>50</v>
      </c>
      <c r="B11" s="7">
        <f t="shared" si="0"/>
        <v>10</v>
      </c>
      <c r="C11" s="8">
        <v>5</v>
      </c>
      <c r="D11" s="7">
        <v>2022</v>
      </c>
      <c r="E11" s="9"/>
      <c r="F11" s="71">
        <f t="shared" si="1"/>
        <v>7.8100000000000003E-2</v>
      </c>
      <c r="G11" s="9"/>
      <c r="H11" s="10">
        <f t="shared" si="2"/>
        <v>1.08</v>
      </c>
      <c r="I11" s="9"/>
      <c r="J11" s="10">
        <f t="shared" si="3"/>
        <v>4.6500000000000004</v>
      </c>
      <c r="K11" s="9"/>
    </row>
    <row r="12" spans="1:11" ht="15" x14ac:dyDescent="0.25">
      <c r="A12" s="6" t="s">
        <v>50</v>
      </c>
      <c r="B12" s="7">
        <f t="shared" si="0"/>
        <v>11</v>
      </c>
      <c r="C12" s="8">
        <v>5</v>
      </c>
      <c r="D12" s="7">
        <v>2022</v>
      </c>
      <c r="E12" s="9"/>
      <c r="F12" s="71">
        <f t="shared" si="1"/>
        <v>7.8100000000000003E-2</v>
      </c>
      <c r="G12" s="9"/>
      <c r="H12" s="10">
        <f t="shared" si="2"/>
        <v>1.08</v>
      </c>
      <c r="I12" s="9"/>
      <c r="J12" s="10">
        <f t="shared" si="3"/>
        <v>4.6500000000000004</v>
      </c>
      <c r="K12" s="9"/>
    </row>
    <row r="13" spans="1:11" ht="15" x14ac:dyDescent="0.25">
      <c r="A13" s="6" t="s">
        <v>50</v>
      </c>
      <c r="B13" s="7">
        <f t="shared" si="0"/>
        <v>12</v>
      </c>
      <c r="C13" s="8">
        <v>5</v>
      </c>
      <c r="D13" s="7">
        <v>2022</v>
      </c>
      <c r="E13" s="9"/>
      <c r="F13" s="71">
        <f t="shared" si="1"/>
        <v>7.8100000000000003E-2</v>
      </c>
      <c r="G13" s="9"/>
      <c r="H13" s="10">
        <f t="shared" si="2"/>
        <v>1.08</v>
      </c>
      <c r="I13" s="9"/>
      <c r="J13" s="10">
        <f t="shared" si="3"/>
        <v>4.6500000000000004</v>
      </c>
      <c r="K13" s="9"/>
    </row>
    <row r="14" spans="1:11" ht="15" x14ac:dyDescent="0.25">
      <c r="A14" s="6" t="s">
        <v>50</v>
      </c>
      <c r="B14" s="7">
        <f t="shared" si="0"/>
        <v>13</v>
      </c>
      <c r="C14" s="8">
        <v>5</v>
      </c>
      <c r="D14" s="7">
        <v>2022</v>
      </c>
      <c r="E14" s="9"/>
      <c r="F14" s="71">
        <f t="shared" si="1"/>
        <v>7.8100000000000003E-2</v>
      </c>
      <c r="G14" s="9"/>
      <c r="H14" s="10">
        <f t="shared" si="2"/>
        <v>1.08</v>
      </c>
      <c r="I14" s="9"/>
      <c r="J14" s="10">
        <f t="shared" si="3"/>
        <v>4.6500000000000004</v>
      </c>
      <c r="K14" s="9"/>
    </row>
    <row r="15" spans="1:11" ht="15" x14ac:dyDescent="0.25">
      <c r="A15" s="6" t="s">
        <v>50</v>
      </c>
      <c r="B15" s="7">
        <f t="shared" si="0"/>
        <v>14</v>
      </c>
      <c r="C15" s="8">
        <v>5</v>
      </c>
      <c r="D15" s="7">
        <v>2022</v>
      </c>
      <c r="E15" s="9"/>
      <c r="F15" s="71">
        <f t="shared" si="1"/>
        <v>7.8100000000000003E-2</v>
      </c>
      <c r="G15" s="9"/>
      <c r="H15" s="10">
        <f t="shared" si="2"/>
        <v>1.08</v>
      </c>
      <c r="I15" s="9"/>
      <c r="J15" s="10">
        <f t="shared" si="3"/>
        <v>4.6500000000000004</v>
      </c>
      <c r="K15" s="9"/>
    </row>
    <row r="16" spans="1:11" ht="15" x14ac:dyDescent="0.25">
      <c r="A16" s="6" t="s">
        <v>50</v>
      </c>
      <c r="B16" s="7">
        <f t="shared" si="0"/>
        <v>15</v>
      </c>
      <c r="C16" s="8">
        <v>5</v>
      </c>
      <c r="D16" s="7">
        <v>2022</v>
      </c>
      <c r="E16" s="9"/>
      <c r="F16" s="71">
        <f t="shared" si="1"/>
        <v>7.8100000000000003E-2</v>
      </c>
      <c r="G16" s="9"/>
      <c r="H16" s="10">
        <f t="shared" si="2"/>
        <v>1.08</v>
      </c>
      <c r="I16" s="9"/>
      <c r="J16" s="10">
        <f t="shared" si="3"/>
        <v>4.6500000000000004</v>
      </c>
      <c r="K16" s="40"/>
    </row>
    <row r="17" spans="1:11" ht="15" x14ac:dyDescent="0.25">
      <c r="A17" s="6" t="s">
        <v>50</v>
      </c>
      <c r="B17" s="7">
        <f t="shared" si="0"/>
        <v>16</v>
      </c>
      <c r="C17" s="8">
        <v>5</v>
      </c>
      <c r="D17" s="7">
        <v>2022</v>
      </c>
      <c r="E17" s="9"/>
      <c r="F17" s="71">
        <f t="shared" si="1"/>
        <v>7.8100000000000003E-2</v>
      </c>
      <c r="G17" s="9"/>
      <c r="H17" s="10">
        <f t="shared" si="2"/>
        <v>1.08</v>
      </c>
      <c r="I17" s="9"/>
      <c r="J17" s="10">
        <f t="shared" si="3"/>
        <v>4.6500000000000004</v>
      </c>
      <c r="K17" s="40"/>
    </row>
    <row r="18" spans="1:11" ht="15" x14ac:dyDescent="0.25">
      <c r="A18" s="6" t="s">
        <v>50</v>
      </c>
      <c r="B18" s="7">
        <f t="shared" si="0"/>
        <v>17</v>
      </c>
      <c r="C18" s="8">
        <v>5</v>
      </c>
      <c r="D18" s="7">
        <v>2022</v>
      </c>
      <c r="E18" s="9"/>
      <c r="F18" s="71">
        <f t="shared" si="1"/>
        <v>7.8100000000000003E-2</v>
      </c>
      <c r="G18" s="9"/>
      <c r="H18" s="10">
        <f t="shared" si="2"/>
        <v>1.08</v>
      </c>
      <c r="I18" s="9"/>
      <c r="J18" s="10">
        <f t="shared" si="3"/>
        <v>4.6500000000000004</v>
      </c>
      <c r="K18" s="40"/>
    </row>
    <row r="19" spans="1:11" ht="15" x14ac:dyDescent="0.25">
      <c r="A19" s="6" t="s">
        <v>50</v>
      </c>
      <c r="B19" s="7">
        <f t="shared" si="0"/>
        <v>18</v>
      </c>
      <c r="C19" s="8">
        <v>5</v>
      </c>
      <c r="D19" s="7">
        <v>2022</v>
      </c>
      <c r="E19" s="9"/>
      <c r="F19" s="71">
        <f t="shared" si="1"/>
        <v>7.8100000000000003E-2</v>
      </c>
      <c r="G19" s="9"/>
      <c r="H19" s="10">
        <f t="shared" si="2"/>
        <v>1.08</v>
      </c>
      <c r="I19" s="9"/>
      <c r="J19" s="10">
        <f t="shared" si="3"/>
        <v>4.6500000000000004</v>
      </c>
      <c r="K19" s="40"/>
    </row>
    <row r="20" spans="1:11" ht="15" x14ac:dyDescent="0.25">
      <c r="A20" s="6" t="s">
        <v>50</v>
      </c>
      <c r="B20" s="7">
        <f t="shared" si="0"/>
        <v>19</v>
      </c>
      <c r="C20" s="8">
        <v>5</v>
      </c>
      <c r="D20" s="7">
        <v>2022</v>
      </c>
      <c r="E20" s="9"/>
      <c r="F20" s="71">
        <f t="shared" si="1"/>
        <v>7.8100000000000003E-2</v>
      </c>
      <c r="G20" s="9"/>
      <c r="H20" s="10">
        <f t="shared" si="2"/>
        <v>1.08</v>
      </c>
      <c r="I20" s="9"/>
      <c r="J20" s="10">
        <f t="shared" si="3"/>
        <v>4.6500000000000004</v>
      </c>
      <c r="K20" s="40"/>
    </row>
    <row r="21" spans="1:11" ht="15" x14ac:dyDescent="0.25">
      <c r="A21" s="6" t="s">
        <v>50</v>
      </c>
      <c r="B21" s="7">
        <f t="shared" si="0"/>
        <v>20</v>
      </c>
      <c r="C21" s="8">
        <v>5</v>
      </c>
      <c r="D21" s="7">
        <v>2022</v>
      </c>
      <c r="E21" s="9"/>
      <c r="F21" s="71">
        <f t="shared" si="1"/>
        <v>7.8100000000000003E-2</v>
      </c>
      <c r="G21" s="9"/>
      <c r="H21" s="10">
        <f t="shared" si="2"/>
        <v>1.08</v>
      </c>
      <c r="I21" s="9"/>
      <c r="J21" s="10">
        <f t="shared" si="3"/>
        <v>4.6500000000000004</v>
      </c>
      <c r="K21" s="40"/>
    </row>
    <row r="22" spans="1:11" ht="15" x14ac:dyDescent="0.25">
      <c r="A22" s="6" t="s">
        <v>50</v>
      </c>
      <c r="B22" s="7">
        <f t="shared" si="0"/>
        <v>21</v>
      </c>
      <c r="C22" s="8">
        <v>5</v>
      </c>
      <c r="D22" s="7">
        <v>2022</v>
      </c>
      <c r="E22" s="9"/>
      <c r="F22" s="71">
        <f t="shared" si="1"/>
        <v>7.8100000000000003E-2</v>
      </c>
      <c r="G22" s="9"/>
      <c r="H22" s="10">
        <f t="shared" si="2"/>
        <v>1.08</v>
      </c>
      <c r="I22" s="9"/>
      <c r="J22" s="10">
        <f t="shared" si="3"/>
        <v>4.6500000000000004</v>
      </c>
      <c r="K22" s="40"/>
    </row>
    <row r="23" spans="1:11" ht="15" x14ac:dyDescent="0.25">
      <c r="A23" s="6" t="s">
        <v>50</v>
      </c>
      <c r="B23" s="7">
        <f t="shared" si="0"/>
        <v>22</v>
      </c>
      <c r="C23" s="8">
        <v>5</v>
      </c>
      <c r="D23" s="7">
        <v>2022</v>
      </c>
      <c r="E23" s="9"/>
      <c r="F23" s="71">
        <f t="shared" si="1"/>
        <v>7.8100000000000003E-2</v>
      </c>
      <c r="G23" s="9"/>
      <c r="H23" s="10">
        <f t="shared" si="2"/>
        <v>1.08</v>
      </c>
      <c r="I23" s="9"/>
      <c r="J23" s="10">
        <f t="shared" si="3"/>
        <v>4.6500000000000004</v>
      </c>
      <c r="K23" s="40"/>
    </row>
    <row r="24" spans="1:11" ht="15" x14ac:dyDescent="0.25">
      <c r="A24" s="6" t="s">
        <v>50</v>
      </c>
      <c r="B24" s="7">
        <f t="shared" si="0"/>
        <v>23</v>
      </c>
      <c r="C24" s="8">
        <v>5</v>
      </c>
      <c r="D24" s="7">
        <v>2022</v>
      </c>
      <c r="E24" s="9"/>
      <c r="F24" s="71">
        <f t="shared" si="1"/>
        <v>7.8100000000000003E-2</v>
      </c>
      <c r="G24" s="9"/>
      <c r="H24" s="10">
        <f t="shared" si="2"/>
        <v>1.08</v>
      </c>
      <c r="I24" s="9"/>
      <c r="J24" s="10">
        <f t="shared" si="3"/>
        <v>4.6500000000000004</v>
      </c>
      <c r="K24" s="40"/>
    </row>
    <row r="25" spans="1:11" ht="15" x14ac:dyDescent="0.25">
      <c r="A25" s="6" t="s">
        <v>50</v>
      </c>
      <c r="B25" s="7">
        <f t="shared" si="0"/>
        <v>24</v>
      </c>
      <c r="C25" s="8">
        <v>5</v>
      </c>
      <c r="D25" s="7">
        <v>2022</v>
      </c>
      <c r="E25" s="9"/>
      <c r="F25" s="71">
        <f t="shared" si="1"/>
        <v>7.8100000000000003E-2</v>
      </c>
      <c r="G25" s="9"/>
      <c r="H25" s="10">
        <f t="shared" si="2"/>
        <v>1.08</v>
      </c>
      <c r="I25" s="9"/>
      <c r="J25" s="10">
        <f t="shared" si="3"/>
        <v>4.6500000000000004</v>
      </c>
      <c r="K25" s="40"/>
    </row>
    <row r="26" spans="1:11" ht="15" x14ac:dyDescent="0.25">
      <c r="A26" s="6" t="s">
        <v>50</v>
      </c>
      <c r="B26" s="7">
        <f>B25+1</f>
        <v>25</v>
      </c>
      <c r="C26" s="8">
        <v>5</v>
      </c>
      <c r="D26" s="7">
        <v>2022</v>
      </c>
      <c r="E26" s="9"/>
      <c r="F26" s="71">
        <f t="shared" si="1"/>
        <v>7.8100000000000003E-2</v>
      </c>
      <c r="G26" s="9"/>
      <c r="H26" s="10">
        <f t="shared" si="2"/>
        <v>1.08</v>
      </c>
      <c r="I26" s="9"/>
      <c r="J26" s="10">
        <f t="shared" si="3"/>
        <v>4.6500000000000004</v>
      </c>
      <c r="K26" s="40"/>
    </row>
    <row r="27" spans="1:11" ht="15" x14ac:dyDescent="0.25">
      <c r="A27" s="6" t="s">
        <v>50</v>
      </c>
      <c r="B27" s="7">
        <f t="shared" si="0"/>
        <v>26</v>
      </c>
      <c r="C27" s="8">
        <v>5</v>
      </c>
      <c r="D27" s="7">
        <v>2022</v>
      </c>
      <c r="E27" s="9"/>
      <c r="F27" s="71">
        <f t="shared" si="1"/>
        <v>7.8100000000000003E-2</v>
      </c>
      <c r="G27" s="9"/>
      <c r="H27" s="10">
        <f t="shared" si="2"/>
        <v>1.08</v>
      </c>
      <c r="I27" s="9"/>
      <c r="J27" s="10">
        <f t="shared" si="3"/>
        <v>4.6500000000000004</v>
      </c>
      <c r="K27" s="40"/>
    </row>
    <row r="28" spans="1:11" ht="15" x14ac:dyDescent="0.25">
      <c r="A28" s="6" t="s">
        <v>50</v>
      </c>
      <c r="B28" s="7">
        <f t="shared" si="0"/>
        <v>27</v>
      </c>
      <c r="C28" s="8">
        <v>5</v>
      </c>
      <c r="D28" s="7">
        <v>2022</v>
      </c>
      <c r="E28" s="9"/>
      <c r="F28" s="71">
        <f t="shared" si="1"/>
        <v>7.8100000000000003E-2</v>
      </c>
      <c r="G28" s="9"/>
      <c r="H28" s="10">
        <f t="shared" si="2"/>
        <v>1.08</v>
      </c>
      <c r="I28" s="9"/>
      <c r="J28" s="10">
        <f t="shared" si="3"/>
        <v>4.6500000000000004</v>
      </c>
      <c r="K28" s="40"/>
    </row>
    <row r="29" spans="1:11" ht="15" x14ac:dyDescent="0.25">
      <c r="A29" s="6" t="s">
        <v>50</v>
      </c>
      <c r="B29" s="7">
        <f t="shared" si="0"/>
        <v>28</v>
      </c>
      <c r="C29" s="8">
        <v>5</v>
      </c>
      <c r="D29" s="7">
        <v>2022</v>
      </c>
      <c r="E29" s="9"/>
      <c r="F29" s="71">
        <f t="shared" si="1"/>
        <v>7.8100000000000003E-2</v>
      </c>
      <c r="G29" s="9"/>
      <c r="H29" s="10">
        <f t="shared" si="2"/>
        <v>1.08</v>
      </c>
      <c r="I29" s="9"/>
      <c r="J29" s="10">
        <f t="shared" si="3"/>
        <v>4.6500000000000004</v>
      </c>
      <c r="K29" s="40"/>
    </row>
    <row r="30" spans="1:11" ht="15" x14ac:dyDescent="0.25">
      <c r="A30" s="6" t="s">
        <v>50</v>
      </c>
      <c r="B30" s="7">
        <f t="shared" si="0"/>
        <v>29</v>
      </c>
      <c r="C30" s="8">
        <v>5</v>
      </c>
      <c r="D30" s="7">
        <v>2022</v>
      </c>
      <c r="E30" s="9"/>
      <c r="F30" s="71">
        <f t="shared" si="1"/>
        <v>7.8100000000000003E-2</v>
      </c>
      <c r="G30" s="9"/>
      <c r="H30" s="10">
        <f t="shared" si="2"/>
        <v>1.08</v>
      </c>
      <c r="I30" s="9"/>
      <c r="J30" s="10">
        <f t="shared" si="3"/>
        <v>4.6500000000000004</v>
      </c>
      <c r="K30" s="40"/>
    </row>
    <row r="31" spans="1:11" ht="15" x14ac:dyDescent="0.25">
      <c r="A31" s="6" t="s">
        <v>50</v>
      </c>
      <c r="B31" s="7">
        <f t="shared" si="0"/>
        <v>30</v>
      </c>
      <c r="C31" s="8">
        <v>5</v>
      </c>
      <c r="D31" s="7">
        <v>2022</v>
      </c>
      <c r="E31" s="9"/>
      <c r="F31" s="71">
        <f t="shared" si="1"/>
        <v>7.8100000000000003E-2</v>
      </c>
      <c r="G31" s="9"/>
      <c r="H31" s="10">
        <f t="shared" si="2"/>
        <v>1.08</v>
      </c>
      <c r="I31" s="9"/>
      <c r="J31" s="10">
        <f t="shared" si="3"/>
        <v>4.6500000000000004</v>
      </c>
      <c r="K31" s="40"/>
    </row>
    <row r="32" spans="1:11" ht="15" x14ac:dyDescent="0.25">
      <c r="A32" s="6" t="s">
        <v>50</v>
      </c>
      <c r="B32" s="7">
        <f t="shared" si="0"/>
        <v>31</v>
      </c>
      <c r="C32" s="8">
        <v>5</v>
      </c>
      <c r="D32" s="7">
        <v>2022</v>
      </c>
      <c r="E32" s="9"/>
      <c r="F32" s="71">
        <f t="shared" si="1"/>
        <v>7.8100000000000003E-2</v>
      </c>
      <c r="G32" s="9"/>
      <c r="H32" s="10">
        <f t="shared" si="2"/>
        <v>1.08</v>
      </c>
      <c r="I32" s="9"/>
      <c r="J32" s="10">
        <f t="shared" si="3"/>
        <v>4.6500000000000004</v>
      </c>
      <c r="K32" s="4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workbookViewId="0">
      <selection activeCell="C2" sqref="C2"/>
    </sheetView>
  </sheetViews>
  <sheetFormatPr defaultRowHeight="12.75" x14ac:dyDescent="0.2"/>
  <cols>
    <col min="1" max="1" width="14.570312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1" ht="60" x14ac:dyDescent="0.2">
      <c r="A1" s="1" t="s">
        <v>39</v>
      </c>
      <c r="B1" s="1" t="s">
        <v>40</v>
      </c>
      <c r="C1" s="2" t="s">
        <v>41</v>
      </c>
      <c r="D1" s="1" t="s">
        <v>42</v>
      </c>
      <c r="E1" s="3" t="s">
        <v>43</v>
      </c>
      <c r="F1" s="4" t="s">
        <v>44</v>
      </c>
      <c r="G1" s="3" t="s">
        <v>45</v>
      </c>
      <c r="H1" s="4" t="s">
        <v>46</v>
      </c>
      <c r="I1" s="3" t="s">
        <v>47</v>
      </c>
      <c r="J1" s="5" t="s">
        <v>48</v>
      </c>
      <c r="K1" s="3" t="s">
        <v>49</v>
      </c>
    </row>
    <row r="2" spans="1:11" ht="15" x14ac:dyDescent="0.25">
      <c r="A2" s="6" t="s">
        <v>50</v>
      </c>
      <c r="B2" s="7">
        <v>1</v>
      </c>
      <c r="C2" s="8">
        <v>6</v>
      </c>
      <c r="D2" s="7">
        <v>2022</v>
      </c>
      <c r="E2" s="9"/>
      <c r="F2" s="71">
        <f>DAILY!D7</f>
        <v>7.8100000000000003E-2</v>
      </c>
      <c r="G2" s="9"/>
      <c r="H2" s="10">
        <v>1.08</v>
      </c>
      <c r="I2" s="9"/>
      <c r="J2" s="10">
        <v>4.6500000000000004</v>
      </c>
      <c r="K2" s="9"/>
    </row>
    <row r="3" spans="1:11" ht="15" x14ac:dyDescent="0.25">
      <c r="A3" s="6" t="s">
        <v>50</v>
      </c>
      <c r="B3" s="7">
        <f>B2+1</f>
        <v>2</v>
      </c>
      <c r="C3" s="8">
        <v>6</v>
      </c>
      <c r="D3" s="7">
        <v>2022</v>
      </c>
      <c r="E3" s="9"/>
      <c r="F3" s="71">
        <f>F2</f>
        <v>7.8100000000000003E-2</v>
      </c>
      <c r="G3" s="9"/>
      <c r="H3" s="10">
        <f>H2</f>
        <v>1.08</v>
      </c>
      <c r="I3" s="9"/>
      <c r="J3" s="10">
        <f>J2</f>
        <v>4.6500000000000004</v>
      </c>
      <c r="K3" s="9"/>
    </row>
    <row r="4" spans="1:11" ht="15" x14ac:dyDescent="0.25">
      <c r="A4" s="6" t="s">
        <v>50</v>
      </c>
      <c r="B4" s="7">
        <f t="shared" ref="B4:B32" si="0">B3+1</f>
        <v>3</v>
      </c>
      <c r="C4" s="8">
        <v>6</v>
      </c>
      <c r="D4" s="7">
        <v>2022</v>
      </c>
      <c r="E4" s="9"/>
      <c r="F4" s="71">
        <f t="shared" ref="F4:F32" si="1">F3</f>
        <v>7.8100000000000003E-2</v>
      </c>
      <c r="G4" s="9"/>
      <c r="H4" s="10">
        <f t="shared" ref="H4:H32" si="2">H3</f>
        <v>1.08</v>
      </c>
      <c r="I4" s="9"/>
      <c r="J4" s="10">
        <f t="shared" ref="J4:J32" si="3">J3</f>
        <v>4.6500000000000004</v>
      </c>
      <c r="K4" s="9"/>
    </row>
    <row r="5" spans="1:11" ht="15" x14ac:dyDescent="0.25">
      <c r="A5" s="6" t="s">
        <v>50</v>
      </c>
      <c r="B5" s="7">
        <f t="shared" si="0"/>
        <v>4</v>
      </c>
      <c r="C5" s="8">
        <v>6</v>
      </c>
      <c r="D5" s="7">
        <v>2022</v>
      </c>
      <c r="E5" s="9"/>
      <c r="F5" s="71">
        <f t="shared" si="1"/>
        <v>7.8100000000000003E-2</v>
      </c>
      <c r="G5" s="9"/>
      <c r="H5" s="10">
        <f t="shared" si="2"/>
        <v>1.08</v>
      </c>
      <c r="I5" s="9"/>
      <c r="J5" s="10">
        <f t="shared" si="3"/>
        <v>4.6500000000000004</v>
      </c>
      <c r="K5" s="9"/>
    </row>
    <row r="6" spans="1:11" ht="15" x14ac:dyDescent="0.25">
      <c r="A6" s="6" t="s">
        <v>50</v>
      </c>
      <c r="B6" s="7">
        <f t="shared" si="0"/>
        <v>5</v>
      </c>
      <c r="C6" s="8">
        <v>6</v>
      </c>
      <c r="D6" s="7">
        <v>2022</v>
      </c>
      <c r="E6" s="9"/>
      <c r="F6" s="71">
        <f t="shared" si="1"/>
        <v>7.8100000000000003E-2</v>
      </c>
      <c r="G6" s="9"/>
      <c r="H6" s="10">
        <f t="shared" si="2"/>
        <v>1.08</v>
      </c>
      <c r="I6" s="9"/>
      <c r="J6" s="10">
        <f t="shared" si="3"/>
        <v>4.6500000000000004</v>
      </c>
      <c r="K6" s="9"/>
    </row>
    <row r="7" spans="1:11" ht="15" x14ac:dyDescent="0.25">
      <c r="A7" s="6" t="s">
        <v>50</v>
      </c>
      <c r="B7" s="7">
        <f t="shared" si="0"/>
        <v>6</v>
      </c>
      <c r="C7" s="8">
        <v>6</v>
      </c>
      <c r="D7" s="7">
        <v>2022</v>
      </c>
      <c r="E7" s="9"/>
      <c r="F7" s="71">
        <f t="shared" si="1"/>
        <v>7.8100000000000003E-2</v>
      </c>
      <c r="G7" s="9"/>
      <c r="H7" s="10">
        <f t="shared" si="2"/>
        <v>1.08</v>
      </c>
      <c r="I7" s="9"/>
      <c r="J7" s="10">
        <f t="shared" si="3"/>
        <v>4.6500000000000004</v>
      </c>
      <c r="K7" s="9"/>
    </row>
    <row r="8" spans="1:11" ht="15" x14ac:dyDescent="0.25">
      <c r="A8" s="6" t="s">
        <v>50</v>
      </c>
      <c r="B8" s="7">
        <f t="shared" si="0"/>
        <v>7</v>
      </c>
      <c r="C8" s="8">
        <v>6</v>
      </c>
      <c r="D8" s="7">
        <v>2022</v>
      </c>
      <c r="E8" s="9"/>
      <c r="F8" s="71">
        <f t="shared" si="1"/>
        <v>7.8100000000000003E-2</v>
      </c>
      <c r="G8" s="9"/>
      <c r="H8" s="10">
        <f t="shared" si="2"/>
        <v>1.08</v>
      </c>
      <c r="I8" s="9"/>
      <c r="J8" s="10">
        <f t="shared" si="3"/>
        <v>4.6500000000000004</v>
      </c>
      <c r="K8" s="9"/>
    </row>
    <row r="9" spans="1:11" ht="15" x14ac:dyDescent="0.25">
      <c r="A9" s="6" t="s">
        <v>50</v>
      </c>
      <c r="B9" s="7">
        <f t="shared" si="0"/>
        <v>8</v>
      </c>
      <c r="C9" s="8">
        <v>6</v>
      </c>
      <c r="D9" s="7">
        <v>2022</v>
      </c>
      <c r="E9" s="9"/>
      <c r="F9" s="71">
        <f t="shared" si="1"/>
        <v>7.8100000000000003E-2</v>
      </c>
      <c r="G9" s="9"/>
      <c r="H9" s="10">
        <f t="shared" si="2"/>
        <v>1.08</v>
      </c>
      <c r="I9" s="9"/>
      <c r="J9" s="10">
        <f t="shared" si="3"/>
        <v>4.6500000000000004</v>
      </c>
      <c r="K9" s="9"/>
    </row>
    <row r="10" spans="1:11" ht="15" x14ac:dyDescent="0.25">
      <c r="A10" s="6" t="s">
        <v>50</v>
      </c>
      <c r="B10" s="7">
        <f t="shared" si="0"/>
        <v>9</v>
      </c>
      <c r="C10" s="8">
        <v>6</v>
      </c>
      <c r="D10" s="7">
        <v>2022</v>
      </c>
      <c r="E10" s="9"/>
      <c r="F10" s="71">
        <f t="shared" si="1"/>
        <v>7.8100000000000003E-2</v>
      </c>
      <c r="G10" s="9"/>
      <c r="H10" s="10">
        <f t="shared" si="2"/>
        <v>1.08</v>
      </c>
      <c r="I10" s="9"/>
      <c r="J10" s="10">
        <f t="shared" si="3"/>
        <v>4.6500000000000004</v>
      </c>
      <c r="K10" s="9"/>
    </row>
    <row r="11" spans="1:11" ht="15" x14ac:dyDescent="0.25">
      <c r="A11" s="6" t="s">
        <v>50</v>
      </c>
      <c r="B11" s="7">
        <f t="shared" si="0"/>
        <v>10</v>
      </c>
      <c r="C11" s="8">
        <v>6</v>
      </c>
      <c r="D11" s="7">
        <v>2022</v>
      </c>
      <c r="E11" s="9"/>
      <c r="F11" s="71">
        <f t="shared" si="1"/>
        <v>7.8100000000000003E-2</v>
      </c>
      <c r="G11" s="9"/>
      <c r="H11" s="10">
        <f t="shared" si="2"/>
        <v>1.08</v>
      </c>
      <c r="I11" s="9"/>
      <c r="J11" s="10">
        <f t="shared" si="3"/>
        <v>4.6500000000000004</v>
      </c>
      <c r="K11" s="9"/>
    </row>
    <row r="12" spans="1:11" ht="15" x14ac:dyDescent="0.25">
      <c r="A12" s="6" t="s">
        <v>50</v>
      </c>
      <c r="B12" s="7">
        <f t="shared" si="0"/>
        <v>11</v>
      </c>
      <c r="C12" s="8">
        <v>6</v>
      </c>
      <c r="D12" s="7">
        <v>2022</v>
      </c>
      <c r="E12" s="9"/>
      <c r="F12" s="71">
        <f t="shared" si="1"/>
        <v>7.8100000000000003E-2</v>
      </c>
      <c r="G12" s="9"/>
      <c r="H12" s="10">
        <f t="shared" si="2"/>
        <v>1.08</v>
      </c>
      <c r="I12" s="9"/>
      <c r="J12" s="10">
        <f t="shared" si="3"/>
        <v>4.6500000000000004</v>
      </c>
      <c r="K12" s="9"/>
    </row>
    <row r="13" spans="1:11" ht="15" x14ac:dyDescent="0.25">
      <c r="A13" s="6" t="s">
        <v>50</v>
      </c>
      <c r="B13" s="7">
        <f t="shared" si="0"/>
        <v>12</v>
      </c>
      <c r="C13" s="8">
        <v>6</v>
      </c>
      <c r="D13" s="7">
        <v>2022</v>
      </c>
      <c r="E13" s="9"/>
      <c r="F13" s="71">
        <f t="shared" si="1"/>
        <v>7.8100000000000003E-2</v>
      </c>
      <c r="G13" s="9"/>
      <c r="H13" s="10">
        <f t="shared" si="2"/>
        <v>1.08</v>
      </c>
      <c r="I13" s="9"/>
      <c r="J13" s="10">
        <f t="shared" si="3"/>
        <v>4.6500000000000004</v>
      </c>
      <c r="K13" s="9"/>
    </row>
    <row r="14" spans="1:11" ht="15" x14ac:dyDescent="0.25">
      <c r="A14" s="6" t="s">
        <v>50</v>
      </c>
      <c r="B14" s="7">
        <f t="shared" si="0"/>
        <v>13</v>
      </c>
      <c r="C14" s="8">
        <v>6</v>
      </c>
      <c r="D14" s="7">
        <v>2022</v>
      </c>
      <c r="E14" s="9"/>
      <c r="F14" s="71">
        <f t="shared" si="1"/>
        <v>7.8100000000000003E-2</v>
      </c>
      <c r="G14" s="9"/>
      <c r="H14" s="10">
        <f t="shared" si="2"/>
        <v>1.08</v>
      </c>
      <c r="I14" s="9"/>
      <c r="J14" s="10">
        <f t="shared" si="3"/>
        <v>4.6500000000000004</v>
      </c>
      <c r="K14" s="9"/>
    </row>
    <row r="15" spans="1:11" ht="15" x14ac:dyDescent="0.25">
      <c r="A15" s="6" t="s">
        <v>50</v>
      </c>
      <c r="B15" s="7">
        <f t="shared" si="0"/>
        <v>14</v>
      </c>
      <c r="C15" s="8">
        <v>6</v>
      </c>
      <c r="D15" s="7">
        <v>2022</v>
      </c>
      <c r="E15" s="9"/>
      <c r="F15" s="71">
        <f t="shared" si="1"/>
        <v>7.8100000000000003E-2</v>
      </c>
      <c r="G15" s="9"/>
      <c r="H15" s="10">
        <f t="shared" si="2"/>
        <v>1.08</v>
      </c>
      <c r="I15" s="9"/>
      <c r="J15" s="10">
        <f t="shared" si="3"/>
        <v>4.6500000000000004</v>
      </c>
      <c r="K15" s="9"/>
    </row>
    <row r="16" spans="1:11" ht="15" x14ac:dyDescent="0.25">
      <c r="A16" s="6" t="s">
        <v>50</v>
      </c>
      <c r="B16" s="7">
        <f t="shared" si="0"/>
        <v>15</v>
      </c>
      <c r="C16" s="8">
        <v>6</v>
      </c>
      <c r="D16" s="7">
        <v>2022</v>
      </c>
      <c r="E16" s="9"/>
      <c r="F16" s="71">
        <f t="shared" si="1"/>
        <v>7.8100000000000003E-2</v>
      </c>
      <c r="G16" s="9"/>
      <c r="H16" s="10">
        <f t="shared" si="2"/>
        <v>1.08</v>
      </c>
      <c r="I16" s="9"/>
      <c r="J16" s="10">
        <f t="shared" si="3"/>
        <v>4.6500000000000004</v>
      </c>
      <c r="K16" s="40"/>
    </row>
    <row r="17" spans="1:11" ht="15" x14ac:dyDescent="0.25">
      <c r="A17" s="6" t="s">
        <v>50</v>
      </c>
      <c r="B17" s="7">
        <f t="shared" si="0"/>
        <v>16</v>
      </c>
      <c r="C17" s="8">
        <v>6</v>
      </c>
      <c r="D17" s="7">
        <v>2022</v>
      </c>
      <c r="E17" s="9"/>
      <c r="F17" s="71">
        <f t="shared" si="1"/>
        <v>7.8100000000000003E-2</v>
      </c>
      <c r="G17" s="9"/>
      <c r="H17" s="10">
        <f t="shared" si="2"/>
        <v>1.08</v>
      </c>
      <c r="I17" s="9"/>
      <c r="J17" s="10">
        <f t="shared" si="3"/>
        <v>4.6500000000000004</v>
      </c>
      <c r="K17" s="40"/>
    </row>
    <row r="18" spans="1:11" ht="15" x14ac:dyDescent="0.25">
      <c r="A18" s="6" t="s">
        <v>50</v>
      </c>
      <c r="B18" s="7">
        <f t="shared" si="0"/>
        <v>17</v>
      </c>
      <c r="C18" s="8">
        <v>6</v>
      </c>
      <c r="D18" s="7">
        <v>2022</v>
      </c>
      <c r="E18" s="9"/>
      <c r="F18" s="71">
        <f t="shared" si="1"/>
        <v>7.8100000000000003E-2</v>
      </c>
      <c r="G18" s="9"/>
      <c r="H18" s="10">
        <f t="shared" si="2"/>
        <v>1.08</v>
      </c>
      <c r="I18" s="9"/>
      <c r="J18" s="10">
        <f t="shared" si="3"/>
        <v>4.6500000000000004</v>
      </c>
      <c r="K18" s="40"/>
    </row>
    <row r="19" spans="1:11" ht="15" x14ac:dyDescent="0.25">
      <c r="A19" s="6" t="s">
        <v>50</v>
      </c>
      <c r="B19" s="7">
        <f t="shared" si="0"/>
        <v>18</v>
      </c>
      <c r="C19" s="8">
        <v>6</v>
      </c>
      <c r="D19" s="7">
        <v>2022</v>
      </c>
      <c r="E19" s="9"/>
      <c r="F19" s="71">
        <f t="shared" si="1"/>
        <v>7.8100000000000003E-2</v>
      </c>
      <c r="G19" s="9"/>
      <c r="H19" s="10">
        <f t="shared" si="2"/>
        <v>1.08</v>
      </c>
      <c r="I19" s="9"/>
      <c r="J19" s="10">
        <f t="shared" si="3"/>
        <v>4.6500000000000004</v>
      </c>
      <c r="K19" s="40"/>
    </row>
    <row r="20" spans="1:11" ht="15" x14ac:dyDescent="0.25">
      <c r="A20" s="6" t="s">
        <v>50</v>
      </c>
      <c r="B20" s="7">
        <f t="shared" si="0"/>
        <v>19</v>
      </c>
      <c r="C20" s="8">
        <v>6</v>
      </c>
      <c r="D20" s="7">
        <v>2022</v>
      </c>
      <c r="E20" s="9"/>
      <c r="F20" s="71">
        <f t="shared" si="1"/>
        <v>7.8100000000000003E-2</v>
      </c>
      <c r="G20" s="9"/>
      <c r="H20" s="10">
        <f t="shared" si="2"/>
        <v>1.08</v>
      </c>
      <c r="I20" s="9"/>
      <c r="J20" s="10">
        <f t="shared" si="3"/>
        <v>4.6500000000000004</v>
      </c>
      <c r="K20" s="40"/>
    </row>
    <row r="21" spans="1:11" ht="15" x14ac:dyDescent="0.25">
      <c r="A21" s="6" t="s">
        <v>50</v>
      </c>
      <c r="B21" s="7">
        <f t="shared" si="0"/>
        <v>20</v>
      </c>
      <c r="C21" s="8">
        <v>6</v>
      </c>
      <c r="D21" s="7">
        <v>2022</v>
      </c>
      <c r="E21" s="9"/>
      <c r="F21" s="71">
        <f t="shared" si="1"/>
        <v>7.8100000000000003E-2</v>
      </c>
      <c r="G21" s="9"/>
      <c r="H21" s="10">
        <f t="shared" si="2"/>
        <v>1.08</v>
      </c>
      <c r="I21" s="9"/>
      <c r="J21" s="10">
        <f t="shared" si="3"/>
        <v>4.6500000000000004</v>
      </c>
      <c r="K21" s="40"/>
    </row>
    <row r="22" spans="1:11" ht="15" x14ac:dyDescent="0.25">
      <c r="A22" s="6" t="s">
        <v>50</v>
      </c>
      <c r="B22" s="7">
        <f t="shared" si="0"/>
        <v>21</v>
      </c>
      <c r="C22" s="8">
        <v>6</v>
      </c>
      <c r="D22" s="7">
        <v>2022</v>
      </c>
      <c r="E22" s="9"/>
      <c r="F22" s="71">
        <f t="shared" si="1"/>
        <v>7.8100000000000003E-2</v>
      </c>
      <c r="G22" s="9"/>
      <c r="H22" s="10">
        <f t="shared" si="2"/>
        <v>1.08</v>
      </c>
      <c r="I22" s="9"/>
      <c r="J22" s="10">
        <f t="shared" si="3"/>
        <v>4.6500000000000004</v>
      </c>
      <c r="K22" s="40"/>
    </row>
    <row r="23" spans="1:11" ht="15" x14ac:dyDescent="0.25">
      <c r="A23" s="6" t="s">
        <v>50</v>
      </c>
      <c r="B23" s="7">
        <f t="shared" si="0"/>
        <v>22</v>
      </c>
      <c r="C23" s="8">
        <v>6</v>
      </c>
      <c r="D23" s="7">
        <v>2022</v>
      </c>
      <c r="E23" s="9"/>
      <c r="F23" s="71">
        <f t="shared" si="1"/>
        <v>7.8100000000000003E-2</v>
      </c>
      <c r="G23" s="9"/>
      <c r="H23" s="10">
        <f t="shared" si="2"/>
        <v>1.08</v>
      </c>
      <c r="I23" s="9"/>
      <c r="J23" s="10">
        <f t="shared" si="3"/>
        <v>4.6500000000000004</v>
      </c>
      <c r="K23" s="40"/>
    </row>
    <row r="24" spans="1:11" ht="15" x14ac:dyDescent="0.25">
      <c r="A24" s="6" t="s">
        <v>50</v>
      </c>
      <c r="B24" s="7">
        <f t="shared" si="0"/>
        <v>23</v>
      </c>
      <c r="C24" s="8">
        <v>6</v>
      </c>
      <c r="D24" s="7">
        <v>2022</v>
      </c>
      <c r="E24" s="9"/>
      <c r="F24" s="71">
        <f t="shared" si="1"/>
        <v>7.8100000000000003E-2</v>
      </c>
      <c r="G24" s="9"/>
      <c r="H24" s="10">
        <f t="shared" si="2"/>
        <v>1.08</v>
      </c>
      <c r="I24" s="9"/>
      <c r="J24" s="10">
        <f t="shared" si="3"/>
        <v>4.6500000000000004</v>
      </c>
      <c r="K24" s="40"/>
    </row>
    <row r="25" spans="1:11" ht="15" x14ac:dyDescent="0.25">
      <c r="A25" s="6" t="s">
        <v>50</v>
      </c>
      <c r="B25" s="7">
        <f t="shared" si="0"/>
        <v>24</v>
      </c>
      <c r="C25" s="8">
        <v>6</v>
      </c>
      <c r="D25" s="7">
        <v>2022</v>
      </c>
      <c r="E25" s="9"/>
      <c r="F25" s="71">
        <f t="shared" si="1"/>
        <v>7.8100000000000003E-2</v>
      </c>
      <c r="G25" s="9"/>
      <c r="H25" s="10">
        <f t="shared" si="2"/>
        <v>1.08</v>
      </c>
      <c r="I25" s="9"/>
      <c r="J25" s="10">
        <f t="shared" si="3"/>
        <v>4.6500000000000004</v>
      </c>
      <c r="K25" s="40"/>
    </row>
    <row r="26" spans="1:11" ht="15" x14ac:dyDescent="0.25">
      <c r="A26" s="6" t="s">
        <v>50</v>
      </c>
      <c r="B26" s="7">
        <f>B25+1</f>
        <v>25</v>
      </c>
      <c r="C26" s="8">
        <v>6</v>
      </c>
      <c r="D26" s="7">
        <v>2022</v>
      </c>
      <c r="E26" s="9"/>
      <c r="F26" s="71">
        <f t="shared" si="1"/>
        <v>7.8100000000000003E-2</v>
      </c>
      <c r="G26" s="9"/>
      <c r="H26" s="10">
        <f t="shared" si="2"/>
        <v>1.08</v>
      </c>
      <c r="I26" s="9"/>
      <c r="J26" s="10">
        <f t="shared" si="3"/>
        <v>4.6500000000000004</v>
      </c>
      <c r="K26" s="40"/>
    </row>
    <row r="27" spans="1:11" ht="15" x14ac:dyDescent="0.25">
      <c r="A27" s="6" t="s">
        <v>50</v>
      </c>
      <c r="B27" s="7">
        <f t="shared" si="0"/>
        <v>26</v>
      </c>
      <c r="C27" s="8">
        <v>6</v>
      </c>
      <c r="D27" s="7">
        <v>2022</v>
      </c>
      <c r="E27" s="9"/>
      <c r="F27" s="71">
        <f t="shared" si="1"/>
        <v>7.8100000000000003E-2</v>
      </c>
      <c r="G27" s="9"/>
      <c r="H27" s="10">
        <f t="shared" si="2"/>
        <v>1.08</v>
      </c>
      <c r="I27" s="9"/>
      <c r="J27" s="10">
        <f t="shared" si="3"/>
        <v>4.6500000000000004</v>
      </c>
      <c r="K27" s="40"/>
    </row>
    <row r="28" spans="1:11" ht="15" x14ac:dyDescent="0.25">
      <c r="A28" s="6" t="s">
        <v>50</v>
      </c>
      <c r="B28" s="7">
        <f t="shared" si="0"/>
        <v>27</v>
      </c>
      <c r="C28" s="8">
        <v>6</v>
      </c>
      <c r="D28" s="7">
        <v>2022</v>
      </c>
      <c r="E28" s="9"/>
      <c r="F28" s="71">
        <f t="shared" si="1"/>
        <v>7.8100000000000003E-2</v>
      </c>
      <c r="G28" s="9"/>
      <c r="H28" s="10">
        <f t="shared" si="2"/>
        <v>1.08</v>
      </c>
      <c r="I28" s="9"/>
      <c r="J28" s="10">
        <f t="shared" si="3"/>
        <v>4.6500000000000004</v>
      </c>
      <c r="K28" s="40"/>
    </row>
    <row r="29" spans="1:11" ht="15" x14ac:dyDescent="0.25">
      <c r="A29" s="6" t="s">
        <v>50</v>
      </c>
      <c r="B29" s="7">
        <f t="shared" si="0"/>
        <v>28</v>
      </c>
      <c r="C29" s="8">
        <v>6</v>
      </c>
      <c r="D29" s="7">
        <v>2022</v>
      </c>
      <c r="E29" s="9"/>
      <c r="F29" s="71">
        <f t="shared" si="1"/>
        <v>7.8100000000000003E-2</v>
      </c>
      <c r="G29" s="9"/>
      <c r="H29" s="10">
        <f t="shared" si="2"/>
        <v>1.08</v>
      </c>
      <c r="I29" s="9"/>
      <c r="J29" s="10">
        <f t="shared" si="3"/>
        <v>4.6500000000000004</v>
      </c>
      <c r="K29" s="40"/>
    </row>
    <row r="30" spans="1:11" ht="15" x14ac:dyDescent="0.25">
      <c r="A30" s="6" t="s">
        <v>50</v>
      </c>
      <c r="B30" s="7">
        <f t="shared" si="0"/>
        <v>29</v>
      </c>
      <c r="C30" s="8">
        <v>6</v>
      </c>
      <c r="D30" s="7">
        <v>2022</v>
      </c>
      <c r="E30" s="9"/>
      <c r="F30" s="71">
        <f t="shared" si="1"/>
        <v>7.8100000000000003E-2</v>
      </c>
      <c r="G30" s="9"/>
      <c r="H30" s="10">
        <f t="shared" si="2"/>
        <v>1.08</v>
      </c>
      <c r="I30" s="9"/>
      <c r="J30" s="10">
        <f t="shared" si="3"/>
        <v>4.6500000000000004</v>
      </c>
      <c r="K30" s="40"/>
    </row>
    <row r="31" spans="1:11" ht="15" x14ac:dyDescent="0.25">
      <c r="A31" s="6" t="s">
        <v>50</v>
      </c>
      <c r="B31" s="7">
        <f t="shared" si="0"/>
        <v>30</v>
      </c>
      <c r="C31" s="8">
        <v>6</v>
      </c>
      <c r="D31" s="7">
        <v>2022</v>
      </c>
      <c r="E31" s="9"/>
      <c r="F31" s="71">
        <f t="shared" si="1"/>
        <v>7.8100000000000003E-2</v>
      </c>
      <c r="G31" s="9"/>
      <c r="H31" s="10">
        <f t="shared" si="2"/>
        <v>1.08</v>
      </c>
      <c r="I31" s="9"/>
      <c r="J31" s="10">
        <f t="shared" si="3"/>
        <v>4.6500000000000004</v>
      </c>
      <c r="K31" s="40"/>
    </row>
    <row r="32" spans="1:11" ht="15" x14ac:dyDescent="0.25">
      <c r="A32" s="6" t="s">
        <v>50</v>
      </c>
      <c r="B32" s="7">
        <f t="shared" si="0"/>
        <v>31</v>
      </c>
      <c r="C32" s="8">
        <v>6</v>
      </c>
      <c r="D32" s="7">
        <v>2022</v>
      </c>
      <c r="E32" s="9"/>
      <c r="F32" s="71">
        <f t="shared" si="1"/>
        <v>7.8100000000000003E-2</v>
      </c>
      <c r="G32" s="9"/>
      <c r="H32" s="10">
        <f t="shared" si="2"/>
        <v>1.08</v>
      </c>
      <c r="I32" s="9"/>
      <c r="J32" s="10">
        <f t="shared" si="3"/>
        <v>4.6500000000000004</v>
      </c>
      <c r="K32" s="4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workbookViewId="0">
      <selection activeCell="C2" sqref="C2"/>
    </sheetView>
  </sheetViews>
  <sheetFormatPr defaultRowHeight="12.75" x14ac:dyDescent="0.2"/>
  <cols>
    <col min="1" max="1" width="14.570312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1" ht="60" x14ac:dyDescent="0.2">
      <c r="A1" s="1" t="s">
        <v>39</v>
      </c>
      <c r="B1" s="1" t="s">
        <v>40</v>
      </c>
      <c r="C1" s="2" t="s">
        <v>41</v>
      </c>
      <c r="D1" s="1" t="s">
        <v>42</v>
      </c>
      <c r="E1" s="3" t="s">
        <v>43</v>
      </c>
      <c r="F1" s="4" t="s">
        <v>44</v>
      </c>
      <c r="G1" s="3" t="s">
        <v>45</v>
      </c>
      <c r="H1" s="4" t="s">
        <v>46</v>
      </c>
      <c r="I1" s="3" t="s">
        <v>47</v>
      </c>
      <c r="J1" s="5" t="s">
        <v>48</v>
      </c>
      <c r="K1" s="3" t="s">
        <v>49</v>
      </c>
    </row>
    <row r="2" spans="1:11" ht="15" x14ac:dyDescent="0.25">
      <c r="A2" s="6" t="s">
        <v>50</v>
      </c>
      <c r="B2" s="7">
        <v>1</v>
      </c>
      <c r="C2" s="8">
        <v>7</v>
      </c>
      <c r="D2" s="7">
        <v>2022</v>
      </c>
      <c r="E2" s="9"/>
      <c r="F2" s="71">
        <f>DAILY!D7</f>
        <v>7.8100000000000003E-2</v>
      </c>
      <c r="G2" s="9"/>
      <c r="H2" s="10">
        <v>1.08</v>
      </c>
      <c r="I2" s="9"/>
      <c r="J2" s="10">
        <v>4.6500000000000004</v>
      </c>
      <c r="K2" s="9"/>
    </row>
    <row r="3" spans="1:11" ht="15" x14ac:dyDescent="0.25">
      <c r="A3" s="6" t="s">
        <v>50</v>
      </c>
      <c r="B3" s="7">
        <f>B2+1</f>
        <v>2</v>
      </c>
      <c r="C3" s="8">
        <v>7</v>
      </c>
      <c r="D3" s="7">
        <v>2022</v>
      </c>
      <c r="E3" s="9"/>
      <c r="F3" s="71">
        <f>F2</f>
        <v>7.8100000000000003E-2</v>
      </c>
      <c r="G3" s="9"/>
      <c r="H3" s="10">
        <f>H2</f>
        <v>1.08</v>
      </c>
      <c r="I3" s="9"/>
      <c r="J3" s="10">
        <f>J2</f>
        <v>4.6500000000000004</v>
      </c>
      <c r="K3" s="9"/>
    </row>
    <row r="4" spans="1:11" ht="15" x14ac:dyDescent="0.25">
      <c r="A4" s="6" t="s">
        <v>50</v>
      </c>
      <c r="B4" s="7">
        <f t="shared" ref="B4:B32" si="0">B3+1</f>
        <v>3</v>
      </c>
      <c r="C4" s="8">
        <v>7</v>
      </c>
      <c r="D4" s="7">
        <v>2022</v>
      </c>
      <c r="E4" s="9"/>
      <c r="F4" s="71">
        <f t="shared" ref="F4:F32" si="1">F3</f>
        <v>7.8100000000000003E-2</v>
      </c>
      <c r="G4" s="9"/>
      <c r="H4" s="10">
        <f t="shared" ref="H4:H32" si="2">H3</f>
        <v>1.08</v>
      </c>
      <c r="I4" s="9"/>
      <c r="J4" s="10">
        <f t="shared" ref="J4:J32" si="3">J3</f>
        <v>4.6500000000000004</v>
      </c>
      <c r="K4" s="9"/>
    </row>
    <row r="5" spans="1:11" ht="15" x14ac:dyDescent="0.25">
      <c r="A5" s="6" t="s">
        <v>50</v>
      </c>
      <c r="B5" s="7">
        <f t="shared" si="0"/>
        <v>4</v>
      </c>
      <c r="C5" s="8">
        <v>7</v>
      </c>
      <c r="D5" s="7">
        <v>2022</v>
      </c>
      <c r="E5" s="9"/>
      <c r="F5" s="71">
        <f t="shared" si="1"/>
        <v>7.8100000000000003E-2</v>
      </c>
      <c r="G5" s="9"/>
      <c r="H5" s="10">
        <f t="shared" si="2"/>
        <v>1.08</v>
      </c>
      <c r="I5" s="9"/>
      <c r="J5" s="10">
        <f t="shared" si="3"/>
        <v>4.6500000000000004</v>
      </c>
      <c r="K5" s="9"/>
    </row>
    <row r="6" spans="1:11" ht="15" x14ac:dyDescent="0.25">
      <c r="A6" s="6" t="s">
        <v>50</v>
      </c>
      <c r="B6" s="7">
        <f t="shared" si="0"/>
        <v>5</v>
      </c>
      <c r="C6" s="8">
        <v>7</v>
      </c>
      <c r="D6" s="7">
        <v>2022</v>
      </c>
      <c r="E6" s="9"/>
      <c r="F6" s="71">
        <f t="shared" si="1"/>
        <v>7.8100000000000003E-2</v>
      </c>
      <c r="G6" s="9"/>
      <c r="H6" s="10">
        <f t="shared" si="2"/>
        <v>1.08</v>
      </c>
      <c r="I6" s="9"/>
      <c r="J6" s="10">
        <f t="shared" si="3"/>
        <v>4.6500000000000004</v>
      </c>
      <c r="K6" s="9"/>
    </row>
    <row r="7" spans="1:11" ht="15" x14ac:dyDescent="0.25">
      <c r="A7" s="6" t="s">
        <v>50</v>
      </c>
      <c r="B7" s="7">
        <f t="shared" si="0"/>
        <v>6</v>
      </c>
      <c r="C7" s="8">
        <v>7</v>
      </c>
      <c r="D7" s="7">
        <v>2022</v>
      </c>
      <c r="E7" s="9"/>
      <c r="F7" s="71">
        <f t="shared" si="1"/>
        <v>7.8100000000000003E-2</v>
      </c>
      <c r="G7" s="9"/>
      <c r="H7" s="10">
        <f t="shared" si="2"/>
        <v>1.08</v>
      </c>
      <c r="I7" s="9"/>
      <c r="J7" s="10">
        <f t="shared" si="3"/>
        <v>4.6500000000000004</v>
      </c>
      <c r="K7" s="9"/>
    </row>
    <row r="8" spans="1:11" ht="15" x14ac:dyDescent="0.25">
      <c r="A8" s="6" t="s">
        <v>50</v>
      </c>
      <c r="B8" s="7">
        <f t="shared" si="0"/>
        <v>7</v>
      </c>
      <c r="C8" s="8">
        <v>7</v>
      </c>
      <c r="D8" s="7">
        <v>2022</v>
      </c>
      <c r="E8" s="9"/>
      <c r="F8" s="71">
        <f t="shared" si="1"/>
        <v>7.8100000000000003E-2</v>
      </c>
      <c r="G8" s="9"/>
      <c r="H8" s="10">
        <f t="shared" si="2"/>
        <v>1.08</v>
      </c>
      <c r="I8" s="9"/>
      <c r="J8" s="10">
        <f t="shared" si="3"/>
        <v>4.6500000000000004</v>
      </c>
      <c r="K8" s="9"/>
    </row>
    <row r="9" spans="1:11" ht="15" x14ac:dyDescent="0.25">
      <c r="A9" s="6" t="s">
        <v>50</v>
      </c>
      <c r="B9" s="7">
        <f t="shared" si="0"/>
        <v>8</v>
      </c>
      <c r="C9" s="8">
        <v>7</v>
      </c>
      <c r="D9" s="7">
        <v>2022</v>
      </c>
      <c r="E9" s="9"/>
      <c r="F9" s="71">
        <f t="shared" si="1"/>
        <v>7.8100000000000003E-2</v>
      </c>
      <c r="G9" s="9"/>
      <c r="H9" s="10">
        <f t="shared" si="2"/>
        <v>1.08</v>
      </c>
      <c r="I9" s="9"/>
      <c r="J9" s="10">
        <f t="shared" si="3"/>
        <v>4.6500000000000004</v>
      </c>
      <c r="K9" s="9"/>
    </row>
    <row r="10" spans="1:11" ht="15" x14ac:dyDescent="0.25">
      <c r="A10" s="6" t="s">
        <v>50</v>
      </c>
      <c r="B10" s="7">
        <f t="shared" si="0"/>
        <v>9</v>
      </c>
      <c r="C10" s="8">
        <v>7</v>
      </c>
      <c r="D10" s="7">
        <v>2022</v>
      </c>
      <c r="E10" s="9"/>
      <c r="F10" s="71">
        <f t="shared" si="1"/>
        <v>7.8100000000000003E-2</v>
      </c>
      <c r="G10" s="9"/>
      <c r="H10" s="10">
        <f t="shared" si="2"/>
        <v>1.08</v>
      </c>
      <c r="I10" s="9"/>
      <c r="J10" s="10">
        <f t="shared" si="3"/>
        <v>4.6500000000000004</v>
      </c>
      <c r="K10" s="9"/>
    </row>
    <row r="11" spans="1:11" ht="15" x14ac:dyDescent="0.25">
      <c r="A11" s="6" t="s">
        <v>50</v>
      </c>
      <c r="B11" s="7">
        <f t="shared" si="0"/>
        <v>10</v>
      </c>
      <c r="C11" s="8">
        <v>7</v>
      </c>
      <c r="D11" s="7">
        <v>2022</v>
      </c>
      <c r="E11" s="9"/>
      <c r="F11" s="71">
        <f t="shared" si="1"/>
        <v>7.8100000000000003E-2</v>
      </c>
      <c r="G11" s="9"/>
      <c r="H11" s="10">
        <f t="shared" si="2"/>
        <v>1.08</v>
      </c>
      <c r="I11" s="9"/>
      <c r="J11" s="10">
        <f t="shared" si="3"/>
        <v>4.6500000000000004</v>
      </c>
      <c r="K11" s="9"/>
    </row>
    <row r="12" spans="1:11" ht="15" x14ac:dyDescent="0.25">
      <c r="A12" s="6" t="s">
        <v>50</v>
      </c>
      <c r="B12" s="7">
        <f t="shared" si="0"/>
        <v>11</v>
      </c>
      <c r="C12" s="8">
        <v>7</v>
      </c>
      <c r="D12" s="7">
        <v>2022</v>
      </c>
      <c r="E12" s="9"/>
      <c r="F12" s="71">
        <f t="shared" si="1"/>
        <v>7.8100000000000003E-2</v>
      </c>
      <c r="G12" s="9"/>
      <c r="H12" s="10">
        <f t="shared" si="2"/>
        <v>1.08</v>
      </c>
      <c r="I12" s="9"/>
      <c r="J12" s="10">
        <f t="shared" si="3"/>
        <v>4.6500000000000004</v>
      </c>
      <c r="K12" s="9"/>
    </row>
    <row r="13" spans="1:11" ht="15" x14ac:dyDescent="0.25">
      <c r="A13" s="6" t="s">
        <v>50</v>
      </c>
      <c r="B13" s="7">
        <f t="shared" si="0"/>
        <v>12</v>
      </c>
      <c r="C13" s="8">
        <v>7</v>
      </c>
      <c r="D13" s="7">
        <v>2022</v>
      </c>
      <c r="E13" s="9"/>
      <c r="F13" s="71">
        <f t="shared" si="1"/>
        <v>7.8100000000000003E-2</v>
      </c>
      <c r="G13" s="9"/>
      <c r="H13" s="10">
        <f t="shared" si="2"/>
        <v>1.08</v>
      </c>
      <c r="I13" s="9"/>
      <c r="J13" s="10">
        <f t="shared" si="3"/>
        <v>4.6500000000000004</v>
      </c>
      <c r="K13" s="9"/>
    </row>
    <row r="14" spans="1:11" ht="15" x14ac:dyDescent="0.25">
      <c r="A14" s="6" t="s">
        <v>50</v>
      </c>
      <c r="B14" s="7">
        <f t="shared" si="0"/>
        <v>13</v>
      </c>
      <c r="C14" s="8">
        <v>7</v>
      </c>
      <c r="D14" s="7">
        <v>2022</v>
      </c>
      <c r="E14" s="9"/>
      <c r="F14" s="71">
        <f t="shared" si="1"/>
        <v>7.8100000000000003E-2</v>
      </c>
      <c r="G14" s="9"/>
      <c r="H14" s="10">
        <f t="shared" si="2"/>
        <v>1.08</v>
      </c>
      <c r="I14" s="9"/>
      <c r="J14" s="10">
        <f t="shared" si="3"/>
        <v>4.6500000000000004</v>
      </c>
      <c r="K14" s="9"/>
    </row>
    <row r="15" spans="1:11" ht="15" x14ac:dyDescent="0.25">
      <c r="A15" s="6" t="s">
        <v>50</v>
      </c>
      <c r="B15" s="7">
        <f t="shared" si="0"/>
        <v>14</v>
      </c>
      <c r="C15" s="8">
        <v>7</v>
      </c>
      <c r="D15" s="7">
        <v>2022</v>
      </c>
      <c r="E15" s="9"/>
      <c r="F15" s="71">
        <f t="shared" si="1"/>
        <v>7.8100000000000003E-2</v>
      </c>
      <c r="G15" s="9"/>
      <c r="H15" s="10">
        <f t="shared" si="2"/>
        <v>1.08</v>
      </c>
      <c r="I15" s="9"/>
      <c r="J15" s="10">
        <f t="shared" si="3"/>
        <v>4.6500000000000004</v>
      </c>
      <c r="K15" s="9"/>
    </row>
    <row r="16" spans="1:11" ht="15" x14ac:dyDescent="0.25">
      <c r="A16" s="6" t="s">
        <v>50</v>
      </c>
      <c r="B16" s="7">
        <f t="shared" si="0"/>
        <v>15</v>
      </c>
      <c r="C16" s="8">
        <v>7</v>
      </c>
      <c r="D16" s="7">
        <v>2022</v>
      </c>
      <c r="E16" s="9"/>
      <c r="F16" s="71">
        <f t="shared" si="1"/>
        <v>7.8100000000000003E-2</v>
      </c>
      <c r="G16" s="9"/>
      <c r="H16" s="10">
        <f t="shared" si="2"/>
        <v>1.08</v>
      </c>
      <c r="I16" s="9"/>
      <c r="J16" s="10">
        <f t="shared" si="3"/>
        <v>4.6500000000000004</v>
      </c>
      <c r="K16" s="40"/>
    </row>
    <row r="17" spans="1:11" ht="15" x14ac:dyDescent="0.25">
      <c r="A17" s="6" t="s">
        <v>50</v>
      </c>
      <c r="B17" s="7">
        <f t="shared" si="0"/>
        <v>16</v>
      </c>
      <c r="C17" s="8">
        <v>7</v>
      </c>
      <c r="D17" s="7">
        <v>2022</v>
      </c>
      <c r="E17" s="9"/>
      <c r="F17" s="71">
        <f t="shared" si="1"/>
        <v>7.8100000000000003E-2</v>
      </c>
      <c r="G17" s="9"/>
      <c r="H17" s="10">
        <f t="shared" si="2"/>
        <v>1.08</v>
      </c>
      <c r="I17" s="9"/>
      <c r="J17" s="10">
        <f t="shared" si="3"/>
        <v>4.6500000000000004</v>
      </c>
      <c r="K17" s="40"/>
    </row>
    <row r="18" spans="1:11" ht="15" x14ac:dyDescent="0.25">
      <c r="A18" s="6" t="s">
        <v>50</v>
      </c>
      <c r="B18" s="7">
        <f t="shared" si="0"/>
        <v>17</v>
      </c>
      <c r="C18" s="8">
        <v>7</v>
      </c>
      <c r="D18" s="7">
        <v>2022</v>
      </c>
      <c r="E18" s="9"/>
      <c r="F18" s="71">
        <f t="shared" si="1"/>
        <v>7.8100000000000003E-2</v>
      </c>
      <c r="G18" s="9"/>
      <c r="H18" s="10">
        <f t="shared" si="2"/>
        <v>1.08</v>
      </c>
      <c r="I18" s="9"/>
      <c r="J18" s="10">
        <f t="shared" si="3"/>
        <v>4.6500000000000004</v>
      </c>
      <c r="K18" s="40"/>
    </row>
    <row r="19" spans="1:11" ht="15" x14ac:dyDescent="0.25">
      <c r="A19" s="6" t="s">
        <v>50</v>
      </c>
      <c r="B19" s="7">
        <f t="shared" si="0"/>
        <v>18</v>
      </c>
      <c r="C19" s="8">
        <v>7</v>
      </c>
      <c r="D19" s="7">
        <v>2022</v>
      </c>
      <c r="E19" s="9"/>
      <c r="F19" s="71">
        <f t="shared" si="1"/>
        <v>7.8100000000000003E-2</v>
      </c>
      <c r="G19" s="9"/>
      <c r="H19" s="10">
        <f t="shared" si="2"/>
        <v>1.08</v>
      </c>
      <c r="I19" s="9"/>
      <c r="J19" s="10">
        <f t="shared" si="3"/>
        <v>4.6500000000000004</v>
      </c>
      <c r="K19" s="40"/>
    </row>
    <row r="20" spans="1:11" ht="15" x14ac:dyDescent="0.25">
      <c r="A20" s="6" t="s">
        <v>50</v>
      </c>
      <c r="B20" s="7">
        <f t="shared" si="0"/>
        <v>19</v>
      </c>
      <c r="C20" s="8">
        <v>7</v>
      </c>
      <c r="D20" s="7">
        <v>2022</v>
      </c>
      <c r="E20" s="9"/>
      <c r="F20" s="71">
        <f t="shared" si="1"/>
        <v>7.8100000000000003E-2</v>
      </c>
      <c r="G20" s="9"/>
      <c r="H20" s="10">
        <f t="shared" si="2"/>
        <v>1.08</v>
      </c>
      <c r="I20" s="9"/>
      <c r="J20" s="10">
        <f t="shared" si="3"/>
        <v>4.6500000000000004</v>
      </c>
      <c r="K20" s="40"/>
    </row>
    <row r="21" spans="1:11" ht="15" x14ac:dyDescent="0.25">
      <c r="A21" s="6" t="s">
        <v>50</v>
      </c>
      <c r="B21" s="7">
        <f t="shared" si="0"/>
        <v>20</v>
      </c>
      <c r="C21" s="8">
        <v>7</v>
      </c>
      <c r="D21" s="7">
        <v>2022</v>
      </c>
      <c r="E21" s="9"/>
      <c r="F21" s="71">
        <f t="shared" si="1"/>
        <v>7.8100000000000003E-2</v>
      </c>
      <c r="G21" s="9"/>
      <c r="H21" s="10">
        <f t="shared" si="2"/>
        <v>1.08</v>
      </c>
      <c r="I21" s="9"/>
      <c r="J21" s="10">
        <f t="shared" si="3"/>
        <v>4.6500000000000004</v>
      </c>
      <c r="K21" s="40"/>
    </row>
    <row r="22" spans="1:11" ht="15" x14ac:dyDescent="0.25">
      <c r="A22" s="6" t="s">
        <v>50</v>
      </c>
      <c r="B22" s="7">
        <f t="shared" si="0"/>
        <v>21</v>
      </c>
      <c r="C22" s="8">
        <v>7</v>
      </c>
      <c r="D22" s="7">
        <v>2022</v>
      </c>
      <c r="E22" s="9"/>
      <c r="F22" s="71">
        <f t="shared" si="1"/>
        <v>7.8100000000000003E-2</v>
      </c>
      <c r="G22" s="9"/>
      <c r="H22" s="10">
        <f t="shared" si="2"/>
        <v>1.08</v>
      </c>
      <c r="I22" s="9"/>
      <c r="J22" s="10">
        <f t="shared" si="3"/>
        <v>4.6500000000000004</v>
      </c>
      <c r="K22" s="40"/>
    </row>
    <row r="23" spans="1:11" ht="15" x14ac:dyDescent="0.25">
      <c r="A23" s="6" t="s">
        <v>50</v>
      </c>
      <c r="B23" s="7">
        <f t="shared" si="0"/>
        <v>22</v>
      </c>
      <c r="C23" s="8">
        <v>7</v>
      </c>
      <c r="D23" s="7">
        <v>2022</v>
      </c>
      <c r="E23" s="9"/>
      <c r="F23" s="71">
        <f t="shared" si="1"/>
        <v>7.8100000000000003E-2</v>
      </c>
      <c r="G23" s="9"/>
      <c r="H23" s="10">
        <f t="shared" si="2"/>
        <v>1.08</v>
      </c>
      <c r="I23" s="9"/>
      <c r="J23" s="10">
        <f t="shared" si="3"/>
        <v>4.6500000000000004</v>
      </c>
      <c r="K23" s="40"/>
    </row>
    <row r="24" spans="1:11" ht="15" x14ac:dyDescent="0.25">
      <c r="A24" s="6" t="s">
        <v>50</v>
      </c>
      <c r="B24" s="7">
        <f t="shared" si="0"/>
        <v>23</v>
      </c>
      <c r="C24" s="8">
        <v>7</v>
      </c>
      <c r="D24" s="7">
        <v>2022</v>
      </c>
      <c r="E24" s="9"/>
      <c r="F24" s="71">
        <f t="shared" si="1"/>
        <v>7.8100000000000003E-2</v>
      </c>
      <c r="G24" s="9"/>
      <c r="H24" s="10">
        <f t="shared" si="2"/>
        <v>1.08</v>
      </c>
      <c r="I24" s="9"/>
      <c r="J24" s="10">
        <f t="shared" si="3"/>
        <v>4.6500000000000004</v>
      </c>
      <c r="K24" s="40"/>
    </row>
    <row r="25" spans="1:11" ht="15" x14ac:dyDescent="0.25">
      <c r="A25" s="6" t="s">
        <v>50</v>
      </c>
      <c r="B25" s="7">
        <f t="shared" si="0"/>
        <v>24</v>
      </c>
      <c r="C25" s="8">
        <v>7</v>
      </c>
      <c r="D25" s="7">
        <v>2022</v>
      </c>
      <c r="E25" s="9"/>
      <c r="F25" s="71">
        <f t="shared" si="1"/>
        <v>7.8100000000000003E-2</v>
      </c>
      <c r="G25" s="9"/>
      <c r="H25" s="10">
        <f t="shared" si="2"/>
        <v>1.08</v>
      </c>
      <c r="I25" s="9"/>
      <c r="J25" s="10">
        <f t="shared" si="3"/>
        <v>4.6500000000000004</v>
      </c>
      <c r="K25" s="40"/>
    </row>
    <row r="26" spans="1:11" ht="15" x14ac:dyDescent="0.25">
      <c r="A26" s="6" t="s">
        <v>50</v>
      </c>
      <c r="B26" s="7">
        <f>B25+1</f>
        <v>25</v>
      </c>
      <c r="C26" s="8">
        <v>7</v>
      </c>
      <c r="D26" s="7">
        <v>2022</v>
      </c>
      <c r="E26" s="9"/>
      <c r="F26" s="71">
        <f t="shared" si="1"/>
        <v>7.8100000000000003E-2</v>
      </c>
      <c r="G26" s="9"/>
      <c r="H26" s="10">
        <f t="shared" si="2"/>
        <v>1.08</v>
      </c>
      <c r="I26" s="9"/>
      <c r="J26" s="10">
        <f t="shared" si="3"/>
        <v>4.6500000000000004</v>
      </c>
      <c r="K26" s="40"/>
    </row>
    <row r="27" spans="1:11" ht="15" x14ac:dyDescent="0.25">
      <c r="A27" s="6" t="s">
        <v>50</v>
      </c>
      <c r="B27" s="7">
        <f t="shared" si="0"/>
        <v>26</v>
      </c>
      <c r="C27" s="8">
        <v>7</v>
      </c>
      <c r="D27" s="7">
        <v>2022</v>
      </c>
      <c r="E27" s="9"/>
      <c r="F27" s="71">
        <f t="shared" si="1"/>
        <v>7.8100000000000003E-2</v>
      </c>
      <c r="G27" s="9"/>
      <c r="H27" s="10">
        <f t="shared" si="2"/>
        <v>1.08</v>
      </c>
      <c r="I27" s="9"/>
      <c r="J27" s="10">
        <f t="shared" si="3"/>
        <v>4.6500000000000004</v>
      </c>
      <c r="K27" s="40"/>
    </row>
    <row r="28" spans="1:11" ht="15" x14ac:dyDescent="0.25">
      <c r="A28" s="6" t="s">
        <v>50</v>
      </c>
      <c r="B28" s="7">
        <f t="shared" si="0"/>
        <v>27</v>
      </c>
      <c r="C28" s="8">
        <v>7</v>
      </c>
      <c r="D28" s="7">
        <v>2022</v>
      </c>
      <c r="E28" s="9"/>
      <c r="F28" s="71">
        <f t="shared" si="1"/>
        <v>7.8100000000000003E-2</v>
      </c>
      <c r="G28" s="9"/>
      <c r="H28" s="10">
        <f t="shared" si="2"/>
        <v>1.08</v>
      </c>
      <c r="I28" s="9"/>
      <c r="J28" s="10">
        <f t="shared" si="3"/>
        <v>4.6500000000000004</v>
      </c>
      <c r="K28" s="40"/>
    </row>
    <row r="29" spans="1:11" ht="15" x14ac:dyDescent="0.25">
      <c r="A29" s="6" t="s">
        <v>50</v>
      </c>
      <c r="B29" s="7">
        <f t="shared" si="0"/>
        <v>28</v>
      </c>
      <c r="C29" s="8">
        <v>7</v>
      </c>
      <c r="D29" s="7">
        <v>2022</v>
      </c>
      <c r="E29" s="9"/>
      <c r="F29" s="71">
        <f t="shared" si="1"/>
        <v>7.8100000000000003E-2</v>
      </c>
      <c r="G29" s="9"/>
      <c r="H29" s="10">
        <f t="shared" si="2"/>
        <v>1.08</v>
      </c>
      <c r="I29" s="9"/>
      <c r="J29" s="10">
        <f t="shared" si="3"/>
        <v>4.6500000000000004</v>
      </c>
      <c r="K29" s="40"/>
    </row>
    <row r="30" spans="1:11" ht="15" x14ac:dyDescent="0.25">
      <c r="A30" s="6" t="s">
        <v>50</v>
      </c>
      <c r="B30" s="7">
        <f t="shared" si="0"/>
        <v>29</v>
      </c>
      <c r="C30" s="8">
        <v>7</v>
      </c>
      <c r="D30" s="7">
        <v>2022</v>
      </c>
      <c r="E30" s="9"/>
      <c r="F30" s="71">
        <f t="shared" si="1"/>
        <v>7.8100000000000003E-2</v>
      </c>
      <c r="G30" s="9"/>
      <c r="H30" s="10">
        <f t="shared" si="2"/>
        <v>1.08</v>
      </c>
      <c r="I30" s="9"/>
      <c r="J30" s="10">
        <f t="shared" si="3"/>
        <v>4.6500000000000004</v>
      </c>
      <c r="K30" s="40"/>
    </row>
    <row r="31" spans="1:11" ht="15" x14ac:dyDescent="0.25">
      <c r="A31" s="6" t="s">
        <v>50</v>
      </c>
      <c r="B31" s="7">
        <f t="shared" si="0"/>
        <v>30</v>
      </c>
      <c r="C31" s="8">
        <v>7</v>
      </c>
      <c r="D31" s="7">
        <v>2022</v>
      </c>
      <c r="E31" s="9"/>
      <c r="F31" s="71">
        <f t="shared" si="1"/>
        <v>7.8100000000000003E-2</v>
      </c>
      <c r="G31" s="9"/>
      <c r="H31" s="10">
        <f t="shared" si="2"/>
        <v>1.08</v>
      </c>
      <c r="I31" s="9"/>
      <c r="J31" s="10">
        <f t="shared" si="3"/>
        <v>4.6500000000000004</v>
      </c>
      <c r="K31" s="40"/>
    </row>
    <row r="32" spans="1:11" ht="15" x14ac:dyDescent="0.25">
      <c r="A32" s="6" t="s">
        <v>50</v>
      </c>
      <c r="B32" s="7">
        <f t="shared" si="0"/>
        <v>31</v>
      </c>
      <c r="C32" s="8">
        <v>7</v>
      </c>
      <c r="D32" s="7">
        <v>2022</v>
      </c>
      <c r="E32" s="9"/>
      <c r="F32" s="71">
        <f t="shared" si="1"/>
        <v>7.8100000000000003E-2</v>
      </c>
      <c r="G32" s="9"/>
      <c r="H32" s="10">
        <f t="shared" si="2"/>
        <v>1.08</v>
      </c>
      <c r="I32" s="9"/>
      <c r="J32" s="10">
        <f t="shared" si="3"/>
        <v>4.6500000000000004</v>
      </c>
      <c r="K32" s="4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workbookViewId="0">
      <selection activeCell="D2" sqref="D2"/>
    </sheetView>
  </sheetViews>
  <sheetFormatPr defaultRowHeight="12.75" x14ac:dyDescent="0.2"/>
  <cols>
    <col min="1" max="1" width="14.570312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1" ht="60" x14ac:dyDescent="0.2">
      <c r="A1" s="1" t="s">
        <v>39</v>
      </c>
      <c r="B1" s="1" t="s">
        <v>40</v>
      </c>
      <c r="C1" s="2" t="s">
        <v>41</v>
      </c>
      <c r="D1" s="1" t="s">
        <v>42</v>
      </c>
      <c r="E1" s="3" t="s">
        <v>43</v>
      </c>
      <c r="F1" s="4" t="s">
        <v>44</v>
      </c>
      <c r="G1" s="3" t="s">
        <v>45</v>
      </c>
      <c r="H1" s="4" t="s">
        <v>46</v>
      </c>
      <c r="I1" s="3" t="s">
        <v>47</v>
      </c>
      <c r="J1" s="5" t="s">
        <v>48</v>
      </c>
      <c r="K1" s="3" t="s">
        <v>49</v>
      </c>
    </row>
    <row r="2" spans="1:11" ht="15" x14ac:dyDescent="0.25">
      <c r="A2" s="6" t="s">
        <v>50</v>
      </c>
      <c r="B2" s="7">
        <v>1</v>
      </c>
      <c r="C2" s="8">
        <v>8</v>
      </c>
      <c r="D2" s="7">
        <v>2022</v>
      </c>
      <c r="E2" s="9"/>
      <c r="F2" s="71">
        <f>DAILY!D7</f>
        <v>7.8100000000000003E-2</v>
      </c>
      <c r="G2" s="9"/>
      <c r="H2" s="10">
        <v>1.08</v>
      </c>
      <c r="I2" s="9"/>
      <c r="J2" s="10">
        <v>4.6500000000000004</v>
      </c>
      <c r="K2" s="72"/>
    </row>
    <row r="3" spans="1:11" ht="15" x14ac:dyDescent="0.25">
      <c r="A3" s="6" t="s">
        <v>50</v>
      </c>
      <c r="B3" s="7">
        <f>B2+1</f>
        <v>2</v>
      </c>
      <c r="C3" s="8">
        <v>8</v>
      </c>
      <c r="D3" s="7">
        <v>2022</v>
      </c>
      <c r="E3" s="9"/>
      <c r="F3" s="71">
        <f>F2</f>
        <v>7.8100000000000003E-2</v>
      </c>
      <c r="G3" s="9"/>
      <c r="H3" s="10">
        <f>H2</f>
        <v>1.08</v>
      </c>
      <c r="I3" s="9"/>
      <c r="J3" s="10">
        <f>J2</f>
        <v>4.6500000000000004</v>
      </c>
      <c r="K3" s="73"/>
    </row>
    <row r="4" spans="1:11" ht="15" x14ac:dyDescent="0.25">
      <c r="A4" s="6" t="s">
        <v>50</v>
      </c>
      <c r="B4" s="7">
        <f t="shared" ref="B4:B32" si="0">B3+1</f>
        <v>3</v>
      </c>
      <c r="C4" s="8">
        <v>8</v>
      </c>
      <c r="D4" s="7">
        <v>2022</v>
      </c>
      <c r="E4" s="9"/>
      <c r="F4" s="71">
        <f t="shared" ref="F4:F32" si="1">F3</f>
        <v>7.8100000000000003E-2</v>
      </c>
      <c r="G4" s="9"/>
      <c r="H4" s="10">
        <f t="shared" ref="H4:H32" si="2">H3</f>
        <v>1.08</v>
      </c>
      <c r="I4" s="9"/>
      <c r="J4" s="10">
        <f t="shared" ref="J4:J32" si="3">J3</f>
        <v>4.6500000000000004</v>
      </c>
      <c r="K4" s="73"/>
    </row>
    <row r="5" spans="1:11" ht="15" x14ac:dyDescent="0.25">
      <c r="A5" s="6" t="s">
        <v>50</v>
      </c>
      <c r="B5" s="7">
        <f t="shared" si="0"/>
        <v>4</v>
      </c>
      <c r="C5" s="8">
        <v>8</v>
      </c>
      <c r="D5" s="7">
        <v>2022</v>
      </c>
      <c r="E5" s="9"/>
      <c r="F5" s="71">
        <f t="shared" si="1"/>
        <v>7.8100000000000003E-2</v>
      </c>
      <c r="G5" s="9"/>
      <c r="H5" s="10">
        <f t="shared" si="2"/>
        <v>1.08</v>
      </c>
      <c r="I5" s="9"/>
      <c r="J5" s="10">
        <f t="shared" si="3"/>
        <v>4.6500000000000004</v>
      </c>
      <c r="K5" s="73"/>
    </row>
    <row r="6" spans="1:11" ht="15" x14ac:dyDescent="0.25">
      <c r="A6" s="6" t="s">
        <v>50</v>
      </c>
      <c r="B6" s="7">
        <f t="shared" si="0"/>
        <v>5</v>
      </c>
      <c r="C6" s="8">
        <v>8</v>
      </c>
      <c r="D6" s="7">
        <v>2022</v>
      </c>
      <c r="E6" s="9"/>
      <c r="F6" s="71">
        <f t="shared" si="1"/>
        <v>7.8100000000000003E-2</v>
      </c>
      <c r="G6" s="9"/>
      <c r="H6" s="10">
        <f t="shared" si="2"/>
        <v>1.08</v>
      </c>
      <c r="I6" s="9"/>
      <c r="J6" s="10">
        <f t="shared" si="3"/>
        <v>4.6500000000000004</v>
      </c>
      <c r="K6" s="73"/>
    </row>
    <row r="7" spans="1:11" ht="15" x14ac:dyDescent="0.25">
      <c r="A7" s="6" t="s">
        <v>50</v>
      </c>
      <c r="B7" s="7">
        <f t="shared" si="0"/>
        <v>6</v>
      </c>
      <c r="C7" s="8">
        <v>8</v>
      </c>
      <c r="D7" s="7">
        <v>2022</v>
      </c>
      <c r="E7" s="9"/>
      <c r="F7" s="71">
        <f t="shared" si="1"/>
        <v>7.8100000000000003E-2</v>
      </c>
      <c r="G7" s="9"/>
      <c r="H7" s="10">
        <f t="shared" si="2"/>
        <v>1.08</v>
      </c>
      <c r="I7" s="9"/>
      <c r="J7" s="10">
        <f t="shared" si="3"/>
        <v>4.6500000000000004</v>
      </c>
      <c r="K7" s="73"/>
    </row>
    <row r="8" spans="1:11" ht="15" x14ac:dyDescent="0.25">
      <c r="A8" s="6" t="s">
        <v>50</v>
      </c>
      <c r="B8" s="7">
        <f t="shared" si="0"/>
        <v>7</v>
      </c>
      <c r="C8" s="8">
        <v>8</v>
      </c>
      <c r="D8" s="7">
        <v>2022</v>
      </c>
      <c r="E8" s="9"/>
      <c r="F8" s="71">
        <f t="shared" si="1"/>
        <v>7.8100000000000003E-2</v>
      </c>
      <c r="G8" s="9"/>
      <c r="H8" s="10">
        <f t="shared" si="2"/>
        <v>1.08</v>
      </c>
      <c r="I8" s="9"/>
      <c r="J8" s="10">
        <f t="shared" si="3"/>
        <v>4.6500000000000004</v>
      </c>
      <c r="K8" s="73"/>
    </row>
    <row r="9" spans="1:11" ht="15" x14ac:dyDescent="0.25">
      <c r="A9" s="6" t="s">
        <v>50</v>
      </c>
      <c r="B9" s="7">
        <f t="shared" si="0"/>
        <v>8</v>
      </c>
      <c r="C9" s="8">
        <v>8</v>
      </c>
      <c r="D9" s="7">
        <v>2022</v>
      </c>
      <c r="E9" s="9"/>
      <c r="F9" s="71">
        <f t="shared" si="1"/>
        <v>7.8100000000000003E-2</v>
      </c>
      <c r="G9" s="9"/>
      <c r="H9" s="10">
        <f t="shared" si="2"/>
        <v>1.08</v>
      </c>
      <c r="I9" s="9"/>
      <c r="J9" s="10">
        <f t="shared" si="3"/>
        <v>4.6500000000000004</v>
      </c>
      <c r="K9" s="73"/>
    </row>
    <row r="10" spans="1:11" ht="15" x14ac:dyDescent="0.25">
      <c r="A10" s="6" t="s">
        <v>50</v>
      </c>
      <c r="B10" s="7">
        <f t="shared" si="0"/>
        <v>9</v>
      </c>
      <c r="C10" s="8">
        <v>8</v>
      </c>
      <c r="D10" s="7">
        <v>2022</v>
      </c>
      <c r="E10" s="9"/>
      <c r="F10" s="71">
        <f t="shared" si="1"/>
        <v>7.8100000000000003E-2</v>
      </c>
      <c r="G10" s="9"/>
      <c r="H10" s="10">
        <f t="shared" si="2"/>
        <v>1.08</v>
      </c>
      <c r="I10" s="9"/>
      <c r="J10" s="10">
        <f t="shared" si="3"/>
        <v>4.6500000000000004</v>
      </c>
      <c r="K10" s="73"/>
    </row>
    <row r="11" spans="1:11" ht="15" x14ac:dyDescent="0.25">
      <c r="A11" s="6" t="s">
        <v>50</v>
      </c>
      <c r="B11" s="7">
        <f t="shared" si="0"/>
        <v>10</v>
      </c>
      <c r="C11" s="8">
        <v>8</v>
      </c>
      <c r="D11" s="7">
        <v>2022</v>
      </c>
      <c r="E11" s="9"/>
      <c r="F11" s="71">
        <f t="shared" si="1"/>
        <v>7.8100000000000003E-2</v>
      </c>
      <c r="G11" s="9"/>
      <c r="H11" s="10">
        <f t="shared" si="2"/>
        <v>1.08</v>
      </c>
      <c r="I11" s="9"/>
      <c r="J11" s="10">
        <f t="shared" si="3"/>
        <v>4.6500000000000004</v>
      </c>
      <c r="K11" s="73"/>
    </row>
    <row r="12" spans="1:11" ht="15" x14ac:dyDescent="0.25">
      <c r="A12" s="6" t="s">
        <v>50</v>
      </c>
      <c r="B12" s="7">
        <f t="shared" si="0"/>
        <v>11</v>
      </c>
      <c r="C12" s="8">
        <v>8</v>
      </c>
      <c r="D12" s="7">
        <v>2022</v>
      </c>
      <c r="E12" s="9"/>
      <c r="F12" s="71">
        <f t="shared" si="1"/>
        <v>7.8100000000000003E-2</v>
      </c>
      <c r="G12" s="9"/>
      <c r="H12" s="10">
        <f t="shared" si="2"/>
        <v>1.08</v>
      </c>
      <c r="I12" s="9"/>
      <c r="J12" s="10">
        <f t="shared" si="3"/>
        <v>4.6500000000000004</v>
      </c>
      <c r="K12" s="73"/>
    </row>
    <row r="13" spans="1:11" ht="15" x14ac:dyDescent="0.25">
      <c r="A13" s="6" t="s">
        <v>50</v>
      </c>
      <c r="B13" s="7">
        <f t="shared" si="0"/>
        <v>12</v>
      </c>
      <c r="C13" s="8">
        <v>8</v>
      </c>
      <c r="D13" s="7">
        <v>2022</v>
      </c>
      <c r="E13" s="9"/>
      <c r="F13" s="71">
        <f t="shared" si="1"/>
        <v>7.8100000000000003E-2</v>
      </c>
      <c r="G13" s="9"/>
      <c r="H13" s="10">
        <f t="shared" si="2"/>
        <v>1.08</v>
      </c>
      <c r="I13" s="9"/>
      <c r="J13" s="10">
        <f t="shared" si="3"/>
        <v>4.6500000000000004</v>
      </c>
      <c r="K13" s="73"/>
    </row>
    <row r="14" spans="1:11" ht="15" x14ac:dyDescent="0.25">
      <c r="A14" s="6" t="s">
        <v>50</v>
      </c>
      <c r="B14" s="7">
        <f t="shared" si="0"/>
        <v>13</v>
      </c>
      <c r="C14" s="8">
        <v>8</v>
      </c>
      <c r="D14" s="7">
        <v>2022</v>
      </c>
      <c r="E14" s="9"/>
      <c r="F14" s="71">
        <f t="shared" si="1"/>
        <v>7.8100000000000003E-2</v>
      </c>
      <c r="G14" s="9"/>
      <c r="H14" s="10">
        <f t="shared" si="2"/>
        <v>1.08</v>
      </c>
      <c r="I14" s="9"/>
      <c r="J14" s="10">
        <f t="shared" si="3"/>
        <v>4.6500000000000004</v>
      </c>
      <c r="K14" s="73"/>
    </row>
    <row r="15" spans="1:11" ht="15" x14ac:dyDescent="0.25">
      <c r="A15" s="6" t="s">
        <v>50</v>
      </c>
      <c r="B15" s="7">
        <f t="shared" si="0"/>
        <v>14</v>
      </c>
      <c r="C15" s="8">
        <v>8</v>
      </c>
      <c r="D15" s="7">
        <v>2022</v>
      </c>
      <c r="E15" s="9"/>
      <c r="F15" s="71">
        <f t="shared" si="1"/>
        <v>7.8100000000000003E-2</v>
      </c>
      <c r="G15" s="9"/>
      <c r="H15" s="10">
        <f t="shared" si="2"/>
        <v>1.08</v>
      </c>
      <c r="I15" s="9"/>
      <c r="J15" s="10">
        <f t="shared" si="3"/>
        <v>4.6500000000000004</v>
      </c>
      <c r="K15" s="73"/>
    </row>
    <row r="16" spans="1:11" ht="15" x14ac:dyDescent="0.25">
      <c r="A16" s="6" t="s">
        <v>50</v>
      </c>
      <c r="B16" s="7">
        <f t="shared" si="0"/>
        <v>15</v>
      </c>
      <c r="C16" s="8">
        <v>8</v>
      </c>
      <c r="D16" s="7">
        <v>2022</v>
      </c>
      <c r="E16" s="9"/>
      <c r="F16" s="71">
        <f t="shared" si="1"/>
        <v>7.8100000000000003E-2</v>
      </c>
      <c r="G16" s="9"/>
      <c r="H16" s="10">
        <f t="shared" si="2"/>
        <v>1.08</v>
      </c>
      <c r="I16" s="9"/>
      <c r="J16" s="10">
        <f t="shared" si="3"/>
        <v>4.6500000000000004</v>
      </c>
      <c r="K16" s="73"/>
    </row>
    <row r="17" spans="1:11" ht="15" x14ac:dyDescent="0.25">
      <c r="A17" s="6" t="s">
        <v>50</v>
      </c>
      <c r="B17" s="7">
        <f t="shared" si="0"/>
        <v>16</v>
      </c>
      <c r="C17" s="8">
        <v>8</v>
      </c>
      <c r="D17" s="7">
        <v>2022</v>
      </c>
      <c r="E17" s="9"/>
      <c r="F17" s="71">
        <f t="shared" si="1"/>
        <v>7.8100000000000003E-2</v>
      </c>
      <c r="G17" s="9"/>
      <c r="H17" s="10">
        <f t="shared" si="2"/>
        <v>1.08</v>
      </c>
      <c r="I17" s="9"/>
      <c r="J17" s="10">
        <f t="shared" si="3"/>
        <v>4.6500000000000004</v>
      </c>
      <c r="K17" s="73"/>
    </row>
    <row r="18" spans="1:11" ht="15" x14ac:dyDescent="0.25">
      <c r="A18" s="6" t="s">
        <v>50</v>
      </c>
      <c r="B18" s="7">
        <f t="shared" si="0"/>
        <v>17</v>
      </c>
      <c r="C18" s="8">
        <v>8</v>
      </c>
      <c r="D18" s="7">
        <v>2022</v>
      </c>
      <c r="E18" s="9"/>
      <c r="F18" s="71">
        <f t="shared" si="1"/>
        <v>7.8100000000000003E-2</v>
      </c>
      <c r="G18" s="9"/>
      <c r="H18" s="10">
        <f t="shared" si="2"/>
        <v>1.08</v>
      </c>
      <c r="I18" s="9"/>
      <c r="J18" s="10">
        <f t="shared" si="3"/>
        <v>4.6500000000000004</v>
      </c>
      <c r="K18" s="73"/>
    </row>
    <row r="19" spans="1:11" ht="15" x14ac:dyDescent="0.25">
      <c r="A19" s="6" t="s">
        <v>50</v>
      </c>
      <c r="B19" s="7">
        <f t="shared" si="0"/>
        <v>18</v>
      </c>
      <c r="C19" s="8">
        <v>8</v>
      </c>
      <c r="D19" s="7">
        <v>2022</v>
      </c>
      <c r="E19" s="9"/>
      <c r="F19" s="71">
        <f t="shared" si="1"/>
        <v>7.8100000000000003E-2</v>
      </c>
      <c r="G19" s="9"/>
      <c r="H19" s="10">
        <f t="shared" si="2"/>
        <v>1.08</v>
      </c>
      <c r="I19" s="9"/>
      <c r="J19" s="10">
        <f t="shared" si="3"/>
        <v>4.6500000000000004</v>
      </c>
      <c r="K19" s="73"/>
    </row>
    <row r="20" spans="1:11" ht="15" x14ac:dyDescent="0.25">
      <c r="A20" s="6" t="s">
        <v>50</v>
      </c>
      <c r="B20" s="7">
        <f t="shared" si="0"/>
        <v>19</v>
      </c>
      <c r="C20" s="8">
        <v>8</v>
      </c>
      <c r="D20" s="7">
        <v>2022</v>
      </c>
      <c r="E20" s="9"/>
      <c r="F20" s="71">
        <f t="shared" si="1"/>
        <v>7.8100000000000003E-2</v>
      </c>
      <c r="G20" s="9"/>
      <c r="H20" s="10">
        <f t="shared" si="2"/>
        <v>1.08</v>
      </c>
      <c r="I20" s="9"/>
      <c r="J20" s="10">
        <f t="shared" si="3"/>
        <v>4.6500000000000004</v>
      </c>
      <c r="K20" s="73"/>
    </row>
    <row r="21" spans="1:11" ht="15" x14ac:dyDescent="0.25">
      <c r="A21" s="6" t="s">
        <v>50</v>
      </c>
      <c r="B21" s="7">
        <f t="shared" si="0"/>
        <v>20</v>
      </c>
      <c r="C21" s="8">
        <v>8</v>
      </c>
      <c r="D21" s="7">
        <v>2022</v>
      </c>
      <c r="E21" s="9"/>
      <c r="F21" s="71">
        <f t="shared" si="1"/>
        <v>7.8100000000000003E-2</v>
      </c>
      <c r="G21" s="9"/>
      <c r="H21" s="10">
        <f t="shared" si="2"/>
        <v>1.08</v>
      </c>
      <c r="I21" s="9"/>
      <c r="J21" s="10">
        <f t="shared" si="3"/>
        <v>4.6500000000000004</v>
      </c>
      <c r="K21" s="73"/>
    </row>
    <row r="22" spans="1:11" ht="15" x14ac:dyDescent="0.25">
      <c r="A22" s="6" t="s">
        <v>50</v>
      </c>
      <c r="B22" s="7">
        <f t="shared" si="0"/>
        <v>21</v>
      </c>
      <c r="C22" s="8">
        <v>8</v>
      </c>
      <c r="D22" s="7">
        <v>2022</v>
      </c>
      <c r="E22" s="9"/>
      <c r="F22" s="71">
        <f t="shared" si="1"/>
        <v>7.8100000000000003E-2</v>
      </c>
      <c r="G22" s="9"/>
      <c r="H22" s="10">
        <f t="shared" si="2"/>
        <v>1.08</v>
      </c>
      <c r="I22" s="9"/>
      <c r="J22" s="10">
        <f t="shared" si="3"/>
        <v>4.6500000000000004</v>
      </c>
      <c r="K22" s="73"/>
    </row>
    <row r="23" spans="1:11" ht="15" x14ac:dyDescent="0.25">
      <c r="A23" s="6" t="s">
        <v>50</v>
      </c>
      <c r="B23" s="7">
        <f t="shared" si="0"/>
        <v>22</v>
      </c>
      <c r="C23" s="8">
        <v>8</v>
      </c>
      <c r="D23" s="7">
        <v>2022</v>
      </c>
      <c r="E23" s="9"/>
      <c r="F23" s="71">
        <f t="shared" si="1"/>
        <v>7.8100000000000003E-2</v>
      </c>
      <c r="G23" s="9"/>
      <c r="H23" s="10">
        <f t="shared" si="2"/>
        <v>1.08</v>
      </c>
      <c r="I23" s="9"/>
      <c r="J23" s="10">
        <f t="shared" si="3"/>
        <v>4.6500000000000004</v>
      </c>
      <c r="K23" s="73"/>
    </row>
    <row r="24" spans="1:11" ht="15" x14ac:dyDescent="0.25">
      <c r="A24" s="6" t="s">
        <v>50</v>
      </c>
      <c r="B24" s="7">
        <f t="shared" si="0"/>
        <v>23</v>
      </c>
      <c r="C24" s="8">
        <v>8</v>
      </c>
      <c r="D24" s="7">
        <v>2022</v>
      </c>
      <c r="E24" s="9"/>
      <c r="F24" s="71">
        <f t="shared" si="1"/>
        <v>7.8100000000000003E-2</v>
      </c>
      <c r="G24" s="9"/>
      <c r="H24" s="10">
        <f t="shared" si="2"/>
        <v>1.08</v>
      </c>
      <c r="I24" s="9"/>
      <c r="J24" s="10">
        <f t="shared" si="3"/>
        <v>4.6500000000000004</v>
      </c>
      <c r="K24" s="73"/>
    </row>
    <row r="25" spans="1:11" ht="15" x14ac:dyDescent="0.25">
      <c r="A25" s="6" t="s">
        <v>50</v>
      </c>
      <c r="B25" s="7">
        <f t="shared" si="0"/>
        <v>24</v>
      </c>
      <c r="C25" s="8">
        <v>8</v>
      </c>
      <c r="D25" s="7">
        <v>2022</v>
      </c>
      <c r="E25" s="9"/>
      <c r="F25" s="71">
        <f t="shared" si="1"/>
        <v>7.8100000000000003E-2</v>
      </c>
      <c r="G25" s="9"/>
      <c r="H25" s="10">
        <f t="shared" si="2"/>
        <v>1.08</v>
      </c>
      <c r="I25" s="9"/>
      <c r="J25" s="10">
        <f t="shared" si="3"/>
        <v>4.6500000000000004</v>
      </c>
      <c r="K25" s="76"/>
    </row>
    <row r="26" spans="1:11" ht="15" x14ac:dyDescent="0.25">
      <c r="A26" s="6" t="s">
        <v>50</v>
      </c>
      <c r="B26" s="7">
        <f>B25+1</f>
        <v>25</v>
      </c>
      <c r="C26" s="8">
        <v>8</v>
      </c>
      <c r="D26" s="7">
        <v>2022</v>
      </c>
      <c r="E26" s="9"/>
      <c r="F26" s="71">
        <f t="shared" si="1"/>
        <v>7.8100000000000003E-2</v>
      </c>
      <c r="G26" s="9"/>
      <c r="H26" s="10">
        <f t="shared" si="2"/>
        <v>1.08</v>
      </c>
      <c r="I26" s="9"/>
      <c r="J26" s="10">
        <f t="shared" si="3"/>
        <v>4.6500000000000004</v>
      </c>
      <c r="K26" s="76"/>
    </row>
    <row r="27" spans="1:11" ht="15" x14ac:dyDescent="0.25">
      <c r="A27" s="6" t="s">
        <v>50</v>
      </c>
      <c r="B27" s="7">
        <f t="shared" si="0"/>
        <v>26</v>
      </c>
      <c r="C27" s="8">
        <v>8</v>
      </c>
      <c r="D27" s="7">
        <v>2022</v>
      </c>
      <c r="E27" s="9"/>
      <c r="F27" s="71">
        <f t="shared" si="1"/>
        <v>7.8100000000000003E-2</v>
      </c>
      <c r="G27" s="9"/>
      <c r="H27" s="10">
        <f t="shared" si="2"/>
        <v>1.08</v>
      </c>
      <c r="I27" s="9"/>
      <c r="J27" s="10">
        <f t="shared" si="3"/>
        <v>4.6500000000000004</v>
      </c>
      <c r="K27" s="76"/>
    </row>
    <row r="28" spans="1:11" ht="15" x14ac:dyDescent="0.25">
      <c r="A28" s="6" t="s">
        <v>50</v>
      </c>
      <c r="B28" s="7">
        <f t="shared" si="0"/>
        <v>27</v>
      </c>
      <c r="C28" s="8">
        <v>8</v>
      </c>
      <c r="D28" s="7">
        <v>2022</v>
      </c>
      <c r="E28" s="9"/>
      <c r="F28" s="71">
        <f t="shared" si="1"/>
        <v>7.8100000000000003E-2</v>
      </c>
      <c r="G28" s="9"/>
      <c r="H28" s="10">
        <f t="shared" si="2"/>
        <v>1.08</v>
      </c>
      <c r="I28" s="9"/>
      <c r="J28" s="10">
        <f t="shared" si="3"/>
        <v>4.6500000000000004</v>
      </c>
      <c r="K28" s="76"/>
    </row>
    <row r="29" spans="1:11" ht="15" x14ac:dyDescent="0.25">
      <c r="A29" s="6" t="s">
        <v>50</v>
      </c>
      <c r="B29" s="7">
        <f t="shared" si="0"/>
        <v>28</v>
      </c>
      <c r="C29" s="8">
        <v>8</v>
      </c>
      <c r="D29" s="7">
        <v>2022</v>
      </c>
      <c r="E29" s="9"/>
      <c r="F29" s="71">
        <f t="shared" si="1"/>
        <v>7.8100000000000003E-2</v>
      </c>
      <c r="G29" s="9"/>
      <c r="H29" s="10">
        <f t="shared" si="2"/>
        <v>1.08</v>
      </c>
      <c r="I29" s="9"/>
      <c r="J29" s="10">
        <f t="shared" si="3"/>
        <v>4.6500000000000004</v>
      </c>
      <c r="K29" s="76"/>
    </row>
    <row r="30" spans="1:11" ht="15" x14ac:dyDescent="0.25">
      <c r="A30" s="6" t="s">
        <v>50</v>
      </c>
      <c r="B30" s="7">
        <f t="shared" si="0"/>
        <v>29</v>
      </c>
      <c r="C30" s="8">
        <v>8</v>
      </c>
      <c r="D30" s="7">
        <v>2022</v>
      </c>
      <c r="E30" s="9"/>
      <c r="F30" s="71">
        <f t="shared" si="1"/>
        <v>7.8100000000000003E-2</v>
      </c>
      <c r="G30" s="9"/>
      <c r="H30" s="10">
        <f t="shared" si="2"/>
        <v>1.08</v>
      </c>
      <c r="I30" s="9"/>
      <c r="J30" s="10">
        <f t="shared" si="3"/>
        <v>4.6500000000000004</v>
      </c>
      <c r="K30" s="76"/>
    </row>
    <row r="31" spans="1:11" ht="15" x14ac:dyDescent="0.25">
      <c r="A31" s="6" t="s">
        <v>50</v>
      </c>
      <c r="B31" s="7">
        <f t="shared" si="0"/>
        <v>30</v>
      </c>
      <c r="C31" s="8">
        <v>8</v>
      </c>
      <c r="D31" s="7">
        <v>2022</v>
      </c>
      <c r="E31" s="9"/>
      <c r="F31" s="71">
        <f t="shared" si="1"/>
        <v>7.8100000000000003E-2</v>
      </c>
      <c r="G31" s="9"/>
      <c r="H31" s="10">
        <f t="shared" si="2"/>
        <v>1.08</v>
      </c>
      <c r="I31" s="9"/>
      <c r="J31" s="10">
        <f t="shared" si="3"/>
        <v>4.6500000000000004</v>
      </c>
      <c r="K31" s="76"/>
    </row>
    <row r="32" spans="1:11" ht="15" x14ac:dyDescent="0.25">
      <c r="A32" s="6" t="s">
        <v>50</v>
      </c>
      <c r="B32" s="7">
        <f t="shared" si="0"/>
        <v>31</v>
      </c>
      <c r="C32" s="8">
        <v>8</v>
      </c>
      <c r="D32" s="7">
        <v>2022</v>
      </c>
      <c r="E32" s="9"/>
      <c r="F32" s="71">
        <f t="shared" si="1"/>
        <v>7.8100000000000003E-2</v>
      </c>
      <c r="G32" s="9"/>
      <c r="H32" s="10">
        <f t="shared" si="2"/>
        <v>1.08</v>
      </c>
      <c r="I32" s="9"/>
      <c r="J32" s="10">
        <f t="shared" si="3"/>
        <v>4.6500000000000004</v>
      </c>
      <c r="K32" s="77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"/>
  <sheetViews>
    <sheetView topLeftCell="A13" workbookViewId="0">
      <selection activeCell="D2" sqref="D2"/>
    </sheetView>
  </sheetViews>
  <sheetFormatPr defaultRowHeight="12.75" x14ac:dyDescent="0.2"/>
  <cols>
    <col min="1" max="1" width="14.570312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1" ht="60" x14ac:dyDescent="0.2">
      <c r="A1" s="1" t="s">
        <v>39</v>
      </c>
      <c r="B1" s="1" t="s">
        <v>40</v>
      </c>
      <c r="C1" s="2" t="s">
        <v>41</v>
      </c>
      <c r="D1" s="1" t="s">
        <v>42</v>
      </c>
      <c r="E1" s="3" t="s">
        <v>43</v>
      </c>
      <c r="F1" s="4" t="s">
        <v>44</v>
      </c>
      <c r="G1" s="3" t="s">
        <v>45</v>
      </c>
      <c r="H1" s="4" t="s">
        <v>46</v>
      </c>
      <c r="I1" s="3" t="s">
        <v>47</v>
      </c>
      <c r="J1" s="5" t="s">
        <v>48</v>
      </c>
      <c r="K1" s="3" t="s">
        <v>49</v>
      </c>
    </row>
    <row r="2" spans="1:11" ht="15" x14ac:dyDescent="0.25">
      <c r="A2" s="6" t="s">
        <v>50</v>
      </c>
      <c r="B2" s="7">
        <v>1</v>
      </c>
      <c r="C2" s="8">
        <v>9</v>
      </c>
      <c r="D2" s="7">
        <v>2022</v>
      </c>
      <c r="E2" s="9"/>
      <c r="F2" s="71">
        <f>DAILY!D7</f>
        <v>7.8100000000000003E-2</v>
      </c>
      <c r="G2" s="9"/>
      <c r="H2" s="10">
        <v>1.08</v>
      </c>
      <c r="I2" s="9"/>
      <c r="J2" s="10">
        <v>4.6500000000000004</v>
      </c>
      <c r="K2" s="72"/>
    </row>
    <row r="3" spans="1:11" ht="15" x14ac:dyDescent="0.25">
      <c r="A3" s="6" t="s">
        <v>50</v>
      </c>
      <c r="B3" s="7">
        <f>B2+1</f>
        <v>2</v>
      </c>
      <c r="C3" s="8">
        <v>9</v>
      </c>
      <c r="D3" s="7">
        <v>2022</v>
      </c>
      <c r="E3" s="9"/>
      <c r="F3" s="71">
        <f>F2</f>
        <v>7.8100000000000003E-2</v>
      </c>
      <c r="G3" s="9"/>
      <c r="H3" s="10">
        <f>H2</f>
        <v>1.08</v>
      </c>
      <c r="I3" s="9"/>
      <c r="J3" s="10">
        <f>J2</f>
        <v>4.6500000000000004</v>
      </c>
      <c r="K3" s="73"/>
    </row>
    <row r="4" spans="1:11" ht="15" x14ac:dyDescent="0.25">
      <c r="A4" s="6" t="s">
        <v>50</v>
      </c>
      <c r="B4" s="7">
        <f t="shared" ref="B4:B31" si="0">B3+1</f>
        <v>3</v>
      </c>
      <c r="C4" s="8">
        <v>9</v>
      </c>
      <c r="D4" s="7">
        <v>2022</v>
      </c>
      <c r="E4" s="9"/>
      <c r="F4" s="71">
        <f t="shared" ref="F4:F31" si="1">F3</f>
        <v>7.8100000000000003E-2</v>
      </c>
      <c r="G4" s="9"/>
      <c r="H4" s="10">
        <f t="shared" ref="H4:H31" si="2">H3</f>
        <v>1.08</v>
      </c>
      <c r="I4" s="9"/>
      <c r="J4" s="10">
        <f t="shared" ref="J4:J31" si="3">J3</f>
        <v>4.6500000000000004</v>
      </c>
      <c r="K4" s="73"/>
    </row>
    <row r="5" spans="1:11" ht="15" x14ac:dyDescent="0.25">
      <c r="A5" s="6" t="s">
        <v>50</v>
      </c>
      <c r="B5" s="7">
        <f t="shared" si="0"/>
        <v>4</v>
      </c>
      <c r="C5" s="8">
        <v>9</v>
      </c>
      <c r="D5" s="7">
        <v>2022</v>
      </c>
      <c r="E5" s="9"/>
      <c r="F5" s="71">
        <f t="shared" si="1"/>
        <v>7.8100000000000003E-2</v>
      </c>
      <c r="G5" s="9"/>
      <c r="H5" s="10">
        <f t="shared" si="2"/>
        <v>1.08</v>
      </c>
      <c r="I5" s="9"/>
      <c r="J5" s="10">
        <f t="shared" si="3"/>
        <v>4.6500000000000004</v>
      </c>
      <c r="K5" s="73"/>
    </row>
    <row r="6" spans="1:11" ht="15" x14ac:dyDescent="0.25">
      <c r="A6" s="6" t="s">
        <v>50</v>
      </c>
      <c r="B6" s="7">
        <f t="shared" si="0"/>
        <v>5</v>
      </c>
      <c r="C6" s="8">
        <v>9</v>
      </c>
      <c r="D6" s="7">
        <v>2022</v>
      </c>
      <c r="E6" s="9"/>
      <c r="F6" s="71">
        <f t="shared" si="1"/>
        <v>7.8100000000000003E-2</v>
      </c>
      <c r="G6" s="9"/>
      <c r="H6" s="10">
        <f t="shared" si="2"/>
        <v>1.08</v>
      </c>
      <c r="I6" s="9"/>
      <c r="J6" s="10">
        <f t="shared" si="3"/>
        <v>4.6500000000000004</v>
      </c>
      <c r="K6" s="73"/>
    </row>
    <row r="7" spans="1:11" ht="15" x14ac:dyDescent="0.25">
      <c r="A7" s="6" t="s">
        <v>50</v>
      </c>
      <c r="B7" s="7">
        <f t="shared" si="0"/>
        <v>6</v>
      </c>
      <c r="C7" s="8">
        <v>9</v>
      </c>
      <c r="D7" s="7">
        <v>2022</v>
      </c>
      <c r="E7" s="9"/>
      <c r="F7" s="71">
        <f t="shared" si="1"/>
        <v>7.8100000000000003E-2</v>
      </c>
      <c r="G7" s="9"/>
      <c r="H7" s="10">
        <f t="shared" si="2"/>
        <v>1.08</v>
      </c>
      <c r="I7" s="9"/>
      <c r="J7" s="10">
        <f t="shared" si="3"/>
        <v>4.6500000000000004</v>
      </c>
      <c r="K7" s="73"/>
    </row>
    <row r="8" spans="1:11" ht="15" x14ac:dyDescent="0.25">
      <c r="A8" s="6" t="s">
        <v>50</v>
      </c>
      <c r="B8" s="7">
        <f t="shared" si="0"/>
        <v>7</v>
      </c>
      <c r="C8" s="8">
        <v>9</v>
      </c>
      <c r="D8" s="7">
        <v>2022</v>
      </c>
      <c r="E8" s="9"/>
      <c r="F8" s="71">
        <f t="shared" si="1"/>
        <v>7.8100000000000003E-2</v>
      </c>
      <c r="G8" s="9"/>
      <c r="H8" s="10">
        <f t="shared" si="2"/>
        <v>1.08</v>
      </c>
      <c r="I8" s="9"/>
      <c r="J8" s="10">
        <f t="shared" si="3"/>
        <v>4.6500000000000004</v>
      </c>
      <c r="K8" s="73"/>
    </row>
    <row r="9" spans="1:11" ht="15" x14ac:dyDescent="0.25">
      <c r="A9" s="6" t="s">
        <v>50</v>
      </c>
      <c r="B9" s="7">
        <f t="shared" si="0"/>
        <v>8</v>
      </c>
      <c r="C9" s="8">
        <v>9</v>
      </c>
      <c r="D9" s="7">
        <v>2022</v>
      </c>
      <c r="E9" s="9"/>
      <c r="F9" s="71">
        <f t="shared" si="1"/>
        <v>7.8100000000000003E-2</v>
      </c>
      <c r="G9" s="9"/>
      <c r="H9" s="10">
        <f t="shared" si="2"/>
        <v>1.08</v>
      </c>
      <c r="I9" s="9"/>
      <c r="J9" s="10">
        <f t="shared" si="3"/>
        <v>4.6500000000000004</v>
      </c>
      <c r="K9" s="73"/>
    </row>
    <row r="10" spans="1:11" ht="15" x14ac:dyDescent="0.25">
      <c r="A10" s="6" t="s">
        <v>50</v>
      </c>
      <c r="B10" s="7">
        <f t="shared" si="0"/>
        <v>9</v>
      </c>
      <c r="C10" s="8">
        <v>9</v>
      </c>
      <c r="D10" s="7">
        <v>2022</v>
      </c>
      <c r="E10" s="9"/>
      <c r="F10" s="71">
        <f t="shared" si="1"/>
        <v>7.8100000000000003E-2</v>
      </c>
      <c r="G10" s="9"/>
      <c r="H10" s="10">
        <f t="shared" si="2"/>
        <v>1.08</v>
      </c>
      <c r="I10" s="9"/>
      <c r="J10" s="10">
        <f t="shared" si="3"/>
        <v>4.6500000000000004</v>
      </c>
      <c r="K10" s="73"/>
    </row>
    <row r="11" spans="1:11" ht="15" x14ac:dyDescent="0.25">
      <c r="A11" s="6" t="s">
        <v>50</v>
      </c>
      <c r="B11" s="7">
        <f t="shared" si="0"/>
        <v>10</v>
      </c>
      <c r="C11" s="8">
        <v>9</v>
      </c>
      <c r="D11" s="7">
        <v>2022</v>
      </c>
      <c r="E11" s="9"/>
      <c r="F11" s="71">
        <f t="shared" si="1"/>
        <v>7.8100000000000003E-2</v>
      </c>
      <c r="G11" s="9"/>
      <c r="H11" s="10">
        <f t="shared" si="2"/>
        <v>1.08</v>
      </c>
      <c r="I11" s="9"/>
      <c r="J11" s="10">
        <f t="shared" si="3"/>
        <v>4.6500000000000004</v>
      </c>
      <c r="K11" s="73"/>
    </row>
    <row r="12" spans="1:11" ht="15" x14ac:dyDescent="0.25">
      <c r="A12" s="6" t="s">
        <v>50</v>
      </c>
      <c r="B12" s="7">
        <f t="shared" si="0"/>
        <v>11</v>
      </c>
      <c r="C12" s="8">
        <v>9</v>
      </c>
      <c r="D12" s="7">
        <v>2022</v>
      </c>
      <c r="E12" s="9"/>
      <c r="F12" s="71">
        <f t="shared" si="1"/>
        <v>7.8100000000000003E-2</v>
      </c>
      <c r="G12" s="9"/>
      <c r="H12" s="10">
        <f t="shared" si="2"/>
        <v>1.08</v>
      </c>
      <c r="I12" s="9"/>
      <c r="J12" s="10">
        <f t="shared" si="3"/>
        <v>4.6500000000000004</v>
      </c>
      <c r="K12" s="73"/>
    </row>
    <row r="13" spans="1:11" ht="15" x14ac:dyDescent="0.25">
      <c r="A13" s="6" t="s">
        <v>50</v>
      </c>
      <c r="B13" s="7">
        <f t="shared" si="0"/>
        <v>12</v>
      </c>
      <c r="C13" s="8">
        <v>9</v>
      </c>
      <c r="D13" s="7">
        <v>2022</v>
      </c>
      <c r="E13" s="9"/>
      <c r="F13" s="71">
        <f t="shared" si="1"/>
        <v>7.8100000000000003E-2</v>
      </c>
      <c r="G13" s="9"/>
      <c r="H13" s="10">
        <f t="shared" si="2"/>
        <v>1.08</v>
      </c>
      <c r="I13" s="9"/>
      <c r="J13" s="10">
        <f t="shared" si="3"/>
        <v>4.6500000000000004</v>
      </c>
      <c r="K13" s="73"/>
    </row>
    <row r="14" spans="1:11" ht="15" x14ac:dyDescent="0.25">
      <c r="A14" s="6" t="s">
        <v>50</v>
      </c>
      <c r="B14" s="7">
        <f t="shared" si="0"/>
        <v>13</v>
      </c>
      <c r="C14" s="8">
        <v>9</v>
      </c>
      <c r="D14" s="7">
        <v>2022</v>
      </c>
      <c r="E14" s="9"/>
      <c r="F14" s="71">
        <f t="shared" si="1"/>
        <v>7.8100000000000003E-2</v>
      </c>
      <c r="G14" s="9"/>
      <c r="H14" s="10">
        <f t="shared" si="2"/>
        <v>1.08</v>
      </c>
      <c r="I14" s="9"/>
      <c r="J14" s="10">
        <f t="shared" si="3"/>
        <v>4.6500000000000004</v>
      </c>
      <c r="K14" s="73"/>
    </row>
    <row r="15" spans="1:11" ht="15" x14ac:dyDescent="0.25">
      <c r="A15" s="6" t="s">
        <v>50</v>
      </c>
      <c r="B15" s="7">
        <f t="shared" si="0"/>
        <v>14</v>
      </c>
      <c r="C15" s="8">
        <v>9</v>
      </c>
      <c r="D15" s="7">
        <v>2022</v>
      </c>
      <c r="E15" s="9"/>
      <c r="F15" s="71">
        <f t="shared" si="1"/>
        <v>7.8100000000000003E-2</v>
      </c>
      <c r="G15" s="9"/>
      <c r="H15" s="10">
        <f t="shared" si="2"/>
        <v>1.08</v>
      </c>
      <c r="I15" s="9"/>
      <c r="J15" s="10">
        <f t="shared" si="3"/>
        <v>4.6500000000000004</v>
      </c>
      <c r="K15" s="73"/>
    </row>
    <row r="16" spans="1:11" ht="15" x14ac:dyDescent="0.25">
      <c r="A16" s="6" t="s">
        <v>50</v>
      </c>
      <c r="B16" s="7">
        <f t="shared" si="0"/>
        <v>15</v>
      </c>
      <c r="C16" s="8">
        <v>9</v>
      </c>
      <c r="D16" s="7">
        <v>2022</v>
      </c>
      <c r="E16" s="9"/>
      <c r="F16" s="71">
        <f t="shared" si="1"/>
        <v>7.8100000000000003E-2</v>
      </c>
      <c r="G16" s="9"/>
      <c r="H16" s="10">
        <f t="shared" si="2"/>
        <v>1.08</v>
      </c>
      <c r="I16" s="9"/>
      <c r="J16" s="10">
        <f t="shared" si="3"/>
        <v>4.6500000000000004</v>
      </c>
      <c r="K16" s="73"/>
    </row>
    <row r="17" spans="1:11" ht="15" x14ac:dyDescent="0.25">
      <c r="A17" s="6" t="s">
        <v>50</v>
      </c>
      <c r="B17" s="7">
        <f t="shared" si="0"/>
        <v>16</v>
      </c>
      <c r="C17" s="8">
        <v>9</v>
      </c>
      <c r="D17" s="7">
        <v>2022</v>
      </c>
      <c r="E17" s="9"/>
      <c r="F17" s="71">
        <f t="shared" si="1"/>
        <v>7.8100000000000003E-2</v>
      </c>
      <c r="G17" s="9"/>
      <c r="H17" s="10">
        <f t="shared" si="2"/>
        <v>1.08</v>
      </c>
      <c r="I17" s="9"/>
      <c r="J17" s="10">
        <f t="shared" si="3"/>
        <v>4.6500000000000004</v>
      </c>
      <c r="K17" s="73"/>
    </row>
    <row r="18" spans="1:11" ht="15" x14ac:dyDescent="0.25">
      <c r="A18" s="6" t="s">
        <v>50</v>
      </c>
      <c r="B18" s="7">
        <f t="shared" si="0"/>
        <v>17</v>
      </c>
      <c r="C18" s="8">
        <v>9</v>
      </c>
      <c r="D18" s="7">
        <v>2022</v>
      </c>
      <c r="E18" s="9"/>
      <c r="F18" s="71">
        <f t="shared" si="1"/>
        <v>7.8100000000000003E-2</v>
      </c>
      <c r="G18" s="9"/>
      <c r="H18" s="10">
        <f t="shared" si="2"/>
        <v>1.08</v>
      </c>
      <c r="I18" s="9"/>
      <c r="J18" s="10">
        <f t="shared" si="3"/>
        <v>4.6500000000000004</v>
      </c>
      <c r="K18" s="73"/>
    </row>
    <row r="19" spans="1:11" ht="15" x14ac:dyDescent="0.25">
      <c r="A19" s="6" t="s">
        <v>50</v>
      </c>
      <c r="B19" s="7">
        <f t="shared" si="0"/>
        <v>18</v>
      </c>
      <c r="C19" s="8">
        <v>9</v>
      </c>
      <c r="D19" s="7">
        <v>2022</v>
      </c>
      <c r="E19" s="9"/>
      <c r="F19" s="71">
        <f t="shared" si="1"/>
        <v>7.8100000000000003E-2</v>
      </c>
      <c r="G19" s="9"/>
      <c r="H19" s="10">
        <f t="shared" si="2"/>
        <v>1.08</v>
      </c>
      <c r="I19" s="9"/>
      <c r="J19" s="10">
        <f t="shared" si="3"/>
        <v>4.6500000000000004</v>
      </c>
      <c r="K19" s="73"/>
    </row>
    <row r="20" spans="1:11" ht="15" x14ac:dyDescent="0.25">
      <c r="A20" s="6" t="s">
        <v>50</v>
      </c>
      <c r="B20" s="7">
        <f t="shared" si="0"/>
        <v>19</v>
      </c>
      <c r="C20" s="8">
        <v>9</v>
      </c>
      <c r="D20" s="7">
        <v>2022</v>
      </c>
      <c r="E20" s="9"/>
      <c r="F20" s="71">
        <f t="shared" si="1"/>
        <v>7.8100000000000003E-2</v>
      </c>
      <c r="G20" s="9"/>
      <c r="H20" s="10">
        <f t="shared" si="2"/>
        <v>1.08</v>
      </c>
      <c r="I20" s="9"/>
      <c r="J20" s="10">
        <f t="shared" si="3"/>
        <v>4.6500000000000004</v>
      </c>
      <c r="K20" s="73"/>
    </row>
    <row r="21" spans="1:11" ht="15" x14ac:dyDescent="0.25">
      <c r="A21" s="6" t="s">
        <v>50</v>
      </c>
      <c r="B21" s="7">
        <f t="shared" si="0"/>
        <v>20</v>
      </c>
      <c r="C21" s="8">
        <v>9</v>
      </c>
      <c r="D21" s="7">
        <v>2022</v>
      </c>
      <c r="E21" s="9"/>
      <c r="F21" s="71">
        <f t="shared" si="1"/>
        <v>7.8100000000000003E-2</v>
      </c>
      <c r="G21" s="9"/>
      <c r="H21" s="10">
        <f t="shared" si="2"/>
        <v>1.08</v>
      </c>
      <c r="I21" s="9"/>
      <c r="J21" s="10">
        <f t="shared" si="3"/>
        <v>4.6500000000000004</v>
      </c>
      <c r="K21" s="73"/>
    </row>
    <row r="22" spans="1:11" ht="15" x14ac:dyDescent="0.25">
      <c r="A22" s="6" t="s">
        <v>50</v>
      </c>
      <c r="B22" s="7">
        <f t="shared" si="0"/>
        <v>21</v>
      </c>
      <c r="C22" s="8">
        <v>9</v>
      </c>
      <c r="D22" s="7">
        <v>2022</v>
      </c>
      <c r="E22" s="9"/>
      <c r="F22" s="71">
        <f t="shared" si="1"/>
        <v>7.8100000000000003E-2</v>
      </c>
      <c r="G22" s="9"/>
      <c r="H22" s="10">
        <f t="shared" si="2"/>
        <v>1.08</v>
      </c>
      <c r="I22" s="9"/>
      <c r="J22" s="10">
        <f t="shared" si="3"/>
        <v>4.6500000000000004</v>
      </c>
      <c r="K22" s="73"/>
    </row>
    <row r="23" spans="1:11" ht="15" x14ac:dyDescent="0.25">
      <c r="A23" s="6" t="s">
        <v>50</v>
      </c>
      <c r="B23" s="7">
        <f t="shared" si="0"/>
        <v>22</v>
      </c>
      <c r="C23" s="8">
        <v>9</v>
      </c>
      <c r="D23" s="7">
        <v>2022</v>
      </c>
      <c r="E23" s="9"/>
      <c r="F23" s="71">
        <f t="shared" si="1"/>
        <v>7.8100000000000003E-2</v>
      </c>
      <c r="G23" s="9"/>
      <c r="H23" s="10">
        <f t="shared" si="2"/>
        <v>1.08</v>
      </c>
      <c r="I23" s="9"/>
      <c r="J23" s="10">
        <f t="shared" si="3"/>
        <v>4.6500000000000004</v>
      </c>
      <c r="K23" s="73"/>
    </row>
    <row r="24" spans="1:11" ht="15" x14ac:dyDescent="0.25">
      <c r="A24" s="6" t="s">
        <v>50</v>
      </c>
      <c r="B24" s="7">
        <f t="shared" si="0"/>
        <v>23</v>
      </c>
      <c r="C24" s="8">
        <v>9</v>
      </c>
      <c r="D24" s="7">
        <v>2022</v>
      </c>
      <c r="E24" s="9"/>
      <c r="F24" s="71">
        <f t="shared" si="1"/>
        <v>7.8100000000000003E-2</v>
      </c>
      <c r="G24" s="9"/>
      <c r="H24" s="10">
        <f t="shared" si="2"/>
        <v>1.08</v>
      </c>
      <c r="I24" s="9"/>
      <c r="J24" s="10">
        <f t="shared" si="3"/>
        <v>4.6500000000000004</v>
      </c>
      <c r="K24" s="73"/>
    </row>
    <row r="25" spans="1:11" ht="15" x14ac:dyDescent="0.25">
      <c r="A25" s="6" t="s">
        <v>50</v>
      </c>
      <c r="B25" s="7">
        <f t="shared" si="0"/>
        <v>24</v>
      </c>
      <c r="C25" s="8">
        <v>9</v>
      </c>
      <c r="D25" s="7">
        <v>2022</v>
      </c>
      <c r="E25" s="9"/>
      <c r="F25" s="71">
        <f t="shared" si="1"/>
        <v>7.8100000000000003E-2</v>
      </c>
      <c r="G25" s="9"/>
      <c r="H25" s="10">
        <f t="shared" si="2"/>
        <v>1.08</v>
      </c>
      <c r="I25" s="9"/>
      <c r="J25" s="10">
        <f t="shared" si="3"/>
        <v>4.6500000000000004</v>
      </c>
      <c r="K25" s="76"/>
    </row>
    <row r="26" spans="1:11" ht="15" x14ac:dyDescent="0.25">
      <c r="A26" s="6" t="s">
        <v>50</v>
      </c>
      <c r="B26" s="7">
        <f>B25+1</f>
        <v>25</v>
      </c>
      <c r="C26" s="8">
        <v>9</v>
      </c>
      <c r="D26" s="7">
        <v>2022</v>
      </c>
      <c r="E26" s="9"/>
      <c r="F26" s="71">
        <f t="shared" si="1"/>
        <v>7.8100000000000003E-2</v>
      </c>
      <c r="G26" s="9"/>
      <c r="H26" s="10">
        <f t="shared" si="2"/>
        <v>1.08</v>
      </c>
      <c r="I26" s="9"/>
      <c r="J26" s="10">
        <f t="shared" si="3"/>
        <v>4.6500000000000004</v>
      </c>
      <c r="K26" s="76"/>
    </row>
    <row r="27" spans="1:11" ht="15" x14ac:dyDescent="0.25">
      <c r="A27" s="6" t="s">
        <v>50</v>
      </c>
      <c r="B27" s="7">
        <f t="shared" si="0"/>
        <v>26</v>
      </c>
      <c r="C27" s="8">
        <v>9</v>
      </c>
      <c r="D27" s="7">
        <v>2022</v>
      </c>
      <c r="E27" s="9"/>
      <c r="F27" s="71">
        <f t="shared" si="1"/>
        <v>7.8100000000000003E-2</v>
      </c>
      <c r="G27" s="9"/>
      <c r="H27" s="10">
        <f t="shared" si="2"/>
        <v>1.08</v>
      </c>
      <c r="I27" s="9"/>
      <c r="J27" s="10">
        <f t="shared" si="3"/>
        <v>4.6500000000000004</v>
      </c>
      <c r="K27" s="76"/>
    </row>
    <row r="28" spans="1:11" ht="15" x14ac:dyDescent="0.25">
      <c r="A28" s="6" t="s">
        <v>50</v>
      </c>
      <c r="B28" s="7">
        <f t="shared" si="0"/>
        <v>27</v>
      </c>
      <c r="C28" s="8">
        <v>9</v>
      </c>
      <c r="D28" s="7">
        <v>2022</v>
      </c>
      <c r="E28" s="9"/>
      <c r="F28" s="71">
        <f t="shared" si="1"/>
        <v>7.8100000000000003E-2</v>
      </c>
      <c r="G28" s="9"/>
      <c r="H28" s="10">
        <f t="shared" si="2"/>
        <v>1.08</v>
      </c>
      <c r="I28" s="9"/>
      <c r="J28" s="10">
        <f t="shared" si="3"/>
        <v>4.6500000000000004</v>
      </c>
      <c r="K28" s="76"/>
    </row>
    <row r="29" spans="1:11" ht="15" x14ac:dyDescent="0.25">
      <c r="A29" s="6" t="s">
        <v>50</v>
      </c>
      <c r="B29" s="7">
        <f t="shared" si="0"/>
        <v>28</v>
      </c>
      <c r="C29" s="8">
        <v>9</v>
      </c>
      <c r="D29" s="7">
        <v>2022</v>
      </c>
      <c r="E29" s="9"/>
      <c r="F29" s="71">
        <f t="shared" si="1"/>
        <v>7.8100000000000003E-2</v>
      </c>
      <c r="G29" s="9"/>
      <c r="H29" s="10">
        <f t="shared" si="2"/>
        <v>1.08</v>
      </c>
      <c r="I29" s="9"/>
      <c r="J29" s="10">
        <f t="shared" si="3"/>
        <v>4.6500000000000004</v>
      </c>
      <c r="K29" s="76"/>
    </row>
    <row r="30" spans="1:11" ht="15" x14ac:dyDescent="0.25">
      <c r="A30" s="6" t="s">
        <v>50</v>
      </c>
      <c r="B30" s="7">
        <f t="shared" si="0"/>
        <v>29</v>
      </c>
      <c r="C30" s="8">
        <v>9</v>
      </c>
      <c r="D30" s="7">
        <v>2022</v>
      </c>
      <c r="E30" s="9"/>
      <c r="F30" s="71">
        <f t="shared" si="1"/>
        <v>7.8100000000000003E-2</v>
      </c>
      <c r="G30" s="9"/>
      <c r="H30" s="10">
        <f t="shared" si="2"/>
        <v>1.08</v>
      </c>
      <c r="I30" s="9"/>
      <c r="J30" s="10">
        <f t="shared" si="3"/>
        <v>4.6500000000000004</v>
      </c>
      <c r="K30" s="76"/>
    </row>
    <row r="31" spans="1:11" ht="15" x14ac:dyDescent="0.25">
      <c r="A31" s="6" t="s">
        <v>50</v>
      </c>
      <c r="B31" s="7">
        <f t="shared" si="0"/>
        <v>30</v>
      </c>
      <c r="C31" s="8">
        <v>9</v>
      </c>
      <c r="D31" s="7">
        <v>2022</v>
      </c>
      <c r="E31" s="9"/>
      <c r="F31" s="71">
        <f t="shared" si="1"/>
        <v>7.8100000000000003E-2</v>
      </c>
      <c r="G31" s="9"/>
      <c r="H31" s="10">
        <f t="shared" si="2"/>
        <v>1.08</v>
      </c>
      <c r="I31" s="9"/>
      <c r="J31" s="10">
        <f t="shared" si="3"/>
        <v>4.6500000000000004</v>
      </c>
      <c r="K31" s="76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workbookViewId="0">
      <selection activeCell="D2" sqref="D2"/>
    </sheetView>
  </sheetViews>
  <sheetFormatPr defaultRowHeight="12.75" x14ac:dyDescent="0.2"/>
  <cols>
    <col min="1" max="1" width="14.570312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1" ht="60" x14ac:dyDescent="0.2">
      <c r="A1" s="1" t="s">
        <v>39</v>
      </c>
      <c r="B1" s="1" t="s">
        <v>40</v>
      </c>
      <c r="C1" s="2" t="s">
        <v>41</v>
      </c>
      <c r="D1" s="1" t="s">
        <v>42</v>
      </c>
      <c r="E1" s="3" t="s">
        <v>43</v>
      </c>
      <c r="F1" s="4" t="s">
        <v>44</v>
      </c>
      <c r="G1" s="3" t="s">
        <v>45</v>
      </c>
      <c r="H1" s="4" t="s">
        <v>46</v>
      </c>
      <c r="I1" s="3" t="s">
        <v>47</v>
      </c>
      <c r="J1" s="5" t="s">
        <v>48</v>
      </c>
      <c r="K1" s="3" t="s">
        <v>49</v>
      </c>
    </row>
    <row r="2" spans="1:11" ht="15" x14ac:dyDescent="0.25">
      <c r="A2" s="6" t="s">
        <v>50</v>
      </c>
      <c r="B2" s="7">
        <v>1</v>
      </c>
      <c r="C2" s="8">
        <v>10</v>
      </c>
      <c r="D2" s="7">
        <v>2022</v>
      </c>
      <c r="E2" s="9"/>
      <c r="F2" s="71">
        <f>DAILY!D7</f>
        <v>7.8100000000000003E-2</v>
      </c>
      <c r="G2" s="9"/>
      <c r="H2" s="10">
        <v>1.08</v>
      </c>
      <c r="I2" s="9"/>
      <c r="J2" s="10">
        <v>4.6500000000000004</v>
      </c>
      <c r="K2" s="72"/>
    </row>
    <row r="3" spans="1:11" ht="15" x14ac:dyDescent="0.25">
      <c r="A3" s="6" t="s">
        <v>50</v>
      </c>
      <c r="B3" s="7">
        <f>B2+1</f>
        <v>2</v>
      </c>
      <c r="C3" s="8">
        <v>10</v>
      </c>
      <c r="D3" s="7">
        <v>2022</v>
      </c>
      <c r="E3" s="9"/>
      <c r="F3" s="71">
        <f>F2</f>
        <v>7.8100000000000003E-2</v>
      </c>
      <c r="G3" s="9"/>
      <c r="H3" s="10">
        <f>H2</f>
        <v>1.08</v>
      </c>
      <c r="I3" s="9"/>
      <c r="J3" s="10">
        <f>J2</f>
        <v>4.6500000000000004</v>
      </c>
      <c r="K3" s="73"/>
    </row>
    <row r="4" spans="1:11" ht="15" x14ac:dyDescent="0.25">
      <c r="A4" s="6" t="s">
        <v>50</v>
      </c>
      <c r="B4" s="7">
        <f t="shared" ref="B4:B32" si="0">B3+1</f>
        <v>3</v>
      </c>
      <c r="C4" s="8">
        <v>10</v>
      </c>
      <c r="D4" s="7">
        <v>2022</v>
      </c>
      <c r="E4" s="9"/>
      <c r="F4" s="71">
        <f t="shared" ref="F4:F30" si="1">F3</f>
        <v>7.8100000000000003E-2</v>
      </c>
      <c r="G4" s="9"/>
      <c r="H4" s="10">
        <f t="shared" ref="H4:H30" si="2">H3</f>
        <v>1.08</v>
      </c>
      <c r="I4" s="9"/>
      <c r="J4" s="10">
        <f t="shared" ref="J4:J30" si="3">J3</f>
        <v>4.6500000000000004</v>
      </c>
      <c r="K4" s="73"/>
    </row>
    <row r="5" spans="1:11" ht="15" x14ac:dyDescent="0.25">
      <c r="A5" s="6" t="s">
        <v>50</v>
      </c>
      <c r="B5" s="7">
        <f t="shared" si="0"/>
        <v>4</v>
      </c>
      <c r="C5" s="8">
        <v>10</v>
      </c>
      <c r="D5" s="7">
        <v>2022</v>
      </c>
      <c r="E5" s="9"/>
      <c r="F5" s="71">
        <f t="shared" si="1"/>
        <v>7.8100000000000003E-2</v>
      </c>
      <c r="G5" s="9"/>
      <c r="H5" s="10">
        <f t="shared" si="2"/>
        <v>1.08</v>
      </c>
      <c r="I5" s="9"/>
      <c r="J5" s="10">
        <f t="shared" si="3"/>
        <v>4.6500000000000004</v>
      </c>
      <c r="K5" s="73"/>
    </row>
    <row r="6" spans="1:11" ht="15" x14ac:dyDescent="0.25">
      <c r="A6" s="6" t="s">
        <v>50</v>
      </c>
      <c r="B6" s="7">
        <f t="shared" si="0"/>
        <v>5</v>
      </c>
      <c r="C6" s="8">
        <v>10</v>
      </c>
      <c r="D6" s="7">
        <v>2022</v>
      </c>
      <c r="E6" s="9"/>
      <c r="F6" s="71">
        <f t="shared" si="1"/>
        <v>7.8100000000000003E-2</v>
      </c>
      <c r="G6" s="9"/>
      <c r="H6" s="10">
        <f t="shared" si="2"/>
        <v>1.08</v>
      </c>
      <c r="I6" s="9"/>
      <c r="J6" s="10">
        <f t="shared" si="3"/>
        <v>4.6500000000000004</v>
      </c>
      <c r="K6" s="73"/>
    </row>
    <row r="7" spans="1:11" ht="15" x14ac:dyDescent="0.25">
      <c r="A7" s="6" t="s">
        <v>50</v>
      </c>
      <c r="B7" s="7">
        <f t="shared" si="0"/>
        <v>6</v>
      </c>
      <c r="C7" s="8">
        <v>10</v>
      </c>
      <c r="D7" s="7">
        <v>2022</v>
      </c>
      <c r="E7" s="9"/>
      <c r="F7" s="71">
        <f t="shared" si="1"/>
        <v>7.8100000000000003E-2</v>
      </c>
      <c r="G7" s="9"/>
      <c r="H7" s="10">
        <f t="shared" si="2"/>
        <v>1.08</v>
      </c>
      <c r="I7" s="9"/>
      <c r="J7" s="10">
        <f t="shared" si="3"/>
        <v>4.6500000000000004</v>
      </c>
      <c r="K7" s="73"/>
    </row>
    <row r="8" spans="1:11" ht="15" x14ac:dyDescent="0.25">
      <c r="A8" s="6" t="s">
        <v>50</v>
      </c>
      <c r="B8" s="7">
        <f t="shared" si="0"/>
        <v>7</v>
      </c>
      <c r="C8" s="8">
        <v>10</v>
      </c>
      <c r="D8" s="7">
        <v>2022</v>
      </c>
      <c r="E8" s="9"/>
      <c r="F8" s="71">
        <f t="shared" si="1"/>
        <v>7.8100000000000003E-2</v>
      </c>
      <c r="G8" s="9"/>
      <c r="H8" s="10">
        <f t="shared" si="2"/>
        <v>1.08</v>
      </c>
      <c r="I8" s="9"/>
      <c r="J8" s="10">
        <f t="shared" si="3"/>
        <v>4.6500000000000004</v>
      </c>
      <c r="K8" s="73"/>
    </row>
    <row r="9" spans="1:11" ht="15" x14ac:dyDescent="0.25">
      <c r="A9" s="6" t="s">
        <v>50</v>
      </c>
      <c r="B9" s="7">
        <f t="shared" si="0"/>
        <v>8</v>
      </c>
      <c r="C9" s="8">
        <v>10</v>
      </c>
      <c r="D9" s="7">
        <v>2022</v>
      </c>
      <c r="E9" s="9"/>
      <c r="F9" s="71">
        <f t="shared" si="1"/>
        <v>7.8100000000000003E-2</v>
      </c>
      <c r="G9" s="9"/>
      <c r="H9" s="10">
        <f t="shared" si="2"/>
        <v>1.08</v>
      </c>
      <c r="I9" s="9"/>
      <c r="J9" s="10">
        <f t="shared" si="3"/>
        <v>4.6500000000000004</v>
      </c>
      <c r="K9" s="73"/>
    </row>
    <row r="10" spans="1:11" ht="15" x14ac:dyDescent="0.25">
      <c r="A10" s="6" t="s">
        <v>50</v>
      </c>
      <c r="B10" s="7">
        <f t="shared" si="0"/>
        <v>9</v>
      </c>
      <c r="C10" s="8">
        <v>10</v>
      </c>
      <c r="D10" s="7">
        <v>2022</v>
      </c>
      <c r="E10" s="9"/>
      <c r="F10" s="71">
        <f t="shared" si="1"/>
        <v>7.8100000000000003E-2</v>
      </c>
      <c r="G10" s="9"/>
      <c r="H10" s="10">
        <f t="shared" si="2"/>
        <v>1.08</v>
      </c>
      <c r="I10" s="9"/>
      <c r="J10" s="10">
        <f t="shared" si="3"/>
        <v>4.6500000000000004</v>
      </c>
      <c r="K10" s="73"/>
    </row>
    <row r="11" spans="1:11" ht="15" x14ac:dyDescent="0.25">
      <c r="A11" s="6" t="s">
        <v>50</v>
      </c>
      <c r="B11" s="7">
        <f t="shared" si="0"/>
        <v>10</v>
      </c>
      <c r="C11" s="8">
        <v>10</v>
      </c>
      <c r="D11" s="7">
        <v>2022</v>
      </c>
      <c r="E11" s="9"/>
      <c r="F11" s="71">
        <f t="shared" si="1"/>
        <v>7.8100000000000003E-2</v>
      </c>
      <c r="G11" s="9"/>
      <c r="H11" s="10">
        <f t="shared" si="2"/>
        <v>1.08</v>
      </c>
      <c r="I11" s="9"/>
      <c r="J11" s="10">
        <f t="shared" si="3"/>
        <v>4.6500000000000004</v>
      </c>
      <c r="K11" s="73"/>
    </row>
    <row r="12" spans="1:11" ht="15" x14ac:dyDescent="0.25">
      <c r="A12" s="6" t="s">
        <v>50</v>
      </c>
      <c r="B12" s="7">
        <f t="shared" si="0"/>
        <v>11</v>
      </c>
      <c r="C12" s="8">
        <v>10</v>
      </c>
      <c r="D12" s="7">
        <v>2022</v>
      </c>
      <c r="E12" s="9"/>
      <c r="F12" s="71">
        <f t="shared" si="1"/>
        <v>7.8100000000000003E-2</v>
      </c>
      <c r="G12" s="9"/>
      <c r="H12" s="10">
        <f t="shared" si="2"/>
        <v>1.08</v>
      </c>
      <c r="I12" s="9"/>
      <c r="J12" s="10">
        <f t="shared" si="3"/>
        <v>4.6500000000000004</v>
      </c>
      <c r="K12" s="73"/>
    </row>
    <row r="13" spans="1:11" ht="15" x14ac:dyDescent="0.25">
      <c r="A13" s="6" t="s">
        <v>50</v>
      </c>
      <c r="B13" s="7">
        <f t="shared" si="0"/>
        <v>12</v>
      </c>
      <c r="C13" s="8">
        <v>10</v>
      </c>
      <c r="D13" s="7">
        <v>2022</v>
      </c>
      <c r="E13" s="9"/>
      <c r="F13" s="71">
        <f t="shared" si="1"/>
        <v>7.8100000000000003E-2</v>
      </c>
      <c r="G13" s="9"/>
      <c r="H13" s="10">
        <f t="shared" si="2"/>
        <v>1.08</v>
      </c>
      <c r="I13" s="9"/>
      <c r="J13" s="10">
        <f t="shared" si="3"/>
        <v>4.6500000000000004</v>
      </c>
      <c r="K13" s="73"/>
    </row>
    <row r="14" spans="1:11" ht="15" x14ac:dyDescent="0.25">
      <c r="A14" s="6" t="s">
        <v>50</v>
      </c>
      <c r="B14" s="7">
        <f t="shared" si="0"/>
        <v>13</v>
      </c>
      <c r="C14" s="8">
        <v>10</v>
      </c>
      <c r="D14" s="7">
        <v>2022</v>
      </c>
      <c r="E14" s="9"/>
      <c r="F14" s="71">
        <f t="shared" si="1"/>
        <v>7.8100000000000003E-2</v>
      </c>
      <c r="G14" s="9"/>
      <c r="H14" s="10">
        <f t="shared" si="2"/>
        <v>1.08</v>
      </c>
      <c r="I14" s="9"/>
      <c r="J14" s="10">
        <f t="shared" si="3"/>
        <v>4.6500000000000004</v>
      </c>
      <c r="K14" s="73"/>
    </row>
    <row r="15" spans="1:11" ht="15" x14ac:dyDescent="0.25">
      <c r="A15" s="6" t="s">
        <v>50</v>
      </c>
      <c r="B15" s="7">
        <f t="shared" si="0"/>
        <v>14</v>
      </c>
      <c r="C15" s="8">
        <v>10</v>
      </c>
      <c r="D15" s="7">
        <v>2022</v>
      </c>
      <c r="E15" s="9"/>
      <c r="F15" s="71">
        <f t="shared" si="1"/>
        <v>7.8100000000000003E-2</v>
      </c>
      <c r="G15" s="9"/>
      <c r="H15" s="10">
        <f t="shared" si="2"/>
        <v>1.08</v>
      </c>
      <c r="I15" s="9"/>
      <c r="J15" s="10">
        <f t="shared" si="3"/>
        <v>4.6500000000000004</v>
      </c>
      <c r="K15" s="73"/>
    </row>
    <row r="16" spans="1:11" ht="15" x14ac:dyDescent="0.25">
      <c r="A16" s="6" t="s">
        <v>50</v>
      </c>
      <c r="B16" s="7">
        <f t="shared" si="0"/>
        <v>15</v>
      </c>
      <c r="C16" s="8">
        <v>10</v>
      </c>
      <c r="D16" s="7">
        <v>2022</v>
      </c>
      <c r="E16" s="9"/>
      <c r="F16" s="71">
        <f t="shared" si="1"/>
        <v>7.8100000000000003E-2</v>
      </c>
      <c r="G16" s="9"/>
      <c r="H16" s="10">
        <f t="shared" si="2"/>
        <v>1.08</v>
      </c>
      <c r="I16" s="9"/>
      <c r="J16" s="10">
        <f t="shared" si="3"/>
        <v>4.6500000000000004</v>
      </c>
      <c r="K16" s="73"/>
    </row>
    <row r="17" spans="1:11" ht="15" x14ac:dyDescent="0.25">
      <c r="A17" s="6" t="s">
        <v>50</v>
      </c>
      <c r="B17" s="7">
        <f t="shared" si="0"/>
        <v>16</v>
      </c>
      <c r="C17" s="8">
        <v>10</v>
      </c>
      <c r="D17" s="7">
        <v>2022</v>
      </c>
      <c r="E17" s="9"/>
      <c r="F17" s="71">
        <f t="shared" si="1"/>
        <v>7.8100000000000003E-2</v>
      </c>
      <c r="G17" s="9"/>
      <c r="H17" s="10">
        <f t="shared" si="2"/>
        <v>1.08</v>
      </c>
      <c r="I17" s="9"/>
      <c r="J17" s="10">
        <f t="shared" si="3"/>
        <v>4.6500000000000004</v>
      </c>
      <c r="K17" s="73"/>
    </row>
    <row r="18" spans="1:11" ht="15" x14ac:dyDescent="0.25">
      <c r="A18" s="6" t="s">
        <v>50</v>
      </c>
      <c r="B18" s="7">
        <f t="shared" si="0"/>
        <v>17</v>
      </c>
      <c r="C18" s="8">
        <v>10</v>
      </c>
      <c r="D18" s="7">
        <v>2022</v>
      </c>
      <c r="E18" s="9"/>
      <c r="F18" s="71">
        <f t="shared" si="1"/>
        <v>7.8100000000000003E-2</v>
      </c>
      <c r="G18" s="9"/>
      <c r="H18" s="10">
        <f t="shared" si="2"/>
        <v>1.08</v>
      </c>
      <c r="I18" s="9"/>
      <c r="J18" s="10">
        <f t="shared" si="3"/>
        <v>4.6500000000000004</v>
      </c>
      <c r="K18" s="73"/>
    </row>
    <row r="19" spans="1:11" ht="15" x14ac:dyDescent="0.25">
      <c r="A19" s="6" t="s">
        <v>50</v>
      </c>
      <c r="B19" s="7">
        <f t="shared" si="0"/>
        <v>18</v>
      </c>
      <c r="C19" s="8">
        <v>10</v>
      </c>
      <c r="D19" s="7">
        <v>2022</v>
      </c>
      <c r="E19" s="9"/>
      <c r="F19" s="71">
        <f t="shared" si="1"/>
        <v>7.8100000000000003E-2</v>
      </c>
      <c r="G19" s="9"/>
      <c r="H19" s="10">
        <f t="shared" si="2"/>
        <v>1.08</v>
      </c>
      <c r="I19" s="9"/>
      <c r="J19" s="10">
        <f t="shared" si="3"/>
        <v>4.6500000000000004</v>
      </c>
      <c r="K19" s="73"/>
    </row>
    <row r="20" spans="1:11" ht="15" x14ac:dyDescent="0.25">
      <c r="A20" s="6" t="s">
        <v>50</v>
      </c>
      <c r="B20" s="7">
        <f t="shared" si="0"/>
        <v>19</v>
      </c>
      <c r="C20" s="8">
        <v>10</v>
      </c>
      <c r="D20" s="7">
        <v>2022</v>
      </c>
      <c r="E20" s="9"/>
      <c r="F20" s="71">
        <f t="shared" si="1"/>
        <v>7.8100000000000003E-2</v>
      </c>
      <c r="G20" s="9"/>
      <c r="H20" s="10">
        <f t="shared" si="2"/>
        <v>1.08</v>
      </c>
      <c r="I20" s="9"/>
      <c r="J20" s="10">
        <f t="shared" si="3"/>
        <v>4.6500000000000004</v>
      </c>
      <c r="K20" s="73"/>
    </row>
    <row r="21" spans="1:11" ht="15" x14ac:dyDescent="0.25">
      <c r="A21" s="6" t="s">
        <v>50</v>
      </c>
      <c r="B21" s="7">
        <f t="shared" si="0"/>
        <v>20</v>
      </c>
      <c r="C21" s="8">
        <v>10</v>
      </c>
      <c r="D21" s="7">
        <v>2022</v>
      </c>
      <c r="E21" s="9"/>
      <c r="F21" s="71">
        <f t="shared" si="1"/>
        <v>7.8100000000000003E-2</v>
      </c>
      <c r="G21" s="9"/>
      <c r="H21" s="10">
        <f t="shared" si="2"/>
        <v>1.08</v>
      </c>
      <c r="I21" s="9"/>
      <c r="J21" s="10">
        <f t="shared" si="3"/>
        <v>4.6500000000000004</v>
      </c>
      <c r="K21" s="73"/>
    </row>
    <row r="22" spans="1:11" ht="15" x14ac:dyDescent="0.25">
      <c r="A22" s="6" t="s">
        <v>50</v>
      </c>
      <c r="B22" s="7">
        <f t="shared" si="0"/>
        <v>21</v>
      </c>
      <c r="C22" s="8">
        <v>10</v>
      </c>
      <c r="D22" s="7">
        <v>2022</v>
      </c>
      <c r="E22" s="9"/>
      <c r="F22" s="71">
        <f t="shared" si="1"/>
        <v>7.8100000000000003E-2</v>
      </c>
      <c r="G22" s="9"/>
      <c r="H22" s="10">
        <f t="shared" si="2"/>
        <v>1.08</v>
      </c>
      <c r="I22" s="9"/>
      <c r="J22" s="10">
        <f t="shared" si="3"/>
        <v>4.6500000000000004</v>
      </c>
      <c r="K22" s="73"/>
    </row>
    <row r="23" spans="1:11" ht="15" x14ac:dyDescent="0.25">
      <c r="A23" s="6" t="s">
        <v>50</v>
      </c>
      <c r="B23" s="7">
        <f t="shared" si="0"/>
        <v>22</v>
      </c>
      <c r="C23" s="8">
        <v>10</v>
      </c>
      <c r="D23" s="7">
        <v>2022</v>
      </c>
      <c r="E23" s="9"/>
      <c r="F23" s="71">
        <f t="shared" si="1"/>
        <v>7.8100000000000003E-2</v>
      </c>
      <c r="G23" s="9"/>
      <c r="H23" s="10">
        <f t="shared" si="2"/>
        <v>1.08</v>
      </c>
      <c r="I23" s="9"/>
      <c r="J23" s="10">
        <f t="shared" si="3"/>
        <v>4.6500000000000004</v>
      </c>
      <c r="K23" s="73"/>
    </row>
    <row r="24" spans="1:11" ht="15" x14ac:dyDescent="0.25">
      <c r="A24" s="6" t="s">
        <v>50</v>
      </c>
      <c r="B24" s="7">
        <f t="shared" si="0"/>
        <v>23</v>
      </c>
      <c r="C24" s="8">
        <v>10</v>
      </c>
      <c r="D24" s="7">
        <v>2022</v>
      </c>
      <c r="E24" s="9"/>
      <c r="F24" s="71">
        <f t="shared" si="1"/>
        <v>7.8100000000000003E-2</v>
      </c>
      <c r="G24" s="9"/>
      <c r="H24" s="10">
        <f t="shared" si="2"/>
        <v>1.08</v>
      </c>
      <c r="I24" s="9"/>
      <c r="J24" s="10">
        <f t="shared" si="3"/>
        <v>4.6500000000000004</v>
      </c>
      <c r="K24" s="73"/>
    </row>
    <row r="25" spans="1:11" ht="15" x14ac:dyDescent="0.25">
      <c r="A25" s="6" t="s">
        <v>50</v>
      </c>
      <c r="B25" s="7">
        <f t="shared" si="0"/>
        <v>24</v>
      </c>
      <c r="C25" s="8">
        <v>10</v>
      </c>
      <c r="D25" s="7">
        <v>2022</v>
      </c>
      <c r="E25" s="9"/>
      <c r="F25" s="71">
        <f t="shared" si="1"/>
        <v>7.8100000000000003E-2</v>
      </c>
      <c r="G25" s="9"/>
      <c r="H25" s="10">
        <f t="shared" si="2"/>
        <v>1.08</v>
      </c>
      <c r="I25" s="9"/>
      <c r="J25" s="10">
        <f t="shared" si="3"/>
        <v>4.6500000000000004</v>
      </c>
      <c r="K25" s="76"/>
    </row>
    <row r="26" spans="1:11" ht="15" x14ac:dyDescent="0.25">
      <c r="A26" s="6" t="s">
        <v>50</v>
      </c>
      <c r="B26" s="7">
        <f>B25+1</f>
        <v>25</v>
      </c>
      <c r="C26" s="8">
        <v>10</v>
      </c>
      <c r="D26" s="7">
        <v>2022</v>
      </c>
      <c r="E26" s="9"/>
      <c r="F26" s="71">
        <f t="shared" si="1"/>
        <v>7.8100000000000003E-2</v>
      </c>
      <c r="G26" s="9"/>
      <c r="H26" s="10">
        <f t="shared" si="2"/>
        <v>1.08</v>
      </c>
      <c r="I26" s="9"/>
      <c r="J26" s="10">
        <f t="shared" si="3"/>
        <v>4.6500000000000004</v>
      </c>
      <c r="K26" s="76"/>
    </row>
    <row r="27" spans="1:11" ht="15" x14ac:dyDescent="0.25">
      <c r="A27" s="6" t="s">
        <v>50</v>
      </c>
      <c r="B27" s="7">
        <f t="shared" si="0"/>
        <v>26</v>
      </c>
      <c r="C27" s="8">
        <v>10</v>
      </c>
      <c r="D27" s="7">
        <v>2022</v>
      </c>
      <c r="E27" s="9"/>
      <c r="F27" s="71">
        <f t="shared" si="1"/>
        <v>7.8100000000000003E-2</v>
      </c>
      <c r="G27" s="9"/>
      <c r="H27" s="10">
        <f t="shared" si="2"/>
        <v>1.08</v>
      </c>
      <c r="I27" s="9"/>
      <c r="J27" s="10">
        <f t="shared" si="3"/>
        <v>4.6500000000000004</v>
      </c>
      <c r="K27" s="76"/>
    </row>
    <row r="28" spans="1:11" ht="15" x14ac:dyDescent="0.25">
      <c r="A28" s="6" t="s">
        <v>50</v>
      </c>
      <c r="B28" s="7">
        <f t="shared" si="0"/>
        <v>27</v>
      </c>
      <c r="C28" s="8">
        <v>10</v>
      </c>
      <c r="D28" s="7">
        <v>2022</v>
      </c>
      <c r="E28" s="9"/>
      <c r="F28" s="71">
        <f t="shared" si="1"/>
        <v>7.8100000000000003E-2</v>
      </c>
      <c r="G28" s="9"/>
      <c r="H28" s="10">
        <f t="shared" si="2"/>
        <v>1.08</v>
      </c>
      <c r="I28" s="9"/>
      <c r="J28" s="10">
        <f t="shared" si="3"/>
        <v>4.6500000000000004</v>
      </c>
      <c r="K28" s="76"/>
    </row>
    <row r="29" spans="1:11" ht="15" x14ac:dyDescent="0.25">
      <c r="A29" s="6" t="s">
        <v>50</v>
      </c>
      <c r="B29" s="7">
        <f t="shared" si="0"/>
        <v>28</v>
      </c>
      <c r="C29" s="8">
        <v>10</v>
      </c>
      <c r="D29" s="7">
        <v>2022</v>
      </c>
      <c r="E29" s="9"/>
      <c r="F29" s="71">
        <f t="shared" si="1"/>
        <v>7.8100000000000003E-2</v>
      </c>
      <c r="G29" s="9"/>
      <c r="H29" s="10">
        <f t="shared" si="2"/>
        <v>1.08</v>
      </c>
      <c r="I29" s="9"/>
      <c r="J29" s="10">
        <f t="shared" si="3"/>
        <v>4.6500000000000004</v>
      </c>
      <c r="K29" s="76"/>
    </row>
    <row r="30" spans="1:11" ht="15" x14ac:dyDescent="0.25">
      <c r="A30" s="6" t="s">
        <v>50</v>
      </c>
      <c r="B30" s="7">
        <f t="shared" si="0"/>
        <v>29</v>
      </c>
      <c r="C30" s="8">
        <v>10</v>
      </c>
      <c r="D30" s="7">
        <v>2022</v>
      </c>
      <c r="E30" s="9"/>
      <c r="F30" s="71">
        <f t="shared" si="1"/>
        <v>7.8100000000000003E-2</v>
      </c>
      <c r="G30" s="9"/>
      <c r="H30" s="10">
        <f t="shared" si="2"/>
        <v>1.08</v>
      </c>
      <c r="I30" s="9"/>
      <c r="J30" s="10">
        <f t="shared" si="3"/>
        <v>4.6500000000000004</v>
      </c>
      <c r="K30" s="76"/>
    </row>
    <row r="31" spans="1:11" ht="15" x14ac:dyDescent="0.25">
      <c r="A31" s="6" t="s">
        <v>50</v>
      </c>
      <c r="B31" s="7">
        <f t="shared" si="0"/>
        <v>30</v>
      </c>
      <c r="C31" s="8">
        <v>10</v>
      </c>
      <c r="D31" s="7">
        <v>2022</v>
      </c>
      <c r="E31" s="9"/>
      <c r="F31" s="71">
        <f>F29</f>
        <v>7.8100000000000003E-2</v>
      </c>
      <c r="G31" s="9"/>
      <c r="H31" s="10">
        <f>H29</f>
        <v>1.08</v>
      </c>
      <c r="I31" s="9"/>
      <c r="J31" s="10">
        <f>J29</f>
        <v>4.6500000000000004</v>
      </c>
      <c r="K31" s="76"/>
    </row>
    <row r="32" spans="1:11" ht="15" x14ac:dyDescent="0.25">
      <c r="A32" s="6" t="s">
        <v>50</v>
      </c>
      <c r="B32" s="7">
        <f t="shared" si="0"/>
        <v>31</v>
      </c>
      <c r="C32" s="8">
        <v>10</v>
      </c>
      <c r="D32" s="7">
        <v>2022</v>
      </c>
      <c r="E32" s="9"/>
      <c r="F32" s="71">
        <f>F30</f>
        <v>7.8100000000000003E-2</v>
      </c>
      <c r="G32" s="9"/>
      <c r="H32" s="10">
        <f>H30</f>
        <v>1.08</v>
      </c>
      <c r="I32" s="9"/>
      <c r="J32" s="10">
        <f>J30</f>
        <v>4.6500000000000004</v>
      </c>
      <c r="K32" s="76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"/>
  <sheetViews>
    <sheetView workbookViewId="0">
      <selection activeCell="D4" sqref="D3:D31"/>
    </sheetView>
  </sheetViews>
  <sheetFormatPr defaultRowHeight="12.75" x14ac:dyDescent="0.2"/>
  <cols>
    <col min="1" max="1" width="14.570312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1" ht="60" x14ac:dyDescent="0.2">
      <c r="A1" s="1" t="s">
        <v>39</v>
      </c>
      <c r="B1" s="1" t="s">
        <v>40</v>
      </c>
      <c r="C1" s="2" t="s">
        <v>41</v>
      </c>
      <c r="D1" s="1" t="s">
        <v>42</v>
      </c>
      <c r="E1" s="3" t="s">
        <v>43</v>
      </c>
      <c r="F1" s="4" t="s">
        <v>44</v>
      </c>
      <c r="G1" s="3" t="s">
        <v>45</v>
      </c>
      <c r="H1" s="4" t="s">
        <v>46</v>
      </c>
      <c r="I1" s="3" t="s">
        <v>47</v>
      </c>
      <c r="J1" s="5" t="s">
        <v>48</v>
      </c>
      <c r="K1" s="3" t="s">
        <v>49</v>
      </c>
    </row>
    <row r="2" spans="1:11" ht="15" x14ac:dyDescent="0.25">
      <c r="A2" s="6" t="s">
        <v>50</v>
      </c>
      <c r="B2" s="7">
        <v>1</v>
      </c>
      <c r="C2" s="8">
        <v>11</v>
      </c>
      <c r="D2" s="7">
        <v>2022</v>
      </c>
      <c r="E2" s="9"/>
      <c r="F2" s="71">
        <f>DAILY!D7</f>
        <v>7.8100000000000003E-2</v>
      </c>
      <c r="G2" s="9"/>
      <c r="H2" s="10">
        <v>0.15</v>
      </c>
      <c r="I2" s="9"/>
      <c r="J2" s="10">
        <v>4.6500000000000004</v>
      </c>
      <c r="K2" s="72"/>
    </row>
    <row r="3" spans="1:11" ht="15" x14ac:dyDescent="0.25">
      <c r="A3" s="6" t="s">
        <v>50</v>
      </c>
      <c r="B3" s="7">
        <f>B2+1</f>
        <v>2</v>
      </c>
      <c r="C3" s="8">
        <v>11</v>
      </c>
      <c r="D3" s="7">
        <v>2022</v>
      </c>
      <c r="E3" s="9"/>
      <c r="F3" s="71">
        <f>F2</f>
        <v>7.8100000000000003E-2</v>
      </c>
      <c r="G3" s="9"/>
      <c r="H3" s="10">
        <f>H2</f>
        <v>0.15</v>
      </c>
      <c r="I3" s="9"/>
      <c r="J3" s="10">
        <f>J2</f>
        <v>4.6500000000000004</v>
      </c>
      <c r="K3" s="73"/>
    </row>
    <row r="4" spans="1:11" ht="15" x14ac:dyDescent="0.25">
      <c r="A4" s="6" t="s">
        <v>50</v>
      </c>
      <c r="B4" s="7">
        <f t="shared" ref="B4:B31" si="0">B3+1</f>
        <v>3</v>
      </c>
      <c r="C4" s="8">
        <v>11</v>
      </c>
      <c r="D4" s="7">
        <v>2022</v>
      </c>
      <c r="E4" s="9"/>
      <c r="F4" s="71">
        <f t="shared" ref="F4:F30" si="1">F3</f>
        <v>7.8100000000000003E-2</v>
      </c>
      <c r="G4" s="9"/>
      <c r="H4" s="10">
        <f t="shared" ref="H4:H30" si="2">H3</f>
        <v>0.15</v>
      </c>
      <c r="I4" s="9"/>
      <c r="J4" s="10">
        <f t="shared" ref="J4:J30" si="3">J3</f>
        <v>4.6500000000000004</v>
      </c>
      <c r="K4" s="73"/>
    </row>
    <row r="5" spans="1:11" ht="15" x14ac:dyDescent="0.25">
      <c r="A5" s="6" t="s">
        <v>50</v>
      </c>
      <c r="B5" s="7">
        <f t="shared" si="0"/>
        <v>4</v>
      </c>
      <c r="C5" s="8">
        <v>11</v>
      </c>
      <c r="D5" s="7">
        <v>2022</v>
      </c>
      <c r="E5" s="9"/>
      <c r="F5" s="71">
        <f t="shared" si="1"/>
        <v>7.8100000000000003E-2</v>
      </c>
      <c r="G5" s="9"/>
      <c r="H5" s="10">
        <f t="shared" si="2"/>
        <v>0.15</v>
      </c>
      <c r="I5" s="9"/>
      <c r="J5" s="10">
        <f t="shared" si="3"/>
        <v>4.6500000000000004</v>
      </c>
      <c r="K5" s="73"/>
    </row>
    <row r="6" spans="1:11" ht="15" x14ac:dyDescent="0.25">
      <c r="A6" s="6" t="s">
        <v>50</v>
      </c>
      <c r="B6" s="7">
        <f t="shared" si="0"/>
        <v>5</v>
      </c>
      <c r="C6" s="8">
        <v>11</v>
      </c>
      <c r="D6" s="7">
        <v>2022</v>
      </c>
      <c r="E6" s="9"/>
      <c r="F6" s="71">
        <f t="shared" si="1"/>
        <v>7.8100000000000003E-2</v>
      </c>
      <c r="G6" s="9"/>
      <c r="H6" s="10">
        <f t="shared" si="2"/>
        <v>0.15</v>
      </c>
      <c r="I6" s="9"/>
      <c r="J6" s="10">
        <f t="shared" si="3"/>
        <v>4.6500000000000004</v>
      </c>
      <c r="K6" s="73"/>
    </row>
    <row r="7" spans="1:11" ht="15" x14ac:dyDescent="0.25">
      <c r="A7" s="6" t="s">
        <v>50</v>
      </c>
      <c r="B7" s="7">
        <f t="shared" si="0"/>
        <v>6</v>
      </c>
      <c r="C7" s="8">
        <v>11</v>
      </c>
      <c r="D7" s="7">
        <v>2022</v>
      </c>
      <c r="E7" s="9"/>
      <c r="F7" s="71">
        <f t="shared" si="1"/>
        <v>7.8100000000000003E-2</v>
      </c>
      <c r="G7" s="9"/>
      <c r="H7" s="10">
        <f t="shared" si="2"/>
        <v>0.15</v>
      </c>
      <c r="I7" s="9"/>
      <c r="J7" s="10">
        <f t="shared" si="3"/>
        <v>4.6500000000000004</v>
      </c>
      <c r="K7" s="73"/>
    </row>
    <row r="8" spans="1:11" ht="15" x14ac:dyDescent="0.25">
      <c r="A8" s="6" t="s">
        <v>50</v>
      </c>
      <c r="B8" s="7">
        <f t="shared" si="0"/>
        <v>7</v>
      </c>
      <c r="C8" s="8">
        <v>11</v>
      </c>
      <c r="D8" s="7">
        <v>2022</v>
      </c>
      <c r="E8" s="9"/>
      <c r="F8" s="71">
        <f t="shared" si="1"/>
        <v>7.8100000000000003E-2</v>
      </c>
      <c r="G8" s="9"/>
      <c r="H8" s="10">
        <f t="shared" si="2"/>
        <v>0.15</v>
      </c>
      <c r="I8" s="9"/>
      <c r="J8" s="10">
        <f t="shared" si="3"/>
        <v>4.6500000000000004</v>
      </c>
      <c r="K8" s="73"/>
    </row>
    <row r="9" spans="1:11" ht="15" x14ac:dyDescent="0.25">
      <c r="A9" s="6" t="s">
        <v>50</v>
      </c>
      <c r="B9" s="7">
        <f t="shared" si="0"/>
        <v>8</v>
      </c>
      <c r="C9" s="8">
        <v>11</v>
      </c>
      <c r="D9" s="7">
        <v>2022</v>
      </c>
      <c r="E9" s="9"/>
      <c r="F9" s="71">
        <f t="shared" si="1"/>
        <v>7.8100000000000003E-2</v>
      </c>
      <c r="G9" s="9"/>
      <c r="H9" s="10">
        <f t="shared" si="2"/>
        <v>0.15</v>
      </c>
      <c r="I9" s="9"/>
      <c r="J9" s="10">
        <f t="shared" si="3"/>
        <v>4.6500000000000004</v>
      </c>
      <c r="K9" s="73"/>
    </row>
    <row r="10" spans="1:11" ht="15" x14ac:dyDescent="0.25">
      <c r="A10" s="6" t="s">
        <v>50</v>
      </c>
      <c r="B10" s="7">
        <f t="shared" si="0"/>
        <v>9</v>
      </c>
      <c r="C10" s="8">
        <v>11</v>
      </c>
      <c r="D10" s="7">
        <v>2022</v>
      </c>
      <c r="E10" s="9"/>
      <c r="F10" s="71">
        <f t="shared" si="1"/>
        <v>7.8100000000000003E-2</v>
      </c>
      <c r="G10" s="9"/>
      <c r="H10" s="10">
        <f t="shared" si="2"/>
        <v>0.15</v>
      </c>
      <c r="I10" s="9"/>
      <c r="J10" s="10">
        <f t="shared" si="3"/>
        <v>4.6500000000000004</v>
      </c>
      <c r="K10" s="73"/>
    </row>
    <row r="11" spans="1:11" ht="15" x14ac:dyDescent="0.25">
      <c r="A11" s="6" t="s">
        <v>50</v>
      </c>
      <c r="B11" s="7">
        <f t="shared" si="0"/>
        <v>10</v>
      </c>
      <c r="C11" s="8">
        <v>11</v>
      </c>
      <c r="D11" s="7">
        <v>2022</v>
      </c>
      <c r="E11" s="9"/>
      <c r="F11" s="71">
        <f t="shared" si="1"/>
        <v>7.8100000000000003E-2</v>
      </c>
      <c r="G11" s="9"/>
      <c r="H11" s="10">
        <f t="shared" si="2"/>
        <v>0.15</v>
      </c>
      <c r="I11" s="9"/>
      <c r="J11" s="10">
        <f t="shared" si="3"/>
        <v>4.6500000000000004</v>
      </c>
      <c r="K11" s="73"/>
    </row>
    <row r="12" spans="1:11" ht="15" x14ac:dyDescent="0.25">
      <c r="A12" s="6" t="s">
        <v>50</v>
      </c>
      <c r="B12" s="7">
        <f t="shared" si="0"/>
        <v>11</v>
      </c>
      <c r="C12" s="8">
        <v>11</v>
      </c>
      <c r="D12" s="7">
        <v>2022</v>
      </c>
      <c r="E12" s="9"/>
      <c r="F12" s="71">
        <f t="shared" si="1"/>
        <v>7.8100000000000003E-2</v>
      </c>
      <c r="G12" s="9"/>
      <c r="H12" s="10">
        <f t="shared" si="2"/>
        <v>0.15</v>
      </c>
      <c r="I12" s="9"/>
      <c r="J12" s="10">
        <f t="shared" si="3"/>
        <v>4.6500000000000004</v>
      </c>
      <c r="K12" s="73"/>
    </row>
    <row r="13" spans="1:11" ht="15" x14ac:dyDescent="0.25">
      <c r="A13" s="6" t="s">
        <v>50</v>
      </c>
      <c r="B13" s="7">
        <f t="shared" si="0"/>
        <v>12</v>
      </c>
      <c r="C13" s="8">
        <v>11</v>
      </c>
      <c r="D13" s="7">
        <v>2022</v>
      </c>
      <c r="E13" s="9"/>
      <c r="F13" s="71">
        <f t="shared" si="1"/>
        <v>7.8100000000000003E-2</v>
      </c>
      <c r="G13" s="9"/>
      <c r="H13" s="10">
        <f t="shared" si="2"/>
        <v>0.15</v>
      </c>
      <c r="I13" s="9"/>
      <c r="J13" s="10">
        <f t="shared" si="3"/>
        <v>4.6500000000000004</v>
      </c>
      <c r="K13" s="73"/>
    </row>
    <row r="14" spans="1:11" ht="15" x14ac:dyDescent="0.25">
      <c r="A14" s="6" t="s">
        <v>50</v>
      </c>
      <c r="B14" s="7">
        <f t="shared" si="0"/>
        <v>13</v>
      </c>
      <c r="C14" s="8">
        <v>11</v>
      </c>
      <c r="D14" s="7">
        <v>2022</v>
      </c>
      <c r="E14" s="9"/>
      <c r="F14" s="71">
        <f t="shared" si="1"/>
        <v>7.8100000000000003E-2</v>
      </c>
      <c r="G14" s="9"/>
      <c r="H14" s="10">
        <f t="shared" si="2"/>
        <v>0.15</v>
      </c>
      <c r="I14" s="9"/>
      <c r="J14" s="10">
        <f t="shared" si="3"/>
        <v>4.6500000000000004</v>
      </c>
      <c r="K14" s="73"/>
    </row>
    <row r="15" spans="1:11" ht="15" x14ac:dyDescent="0.25">
      <c r="A15" s="6" t="s">
        <v>50</v>
      </c>
      <c r="B15" s="7">
        <f t="shared" si="0"/>
        <v>14</v>
      </c>
      <c r="C15" s="8">
        <v>11</v>
      </c>
      <c r="D15" s="7">
        <v>2022</v>
      </c>
      <c r="E15" s="9"/>
      <c r="F15" s="71">
        <f t="shared" si="1"/>
        <v>7.8100000000000003E-2</v>
      </c>
      <c r="G15" s="9"/>
      <c r="H15" s="10">
        <f t="shared" si="2"/>
        <v>0.15</v>
      </c>
      <c r="I15" s="9"/>
      <c r="J15" s="10">
        <f t="shared" si="3"/>
        <v>4.6500000000000004</v>
      </c>
      <c r="K15" s="73"/>
    </row>
    <row r="16" spans="1:11" ht="15" x14ac:dyDescent="0.25">
      <c r="A16" s="6" t="s">
        <v>50</v>
      </c>
      <c r="B16" s="7">
        <f t="shared" si="0"/>
        <v>15</v>
      </c>
      <c r="C16" s="8">
        <v>11</v>
      </c>
      <c r="D16" s="7">
        <v>2022</v>
      </c>
      <c r="E16" s="9"/>
      <c r="F16" s="71">
        <f t="shared" si="1"/>
        <v>7.8100000000000003E-2</v>
      </c>
      <c r="G16" s="9"/>
      <c r="H16" s="10">
        <f t="shared" si="2"/>
        <v>0.15</v>
      </c>
      <c r="I16" s="9"/>
      <c r="J16" s="10">
        <f t="shared" si="3"/>
        <v>4.6500000000000004</v>
      </c>
      <c r="K16" s="73"/>
    </row>
    <row r="17" spans="1:11" ht="15" x14ac:dyDescent="0.25">
      <c r="A17" s="6" t="s">
        <v>50</v>
      </c>
      <c r="B17" s="7">
        <f t="shared" si="0"/>
        <v>16</v>
      </c>
      <c r="C17" s="8">
        <v>11</v>
      </c>
      <c r="D17" s="7">
        <v>2022</v>
      </c>
      <c r="E17" s="9"/>
      <c r="F17" s="71">
        <f t="shared" si="1"/>
        <v>7.8100000000000003E-2</v>
      </c>
      <c r="G17" s="9"/>
      <c r="H17" s="10">
        <f t="shared" si="2"/>
        <v>0.15</v>
      </c>
      <c r="I17" s="9"/>
      <c r="J17" s="10">
        <f t="shared" si="3"/>
        <v>4.6500000000000004</v>
      </c>
      <c r="K17" s="73"/>
    </row>
    <row r="18" spans="1:11" ht="15" x14ac:dyDescent="0.25">
      <c r="A18" s="6" t="s">
        <v>50</v>
      </c>
      <c r="B18" s="7">
        <f t="shared" si="0"/>
        <v>17</v>
      </c>
      <c r="C18" s="8">
        <v>11</v>
      </c>
      <c r="D18" s="7">
        <v>2022</v>
      </c>
      <c r="E18" s="9"/>
      <c r="F18" s="71">
        <f t="shared" si="1"/>
        <v>7.8100000000000003E-2</v>
      </c>
      <c r="G18" s="9"/>
      <c r="H18" s="10">
        <f t="shared" si="2"/>
        <v>0.15</v>
      </c>
      <c r="I18" s="9"/>
      <c r="J18" s="10">
        <f t="shared" si="3"/>
        <v>4.6500000000000004</v>
      </c>
      <c r="K18" s="73"/>
    </row>
    <row r="19" spans="1:11" ht="15" x14ac:dyDescent="0.25">
      <c r="A19" s="6" t="s">
        <v>50</v>
      </c>
      <c r="B19" s="7">
        <f t="shared" si="0"/>
        <v>18</v>
      </c>
      <c r="C19" s="8">
        <v>11</v>
      </c>
      <c r="D19" s="7">
        <v>2022</v>
      </c>
      <c r="E19" s="9"/>
      <c r="F19" s="71">
        <f t="shared" si="1"/>
        <v>7.8100000000000003E-2</v>
      </c>
      <c r="G19" s="9"/>
      <c r="H19" s="10">
        <f t="shared" si="2"/>
        <v>0.15</v>
      </c>
      <c r="I19" s="9"/>
      <c r="J19" s="10">
        <f t="shared" si="3"/>
        <v>4.6500000000000004</v>
      </c>
      <c r="K19" s="73"/>
    </row>
    <row r="20" spans="1:11" ht="15" x14ac:dyDescent="0.25">
      <c r="A20" s="6" t="s">
        <v>50</v>
      </c>
      <c r="B20" s="7">
        <f t="shared" si="0"/>
        <v>19</v>
      </c>
      <c r="C20" s="8">
        <v>11</v>
      </c>
      <c r="D20" s="7">
        <v>2022</v>
      </c>
      <c r="E20" s="9"/>
      <c r="F20" s="71">
        <f t="shared" si="1"/>
        <v>7.8100000000000003E-2</v>
      </c>
      <c r="G20" s="9"/>
      <c r="H20" s="10">
        <f t="shared" si="2"/>
        <v>0.15</v>
      </c>
      <c r="I20" s="9"/>
      <c r="J20" s="10">
        <f t="shared" si="3"/>
        <v>4.6500000000000004</v>
      </c>
      <c r="K20" s="73"/>
    </row>
    <row r="21" spans="1:11" ht="15" x14ac:dyDescent="0.25">
      <c r="A21" s="6" t="s">
        <v>50</v>
      </c>
      <c r="B21" s="7">
        <f t="shared" si="0"/>
        <v>20</v>
      </c>
      <c r="C21" s="8">
        <v>11</v>
      </c>
      <c r="D21" s="7">
        <v>2022</v>
      </c>
      <c r="E21" s="9"/>
      <c r="F21" s="71">
        <f t="shared" si="1"/>
        <v>7.8100000000000003E-2</v>
      </c>
      <c r="G21" s="9"/>
      <c r="H21" s="10">
        <f t="shared" si="2"/>
        <v>0.15</v>
      </c>
      <c r="I21" s="9"/>
      <c r="J21" s="10">
        <f t="shared" si="3"/>
        <v>4.6500000000000004</v>
      </c>
      <c r="K21" s="73"/>
    </row>
    <row r="22" spans="1:11" ht="15" x14ac:dyDescent="0.25">
      <c r="A22" s="6" t="s">
        <v>50</v>
      </c>
      <c r="B22" s="7">
        <f t="shared" si="0"/>
        <v>21</v>
      </c>
      <c r="C22" s="8">
        <v>11</v>
      </c>
      <c r="D22" s="7">
        <v>2022</v>
      </c>
      <c r="E22" s="9"/>
      <c r="F22" s="71">
        <f t="shared" si="1"/>
        <v>7.8100000000000003E-2</v>
      </c>
      <c r="G22" s="9"/>
      <c r="H22" s="10">
        <f t="shared" si="2"/>
        <v>0.15</v>
      </c>
      <c r="I22" s="9"/>
      <c r="J22" s="10">
        <f t="shared" si="3"/>
        <v>4.6500000000000004</v>
      </c>
      <c r="K22" s="73"/>
    </row>
    <row r="23" spans="1:11" ht="15" x14ac:dyDescent="0.25">
      <c r="A23" s="6" t="s">
        <v>50</v>
      </c>
      <c r="B23" s="7">
        <f t="shared" si="0"/>
        <v>22</v>
      </c>
      <c r="C23" s="8">
        <v>11</v>
      </c>
      <c r="D23" s="7">
        <v>2022</v>
      </c>
      <c r="E23" s="9"/>
      <c r="F23" s="71">
        <f t="shared" si="1"/>
        <v>7.8100000000000003E-2</v>
      </c>
      <c r="G23" s="9"/>
      <c r="H23" s="10">
        <f t="shared" si="2"/>
        <v>0.15</v>
      </c>
      <c r="I23" s="9"/>
      <c r="J23" s="10">
        <f t="shared" si="3"/>
        <v>4.6500000000000004</v>
      </c>
      <c r="K23" s="73"/>
    </row>
    <row r="24" spans="1:11" ht="15" x14ac:dyDescent="0.25">
      <c r="A24" s="6" t="s">
        <v>50</v>
      </c>
      <c r="B24" s="7">
        <f t="shared" si="0"/>
        <v>23</v>
      </c>
      <c r="C24" s="8">
        <v>11</v>
      </c>
      <c r="D24" s="7">
        <v>2022</v>
      </c>
      <c r="E24" s="9"/>
      <c r="F24" s="71">
        <f t="shared" si="1"/>
        <v>7.8100000000000003E-2</v>
      </c>
      <c r="G24" s="9"/>
      <c r="H24" s="10">
        <f t="shared" si="2"/>
        <v>0.15</v>
      </c>
      <c r="I24" s="9"/>
      <c r="J24" s="10">
        <f t="shared" si="3"/>
        <v>4.6500000000000004</v>
      </c>
      <c r="K24" s="73"/>
    </row>
    <row r="25" spans="1:11" ht="15" x14ac:dyDescent="0.25">
      <c r="A25" s="6" t="s">
        <v>50</v>
      </c>
      <c r="B25" s="7">
        <f t="shared" si="0"/>
        <v>24</v>
      </c>
      <c r="C25" s="8">
        <v>11</v>
      </c>
      <c r="D25" s="7">
        <v>2022</v>
      </c>
      <c r="E25" s="9"/>
      <c r="F25" s="71">
        <f t="shared" si="1"/>
        <v>7.8100000000000003E-2</v>
      </c>
      <c r="G25" s="9"/>
      <c r="H25" s="10">
        <f t="shared" si="2"/>
        <v>0.15</v>
      </c>
      <c r="I25" s="9"/>
      <c r="J25" s="10">
        <f t="shared" si="3"/>
        <v>4.6500000000000004</v>
      </c>
      <c r="K25" s="76"/>
    </row>
    <row r="26" spans="1:11" ht="15" x14ac:dyDescent="0.25">
      <c r="A26" s="6" t="s">
        <v>50</v>
      </c>
      <c r="B26" s="7">
        <f>B25+1</f>
        <v>25</v>
      </c>
      <c r="C26" s="8">
        <v>11</v>
      </c>
      <c r="D26" s="7">
        <v>2022</v>
      </c>
      <c r="E26" s="9"/>
      <c r="F26" s="71">
        <f t="shared" si="1"/>
        <v>7.8100000000000003E-2</v>
      </c>
      <c r="G26" s="9"/>
      <c r="H26" s="10">
        <f t="shared" si="2"/>
        <v>0.15</v>
      </c>
      <c r="I26" s="9"/>
      <c r="J26" s="10">
        <f t="shared" si="3"/>
        <v>4.6500000000000004</v>
      </c>
      <c r="K26" s="76"/>
    </row>
    <row r="27" spans="1:11" ht="15" x14ac:dyDescent="0.25">
      <c r="A27" s="6" t="s">
        <v>50</v>
      </c>
      <c r="B27" s="7">
        <f t="shared" si="0"/>
        <v>26</v>
      </c>
      <c r="C27" s="8">
        <v>11</v>
      </c>
      <c r="D27" s="7">
        <v>2022</v>
      </c>
      <c r="E27" s="9"/>
      <c r="F27" s="71">
        <f t="shared" si="1"/>
        <v>7.8100000000000003E-2</v>
      </c>
      <c r="G27" s="9"/>
      <c r="H27" s="10">
        <f t="shared" si="2"/>
        <v>0.15</v>
      </c>
      <c r="I27" s="9"/>
      <c r="J27" s="10">
        <f t="shared" si="3"/>
        <v>4.6500000000000004</v>
      </c>
      <c r="K27" s="76"/>
    </row>
    <row r="28" spans="1:11" ht="15" x14ac:dyDescent="0.25">
      <c r="A28" s="6" t="s">
        <v>50</v>
      </c>
      <c r="B28" s="7">
        <f t="shared" si="0"/>
        <v>27</v>
      </c>
      <c r="C28" s="8">
        <v>11</v>
      </c>
      <c r="D28" s="7">
        <v>2022</v>
      </c>
      <c r="E28" s="9"/>
      <c r="F28" s="71">
        <f t="shared" si="1"/>
        <v>7.8100000000000003E-2</v>
      </c>
      <c r="G28" s="9"/>
      <c r="H28" s="10">
        <f t="shared" si="2"/>
        <v>0.15</v>
      </c>
      <c r="I28" s="9"/>
      <c r="J28" s="10">
        <f t="shared" si="3"/>
        <v>4.6500000000000004</v>
      </c>
      <c r="K28" s="76"/>
    </row>
    <row r="29" spans="1:11" ht="15" x14ac:dyDescent="0.25">
      <c r="A29" s="6" t="s">
        <v>50</v>
      </c>
      <c r="B29" s="7">
        <f t="shared" si="0"/>
        <v>28</v>
      </c>
      <c r="C29" s="8">
        <v>11</v>
      </c>
      <c r="D29" s="7">
        <v>2022</v>
      </c>
      <c r="E29" s="9"/>
      <c r="F29" s="71">
        <f t="shared" si="1"/>
        <v>7.8100000000000003E-2</v>
      </c>
      <c r="G29" s="9"/>
      <c r="H29" s="10">
        <f t="shared" si="2"/>
        <v>0.15</v>
      </c>
      <c r="I29" s="9"/>
      <c r="J29" s="10">
        <f t="shared" si="3"/>
        <v>4.6500000000000004</v>
      </c>
      <c r="K29" s="76"/>
    </row>
    <row r="30" spans="1:11" ht="15" x14ac:dyDescent="0.25">
      <c r="A30" s="6" t="s">
        <v>50</v>
      </c>
      <c r="B30" s="7">
        <f t="shared" si="0"/>
        <v>29</v>
      </c>
      <c r="C30" s="8">
        <v>11</v>
      </c>
      <c r="D30" s="7">
        <v>2022</v>
      </c>
      <c r="E30" s="9"/>
      <c r="F30" s="71">
        <f t="shared" si="1"/>
        <v>7.8100000000000003E-2</v>
      </c>
      <c r="G30" s="9"/>
      <c r="H30" s="10">
        <f t="shared" si="2"/>
        <v>0.15</v>
      </c>
      <c r="I30" s="9"/>
      <c r="J30" s="10">
        <f t="shared" si="3"/>
        <v>4.6500000000000004</v>
      </c>
      <c r="K30" s="76"/>
    </row>
    <row r="31" spans="1:11" ht="15" x14ac:dyDescent="0.25">
      <c r="A31" s="6" t="s">
        <v>50</v>
      </c>
      <c r="B31" s="7">
        <f t="shared" si="0"/>
        <v>30</v>
      </c>
      <c r="C31" s="8">
        <v>11</v>
      </c>
      <c r="D31" s="7">
        <v>2022</v>
      </c>
      <c r="E31" s="9"/>
      <c r="F31" s="71">
        <f>F29</f>
        <v>7.8100000000000003E-2</v>
      </c>
      <c r="G31" s="9"/>
      <c r="H31" s="10">
        <f>H29</f>
        <v>0.15</v>
      </c>
      <c r="I31" s="9"/>
      <c r="J31" s="10">
        <f>J29</f>
        <v>4.6500000000000004</v>
      </c>
      <c r="K31" s="76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topLeftCell="B4" workbookViewId="0">
      <selection activeCell="D4" sqref="D3:D32"/>
    </sheetView>
  </sheetViews>
  <sheetFormatPr defaultRowHeight="12.75" x14ac:dyDescent="0.2"/>
  <cols>
    <col min="1" max="1" width="14.570312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1" ht="60" x14ac:dyDescent="0.2">
      <c r="A1" s="1" t="s">
        <v>39</v>
      </c>
      <c r="B1" s="1" t="s">
        <v>40</v>
      </c>
      <c r="C1" s="2" t="s">
        <v>41</v>
      </c>
      <c r="D1" s="1" t="s">
        <v>42</v>
      </c>
      <c r="E1" s="3" t="s">
        <v>43</v>
      </c>
      <c r="F1" s="4" t="s">
        <v>44</v>
      </c>
      <c r="G1" s="3" t="s">
        <v>45</v>
      </c>
      <c r="H1" s="4" t="s">
        <v>46</v>
      </c>
      <c r="I1" s="3" t="s">
        <v>47</v>
      </c>
      <c r="J1" s="5" t="s">
        <v>48</v>
      </c>
      <c r="K1" s="3" t="s">
        <v>49</v>
      </c>
    </row>
    <row r="2" spans="1:11" ht="15" x14ac:dyDescent="0.25">
      <c r="A2" s="6" t="s">
        <v>50</v>
      </c>
      <c r="B2" s="7">
        <v>1</v>
      </c>
      <c r="C2" s="8">
        <v>12</v>
      </c>
      <c r="D2" s="7">
        <v>2022</v>
      </c>
      <c r="E2" s="9"/>
      <c r="F2" s="71">
        <f>DAILY!D7</f>
        <v>7.8100000000000003E-2</v>
      </c>
      <c r="G2" s="9"/>
      <c r="H2" s="10">
        <v>0.15</v>
      </c>
      <c r="I2" s="9"/>
      <c r="J2" s="10">
        <v>4.6500000000000004</v>
      </c>
      <c r="K2" s="72"/>
    </row>
    <row r="3" spans="1:11" ht="15" x14ac:dyDescent="0.25">
      <c r="A3" s="6" t="s">
        <v>50</v>
      </c>
      <c r="B3" s="7">
        <f>B2+1</f>
        <v>2</v>
      </c>
      <c r="C3" s="8">
        <v>12</v>
      </c>
      <c r="D3" s="7">
        <v>2022</v>
      </c>
      <c r="E3" s="9"/>
      <c r="F3" s="71">
        <f>F2</f>
        <v>7.8100000000000003E-2</v>
      </c>
      <c r="G3" s="9"/>
      <c r="H3" s="10">
        <f>H2</f>
        <v>0.15</v>
      </c>
      <c r="I3" s="9"/>
      <c r="J3" s="10">
        <f>J2</f>
        <v>4.6500000000000004</v>
      </c>
      <c r="K3" s="73"/>
    </row>
    <row r="4" spans="1:11" ht="15" x14ac:dyDescent="0.25">
      <c r="A4" s="6" t="s">
        <v>50</v>
      </c>
      <c r="B4" s="7">
        <f t="shared" ref="B4:B30" si="0">B3+1</f>
        <v>3</v>
      </c>
      <c r="C4" s="8">
        <v>12</v>
      </c>
      <c r="D4" s="7">
        <v>2022</v>
      </c>
      <c r="E4" s="9"/>
      <c r="F4" s="71">
        <f t="shared" ref="F4:F31" si="1">F3</f>
        <v>7.8100000000000003E-2</v>
      </c>
      <c r="G4" s="9"/>
      <c r="H4" s="10">
        <f t="shared" ref="H4:H31" si="2">H3</f>
        <v>0.15</v>
      </c>
      <c r="I4" s="9"/>
      <c r="J4" s="10">
        <f t="shared" ref="J4:J31" si="3">J3</f>
        <v>4.6500000000000004</v>
      </c>
      <c r="K4" s="73"/>
    </row>
    <row r="5" spans="1:11" ht="15" x14ac:dyDescent="0.25">
      <c r="A5" s="6" t="s">
        <v>50</v>
      </c>
      <c r="B5" s="7">
        <f t="shared" si="0"/>
        <v>4</v>
      </c>
      <c r="C5" s="8">
        <v>12</v>
      </c>
      <c r="D5" s="7">
        <v>2022</v>
      </c>
      <c r="E5" s="9"/>
      <c r="F5" s="71">
        <f t="shared" si="1"/>
        <v>7.8100000000000003E-2</v>
      </c>
      <c r="G5" s="9"/>
      <c r="H5" s="10">
        <f t="shared" si="2"/>
        <v>0.15</v>
      </c>
      <c r="I5" s="9"/>
      <c r="J5" s="10">
        <f t="shared" si="3"/>
        <v>4.6500000000000004</v>
      </c>
      <c r="K5" s="73"/>
    </row>
    <row r="6" spans="1:11" ht="15" x14ac:dyDescent="0.25">
      <c r="A6" s="6" t="s">
        <v>50</v>
      </c>
      <c r="B6" s="7">
        <f t="shared" si="0"/>
        <v>5</v>
      </c>
      <c r="C6" s="8">
        <v>12</v>
      </c>
      <c r="D6" s="7">
        <v>2022</v>
      </c>
      <c r="E6" s="9"/>
      <c r="F6" s="71">
        <f t="shared" si="1"/>
        <v>7.8100000000000003E-2</v>
      </c>
      <c r="G6" s="9"/>
      <c r="H6" s="10">
        <f t="shared" si="2"/>
        <v>0.15</v>
      </c>
      <c r="I6" s="9"/>
      <c r="J6" s="10">
        <f t="shared" si="3"/>
        <v>4.6500000000000004</v>
      </c>
      <c r="K6" s="73"/>
    </row>
    <row r="7" spans="1:11" ht="15" x14ac:dyDescent="0.25">
      <c r="A7" s="6" t="s">
        <v>50</v>
      </c>
      <c r="B7" s="7">
        <f t="shared" si="0"/>
        <v>6</v>
      </c>
      <c r="C7" s="8">
        <v>12</v>
      </c>
      <c r="D7" s="7">
        <v>2022</v>
      </c>
      <c r="E7" s="9"/>
      <c r="F7" s="71">
        <f t="shared" si="1"/>
        <v>7.8100000000000003E-2</v>
      </c>
      <c r="G7" s="9"/>
      <c r="H7" s="10">
        <f t="shared" si="2"/>
        <v>0.15</v>
      </c>
      <c r="I7" s="9"/>
      <c r="J7" s="10">
        <f t="shared" si="3"/>
        <v>4.6500000000000004</v>
      </c>
      <c r="K7" s="73"/>
    </row>
    <row r="8" spans="1:11" ht="15" x14ac:dyDescent="0.25">
      <c r="A8" s="6" t="s">
        <v>50</v>
      </c>
      <c r="B8" s="7">
        <f t="shared" si="0"/>
        <v>7</v>
      </c>
      <c r="C8" s="8">
        <v>12</v>
      </c>
      <c r="D8" s="7">
        <v>2022</v>
      </c>
      <c r="E8" s="9"/>
      <c r="F8" s="71">
        <f t="shared" si="1"/>
        <v>7.8100000000000003E-2</v>
      </c>
      <c r="G8" s="9"/>
      <c r="H8" s="10">
        <f t="shared" si="2"/>
        <v>0.15</v>
      </c>
      <c r="I8" s="9"/>
      <c r="J8" s="10">
        <f t="shared" si="3"/>
        <v>4.6500000000000004</v>
      </c>
      <c r="K8" s="73"/>
    </row>
    <row r="9" spans="1:11" ht="15" x14ac:dyDescent="0.25">
      <c r="A9" s="6" t="s">
        <v>50</v>
      </c>
      <c r="B9" s="7">
        <f t="shared" si="0"/>
        <v>8</v>
      </c>
      <c r="C9" s="8">
        <v>12</v>
      </c>
      <c r="D9" s="7">
        <v>2022</v>
      </c>
      <c r="E9" s="9"/>
      <c r="F9" s="71">
        <f t="shared" si="1"/>
        <v>7.8100000000000003E-2</v>
      </c>
      <c r="G9" s="9"/>
      <c r="H9" s="10">
        <f t="shared" si="2"/>
        <v>0.15</v>
      </c>
      <c r="I9" s="9"/>
      <c r="J9" s="10">
        <f t="shared" si="3"/>
        <v>4.6500000000000004</v>
      </c>
      <c r="K9" s="73"/>
    </row>
    <row r="10" spans="1:11" ht="15" x14ac:dyDescent="0.25">
      <c r="A10" s="6" t="s">
        <v>50</v>
      </c>
      <c r="B10" s="7">
        <f t="shared" si="0"/>
        <v>9</v>
      </c>
      <c r="C10" s="8">
        <v>12</v>
      </c>
      <c r="D10" s="7">
        <v>2022</v>
      </c>
      <c r="E10" s="9"/>
      <c r="F10" s="71">
        <f t="shared" si="1"/>
        <v>7.8100000000000003E-2</v>
      </c>
      <c r="G10" s="9"/>
      <c r="H10" s="10">
        <f t="shared" si="2"/>
        <v>0.15</v>
      </c>
      <c r="I10" s="9"/>
      <c r="J10" s="10">
        <f t="shared" si="3"/>
        <v>4.6500000000000004</v>
      </c>
      <c r="K10" s="73"/>
    </row>
    <row r="11" spans="1:11" ht="15" x14ac:dyDescent="0.25">
      <c r="A11" s="6" t="s">
        <v>50</v>
      </c>
      <c r="B11" s="7">
        <f t="shared" si="0"/>
        <v>10</v>
      </c>
      <c r="C11" s="8">
        <v>12</v>
      </c>
      <c r="D11" s="7">
        <v>2022</v>
      </c>
      <c r="E11" s="9"/>
      <c r="F11" s="71">
        <f t="shared" si="1"/>
        <v>7.8100000000000003E-2</v>
      </c>
      <c r="G11" s="9"/>
      <c r="H11" s="10">
        <f t="shared" si="2"/>
        <v>0.15</v>
      </c>
      <c r="I11" s="9"/>
      <c r="J11" s="10">
        <f t="shared" si="3"/>
        <v>4.6500000000000004</v>
      </c>
      <c r="K11" s="73"/>
    </row>
    <row r="12" spans="1:11" ht="15" x14ac:dyDescent="0.25">
      <c r="A12" s="6" t="s">
        <v>50</v>
      </c>
      <c r="B12" s="7">
        <f t="shared" si="0"/>
        <v>11</v>
      </c>
      <c r="C12" s="8">
        <v>12</v>
      </c>
      <c r="D12" s="7">
        <v>2022</v>
      </c>
      <c r="E12" s="9"/>
      <c r="F12" s="71">
        <f t="shared" si="1"/>
        <v>7.8100000000000003E-2</v>
      </c>
      <c r="G12" s="9"/>
      <c r="H12" s="10">
        <f t="shared" si="2"/>
        <v>0.15</v>
      </c>
      <c r="I12" s="9"/>
      <c r="J12" s="10">
        <f t="shared" si="3"/>
        <v>4.6500000000000004</v>
      </c>
      <c r="K12" s="73"/>
    </row>
    <row r="13" spans="1:11" ht="15" x14ac:dyDescent="0.25">
      <c r="A13" s="6" t="s">
        <v>50</v>
      </c>
      <c r="B13" s="7">
        <f t="shared" si="0"/>
        <v>12</v>
      </c>
      <c r="C13" s="8">
        <v>12</v>
      </c>
      <c r="D13" s="7">
        <v>2022</v>
      </c>
      <c r="E13" s="9"/>
      <c r="F13" s="71">
        <f t="shared" si="1"/>
        <v>7.8100000000000003E-2</v>
      </c>
      <c r="G13" s="9"/>
      <c r="H13" s="10">
        <f t="shared" si="2"/>
        <v>0.15</v>
      </c>
      <c r="I13" s="9"/>
      <c r="J13" s="10">
        <f t="shared" si="3"/>
        <v>4.6500000000000004</v>
      </c>
      <c r="K13" s="73"/>
    </row>
    <row r="14" spans="1:11" ht="15" x14ac:dyDescent="0.25">
      <c r="A14" s="6" t="s">
        <v>50</v>
      </c>
      <c r="B14" s="7">
        <f t="shared" si="0"/>
        <v>13</v>
      </c>
      <c r="C14" s="8">
        <v>12</v>
      </c>
      <c r="D14" s="7">
        <v>2022</v>
      </c>
      <c r="E14" s="9"/>
      <c r="F14" s="71">
        <f t="shared" si="1"/>
        <v>7.8100000000000003E-2</v>
      </c>
      <c r="G14" s="9"/>
      <c r="H14" s="10">
        <f t="shared" si="2"/>
        <v>0.15</v>
      </c>
      <c r="I14" s="9"/>
      <c r="J14" s="10">
        <f t="shared" si="3"/>
        <v>4.6500000000000004</v>
      </c>
      <c r="K14" s="73"/>
    </row>
    <row r="15" spans="1:11" ht="15" x14ac:dyDescent="0.25">
      <c r="A15" s="6" t="s">
        <v>50</v>
      </c>
      <c r="B15" s="7">
        <f t="shared" si="0"/>
        <v>14</v>
      </c>
      <c r="C15" s="8">
        <v>12</v>
      </c>
      <c r="D15" s="7">
        <v>2022</v>
      </c>
      <c r="E15" s="9"/>
      <c r="F15" s="71">
        <f t="shared" si="1"/>
        <v>7.8100000000000003E-2</v>
      </c>
      <c r="G15" s="9"/>
      <c r="H15" s="10">
        <f t="shared" si="2"/>
        <v>0.15</v>
      </c>
      <c r="I15" s="9"/>
      <c r="J15" s="10">
        <f t="shared" si="3"/>
        <v>4.6500000000000004</v>
      </c>
      <c r="K15" s="73"/>
    </row>
    <row r="16" spans="1:11" ht="15" x14ac:dyDescent="0.25">
      <c r="A16" s="6" t="s">
        <v>50</v>
      </c>
      <c r="B16" s="7">
        <f t="shared" si="0"/>
        <v>15</v>
      </c>
      <c r="C16" s="8">
        <v>12</v>
      </c>
      <c r="D16" s="7">
        <v>2022</v>
      </c>
      <c r="E16" s="9"/>
      <c r="F16" s="71">
        <f t="shared" si="1"/>
        <v>7.8100000000000003E-2</v>
      </c>
      <c r="G16" s="9"/>
      <c r="H16" s="10">
        <f t="shared" si="2"/>
        <v>0.15</v>
      </c>
      <c r="I16" s="9"/>
      <c r="J16" s="10">
        <f t="shared" si="3"/>
        <v>4.6500000000000004</v>
      </c>
      <c r="K16" s="73"/>
    </row>
    <row r="17" spans="1:11" ht="15" x14ac:dyDescent="0.25">
      <c r="A17" s="6" t="s">
        <v>50</v>
      </c>
      <c r="B17" s="7">
        <f t="shared" si="0"/>
        <v>16</v>
      </c>
      <c r="C17" s="8">
        <v>12</v>
      </c>
      <c r="D17" s="7">
        <v>2022</v>
      </c>
      <c r="E17" s="9"/>
      <c r="F17" s="71">
        <f t="shared" si="1"/>
        <v>7.8100000000000003E-2</v>
      </c>
      <c r="G17" s="9"/>
      <c r="H17" s="10">
        <f t="shared" si="2"/>
        <v>0.15</v>
      </c>
      <c r="I17" s="9"/>
      <c r="J17" s="10">
        <f t="shared" si="3"/>
        <v>4.6500000000000004</v>
      </c>
      <c r="K17" s="73"/>
    </row>
    <row r="18" spans="1:11" ht="15" x14ac:dyDescent="0.25">
      <c r="A18" s="6" t="s">
        <v>50</v>
      </c>
      <c r="B18" s="7">
        <f t="shared" si="0"/>
        <v>17</v>
      </c>
      <c r="C18" s="8">
        <v>12</v>
      </c>
      <c r="D18" s="7">
        <v>2022</v>
      </c>
      <c r="E18" s="9"/>
      <c r="F18" s="71">
        <f t="shared" si="1"/>
        <v>7.8100000000000003E-2</v>
      </c>
      <c r="G18" s="9"/>
      <c r="H18" s="10">
        <f t="shared" si="2"/>
        <v>0.15</v>
      </c>
      <c r="I18" s="9"/>
      <c r="J18" s="10">
        <f t="shared" si="3"/>
        <v>4.6500000000000004</v>
      </c>
      <c r="K18" s="73"/>
    </row>
    <row r="19" spans="1:11" ht="15" x14ac:dyDescent="0.25">
      <c r="A19" s="6" t="s">
        <v>50</v>
      </c>
      <c r="B19" s="7">
        <f t="shared" si="0"/>
        <v>18</v>
      </c>
      <c r="C19" s="8">
        <v>12</v>
      </c>
      <c r="D19" s="7">
        <v>2022</v>
      </c>
      <c r="E19" s="9"/>
      <c r="F19" s="71">
        <f t="shared" si="1"/>
        <v>7.8100000000000003E-2</v>
      </c>
      <c r="G19" s="9"/>
      <c r="H19" s="10">
        <f t="shared" si="2"/>
        <v>0.15</v>
      </c>
      <c r="I19" s="9"/>
      <c r="J19" s="10">
        <f t="shared" si="3"/>
        <v>4.6500000000000004</v>
      </c>
      <c r="K19" s="73"/>
    </row>
    <row r="20" spans="1:11" ht="15" x14ac:dyDescent="0.25">
      <c r="A20" s="6" t="s">
        <v>50</v>
      </c>
      <c r="B20" s="7">
        <f t="shared" si="0"/>
        <v>19</v>
      </c>
      <c r="C20" s="8">
        <v>12</v>
      </c>
      <c r="D20" s="7">
        <v>2022</v>
      </c>
      <c r="E20" s="9"/>
      <c r="F20" s="71">
        <f t="shared" si="1"/>
        <v>7.8100000000000003E-2</v>
      </c>
      <c r="G20" s="9"/>
      <c r="H20" s="10">
        <f t="shared" si="2"/>
        <v>0.15</v>
      </c>
      <c r="I20" s="9"/>
      <c r="J20" s="10">
        <f t="shared" si="3"/>
        <v>4.6500000000000004</v>
      </c>
      <c r="K20" s="73"/>
    </row>
    <row r="21" spans="1:11" ht="15" x14ac:dyDescent="0.25">
      <c r="A21" s="6" t="s">
        <v>50</v>
      </c>
      <c r="B21" s="7">
        <f t="shared" si="0"/>
        <v>20</v>
      </c>
      <c r="C21" s="8">
        <v>12</v>
      </c>
      <c r="D21" s="7">
        <v>2022</v>
      </c>
      <c r="E21" s="9"/>
      <c r="F21" s="71">
        <f t="shared" si="1"/>
        <v>7.8100000000000003E-2</v>
      </c>
      <c r="G21" s="9"/>
      <c r="H21" s="10">
        <f t="shared" si="2"/>
        <v>0.15</v>
      </c>
      <c r="I21" s="9"/>
      <c r="J21" s="10">
        <f t="shared" si="3"/>
        <v>4.6500000000000004</v>
      </c>
      <c r="K21" s="73"/>
    </row>
    <row r="22" spans="1:11" ht="15" x14ac:dyDescent="0.25">
      <c r="A22" s="6" t="s">
        <v>50</v>
      </c>
      <c r="B22" s="7">
        <f t="shared" si="0"/>
        <v>21</v>
      </c>
      <c r="C22" s="8">
        <v>12</v>
      </c>
      <c r="D22" s="7">
        <v>2022</v>
      </c>
      <c r="E22" s="9"/>
      <c r="F22" s="71">
        <f t="shared" si="1"/>
        <v>7.8100000000000003E-2</v>
      </c>
      <c r="G22" s="9"/>
      <c r="H22" s="10">
        <f t="shared" si="2"/>
        <v>0.15</v>
      </c>
      <c r="I22" s="9"/>
      <c r="J22" s="10">
        <f t="shared" si="3"/>
        <v>4.6500000000000004</v>
      </c>
      <c r="K22" s="73"/>
    </row>
    <row r="23" spans="1:11" ht="15" x14ac:dyDescent="0.25">
      <c r="A23" s="6" t="s">
        <v>50</v>
      </c>
      <c r="B23" s="7">
        <f t="shared" si="0"/>
        <v>22</v>
      </c>
      <c r="C23" s="8">
        <v>12</v>
      </c>
      <c r="D23" s="7">
        <v>2022</v>
      </c>
      <c r="E23" s="9"/>
      <c r="F23" s="71">
        <f t="shared" si="1"/>
        <v>7.8100000000000003E-2</v>
      </c>
      <c r="G23" s="9"/>
      <c r="H23" s="10">
        <f t="shared" si="2"/>
        <v>0.15</v>
      </c>
      <c r="I23" s="9"/>
      <c r="J23" s="10">
        <f t="shared" si="3"/>
        <v>4.6500000000000004</v>
      </c>
      <c r="K23" s="73"/>
    </row>
    <row r="24" spans="1:11" ht="15" x14ac:dyDescent="0.25">
      <c r="A24" s="6" t="s">
        <v>50</v>
      </c>
      <c r="B24" s="7">
        <f t="shared" si="0"/>
        <v>23</v>
      </c>
      <c r="C24" s="8">
        <v>12</v>
      </c>
      <c r="D24" s="7">
        <v>2022</v>
      </c>
      <c r="E24" s="9"/>
      <c r="F24" s="71">
        <f t="shared" si="1"/>
        <v>7.8100000000000003E-2</v>
      </c>
      <c r="G24" s="9"/>
      <c r="H24" s="10">
        <f t="shared" si="2"/>
        <v>0.15</v>
      </c>
      <c r="I24" s="9"/>
      <c r="J24" s="10">
        <f t="shared" si="3"/>
        <v>4.6500000000000004</v>
      </c>
      <c r="K24" s="73"/>
    </row>
    <row r="25" spans="1:11" ht="15" x14ac:dyDescent="0.25">
      <c r="A25" s="6" t="s">
        <v>50</v>
      </c>
      <c r="B25" s="7">
        <f t="shared" si="0"/>
        <v>24</v>
      </c>
      <c r="C25" s="8">
        <v>12</v>
      </c>
      <c r="D25" s="7">
        <v>2022</v>
      </c>
      <c r="E25" s="9"/>
      <c r="F25" s="71">
        <f t="shared" si="1"/>
        <v>7.8100000000000003E-2</v>
      </c>
      <c r="G25" s="9"/>
      <c r="H25" s="10">
        <f t="shared" si="2"/>
        <v>0.15</v>
      </c>
      <c r="I25" s="9"/>
      <c r="J25" s="10">
        <f t="shared" si="3"/>
        <v>4.6500000000000004</v>
      </c>
      <c r="K25" s="73"/>
    </row>
    <row r="26" spans="1:11" ht="15" x14ac:dyDescent="0.25">
      <c r="A26" s="6" t="s">
        <v>50</v>
      </c>
      <c r="B26" s="7">
        <f>B25+1</f>
        <v>25</v>
      </c>
      <c r="C26" s="8">
        <v>12</v>
      </c>
      <c r="D26" s="7">
        <v>2022</v>
      </c>
      <c r="E26" s="9"/>
      <c r="F26" s="71">
        <f t="shared" si="1"/>
        <v>7.8100000000000003E-2</v>
      </c>
      <c r="G26" s="9"/>
      <c r="H26" s="10">
        <f t="shared" si="2"/>
        <v>0.15</v>
      </c>
      <c r="I26" s="9"/>
      <c r="J26" s="10">
        <f t="shared" si="3"/>
        <v>4.6500000000000004</v>
      </c>
      <c r="K26" s="73"/>
    </row>
    <row r="27" spans="1:11" ht="15" x14ac:dyDescent="0.25">
      <c r="A27" s="6" t="s">
        <v>50</v>
      </c>
      <c r="B27" s="7">
        <f t="shared" si="0"/>
        <v>26</v>
      </c>
      <c r="C27" s="8">
        <v>12</v>
      </c>
      <c r="D27" s="7">
        <v>2022</v>
      </c>
      <c r="E27" s="9"/>
      <c r="F27" s="71">
        <f t="shared" si="1"/>
        <v>7.8100000000000003E-2</v>
      </c>
      <c r="G27" s="9"/>
      <c r="H27" s="10">
        <f t="shared" si="2"/>
        <v>0.15</v>
      </c>
      <c r="I27" s="9"/>
      <c r="J27" s="10">
        <f t="shared" si="3"/>
        <v>4.6500000000000004</v>
      </c>
      <c r="K27" s="73"/>
    </row>
    <row r="28" spans="1:11" ht="15" x14ac:dyDescent="0.25">
      <c r="A28" s="6" t="s">
        <v>50</v>
      </c>
      <c r="B28" s="7">
        <f t="shared" si="0"/>
        <v>27</v>
      </c>
      <c r="C28" s="8">
        <v>12</v>
      </c>
      <c r="D28" s="7">
        <v>2022</v>
      </c>
      <c r="E28" s="9"/>
      <c r="F28" s="71">
        <f t="shared" si="1"/>
        <v>7.8100000000000003E-2</v>
      </c>
      <c r="G28" s="9"/>
      <c r="H28" s="10">
        <f t="shared" si="2"/>
        <v>0.15</v>
      </c>
      <c r="I28" s="9"/>
      <c r="J28" s="10">
        <f t="shared" si="3"/>
        <v>4.6500000000000004</v>
      </c>
      <c r="K28" s="73"/>
    </row>
    <row r="29" spans="1:11" ht="15" x14ac:dyDescent="0.25">
      <c r="A29" s="6" t="s">
        <v>50</v>
      </c>
      <c r="B29" s="7">
        <f t="shared" si="0"/>
        <v>28</v>
      </c>
      <c r="C29" s="8">
        <v>12</v>
      </c>
      <c r="D29" s="7">
        <v>2022</v>
      </c>
      <c r="E29" s="9"/>
      <c r="F29" s="71">
        <f t="shared" si="1"/>
        <v>7.8100000000000003E-2</v>
      </c>
      <c r="G29" s="9"/>
      <c r="H29" s="10">
        <f t="shared" si="2"/>
        <v>0.15</v>
      </c>
      <c r="I29" s="9"/>
      <c r="J29" s="10">
        <f t="shared" si="3"/>
        <v>4.6500000000000004</v>
      </c>
      <c r="K29" s="73"/>
    </row>
    <row r="30" spans="1:11" ht="15" x14ac:dyDescent="0.25">
      <c r="A30" s="6" t="s">
        <v>50</v>
      </c>
      <c r="B30" s="7">
        <f t="shared" si="0"/>
        <v>29</v>
      </c>
      <c r="C30" s="8">
        <v>12</v>
      </c>
      <c r="D30" s="7">
        <v>2022</v>
      </c>
      <c r="E30" s="9"/>
      <c r="F30" s="71">
        <f t="shared" si="1"/>
        <v>7.8100000000000003E-2</v>
      </c>
      <c r="G30" s="9"/>
      <c r="H30" s="10">
        <f t="shared" si="2"/>
        <v>0.15</v>
      </c>
      <c r="I30" s="9"/>
      <c r="J30" s="10">
        <f t="shared" si="3"/>
        <v>4.6500000000000004</v>
      </c>
      <c r="K30" s="73"/>
    </row>
    <row r="31" spans="1:11" ht="15" x14ac:dyDescent="0.25">
      <c r="A31" s="6" t="s">
        <v>50</v>
      </c>
      <c r="B31" s="7">
        <v>30</v>
      </c>
      <c r="C31" s="8">
        <v>12</v>
      </c>
      <c r="D31" s="7">
        <v>2022</v>
      </c>
      <c r="E31" s="9"/>
      <c r="F31" s="71">
        <f t="shared" si="1"/>
        <v>7.8100000000000003E-2</v>
      </c>
      <c r="G31" s="9"/>
      <c r="H31" s="10">
        <f t="shared" si="2"/>
        <v>0.15</v>
      </c>
      <c r="I31" s="9"/>
      <c r="J31" s="10">
        <f t="shared" si="3"/>
        <v>4.6500000000000004</v>
      </c>
      <c r="K31" s="73"/>
    </row>
    <row r="32" spans="1:11" ht="15" x14ac:dyDescent="0.25">
      <c r="A32" s="6" t="s">
        <v>50</v>
      </c>
      <c r="B32" s="7">
        <v>31</v>
      </c>
      <c r="C32" s="8">
        <v>12</v>
      </c>
      <c r="D32" s="7">
        <v>2022</v>
      </c>
      <c r="E32" s="9"/>
      <c r="F32" s="71">
        <f>F29</f>
        <v>7.8100000000000003E-2</v>
      </c>
      <c r="G32" s="9"/>
      <c r="H32" s="10">
        <f>H29</f>
        <v>0.15</v>
      </c>
      <c r="I32" s="9"/>
      <c r="J32" s="10">
        <f>J29</f>
        <v>4.6500000000000004</v>
      </c>
      <c r="K32" s="7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2" ma:contentTypeDescription="Create a new document." ma:contentTypeScope="" ma:versionID="bbf774514f8fa874b43d1d4fe6f4055d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9ec5f32ff4833a690ff00fcde5e84b4c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C79458B-F713-4F9C-A673-1922DB97B99C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DB1667E2-6B47-4D3C-91A0-E8B00937174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2AA58C6-7F33-4E85-9DDD-1745B29C8F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e11796f-5f26-4c51-a1e5-22e0f1616a71"/>
    <ds:schemaRef ds:uri="a2b08d59-ce98-408b-b7f1-7ea559ce0d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5</vt:i4>
      </vt:variant>
    </vt:vector>
  </HeadingPairs>
  <TitlesOfParts>
    <vt:vector size="18" baseType="lpstr">
      <vt:lpstr>Apr</vt:lpstr>
      <vt:lpstr>DAILY</vt:lpstr>
      <vt:lpstr>Jan</vt:lpstr>
      <vt:lpstr>Feb</vt:lpstr>
      <vt:lpstr>Mar</vt:lpstr>
      <vt:lpstr>May</vt:lpstr>
      <vt:lpstr>Jun</vt:lpstr>
      <vt:lpstr>July</vt:lpstr>
      <vt:lpstr>August </vt:lpstr>
      <vt:lpstr>September</vt:lpstr>
      <vt:lpstr>October</vt:lpstr>
      <vt:lpstr>November</vt:lpstr>
      <vt:lpstr>December</vt:lpstr>
      <vt:lpstr>DAILY!Electricity</vt:lpstr>
      <vt:lpstr>DAILY!GASHP</vt:lpstr>
      <vt:lpstr>DAILY!GASLP</vt:lpstr>
      <vt:lpstr>DAILY!GASWW</vt:lpstr>
      <vt:lpstr>DAILY!WATER</vt:lpstr>
    </vt:vector>
  </TitlesOfParts>
  <Manager/>
  <Company>FSRB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engchief</dc:creator>
  <cp:keywords/>
  <dc:description/>
  <cp:lastModifiedBy>Meron Taddese</cp:lastModifiedBy>
  <cp:revision/>
  <dcterms:created xsi:type="dcterms:W3CDTF">2009-02-11T09:03:59Z</dcterms:created>
  <dcterms:modified xsi:type="dcterms:W3CDTF">2022-05-03T16:33:30Z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</Properties>
</file>