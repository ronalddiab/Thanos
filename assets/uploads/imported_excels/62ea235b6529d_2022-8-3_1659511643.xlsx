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CE6DA734-AFF1-410A-AF07-71FEA9583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 July" sheetId="7" r:id="rId6"/>
  </sheets>
  <externalReferences>
    <externalReference r:id="rId7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1" i="7" l="1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4" i="7"/>
  <c r="H4" i="7"/>
  <c r="E34" i="10"/>
  <c r="C34" i="10"/>
  <c r="A37" i="10"/>
  <c r="C12" i="1"/>
  <c r="C13" i="1"/>
  <c r="C14" i="1"/>
  <c r="C6" i="1"/>
  <c r="C7" i="1"/>
  <c r="C18" i="10"/>
  <c r="H17" i="7"/>
  <c r="H18" i="7"/>
  <c r="J35" i="10"/>
  <c r="I35" i="10"/>
  <c r="E33" i="10"/>
  <c r="C33" i="10"/>
  <c r="E32" i="10"/>
  <c r="C32" i="10"/>
  <c r="E31" i="10"/>
  <c r="C31" i="10"/>
  <c r="E30" i="10"/>
  <c r="C30" i="10"/>
  <c r="E29" i="10"/>
  <c r="C29" i="10"/>
  <c r="E28" i="10"/>
  <c r="C28" i="10"/>
  <c r="E27" i="10"/>
  <c r="C27" i="10"/>
  <c r="E26" i="10"/>
  <c r="C26" i="10"/>
  <c r="E25" i="10"/>
  <c r="C25" i="10"/>
  <c r="E24" i="10"/>
  <c r="C24" i="10"/>
  <c r="E23" i="10"/>
  <c r="C23" i="10"/>
  <c r="E22" i="10"/>
  <c r="C22" i="10"/>
  <c r="E21" i="10"/>
  <c r="C21" i="10"/>
  <c r="E20" i="10"/>
  <c r="C20" i="10"/>
  <c r="E19" i="10"/>
  <c r="C19" i="10"/>
  <c r="E18" i="10"/>
  <c r="E17" i="10"/>
  <c r="C17" i="10"/>
  <c r="E16" i="10"/>
  <c r="C16" i="10"/>
  <c r="E15" i="10"/>
  <c r="C15" i="10"/>
  <c r="E14" i="10"/>
  <c r="C14" i="10"/>
  <c r="E13" i="10"/>
  <c r="C13" i="10"/>
  <c r="E12" i="10"/>
  <c r="C12" i="10"/>
  <c r="E11" i="10"/>
  <c r="C11" i="10"/>
  <c r="E10" i="10"/>
  <c r="C10" i="10"/>
  <c r="E9" i="10"/>
  <c r="C9" i="10"/>
  <c r="E8" i="10"/>
  <c r="C8" i="10"/>
  <c r="E7" i="10"/>
  <c r="C7" i="10"/>
  <c r="E6" i="10"/>
  <c r="C6" i="10"/>
  <c r="E5" i="10"/>
  <c r="C5" i="10"/>
  <c r="E4" i="10"/>
  <c r="C4" i="10"/>
  <c r="J35" i="9"/>
  <c r="I35" i="9"/>
  <c r="J34" i="9"/>
  <c r="I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E4" i="9"/>
  <c r="C4" i="9"/>
  <c r="J35" i="8"/>
  <c r="I35" i="8"/>
  <c r="J34" i="8"/>
  <c r="I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C27" i="8"/>
  <c r="E26" i="8"/>
  <c r="C26" i="8"/>
  <c r="E25" i="8"/>
  <c r="C25" i="8"/>
  <c r="E24" i="8"/>
  <c r="C24" i="8"/>
  <c r="E23" i="8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G15" i="6"/>
  <c r="A37" i="7"/>
  <c r="H34" i="7"/>
  <c r="H33" i="7"/>
  <c r="I33" i="7"/>
  <c r="H31" i="6"/>
  <c r="H32" i="7"/>
  <c r="I32" i="7"/>
  <c r="H30" i="6"/>
  <c r="I31" i="7"/>
  <c r="H29" i="6"/>
  <c r="H30" i="7"/>
  <c r="I30" i="7"/>
  <c r="H28" i="6"/>
  <c r="H29" i="7"/>
  <c r="I29" i="7"/>
  <c r="H27" i="6"/>
  <c r="H28" i="7"/>
  <c r="I28" i="7"/>
  <c r="H26" i="6"/>
  <c r="H27" i="7"/>
  <c r="I27" i="7"/>
  <c r="H25" i="6"/>
  <c r="H26" i="7"/>
  <c r="I26" i="7"/>
  <c r="H24" i="6"/>
  <c r="H25" i="7"/>
  <c r="I25" i="7"/>
  <c r="H23" i="6"/>
  <c r="H24" i="7"/>
  <c r="I24" i="7"/>
  <c r="H22" i="6"/>
  <c r="H23" i="7"/>
  <c r="I23" i="7"/>
  <c r="H21" i="6"/>
  <c r="H22" i="7"/>
  <c r="I22" i="7"/>
  <c r="H20" i="6"/>
  <c r="H21" i="7"/>
  <c r="I21" i="7"/>
  <c r="H19" i="6"/>
  <c r="H20" i="7"/>
  <c r="I20" i="7"/>
  <c r="H18" i="6"/>
  <c r="H19" i="7"/>
  <c r="I19" i="7"/>
  <c r="H17" i="6"/>
  <c r="I18" i="7"/>
  <c r="H16" i="6"/>
  <c r="G16" i="6"/>
  <c r="I17" i="7"/>
  <c r="H15" i="6"/>
  <c r="H16" i="7"/>
  <c r="I16" i="7"/>
  <c r="H14" i="6"/>
  <c r="H15" i="7"/>
  <c r="I15" i="7"/>
  <c r="H13" i="6"/>
  <c r="H14" i="7"/>
  <c r="G12" i="6"/>
  <c r="H13" i="7"/>
  <c r="I13" i="7"/>
  <c r="H11" i="6"/>
  <c r="H12" i="7"/>
  <c r="I12" i="7"/>
  <c r="H10" i="6"/>
  <c r="H11" i="7"/>
  <c r="I11" i="7"/>
  <c r="H9" i="6"/>
  <c r="H10" i="7"/>
  <c r="G8" i="6"/>
  <c r="H9" i="7"/>
  <c r="I9" i="7"/>
  <c r="H7" i="6"/>
  <c r="H8" i="7"/>
  <c r="I8" i="7"/>
  <c r="H6" i="6"/>
  <c r="H7" i="7"/>
  <c r="I7" i="7"/>
  <c r="H5" i="6"/>
  <c r="H6" i="7"/>
  <c r="G4" i="6"/>
  <c r="H5" i="7"/>
  <c r="I5" i="7"/>
  <c r="H3" i="6"/>
  <c r="G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H32" i="6"/>
  <c r="G32" i="6"/>
  <c r="G30" i="6"/>
  <c r="I17" i="8"/>
  <c r="I14" i="9"/>
  <c r="I18" i="9"/>
  <c r="I30" i="9"/>
  <c r="I32" i="10"/>
  <c r="I20" i="10"/>
  <c r="G27" i="6"/>
  <c r="I19" i="10"/>
  <c r="I27" i="10"/>
  <c r="J34" i="10"/>
  <c r="J33" i="10"/>
  <c r="I28" i="10"/>
  <c r="I8" i="10"/>
  <c r="I16" i="10"/>
  <c r="I16" i="9"/>
  <c r="I32" i="9"/>
  <c r="J33" i="9"/>
  <c r="I31" i="10"/>
  <c r="I31" i="8"/>
  <c r="J30" i="10"/>
  <c r="J29" i="10"/>
  <c r="J30" i="8"/>
  <c r="J29" i="8"/>
  <c r="I24" i="10"/>
  <c r="I23" i="10"/>
  <c r="I24" i="9"/>
  <c r="I22" i="9"/>
  <c r="I21" i="9"/>
  <c r="I20" i="9"/>
  <c r="J20" i="8"/>
  <c r="J24" i="8"/>
  <c r="J28" i="8"/>
  <c r="J32" i="8"/>
  <c r="I7" i="9"/>
  <c r="I23" i="9"/>
  <c r="G21" i="6"/>
  <c r="J31" i="9"/>
  <c r="G20" i="6"/>
  <c r="I21" i="8"/>
  <c r="I25" i="8"/>
  <c r="I33" i="8"/>
  <c r="J32" i="9"/>
  <c r="G14" i="6"/>
  <c r="I14" i="8"/>
  <c r="I18" i="8"/>
  <c r="I22" i="8"/>
  <c r="I26" i="8"/>
  <c r="I15" i="10"/>
  <c r="J19" i="8"/>
  <c r="J23" i="8"/>
  <c r="J27" i="8"/>
  <c r="J31" i="8"/>
  <c r="J30" i="9"/>
  <c r="I12" i="10"/>
  <c r="I11" i="10"/>
  <c r="I12" i="9"/>
  <c r="I10" i="9"/>
  <c r="J16" i="8"/>
  <c r="C37" i="8"/>
  <c r="J15" i="8"/>
  <c r="I13" i="8"/>
  <c r="J12" i="8"/>
  <c r="J11" i="8"/>
  <c r="I10" i="8"/>
  <c r="I9" i="8"/>
  <c r="J8" i="8"/>
  <c r="I7" i="10"/>
  <c r="I6" i="9"/>
  <c r="I5" i="9"/>
  <c r="I4" i="9"/>
  <c r="J7" i="8"/>
  <c r="I6" i="8"/>
  <c r="I5" i="8"/>
  <c r="G25" i="6"/>
  <c r="J6" i="8"/>
  <c r="J10" i="8"/>
  <c r="J14" i="8"/>
  <c r="J18" i="8"/>
  <c r="J22" i="8"/>
  <c r="J26" i="8"/>
  <c r="I32" i="8"/>
  <c r="J20" i="9"/>
  <c r="I6" i="10"/>
  <c r="I10" i="10"/>
  <c r="I14" i="10"/>
  <c r="I18" i="10"/>
  <c r="I22" i="10"/>
  <c r="I26" i="10"/>
  <c r="I30" i="10"/>
  <c r="I34" i="10"/>
  <c r="E32" i="6"/>
  <c r="F32" i="6"/>
  <c r="I29" i="8"/>
  <c r="J33" i="8"/>
  <c r="J14" i="9"/>
  <c r="I17" i="9"/>
  <c r="I28" i="9"/>
  <c r="J31" i="10"/>
  <c r="I14" i="7"/>
  <c r="H12" i="6"/>
  <c r="G31" i="6"/>
  <c r="I7" i="8"/>
  <c r="I11" i="8"/>
  <c r="I15" i="8"/>
  <c r="I19" i="8"/>
  <c r="I23" i="8"/>
  <c r="I30" i="8"/>
  <c r="J18" i="9"/>
  <c r="I29" i="9"/>
  <c r="I31" i="9"/>
  <c r="I33" i="9"/>
  <c r="J28" i="10"/>
  <c r="J32" i="10"/>
  <c r="C36" i="8"/>
  <c r="I27" i="8"/>
  <c r="G29" i="6"/>
  <c r="G13" i="6"/>
  <c r="E36" i="8"/>
  <c r="I8" i="8"/>
  <c r="I12" i="8"/>
  <c r="I16" i="8"/>
  <c r="I20" i="8"/>
  <c r="I24" i="8"/>
  <c r="I8" i="9"/>
  <c r="I10" i="7"/>
  <c r="H8" i="6"/>
  <c r="G28" i="6"/>
  <c r="J5" i="8"/>
  <c r="J9" i="8"/>
  <c r="J13" i="8"/>
  <c r="J17" i="8"/>
  <c r="J21" i="8"/>
  <c r="J25" i="8"/>
  <c r="I28" i="8"/>
  <c r="I5" i="10"/>
  <c r="I9" i="10"/>
  <c r="I13" i="10"/>
  <c r="I17" i="10"/>
  <c r="I21" i="10"/>
  <c r="I25" i="10"/>
  <c r="I29" i="10"/>
  <c r="I33" i="10"/>
  <c r="I4" i="10"/>
  <c r="J4" i="9"/>
  <c r="G17" i="6"/>
  <c r="G9" i="6"/>
  <c r="G26" i="6"/>
  <c r="G18" i="6"/>
  <c r="G10" i="6"/>
  <c r="I6" i="7"/>
  <c r="H4" i="6"/>
  <c r="G19" i="6"/>
  <c r="G11" i="6"/>
  <c r="G3" i="6"/>
  <c r="G5" i="6"/>
  <c r="G22" i="6"/>
  <c r="G6" i="6"/>
  <c r="H36" i="7"/>
  <c r="J35" i="7"/>
  <c r="G23" i="6"/>
  <c r="G7" i="6"/>
  <c r="G24" i="6"/>
  <c r="J9" i="10"/>
  <c r="J17" i="10"/>
  <c r="J25" i="10"/>
  <c r="J4" i="10"/>
  <c r="J12" i="10"/>
  <c r="J20" i="10"/>
  <c r="J11" i="10"/>
  <c r="J23" i="10"/>
  <c r="J5" i="10"/>
  <c r="J13" i="10"/>
  <c r="J21" i="10"/>
  <c r="J8" i="10"/>
  <c r="J16" i="10"/>
  <c r="J24" i="10"/>
  <c r="J7" i="10"/>
  <c r="J15" i="10"/>
  <c r="J19" i="10"/>
  <c r="J6" i="10"/>
  <c r="J10" i="10"/>
  <c r="J14" i="10"/>
  <c r="J18" i="10"/>
  <c r="J22" i="10"/>
  <c r="J6" i="9"/>
  <c r="I9" i="9"/>
  <c r="J22" i="9"/>
  <c r="I25" i="9"/>
  <c r="J12" i="9"/>
  <c r="I15" i="9"/>
  <c r="J10" i="9"/>
  <c r="I19" i="9"/>
  <c r="I13" i="9"/>
  <c r="J8" i="9"/>
  <c r="I11" i="9"/>
  <c r="J24" i="9"/>
  <c r="J16" i="9"/>
  <c r="J29" i="9"/>
  <c r="J7" i="9"/>
  <c r="J11" i="9"/>
  <c r="J15" i="9"/>
  <c r="J17" i="9"/>
  <c r="J21" i="9"/>
  <c r="J25" i="9"/>
  <c r="J5" i="9"/>
  <c r="J9" i="9"/>
  <c r="J13" i="9"/>
  <c r="J19" i="9"/>
  <c r="J23" i="9"/>
  <c r="J28" i="9"/>
  <c r="J27" i="10"/>
  <c r="J26" i="10"/>
  <c r="E36" i="9"/>
  <c r="I26" i="9"/>
  <c r="I27" i="9"/>
  <c r="J26" i="9"/>
  <c r="J27" i="9"/>
  <c r="C36" i="9"/>
  <c r="J4" i="8"/>
  <c r="C36" i="10"/>
  <c r="I4" i="8"/>
  <c r="E36" i="10"/>
  <c r="I4" i="7"/>
  <c r="C4" i="1"/>
  <c r="E4" i="1"/>
  <c r="C5" i="1"/>
  <c r="E5" i="1"/>
  <c r="E6" i="1"/>
  <c r="E7" i="1"/>
  <c r="C8" i="1"/>
  <c r="E8" i="1"/>
  <c r="C9" i="1"/>
  <c r="E9" i="1"/>
  <c r="C10" i="1"/>
  <c r="E10" i="1"/>
  <c r="C11" i="1"/>
  <c r="E11" i="1"/>
  <c r="E12" i="1"/>
  <c r="E13" i="1"/>
  <c r="H4" i="1"/>
  <c r="E15" i="6"/>
  <c r="F15" i="6"/>
  <c r="E28" i="6"/>
  <c r="F28" i="6"/>
  <c r="E17" i="6"/>
  <c r="F17" i="6"/>
  <c r="E14" i="6"/>
  <c r="F14" i="6"/>
  <c r="E30" i="6"/>
  <c r="F30" i="6"/>
  <c r="E4" i="6"/>
  <c r="F4" i="6"/>
  <c r="E25" i="6"/>
  <c r="F25" i="6"/>
  <c r="E29" i="6"/>
  <c r="F29" i="6"/>
  <c r="E26" i="6"/>
  <c r="F26" i="6"/>
  <c r="E24" i="6"/>
  <c r="F24" i="6"/>
  <c r="E21" i="6"/>
  <c r="F21" i="6"/>
  <c r="E22" i="6"/>
  <c r="F22" i="6"/>
  <c r="E27" i="6"/>
  <c r="F27" i="6"/>
  <c r="E19" i="6"/>
  <c r="F19" i="6"/>
  <c r="E18" i="6"/>
  <c r="F18" i="6"/>
  <c r="E20" i="6"/>
  <c r="F20" i="6"/>
  <c r="E31" i="6"/>
  <c r="F31" i="6"/>
  <c r="E16" i="6"/>
  <c r="F16" i="6"/>
  <c r="E23" i="6"/>
  <c r="F23" i="6"/>
  <c r="E12" i="6"/>
  <c r="F12" i="6"/>
  <c r="E10" i="6"/>
  <c r="F10" i="6"/>
  <c r="E8" i="6"/>
  <c r="F8" i="6"/>
  <c r="E13" i="6"/>
  <c r="F13" i="6"/>
  <c r="E11" i="6"/>
  <c r="F11" i="6"/>
  <c r="E5" i="6"/>
  <c r="F5" i="6"/>
  <c r="E3" i="6"/>
  <c r="F3" i="6"/>
  <c r="I36" i="8"/>
  <c r="J36" i="8"/>
  <c r="E6" i="6"/>
  <c r="F6" i="6"/>
  <c r="E9" i="6"/>
  <c r="F9" i="6"/>
  <c r="E7" i="6"/>
  <c r="F7" i="6"/>
  <c r="E2" i="6"/>
  <c r="F2" i="6"/>
  <c r="I36" i="7"/>
  <c r="H2" i="6"/>
  <c r="I36" i="10"/>
  <c r="J36" i="9"/>
  <c r="I36" i="9"/>
  <c r="J36" i="10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9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I34" i="1"/>
  <c r="I26" i="1"/>
  <c r="I25" i="1"/>
  <c r="I22" i="1"/>
  <c r="I17" i="1"/>
  <c r="I14" i="1"/>
  <c r="I23" i="1"/>
  <c r="H15" i="1"/>
  <c r="I13" i="6"/>
  <c r="I24" i="1"/>
  <c r="I16" i="1"/>
  <c r="I33" i="1"/>
  <c r="I31" i="1"/>
  <c r="I30" i="1"/>
  <c r="I27" i="1"/>
  <c r="I19" i="1"/>
  <c r="I20" i="1"/>
  <c r="I21" i="1"/>
  <c r="I28" i="1"/>
  <c r="I29" i="1"/>
  <c r="I32" i="1"/>
  <c r="I18" i="1"/>
  <c r="H32" i="1"/>
  <c r="I30" i="6"/>
  <c r="H28" i="1"/>
  <c r="I26" i="6"/>
  <c r="H24" i="1"/>
  <c r="I22" i="6"/>
  <c r="H20" i="1"/>
  <c r="I18" i="6"/>
  <c r="H16" i="1"/>
  <c r="I14" i="6"/>
  <c r="H31" i="1"/>
  <c r="I29" i="6"/>
  <c r="H27" i="1"/>
  <c r="I25" i="6"/>
  <c r="H23" i="1"/>
  <c r="I21" i="6"/>
  <c r="H19" i="1"/>
  <c r="I17" i="6"/>
  <c r="H33" i="1"/>
  <c r="I31" i="6"/>
  <c r="H29" i="1"/>
  <c r="I27" i="6"/>
  <c r="H25" i="1"/>
  <c r="I23" i="6"/>
  <c r="H21" i="1"/>
  <c r="I19" i="6"/>
  <c r="H17" i="1"/>
  <c r="I15" i="6"/>
  <c r="I6" i="1"/>
  <c r="H6" i="1"/>
  <c r="I4" i="6"/>
  <c r="I2" i="6"/>
  <c r="H34" i="1"/>
  <c r="I32" i="6"/>
  <c r="H30" i="1"/>
  <c r="I28" i="6"/>
  <c r="H26" i="1"/>
  <c r="I24" i="6"/>
  <c r="H22" i="1"/>
  <c r="I20" i="6"/>
  <c r="H18" i="1"/>
  <c r="I16" i="6"/>
  <c r="I4" i="1"/>
  <c r="H5" i="1"/>
  <c r="I3" i="6"/>
  <c r="I5" i="1"/>
  <c r="I10" i="1"/>
  <c r="H11" i="1"/>
  <c r="I9" i="6"/>
  <c r="I7" i="1"/>
  <c r="I12" i="1"/>
  <c r="I13" i="1"/>
  <c r="I15" i="1"/>
  <c r="H10" i="1"/>
  <c r="I8" i="6"/>
  <c r="H14" i="1"/>
  <c r="I12" i="6"/>
  <c r="H13" i="1"/>
  <c r="I11" i="6"/>
  <c r="H12" i="1"/>
  <c r="I10" i="6"/>
  <c r="I11" i="1"/>
  <c r="H9" i="1"/>
  <c r="I7" i="6"/>
  <c r="I8" i="1"/>
  <c r="H8" i="1"/>
  <c r="I6" i="6"/>
  <c r="C35" i="1"/>
  <c r="H7" i="1"/>
  <c r="I5" i="6"/>
  <c r="E35" i="1"/>
  <c r="J29" i="6"/>
  <c r="J21" i="6"/>
  <c r="J18" i="6"/>
  <c r="J17" i="6"/>
  <c r="J8" i="6"/>
  <c r="J4" i="6"/>
  <c r="J6" i="6"/>
  <c r="J31" i="6"/>
  <c r="J2" i="6"/>
  <c r="J30" i="6"/>
  <c r="J5" i="6"/>
  <c r="J32" i="6"/>
  <c r="J7" i="6"/>
  <c r="J19" i="6"/>
  <c r="J22" i="6"/>
  <c r="J10" i="6"/>
  <c r="J26" i="6"/>
  <c r="J11" i="6"/>
  <c r="J23" i="6"/>
  <c r="J13" i="6"/>
  <c r="J20" i="6"/>
  <c r="J9" i="6"/>
  <c r="J14" i="6"/>
  <c r="J27" i="6"/>
  <c r="J16" i="6"/>
  <c r="J28" i="6"/>
  <c r="J15" i="6"/>
  <c r="J3" i="6"/>
  <c r="J12" i="6"/>
  <c r="J24" i="6"/>
  <c r="J25" i="6"/>
  <c r="I35" i="1"/>
  <c r="H35" i="1"/>
</calcChain>
</file>

<file path=xl/sharedStrings.xml><?xml version="1.0" encoding="utf-8"?>
<sst xmlns="http://schemas.openxmlformats.org/spreadsheetml/2006/main" count="179" uniqueCount="55">
  <si>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</si>
  <si>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</si>
  <si>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</si>
  <si>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</si>
  <si>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</si>
  <si>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</si>
  <si>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</si>
  <si>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</si>
  <si>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</si>
  <si>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</si>
  <si>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</si>
  <si>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</si>
  <si>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</si>
  <si>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</si>
  <si>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</si>
  <si>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</si>
  <si>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</si>
  <si>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</si>
  <si>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</si>
  <si>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</si>
  <si>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</si>
  <si>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</si>
  <si>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</si>
  <si>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</si>
  <si>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</si>
  <si>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</si>
  <si>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ISOLATED RAIN</t>
  </si>
  <si>
    <t>SCATTERED RAIN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</si>
  <si>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</si>
  <si>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</si>
  <si>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</si>
  <si>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</si>
  <si>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</si>
  <si>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</si>
  <si>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</si>
  <si>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</si>
  <si>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</si>
  <si>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</si>
  <si>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</si>
  <si>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 xml:space="preserve">                                            </t>
  </si>
  <si>
    <t>Daily Diesel Consumption</t>
  </si>
  <si>
    <t>BOILER</t>
  </si>
  <si>
    <t>TIME</t>
  </si>
  <si>
    <t>TOTAL</t>
  </si>
  <si>
    <t>Meter Reading</t>
  </si>
  <si>
    <t>Lit/hr</t>
  </si>
  <si>
    <t>NO</t>
  </si>
  <si>
    <t>START</t>
  </si>
  <si>
    <t>STOP</t>
  </si>
  <si>
    <t>HRS</t>
  </si>
  <si>
    <t>(L)</t>
  </si>
  <si>
    <t>Carry foward from last month</t>
  </si>
  <si>
    <t>Diesel In</t>
  </si>
  <si>
    <t>PLEASE MAKE SURE TO KEY IN THE OCCUPANCY FOR THE DAY!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</si>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</sst>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9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6" fillId="2" borderId="1" xfId="0" applyFont="1" applyFill="1" applyBorder="1" applyAlignment="1" applyProtection="1">
      <alignment horizontal="center"/>
      <protection locked="0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1" fillId="0" borderId="0" xfId="2"/>
    <xf numFmtId="0" fontId="10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7" fillId="0" borderId="1" xfId="2" applyFont="1" applyBorder="1" applyAlignment="1">
      <alignment horizontal="center"/>
    </xf>
    <xf numFmtId="2" fontId="7" fillId="0" borderId="1" xfId="2" applyNumberFormat="1" applyFont="1" applyBorder="1" applyAlignment="1">
      <alignment horizontal="center"/>
    </xf>
    <xf numFmtId="165" fontId="3" fillId="0" borderId="0" xfId="2" applyNumberFormat="1" applyFont="1" applyAlignment="1">
      <alignment horizontal="left"/>
    </xf>
    <xf numFmtId="0" fontId="1" fillId="0" borderId="0" xfId="2" applyAlignment="1">
      <alignment horizontal="center"/>
    </xf>
    <xf numFmtId="166" fontId="1" fillId="0" borderId="0" xfId="2" applyNumberFormat="1" applyAlignment="1">
      <alignment horizontal="center"/>
    </xf>
    <xf numFmtId="0" fontId="2" fillId="0" borderId="1" xfId="2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166" fontId="2" fillId="0" borderId="0" xfId="2" applyNumberFormat="1" applyFont="1" applyAlignment="1">
      <alignment horizontal="center"/>
    </xf>
    <xf numFmtId="165" fontId="1" fillId="0" borderId="2" xfId="2" applyNumberFormat="1" applyBorder="1" applyAlignment="1">
      <alignment horizontal="center"/>
    </xf>
    <xf numFmtId="0" fontId="1" fillId="0" borderId="1" xfId="2" applyBorder="1" applyAlignment="1">
      <alignment horizontal="center"/>
    </xf>
    <xf numFmtId="39" fontId="1" fillId="0" borderId="1" xfId="1" applyNumberFormat="1" applyFont="1" applyBorder="1" applyAlignment="1">
      <alignment horizontal="center"/>
    </xf>
    <xf numFmtId="166" fontId="1" fillId="3" borderId="3" xfId="2" applyNumberFormat="1" applyFill="1" applyBorder="1" applyAlignment="1" applyProtection="1">
      <alignment horizontal="center"/>
      <protection locked="0"/>
    </xf>
    <xf numFmtId="166" fontId="1" fillId="0" borderId="1" xfId="2" applyNumberFormat="1" applyBorder="1" applyAlignment="1">
      <alignment horizontal="center"/>
    </xf>
    <xf numFmtId="166" fontId="1" fillId="3" borderId="1" xfId="2" applyNumberFormat="1" applyFill="1" applyBorder="1" applyAlignment="1">
      <alignment horizontal="center"/>
    </xf>
    <xf numFmtId="166" fontId="1" fillId="4" borderId="1" xfId="2" applyNumberFormat="1" applyFill="1" applyBorder="1" applyAlignment="1">
      <alignment horizontal="center"/>
    </xf>
    <xf numFmtId="39" fontId="1" fillId="4" borderId="1" xfId="1" applyNumberFormat="1" applyFont="1" applyFill="1" applyBorder="1" applyAlignment="1">
      <alignment horizontal="center"/>
    </xf>
    <xf numFmtId="0" fontId="1" fillId="4" borderId="1" xfId="2" applyFill="1" applyBorder="1" applyAlignment="1">
      <alignment horizontal="center"/>
    </xf>
    <xf numFmtId="166" fontId="1" fillId="4" borderId="0" xfId="2" applyNumberFormat="1" applyFill="1" applyAlignment="1">
      <alignment horizontal="center"/>
    </xf>
    <xf numFmtId="3" fontId="1" fillId="0" borderId="3" xfId="2" applyNumberFormat="1" applyBorder="1" applyAlignment="1" applyProtection="1">
      <alignment horizontal="center"/>
      <protection locked="0"/>
    </xf>
    <xf numFmtId="0" fontId="1" fillId="0" borderId="1" xfId="2" applyBorder="1" applyAlignment="1" applyProtection="1">
      <alignment horizontal="center"/>
      <protection locked="0"/>
    </xf>
    <xf numFmtId="0" fontId="1" fillId="0" borderId="1" xfId="2" applyBorder="1"/>
    <xf numFmtId="1" fontId="1" fillId="0" borderId="0" xfId="2" applyNumberFormat="1" applyAlignment="1">
      <alignment horizontal="center"/>
    </xf>
    <xf numFmtId="165" fontId="1" fillId="0" borderId="0" xfId="2" applyNumberFormat="1"/>
    <xf numFmtId="166" fontId="1" fillId="0" borderId="0" xfId="2" applyNumberFormat="1" applyAlignment="1">
      <alignment horizontal="left"/>
    </xf>
    <xf numFmtId="165" fontId="5" fillId="0" borderId="0" xfId="2" applyNumberFormat="1" applyFont="1"/>
    <xf numFmtId="165" fontId="3" fillId="0" borderId="1" xfId="2" applyNumberFormat="1" applyFont="1" applyBorder="1"/>
    <xf numFmtId="165" fontId="1" fillId="0" borderId="1" xfId="2" applyNumberFormat="1" applyBorder="1"/>
    <xf numFmtId="0" fontId="2" fillId="0" borderId="1" xfId="2" applyFont="1" applyBorder="1" applyAlignment="1" applyProtection="1">
      <alignment horizontal="center"/>
      <protection locked="0"/>
    </xf>
    <xf numFmtId="165" fontId="1" fillId="0" borderId="1" xfId="2" applyNumberFormat="1" applyBorder="1" applyAlignment="1">
      <alignment horizontal="center"/>
    </xf>
    <xf numFmtId="3" fontId="1" fillId="2" borderId="1" xfId="2" applyNumberFormat="1" applyFill="1" applyBorder="1" applyAlignment="1" applyProtection="1">
      <alignment horizontal="center"/>
      <protection locked="0"/>
    </xf>
    <xf numFmtId="3" fontId="1" fillId="0" borderId="1" xfId="2" applyNumberFormat="1" applyBorder="1" applyAlignment="1">
      <alignment horizontal="center"/>
    </xf>
    <xf numFmtId="0" fontId="1" fillId="2" borderId="1" xfId="2" applyFill="1" applyBorder="1" applyAlignment="1" applyProtection="1">
      <alignment horizontal="center"/>
      <protection locked="0"/>
    </xf>
    <xf numFmtId="0" fontId="6" fillId="2" borderId="1" xfId="2" applyFont="1" applyFill="1" applyBorder="1" applyAlignment="1" applyProtection="1">
      <alignment horizontal="center"/>
      <protection locked="0"/>
    </xf>
    <xf numFmtId="3" fontId="1" fillId="2" borderId="3" xfId="2" applyNumberFormat="1" applyFill="1" applyBorder="1" applyAlignment="1" applyProtection="1">
      <alignment horizontal="center"/>
      <protection locked="0"/>
    </xf>
    <xf numFmtId="3" fontId="2" fillId="0" borderId="1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0" fontId="1" fillId="0" borderId="4" xfId="2" applyBorder="1" applyAlignment="1">
      <alignment horizontal="center"/>
    </xf>
    <xf numFmtId="0" fontId="2" fillId="0" borderId="5" xfId="2" applyFont="1" applyBorder="1" applyAlignment="1">
      <alignment horizontal="center"/>
    </xf>
    <xf numFmtId="0" fontId="1" fillId="0" borderId="6" xfId="2" applyBorder="1" applyAlignment="1">
      <alignment horizontal="center"/>
    </xf>
    <xf numFmtId="165" fontId="3" fillId="0" borderId="7" xfId="2" applyNumberFormat="1" applyFont="1" applyBorder="1"/>
    <xf numFmtId="0" fontId="2" fillId="0" borderId="8" xfId="2" applyFont="1" applyBorder="1" applyAlignment="1">
      <alignment horizontal="center"/>
    </xf>
    <xf numFmtId="39" fontId="2" fillId="0" borderId="8" xfId="1" applyNumberFormat="1" applyFont="1" applyBorder="1" applyAlignment="1">
      <alignment horizontal="center"/>
    </xf>
    <xf numFmtId="0" fontId="2" fillId="0" borderId="9" xfId="2" applyFont="1" applyBorder="1" applyAlignment="1">
      <alignment horizontal="center"/>
    </xf>
    <xf numFmtId="39" fontId="2" fillId="0" borderId="8" xfId="1" applyNumberFormat="1" applyFont="1" applyFill="1" applyBorder="1" applyAlignment="1">
      <alignment horizontal="center"/>
    </xf>
    <xf numFmtId="166" fontId="2" fillId="0" borderId="10" xfId="2" applyNumberFormat="1" applyFont="1" applyBorder="1" applyAlignment="1">
      <alignment horizontal="center"/>
    </xf>
    <xf numFmtId="165" fontId="1" fillId="0" borderId="11" xfId="2" applyNumberFormat="1" applyBorder="1"/>
    <xf numFmtId="166" fontId="2" fillId="0" borderId="12" xfId="2" applyNumberFormat="1" applyFont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6" fontId="1" fillId="6" borderId="12" xfId="2" applyNumberFormat="1" applyFill="1" applyBorder="1" applyAlignment="1" applyProtection="1">
      <alignment horizontal="center"/>
      <protection locked="0"/>
    </xf>
    <xf numFmtId="165" fontId="0" fillId="0" borderId="13" xfId="0" applyNumberFormat="1" applyBorder="1" applyAlignment="1">
      <alignment horizontal="center"/>
    </xf>
    <xf numFmtId="166" fontId="1" fillId="0" borderId="12" xfId="2" applyNumberFormat="1" applyBorder="1" applyAlignment="1" applyProtection="1">
      <alignment horizontal="center"/>
      <protection locked="0"/>
    </xf>
    <xf numFmtId="166" fontId="1" fillId="4" borderId="12" xfId="2" applyNumberFormat="1" applyFill="1" applyBorder="1" applyAlignment="1" applyProtection="1">
      <alignment horizontal="center"/>
      <protection locked="0"/>
    </xf>
    <xf numFmtId="166" fontId="1" fillId="4" borderId="14" xfId="2" applyNumberFormat="1" applyFill="1" applyBorder="1" applyAlignment="1">
      <alignment horizontal="center"/>
    </xf>
    <xf numFmtId="165" fontId="1" fillId="0" borderId="11" xfId="2" applyNumberFormat="1" applyBorder="1" applyAlignment="1">
      <alignment horizontal="center"/>
    </xf>
    <xf numFmtId="0" fontId="1" fillId="0" borderId="18" xfId="2" applyBorder="1" applyAlignment="1">
      <alignment horizontal="center"/>
    </xf>
    <xf numFmtId="39" fontId="0" fillId="0" borderId="18" xfId="1" applyNumberFormat="1" applyFont="1" applyBorder="1" applyAlignment="1">
      <alignment horizontal="center"/>
    </xf>
    <xf numFmtId="3" fontId="2" fillId="0" borderId="17" xfId="2" applyNumberFormat="1" applyFont="1" applyBorder="1" applyAlignment="1">
      <alignment horizontal="center"/>
    </xf>
    <xf numFmtId="0" fontId="1" fillId="0" borderId="18" xfId="2" applyBorder="1"/>
    <xf numFmtId="39" fontId="2" fillId="0" borderId="18" xfId="1" applyNumberFormat="1" applyFont="1" applyBorder="1" applyAlignment="1">
      <alignment horizontal="center"/>
    </xf>
    <xf numFmtId="166" fontId="2" fillId="0" borderId="18" xfId="2" applyNumberFormat="1" applyFont="1" applyBorder="1" applyAlignment="1">
      <alignment horizontal="center"/>
    </xf>
    <xf numFmtId="1" fontId="2" fillId="0" borderId="2" xfId="2" applyNumberFormat="1" applyFont="1" applyBorder="1" applyAlignment="1">
      <alignment horizontal="center"/>
    </xf>
    <xf numFmtId="0" fontId="1" fillId="0" borderId="3" xfId="2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" fontId="2" fillId="0" borderId="16" xfId="2" applyNumberFormat="1" applyFont="1" applyBorder="1" applyAlignment="1">
      <alignment horizontal="center"/>
    </xf>
    <xf numFmtId="0" fontId="1" fillId="0" borderId="17" xfId="2" applyBorder="1" applyAlignment="1">
      <alignment horizontal="center"/>
    </xf>
    <xf numFmtId="4" fontId="11" fillId="5" borderId="15" xfId="0" quotePrefix="1" applyNumberFormat="1" applyFont="1" applyFill="1" applyBorder="1" applyAlignment="1">
      <alignment horizontal="center" wrapText="1"/>
    </xf>
    <xf numFmtId="0" fontId="11" fillId="5" borderId="19" xfId="0" quotePrefix="1" applyFont="1" applyFill="1" applyBorder="1" applyAlignment="1">
      <alignment horizontal="center" wrapText="1"/>
    </xf>
    <xf numFmtId="166" fontId="1" fillId="6" borderId="0" xfId="2" applyNumberForma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fp3\fslan\Users\Joe.ElKhoury\AppData\Local\Microsoft\Windows\INetCache\Content.Outlook\SR778SAZ\Diesel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iesel Reading Mac"/>
    </sheetNames>
    <sheetDataSet>
      <sheetData sheetId="0">
        <row r="6">
          <cell r="C6">
            <v>2.84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09375" defaultRowHeight="13.2" x14ac:dyDescent="0.25"/>
  <cols>
    <col min="1" max="1" width="12.6640625" style="24" bestFit="1" customWidth="1"/>
    <col min="2" max="4" width="9.109375" style="24"/>
    <col min="5" max="5" width="14.33203125" style="24" customWidth="1"/>
    <col min="6" max="6" width="12.109375" style="24" customWidth="1"/>
    <col min="7" max="7" width="9.109375" style="24"/>
    <col min="8" max="8" width="19.33203125" style="24" customWidth="1"/>
    <col min="9" max="9" width="13.5546875" style="24" customWidth="1"/>
    <col min="10" max="10" width="11.33203125" style="24" customWidth="1"/>
    <col min="11" max="16384" width="9.109375" style="24"/>
  </cols>
  <sheetData>
    <row r="1" spans="1:12" ht="57.6" x14ac:dyDescent="0.25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54</v>
      </c>
      <c r="H1" s="22" t="s">
        <v>6</v>
      </c>
      <c r="I1" s="21" t="s">
        <v>7</v>
      </c>
      <c r="J1" s="23" t="s">
        <v>8</v>
      </c>
      <c r="K1" s="21" t="s">
        <v>9</v>
      </c>
      <c r="L1" s="21" t="s">
        <v>10</v>
      </c>
    </row>
    <row r="2" spans="1:12" ht="14.4" x14ac:dyDescent="0.3">
      <c r="A2" s="25" t="s">
        <v>11</v>
      </c>
      <c r="B2" s="26">
        <v>1</v>
      </c>
      <c r="C2" s="27">
        <v>7</v>
      </c>
      <c r="D2" s="26">
        <v>2022</v>
      </c>
      <c r="E2" s="28">
        <f>'B16'!I4+'B16 ext'!I4+'B17'!I4</f>
        <v>16913</v>
      </c>
      <c r="F2" s="30">
        <f>('B16'!J4+'B16 ext'!J4+'B17'!J4)/TOTAL!E2</f>
        <v>0.26206302843966173</v>
      </c>
      <c r="G2" s="28">
        <f>'Diesel Reading July'!H4</f>
        <v>363.5</v>
      </c>
      <c r="H2" s="29">
        <f>'Diesel Reading July'!I4/'Diesel Reading July'!H4</f>
        <v>2.84</v>
      </c>
      <c r="I2" s="28">
        <f>'Water Reading'!H4</f>
        <v>951</v>
      </c>
      <c r="J2" s="30">
        <f>'Water Reading'!I4/'Water Reading'!H4</f>
        <v>1.35</v>
      </c>
      <c r="K2" s="28">
        <v>62</v>
      </c>
      <c r="L2" s="28"/>
    </row>
    <row r="3" spans="1:12" ht="14.4" x14ac:dyDescent="0.3">
      <c r="A3" s="25" t="s">
        <v>11</v>
      </c>
      <c r="B3" s="26">
        <f>B2+1</f>
        <v>2</v>
      </c>
      <c r="C3" s="27">
        <v>7</v>
      </c>
      <c r="D3" s="26">
        <v>2022</v>
      </c>
      <c r="E3" s="28">
        <f>'B16'!I5+'B16 ext'!I5+'B17'!I5</f>
        <v>20363</v>
      </c>
      <c r="F3" s="30">
        <f>('B16'!J5+'B16 ext'!J5+'B17'!J5)/TOTAL!E3</f>
        <v>0.24620669842361143</v>
      </c>
      <c r="G3" s="28">
        <f>'Diesel Reading July'!H5</f>
        <v>398.29999999981374</v>
      </c>
      <c r="H3" s="29">
        <f>'Diesel Reading July'!I5/'Diesel Reading July'!H5</f>
        <v>2.84</v>
      </c>
      <c r="I3" s="28">
        <f>'Water Reading'!H5</f>
        <v>991</v>
      </c>
      <c r="J3" s="30">
        <f>'Water Reading'!I5/'Water Reading'!H5</f>
        <v>1.35</v>
      </c>
      <c r="K3" s="28">
        <v>59</v>
      </c>
      <c r="L3" s="28"/>
    </row>
    <row r="4" spans="1:12" ht="14.4" x14ac:dyDescent="0.3">
      <c r="A4" s="25" t="s">
        <v>11</v>
      </c>
      <c r="B4" s="26">
        <f t="shared" ref="B4:B32" si="0">B3+1</f>
        <v>3</v>
      </c>
      <c r="C4" s="27">
        <v>7</v>
      </c>
      <c r="D4" s="26">
        <v>2022</v>
      </c>
      <c r="E4" s="28">
        <f>'B16'!I6+'B16 ext'!I6+'B17'!I6</f>
        <v>18672</v>
      </c>
      <c r="F4" s="30">
        <f>('B16'!J6+'B16 ext'!J6+'B17'!J6)/TOTAL!E4</f>
        <v>0.24964460154241644</v>
      </c>
      <c r="G4" s="28">
        <f>'Diesel Reading July'!H6</f>
        <v>417.4000000001397</v>
      </c>
      <c r="H4" s="29">
        <f>'Diesel Reading July'!I6/'Diesel Reading July'!H6</f>
        <v>2.84</v>
      </c>
      <c r="I4" s="28">
        <f>'Water Reading'!H6</f>
        <v>973</v>
      </c>
      <c r="J4" s="30">
        <f>'Water Reading'!I6/'Water Reading'!H6</f>
        <v>1.3499999999999999</v>
      </c>
      <c r="K4" s="28">
        <v>54</v>
      </c>
      <c r="L4" s="28"/>
    </row>
    <row r="5" spans="1:12" ht="14.4" x14ac:dyDescent="0.3">
      <c r="A5" s="25" t="s">
        <v>11</v>
      </c>
      <c r="B5" s="26">
        <f t="shared" si="0"/>
        <v>4</v>
      </c>
      <c r="C5" s="27">
        <v>7</v>
      </c>
      <c r="D5" s="26">
        <v>2022</v>
      </c>
      <c r="E5" s="28">
        <f>'B16'!I7+'B16 ext'!I7+'B17'!I7</f>
        <v>20633</v>
      </c>
      <c r="F5" s="30">
        <f>('B16'!J7+'B16 ext'!J7+'B17'!J7)/TOTAL!E5</f>
        <v>0.24560233606358742</v>
      </c>
      <c r="G5" s="28">
        <f>'Diesel Reading July'!H7</f>
        <v>378.80000000004657</v>
      </c>
      <c r="H5" s="29">
        <f>'Diesel Reading July'!I7/'Diesel Reading July'!H7</f>
        <v>2.84</v>
      </c>
      <c r="I5" s="28">
        <f>'Water Reading'!H7</f>
        <v>1050</v>
      </c>
      <c r="J5" s="30">
        <f>'Water Reading'!I7/'Water Reading'!H7</f>
        <v>1.35</v>
      </c>
      <c r="K5" s="28">
        <v>74</v>
      </c>
      <c r="L5" s="28"/>
    </row>
    <row r="6" spans="1:12" ht="14.4" x14ac:dyDescent="0.3">
      <c r="A6" s="25" t="s">
        <v>11</v>
      </c>
      <c r="B6" s="26">
        <f t="shared" si="0"/>
        <v>5</v>
      </c>
      <c r="C6" s="27">
        <v>7</v>
      </c>
      <c r="D6" s="26">
        <v>2022</v>
      </c>
      <c r="E6" s="28">
        <f>'B16'!I8+'B16 ext'!I8+'B17'!I8</f>
        <v>20030</v>
      </c>
      <c r="F6" s="30">
        <f>('B16'!J8+'B16 ext'!J8+'B17'!J8)/TOTAL!E6</f>
        <v>0.24894772840738891</v>
      </c>
      <c r="G6" s="28">
        <f>'Diesel Reading July'!H8</f>
        <v>409.5</v>
      </c>
      <c r="H6" s="29">
        <f>'Diesel Reading July'!I8/'Diesel Reading July'!H8</f>
        <v>2.84</v>
      </c>
      <c r="I6" s="28">
        <f>'Water Reading'!H8</f>
        <v>1027</v>
      </c>
      <c r="J6" s="30">
        <f>'Water Reading'!I8/'Water Reading'!H8</f>
        <v>1.35</v>
      </c>
      <c r="K6" s="28">
        <v>74</v>
      </c>
      <c r="L6" s="28"/>
    </row>
    <row r="7" spans="1:12" ht="14.4" x14ac:dyDescent="0.3">
      <c r="A7" s="25" t="s">
        <v>11</v>
      </c>
      <c r="B7" s="26">
        <f t="shared" si="0"/>
        <v>6</v>
      </c>
      <c r="C7" s="27">
        <v>7</v>
      </c>
      <c r="D7" s="26">
        <v>2022</v>
      </c>
      <c r="E7" s="28">
        <f>'B16'!I9+'B16 ext'!I9+'B17'!I9</f>
        <v>21154</v>
      </c>
      <c r="F7" s="30">
        <f>('B16'!J9+'B16 ext'!J9+'B17'!J9)/TOTAL!E7</f>
        <v>0.24901829441240425</v>
      </c>
      <c r="G7" s="28">
        <f>'Diesel Reading July'!H9</f>
        <v>444</v>
      </c>
      <c r="H7" s="29">
        <f>'Diesel Reading July'!I9/'Diesel Reading July'!H9</f>
        <v>2.8400000000000003</v>
      </c>
      <c r="I7" s="28">
        <f>'Water Reading'!H9</f>
        <v>996</v>
      </c>
      <c r="J7" s="30">
        <f>'Water Reading'!I9/'Water Reading'!H9</f>
        <v>1.35</v>
      </c>
      <c r="K7" s="28">
        <v>46</v>
      </c>
      <c r="L7" s="28"/>
    </row>
    <row r="8" spans="1:12" ht="14.4" x14ac:dyDescent="0.3">
      <c r="A8" s="25" t="s">
        <v>11</v>
      </c>
      <c r="B8" s="26">
        <f t="shared" si="0"/>
        <v>7</v>
      </c>
      <c r="C8" s="27">
        <v>7</v>
      </c>
      <c r="D8" s="26">
        <v>2022</v>
      </c>
      <c r="E8" s="28">
        <f>'B16'!I10+'B16 ext'!I10+'B17'!I10</f>
        <v>20158</v>
      </c>
      <c r="F8" s="30">
        <f>('B16'!J10+'B16 ext'!J10+'B17'!J10)/TOTAL!E8</f>
        <v>0.25100183549955352</v>
      </c>
      <c r="G8" s="28">
        <f>'Diesel Reading July'!H10</f>
        <v>392.5999999998603</v>
      </c>
      <c r="H8" s="29">
        <f>'Diesel Reading July'!I10/'Diesel Reading July'!H10</f>
        <v>2.84</v>
      </c>
      <c r="I8" s="28">
        <f>'Water Reading'!H10</f>
        <v>965</v>
      </c>
      <c r="J8" s="30">
        <f>'Water Reading'!I10/'Water Reading'!H10</f>
        <v>1.35</v>
      </c>
      <c r="K8" s="28">
        <v>49</v>
      </c>
      <c r="L8" s="28"/>
    </row>
    <row r="9" spans="1:12" ht="14.4" x14ac:dyDescent="0.3">
      <c r="A9" s="25" t="s">
        <v>11</v>
      </c>
      <c r="B9" s="26">
        <f t="shared" si="0"/>
        <v>8</v>
      </c>
      <c r="C9" s="27">
        <v>7</v>
      </c>
      <c r="D9" s="26">
        <v>2022</v>
      </c>
      <c r="E9" s="28">
        <f>'B16'!I11+'B16 ext'!I11+'B17'!I11</f>
        <v>23947</v>
      </c>
      <c r="F9" s="30">
        <f>('B16'!J11+'B16 ext'!J11+'B17'!J11)/TOTAL!E9</f>
        <v>0.24841508330897399</v>
      </c>
      <c r="G9" s="28">
        <f>'Diesel Reading July'!H11</f>
        <v>406.69999999995343</v>
      </c>
      <c r="H9" s="29">
        <f>'Diesel Reading July'!I11/'Diesel Reading July'!H11</f>
        <v>2.84</v>
      </c>
      <c r="I9" s="28">
        <f>'Water Reading'!H11</f>
        <v>995</v>
      </c>
      <c r="J9" s="30">
        <f>'Water Reading'!I11/'Water Reading'!H11</f>
        <v>1.35</v>
      </c>
      <c r="K9" s="28">
        <v>64</v>
      </c>
      <c r="L9" s="28"/>
    </row>
    <row r="10" spans="1:12" ht="14.4" x14ac:dyDescent="0.3">
      <c r="A10" s="25" t="s">
        <v>11</v>
      </c>
      <c r="B10" s="26">
        <f t="shared" si="0"/>
        <v>9</v>
      </c>
      <c r="C10" s="27">
        <v>7</v>
      </c>
      <c r="D10" s="26">
        <v>2022</v>
      </c>
      <c r="E10" s="28">
        <f>'B16'!I12+'B16 ext'!I12+'B17'!I12</f>
        <v>23095</v>
      </c>
      <c r="F10" s="30">
        <f>('B16'!J12+'B16 ext'!J12+'B17'!J12)/TOTAL!E10</f>
        <v>0.24396527386880279</v>
      </c>
      <c r="G10" s="28">
        <f>'Diesel Reading July'!H12</f>
        <v>341.5</v>
      </c>
      <c r="H10" s="29">
        <f>'Diesel Reading July'!I12/'Diesel Reading July'!H12</f>
        <v>2.84</v>
      </c>
      <c r="I10" s="28">
        <f>'Water Reading'!H12</f>
        <v>1025</v>
      </c>
      <c r="J10" s="30">
        <f>'Water Reading'!I12/'Water Reading'!H12</f>
        <v>1.35</v>
      </c>
      <c r="K10" s="28">
        <v>65</v>
      </c>
      <c r="L10" s="28"/>
    </row>
    <row r="11" spans="1:12" ht="14.4" x14ac:dyDescent="0.3">
      <c r="A11" s="25" t="s">
        <v>11</v>
      </c>
      <c r="B11" s="26">
        <f t="shared" si="0"/>
        <v>10</v>
      </c>
      <c r="C11" s="27">
        <v>7</v>
      </c>
      <c r="D11" s="26">
        <v>2022</v>
      </c>
      <c r="E11" s="28">
        <f>'B16'!I13+'B16 ext'!I13+'B17'!I13</f>
        <v>22679</v>
      </c>
      <c r="F11" s="30">
        <f>('B16'!J13+'B16 ext'!J13+'B17'!J13)/TOTAL!E11</f>
        <v>0.24539428546232195</v>
      </c>
      <c r="G11" s="28">
        <f>'Diesel Reading July'!H13</f>
        <v>339.10000000009313</v>
      </c>
      <c r="H11" s="29">
        <f>'Diesel Reading July'!I13/'Diesel Reading July'!H13</f>
        <v>2.84</v>
      </c>
      <c r="I11" s="28">
        <f>'Water Reading'!H13</f>
        <v>926</v>
      </c>
      <c r="J11" s="30">
        <f>'Water Reading'!I13/'Water Reading'!H13</f>
        <v>1.3499999999999999</v>
      </c>
      <c r="K11" s="28">
        <v>65</v>
      </c>
      <c r="L11" s="28"/>
    </row>
    <row r="12" spans="1:12" ht="14.4" x14ac:dyDescent="0.3">
      <c r="A12" s="25" t="s">
        <v>11</v>
      </c>
      <c r="B12" s="26">
        <f t="shared" si="0"/>
        <v>11</v>
      </c>
      <c r="C12" s="27">
        <v>7</v>
      </c>
      <c r="D12" s="26">
        <v>2022</v>
      </c>
      <c r="E12" s="28">
        <f>'B16'!I14+'B16 ext'!I14+'B17'!I14</f>
        <v>19828</v>
      </c>
      <c r="F12" s="30">
        <f>('B16'!J14+'B16 ext'!J14+'B17'!J14)/TOTAL!E12</f>
        <v>0.24958553560621341</v>
      </c>
      <c r="G12" s="28">
        <f>'Diesel Reading July'!H14</f>
        <v>401.39999999990687</v>
      </c>
      <c r="H12" s="29">
        <f>'Diesel Reading July'!I14/'Diesel Reading July'!H14</f>
        <v>2.84</v>
      </c>
      <c r="I12" s="28">
        <f>'Water Reading'!H14</f>
        <v>985</v>
      </c>
      <c r="J12" s="30">
        <f>'Water Reading'!I14/'Water Reading'!H14</f>
        <v>1.35</v>
      </c>
      <c r="K12" s="28">
        <v>55</v>
      </c>
      <c r="L12" s="28"/>
    </row>
    <row r="13" spans="1:12" ht="14.4" x14ac:dyDescent="0.3">
      <c r="A13" s="25" t="s">
        <v>11</v>
      </c>
      <c r="B13" s="26">
        <f t="shared" si="0"/>
        <v>12</v>
      </c>
      <c r="C13" s="27">
        <v>7</v>
      </c>
      <c r="D13" s="26">
        <v>2022</v>
      </c>
      <c r="E13" s="28">
        <f>'B16'!I15+'B16 ext'!I15+'B17'!I15</f>
        <v>20533</v>
      </c>
      <c r="F13" s="30">
        <f>('B16'!J15+'B16 ext'!J15+'B17'!J15)/TOTAL!E13</f>
        <v>0.24718521404568256</v>
      </c>
      <c r="G13" s="28">
        <f>'Diesel Reading July'!H15</f>
        <v>417.30000000004657</v>
      </c>
      <c r="H13" s="29">
        <f>'Diesel Reading July'!I15/'Diesel Reading July'!H15</f>
        <v>2.84</v>
      </c>
      <c r="I13" s="28">
        <f>'Water Reading'!H15</f>
        <v>955</v>
      </c>
      <c r="J13" s="30">
        <f>'Water Reading'!I15/'Water Reading'!H15</f>
        <v>1.35</v>
      </c>
      <c r="K13" s="28">
        <v>47</v>
      </c>
      <c r="L13" s="28"/>
    </row>
    <row r="14" spans="1:12" ht="14.4" x14ac:dyDescent="0.3">
      <c r="A14" s="25" t="s">
        <v>11</v>
      </c>
      <c r="B14" s="26">
        <f t="shared" si="0"/>
        <v>13</v>
      </c>
      <c r="C14" s="27">
        <v>7</v>
      </c>
      <c r="D14" s="26">
        <v>2022</v>
      </c>
      <c r="E14" s="28">
        <f>'B16'!I16+'B16 ext'!I16+'B17'!I16</f>
        <v>20170</v>
      </c>
      <c r="F14" s="30">
        <f>('B16'!J16+'B16 ext'!J16+'B17'!J16)/TOTAL!E14</f>
        <v>0.24722112047595438</v>
      </c>
      <c r="G14" s="28">
        <f>'Diesel Reading July'!H16</f>
        <v>348.69999999995343</v>
      </c>
      <c r="H14" s="29">
        <f>'Diesel Reading July'!I16/'Diesel Reading July'!H16</f>
        <v>2.84</v>
      </c>
      <c r="I14" s="28">
        <f>'Water Reading'!H16</f>
        <v>1002</v>
      </c>
      <c r="J14" s="30">
        <f>'Water Reading'!I16/'Water Reading'!H16</f>
        <v>1.35</v>
      </c>
      <c r="K14" s="28">
        <v>47</v>
      </c>
      <c r="L14" s="28"/>
    </row>
    <row r="15" spans="1:12" ht="14.4" x14ac:dyDescent="0.3">
      <c r="A15" s="25" t="s">
        <v>11</v>
      </c>
      <c r="B15" s="26">
        <f t="shared" si="0"/>
        <v>14</v>
      </c>
      <c r="C15" s="27">
        <v>7</v>
      </c>
      <c r="D15" s="26">
        <v>2022</v>
      </c>
      <c r="E15" s="28">
        <f>'B16'!I17+'B16 ext'!I17+'B17'!I17</f>
        <v>19470</v>
      </c>
      <c r="F15" s="30">
        <f>('B16'!J17+'B16 ext'!J17+'B17'!J17)/TOTAL!E15</f>
        <v>0.2486625577812018</v>
      </c>
      <c r="G15" s="28">
        <f>'Diesel Reading July'!H17</f>
        <v>389.4000000001397</v>
      </c>
      <c r="H15" s="29">
        <f>'Diesel Reading July'!I17/'Diesel Reading July'!H17</f>
        <v>2.84</v>
      </c>
      <c r="I15" s="28">
        <f>'Water Reading'!H17</f>
        <v>1024</v>
      </c>
      <c r="J15" s="30">
        <f>'Water Reading'!I17/'Water Reading'!H17</f>
        <v>1.35</v>
      </c>
      <c r="K15" s="28">
        <v>50</v>
      </c>
      <c r="L15" s="28"/>
    </row>
    <row r="16" spans="1:12" ht="14.4" x14ac:dyDescent="0.3">
      <c r="A16" s="25" t="s">
        <v>11</v>
      </c>
      <c r="B16" s="26">
        <f t="shared" si="0"/>
        <v>15</v>
      </c>
      <c r="C16" s="27">
        <v>7</v>
      </c>
      <c r="D16" s="26">
        <v>2022</v>
      </c>
      <c r="E16" s="28">
        <f>'B16'!I18+'B16 ext'!I18+'B17'!I18</f>
        <v>24220</v>
      </c>
      <c r="F16" s="30">
        <f>('B16'!J18+'B16 ext'!J18+'B17'!J18)/TOTAL!E16</f>
        <v>0.24816924029727497</v>
      </c>
      <c r="G16" s="28">
        <f>'Diesel Reading July'!H18</f>
        <v>386.4000000001397</v>
      </c>
      <c r="H16" s="29">
        <f>'Diesel Reading July'!I18/'Diesel Reading July'!H18</f>
        <v>2.84</v>
      </c>
      <c r="I16" s="28">
        <f>'Water Reading'!H18</f>
        <v>1034</v>
      </c>
      <c r="J16" s="30">
        <f>'Water Reading'!I18/'Water Reading'!H18</f>
        <v>1.35</v>
      </c>
      <c r="K16" s="28">
        <v>61</v>
      </c>
      <c r="L16" s="28"/>
    </row>
    <row r="17" spans="1:12" ht="14.4" x14ac:dyDescent="0.3">
      <c r="A17" s="25" t="s">
        <v>11</v>
      </c>
      <c r="B17" s="26">
        <f t="shared" si="0"/>
        <v>16</v>
      </c>
      <c r="C17" s="27">
        <v>7</v>
      </c>
      <c r="D17" s="26">
        <v>2022</v>
      </c>
      <c r="E17" s="28">
        <f>'B16'!I19+'B16 ext'!I19+'B17'!I19</f>
        <v>22033</v>
      </c>
      <c r="F17" s="30">
        <f>('B16'!J19+'B16 ext'!J19+'B17'!J19)/TOTAL!E17</f>
        <v>0.24690083057232332</v>
      </c>
      <c r="G17" s="28">
        <f>'Diesel Reading July'!H19</f>
        <v>423.69999999995343</v>
      </c>
      <c r="H17" s="29">
        <f>'Diesel Reading July'!I19/'Diesel Reading July'!H19</f>
        <v>2.84</v>
      </c>
      <c r="I17" s="28">
        <f>'Water Reading'!H19</f>
        <v>1081</v>
      </c>
      <c r="J17" s="30">
        <f>'Water Reading'!I19/'Water Reading'!H19</f>
        <v>1.35</v>
      </c>
      <c r="K17" s="28">
        <v>58</v>
      </c>
      <c r="L17" s="28"/>
    </row>
    <row r="18" spans="1:12" ht="14.4" x14ac:dyDescent="0.3">
      <c r="A18" s="25" t="s">
        <v>11</v>
      </c>
      <c r="B18" s="26">
        <f t="shared" si="0"/>
        <v>17</v>
      </c>
      <c r="C18" s="27">
        <v>7</v>
      </c>
      <c r="D18" s="26">
        <v>2022</v>
      </c>
      <c r="E18" s="28">
        <f>'B16'!I20+'B16 ext'!I20+'B17'!I20</f>
        <v>23299</v>
      </c>
      <c r="F18" s="30">
        <f>('B16'!J20+'B16 ext'!J20+'B17'!J20)/TOTAL!E18</f>
        <v>0.24660903901454997</v>
      </c>
      <c r="G18" s="28">
        <f>'Diesel Reading July'!H20</f>
        <v>408.80000000004657</v>
      </c>
      <c r="H18" s="29">
        <f>'Diesel Reading July'!I20/'Diesel Reading July'!H20</f>
        <v>2.8400000000000003</v>
      </c>
      <c r="I18" s="28">
        <f>'Water Reading'!H20</f>
        <v>1093</v>
      </c>
      <c r="J18" s="30">
        <f>'Water Reading'!I20/'Water Reading'!H20</f>
        <v>1.3499999999999999</v>
      </c>
      <c r="K18" s="28">
        <v>60</v>
      </c>
      <c r="L18" s="28"/>
    </row>
    <row r="19" spans="1:12" ht="14.4" x14ac:dyDescent="0.3">
      <c r="A19" s="25" t="s">
        <v>11</v>
      </c>
      <c r="B19" s="26">
        <f t="shared" si="0"/>
        <v>18</v>
      </c>
      <c r="C19" s="27">
        <v>7</v>
      </c>
      <c r="D19" s="26">
        <v>2022</v>
      </c>
      <c r="E19" s="28">
        <f>'B16'!I21+'B16 ext'!I21+'B17'!I21</f>
        <v>22842</v>
      </c>
      <c r="F19" s="30">
        <f>('B16'!J21+'B16 ext'!J21+'B17'!J21)/TOTAL!E19</f>
        <v>0.24806973995271867</v>
      </c>
      <c r="G19" s="28">
        <f>'Diesel Reading July'!H21</f>
        <v>393.80000000004657</v>
      </c>
      <c r="H19" s="29">
        <f>'Diesel Reading July'!I21/'Diesel Reading July'!H21</f>
        <v>2.84</v>
      </c>
      <c r="I19" s="28">
        <f>'Water Reading'!H21</f>
        <v>1144</v>
      </c>
      <c r="J19" s="30">
        <f>'Water Reading'!I21/'Water Reading'!H21</f>
        <v>1.35</v>
      </c>
      <c r="K19" s="28">
        <v>42</v>
      </c>
      <c r="L19" s="28"/>
    </row>
    <row r="20" spans="1:12" ht="14.4" x14ac:dyDescent="0.3">
      <c r="A20" s="25" t="s">
        <v>11</v>
      </c>
      <c r="B20" s="26">
        <f t="shared" si="0"/>
        <v>19</v>
      </c>
      <c r="C20" s="27">
        <v>7</v>
      </c>
      <c r="D20" s="26">
        <v>2022</v>
      </c>
      <c r="E20" s="28">
        <f>'B16'!I22+'B16 ext'!I22+'B17'!I22</f>
        <v>21349</v>
      </c>
      <c r="F20" s="30">
        <f>('B16'!J22+'B16 ext'!J22+'B17'!J22)/TOTAL!E20</f>
        <v>0.24490294627383016</v>
      </c>
      <c r="G20" s="28">
        <f>'Diesel Reading July'!H22</f>
        <v>377.60000000009313</v>
      </c>
      <c r="H20" s="29">
        <f>'Diesel Reading July'!I22/'Diesel Reading July'!H22</f>
        <v>2.84</v>
      </c>
      <c r="I20" s="28">
        <f>'Water Reading'!H22</f>
        <v>1109</v>
      </c>
      <c r="J20" s="30">
        <f>'Water Reading'!I22/'Water Reading'!H22</f>
        <v>1.35</v>
      </c>
      <c r="K20" s="28">
        <v>40</v>
      </c>
      <c r="L20" s="28"/>
    </row>
    <row r="21" spans="1:12" ht="14.4" x14ac:dyDescent="0.3">
      <c r="A21" s="25" t="s">
        <v>11</v>
      </c>
      <c r="B21" s="26">
        <f t="shared" si="0"/>
        <v>20</v>
      </c>
      <c r="C21" s="27">
        <v>7</v>
      </c>
      <c r="D21" s="26">
        <v>2022</v>
      </c>
      <c r="E21" s="28">
        <f>'B16'!I23+'B16 ext'!I23+'B17'!I23</f>
        <v>23512</v>
      </c>
      <c r="F21" s="30">
        <f>('B16'!J23+'B16 ext'!J23+'B17'!J23)/TOTAL!E21</f>
        <v>0.2494578087784961</v>
      </c>
      <c r="G21" s="28">
        <f>'Diesel Reading July'!H23</f>
        <v>325.30000000004657</v>
      </c>
      <c r="H21" s="29">
        <f>'Diesel Reading July'!I23/'Diesel Reading July'!H23</f>
        <v>2.84</v>
      </c>
      <c r="I21" s="28">
        <f>'Water Reading'!H23</f>
        <v>1058</v>
      </c>
      <c r="J21" s="30">
        <f>'Water Reading'!I23/'Water Reading'!H23</f>
        <v>1.3499999999999999</v>
      </c>
      <c r="K21" s="28">
        <v>57</v>
      </c>
      <c r="L21" s="28"/>
    </row>
    <row r="22" spans="1:12" ht="14.4" x14ac:dyDescent="0.3">
      <c r="A22" s="25" t="s">
        <v>11</v>
      </c>
      <c r="B22" s="26">
        <f t="shared" si="0"/>
        <v>21</v>
      </c>
      <c r="C22" s="27">
        <v>7</v>
      </c>
      <c r="D22" s="26">
        <v>2022</v>
      </c>
      <c r="E22" s="28">
        <f>'B16'!I24+'B16 ext'!I24+'B17'!I24</f>
        <v>26507</v>
      </c>
      <c r="F22" s="30">
        <f>('B16'!J24+'B16 ext'!J24+'B17'!J24)/TOTAL!E22</f>
        <v>0.24364522578941411</v>
      </c>
      <c r="G22" s="28">
        <f>'Diesel Reading July'!H24</f>
        <v>326.29999999981374</v>
      </c>
      <c r="H22" s="29">
        <f>'Diesel Reading July'!I24/'Diesel Reading July'!H24</f>
        <v>2.84</v>
      </c>
      <c r="I22" s="28">
        <f>'Water Reading'!H24</f>
        <v>1030</v>
      </c>
      <c r="J22" s="30">
        <f>'Water Reading'!I24/'Water Reading'!H24</f>
        <v>1.35</v>
      </c>
      <c r="K22" s="28">
        <v>52</v>
      </c>
      <c r="L22" s="28"/>
    </row>
    <row r="23" spans="1:12" ht="14.4" x14ac:dyDescent="0.3">
      <c r="A23" s="25" t="s">
        <v>11</v>
      </c>
      <c r="B23" s="26">
        <f t="shared" si="0"/>
        <v>22</v>
      </c>
      <c r="C23" s="27">
        <v>7</v>
      </c>
      <c r="D23" s="26">
        <v>2022</v>
      </c>
      <c r="E23" s="28">
        <f>'B16'!I25+'B16 ext'!I25+'B17'!I25</f>
        <v>19563</v>
      </c>
      <c r="F23" s="30">
        <f>('B16'!J25+'B16 ext'!J25+'B17'!J25)/TOTAL!E23</f>
        <v>0.25539733169759238</v>
      </c>
      <c r="G23" s="28">
        <f>'Diesel Reading July'!H25</f>
        <v>335.20000000018626</v>
      </c>
      <c r="H23" s="29">
        <f>'Diesel Reading July'!I25/'Diesel Reading July'!H25</f>
        <v>2.84</v>
      </c>
      <c r="I23" s="28">
        <f>'Water Reading'!H25</f>
        <v>1034</v>
      </c>
      <c r="J23" s="30">
        <f>'Water Reading'!I25/'Water Reading'!H25</f>
        <v>1.35</v>
      </c>
      <c r="K23" s="28">
        <v>50</v>
      </c>
      <c r="L23" s="28"/>
    </row>
    <row r="24" spans="1:12" ht="14.4" x14ac:dyDescent="0.3">
      <c r="A24" s="25" t="s">
        <v>11</v>
      </c>
      <c r="B24" s="26">
        <f t="shared" si="0"/>
        <v>23</v>
      </c>
      <c r="C24" s="27">
        <v>7</v>
      </c>
      <c r="D24" s="26">
        <v>2022</v>
      </c>
      <c r="E24" s="28">
        <f>'B16'!I26+'B16 ext'!I26+'B17'!I26</f>
        <v>22984</v>
      </c>
      <c r="F24" s="30">
        <f>('B16'!J26+'B16 ext'!J26+'B17'!J26)/TOTAL!E24</f>
        <v>0.24998742603550292</v>
      </c>
      <c r="G24" s="28">
        <f>'Diesel Reading July'!H26</f>
        <v>341.19999999995343</v>
      </c>
      <c r="H24" s="29">
        <f>'Diesel Reading July'!I26/'Diesel Reading July'!H26</f>
        <v>2.84</v>
      </c>
      <c r="I24" s="28">
        <f>'Water Reading'!H26</f>
        <v>1098</v>
      </c>
      <c r="J24" s="30">
        <f>'Water Reading'!I26/'Water Reading'!H26</f>
        <v>1.35</v>
      </c>
      <c r="K24" s="28">
        <v>53</v>
      </c>
      <c r="L24" s="28"/>
    </row>
    <row r="25" spans="1:12" ht="14.4" x14ac:dyDescent="0.3">
      <c r="A25" s="25" t="s">
        <v>11</v>
      </c>
      <c r="B25" s="26">
        <f t="shared" si="0"/>
        <v>24</v>
      </c>
      <c r="C25" s="27">
        <v>7</v>
      </c>
      <c r="D25" s="26">
        <v>2022</v>
      </c>
      <c r="E25" s="28">
        <f>'B16'!I27+'B16 ext'!I27+'B17'!I27</f>
        <v>22733</v>
      </c>
      <c r="F25" s="30">
        <f>('B16'!J27+'B16 ext'!J27+'B17'!J27)/TOTAL!E25</f>
        <v>0.24940170676989395</v>
      </c>
      <c r="G25" s="28">
        <f>'Diesel Reading July'!H27</f>
        <v>343.19999999995343</v>
      </c>
      <c r="H25" s="29">
        <f>'Diesel Reading July'!I27/'Diesel Reading July'!H27</f>
        <v>2.84</v>
      </c>
      <c r="I25" s="28">
        <f>'Water Reading'!H27</f>
        <v>1094</v>
      </c>
      <c r="J25" s="30">
        <f>'Water Reading'!I27/'Water Reading'!H27</f>
        <v>1.35</v>
      </c>
      <c r="K25" s="28">
        <v>51</v>
      </c>
      <c r="L25" s="28"/>
    </row>
    <row r="26" spans="1:12" ht="14.4" x14ac:dyDescent="0.3">
      <c r="A26" s="25" t="s">
        <v>11</v>
      </c>
      <c r="B26" s="26">
        <f>B25+1</f>
        <v>25</v>
      </c>
      <c r="C26" s="27">
        <v>7</v>
      </c>
      <c r="D26" s="26">
        <v>2022</v>
      </c>
      <c r="E26" s="28">
        <f>'B16'!I28+'B16 ext'!I28+'B17'!I28</f>
        <v>21935</v>
      </c>
      <c r="F26" s="30">
        <f>('B16'!J28+'B16 ext'!J28+'B17'!J28)/TOTAL!E26</f>
        <v>0.24910572144973783</v>
      </c>
      <c r="G26" s="28">
        <f>'Diesel Reading July'!H28</f>
        <v>399.19999999995343</v>
      </c>
      <c r="H26" s="29">
        <f>'Diesel Reading July'!I28/'Diesel Reading July'!H28</f>
        <v>2.84</v>
      </c>
      <c r="I26" s="28">
        <f>'Water Reading'!H28</f>
        <v>1124</v>
      </c>
      <c r="J26" s="30">
        <f>'Water Reading'!I28/'Water Reading'!H28</f>
        <v>1.35</v>
      </c>
      <c r="K26" s="28">
        <v>47</v>
      </c>
      <c r="L26" s="28"/>
    </row>
    <row r="27" spans="1:12" ht="14.4" x14ac:dyDescent="0.3">
      <c r="A27" s="25" t="s">
        <v>11</v>
      </c>
      <c r="B27" s="26">
        <f t="shared" si="0"/>
        <v>26</v>
      </c>
      <c r="C27" s="27">
        <v>7</v>
      </c>
      <c r="D27" s="26">
        <v>2022</v>
      </c>
      <c r="E27" s="28">
        <f>'B16'!I29+'B16 ext'!I29+'B17'!I29</f>
        <v>20988</v>
      </c>
      <c r="F27" s="30">
        <f>('B16'!J29+'B16 ext'!J29+'B17'!J29)/TOTAL!E27</f>
        <v>0.24995283018867923</v>
      </c>
      <c r="G27" s="28">
        <f>'Diesel Reading July'!H29</f>
        <v>390.10000000009313</v>
      </c>
      <c r="H27" s="29">
        <f>'Diesel Reading July'!I29/'Diesel Reading July'!H29</f>
        <v>2.84</v>
      </c>
      <c r="I27" s="28">
        <f>'Water Reading'!H29</f>
        <v>1131</v>
      </c>
      <c r="J27" s="30">
        <f>'Water Reading'!I29/'Water Reading'!H29</f>
        <v>1.3499999999999999</v>
      </c>
      <c r="K27" s="28">
        <v>54</v>
      </c>
      <c r="L27" s="28"/>
    </row>
    <row r="28" spans="1:12" ht="14.4" x14ac:dyDescent="0.3">
      <c r="A28" s="25" t="s">
        <v>11</v>
      </c>
      <c r="B28" s="26">
        <f t="shared" si="0"/>
        <v>27</v>
      </c>
      <c r="C28" s="27">
        <v>7</v>
      </c>
      <c r="D28" s="26">
        <v>2022</v>
      </c>
      <c r="E28" s="28">
        <f>'B16'!I30+'B16 ext'!I30+'B17'!I30</f>
        <v>21013</v>
      </c>
      <c r="F28" s="30">
        <f>('B16'!J30+'B16 ext'!J30+'B17'!J30)/TOTAL!E28</f>
        <v>0.24753119497453954</v>
      </c>
      <c r="G28" s="28">
        <f>'Diesel Reading July'!H30</f>
        <v>421.39999999990687</v>
      </c>
      <c r="H28" s="29">
        <f>'Diesel Reading July'!I30/'Diesel Reading July'!H30</f>
        <v>2.84</v>
      </c>
      <c r="I28" s="28">
        <f>'Water Reading'!H30</f>
        <v>1155</v>
      </c>
      <c r="J28" s="30">
        <f>'Water Reading'!I30/'Water Reading'!H30</f>
        <v>1.35</v>
      </c>
      <c r="K28" s="28">
        <v>43</v>
      </c>
      <c r="L28" s="28"/>
    </row>
    <row r="29" spans="1:12" ht="14.4" x14ac:dyDescent="0.3">
      <c r="A29" s="25" t="s">
        <v>11</v>
      </c>
      <c r="B29" s="26">
        <f t="shared" si="0"/>
        <v>28</v>
      </c>
      <c r="C29" s="27">
        <v>7</v>
      </c>
      <c r="D29" s="26">
        <v>2022</v>
      </c>
      <c r="E29" s="28">
        <f>'B16'!I31+'B16 ext'!I31+'B17'!I31</f>
        <v>21048</v>
      </c>
      <c r="F29" s="30">
        <f>('B16'!J31+'B16 ext'!J31+'B17'!J31)/TOTAL!E29</f>
        <v>0.24897491448118586</v>
      </c>
      <c r="G29" s="28">
        <f>'Diesel Reading July'!H31</f>
        <v>369.19999999995343</v>
      </c>
      <c r="H29" s="29">
        <f>'Diesel Reading July'!I31/'Diesel Reading July'!H31</f>
        <v>2.84</v>
      </c>
      <c r="I29" s="28">
        <f>'Water Reading'!H31</f>
        <v>1452</v>
      </c>
      <c r="J29" s="30">
        <f>'Water Reading'!I31/'Water Reading'!H31</f>
        <v>1.35</v>
      </c>
      <c r="K29" s="28">
        <v>35</v>
      </c>
      <c r="L29" s="28"/>
    </row>
    <row r="30" spans="1:12" ht="14.4" x14ac:dyDescent="0.3">
      <c r="A30" s="25" t="s">
        <v>11</v>
      </c>
      <c r="B30" s="26">
        <f t="shared" si="0"/>
        <v>29</v>
      </c>
      <c r="C30" s="27">
        <v>7</v>
      </c>
      <c r="D30" s="26">
        <v>2022</v>
      </c>
      <c r="E30" s="28">
        <f>'B16'!I32+'B16 ext'!I32+'B17'!I32</f>
        <v>19525</v>
      </c>
      <c r="F30" s="30">
        <f>('B16'!J32+'B16 ext'!J32+'B17'!J32)/TOTAL!E30</f>
        <v>0.24773869398207427</v>
      </c>
      <c r="G30" s="28">
        <f>'Diesel Reading July'!H32</f>
        <v>407.80000000004657</v>
      </c>
      <c r="H30" s="29">
        <f>'Diesel Reading July'!I32/'Diesel Reading July'!H32</f>
        <v>2.84</v>
      </c>
      <c r="I30" s="28">
        <f>'Water Reading'!H32</f>
        <v>1155</v>
      </c>
      <c r="J30" s="30">
        <f>'Water Reading'!I32/'Water Reading'!H32</f>
        <v>1.35</v>
      </c>
      <c r="K30" s="28">
        <v>44</v>
      </c>
      <c r="L30" s="28"/>
    </row>
    <row r="31" spans="1:12" ht="14.4" x14ac:dyDescent="0.3">
      <c r="A31" s="25" t="s">
        <v>11</v>
      </c>
      <c r="B31" s="26">
        <f t="shared" si="0"/>
        <v>30</v>
      </c>
      <c r="C31" s="27">
        <v>7</v>
      </c>
      <c r="D31" s="26">
        <v>2022</v>
      </c>
      <c r="E31" s="28">
        <f>'B16'!I33+'B16 ext'!I33+'B17'!I33</f>
        <v>0</v>
      </c>
      <c r="F31" s="30" t="e">
        <f>('B16'!J33+'B16 ext'!J33+'B17'!J33)/TOTAL!E31</f>
        <v>#DIV/0!</v>
      </c>
      <c r="G31" s="28">
        <f>'Diesel Reading July'!H33</f>
        <v>317.5</v>
      </c>
      <c r="H31" s="29">
        <f>'Diesel Reading July'!I33/'Diesel Reading July'!H33</f>
        <v>2.84</v>
      </c>
      <c r="I31" s="28">
        <f>'Water Reading'!H33</f>
        <v>1235</v>
      </c>
      <c r="J31" s="30">
        <f>'Water Reading'!I33/'Water Reading'!H33</f>
        <v>1.35</v>
      </c>
      <c r="K31" s="28">
        <v>44</v>
      </c>
      <c r="L31" s="28"/>
    </row>
    <row r="32" spans="1:12" ht="14.4" x14ac:dyDescent="0.3">
      <c r="A32" s="25" t="s">
        <v>11</v>
      </c>
      <c r="B32" s="26">
        <f t="shared" si="0"/>
        <v>31</v>
      </c>
      <c r="C32" s="27">
        <v>7</v>
      </c>
      <c r="D32" s="26">
        <v>2022</v>
      </c>
      <c r="E32" s="28">
        <f>'B16'!I34+'B16 ext'!I34+'B17'!I34</f>
        <v>0</v>
      </c>
      <c r="F32" s="30" t="e">
        <f>('B16'!J34+'B16 ext'!J34+'B17'!J34)/TOTAL!E32</f>
        <v>#DIV/0!</v>
      </c>
      <c r="G32" s="28">
        <f>'Diesel Reading July'!H34</f>
        <v>331.60000000009313</v>
      </c>
      <c r="H32" s="29">
        <f>'Diesel Reading July'!I34/'Diesel Reading July'!H34</f>
        <v>0</v>
      </c>
      <c r="I32" s="28">
        <f>'Water Reading'!H34</f>
        <v>0</v>
      </c>
      <c r="J32" s="30" t="e">
        <f>'Water Reading'!I34/'Water Reading'!H34</f>
        <v>#DIV/0!</v>
      </c>
      <c r="K32" s="28">
        <v>39</v>
      </c>
      <c r="L32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8" zoomScaleNormal="100" workbookViewId="0">
      <selection activeCell="G4" sqref="G4:G34"/>
    </sheetView>
  </sheetViews>
  <sheetFormatPr defaultRowHeight="13.2" x14ac:dyDescent="0.25"/>
  <cols>
    <col min="1" max="1" width="14" style="52" customWidth="1"/>
    <col min="2" max="2" width="20.33203125" style="32" bestFit="1" customWidth="1"/>
    <col min="3" max="3" width="18.88671875" style="32" bestFit="1" customWidth="1"/>
    <col min="4" max="4" width="20.33203125" style="32" bestFit="1" customWidth="1"/>
    <col min="5" max="5" width="18.88671875" style="32" customWidth="1"/>
    <col min="6" max="6" width="14.6640625" style="32" customWidth="1"/>
    <col min="7" max="7" width="11.33203125" style="24" customWidth="1"/>
    <col min="8" max="8" width="17.6640625" style="24" customWidth="1"/>
    <col min="9" max="9" width="19.109375" style="32" bestFit="1" customWidth="1"/>
    <col min="10" max="10" width="10.109375" style="14" bestFit="1" customWidth="1"/>
    <col min="11" max="256" width="9.109375" style="24"/>
    <col min="257" max="257" width="14" style="24" customWidth="1"/>
    <col min="258" max="258" width="20.33203125" style="24" bestFit="1" customWidth="1"/>
    <col min="259" max="259" width="18.88671875" style="24" bestFit="1" customWidth="1"/>
    <col min="260" max="260" width="20.33203125" style="24" bestFit="1" customWidth="1"/>
    <col min="261" max="261" width="18.88671875" style="24" customWidth="1"/>
    <col min="262" max="262" width="14.6640625" style="24" customWidth="1"/>
    <col min="263" max="263" width="11.33203125" style="24" customWidth="1"/>
    <col min="264" max="264" width="11.6640625" style="24" customWidth="1"/>
    <col min="265" max="265" width="19.109375" style="24" bestFit="1" customWidth="1"/>
    <col min="266" max="266" width="10.109375" style="24" bestFit="1" customWidth="1"/>
    <col min="267" max="512" width="9.109375" style="24"/>
    <col min="513" max="513" width="14" style="24" customWidth="1"/>
    <col min="514" max="514" width="20.33203125" style="24" bestFit="1" customWidth="1"/>
    <col min="515" max="515" width="18.88671875" style="24" bestFit="1" customWidth="1"/>
    <col min="516" max="516" width="20.33203125" style="24" bestFit="1" customWidth="1"/>
    <col min="517" max="517" width="18.88671875" style="24" customWidth="1"/>
    <col min="518" max="518" width="14.6640625" style="24" customWidth="1"/>
    <col min="519" max="519" width="11.33203125" style="24" customWidth="1"/>
    <col min="520" max="520" width="11.6640625" style="24" customWidth="1"/>
    <col min="521" max="521" width="19.109375" style="24" bestFit="1" customWidth="1"/>
    <col min="522" max="522" width="10.109375" style="24" bestFit="1" customWidth="1"/>
    <col min="523" max="768" width="9.109375" style="24"/>
    <col min="769" max="769" width="14" style="24" customWidth="1"/>
    <col min="770" max="770" width="20.33203125" style="24" bestFit="1" customWidth="1"/>
    <col min="771" max="771" width="18.88671875" style="24" bestFit="1" customWidth="1"/>
    <col min="772" max="772" width="20.33203125" style="24" bestFit="1" customWidth="1"/>
    <col min="773" max="773" width="18.88671875" style="24" customWidth="1"/>
    <col min="774" max="774" width="14.6640625" style="24" customWidth="1"/>
    <col min="775" max="775" width="11.33203125" style="24" customWidth="1"/>
    <col min="776" max="776" width="11.6640625" style="24" customWidth="1"/>
    <col min="777" max="777" width="19.109375" style="24" bestFit="1" customWidth="1"/>
    <col min="778" max="778" width="10.109375" style="24" bestFit="1" customWidth="1"/>
    <col min="779" max="1024" width="9.109375" style="24"/>
    <col min="1025" max="1025" width="14" style="24" customWidth="1"/>
    <col min="1026" max="1026" width="20.33203125" style="24" bestFit="1" customWidth="1"/>
    <col min="1027" max="1027" width="18.88671875" style="24" bestFit="1" customWidth="1"/>
    <col min="1028" max="1028" width="20.33203125" style="24" bestFit="1" customWidth="1"/>
    <col min="1029" max="1029" width="18.88671875" style="24" customWidth="1"/>
    <col min="1030" max="1030" width="14.6640625" style="24" customWidth="1"/>
    <col min="1031" max="1031" width="11.33203125" style="24" customWidth="1"/>
    <col min="1032" max="1032" width="11.6640625" style="24" customWidth="1"/>
    <col min="1033" max="1033" width="19.109375" style="24" bestFit="1" customWidth="1"/>
    <col min="1034" max="1034" width="10.109375" style="24" bestFit="1" customWidth="1"/>
    <col min="1035" max="1280" width="9.109375" style="24"/>
    <col min="1281" max="1281" width="14" style="24" customWidth="1"/>
    <col min="1282" max="1282" width="20.33203125" style="24" bestFit="1" customWidth="1"/>
    <col min="1283" max="1283" width="18.88671875" style="24" bestFit="1" customWidth="1"/>
    <col min="1284" max="1284" width="20.33203125" style="24" bestFit="1" customWidth="1"/>
    <col min="1285" max="1285" width="18.88671875" style="24" customWidth="1"/>
    <col min="1286" max="1286" width="14.6640625" style="24" customWidth="1"/>
    <col min="1287" max="1287" width="11.33203125" style="24" customWidth="1"/>
    <col min="1288" max="1288" width="11.6640625" style="24" customWidth="1"/>
    <col min="1289" max="1289" width="19.109375" style="24" bestFit="1" customWidth="1"/>
    <col min="1290" max="1290" width="10.109375" style="24" bestFit="1" customWidth="1"/>
    <col min="1291" max="1536" width="9.109375" style="24"/>
    <col min="1537" max="1537" width="14" style="24" customWidth="1"/>
    <col min="1538" max="1538" width="20.33203125" style="24" bestFit="1" customWidth="1"/>
    <col min="1539" max="1539" width="18.88671875" style="24" bestFit="1" customWidth="1"/>
    <col min="1540" max="1540" width="20.33203125" style="24" bestFit="1" customWidth="1"/>
    <col min="1541" max="1541" width="18.88671875" style="24" customWidth="1"/>
    <col min="1542" max="1542" width="14.6640625" style="24" customWidth="1"/>
    <col min="1543" max="1543" width="11.33203125" style="24" customWidth="1"/>
    <col min="1544" max="1544" width="11.6640625" style="24" customWidth="1"/>
    <col min="1545" max="1545" width="19.109375" style="24" bestFit="1" customWidth="1"/>
    <col min="1546" max="1546" width="10.109375" style="24" bestFit="1" customWidth="1"/>
    <col min="1547" max="1792" width="9.109375" style="24"/>
    <col min="1793" max="1793" width="14" style="24" customWidth="1"/>
    <col min="1794" max="1794" width="20.33203125" style="24" bestFit="1" customWidth="1"/>
    <col min="1795" max="1795" width="18.88671875" style="24" bestFit="1" customWidth="1"/>
    <col min="1796" max="1796" width="20.33203125" style="24" bestFit="1" customWidth="1"/>
    <col min="1797" max="1797" width="18.88671875" style="24" customWidth="1"/>
    <col min="1798" max="1798" width="14.6640625" style="24" customWidth="1"/>
    <col min="1799" max="1799" width="11.33203125" style="24" customWidth="1"/>
    <col min="1800" max="1800" width="11.6640625" style="24" customWidth="1"/>
    <col min="1801" max="1801" width="19.109375" style="24" bestFit="1" customWidth="1"/>
    <col min="1802" max="1802" width="10.109375" style="24" bestFit="1" customWidth="1"/>
    <col min="1803" max="2048" width="9.109375" style="24"/>
    <col min="2049" max="2049" width="14" style="24" customWidth="1"/>
    <col min="2050" max="2050" width="20.33203125" style="24" bestFit="1" customWidth="1"/>
    <col min="2051" max="2051" width="18.88671875" style="24" bestFit="1" customWidth="1"/>
    <col min="2052" max="2052" width="20.33203125" style="24" bestFit="1" customWidth="1"/>
    <col min="2053" max="2053" width="18.88671875" style="24" customWidth="1"/>
    <col min="2054" max="2054" width="14.6640625" style="24" customWidth="1"/>
    <col min="2055" max="2055" width="11.33203125" style="24" customWidth="1"/>
    <col min="2056" max="2056" width="11.6640625" style="24" customWidth="1"/>
    <col min="2057" max="2057" width="19.109375" style="24" bestFit="1" customWidth="1"/>
    <col min="2058" max="2058" width="10.109375" style="24" bestFit="1" customWidth="1"/>
    <col min="2059" max="2304" width="9.109375" style="24"/>
    <col min="2305" max="2305" width="14" style="24" customWidth="1"/>
    <col min="2306" max="2306" width="20.33203125" style="24" bestFit="1" customWidth="1"/>
    <col min="2307" max="2307" width="18.88671875" style="24" bestFit="1" customWidth="1"/>
    <col min="2308" max="2308" width="20.33203125" style="24" bestFit="1" customWidth="1"/>
    <col min="2309" max="2309" width="18.88671875" style="24" customWidth="1"/>
    <col min="2310" max="2310" width="14.6640625" style="24" customWidth="1"/>
    <col min="2311" max="2311" width="11.33203125" style="24" customWidth="1"/>
    <col min="2312" max="2312" width="11.6640625" style="24" customWidth="1"/>
    <col min="2313" max="2313" width="19.109375" style="24" bestFit="1" customWidth="1"/>
    <col min="2314" max="2314" width="10.109375" style="24" bestFit="1" customWidth="1"/>
    <col min="2315" max="2560" width="9.109375" style="24"/>
    <col min="2561" max="2561" width="14" style="24" customWidth="1"/>
    <col min="2562" max="2562" width="20.33203125" style="24" bestFit="1" customWidth="1"/>
    <col min="2563" max="2563" width="18.88671875" style="24" bestFit="1" customWidth="1"/>
    <col min="2564" max="2564" width="20.33203125" style="24" bestFit="1" customWidth="1"/>
    <col min="2565" max="2565" width="18.88671875" style="24" customWidth="1"/>
    <col min="2566" max="2566" width="14.6640625" style="24" customWidth="1"/>
    <col min="2567" max="2567" width="11.33203125" style="24" customWidth="1"/>
    <col min="2568" max="2568" width="11.6640625" style="24" customWidth="1"/>
    <col min="2569" max="2569" width="19.109375" style="24" bestFit="1" customWidth="1"/>
    <col min="2570" max="2570" width="10.109375" style="24" bestFit="1" customWidth="1"/>
    <col min="2571" max="2816" width="9.109375" style="24"/>
    <col min="2817" max="2817" width="14" style="24" customWidth="1"/>
    <col min="2818" max="2818" width="20.33203125" style="24" bestFit="1" customWidth="1"/>
    <col min="2819" max="2819" width="18.88671875" style="24" bestFit="1" customWidth="1"/>
    <col min="2820" max="2820" width="20.33203125" style="24" bestFit="1" customWidth="1"/>
    <col min="2821" max="2821" width="18.88671875" style="24" customWidth="1"/>
    <col min="2822" max="2822" width="14.6640625" style="24" customWidth="1"/>
    <col min="2823" max="2823" width="11.33203125" style="24" customWidth="1"/>
    <col min="2824" max="2824" width="11.6640625" style="24" customWidth="1"/>
    <col min="2825" max="2825" width="19.109375" style="24" bestFit="1" customWidth="1"/>
    <col min="2826" max="2826" width="10.109375" style="24" bestFit="1" customWidth="1"/>
    <col min="2827" max="3072" width="9.109375" style="24"/>
    <col min="3073" max="3073" width="14" style="24" customWidth="1"/>
    <col min="3074" max="3074" width="20.33203125" style="24" bestFit="1" customWidth="1"/>
    <col min="3075" max="3075" width="18.88671875" style="24" bestFit="1" customWidth="1"/>
    <col min="3076" max="3076" width="20.33203125" style="24" bestFit="1" customWidth="1"/>
    <col min="3077" max="3077" width="18.88671875" style="24" customWidth="1"/>
    <col min="3078" max="3078" width="14.6640625" style="24" customWidth="1"/>
    <col min="3079" max="3079" width="11.33203125" style="24" customWidth="1"/>
    <col min="3080" max="3080" width="11.6640625" style="24" customWidth="1"/>
    <col min="3081" max="3081" width="19.109375" style="24" bestFit="1" customWidth="1"/>
    <col min="3082" max="3082" width="10.109375" style="24" bestFit="1" customWidth="1"/>
    <col min="3083" max="3328" width="9.109375" style="24"/>
    <col min="3329" max="3329" width="14" style="24" customWidth="1"/>
    <col min="3330" max="3330" width="20.33203125" style="24" bestFit="1" customWidth="1"/>
    <col min="3331" max="3331" width="18.88671875" style="24" bestFit="1" customWidth="1"/>
    <col min="3332" max="3332" width="20.33203125" style="24" bestFit="1" customWidth="1"/>
    <col min="3333" max="3333" width="18.88671875" style="24" customWidth="1"/>
    <col min="3334" max="3334" width="14.6640625" style="24" customWidth="1"/>
    <col min="3335" max="3335" width="11.33203125" style="24" customWidth="1"/>
    <col min="3336" max="3336" width="11.6640625" style="24" customWidth="1"/>
    <col min="3337" max="3337" width="19.109375" style="24" bestFit="1" customWidth="1"/>
    <col min="3338" max="3338" width="10.109375" style="24" bestFit="1" customWidth="1"/>
    <col min="3339" max="3584" width="9.109375" style="24"/>
    <col min="3585" max="3585" width="14" style="24" customWidth="1"/>
    <col min="3586" max="3586" width="20.33203125" style="24" bestFit="1" customWidth="1"/>
    <col min="3587" max="3587" width="18.88671875" style="24" bestFit="1" customWidth="1"/>
    <col min="3588" max="3588" width="20.33203125" style="24" bestFit="1" customWidth="1"/>
    <col min="3589" max="3589" width="18.88671875" style="24" customWidth="1"/>
    <col min="3590" max="3590" width="14.6640625" style="24" customWidth="1"/>
    <col min="3591" max="3591" width="11.33203125" style="24" customWidth="1"/>
    <col min="3592" max="3592" width="11.6640625" style="24" customWidth="1"/>
    <col min="3593" max="3593" width="19.109375" style="24" bestFit="1" customWidth="1"/>
    <col min="3594" max="3594" width="10.109375" style="24" bestFit="1" customWidth="1"/>
    <col min="3595" max="3840" width="9.109375" style="24"/>
    <col min="3841" max="3841" width="14" style="24" customWidth="1"/>
    <col min="3842" max="3842" width="20.33203125" style="24" bestFit="1" customWidth="1"/>
    <col min="3843" max="3843" width="18.88671875" style="24" bestFit="1" customWidth="1"/>
    <col min="3844" max="3844" width="20.33203125" style="24" bestFit="1" customWidth="1"/>
    <col min="3845" max="3845" width="18.88671875" style="24" customWidth="1"/>
    <col min="3846" max="3846" width="14.6640625" style="24" customWidth="1"/>
    <col min="3847" max="3847" width="11.33203125" style="24" customWidth="1"/>
    <col min="3848" max="3848" width="11.6640625" style="24" customWidth="1"/>
    <col min="3849" max="3849" width="19.109375" style="24" bestFit="1" customWidth="1"/>
    <col min="3850" max="3850" width="10.109375" style="24" bestFit="1" customWidth="1"/>
    <col min="3851" max="4096" width="9.109375" style="24"/>
    <col min="4097" max="4097" width="14" style="24" customWidth="1"/>
    <col min="4098" max="4098" width="20.33203125" style="24" bestFit="1" customWidth="1"/>
    <col min="4099" max="4099" width="18.88671875" style="24" bestFit="1" customWidth="1"/>
    <col min="4100" max="4100" width="20.33203125" style="24" bestFit="1" customWidth="1"/>
    <col min="4101" max="4101" width="18.88671875" style="24" customWidth="1"/>
    <col min="4102" max="4102" width="14.6640625" style="24" customWidth="1"/>
    <col min="4103" max="4103" width="11.33203125" style="24" customWidth="1"/>
    <col min="4104" max="4104" width="11.6640625" style="24" customWidth="1"/>
    <col min="4105" max="4105" width="19.109375" style="24" bestFit="1" customWidth="1"/>
    <col min="4106" max="4106" width="10.109375" style="24" bestFit="1" customWidth="1"/>
    <col min="4107" max="4352" width="9.109375" style="24"/>
    <col min="4353" max="4353" width="14" style="24" customWidth="1"/>
    <col min="4354" max="4354" width="20.33203125" style="24" bestFit="1" customWidth="1"/>
    <col min="4355" max="4355" width="18.88671875" style="24" bestFit="1" customWidth="1"/>
    <col min="4356" max="4356" width="20.33203125" style="24" bestFit="1" customWidth="1"/>
    <col min="4357" max="4357" width="18.88671875" style="24" customWidth="1"/>
    <col min="4358" max="4358" width="14.6640625" style="24" customWidth="1"/>
    <col min="4359" max="4359" width="11.33203125" style="24" customWidth="1"/>
    <col min="4360" max="4360" width="11.6640625" style="24" customWidth="1"/>
    <col min="4361" max="4361" width="19.109375" style="24" bestFit="1" customWidth="1"/>
    <col min="4362" max="4362" width="10.109375" style="24" bestFit="1" customWidth="1"/>
    <col min="4363" max="4608" width="9.109375" style="24"/>
    <col min="4609" max="4609" width="14" style="24" customWidth="1"/>
    <col min="4610" max="4610" width="20.33203125" style="24" bestFit="1" customWidth="1"/>
    <col min="4611" max="4611" width="18.88671875" style="24" bestFit="1" customWidth="1"/>
    <col min="4612" max="4612" width="20.33203125" style="24" bestFit="1" customWidth="1"/>
    <col min="4613" max="4613" width="18.88671875" style="24" customWidth="1"/>
    <col min="4614" max="4614" width="14.6640625" style="24" customWidth="1"/>
    <col min="4615" max="4615" width="11.33203125" style="24" customWidth="1"/>
    <col min="4616" max="4616" width="11.6640625" style="24" customWidth="1"/>
    <col min="4617" max="4617" width="19.109375" style="24" bestFit="1" customWidth="1"/>
    <col min="4618" max="4618" width="10.109375" style="24" bestFit="1" customWidth="1"/>
    <col min="4619" max="4864" width="9.109375" style="24"/>
    <col min="4865" max="4865" width="14" style="24" customWidth="1"/>
    <col min="4866" max="4866" width="20.33203125" style="24" bestFit="1" customWidth="1"/>
    <col min="4867" max="4867" width="18.88671875" style="24" bestFit="1" customWidth="1"/>
    <col min="4868" max="4868" width="20.33203125" style="24" bestFit="1" customWidth="1"/>
    <col min="4869" max="4869" width="18.88671875" style="24" customWidth="1"/>
    <col min="4870" max="4870" width="14.6640625" style="24" customWidth="1"/>
    <col min="4871" max="4871" width="11.33203125" style="24" customWidth="1"/>
    <col min="4872" max="4872" width="11.6640625" style="24" customWidth="1"/>
    <col min="4873" max="4873" width="19.109375" style="24" bestFit="1" customWidth="1"/>
    <col min="4874" max="4874" width="10.109375" style="24" bestFit="1" customWidth="1"/>
    <col min="4875" max="5120" width="9.109375" style="24"/>
    <col min="5121" max="5121" width="14" style="24" customWidth="1"/>
    <col min="5122" max="5122" width="20.33203125" style="24" bestFit="1" customWidth="1"/>
    <col min="5123" max="5123" width="18.88671875" style="24" bestFit="1" customWidth="1"/>
    <col min="5124" max="5124" width="20.33203125" style="24" bestFit="1" customWidth="1"/>
    <col min="5125" max="5125" width="18.88671875" style="24" customWidth="1"/>
    <col min="5126" max="5126" width="14.6640625" style="24" customWidth="1"/>
    <col min="5127" max="5127" width="11.33203125" style="24" customWidth="1"/>
    <col min="5128" max="5128" width="11.6640625" style="24" customWidth="1"/>
    <col min="5129" max="5129" width="19.109375" style="24" bestFit="1" customWidth="1"/>
    <col min="5130" max="5130" width="10.109375" style="24" bestFit="1" customWidth="1"/>
    <col min="5131" max="5376" width="9.109375" style="24"/>
    <col min="5377" max="5377" width="14" style="24" customWidth="1"/>
    <col min="5378" max="5378" width="20.33203125" style="24" bestFit="1" customWidth="1"/>
    <col min="5379" max="5379" width="18.88671875" style="24" bestFit="1" customWidth="1"/>
    <col min="5380" max="5380" width="20.33203125" style="24" bestFit="1" customWidth="1"/>
    <col min="5381" max="5381" width="18.88671875" style="24" customWidth="1"/>
    <col min="5382" max="5382" width="14.6640625" style="24" customWidth="1"/>
    <col min="5383" max="5383" width="11.33203125" style="24" customWidth="1"/>
    <col min="5384" max="5384" width="11.6640625" style="24" customWidth="1"/>
    <col min="5385" max="5385" width="19.109375" style="24" bestFit="1" customWidth="1"/>
    <col min="5386" max="5386" width="10.109375" style="24" bestFit="1" customWidth="1"/>
    <col min="5387" max="5632" width="9.109375" style="24"/>
    <col min="5633" max="5633" width="14" style="24" customWidth="1"/>
    <col min="5634" max="5634" width="20.33203125" style="24" bestFit="1" customWidth="1"/>
    <col min="5635" max="5635" width="18.88671875" style="24" bestFit="1" customWidth="1"/>
    <col min="5636" max="5636" width="20.33203125" style="24" bestFit="1" customWidth="1"/>
    <col min="5637" max="5637" width="18.88671875" style="24" customWidth="1"/>
    <col min="5638" max="5638" width="14.6640625" style="24" customWidth="1"/>
    <col min="5639" max="5639" width="11.33203125" style="24" customWidth="1"/>
    <col min="5640" max="5640" width="11.6640625" style="24" customWidth="1"/>
    <col min="5641" max="5641" width="19.109375" style="24" bestFit="1" customWidth="1"/>
    <col min="5642" max="5642" width="10.109375" style="24" bestFit="1" customWidth="1"/>
    <col min="5643" max="5888" width="9.109375" style="24"/>
    <col min="5889" max="5889" width="14" style="24" customWidth="1"/>
    <col min="5890" max="5890" width="20.33203125" style="24" bestFit="1" customWidth="1"/>
    <col min="5891" max="5891" width="18.88671875" style="24" bestFit="1" customWidth="1"/>
    <col min="5892" max="5892" width="20.33203125" style="24" bestFit="1" customWidth="1"/>
    <col min="5893" max="5893" width="18.88671875" style="24" customWidth="1"/>
    <col min="5894" max="5894" width="14.6640625" style="24" customWidth="1"/>
    <col min="5895" max="5895" width="11.33203125" style="24" customWidth="1"/>
    <col min="5896" max="5896" width="11.6640625" style="24" customWidth="1"/>
    <col min="5897" max="5897" width="19.109375" style="24" bestFit="1" customWidth="1"/>
    <col min="5898" max="5898" width="10.109375" style="24" bestFit="1" customWidth="1"/>
    <col min="5899" max="6144" width="9.109375" style="24"/>
    <col min="6145" max="6145" width="14" style="24" customWidth="1"/>
    <col min="6146" max="6146" width="20.33203125" style="24" bestFit="1" customWidth="1"/>
    <col min="6147" max="6147" width="18.88671875" style="24" bestFit="1" customWidth="1"/>
    <col min="6148" max="6148" width="20.33203125" style="24" bestFit="1" customWidth="1"/>
    <col min="6149" max="6149" width="18.88671875" style="24" customWidth="1"/>
    <col min="6150" max="6150" width="14.6640625" style="24" customWidth="1"/>
    <col min="6151" max="6151" width="11.33203125" style="24" customWidth="1"/>
    <col min="6152" max="6152" width="11.6640625" style="24" customWidth="1"/>
    <col min="6153" max="6153" width="19.109375" style="24" bestFit="1" customWidth="1"/>
    <col min="6154" max="6154" width="10.109375" style="24" bestFit="1" customWidth="1"/>
    <col min="6155" max="6400" width="9.109375" style="24"/>
    <col min="6401" max="6401" width="14" style="24" customWidth="1"/>
    <col min="6402" max="6402" width="20.33203125" style="24" bestFit="1" customWidth="1"/>
    <col min="6403" max="6403" width="18.88671875" style="24" bestFit="1" customWidth="1"/>
    <col min="6404" max="6404" width="20.33203125" style="24" bestFit="1" customWidth="1"/>
    <col min="6405" max="6405" width="18.88671875" style="24" customWidth="1"/>
    <col min="6406" max="6406" width="14.6640625" style="24" customWidth="1"/>
    <col min="6407" max="6407" width="11.33203125" style="24" customWidth="1"/>
    <col min="6408" max="6408" width="11.6640625" style="24" customWidth="1"/>
    <col min="6409" max="6409" width="19.109375" style="24" bestFit="1" customWidth="1"/>
    <col min="6410" max="6410" width="10.109375" style="24" bestFit="1" customWidth="1"/>
    <col min="6411" max="6656" width="9.109375" style="24"/>
    <col min="6657" max="6657" width="14" style="24" customWidth="1"/>
    <col min="6658" max="6658" width="20.33203125" style="24" bestFit="1" customWidth="1"/>
    <col min="6659" max="6659" width="18.88671875" style="24" bestFit="1" customWidth="1"/>
    <col min="6660" max="6660" width="20.33203125" style="24" bestFit="1" customWidth="1"/>
    <col min="6661" max="6661" width="18.88671875" style="24" customWidth="1"/>
    <col min="6662" max="6662" width="14.6640625" style="24" customWidth="1"/>
    <col min="6663" max="6663" width="11.33203125" style="24" customWidth="1"/>
    <col min="6664" max="6664" width="11.6640625" style="24" customWidth="1"/>
    <col min="6665" max="6665" width="19.109375" style="24" bestFit="1" customWidth="1"/>
    <col min="6666" max="6666" width="10.109375" style="24" bestFit="1" customWidth="1"/>
    <col min="6667" max="6912" width="9.109375" style="24"/>
    <col min="6913" max="6913" width="14" style="24" customWidth="1"/>
    <col min="6914" max="6914" width="20.33203125" style="24" bestFit="1" customWidth="1"/>
    <col min="6915" max="6915" width="18.88671875" style="24" bestFit="1" customWidth="1"/>
    <col min="6916" max="6916" width="20.33203125" style="24" bestFit="1" customWidth="1"/>
    <col min="6917" max="6917" width="18.88671875" style="24" customWidth="1"/>
    <col min="6918" max="6918" width="14.6640625" style="24" customWidth="1"/>
    <col min="6919" max="6919" width="11.33203125" style="24" customWidth="1"/>
    <col min="6920" max="6920" width="11.6640625" style="24" customWidth="1"/>
    <col min="6921" max="6921" width="19.109375" style="24" bestFit="1" customWidth="1"/>
    <col min="6922" max="6922" width="10.109375" style="24" bestFit="1" customWidth="1"/>
    <col min="6923" max="7168" width="9.109375" style="24"/>
    <col min="7169" max="7169" width="14" style="24" customWidth="1"/>
    <col min="7170" max="7170" width="20.33203125" style="24" bestFit="1" customWidth="1"/>
    <col min="7171" max="7171" width="18.88671875" style="24" bestFit="1" customWidth="1"/>
    <col min="7172" max="7172" width="20.33203125" style="24" bestFit="1" customWidth="1"/>
    <col min="7173" max="7173" width="18.88671875" style="24" customWidth="1"/>
    <col min="7174" max="7174" width="14.6640625" style="24" customWidth="1"/>
    <col min="7175" max="7175" width="11.33203125" style="24" customWidth="1"/>
    <col min="7176" max="7176" width="11.6640625" style="24" customWidth="1"/>
    <col min="7177" max="7177" width="19.109375" style="24" bestFit="1" customWidth="1"/>
    <col min="7178" max="7178" width="10.109375" style="24" bestFit="1" customWidth="1"/>
    <col min="7179" max="7424" width="9.109375" style="24"/>
    <col min="7425" max="7425" width="14" style="24" customWidth="1"/>
    <col min="7426" max="7426" width="20.33203125" style="24" bestFit="1" customWidth="1"/>
    <col min="7427" max="7427" width="18.88671875" style="24" bestFit="1" customWidth="1"/>
    <col min="7428" max="7428" width="20.33203125" style="24" bestFit="1" customWidth="1"/>
    <col min="7429" max="7429" width="18.88671875" style="24" customWidth="1"/>
    <col min="7430" max="7430" width="14.6640625" style="24" customWidth="1"/>
    <col min="7431" max="7431" width="11.33203125" style="24" customWidth="1"/>
    <col min="7432" max="7432" width="11.6640625" style="24" customWidth="1"/>
    <col min="7433" max="7433" width="19.109375" style="24" bestFit="1" customWidth="1"/>
    <col min="7434" max="7434" width="10.109375" style="24" bestFit="1" customWidth="1"/>
    <col min="7435" max="7680" width="9.109375" style="24"/>
    <col min="7681" max="7681" width="14" style="24" customWidth="1"/>
    <col min="7682" max="7682" width="20.33203125" style="24" bestFit="1" customWidth="1"/>
    <col min="7683" max="7683" width="18.88671875" style="24" bestFit="1" customWidth="1"/>
    <col min="7684" max="7684" width="20.33203125" style="24" bestFit="1" customWidth="1"/>
    <col min="7685" max="7685" width="18.88671875" style="24" customWidth="1"/>
    <col min="7686" max="7686" width="14.6640625" style="24" customWidth="1"/>
    <col min="7687" max="7687" width="11.33203125" style="24" customWidth="1"/>
    <col min="7688" max="7688" width="11.6640625" style="24" customWidth="1"/>
    <col min="7689" max="7689" width="19.109375" style="24" bestFit="1" customWidth="1"/>
    <col min="7690" max="7690" width="10.109375" style="24" bestFit="1" customWidth="1"/>
    <col min="7691" max="7936" width="9.109375" style="24"/>
    <col min="7937" max="7937" width="14" style="24" customWidth="1"/>
    <col min="7938" max="7938" width="20.33203125" style="24" bestFit="1" customWidth="1"/>
    <col min="7939" max="7939" width="18.88671875" style="24" bestFit="1" customWidth="1"/>
    <col min="7940" max="7940" width="20.33203125" style="24" bestFit="1" customWidth="1"/>
    <col min="7941" max="7941" width="18.88671875" style="24" customWidth="1"/>
    <col min="7942" max="7942" width="14.6640625" style="24" customWidth="1"/>
    <col min="7943" max="7943" width="11.33203125" style="24" customWidth="1"/>
    <col min="7944" max="7944" width="11.6640625" style="24" customWidth="1"/>
    <col min="7945" max="7945" width="19.109375" style="24" bestFit="1" customWidth="1"/>
    <col min="7946" max="7946" width="10.109375" style="24" bestFit="1" customWidth="1"/>
    <col min="7947" max="8192" width="9.109375" style="24"/>
    <col min="8193" max="8193" width="14" style="24" customWidth="1"/>
    <col min="8194" max="8194" width="20.33203125" style="24" bestFit="1" customWidth="1"/>
    <col min="8195" max="8195" width="18.88671875" style="24" bestFit="1" customWidth="1"/>
    <col min="8196" max="8196" width="20.33203125" style="24" bestFit="1" customWidth="1"/>
    <col min="8197" max="8197" width="18.88671875" style="24" customWidth="1"/>
    <col min="8198" max="8198" width="14.6640625" style="24" customWidth="1"/>
    <col min="8199" max="8199" width="11.33203125" style="24" customWidth="1"/>
    <col min="8200" max="8200" width="11.6640625" style="24" customWidth="1"/>
    <col min="8201" max="8201" width="19.109375" style="24" bestFit="1" customWidth="1"/>
    <col min="8202" max="8202" width="10.109375" style="24" bestFit="1" customWidth="1"/>
    <col min="8203" max="8448" width="9.109375" style="24"/>
    <col min="8449" max="8449" width="14" style="24" customWidth="1"/>
    <col min="8450" max="8450" width="20.33203125" style="24" bestFit="1" customWidth="1"/>
    <col min="8451" max="8451" width="18.88671875" style="24" bestFit="1" customWidth="1"/>
    <col min="8452" max="8452" width="20.33203125" style="24" bestFit="1" customWidth="1"/>
    <col min="8453" max="8453" width="18.88671875" style="24" customWidth="1"/>
    <col min="8454" max="8454" width="14.6640625" style="24" customWidth="1"/>
    <col min="8455" max="8455" width="11.33203125" style="24" customWidth="1"/>
    <col min="8456" max="8456" width="11.6640625" style="24" customWidth="1"/>
    <col min="8457" max="8457" width="19.109375" style="24" bestFit="1" customWidth="1"/>
    <col min="8458" max="8458" width="10.109375" style="24" bestFit="1" customWidth="1"/>
    <col min="8459" max="8704" width="9.109375" style="24"/>
    <col min="8705" max="8705" width="14" style="24" customWidth="1"/>
    <col min="8706" max="8706" width="20.33203125" style="24" bestFit="1" customWidth="1"/>
    <col min="8707" max="8707" width="18.88671875" style="24" bestFit="1" customWidth="1"/>
    <col min="8708" max="8708" width="20.33203125" style="24" bestFit="1" customWidth="1"/>
    <col min="8709" max="8709" width="18.88671875" style="24" customWidth="1"/>
    <col min="8710" max="8710" width="14.6640625" style="24" customWidth="1"/>
    <col min="8711" max="8711" width="11.33203125" style="24" customWidth="1"/>
    <col min="8712" max="8712" width="11.6640625" style="24" customWidth="1"/>
    <col min="8713" max="8713" width="19.109375" style="24" bestFit="1" customWidth="1"/>
    <col min="8714" max="8714" width="10.109375" style="24" bestFit="1" customWidth="1"/>
    <col min="8715" max="8960" width="9.109375" style="24"/>
    <col min="8961" max="8961" width="14" style="24" customWidth="1"/>
    <col min="8962" max="8962" width="20.33203125" style="24" bestFit="1" customWidth="1"/>
    <col min="8963" max="8963" width="18.88671875" style="24" bestFit="1" customWidth="1"/>
    <col min="8964" max="8964" width="20.33203125" style="24" bestFit="1" customWidth="1"/>
    <col min="8965" max="8965" width="18.88671875" style="24" customWidth="1"/>
    <col min="8966" max="8966" width="14.6640625" style="24" customWidth="1"/>
    <col min="8967" max="8967" width="11.33203125" style="24" customWidth="1"/>
    <col min="8968" max="8968" width="11.6640625" style="24" customWidth="1"/>
    <col min="8969" max="8969" width="19.109375" style="24" bestFit="1" customWidth="1"/>
    <col min="8970" max="8970" width="10.109375" style="24" bestFit="1" customWidth="1"/>
    <col min="8971" max="9216" width="9.109375" style="24"/>
    <col min="9217" max="9217" width="14" style="24" customWidth="1"/>
    <col min="9218" max="9218" width="20.33203125" style="24" bestFit="1" customWidth="1"/>
    <col min="9219" max="9219" width="18.88671875" style="24" bestFit="1" customWidth="1"/>
    <col min="9220" max="9220" width="20.33203125" style="24" bestFit="1" customWidth="1"/>
    <col min="9221" max="9221" width="18.88671875" style="24" customWidth="1"/>
    <col min="9222" max="9222" width="14.6640625" style="24" customWidth="1"/>
    <col min="9223" max="9223" width="11.33203125" style="24" customWidth="1"/>
    <col min="9224" max="9224" width="11.6640625" style="24" customWidth="1"/>
    <col min="9225" max="9225" width="19.109375" style="24" bestFit="1" customWidth="1"/>
    <col min="9226" max="9226" width="10.109375" style="24" bestFit="1" customWidth="1"/>
    <col min="9227" max="9472" width="9.109375" style="24"/>
    <col min="9473" max="9473" width="14" style="24" customWidth="1"/>
    <col min="9474" max="9474" width="20.33203125" style="24" bestFit="1" customWidth="1"/>
    <col min="9475" max="9475" width="18.88671875" style="24" bestFit="1" customWidth="1"/>
    <col min="9476" max="9476" width="20.33203125" style="24" bestFit="1" customWidth="1"/>
    <col min="9477" max="9477" width="18.88671875" style="24" customWidth="1"/>
    <col min="9478" max="9478" width="14.6640625" style="24" customWidth="1"/>
    <col min="9479" max="9479" width="11.33203125" style="24" customWidth="1"/>
    <col min="9480" max="9480" width="11.6640625" style="24" customWidth="1"/>
    <col min="9481" max="9481" width="19.109375" style="24" bestFit="1" customWidth="1"/>
    <col min="9482" max="9482" width="10.109375" style="24" bestFit="1" customWidth="1"/>
    <col min="9483" max="9728" width="9.109375" style="24"/>
    <col min="9729" max="9729" width="14" style="24" customWidth="1"/>
    <col min="9730" max="9730" width="20.33203125" style="24" bestFit="1" customWidth="1"/>
    <col min="9731" max="9731" width="18.88671875" style="24" bestFit="1" customWidth="1"/>
    <col min="9732" max="9732" width="20.33203125" style="24" bestFit="1" customWidth="1"/>
    <col min="9733" max="9733" width="18.88671875" style="24" customWidth="1"/>
    <col min="9734" max="9734" width="14.6640625" style="24" customWidth="1"/>
    <col min="9735" max="9735" width="11.33203125" style="24" customWidth="1"/>
    <col min="9736" max="9736" width="11.6640625" style="24" customWidth="1"/>
    <col min="9737" max="9737" width="19.109375" style="24" bestFit="1" customWidth="1"/>
    <col min="9738" max="9738" width="10.109375" style="24" bestFit="1" customWidth="1"/>
    <col min="9739" max="9984" width="9.109375" style="24"/>
    <col min="9985" max="9985" width="14" style="24" customWidth="1"/>
    <col min="9986" max="9986" width="20.33203125" style="24" bestFit="1" customWidth="1"/>
    <col min="9987" max="9987" width="18.88671875" style="24" bestFit="1" customWidth="1"/>
    <col min="9988" max="9988" width="20.33203125" style="24" bestFit="1" customWidth="1"/>
    <col min="9989" max="9989" width="18.88671875" style="24" customWidth="1"/>
    <col min="9990" max="9990" width="14.6640625" style="24" customWidth="1"/>
    <col min="9991" max="9991" width="11.33203125" style="24" customWidth="1"/>
    <col min="9992" max="9992" width="11.6640625" style="24" customWidth="1"/>
    <col min="9993" max="9993" width="19.109375" style="24" bestFit="1" customWidth="1"/>
    <col min="9994" max="9994" width="10.109375" style="24" bestFit="1" customWidth="1"/>
    <col min="9995" max="10240" width="9.109375" style="24"/>
    <col min="10241" max="10241" width="14" style="24" customWidth="1"/>
    <col min="10242" max="10242" width="20.33203125" style="24" bestFit="1" customWidth="1"/>
    <col min="10243" max="10243" width="18.88671875" style="24" bestFit="1" customWidth="1"/>
    <col min="10244" max="10244" width="20.33203125" style="24" bestFit="1" customWidth="1"/>
    <col min="10245" max="10245" width="18.88671875" style="24" customWidth="1"/>
    <col min="10246" max="10246" width="14.6640625" style="24" customWidth="1"/>
    <col min="10247" max="10247" width="11.33203125" style="24" customWidth="1"/>
    <col min="10248" max="10248" width="11.6640625" style="24" customWidth="1"/>
    <col min="10249" max="10249" width="19.109375" style="24" bestFit="1" customWidth="1"/>
    <col min="10250" max="10250" width="10.109375" style="24" bestFit="1" customWidth="1"/>
    <col min="10251" max="10496" width="9.109375" style="24"/>
    <col min="10497" max="10497" width="14" style="24" customWidth="1"/>
    <col min="10498" max="10498" width="20.33203125" style="24" bestFit="1" customWidth="1"/>
    <col min="10499" max="10499" width="18.88671875" style="24" bestFit="1" customWidth="1"/>
    <col min="10500" max="10500" width="20.33203125" style="24" bestFit="1" customWidth="1"/>
    <col min="10501" max="10501" width="18.88671875" style="24" customWidth="1"/>
    <col min="10502" max="10502" width="14.6640625" style="24" customWidth="1"/>
    <col min="10503" max="10503" width="11.33203125" style="24" customWidth="1"/>
    <col min="10504" max="10504" width="11.6640625" style="24" customWidth="1"/>
    <col min="10505" max="10505" width="19.109375" style="24" bestFit="1" customWidth="1"/>
    <col min="10506" max="10506" width="10.109375" style="24" bestFit="1" customWidth="1"/>
    <col min="10507" max="10752" width="9.109375" style="24"/>
    <col min="10753" max="10753" width="14" style="24" customWidth="1"/>
    <col min="10754" max="10754" width="20.33203125" style="24" bestFit="1" customWidth="1"/>
    <col min="10755" max="10755" width="18.88671875" style="24" bestFit="1" customWidth="1"/>
    <col min="10756" max="10756" width="20.33203125" style="24" bestFit="1" customWidth="1"/>
    <col min="10757" max="10757" width="18.88671875" style="24" customWidth="1"/>
    <col min="10758" max="10758" width="14.6640625" style="24" customWidth="1"/>
    <col min="10759" max="10759" width="11.33203125" style="24" customWidth="1"/>
    <col min="10760" max="10760" width="11.6640625" style="24" customWidth="1"/>
    <col min="10761" max="10761" width="19.109375" style="24" bestFit="1" customWidth="1"/>
    <col min="10762" max="10762" width="10.109375" style="24" bestFit="1" customWidth="1"/>
    <col min="10763" max="11008" width="9.109375" style="24"/>
    <col min="11009" max="11009" width="14" style="24" customWidth="1"/>
    <col min="11010" max="11010" width="20.33203125" style="24" bestFit="1" customWidth="1"/>
    <col min="11011" max="11011" width="18.88671875" style="24" bestFit="1" customWidth="1"/>
    <col min="11012" max="11012" width="20.33203125" style="24" bestFit="1" customWidth="1"/>
    <col min="11013" max="11013" width="18.88671875" style="24" customWidth="1"/>
    <col min="11014" max="11014" width="14.6640625" style="24" customWidth="1"/>
    <col min="11015" max="11015" width="11.33203125" style="24" customWidth="1"/>
    <col min="11016" max="11016" width="11.6640625" style="24" customWidth="1"/>
    <col min="11017" max="11017" width="19.109375" style="24" bestFit="1" customWidth="1"/>
    <col min="11018" max="11018" width="10.109375" style="24" bestFit="1" customWidth="1"/>
    <col min="11019" max="11264" width="9.109375" style="24"/>
    <col min="11265" max="11265" width="14" style="24" customWidth="1"/>
    <col min="11266" max="11266" width="20.33203125" style="24" bestFit="1" customWidth="1"/>
    <col min="11267" max="11267" width="18.88671875" style="24" bestFit="1" customWidth="1"/>
    <col min="11268" max="11268" width="20.33203125" style="24" bestFit="1" customWidth="1"/>
    <col min="11269" max="11269" width="18.88671875" style="24" customWidth="1"/>
    <col min="11270" max="11270" width="14.6640625" style="24" customWidth="1"/>
    <col min="11271" max="11271" width="11.33203125" style="24" customWidth="1"/>
    <col min="11272" max="11272" width="11.6640625" style="24" customWidth="1"/>
    <col min="11273" max="11273" width="19.109375" style="24" bestFit="1" customWidth="1"/>
    <col min="11274" max="11274" width="10.109375" style="24" bestFit="1" customWidth="1"/>
    <col min="11275" max="11520" width="9.109375" style="24"/>
    <col min="11521" max="11521" width="14" style="24" customWidth="1"/>
    <col min="11522" max="11522" width="20.33203125" style="24" bestFit="1" customWidth="1"/>
    <col min="11523" max="11523" width="18.88671875" style="24" bestFit="1" customWidth="1"/>
    <col min="11524" max="11524" width="20.33203125" style="24" bestFit="1" customWidth="1"/>
    <col min="11525" max="11525" width="18.88671875" style="24" customWidth="1"/>
    <col min="11526" max="11526" width="14.6640625" style="24" customWidth="1"/>
    <col min="11527" max="11527" width="11.33203125" style="24" customWidth="1"/>
    <col min="11528" max="11528" width="11.6640625" style="24" customWidth="1"/>
    <col min="11529" max="11529" width="19.109375" style="24" bestFit="1" customWidth="1"/>
    <col min="11530" max="11530" width="10.109375" style="24" bestFit="1" customWidth="1"/>
    <col min="11531" max="11776" width="9.109375" style="24"/>
    <col min="11777" max="11777" width="14" style="24" customWidth="1"/>
    <col min="11778" max="11778" width="20.33203125" style="24" bestFit="1" customWidth="1"/>
    <col min="11779" max="11779" width="18.88671875" style="24" bestFit="1" customWidth="1"/>
    <col min="11780" max="11780" width="20.33203125" style="24" bestFit="1" customWidth="1"/>
    <col min="11781" max="11781" width="18.88671875" style="24" customWidth="1"/>
    <col min="11782" max="11782" width="14.6640625" style="24" customWidth="1"/>
    <col min="11783" max="11783" width="11.33203125" style="24" customWidth="1"/>
    <col min="11784" max="11784" width="11.6640625" style="24" customWidth="1"/>
    <col min="11785" max="11785" width="19.109375" style="24" bestFit="1" customWidth="1"/>
    <col min="11786" max="11786" width="10.109375" style="24" bestFit="1" customWidth="1"/>
    <col min="11787" max="12032" width="9.109375" style="24"/>
    <col min="12033" max="12033" width="14" style="24" customWidth="1"/>
    <col min="12034" max="12034" width="20.33203125" style="24" bestFit="1" customWidth="1"/>
    <col min="12035" max="12035" width="18.88671875" style="24" bestFit="1" customWidth="1"/>
    <col min="12036" max="12036" width="20.33203125" style="24" bestFit="1" customWidth="1"/>
    <col min="12037" max="12037" width="18.88671875" style="24" customWidth="1"/>
    <col min="12038" max="12038" width="14.6640625" style="24" customWidth="1"/>
    <col min="12039" max="12039" width="11.33203125" style="24" customWidth="1"/>
    <col min="12040" max="12040" width="11.6640625" style="24" customWidth="1"/>
    <col min="12041" max="12041" width="19.109375" style="24" bestFit="1" customWidth="1"/>
    <col min="12042" max="12042" width="10.109375" style="24" bestFit="1" customWidth="1"/>
    <col min="12043" max="12288" width="9.109375" style="24"/>
    <col min="12289" max="12289" width="14" style="24" customWidth="1"/>
    <col min="12290" max="12290" width="20.33203125" style="24" bestFit="1" customWidth="1"/>
    <col min="12291" max="12291" width="18.88671875" style="24" bestFit="1" customWidth="1"/>
    <col min="12292" max="12292" width="20.33203125" style="24" bestFit="1" customWidth="1"/>
    <col min="12293" max="12293" width="18.88671875" style="24" customWidth="1"/>
    <col min="12294" max="12294" width="14.6640625" style="24" customWidth="1"/>
    <col min="12295" max="12295" width="11.33203125" style="24" customWidth="1"/>
    <col min="12296" max="12296" width="11.6640625" style="24" customWidth="1"/>
    <col min="12297" max="12297" width="19.109375" style="24" bestFit="1" customWidth="1"/>
    <col min="12298" max="12298" width="10.109375" style="24" bestFit="1" customWidth="1"/>
    <col min="12299" max="12544" width="9.109375" style="24"/>
    <col min="12545" max="12545" width="14" style="24" customWidth="1"/>
    <col min="12546" max="12546" width="20.33203125" style="24" bestFit="1" customWidth="1"/>
    <col min="12547" max="12547" width="18.88671875" style="24" bestFit="1" customWidth="1"/>
    <col min="12548" max="12548" width="20.33203125" style="24" bestFit="1" customWidth="1"/>
    <col min="12549" max="12549" width="18.88671875" style="24" customWidth="1"/>
    <col min="12550" max="12550" width="14.6640625" style="24" customWidth="1"/>
    <col min="12551" max="12551" width="11.33203125" style="24" customWidth="1"/>
    <col min="12552" max="12552" width="11.6640625" style="24" customWidth="1"/>
    <col min="12553" max="12553" width="19.109375" style="24" bestFit="1" customWidth="1"/>
    <col min="12554" max="12554" width="10.109375" style="24" bestFit="1" customWidth="1"/>
    <col min="12555" max="12800" width="9.109375" style="24"/>
    <col min="12801" max="12801" width="14" style="24" customWidth="1"/>
    <col min="12802" max="12802" width="20.33203125" style="24" bestFit="1" customWidth="1"/>
    <col min="12803" max="12803" width="18.88671875" style="24" bestFit="1" customWidth="1"/>
    <col min="12804" max="12804" width="20.33203125" style="24" bestFit="1" customWidth="1"/>
    <col min="12805" max="12805" width="18.88671875" style="24" customWidth="1"/>
    <col min="12806" max="12806" width="14.6640625" style="24" customWidth="1"/>
    <col min="12807" max="12807" width="11.33203125" style="24" customWidth="1"/>
    <col min="12808" max="12808" width="11.6640625" style="24" customWidth="1"/>
    <col min="12809" max="12809" width="19.109375" style="24" bestFit="1" customWidth="1"/>
    <col min="12810" max="12810" width="10.109375" style="24" bestFit="1" customWidth="1"/>
    <col min="12811" max="13056" width="9.109375" style="24"/>
    <col min="13057" max="13057" width="14" style="24" customWidth="1"/>
    <col min="13058" max="13058" width="20.33203125" style="24" bestFit="1" customWidth="1"/>
    <col min="13059" max="13059" width="18.88671875" style="24" bestFit="1" customWidth="1"/>
    <col min="13060" max="13060" width="20.33203125" style="24" bestFit="1" customWidth="1"/>
    <col min="13061" max="13061" width="18.88671875" style="24" customWidth="1"/>
    <col min="13062" max="13062" width="14.6640625" style="24" customWidth="1"/>
    <col min="13063" max="13063" width="11.33203125" style="24" customWidth="1"/>
    <col min="13064" max="13064" width="11.6640625" style="24" customWidth="1"/>
    <col min="13065" max="13065" width="19.109375" style="24" bestFit="1" customWidth="1"/>
    <col min="13066" max="13066" width="10.109375" style="24" bestFit="1" customWidth="1"/>
    <col min="13067" max="13312" width="9.109375" style="24"/>
    <col min="13313" max="13313" width="14" style="24" customWidth="1"/>
    <col min="13314" max="13314" width="20.33203125" style="24" bestFit="1" customWidth="1"/>
    <col min="13315" max="13315" width="18.88671875" style="24" bestFit="1" customWidth="1"/>
    <col min="13316" max="13316" width="20.33203125" style="24" bestFit="1" customWidth="1"/>
    <col min="13317" max="13317" width="18.88671875" style="24" customWidth="1"/>
    <col min="13318" max="13318" width="14.6640625" style="24" customWidth="1"/>
    <col min="13319" max="13319" width="11.33203125" style="24" customWidth="1"/>
    <col min="13320" max="13320" width="11.6640625" style="24" customWidth="1"/>
    <col min="13321" max="13321" width="19.109375" style="24" bestFit="1" customWidth="1"/>
    <col min="13322" max="13322" width="10.109375" style="24" bestFit="1" customWidth="1"/>
    <col min="13323" max="13568" width="9.109375" style="24"/>
    <col min="13569" max="13569" width="14" style="24" customWidth="1"/>
    <col min="13570" max="13570" width="20.33203125" style="24" bestFit="1" customWidth="1"/>
    <col min="13571" max="13571" width="18.88671875" style="24" bestFit="1" customWidth="1"/>
    <col min="13572" max="13572" width="20.33203125" style="24" bestFit="1" customWidth="1"/>
    <col min="13573" max="13573" width="18.88671875" style="24" customWidth="1"/>
    <col min="13574" max="13574" width="14.6640625" style="24" customWidth="1"/>
    <col min="13575" max="13575" width="11.33203125" style="24" customWidth="1"/>
    <col min="13576" max="13576" width="11.6640625" style="24" customWidth="1"/>
    <col min="13577" max="13577" width="19.109375" style="24" bestFit="1" customWidth="1"/>
    <col min="13578" max="13578" width="10.109375" style="24" bestFit="1" customWidth="1"/>
    <col min="13579" max="13824" width="9.109375" style="24"/>
    <col min="13825" max="13825" width="14" style="24" customWidth="1"/>
    <col min="13826" max="13826" width="20.33203125" style="24" bestFit="1" customWidth="1"/>
    <col min="13827" max="13827" width="18.88671875" style="24" bestFit="1" customWidth="1"/>
    <col min="13828" max="13828" width="20.33203125" style="24" bestFit="1" customWidth="1"/>
    <col min="13829" max="13829" width="18.88671875" style="24" customWidth="1"/>
    <col min="13830" max="13830" width="14.6640625" style="24" customWidth="1"/>
    <col min="13831" max="13831" width="11.33203125" style="24" customWidth="1"/>
    <col min="13832" max="13832" width="11.6640625" style="24" customWidth="1"/>
    <col min="13833" max="13833" width="19.109375" style="24" bestFit="1" customWidth="1"/>
    <col min="13834" max="13834" width="10.109375" style="24" bestFit="1" customWidth="1"/>
    <col min="13835" max="14080" width="9.109375" style="24"/>
    <col min="14081" max="14081" width="14" style="24" customWidth="1"/>
    <col min="14082" max="14082" width="20.33203125" style="24" bestFit="1" customWidth="1"/>
    <col min="14083" max="14083" width="18.88671875" style="24" bestFit="1" customWidth="1"/>
    <col min="14084" max="14084" width="20.33203125" style="24" bestFit="1" customWidth="1"/>
    <col min="14085" max="14085" width="18.88671875" style="24" customWidth="1"/>
    <col min="14086" max="14086" width="14.6640625" style="24" customWidth="1"/>
    <col min="14087" max="14087" width="11.33203125" style="24" customWidth="1"/>
    <col min="14088" max="14088" width="11.6640625" style="24" customWidth="1"/>
    <col min="14089" max="14089" width="19.109375" style="24" bestFit="1" customWidth="1"/>
    <col min="14090" max="14090" width="10.109375" style="24" bestFit="1" customWidth="1"/>
    <col min="14091" max="14336" width="9.109375" style="24"/>
    <col min="14337" max="14337" width="14" style="24" customWidth="1"/>
    <col min="14338" max="14338" width="20.33203125" style="24" bestFit="1" customWidth="1"/>
    <col min="14339" max="14339" width="18.88671875" style="24" bestFit="1" customWidth="1"/>
    <col min="14340" max="14340" width="20.33203125" style="24" bestFit="1" customWidth="1"/>
    <col min="14341" max="14341" width="18.88671875" style="24" customWidth="1"/>
    <col min="14342" max="14342" width="14.6640625" style="24" customWidth="1"/>
    <col min="14343" max="14343" width="11.33203125" style="24" customWidth="1"/>
    <col min="14344" max="14344" width="11.6640625" style="24" customWidth="1"/>
    <col min="14345" max="14345" width="19.109375" style="24" bestFit="1" customWidth="1"/>
    <col min="14346" max="14346" width="10.109375" style="24" bestFit="1" customWidth="1"/>
    <col min="14347" max="14592" width="9.109375" style="24"/>
    <col min="14593" max="14593" width="14" style="24" customWidth="1"/>
    <col min="14594" max="14594" width="20.33203125" style="24" bestFit="1" customWidth="1"/>
    <col min="14595" max="14595" width="18.88671875" style="24" bestFit="1" customWidth="1"/>
    <col min="14596" max="14596" width="20.33203125" style="24" bestFit="1" customWidth="1"/>
    <col min="14597" max="14597" width="18.88671875" style="24" customWidth="1"/>
    <col min="14598" max="14598" width="14.6640625" style="24" customWidth="1"/>
    <col min="14599" max="14599" width="11.33203125" style="24" customWidth="1"/>
    <col min="14600" max="14600" width="11.6640625" style="24" customWidth="1"/>
    <col min="14601" max="14601" width="19.109375" style="24" bestFit="1" customWidth="1"/>
    <col min="14602" max="14602" width="10.109375" style="24" bestFit="1" customWidth="1"/>
    <col min="14603" max="14848" width="9.109375" style="24"/>
    <col min="14849" max="14849" width="14" style="24" customWidth="1"/>
    <col min="14850" max="14850" width="20.33203125" style="24" bestFit="1" customWidth="1"/>
    <col min="14851" max="14851" width="18.88671875" style="24" bestFit="1" customWidth="1"/>
    <col min="14852" max="14852" width="20.33203125" style="24" bestFit="1" customWidth="1"/>
    <col min="14853" max="14853" width="18.88671875" style="24" customWidth="1"/>
    <col min="14854" max="14854" width="14.6640625" style="24" customWidth="1"/>
    <col min="14855" max="14855" width="11.33203125" style="24" customWidth="1"/>
    <col min="14856" max="14856" width="11.6640625" style="24" customWidth="1"/>
    <col min="14857" max="14857" width="19.109375" style="24" bestFit="1" customWidth="1"/>
    <col min="14858" max="14858" width="10.109375" style="24" bestFit="1" customWidth="1"/>
    <col min="14859" max="15104" width="9.109375" style="24"/>
    <col min="15105" max="15105" width="14" style="24" customWidth="1"/>
    <col min="15106" max="15106" width="20.33203125" style="24" bestFit="1" customWidth="1"/>
    <col min="15107" max="15107" width="18.88671875" style="24" bestFit="1" customWidth="1"/>
    <col min="15108" max="15108" width="20.33203125" style="24" bestFit="1" customWidth="1"/>
    <col min="15109" max="15109" width="18.88671875" style="24" customWidth="1"/>
    <col min="15110" max="15110" width="14.6640625" style="24" customWidth="1"/>
    <col min="15111" max="15111" width="11.33203125" style="24" customWidth="1"/>
    <col min="15112" max="15112" width="11.6640625" style="24" customWidth="1"/>
    <col min="15113" max="15113" width="19.109375" style="24" bestFit="1" customWidth="1"/>
    <col min="15114" max="15114" width="10.109375" style="24" bestFit="1" customWidth="1"/>
    <col min="15115" max="15360" width="9.109375" style="24"/>
    <col min="15361" max="15361" width="14" style="24" customWidth="1"/>
    <col min="15362" max="15362" width="20.33203125" style="24" bestFit="1" customWidth="1"/>
    <col min="15363" max="15363" width="18.88671875" style="24" bestFit="1" customWidth="1"/>
    <col min="15364" max="15364" width="20.33203125" style="24" bestFit="1" customWidth="1"/>
    <col min="15365" max="15365" width="18.88671875" style="24" customWidth="1"/>
    <col min="15366" max="15366" width="14.6640625" style="24" customWidth="1"/>
    <col min="15367" max="15367" width="11.33203125" style="24" customWidth="1"/>
    <col min="15368" max="15368" width="11.6640625" style="24" customWidth="1"/>
    <col min="15369" max="15369" width="19.109375" style="24" bestFit="1" customWidth="1"/>
    <col min="15370" max="15370" width="10.109375" style="24" bestFit="1" customWidth="1"/>
    <col min="15371" max="15616" width="9.109375" style="24"/>
    <col min="15617" max="15617" width="14" style="24" customWidth="1"/>
    <col min="15618" max="15618" width="20.33203125" style="24" bestFit="1" customWidth="1"/>
    <col min="15619" max="15619" width="18.88671875" style="24" bestFit="1" customWidth="1"/>
    <col min="15620" max="15620" width="20.33203125" style="24" bestFit="1" customWidth="1"/>
    <col min="15621" max="15621" width="18.88671875" style="24" customWidth="1"/>
    <col min="15622" max="15622" width="14.6640625" style="24" customWidth="1"/>
    <col min="15623" max="15623" width="11.33203125" style="24" customWidth="1"/>
    <col min="15624" max="15624" width="11.6640625" style="24" customWidth="1"/>
    <col min="15625" max="15625" width="19.109375" style="24" bestFit="1" customWidth="1"/>
    <col min="15626" max="15626" width="10.109375" style="24" bestFit="1" customWidth="1"/>
    <col min="15627" max="15872" width="9.109375" style="24"/>
    <col min="15873" max="15873" width="14" style="24" customWidth="1"/>
    <col min="15874" max="15874" width="20.33203125" style="24" bestFit="1" customWidth="1"/>
    <col min="15875" max="15875" width="18.88671875" style="24" bestFit="1" customWidth="1"/>
    <col min="15876" max="15876" width="20.33203125" style="24" bestFit="1" customWidth="1"/>
    <col min="15877" max="15877" width="18.88671875" style="24" customWidth="1"/>
    <col min="15878" max="15878" width="14.6640625" style="24" customWidth="1"/>
    <col min="15879" max="15879" width="11.33203125" style="24" customWidth="1"/>
    <col min="15880" max="15880" width="11.6640625" style="24" customWidth="1"/>
    <col min="15881" max="15881" width="19.109375" style="24" bestFit="1" customWidth="1"/>
    <col min="15882" max="15882" width="10.109375" style="24" bestFit="1" customWidth="1"/>
    <col min="15883" max="16128" width="9.109375" style="24"/>
    <col min="16129" max="16129" width="14" style="24" customWidth="1"/>
    <col min="16130" max="16130" width="20.33203125" style="24" bestFit="1" customWidth="1"/>
    <col min="16131" max="16131" width="18.88671875" style="24" bestFit="1" customWidth="1"/>
    <col min="16132" max="16132" width="20.33203125" style="24" bestFit="1" customWidth="1"/>
    <col min="16133" max="16133" width="18.88671875" style="24" customWidth="1"/>
    <col min="16134" max="16134" width="14.6640625" style="24" customWidth="1"/>
    <col min="16135" max="16135" width="11.33203125" style="24" customWidth="1"/>
    <col min="16136" max="16136" width="11.6640625" style="24" customWidth="1"/>
    <col min="16137" max="16137" width="19.109375" style="24" bestFit="1" customWidth="1"/>
    <col min="16138" max="16138" width="10.109375" style="24" bestFit="1" customWidth="1"/>
    <col min="16139" max="16384" width="9.109375" style="24"/>
  </cols>
  <sheetData>
    <row r="1" spans="1:10" ht="17.399999999999999" x14ac:dyDescent="0.3">
      <c r="A1" s="31" t="s">
        <v>12</v>
      </c>
    </row>
    <row r="2" spans="1:10" ht="17.399999999999999" x14ac:dyDescent="0.3">
      <c r="A2" s="55"/>
      <c r="B2" s="34" t="s">
        <v>13</v>
      </c>
      <c r="C2" s="34" t="s">
        <v>14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15" t="s">
        <v>19</v>
      </c>
    </row>
    <row r="3" spans="1:10" x14ac:dyDescent="0.25">
      <c r="A3" s="56"/>
      <c r="B3" s="34" t="s">
        <v>20</v>
      </c>
      <c r="C3" s="34" t="s">
        <v>20</v>
      </c>
      <c r="D3" s="34" t="s">
        <v>21</v>
      </c>
      <c r="E3" s="34" t="s">
        <v>21</v>
      </c>
      <c r="F3" s="57" t="s">
        <v>20</v>
      </c>
      <c r="G3" s="34" t="s">
        <v>22</v>
      </c>
      <c r="H3" s="50"/>
      <c r="I3" s="34" t="s">
        <v>23</v>
      </c>
      <c r="J3" s="15" t="s">
        <v>24</v>
      </c>
    </row>
    <row r="4" spans="1:10" x14ac:dyDescent="0.25">
      <c r="A4" s="5">
        <v>44743</v>
      </c>
      <c r="B4" s="59">
        <v>6002</v>
      </c>
      <c r="C4" s="60">
        <f>IF(B5-B4 &lt; 0,0,B5-B4)</f>
        <v>5981</v>
      </c>
      <c r="D4" s="59">
        <v>9730</v>
      </c>
      <c r="E4" s="60">
        <f>IF(D5-D4 &lt; 0,0,D5-D4)</f>
        <v>0</v>
      </c>
      <c r="F4" s="59">
        <v>474</v>
      </c>
      <c r="G4" s="61">
        <v>67</v>
      </c>
      <c r="H4" s="61" t="s">
        <v>25</v>
      </c>
      <c r="I4" s="60">
        <f>+E4+C4</f>
        <v>5981</v>
      </c>
      <c r="J4" s="16">
        <f>(C4*0.288)+(E4*0.177)</f>
        <v>1722.5279999999998</v>
      </c>
    </row>
    <row r="5" spans="1:10" x14ac:dyDescent="0.25">
      <c r="A5" s="5">
        <v>44744</v>
      </c>
      <c r="B5" s="59">
        <v>11983</v>
      </c>
      <c r="C5" s="60">
        <f t="shared" ref="C5:C33" si="0">IF(B6-B5 &lt; 0,0,B6-B5)</f>
        <v>5819</v>
      </c>
      <c r="D5" s="59">
        <v>9191</v>
      </c>
      <c r="E5" s="60">
        <f t="shared" ref="E5:E33" si="1">IF(D6-D5 &lt; 0,0,D6-D5)</f>
        <v>3532</v>
      </c>
      <c r="F5" s="59">
        <v>482</v>
      </c>
      <c r="G5" s="61">
        <v>64</v>
      </c>
      <c r="H5" s="61" t="s">
        <v>25</v>
      </c>
      <c r="I5" s="60">
        <f t="shared" ref="I5:I35" si="2">+E5+C5</f>
        <v>9351</v>
      </c>
      <c r="J5" s="16">
        <f t="shared" ref="J5:J35" si="3">(C5*0.288)+(E5*0.177)</f>
        <v>2301.0360000000001</v>
      </c>
    </row>
    <row r="6" spans="1:10" x14ac:dyDescent="0.25">
      <c r="A6" s="5">
        <v>44745</v>
      </c>
      <c r="B6" s="59">
        <v>17802</v>
      </c>
      <c r="C6" s="60">
        <f t="shared" si="0"/>
        <v>5830</v>
      </c>
      <c r="D6" s="59">
        <v>12723</v>
      </c>
      <c r="E6" s="60">
        <f t="shared" si="1"/>
        <v>3101</v>
      </c>
      <c r="F6" s="59">
        <v>482</v>
      </c>
      <c r="G6" s="61">
        <v>59</v>
      </c>
      <c r="H6" s="61" t="s">
        <v>25</v>
      </c>
      <c r="I6" s="60">
        <f t="shared" si="2"/>
        <v>8931</v>
      </c>
      <c r="J6" s="16">
        <f t="shared" si="3"/>
        <v>2227.9169999999999</v>
      </c>
    </row>
    <row r="7" spans="1:10" x14ac:dyDescent="0.25">
      <c r="A7" s="5">
        <v>44746</v>
      </c>
      <c r="B7" s="59">
        <v>23632</v>
      </c>
      <c r="C7" s="60">
        <f t="shared" si="0"/>
        <v>6022</v>
      </c>
      <c r="D7" s="59">
        <v>15824</v>
      </c>
      <c r="E7" s="60">
        <f t="shared" si="1"/>
        <v>3990</v>
      </c>
      <c r="F7" s="59">
        <v>482</v>
      </c>
      <c r="G7" s="61">
        <v>80</v>
      </c>
      <c r="H7" s="61" t="s">
        <v>25</v>
      </c>
      <c r="I7" s="60">
        <f t="shared" si="2"/>
        <v>10012</v>
      </c>
      <c r="J7" s="16">
        <f t="shared" si="3"/>
        <v>2440.5659999999998</v>
      </c>
    </row>
    <row r="8" spans="1:10" x14ac:dyDescent="0.25">
      <c r="A8" s="5">
        <v>44747</v>
      </c>
      <c r="B8" s="59">
        <v>29654</v>
      </c>
      <c r="C8" s="60">
        <f t="shared" si="0"/>
        <v>5837</v>
      </c>
      <c r="D8" s="59">
        <v>19814</v>
      </c>
      <c r="E8" s="60">
        <f t="shared" si="1"/>
        <v>2807</v>
      </c>
      <c r="F8" s="59">
        <v>497</v>
      </c>
      <c r="G8" s="61">
        <v>80</v>
      </c>
      <c r="H8" s="61" t="s">
        <v>25</v>
      </c>
      <c r="I8" s="60">
        <f t="shared" si="2"/>
        <v>8644</v>
      </c>
      <c r="J8" s="16">
        <f t="shared" si="3"/>
        <v>2177.895</v>
      </c>
    </row>
    <row r="9" spans="1:10" x14ac:dyDescent="0.25">
      <c r="A9" s="5">
        <v>44748</v>
      </c>
      <c r="B9" s="59">
        <v>35491</v>
      </c>
      <c r="C9" s="60">
        <f t="shared" si="0"/>
        <v>6212</v>
      </c>
      <c r="D9" s="59">
        <v>22621</v>
      </c>
      <c r="E9" s="60">
        <f t="shared" si="1"/>
        <v>3432</v>
      </c>
      <c r="F9" s="59">
        <v>497</v>
      </c>
      <c r="G9" s="61">
        <v>50</v>
      </c>
      <c r="H9" s="61" t="s">
        <v>25</v>
      </c>
      <c r="I9" s="60">
        <f t="shared" si="2"/>
        <v>9644</v>
      </c>
      <c r="J9" s="16">
        <f t="shared" si="3"/>
        <v>2396.5199999999995</v>
      </c>
    </row>
    <row r="10" spans="1:10" x14ac:dyDescent="0.25">
      <c r="A10" s="5">
        <v>44749</v>
      </c>
      <c r="B10" s="59">
        <v>41703</v>
      </c>
      <c r="C10" s="60">
        <f t="shared" si="0"/>
        <v>6483</v>
      </c>
      <c r="D10" s="59">
        <v>26053</v>
      </c>
      <c r="E10" s="60">
        <f t="shared" si="1"/>
        <v>2466</v>
      </c>
      <c r="F10" s="59">
        <v>509</v>
      </c>
      <c r="G10" s="61">
        <v>53</v>
      </c>
      <c r="H10" s="61" t="s">
        <v>25</v>
      </c>
      <c r="I10" s="60">
        <f t="shared" si="2"/>
        <v>8949</v>
      </c>
      <c r="J10" s="16">
        <f t="shared" si="3"/>
        <v>2303.5859999999998</v>
      </c>
    </row>
    <row r="11" spans="1:10" x14ac:dyDescent="0.25">
      <c r="A11" s="5">
        <v>44750</v>
      </c>
      <c r="B11" s="59">
        <v>48186</v>
      </c>
      <c r="C11" s="60">
        <f t="shared" si="0"/>
        <v>6310</v>
      </c>
      <c r="D11" s="59">
        <v>28519</v>
      </c>
      <c r="E11" s="60">
        <f t="shared" si="1"/>
        <v>4275</v>
      </c>
      <c r="F11" s="59">
        <v>524</v>
      </c>
      <c r="G11" s="61">
        <v>70</v>
      </c>
      <c r="H11" s="61" t="s">
        <v>25</v>
      </c>
      <c r="I11" s="60">
        <f t="shared" si="2"/>
        <v>10585</v>
      </c>
      <c r="J11" s="16">
        <f t="shared" si="3"/>
        <v>2573.9549999999999</v>
      </c>
    </row>
    <row r="12" spans="1:10" x14ac:dyDescent="0.25">
      <c r="A12" s="5">
        <v>44751</v>
      </c>
      <c r="B12" s="59">
        <v>54496</v>
      </c>
      <c r="C12" s="60">
        <f t="shared" si="0"/>
        <v>5997</v>
      </c>
      <c r="D12" s="59">
        <v>32794</v>
      </c>
      <c r="E12" s="60">
        <f t="shared" si="1"/>
        <v>3941</v>
      </c>
      <c r="F12" s="59">
        <v>524</v>
      </c>
      <c r="G12" s="61">
        <v>71</v>
      </c>
      <c r="H12" s="61" t="s">
        <v>26</v>
      </c>
      <c r="I12" s="60">
        <f t="shared" si="2"/>
        <v>9938</v>
      </c>
      <c r="J12" s="16">
        <f t="shared" si="3"/>
        <v>2424.6930000000002</v>
      </c>
    </row>
    <row r="13" spans="1:10" x14ac:dyDescent="0.25">
      <c r="A13" s="5">
        <v>44752</v>
      </c>
      <c r="B13" s="59">
        <v>60493</v>
      </c>
      <c r="C13" s="60">
        <f t="shared" si="0"/>
        <v>6238</v>
      </c>
      <c r="D13" s="59">
        <v>36735</v>
      </c>
      <c r="E13" s="60">
        <f t="shared" si="1"/>
        <v>3902</v>
      </c>
      <c r="F13" s="59">
        <v>524</v>
      </c>
      <c r="G13" s="61">
        <v>71</v>
      </c>
      <c r="H13" s="61" t="s">
        <v>26</v>
      </c>
      <c r="I13" s="60">
        <f t="shared" si="2"/>
        <v>10140</v>
      </c>
      <c r="J13" s="16">
        <f t="shared" si="3"/>
        <v>2487.1979999999999</v>
      </c>
    </row>
    <row r="14" spans="1:10" x14ac:dyDescent="0.25">
      <c r="A14" s="5">
        <v>44753</v>
      </c>
      <c r="B14" s="59">
        <v>66731</v>
      </c>
      <c r="C14" s="60">
        <f t="shared" si="0"/>
        <v>6043</v>
      </c>
      <c r="D14" s="59">
        <v>40637</v>
      </c>
      <c r="E14" s="60">
        <f t="shared" si="1"/>
        <v>3132</v>
      </c>
      <c r="F14" s="59">
        <v>524</v>
      </c>
      <c r="G14" s="61">
        <v>60</v>
      </c>
      <c r="H14" s="61" t="s">
        <v>26</v>
      </c>
      <c r="I14" s="60">
        <f t="shared" si="2"/>
        <v>9175</v>
      </c>
      <c r="J14" s="16">
        <f t="shared" si="3"/>
        <v>2294.7479999999996</v>
      </c>
    </row>
    <row r="15" spans="1:10" x14ac:dyDescent="0.25">
      <c r="A15" s="5">
        <v>44754</v>
      </c>
      <c r="B15" s="59">
        <v>72774</v>
      </c>
      <c r="C15" s="60">
        <f t="shared" si="0"/>
        <v>5887</v>
      </c>
      <c r="D15" s="59">
        <v>43769</v>
      </c>
      <c r="E15" s="60">
        <f t="shared" si="1"/>
        <v>3578</v>
      </c>
      <c r="F15" s="59">
        <v>524</v>
      </c>
      <c r="G15" s="61">
        <v>51</v>
      </c>
      <c r="H15" s="61" t="s">
        <v>27</v>
      </c>
      <c r="I15" s="60">
        <f t="shared" si="2"/>
        <v>9465</v>
      </c>
      <c r="J15" s="16">
        <f t="shared" si="3"/>
        <v>2328.7619999999997</v>
      </c>
    </row>
    <row r="16" spans="1:10" x14ac:dyDescent="0.25">
      <c r="A16" s="5">
        <v>44755</v>
      </c>
      <c r="B16" s="59">
        <v>78661</v>
      </c>
      <c r="C16" s="60">
        <f t="shared" si="0"/>
        <v>5985</v>
      </c>
      <c r="D16" s="59">
        <v>47347</v>
      </c>
      <c r="E16" s="60">
        <f t="shared" si="1"/>
        <v>3565</v>
      </c>
      <c r="F16" s="59">
        <v>524</v>
      </c>
      <c r="G16" s="61">
        <v>51</v>
      </c>
      <c r="H16" s="61" t="s">
        <v>27</v>
      </c>
      <c r="I16" s="60">
        <f t="shared" si="2"/>
        <v>9550</v>
      </c>
      <c r="J16" s="16">
        <f t="shared" si="3"/>
        <v>2354.6849999999999</v>
      </c>
    </row>
    <row r="17" spans="1:10" x14ac:dyDescent="0.25">
      <c r="A17" s="5">
        <v>44756</v>
      </c>
      <c r="B17" s="59">
        <v>84646</v>
      </c>
      <c r="C17" s="60">
        <f t="shared" si="0"/>
        <v>4886</v>
      </c>
      <c r="D17" s="59">
        <v>50912</v>
      </c>
      <c r="E17" s="60">
        <f t="shared" si="1"/>
        <v>2793</v>
      </c>
      <c r="F17" s="59">
        <v>524</v>
      </c>
      <c r="G17" s="61">
        <v>54</v>
      </c>
      <c r="H17" s="61" t="s">
        <v>27</v>
      </c>
      <c r="I17" s="60">
        <f t="shared" si="2"/>
        <v>7679</v>
      </c>
      <c r="J17" s="16">
        <f t="shared" si="3"/>
        <v>1901.529</v>
      </c>
    </row>
    <row r="18" spans="1:10" x14ac:dyDescent="0.25">
      <c r="A18" s="5">
        <v>44757</v>
      </c>
      <c r="B18" s="59">
        <v>89532</v>
      </c>
      <c r="C18" s="60">
        <f t="shared" si="0"/>
        <v>7938</v>
      </c>
      <c r="D18" s="59">
        <v>53705</v>
      </c>
      <c r="E18" s="60">
        <f t="shared" si="1"/>
        <v>4564</v>
      </c>
      <c r="F18" s="59">
        <v>524</v>
      </c>
      <c r="G18" s="61">
        <v>66</v>
      </c>
      <c r="H18" s="61" t="s">
        <v>26</v>
      </c>
      <c r="I18" s="60">
        <f t="shared" si="2"/>
        <v>12502</v>
      </c>
      <c r="J18" s="16">
        <f t="shared" si="3"/>
        <v>3093.9719999999998</v>
      </c>
    </row>
    <row r="19" spans="1:10" x14ac:dyDescent="0.25">
      <c r="A19" s="5">
        <v>44758</v>
      </c>
      <c r="B19" s="59">
        <v>97470</v>
      </c>
      <c r="C19" s="60">
        <f t="shared" si="0"/>
        <v>6158</v>
      </c>
      <c r="D19" s="59">
        <v>58269</v>
      </c>
      <c r="E19" s="60">
        <f t="shared" si="1"/>
        <v>3590</v>
      </c>
      <c r="F19" s="59">
        <v>526</v>
      </c>
      <c r="G19" s="61">
        <v>63</v>
      </c>
      <c r="H19" s="61" t="s">
        <v>26</v>
      </c>
      <c r="I19" s="60">
        <f t="shared" si="2"/>
        <v>9748</v>
      </c>
      <c r="J19" s="16">
        <f t="shared" si="3"/>
        <v>2408.9339999999997</v>
      </c>
    </row>
    <row r="20" spans="1:10" x14ac:dyDescent="0.25">
      <c r="A20" s="5">
        <v>44759</v>
      </c>
      <c r="B20" s="59">
        <v>103628</v>
      </c>
      <c r="C20" s="60">
        <f t="shared" si="0"/>
        <v>6844</v>
      </c>
      <c r="D20" s="59">
        <v>61859</v>
      </c>
      <c r="E20" s="60">
        <f t="shared" si="1"/>
        <v>4100</v>
      </c>
      <c r="F20" s="61">
        <v>526</v>
      </c>
      <c r="G20" s="61">
        <v>65</v>
      </c>
      <c r="H20" s="61" t="s">
        <v>26</v>
      </c>
      <c r="I20" s="60">
        <f t="shared" si="2"/>
        <v>10944</v>
      </c>
      <c r="J20" s="16">
        <f t="shared" si="3"/>
        <v>2696.7719999999999</v>
      </c>
    </row>
    <row r="21" spans="1:10" x14ac:dyDescent="0.25">
      <c r="A21" s="5">
        <v>44760</v>
      </c>
      <c r="B21" s="59">
        <v>110472</v>
      </c>
      <c r="C21" s="60">
        <f t="shared" si="0"/>
        <v>6889</v>
      </c>
      <c r="D21" s="59">
        <v>65959</v>
      </c>
      <c r="E21" s="60">
        <f t="shared" si="1"/>
        <v>3812</v>
      </c>
      <c r="F21" s="61">
        <v>560</v>
      </c>
      <c r="G21" s="61">
        <v>46</v>
      </c>
      <c r="H21" s="61" t="s">
        <v>25</v>
      </c>
      <c r="I21" s="60">
        <f t="shared" si="2"/>
        <v>10701</v>
      </c>
      <c r="J21" s="16">
        <f t="shared" si="3"/>
        <v>2658.7559999999999</v>
      </c>
    </row>
    <row r="22" spans="1:10" x14ac:dyDescent="0.25">
      <c r="A22" s="5">
        <v>44761</v>
      </c>
      <c r="B22" s="59">
        <v>117361</v>
      </c>
      <c r="C22" s="60">
        <f t="shared" si="0"/>
        <v>4370</v>
      </c>
      <c r="D22" s="59">
        <v>69771</v>
      </c>
      <c r="E22" s="60">
        <f t="shared" si="1"/>
        <v>3971</v>
      </c>
      <c r="F22" s="61">
        <v>560</v>
      </c>
      <c r="G22" s="61">
        <v>44</v>
      </c>
      <c r="H22" s="61" t="s">
        <v>25</v>
      </c>
      <c r="I22" s="60">
        <f t="shared" si="2"/>
        <v>8341</v>
      </c>
      <c r="J22" s="16">
        <f t="shared" si="3"/>
        <v>1961.4269999999999</v>
      </c>
    </row>
    <row r="23" spans="1:10" x14ac:dyDescent="0.25">
      <c r="A23" s="5">
        <v>44762</v>
      </c>
      <c r="B23" s="59">
        <v>121731</v>
      </c>
      <c r="C23" s="60">
        <f t="shared" si="0"/>
        <v>8613</v>
      </c>
      <c r="D23" s="59">
        <v>73742</v>
      </c>
      <c r="E23" s="60">
        <f t="shared" si="1"/>
        <v>3538</v>
      </c>
      <c r="F23" s="59">
        <v>560</v>
      </c>
      <c r="G23" s="61">
        <v>62</v>
      </c>
      <c r="H23" s="61" t="s">
        <v>25</v>
      </c>
      <c r="I23" s="60">
        <f t="shared" si="2"/>
        <v>12151</v>
      </c>
      <c r="J23" s="16">
        <f t="shared" si="3"/>
        <v>3106.77</v>
      </c>
    </row>
    <row r="24" spans="1:10" x14ac:dyDescent="0.25">
      <c r="A24" s="5">
        <v>44763</v>
      </c>
      <c r="B24" s="59">
        <v>130344</v>
      </c>
      <c r="C24" s="60">
        <f t="shared" si="0"/>
        <v>7614</v>
      </c>
      <c r="D24" s="59">
        <v>77280</v>
      </c>
      <c r="E24" s="60">
        <f t="shared" si="1"/>
        <v>3997</v>
      </c>
      <c r="F24" s="59">
        <v>560</v>
      </c>
      <c r="G24" s="61">
        <v>57</v>
      </c>
      <c r="H24" s="61" t="s">
        <v>25</v>
      </c>
      <c r="I24" s="60">
        <f t="shared" si="2"/>
        <v>11611</v>
      </c>
      <c r="J24" s="16">
        <f t="shared" si="3"/>
        <v>2900.3009999999999</v>
      </c>
    </row>
    <row r="25" spans="1:10" x14ac:dyDescent="0.25">
      <c r="A25" s="5">
        <v>44764</v>
      </c>
      <c r="B25" s="59">
        <v>137958</v>
      </c>
      <c r="C25" s="60">
        <f t="shared" si="0"/>
        <v>6273</v>
      </c>
      <c r="D25" s="59">
        <v>81277</v>
      </c>
      <c r="E25" s="60">
        <f t="shared" si="1"/>
        <v>3856</v>
      </c>
      <c r="F25" s="59">
        <v>579</v>
      </c>
      <c r="G25" s="61">
        <v>54</v>
      </c>
      <c r="H25" s="61" t="s">
        <v>25</v>
      </c>
      <c r="I25" s="60">
        <f t="shared" si="2"/>
        <v>10129</v>
      </c>
      <c r="J25" s="16">
        <f t="shared" si="3"/>
        <v>2489.1359999999995</v>
      </c>
    </row>
    <row r="26" spans="1:10" x14ac:dyDescent="0.25">
      <c r="A26" s="5">
        <v>44765</v>
      </c>
      <c r="B26" s="59">
        <v>144231</v>
      </c>
      <c r="C26" s="60">
        <f t="shared" si="0"/>
        <v>7016</v>
      </c>
      <c r="D26" s="59">
        <v>85133</v>
      </c>
      <c r="E26" s="60">
        <f t="shared" si="1"/>
        <v>3865</v>
      </c>
      <c r="F26" s="59">
        <v>582</v>
      </c>
      <c r="G26" s="61">
        <v>58</v>
      </c>
      <c r="H26" s="62" t="s">
        <v>25</v>
      </c>
      <c r="I26" s="60">
        <f t="shared" si="2"/>
        <v>10881</v>
      </c>
      <c r="J26" s="16">
        <f t="shared" si="3"/>
        <v>2704.7129999999997</v>
      </c>
    </row>
    <row r="27" spans="1:10" x14ac:dyDescent="0.25">
      <c r="A27" s="5">
        <v>44766</v>
      </c>
      <c r="B27" s="59">
        <v>151247</v>
      </c>
      <c r="C27" s="60">
        <f t="shared" si="0"/>
        <v>7003</v>
      </c>
      <c r="D27" s="59">
        <v>88998</v>
      </c>
      <c r="E27" s="60">
        <f t="shared" si="1"/>
        <v>3899</v>
      </c>
      <c r="F27" s="59">
        <v>582</v>
      </c>
      <c r="G27" s="61">
        <v>55</v>
      </c>
      <c r="H27" s="61" t="s">
        <v>26</v>
      </c>
      <c r="I27" s="60">
        <f t="shared" si="2"/>
        <v>10902</v>
      </c>
      <c r="J27" s="16">
        <f t="shared" si="3"/>
        <v>2706.9869999999996</v>
      </c>
    </row>
    <row r="28" spans="1:10" x14ac:dyDescent="0.25">
      <c r="A28" s="5">
        <v>44767</v>
      </c>
      <c r="B28" s="59">
        <v>158250</v>
      </c>
      <c r="C28" s="60">
        <f t="shared" si="0"/>
        <v>6654</v>
      </c>
      <c r="D28" s="59">
        <v>92897</v>
      </c>
      <c r="E28" s="60">
        <f t="shared" si="1"/>
        <v>3836</v>
      </c>
      <c r="F28" s="59">
        <v>582</v>
      </c>
      <c r="G28" s="61">
        <v>51</v>
      </c>
      <c r="H28" s="61" t="s">
        <v>26</v>
      </c>
      <c r="I28" s="60">
        <f t="shared" si="2"/>
        <v>10490</v>
      </c>
      <c r="J28" s="16">
        <f t="shared" si="3"/>
        <v>2595.3239999999996</v>
      </c>
    </row>
    <row r="29" spans="1:10" x14ac:dyDescent="0.25">
      <c r="A29" s="5">
        <v>44768</v>
      </c>
      <c r="B29" s="59">
        <v>164904</v>
      </c>
      <c r="C29" s="60">
        <f t="shared" si="0"/>
        <v>6425</v>
      </c>
      <c r="D29" s="59">
        <v>96733</v>
      </c>
      <c r="E29" s="60">
        <f t="shared" si="1"/>
        <v>3446</v>
      </c>
      <c r="F29" s="59">
        <v>582</v>
      </c>
      <c r="G29" s="61">
        <v>59</v>
      </c>
      <c r="H29" s="61" t="s">
        <v>25</v>
      </c>
      <c r="I29" s="60">
        <f t="shared" si="2"/>
        <v>9871</v>
      </c>
      <c r="J29" s="16">
        <f t="shared" si="3"/>
        <v>2460.3419999999996</v>
      </c>
    </row>
    <row r="30" spans="1:10" x14ac:dyDescent="0.25">
      <c r="A30" s="5">
        <v>44769</v>
      </c>
      <c r="B30" s="59">
        <v>171329</v>
      </c>
      <c r="C30" s="60">
        <f t="shared" si="0"/>
        <v>6096</v>
      </c>
      <c r="D30" s="59">
        <v>100179</v>
      </c>
      <c r="E30" s="60">
        <f t="shared" si="1"/>
        <v>3735</v>
      </c>
      <c r="F30" s="59">
        <v>582</v>
      </c>
      <c r="G30" s="61">
        <v>47</v>
      </c>
      <c r="H30" s="61" t="s">
        <v>25</v>
      </c>
      <c r="I30" s="60">
        <f t="shared" si="2"/>
        <v>9831</v>
      </c>
      <c r="J30" s="16">
        <f t="shared" si="3"/>
        <v>2416.7429999999999</v>
      </c>
    </row>
    <row r="31" spans="1:10" x14ac:dyDescent="0.25">
      <c r="A31" s="5">
        <v>44770</v>
      </c>
      <c r="B31" s="59">
        <v>177425</v>
      </c>
      <c r="C31" s="60">
        <f t="shared" si="0"/>
        <v>6221</v>
      </c>
      <c r="D31" s="59">
        <v>103914</v>
      </c>
      <c r="E31" s="60">
        <f t="shared" si="1"/>
        <v>3571</v>
      </c>
      <c r="F31" s="59">
        <v>582</v>
      </c>
      <c r="G31" s="61">
        <v>38</v>
      </c>
      <c r="H31" s="61" t="s">
        <v>26</v>
      </c>
      <c r="I31" s="60">
        <f t="shared" si="2"/>
        <v>9792</v>
      </c>
      <c r="J31" s="16">
        <f t="shared" si="3"/>
        <v>2423.7150000000001</v>
      </c>
    </row>
    <row r="32" spans="1:10" x14ac:dyDescent="0.25">
      <c r="A32" s="5">
        <v>44771</v>
      </c>
      <c r="B32" s="59">
        <v>183646</v>
      </c>
      <c r="C32" s="60">
        <f t="shared" si="0"/>
        <v>5649</v>
      </c>
      <c r="D32" s="59">
        <v>107485</v>
      </c>
      <c r="E32" s="60">
        <f t="shared" si="1"/>
        <v>3317</v>
      </c>
      <c r="F32" s="59">
        <v>582</v>
      </c>
      <c r="G32" s="61">
        <v>48</v>
      </c>
      <c r="H32" s="61" t="s">
        <v>26</v>
      </c>
      <c r="I32" s="60">
        <f t="shared" si="2"/>
        <v>8966</v>
      </c>
      <c r="J32" s="16">
        <f t="shared" si="3"/>
        <v>2214.0209999999997</v>
      </c>
    </row>
    <row r="33" spans="1:10" x14ac:dyDescent="0.25">
      <c r="A33" s="5">
        <v>44772</v>
      </c>
      <c r="B33" s="59">
        <v>189295</v>
      </c>
      <c r="C33" s="60">
        <f t="shared" si="0"/>
        <v>0</v>
      </c>
      <c r="D33" s="59">
        <v>110802</v>
      </c>
      <c r="E33" s="60">
        <f t="shared" si="1"/>
        <v>0</v>
      </c>
      <c r="F33" s="59">
        <v>582</v>
      </c>
      <c r="G33" s="61">
        <v>48</v>
      </c>
      <c r="H33" s="61" t="s">
        <v>26</v>
      </c>
      <c r="I33" s="60">
        <f t="shared" si="2"/>
        <v>0</v>
      </c>
      <c r="J33" s="16">
        <f t="shared" si="3"/>
        <v>0</v>
      </c>
    </row>
    <row r="34" spans="1:10" x14ac:dyDescent="0.25">
      <c r="A34" s="5">
        <v>44773</v>
      </c>
      <c r="B34" s="63">
        <v>0</v>
      </c>
      <c r="C34" s="60"/>
      <c r="D34" s="59">
        <v>2338</v>
      </c>
      <c r="E34" s="60"/>
      <c r="F34" s="59">
        <v>0</v>
      </c>
      <c r="G34" s="61">
        <v>42</v>
      </c>
      <c r="H34" s="61" t="s">
        <v>25</v>
      </c>
      <c r="I34" s="60">
        <f t="shared" si="2"/>
        <v>0</v>
      </c>
      <c r="J34" s="16">
        <f t="shared" si="3"/>
        <v>0</v>
      </c>
    </row>
    <row r="35" spans="1:10" x14ac:dyDescent="0.25">
      <c r="A35" s="38"/>
      <c r="B35" s="59"/>
      <c r="C35" s="60"/>
      <c r="D35" s="59"/>
      <c r="E35" s="60"/>
      <c r="F35" s="59"/>
      <c r="G35" s="61"/>
      <c r="H35" s="61"/>
      <c r="I35" s="60">
        <f t="shared" si="2"/>
        <v>0</v>
      </c>
      <c r="J35" s="16">
        <f t="shared" si="3"/>
        <v>0</v>
      </c>
    </row>
    <row r="36" spans="1:10" x14ac:dyDescent="0.25">
      <c r="A36" s="90" t="s">
        <v>28</v>
      </c>
      <c r="B36" s="91"/>
      <c r="C36" s="64">
        <f>SUM(C4:C34)</f>
        <v>183293</v>
      </c>
      <c r="D36" s="64"/>
      <c r="E36" s="64">
        <f>SUM(E4:E34)</f>
        <v>101611</v>
      </c>
      <c r="F36" s="64"/>
      <c r="G36" s="50"/>
      <c r="H36" s="50"/>
      <c r="I36" s="60">
        <f>+E36+C36</f>
        <v>284904</v>
      </c>
      <c r="J36" s="16">
        <f>(C36*0.288)+(E36*0.177)</f>
        <v>70773.531000000003</v>
      </c>
    </row>
    <row r="37" spans="1:10" x14ac:dyDescent="0.25">
      <c r="A37" s="51"/>
      <c r="C37" s="32">
        <f>COUNTIF(C4:C34,"&gt;0")</f>
        <v>29</v>
      </c>
      <c r="G37" s="32"/>
    </row>
    <row r="39" spans="1:10" ht="15.6" x14ac:dyDescent="0.3">
      <c r="A39" s="54" t="s">
        <v>29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29" zoomScaleNormal="100" workbookViewId="0">
      <selection activeCell="G4" sqref="G4:G34"/>
    </sheetView>
  </sheetViews>
  <sheetFormatPr defaultRowHeight="13.2" x14ac:dyDescent="0.25"/>
  <cols>
    <col min="1" max="1" width="14" style="52" customWidth="1"/>
    <col min="2" max="2" width="20.33203125" style="32" bestFit="1" customWidth="1"/>
    <col min="3" max="3" width="18.88671875" style="32" bestFit="1" customWidth="1"/>
    <col min="4" max="4" width="20.33203125" style="32" bestFit="1" customWidth="1"/>
    <col min="5" max="5" width="18.88671875" style="32" customWidth="1"/>
    <col min="6" max="6" width="14.6640625" style="32" customWidth="1"/>
    <col min="7" max="7" width="11.33203125" style="24" customWidth="1"/>
    <col min="8" max="8" width="13.88671875" style="24" customWidth="1"/>
    <col min="9" max="9" width="19.109375" style="32" bestFit="1" customWidth="1"/>
    <col min="10" max="10" width="10.109375" style="14" bestFit="1" customWidth="1"/>
    <col min="11" max="256" width="9.109375" style="24"/>
    <col min="257" max="257" width="14" style="24" customWidth="1"/>
    <col min="258" max="258" width="20.33203125" style="24" bestFit="1" customWidth="1"/>
    <col min="259" max="259" width="18.88671875" style="24" bestFit="1" customWidth="1"/>
    <col min="260" max="260" width="20.33203125" style="24" bestFit="1" customWidth="1"/>
    <col min="261" max="261" width="18.88671875" style="24" customWidth="1"/>
    <col min="262" max="262" width="14.6640625" style="24" customWidth="1"/>
    <col min="263" max="263" width="11.33203125" style="24" customWidth="1"/>
    <col min="264" max="264" width="13.88671875" style="24" customWidth="1"/>
    <col min="265" max="265" width="19.109375" style="24" bestFit="1" customWidth="1"/>
    <col min="266" max="266" width="10.109375" style="24" bestFit="1" customWidth="1"/>
    <col min="267" max="512" width="9.109375" style="24"/>
    <col min="513" max="513" width="14" style="24" customWidth="1"/>
    <col min="514" max="514" width="20.33203125" style="24" bestFit="1" customWidth="1"/>
    <col min="515" max="515" width="18.88671875" style="24" bestFit="1" customWidth="1"/>
    <col min="516" max="516" width="20.33203125" style="24" bestFit="1" customWidth="1"/>
    <col min="517" max="517" width="18.88671875" style="24" customWidth="1"/>
    <col min="518" max="518" width="14.6640625" style="24" customWidth="1"/>
    <col min="519" max="519" width="11.33203125" style="24" customWidth="1"/>
    <col min="520" max="520" width="13.88671875" style="24" customWidth="1"/>
    <col min="521" max="521" width="19.109375" style="24" bestFit="1" customWidth="1"/>
    <col min="522" max="522" width="10.109375" style="24" bestFit="1" customWidth="1"/>
    <col min="523" max="768" width="9.109375" style="24"/>
    <col min="769" max="769" width="14" style="24" customWidth="1"/>
    <col min="770" max="770" width="20.33203125" style="24" bestFit="1" customWidth="1"/>
    <col min="771" max="771" width="18.88671875" style="24" bestFit="1" customWidth="1"/>
    <col min="772" max="772" width="20.33203125" style="24" bestFit="1" customWidth="1"/>
    <col min="773" max="773" width="18.88671875" style="24" customWidth="1"/>
    <col min="774" max="774" width="14.6640625" style="24" customWidth="1"/>
    <col min="775" max="775" width="11.33203125" style="24" customWidth="1"/>
    <col min="776" max="776" width="13.88671875" style="24" customWidth="1"/>
    <col min="777" max="777" width="19.109375" style="24" bestFit="1" customWidth="1"/>
    <col min="778" max="778" width="10.109375" style="24" bestFit="1" customWidth="1"/>
    <col min="779" max="1024" width="9.109375" style="24"/>
    <col min="1025" max="1025" width="14" style="24" customWidth="1"/>
    <col min="1026" max="1026" width="20.33203125" style="24" bestFit="1" customWidth="1"/>
    <col min="1027" max="1027" width="18.88671875" style="24" bestFit="1" customWidth="1"/>
    <col min="1028" max="1028" width="20.33203125" style="24" bestFit="1" customWidth="1"/>
    <col min="1029" max="1029" width="18.88671875" style="24" customWidth="1"/>
    <col min="1030" max="1030" width="14.6640625" style="24" customWidth="1"/>
    <col min="1031" max="1031" width="11.33203125" style="24" customWidth="1"/>
    <col min="1032" max="1032" width="13.88671875" style="24" customWidth="1"/>
    <col min="1033" max="1033" width="19.109375" style="24" bestFit="1" customWidth="1"/>
    <col min="1034" max="1034" width="10.109375" style="24" bestFit="1" customWidth="1"/>
    <col min="1035" max="1280" width="9.109375" style="24"/>
    <col min="1281" max="1281" width="14" style="24" customWidth="1"/>
    <col min="1282" max="1282" width="20.33203125" style="24" bestFit="1" customWidth="1"/>
    <col min="1283" max="1283" width="18.88671875" style="24" bestFit="1" customWidth="1"/>
    <col min="1284" max="1284" width="20.33203125" style="24" bestFit="1" customWidth="1"/>
    <col min="1285" max="1285" width="18.88671875" style="24" customWidth="1"/>
    <col min="1286" max="1286" width="14.6640625" style="24" customWidth="1"/>
    <col min="1287" max="1287" width="11.33203125" style="24" customWidth="1"/>
    <col min="1288" max="1288" width="13.88671875" style="24" customWidth="1"/>
    <col min="1289" max="1289" width="19.109375" style="24" bestFit="1" customWidth="1"/>
    <col min="1290" max="1290" width="10.109375" style="24" bestFit="1" customWidth="1"/>
    <col min="1291" max="1536" width="9.109375" style="24"/>
    <col min="1537" max="1537" width="14" style="24" customWidth="1"/>
    <col min="1538" max="1538" width="20.33203125" style="24" bestFit="1" customWidth="1"/>
    <col min="1539" max="1539" width="18.88671875" style="24" bestFit="1" customWidth="1"/>
    <col min="1540" max="1540" width="20.33203125" style="24" bestFit="1" customWidth="1"/>
    <col min="1541" max="1541" width="18.88671875" style="24" customWidth="1"/>
    <col min="1542" max="1542" width="14.6640625" style="24" customWidth="1"/>
    <col min="1543" max="1543" width="11.33203125" style="24" customWidth="1"/>
    <col min="1544" max="1544" width="13.88671875" style="24" customWidth="1"/>
    <col min="1545" max="1545" width="19.109375" style="24" bestFit="1" customWidth="1"/>
    <col min="1546" max="1546" width="10.109375" style="24" bestFit="1" customWidth="1"/>
    <col min="1547" max="1792" width="9.109375" style="24"/>
    <col min="1793" max="1793" width="14" style="24" customWidth="1"/>
    <col min="1794" max="1794" width="20.33203125" style="24" bestFit="1" customWidth="1"/>
    <col min="1795" max="1795" width="18.88671875" style="24" bestFit="1" customWidth="1"/>
    <col min="1796" max="1796" width="20.33203125" style="24" bestFit="1" customWidth="1"/>
    <col min="1797" max="1797" width="18.88671875" style="24" customWidth="1"/>
    <col min="1798" max="1798" width="14.6640625" style="24" customWidth="1"/>
    <col min="1799" max="1799" width="11.33203125" style="24" customWidth="1"/>
    <col min="1800" max="1800" width="13.88671875" style="24" customWidth="1"/>
    <col min="1801" max="1801" width="19.109375" style="24" bestFit="1" customWidth="1"/>
    <col min="1802" max="1802" width="10.109375" style="24" bestFit="1" customWidth="1"/>
    <col min="1803" max="2048" width="9.109375" style="24"/>
    <col min="2049" max="2049" width="14" style="24" customWidth="1"/>
    <col min="2050" max="2050" width="20.33203125" style="24" bestFit="1" customWidth="1"/>
    <col min="2051" max="2051" width="18.88671875" style="24" bestFit="1" customWidth="1"/>
    <col min="2052" max="2052" width="20.33203125" style="24" bestFit="1" customWidth="1"/>
    <col min="2053" max="2053" width="18.88671875" style="24" customWidth="1"/>
    <col min="2054" max="2054" width="14.6640625" style="24" customWidth="1"/>
    <col min="2055" max="2055" width="11.33203125" style="24" customWidth="1"/>
    <col min="2056" max="2056" width="13.88671875" style="24" customWidth="1"/>
    <col min="2057" max="2057" width="19.109375" style="24" bestFit="1" customWidth="1"/>
    <col min="2058" max="2058" width="10.109375" style="24" bestFit="1" customWidth="1"/>
    <col min="2059" max="2304" width="9.109375" style="24"/>
    <col min="2305" max="2305" width="14" style="24" customWidth="1"/>
    <col min="2306" max="2306" width="20.33203125" style="24" bestFit="1" customWidth="1"/>
    <col min="2307" max="2307" width="18.88671875" style="24" bestFit="1" customWidth="1"/>
    <col min="2308" max="2308" width="20.33203125" style="24" bestFit="1" customWidth="1"/>
    <col min="2309" max="2309" width="18.88671875" style="24" customWidth="1"/>
    <col min="2310" max="2310" width="14.6640625" style="24" customWidth="1"/>
    <col min="2311" max="2311" width="11.33203125" style="24" customWidth="1"/>
    <col min="2312" max="2312" width="13.88671875" style="24" customWidth="1"/>
    <col min="2313" max="2313" width="19.109375" style="24" bestFit="1" customWidth="1"/>
    <col min="2314" max="2314" width="10.109375" style="24" bestFit="1" customWidth="1"/>
    <col min="2315" max="2560" width="9.109375" style="24"/>
    <col min="2561" max="2561" width="14" style="24" customWidth="1"/>
    <col min="2562" max="2562" width="20.33203125" style="24" bestFit="1" customWidth="1"/>
    <col min="2563" max="2563" width="18.88671875" style="24" bestFit="1" customWidth="1"/>
    <col min="2564" max="2564" width="20.33203125" style="24" bestFit="1" customWidth="1"/>
    <col min="2565" max="2565" width="18.88671875" style="24" customWidth="1"/>
    <col min="2566" max="2566" width="14.6640625" style="24" customWidth="1"/>
    <col min="2567" max="2567" width="11.33203125" style="24" customWidth="1"/>
    <col min="2568" max="2568" width="13.88671875" style="24" customWidth="1"/>
    <col min="2569" max="2569" width="19.109375" style="24" bestFit="1" customWidth="1"/>
    <col min="2570" max="2570" width="10.109375" style="24" bestFit="1" customWidth="1"/>
    <col min="2571" max="2816" width="9.109375" style="24"/>
    <col min="2817" max="2817" width="14" style="24" customWidth="1"/>
    <col min="2818" max="2818" width="20.33203125" style="24" bestFit="1" customWidth="1"/>
    <col min="2819" max="2819" width="18.88671875" style="24" bestFit="1" customWidth="1"/>
    <col min="2820" max="2820" width="20.33203125" style="24" bestFit="1" customWidth="1"/>
    <col min="2821" max="2821" width="18.88671875" style="24" customWidth="1"/>
    <col min="2822" max="2822" width="14.6640625" style="24" customWidth="1"/>
    <col min="2823" max="2823" width="11.33203125" style="24" customWidth="1"/>
    <col min="2824" max="2824" width="13.88671875" style="24" customWidth="1"/>
    <col min="2825" max="2825" width="19.109375" style="24" bestFit="1" customWidth="1"/>
    <col min="2826" max="2826" width="10.109375" style="24" bestFit="1" customWidth="1"/>
    <col min="2827" max="3072" width="9.109375" style="24"/>
    <col min="3073" max="3073" width="14" style="24" customWidth="1"/>
    <col min="3074" max="3074" width="20.33203125" style="24" bestFit="1" customWidth="1"/>
    <col min="3075" max="3075" width="18.88671875" style="24" bestFit="1" customWidth="1"/>
    <col min="3076" max="3076" width="20.33203125" style="24" bestFit="1" customWidth="1"/>
    <col min="3077" max="3077" width="18.88671875" style="24" customWidth="1"/>
    <col min="3078" max="3078" width="14.6640625" style="24" customWidth="1"/>
    <col min="3079" max="3079" width="11.33203125" style="24" customWidth="1"/>
    <col min="3080" max="3080" width="13.88671875" style="24" customWidth="1"/>
    <col min="3081" max="3081" width="19.109375" style="24" bestFit="1" customWidth="1"/>
    <col min="3082" max="3082" width="10.109375" style="24" bestFit="1" customWidth="1"/>
    <col min="3083" max="3328" width="9.109375" style="24"/>
    <col min="3329" max="3329" width="14" style="24" customWidth="1"/>
    <col min="3330" max="3330" width="20.33203125" style="24" bestFit="1" customWidth="1"/>
    <col min="3331" max="3331" width="18.88671875" style="24" bestFit="1" customWidth="1"/>
    <col min="3332" max="3332" width="20.33203125" style="24" bestFit="1" customWidth="1"/>
    <col min="3333" max="3333" width="18.88671875" style="24" customWidth="1"/>
    <col min="3334" max="3334" width="14.6640625" style="24" customWidth="1"/>
    <col min="3335" max="3335" width="11.33203125" style="24" customWidth="1"/>
    <col min="3336" max="3336" width="13.88671875" style="24" customWidth="1"/>
    <col min="3337" max="3337" width="19.109375" style="24" bestFit="1" customWidth="1"/>
    <col min="3338" max="3338" width="10.109375" style="24" bestFit="1" customWidth="1"/>
    <col min="3339" max="3584" width="9.109375" style="24"/>
    <col min="3585" max="3585" width="14" style="24" customWidth="1"/>
    <col min="3586" max="3586" width="20.33203125" style="24" bestFit="1" customWidth="1"/>
    <col min="3587" max="3587" width="18.88671875" style="24" bestFit="1" customWidth="1"/>
    <col min="3588" max="3588" width="20.33203125" style="24" bestFit="1" customWidth="1"/>
    <col min="3589" max="3589" width="18.88671875" style="24" customWidth="1"/>
    <col min="3590" max="3590" width="14.6640625" style="24" customWidth="1"/>
    <col min="3591" max="3591" width="11.33203125" style="24" customWidth="1"/>
    <col min="3592" max="3592" width="13.88671875" style="24" customWidth="1"/>
    <col min="3593" max="3593" width="19.109375" style="24" bestFit="1" customWidth="1"/>
    <col min="3594" max="3594" width="10.109375" style="24" bestFit="1" customWidth="1"/>
    <col min="3595" max="3840" width="9.109375" style="24"/>
    <col min="3841" max="3841" width="14" style="24" customWidth="1"/>
    <col min="3842" max="3842" width="20.33203125" style="24" bestFit="1" customWidth="1"/>
    <col min="3843" max="3843" width="18.88671875" style="24" bestFit="1" customWidth="1"/>
    <col min="3844" max="3844" width="20.33203125" style="24" bestFit="1" customWidth="1"/>
    <col min="3845" max="3845" width="18.88671875" style="24" customWidth="1"/>
    <col min="3846" max="3846" width="14.6640625" style="24" customWidth="1"/>
    <col min="3847" max="3847" width="11.33203125" style="24" customWidth="1"/>
    <col min="3848" max="3848" width="13.88671875" style="24" customWidth="1"/>
    <col min="3849" max="3849" width="19.109375" style="24" bestFit="1" customWidth="1"/>
    <col min="3850" max="3850" width="10.109375" style="24" bestFit="1" customWidth="1"/>
    <col min="3851" max="4096" width="9.109375" style="24"/>
    <col min="4097" max="4097" width="14" style="24" customWidth="1"/>
    <col min="4098" max="4098" width="20.33203125" style="24" bestFit="1" customWidth="1"/>
    <col min="4099" max="4099" width="18.88671875" style="24" bestFit="1" customWidth="1"/>
    <col min="4100" max="4100" width="20.33203125" style="24" bestFit="1" customWidth="1"/>
    <col min="4101" max="4101" width="18.88671875" style="24" customWidth="1"/>
    <col min="4102" max="4102" width="14.6640625" style="24" customWidth="1"/>
    <col min="4103" max="4103" width="11.33203125" style="24" customWidth="1"/>
    <col min="4104" max="4104" width="13.88671875" style="24" customWidth="1"/>
    <col min="4105" max="4105" width="19.109375" style="24" bestFit="1" customWidth="1"/>
    <col min="4106" max="4106" width="10.109375" style="24" bestFit="1" customWidth="1"/>
    <col min="4107" max="4352" width="9.109375" style="24"/>
    <col min="4353" max="4353" width="14" style="24" customWidth="1"/>
    <col min="4354" max="4354" width="20.33203125" style="24" bestFit="1" customWidth="1"/>
    <col min="4355" max="4355" width="18.88671875" style="24" bestFit="1" customWidth="1"/>
    <col min="4356" max="4356" width="20.33203125" style="24" bestFit="1" customWidth="1"/>
    <col min="4357" max="4357" width="18.88671875" style="24" customWidth="1"/>
    <col min="4358" max="4358" width="14.6640625" style="24" customWidth="1"/>
    <col min="4359" max="4359" width="11.33203125" style="24" customWidth="1"/>
    <col min="4360" max="4360" width="13.88671875" style="24" customWidth="1"/>
    <col min="4361" max="4361" width="19.109375" style="24" bestFit="1" customWidth="1"/>
    <col min="4362" max="4362" width="10.109375" style="24" bestFit="1" customWidth="1"/>
    <col min="4363" max="4608" width="9.109375" style="24"/>
    <col min="4609" max="4609" width="14" style="24" customWidth="1"/>
    <col min="4610" max="4610" width="20.33203125" style="24" bestFit="1" customWidth="1"/>
    <col min="4611" max="4611" width="18.88671875" style="24" bestFit="1" customWidth="1"/>
    <col min="4612" max="4612" width="20.33203125" style="24" bestFit="1" customWidth="1"/>
    <col min="4613" max="4613" width="18.88671875" style="24" customWidth="1"/>
    <col min="4614" max="4614" width="14.6640625" style="24" customWidth="1"/>
    <col min="4615" max="4615" width="11.33203125" style="24" customWidth="1"/>
    <col min="4616" max="4616" width="13.88671875" style="24" customWidth="1"/>
    <col min="4617" max="4617" width="19.109375" style="24" bestFit="1" customWidth="1"/>
    <col min="4618" max="4618" width="10.109375" style="24" bestFit="1" customWidth="1"/>
    <col min="4619" max="4864" width="9.109375" style="24"/>
    <col min="4865" max="4865" width="14" style="24" customWidth="1"/>
    <col min="4866" max="4866" width="20.33203125" style="24" bestFit="1" customWidth="1"/>
    <col min="4867" max="4867" width="18.88671875" style="24" bestFit="1" customWidth="1"/>
    <col min="4868" max="4868" width="20.33203125" style="24" bestFit="1" customWidth="1"/>
    <col min="4869" max="4869" width="18.88671875" style="24" customWidth="1"/>
    <col min="4870" max="4870" width="14.6640625" style="24" customWidth="1"/>
    <col min="4871" max="4871" width="11.33203125" style="24" customWidth="1"/>
    <col min="4872" max="4872" width="13.88671875" style="24" customWidth="1"/>
    <col min="4873" max="4873" width="19.109375" style="24" bestFit="1" customWidth="1"/>
    <col min="4874" max="4874" width="10.109375" style="24" bestFit="1" customWidth="1"/>
    <col min="4875" max="5120" width="9.109375" style="24"/>
    <col min="5121" max="5121" width="14" style="24" customWidth="1"/>
    <col min="5122" max="5122" width="20.33203125" style="24" bestFit="1" customWidth="1"/>
    <col min="5123" max="5123" width="18.88671875" style="24" bestFit="1" customWidth="1"/>
    <col min="5124" max="5124" width="20.33203125" style="24" bestFit="1" customWidth="1"/>
    <col min="5125" max="5125" width="18.88671875" style="24" customWidth="1"/>
    <col min="5126" max="5126" width="14.6640625" style="24" customWidth="1"/>
    <col min="5127" max="5127" width="11.33203125" style="24" customWidth="1"/>
    <col min="5128" max="5128" width="13.88671875" style="24" customWidth="1"/>
    <col min="5129" max="5129" width="19.109375" style="24" bestFit="1" customWidth="1"/>
    <col min="5130" max="5130" width="10.109375" style="24" bestFit="1" customWidth="1"/>
    <col min="5131" max="5376" width="9.109375" style="24"/>
    <col min="5377" max="5377" width="14" style="24" customWidth="1"/>
    <col min="5378" max="5378" width="20.33203125" style="24" bestFit="1" customWidth="1"/>
    <col min="5379" max="5379" width="18.88671875" style="24" bestFit="1" customWidth="1"/>
    <col min="5380" max="5380" width="20.33203125" style="24" bestFit="1" customWidth="1"/>
    <col min="5381" max="5381" width="18.88671875" style="24" customWidth="1"/>
    <col min="5382" max="5382" width="14.6640625" style="24" customWidth="1"/>
    <col min="5383" max="5383" width="11.33203125" style="24" customWidth="1"/>
    <col min="5384" max="5384" width="13.88671875" style="24" customWidth="1"/>
    <col min="5385" max="5385" width="19.109375" style="24" bestFit="1" customWidth="1"/>
    <col min="5386" max="5386" width="10.109375" style="24" bestFit="1" customWidth="1"/>
    <col min="5387" max="5632" width="9.109375" style="24"/>
    <col min="5633" max="5633" width="14" style="24" customWidth="1"/>
    <col min="5634" max="5634" width="20.33203125" style="24" bestFit="1" customWidth="1"/>
    <col min="5635" max="5635" width="18.88671875" style="24" bestFit="1" customWidth="1"/>
    <col min="5636" max="5636" width="20.33203125" style="24" bestFit="1" customWidth="1"/>
    <col min="5637" max="5637" width="18.88671875" style="24" customWidth="1"/>
    <col min="5638" max="5638" width="14.6640625" style="24" customWidth="1"/>
    <col min="5639" max="5639" width="11.33203125" style="24" customWidth="1"/>
    <col min="5640" max="5640" width="13.88671875" style="24" customWidth="1"/>
    <col min="5641" max="5641" width="19.109375" style="24" bestFit="1" customWidth="1"/>
    <col min="5642" max="5642" width="10.109375" style="24" bestFit="1" customWidth="1"/>
    <col min="5643" max="5888" width="9.109375" style="24"/>
    <col min="5889" max="5889" width="14" style="24" customWidth="1"/>
    <col min="5890" max="5890" width="20.33203125" style="24" bestFit="1" customWidth="1"/>
    <col min="5891" max="5891" width="18.88671875" style="24" bestFit="1" customWidth="1"/>
    <col min="5892" max="5892" width="20.33203125" style="24" bestFit="1" customWidth="1"/>
    <col min="5893" max="5893" width="18.88671875" style="24" customWidth="1"/>
    <col min="5894" max="5894" width="14.6640625" style="24" customWidth="1"/>
    <col min="5895" max="5895" width="11.33203125" style="24" customWidth="1"/>
    <col min="5896" max="5896" width="13.88671875" style="24" customWidth="1"/>
    <col min="5897" max="5897" width="19.109375" style="24" bestFit="1" customWidth="1"/>
    <col min="5898" max="5898" width="10.109375" style="24" bestFit="1" customWidth="1"/>
    <col min="5899" max="6144" width="9.109375" style="24"/>
    <col min="6145" max="6145" width="14" style="24" customWidth="1"/>
    <col min="6146" max="6146" width="20.33203125" style="24" bestFit="1" customWidth="1"/>
    <col min="6147" max="6147" width="18.88671875" style="24" bestFit="1" customWidth="1"/>
    <col min="6148" max="6148" width="20.33203125" style="24" bestFit="1" customWidth="1"/>
    <col min="6149" max="6149" width="18.88671875" style="24" customWidth="1"/>
    <col min="6150" max="6150" width="14.6640625" style="24" customWidth="1"/>
    <col min="6151" max="6151" width="11.33203125" style="24" customWidth="1"/>
    <col min="6152" max="6152" width="13.88671875" style="24" customWidth="1"/>
    <col min="6153" max="6153" width="19.109375" style="24" bestFit="1" customWidth="1"/>
    <col min="6154" max="6154" width="10.109375" style="24" bestFit="1" customWidth="1"/>
    <col min="6155" max="6400" width="9.109375" style="24"/>
    <col min="6401" max="6401" width="14" style="24" customWidth="1"/>
    <col min="6402" max="6402" width="20.33203125" style="24" bestFit="1" customWidth="1"/>
    <col min="6403" max="6403" width="18.88671875" style="24" bestFit="1" customWidth="1"/>
    <col min="6404" max="6404" width="20.33203125" style="24" bestFit="1" customWidth="1"/>
    <col min="6405" max="6405" width="18.88671875" style="24" customWidth="1"/>
    <col min="6406" max="6406" width="14.6640625" style="24" customWidth="1"/>
    <col min="6407" max="6407" width="11.33203125" style="24" customWidth="1"/>
    <col min="6408" max="6408" width="13.88671875" style="24" customWidth="1"/>
    <col min="6409" max="6409" width="19.109375" style="24" bestFit="1" customWidth="1"/>
    <col min="6410" max="6410" width="10.109375" style="24" bestFit="1" customWidth="1"/>
    <col min="6411" max="6656" width="9.109375" style="24"/>
    <col min="6657" max="6657" width="14" style="24" customWidth="1"/>
    <col min="6658" max="6658" width="20.33203125" style="24" bestFit="1" customWidth="1"/>
    <col min="6659" max="6659" width="18.88671875" style="24" bestFit="1" customWidth="1"/>
    <col min="6660" max="6660" width="20.33203125" style="24" bestFit="1" customWidth="1"/>
    <col min="6661" max="6661" width="18.88671875" style="24" customWidth="1"/>
    <col min="6662" max="6662" width="14.6640625" style="24" customWidth="1"/>
    <col min="6663" max="6663" width="11.33203125" style="24" customWidth="1"/>
    <col min="6664" max="6664" width="13.88671875" style="24" customWidth="1"/>
    <col min="6665" max="6665" width="19.109375" style="24" bestFit="1" customWidth="1"/>
    <col min="6666" max="6666" width="10.109375" style="24" bestFit="1" customWidth="1"/>
    <col min="6667" max="6912" width="9.109375" style="24"/>
    <col min="6913" max="6913" width="14" style="24" customWidth="1"/>
    <col min="6914" max="6914" width="20.33203125" style="24" bestFit="1" customWidth="1"/>
    <col min="6915" max="6915" width="18.88671875" style="24" bestFit="1" customWidth="1"/>
    <col min="6916" max="6916" width="20.33203125" style="24" bestFit="1" customWidth="1"/>
    <col min="6917" max="6917" width="18.88671875" style="24" customWidth="1"/>
    <col min="6918" max="6918" width="14.6640625" style="24" customWidth="1"/>
    <col min="6919" max="6919" width="11.33203125" style="24" customWidth="1"/>
    <col min="6920" max="6920" width="13.88671875" style="24" customWidth="1"/>
    <col min="6921" max="6921" width="19.109375" style="24" bestFit="1" customWidth="1"/>
    <col min="6922" max="6922" width="10.109375" style="24" bestFit="1" customWidth="1"/>
    <col min="6923" max="7168" width="9.109375" style="24"/>
    <col min="7169" max="7169" width="14" style="24" customWidth="1"/>
    <col min="7170" max="7170" width="20.33203125" style="24" bestFit="1" customWidth="1"/>
    <col min="7171" max="7171" width="18.88671875" style="24" bestFit="1" customWidth="1"/>
    <col min="7172" max="7172" width="20.33203125" style="24" bestFit="1" customWidth="1"/>
    <col min="7173" max="7173" width="18.88671875" style="24" customWidth="1"/>
    <col min="7174" max="7174" width="14.6640625" style="24" customWidth="1"/>
    <col min="7175" max="7175" width="11.33203125" style="24" customWidth="1"/>
    <col min="7176" max="7176" width="13.88671875" style="24" customWidth="1"/>
    <col min="7177" max="7177" width="19.109375" style="24" bestFit="1" customWidth="1"/>
    <col min="7178" max="7178" width="10.109375" style="24" bestFit="1" customWidth="1"/>
    <col min="7179" max="7424" width="9.109375" style="24"/>
    <col min="7425" max="7425" width="14" style="24" customWidth="1"/>
    <col min="7426" max="7426" width="20.33203125" style="24" bestFit="1" customWidth="1"/>
    <col min="7427" max="7427" width="18.88671875" style="24" bestFit="1" customWidth="1"/>
    <col min="7428" max="7428" width="20.33203125" style="24" bestFit="1" customWidth="1"/>
    <col min="7429" max="7429" width="18.88671875" style="24" customWidth="1"/>
    <col min="7430" max="7430" width="14.6640625" style="24" customWidth="1"/>
    <col min="7431" max="7431" width="11.33203125" style="24" customWidth="1"/>
    <col min="7432" max="7432" width="13.88671875" style="24" customWidth="1"/>
    <col min="7433" max="7433" width="19.109375" style="24" bestFit="1" customWidth="1"/>
    <col min="7434" max="7434" width="10.109375" style="24" bestFit="1" customWidth="1"/>
    <col min="7435" max="7680" width="9.109375" style="24"/>
    <col min="7681" max="7681" width="14" style="24" customWidth="1"/>
    <col min="7682" max="7682" width="20.33203125" style="24" bestFit="1" customWidth="1"/>
    <col min="7683" max="7683" width="18.88671875" style="24" bestFit="1" customWidth="1"/>
    <col min="7684" max="7684" width="20.33203125" style="24" bestFit="1" customWidth="1"/>
    <col min="7685" max="7685" width="18.88671875" style="24" customWidth="1"/>
    <col min="7686" max="7686" width="14.6640625" style="24" customWidth="1"/>
    <col min="7687" max="7687" width="11.33203125" style="24" customWidth="1"/>
    <col min="7688" max="7688" width="13.88671875" style="24" customWidth="1"/>
    <col min="7689" max="7689" width="19.109375" style="24" bestFit="1" customWidth="1"/>
    <col min="7690" max="7690" width="10.109375" style="24" bestFit="1" customWidth="1"/>
    <col min="7691" max="7936" width="9.109375" style="24"/>
    <col min="7937" max="7937" width="14" style="24" customWidth="1"/>
    <col min="7938" max="7938" width="20.33203125" style="24" bestFit="1" customWidth="1"/>
    <col min="7939" max="7939" width="18.88671875" style="24" bestFit="1" customWidth="1"/>
    <col min="7940" max="7940" width="20.33203125" style="24" bestFit="1" customWidth="1"/>
    <col min="7941" max="7941" width="18.88671875" style="24" customWidth="1"/>
    <col min="7942" max="7942" width="14.6640625" style="24" customWidth="1"/>
    <col min="7943" max="7943" width="11.33203125" style="24" customWidth="1"/>
    <col min="7944" max="7944" width="13.88671875" style="24" customWidth="1"/>
    <col min="7945" max="7945" width="19.109375" style="24" bestFit="1" customWidth="1"/>
    <col min="7946" max="7946" width="10.109375" style="24" bestFit="1" customWidth="1"/>
    <col min="7947" max="8192" width="9.109375" style="24"/>
    <col min="8193" max="8193" width="14" style="24" customWidth="1"/>
    <col min="8194" max="8194" width="20.33203125" style="24" bestFit="1" customWidth="1"/>
    <col min="8195" max="8195" width="18.88671875" style="24" bestFit="1" customWidth="1"/>
    <col min="8196" max="8196" width="20.33203125" style="24" bestFit="1" customWidth="1"/>
    <col min="8197" max="8197" width="18.88671875" style="24" customWidth="1"/>
    <col min="8198" max="8198" width="14.6640625" style="24" customWidth="1"/>
    <col min="8199" max="8199" width="11.33203125" style="24" customWidth="1"/>
    <col min="8200" max="8200" width="13.88671875" style="24" customWidth="1"/>
    <col min="8201" max="8201" width="19.109375" style="24" bestFit="1" customWidth="1"/>
    <col min="8202" max="8202" width="10.109375" style="24" bestFit="1" customWidth="1"/>
    <col min="8203" max="8448" width="9.109375" style="24"/>
    <col min="8449" max="8449" width="14" style="24" customWidth="1"/>
    <col min="8450" max="8450" width="20.33203125" style="24" bestFit="1" customWidth="1"/>
    <col min="8451" max="8451" width="18.88671875" style="24" bestFit="1" customWidth="1"/>
    <col min="8452" max="8452" width="20.33203125" style="24" bestFit="1" customWidth="1"/>
    <col min="8453" max="8453" width="18.88671875" style="24" customWidth="1"/>
    <col min="8454" max="8454" width="14.6640625" style="24" customWidth="1"/>
    <col min="8455" max="8455" width="11.33203125" style="24" customWidth="1"/>
    <col min="8456" max="8456" width="13.88671875" style="24" customWidth="1"/>
    <col min="8457" max="8457" width="19.109375" style="24" bestFit="1" customWidth="1"/>
    <col min="8458" max="8458" width="10.109375" style="24" bestFit="1" customWidth="1"/>
    <col min="8459" max="8704" width="9.109375" style="24"/>
    <col min="8705" max="8705" width="14" style="24" customWidth="1"/>
    <col min="8706" max="8706" width="20.33203125" style="24" bestFit="1" customWidth="1"/>
    <col min="8707" max="8707" width="18.88671875" style="24" bestFit="1" customWidth="1"/>
    <col min="8708" max="8708" width="20.33203125" style="24" bestFit="1" customWidth="1"/>
    <col min="8709" max="8709" width="18.88671875" style="24" customWidth="1"/>
    <col min="8710" max="8710" width="14.6640625" style="24" customWidth="1"/>
    <col min="8711" max="8711" width="11.33203125" style="24" customWidth="1"/>
    <col min="8712" max="8712" width="13.88671875" style="24" customWidth="1"/>
    <col min="8713" max="8713" width="19.109375" style="24" bestFit="1" customWidth="1"/>
    <col min="8714" max="8714" width="10.109375" style="24" bestFit="1" customWidth="1"/>
    <col min="8715" max="8960" width="9.109375" style="24"/>
    <col min="8961" max="8961" width="14" style="24" customWidth="1"/>
    <col min="8962" max="8962" width="20.33203125" style="24" bestFit="1" customWidth="1"/>
    <col min="8963" max="8963" width="18.88671875" style="24" bestFit="1" customWidth="1"/>
    <col min="8964" max="8964" width="20.33203125" style="24" bestFit="1" customWidth="1"/>
    <col min="8965" max="8965" width="18.88671875" style="24" customWidth="1"/>
    <col min="8966" max="8966" width="14.6640625" style="24" customWidth="1"/>
    <col min="8967" max="8967" width="11.33203125" style="24" customWidth="1"/>
    <col min="8968" max="8968" width="13.88671875" style="24" customWidth="1"/>
    <col min="8969" max="8969" width="19.109375" style="24" bestFit="1" customWidth="1"/>
    <col min="8970" max="8970" width="10.109375" style="24" bestFit="1" customWidth="1"/>
    <col min="8971" max="9216" width="9.109375" style="24"/>
    <col min="9217" max="9217" width="14" style="24" customWidth="1"/>
    <col min="9218" max="9218" width="20.33203125" style="24" bestFit="1" customWidth="1"/>
    <col min="9219" max="9219" width="18.88671875" style="24" bestFit="1" customWidth="1"/>
    <col min="9220" max="9220" width="20.33203125" style="24" bestFit="1" customWidth="1"/>
    <col min="9221" max="9221" width="18.88671875" style="24" customWidth="1"/>
    <col min="9222" max="9222" width="14.6640625" style="24" customWidth="1"/>
    <col min="9223" max="9223" width="11.33203125" style="24" customWidth="1"/>
    <col min="9224" max="9224" width="13.88671875" style="24" customWidth="1"/>
    <col min="9225" max="9225" width="19.109375" style="24" bestFit="1" customWidth="1"/>
    <col min="9226" max="9226" width="10.109375" style="24" bestFit="1" customWidth="1"/>
    <col min="9227" max="9472" width="9.109375" style="24"/>
    <col min="9473" max="9473" width="14" style="24" customWidth="1"/>
    <col min="9474" max="9474" width="20.33203125" style="24" bestFit="1" customWidth="1"/>
    <col min="9475" max="9475" width="18.88671875" style="24" bestFit="1" customWidth="1"/>
    <col min="9476" max="9476" width="20.33203125" style="24" bestFit="1" customWidth="1"/>
    <col min="9477" max="9477" width="18.88671875" style="24" customWidth="1"/>
    <col min="9478" max="9478" width="14.6640625" style="24" customWidth="1"/>
    <col min="9479" max="9479" width="11.33203125" style="24" customWidth="1"/>
    <col min="9480" max="9480" width="13.88671875" style="24" customWidth="1"/>
    <col min="9481" max="9481" width="19.109375" style="24" bestFit="1" customWidth="1"/>
    <col min="9482" max="9482" width="10.109375" style="24" bestFit="1" customWidth="1"/>
    <col min="9483" max="9728" width="9.109375" style="24"/>
    <col min="9729" max="9729" width="14" style="24" customWidth="1"/>
    <col min="9730" max="9730" width="20.33203125" style="24" bestFit="1" customWidth="1"/>
    <col min="9731" max="9731" width="18.88671875" style="24" bestFit="1" customWidth="1"/>
    <col min="9732" max="9732" width="20.33203125" style="24" bestFit="1" customWidth="1"/>
    <col min="9733" max="9733" width="18.88671875" style="24" customWidth="1"/>
    <col min="9734" max="9734" width="14.6640625" style="24" customWidth="1"/>
    <col min="9735" max="9735" width="11.33203125" style="24" customWidth="1"/>
    <col min="9736" max="9736" width="13.88671875" style="24" customWidth="1"/>
    <col min="9737" max="9737" width="19.109375" style="24" bestFit="1" customWidth="1"/>
    <col min="9738" max="9738" width="10.109375" style="24" bestFit="1" customWidth="1"/>
    <col min="9739" max="9984" width="9.109375" style="24"/>
    <col min="9985" max="9985" width="14" style="24" customWidth="1"/>
    <col min="9986" max="9986" width="20.33203125" style="24" bestFit="1" customWidth="1"/>
    <col min="9987" max="9987" width="18.88671875" style="24" bestFit="1" customWidth="1"/>
    <col min="9988" max="9988" width="20.33203125" style="24" bestFit="1" customWidth="1"/>
    <col min="9989" max="9989" width="18.88671875" style="24" customWidth="1"/>
    <col min="9990" max="9990" width="14.6640625" style="24" customWidth="1"/>
    <col min="9991" max="9991" width="11.33203125" style="24" customWidth="1"/>
    <col min="9992" max="9992" width="13.88671875" style="24" customWidth="1"/>
    <col min="9993" max="9993" width="19.109375" style="24" bestFit="1" customWidth="1"/>
    <col min="9994" max="9994" width="10.109375" style="24" bestFit="1" customWidth="1"/>
    <col min="9995" max="10240" width="9.109375" style="24"/>
    <col min="10241" max="10241" width="14" style="24" customWidth="1"/>
    <col min="10242" max="10242" width="20.33203125" style="24" bestFit="1" customWidth="1"/>
    <col min="10243" max="10243" width="18.88671875" style="24" bestFit="1" customWidth="1"/>
    <col min="10244" max="10244" width="20.33203125" style="24" bestFit="1" customWidth="1"/>
    <col min="10245" max="10245" width="18.88671875" style="24" customWidth="1"/>
    <col min="10246" max="10246" width="14.6640625" style="24" customWidth="1"/>
    <col min="10247" max="10247" width="11.33203125" style="24" customWidth="1"/>
    <col min="10248" max="10248" width="13.88671875" style="24" customWidth="1"/>
    <col min="10249" max="10249" width="19.109375" style="24" bestFit="1" customWidth="1"/>
    <col min="10250" max="10250" width="10.109375" style="24" bestFit="1" customWidth="1"/>
    <col min="10251" max="10496" width="9.109375" style="24"/>
    <col min="10497" max="10497" width="14" style="24" customWidth="1"/>
    <col min="10498" max="10498" width="20.33203125" style="24" bestFit="1" customWidth="1"/>
    <col min="10499" max="10499" width="18.88671875" style="24" bestFit="1" customWidth="1"/>
    <col min="10500" max="10500" width="20.33203125" style="24" bestFit="1" customWidth="1"/>
    <col min="10501" max="10501" width="18.88671875" style="24" customWidth="1"/>
    <col min="10502" max="10502" width="14.6640625" style="24" customWidth="1"/>
    <col min="10503" max="10503" width="11.33203125" style="24" customWidth="1"/>
    <col min="10504" max="10504" width="13.88671875" style="24" customWidth="1"/>
    <col min="10505" max="10505" width="19.109375" style="24" bestFit="1" customWidth="1"/>
    <col min="10506" max="10506" width="10.109375" style="24" bestFit="1" customWidth="1"/>
    <col min="10507" max="10752" width="9.109375" style="24"/>
    <col min="10753" max="10753" width="14" style="24" customWidth="1"/>
    <col min="10754" max="10754" width="20.33203125" style="24" bestFit="1" customWidth="1"/>
    <col min="10755" max="10755" width="18.88671875" style="24" bestFit="1" customWidth="1"/>
    <col min="10756" max="10756" width="20.33203125" style="24" bestFit="1" customWidth="1"/>
    <col min="10757" max="10757" width="18.88671875" style="24" customWidth="1"/>
    <col min="10758" max="10758" width="14.6640625" style="24" customWidth="1"/>
    <col min="10759" max="10759" width="11.33203125" style="24" customWidth="1"/>
    <col min="10760" max="10760" width="13.88671875" style="24" customWidth="1"/>
    <col min="10761" max="10761" width="19.109375" style="24" bestFit="1" customWidth="1"/>
    <col min="10762" max="10762" width="10.109375" style="24" bestFit="1" customWidth="1"/>
    <col min="10763" max="11008" width="9.109375" style="24"/>
    <col min="11009" max="11009" width="14" style="24" customWidth="1"/>
    <col min="11010" max="11010" width="20.33203125" style="24" bestFit="1" customWidth="1"/>
    <col min="11011" max="11011" width="18.88671875" style="24" bestFit="1" customWidth="1"/>
    <col min="11012" max="11012" width="20.33203125" style="24" bestFit="1" customWidth="1"/>
    <col min="11013" max="11013" width="18.88671875" style="24" customWidth="1"/>
    <col min="11014" max="11014" width="14.6640625" style="24" customWidth="1"/>
    <col min="11015" max="11015" width="11.33203125" style="24" customWidth="1"/>
    <col min="11016" max="11016" width="13.88671875" style="24" customWidth="1"/>
    <col min="11017" max="11017" width="19.109375" style="24" bestFit="1" customWidth="1"/>
    <col min="11018" max="11018" width="10.109375" style="24" bestFit="1" customWidth="1"/>
    <col min="11019" max="11264" width="9.109375" style="24"/>
    <col min="11265" max="11265" width="14" style="24" customWidth="1"/>
    <col min="11266" max="11266" width="20.33203125" style="24" bestFit="1" customWidth="1"/>
    <col min="11267" max="11267" width="18.88671875" style="24" bestFit="1" customWidth="1"/>
    <col min="11268" max="11268" width="20.33203125" style="24" bestFit="1" customWidth="1"/>
    <col min="11269" max="11269" width="18.88671875" style="24" customWidth="1"/>
    <col min="11270" max="11270" width="14.6640625" style="24" customWidth="1"/>
    <col min="11271" max="11271" width="11.33203125" style="24" customWidth="1"/>
    <col min="11272" max="11272" width="13.88671875" style="24" customWidth="1"/>
    <col min="11273" max="11273" width="19.109375" style="24" bestFit="1" customWidth="1"/>
    <col min="11274" max="11274" width="10.109375" style="24" bestFit="1" customWidth="1"/>
    <col min="11275" max="11520" width="9.109375" style="24"/>
    <col min="11521" max="11521" width="14" style="24" customWidth="1"/>
    <col min="11522" max="11522" width="20.33203125" style="24" bestFit="1" customWidth="1"/>
    <col min="11523" max="11523" width="18.88671875" style="24" bestFit="1" customWidth="1"/>
    <col min="11524" max="11524" width="20.33203125" style="24" bestFit="1" customWidth="1"/>
    <col min="11525" max="11525" width="18.88671875" style="24" customWidth="1"/>
    <col min="11526" max="11526" width="14.6640625" style="24" customWidth="1"/>
    <col min="11527" max="11527" width="11.33203125" style="24" customWidth="1"/>
    <col min="11528" max="11528" width="13.88671875" style="24" customWidth="1"/>
    <col min="11529" max="11529" width="19.109375" style="24" bestFit="1" customWidth="1"/>
    <col min="11530" max="11530" width="10.109375" style="24" bestFit="1" customWidth="1"/>
    <col min="11531" max="11776" width="9.109375" style="24"/>
    <col min="11777" max="11777" width="14" style="24" customWidth="1"/>
    <col min="11778" max="11778" width="20.33203125" style="24" bestFit="1" customWidth="1"/>
    <col min="11779" max="11779" width="18.88671875" style="24" bestFit="1" customWidth="1"/>
    <col min="11780" max="11780" width="20.33203125" style="24" bestFit="1" customWidth="1"/>
    <col min="11781" max="11781" width="18.88671875" style="24" customWidth="1"/>
    <col min="11782" max="11782" width="14.6640625" style="24" customWidth="1"/>
    <col min="11783" max="11783" width="11.33203125" style="24" customWidth="1"/>
    <col min="11784" max="11784" width="13.88671875" style="24" customWidth="1"/>
    <col min="11785" max="11785" width="19.109375" style="24" bestFit="1" customWidth="1"/>
    <col min="11786" max="11786" width="10.109375" style="24" bestFit="1" customWidth="1"/>
    <col min="11787" max="12032" width="9.109375" style="24"/>
    <col min="12033" max="12033" width="14" style="24" customWidth="1"/>
    <col min="12034" max="12034" width="20.33203125" style="24" bestFit="1" customWidth="1"/>
    <col min="12035" max="12035" width="18.88671875" style="24" bestFit="1" customWidth="1"/>
    <col min="12036" max="12036" width="20.33203125" style="24" bestFit="1" customWidth="1"/>
    <col min="12037" max="12037" width="18.88671875" style="24" customWidth="1"/>
    <col min="12038" max="12038" width="14.6640625" style="24" customWidth="1"/>
    <col min="12039" max="12039" width="11.33203125" style="24" customWidth="1"/>
    <col min="12040" max="12040" width="13.88671875" style="24" customWidth="1"/>
    <col min="12041" max="12041" width="19.109375" style="24" bestFit="1" customWidth="1"/>
    <col min="12042" max="12042" width="10.109375" style="24" bestFit="1" customWidth="1"/>
    <col min="12043" max="12288" width="9.109375" style="24"/>
    <col min="12289" max="12289" width="14" style="24" customWidth="1"/>
    <col min="12290" max="12290" width="20.33203125" style="24" bestFit="1" customWidth="1"/>
    <col min="12291" max="12291" width="18.88671875" style="24" bestFit="1" customWidth="1"/>
    <col min="12292" max="12292" width="20.33203125" style="24" bestFit="1" customWidth="1"/>
    <col min="12293" max="12293" width="18.88671875" style="24" customWidth="1"/>
    <col min="12294" max="12294" width="14.6640625" style="24" customWidth="1"/>
    <col min="12295" max="12295" width="11.33203125" style="24" customWidth="1"/>
    <col min="12296" max="12296" width="13.88671875" style="24" customWidth="1"/>
    <col min="12297" max="12297" width="19.109375" style="24" bestFit="1" customWidth="1"/>
    <col min="12298" max="12298" width="10.109375" style="24" bestFit="1" customWidth="1"/>
    <col min="12299" max="12544" width="9.109375" style="24"/>
    <col min="12545" max="12545" width="14" style="24" customWidth="1"/>
    <col min="12546" max="12546" width="20.33203125" style="24" bestFit="1" customWidth="1"/>
    <col min="12547" max="12547" width="18.88671875" style="24" bestFit="1" customWidth="1"/>
    <col min="12548" max="12548" width="20.33203125" style="24" bestFit="1" customWidth="1"/>
    <col min="12549" max="12549" width="18.88671875" style="24" customWidth="1"/>
    <col min="12550" max="12550" width="14.6640625" style="24" customWidth="1"/>
    <col min="12551" max="12551" width="11.33203125" style="24" customWidth="1"/>
    <col min="12552" max="12552" width="13.88671875" style="24" customWidth="1"/>
    <col min="12553" max="12553" width="19.109375" style="24" bestFit="1" customWidth="1"/>
    <col min="12554" max="12554" width="10.109375" style="24" bestFit="1" customWidth="1"/>
    <col min="12555" max="12800" width="9.109375" style="24"/>
    <col min="12801" max="12801" width="14" style="24" customWidth="1"/>
    <col min="12802" max="12802" width="20.33203125" style="24" bestFit="1" customWidth="1"/>
    <col min="12803" max="12803" width="18.88671875" style="24" bestFit="1" customWidth="1"/>
    <col min="12804" max="12804" width="20.33203125" style="24" bestFit="1" customWidth="1"/>
    <col min="12805" max="12805" width="18.88671875" style="24" customWidth="1"/>
    <col min="12806" max="12806" width="14.6640625" style="24" customWidth="1"/>
    <col min="12807" max="12807" width="11.33203125" style="24" customWidth="1"/>
    <col min="12808" max="12808" width="13.88671875" style="24" customWidth="1"/>
    <col min="12809" max="12809" width="19.109375" style="24" bestFit="1" customWidth="1"/>
    <col min="12810" max="12810" width="10.109375" style="24" bestFit="1" customWidth="1"/>
    <col min="12811" max="13056" width="9.109375" style="24"/>
    <col min="13057" max="13057" width="14" style="24" customWidth="1"/>
    <col min="13058" max="13058" width="20.33203125" style="24" bestFit="1" customWidth="1"/>
    <col min="13059" max="13059" width="18.88671875" style="24" bestFit="1" customWidth="1"/>
    <col min="13060" max="13060" width="20.33203125" style="24" bestFit="1" customWidth="1"/>
    <col min="13061" max="13061" width="18.88671875" style="24" customWidth="1"/>
    <col min="13062" max="13062" width="14.6640625" style="24" customWidth="1"/>
    <col min="13063" max="13063" width="11.33203125" style="24" customWidth="1"/>
    <col min="13064" max="13064" width="13.88671875" style="24" customWidth="1"/>
    <col min="13065" max="13065" width="19.109375" style="24" bestFit="1" customWidth="1"/>
    <col min="13066" max="13066" width="10.109375" style="24" bestFit="1" customWidth="1"/>
    <col min="13067" max="13312" width="9.109375" style="24"/>
    <col min="13313" max="13313" width="14" style="24" customWidth="1"/>
    <col min="13314" max="13314" width="20.33203125" style="24" bestFit="1" customWidth="1"/>
    <col min="13315" max="13315" width="18.88671875" style="24" bestFit="1" customWidth="1"/>
    <col min="13316" max="13316" width="20.33203125" style="24" bestFit="1" customWidth="1"/>
    <col min="13317" max="13317" width="18.88671875" style="24" customWidth="1"/>
    <col min="13318" max="13318" width="14.6640625" style="24" customWidth="1"/>
    <col min="13319" max="13319" width="11.33203125" style="24" customWidth="1"/>
    <col min="13320" max="13320" width="13.88671875" style="24" customWidth="1"/>
    <col min="13321" max="13321" width="19.109375" style="24" bestFit="1" customWidth="1"/>
    <col min="13322" max="13322" width="10.109375" style="24" bestFit="1" customWidth="1"/>
    <col min="13323" max="13568" width="9.109375" style="24"/>
    <col min="13569" max="13569" width="14" style="24" customWidth="1"/>
    <col min="13570" max="13570" width="20.33203125" style="24" bestFit="1" customWidth="1"/>
    <col min="13571" max="13571" width="18.88671875" style="24" bestFit="1" customWidth="1"/>
    <col min="13572" max="13572" width="20.33203125" style="24" bestFit="1" customWidth="1"/>
    <col min="13573" max="13573" width="18.88671875" style="24" customWidth="1"/>
    <col min="13574" max="13574" width="14.6640625" style="24" customWidth="1"/>
    <col min="13575" max="13575" width="11.33203125" style="24" customWidth="1"/>
    <col min="13576" max="13576" width="13.88671875" style="24" customWidth="1"/>
    <col min="13577" max="13577" width="19.109375" style="24" bestFit="1" customWidth="1"/>
    <col min="13578" max="13578" width="10.109375" style="24" bestFit="1" customWidth="1"/>
    <col min="13579" max="13824" width="9.109375" style="24"/>
    <col min="13825" max="13825" width="14" style="24" customWidth="1"/>
    <col min="13826" max="13826" width="20.33203125" style="24" bestFit="1" customWidth="1"/>
    <col min="13827" max="13827" width="18.88671875" style="24" bestFit="1" customWidth="1"/>
    <col min="13828" max="13828" width="20.33203125" style="24" bestFit="1" customWidth="1"/>
    <col min="13829" max="13829" width="18.88671875" style="24" customWidth="1"/>
    <col min="13830" max="13830" width="14.6640625" style="24" customWidth="1"/>
    <col min="13831" max="13831" width="11.33203125" style="24" customWidth="1"/>
    <col min="13832" max="13832" width="13.88671875" style="24" customWidth="1"/>
    <col min="13833" max="13833" width="19.109375" style="24" bestFit="1" customWidth="1"/>
    <col min="13834" max="13834" width="10.109375" style="24" bestFit="1" customWidth="1"/>
    <col min="13835" max="14080" width="9.109375" style="24"/>
    <col min="14081" max="14081" width="14" style="24" customWidth="1"/>
    <col min="14082" max="14082" width="20.33203125" style="24" bestFit="1" customWidth="1"/>
    <col min="14083" max="14083" width="18.88671875" style="24" bestFit="1" customWidth="1"/>
    <col min="14084" max="14084" width="20.33203125" style="24" bestFit="1" customWidth="1"/>
    <col min="14085" max="14085" width="18.88671875" style="24" customWidth="1"/>
    <col min="14086" max="14086" width="14.6640625" style="24" customWidth="1"/>
    <col min="14087" max="14087" width="11.33203125" style="24" customWidth="1"/>
    <col min="14088" max="14088" width="13.88671875" style="24" customWidth="1"/>
    <col min="14089" max="14089" width="19.109375" style="24" bestFit="1" customWidth="1"/>
    <col min="14090" max="14090" width="10.109375" style="24" bestFit="1" customWidth="1"/>
    <col min="14091" max="14336" width="9.109375" style="24"/>
    <col min="14337" max="14337" width="14" style="24" customWidth="1"/>
    <col min="14338" max="14338" width="20.33203125" style="24" bestFit="1" customWidth="1"/>
    <col min="14339" max="14339" width="18.88671875" style="24" bestFit="1" customWidth="1"/>
    <col min="14340" max="14340" width="20.33203125" style="24" bestFit="1" customWidth="1"/>
    <col min="14341" max="14341" width="18.88671875" style="24" customWidth="1"/>
    <col min="14342" max="14342" width="14.6640625" style="24" customWidth="1"/>
    <col min="14343" max="14343" width="11.33203125" style="24" customWidth="1"/>
    <col min="14344" max="14344" width="13.88671875" style="24" customWidth="1"/>
    <col min="14345" max="14345" width="19.109375" style="24" bestFit="1" customWidth="1"/>
    <col min="14346" max="14346" width="10.109375" style="24" bestFit="1" customWidth="1"/>
    <col min="14347" max="14592" width="9.109375" style="24"/>
    <col min="14593" max="14593" width="14" style="24" customWidth="1"/>
    <col min="14594" max="14594" width="20.33203125" style="24" bestFit="1" customWidth="1"/>
    <col min="14595" max="14595" width="18.88671875" style="24" bestFit="1" customWidth="1"/>
    <col min="14596" max="14596" width="20.33203125" style="24" bestFit="1" customWidth="1"/>
    <col min="14597" max="14597" width="18.88671875" style="24" customWidth="1"/>
    <col min="14598" max="14598" width="14.6640625" style="24" customWidth="1"/>
    <col min="14599" max="14599" width="11.33203125" style="24" customWidth="1"/>
    <col min="14600" max="14600" width="13.88671875" style="24" customWidth="1"/>
    <col min="14601" max="14601" width="19.109375" style="24" bestFit="1" customWidth="1"/>
    <col min="14602" max="14602" width="10.109375" style="24" bestFit="1" customWidth="1"/>
    <col min="14603" max="14848" width="9.109375" style="24"/>
    <col min="14849" max="14849" width="14" style="24" customWidth="1"/>
    <col min="14850" max="14850" width="20.33203125" style="24" bestFit="1" customWidth="1"/>
    <col min="14851" max="14851" width="18.88671875" style="24" bestFit="1" customWidth="1"/>
    <col min="14852" max="14852" width="20.33203125" style="24" bestFit="1" customWidth="1"/>
    <col min="14853" max="14853" width="18.88671875" style="24" customWidth="1"/>
    <col min="14854" max="14854" width="14.6640625" style="24" customWidth="1"/>
    <col min="14855" max="14855" width="11.33203125" style="24" customWidth="1"/>
    <col min="14856" max="14856" width="13.88671875" style="24" customWidth="1"/>
    <col min="14857" max="14857" width="19.109375" style="24" bestFit="1" customWidth="1"/>
    <col min="14858" max="14858" width="10.109375" style="24" bestFit="1" customWidth="1"/>
    <col min="14859" max="15104" width="9.109375" style="24"/>
    <col min="15105" max="15105" width="14" style="24" customWidth="1"/>
    <col min="15106" max="15106" width="20.33203125" style="24" bestFit="1" customWidth="1"/>
    <col min="15107" max="15107" width="18.88671875" style="24" bestFit="1" customWidth="1"/>
    <col min="15108" max="15108" width="20.33203125" style="24" bestFit="1" customWidth="1"/>
    <col min="15109" max="15109" width="18.88671875" style="24" customWidth="1"/>
    <col min="15110" max="15110" width="14.6640625" style="24" customWidth="1"/>
    <col min="15111" max="15111" width="11.33203125" style="24" customWidth="1"/>
    <col min="15112" max="15112" width="13.88671875" style="24" customWidth="1"/>
    <col min="15113" max="15113" width="19.109375" style="24" bestFit="1" customWidth="1"/>
    <col min="15114" max="15114" width="10.109375" style="24" bestFit="1" customWidth="1"/>
    <col min="15115" max="15360" width="9.109375" style="24"/>
    <col min="15361" max="15361" width="14" style="24" customWidth="1"/>
    <col min="15362" max="15362" width="20.33203125" style="24" bestFit="1" customWidth="1"/>
    <col min="15363" max="15363" width="18.88671875" style="24" bestFit="1" customWidth="1"/>
    <col min="15364" max="15364" width="20.33203125" style="24" bestFit="1" customWidth="1"/>
    <col min="15365" max="15365" width="18.88671875" style="24" customWidth="1"/>
    <col min="15366" max="15366" width="14.6640625" style="24" customWidth="1"/>
    <col min="15367" max="15367" width="11.33203125" style="24" customWidth="1"/>
    <col min="15368" max="15368" width="13.88671875" style="24" customWidth="1"/>
    <col min="15369" max="15369" width="19.109375" style="24" bestFit="1" customWidth="1"/>
    <col min="15370" max="15370" width="10.109375" style="24" bestFit="1" customWidth="1"/>
    <col min="15371" max="15616" width="9.109375" style="24"/>
    <col min="15617" max="15617" width="14" style="24" customWidth="1"/>
    <col min="15618" max="15618" width="20.33203125" style="24" bestFit="1" customWidth="1"/>
    <col min="15619" max="15619" width="18.88671875" style="24" bestFit="1" customWidth="1"/>
    <col min="15620" max="15620" width="20.33203125" style="24" bestFit="1" customWidth="1"/>
    <col min="15621" max="15621" width="18.88671875" style="24" customWidth="1"/>
    <col min="15622" max="15622" width="14.6640625" style="24" customWidth="1"/>
    <col min="15623" max="15623" width="11.33203125" style="24" customWidth="1"/>
    <col min="15624" max="15624" width="13.88671875" style="24" customWidth="1"/>
    <col min="15625" max="15625" width="19.109375" style="24" bestFit="1" customWidth="1"/>
    <col min="15626" max="15626" width="10.109375" style="24" bestFit="1" customWidth="1"/>
    <col min="15627" max="15872" width="9.109375" style="24"/>
    <col min="15873" max="15873" width="14" style="24" customWidth="1"/>
    <col min="15874" max="15874" width="20.33203125" style="24" bestFit="1" customWidth="1"/>
    <col min="15875" max="15875" width="18.88671875" style="24" bestFit="1" customWidth="1"/>
    <col min="15876" max="15876" width="20.33203125" style="24" bestFit="1" customWidth="1"/>
    <col min="15877" max="15877" width="18.88671875" style="24" customWidth="1"/>
    <col min="15878" max="15878" width="14.6640625" style="24" customWidth="1"/>
    <col min="15879" max="15879" width="11.33203125" style="24" customWidth="1"/>
    <col min="15880" max="15880" width="13.88671875" style="24" customWidth="1"/>
    <col min="15881" max="15881" width="19.109375" style="24" bestFit="1" customWidth="1"/>
    <col min="15882" max="15882" width="10.109375" style="24" bestFit="1" customWidth="1"/>
    <col min="15883" max="16128" width="9.109375" style="24"/>
    <col min="16129" max="16129" width="14" style="24" customWidth="1"/>
    <col min="16130" max="16130" width="20.33203125" style="24" bestFit="1" customWidth="1"/>
    <col min="16131" max="16131" width="18.88671875" style="24" bestFit="1" customWidth="1"/>
    <col min="16132" max="16132" width="20.33203125" style="24" bestFit="1" customWidth="1"/>
    <col min="16133" max="16133" width="18.88671875" style="24" customWidth="1"/>
    <col min="16134" max="16134" width="14.6640625" style="24" customWidth="1"/>
    <col min="16135" max="16135" width="11.33203125" style="24" customWidth="1"/>
    <col min="16136" max="16136" width="13.88671875" style="24" customWidth="1"/>
    <col min="16137" max="16137" width="19.109375" style="24" bestFit="1" customWidth="1"/>
    <col min="16138" max="16138" width="10.109375" style="24" bestFit="1" customWidth="1"/>
    <col min="16139" max="16384" width="9.109375" style="24"/>
  </cols>
  <sheetData>
    <row r="1" spans="1:10" ht="17.399999999999999" x14ac:dyDescent="0.3">
      <c r="A1" s="31" t="s">
        <v>12</v>
      </c>
    </row>
    <row r="2" spans="1:10" ht="17.399999999999999" x14ac:dyDescent="0.3">
      <c r="A2" s="55"/>
      <c r="B2" s="34" t="s">
        <v>13</v>
      </c>
      <c r="C2" s="34" t="s">
        <v>14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15" t="s">
        <v>19</v>
      </c>
    </row>
    <row r="3" spans="1:10" x14ac:dyDescent="0.25">
      <c r="A3" s="56"/>
      <c r="B3" s="34" t="s">
        <v>20</v>
      </c>
      <c r="C3" s="34" t="s">
        <v>20</v>
      </c>
      <c r="D3" s="34" t="s">
        <v>21</v>
      </c>
      <c r="E3" s="34" t="s">
        <v>21</v>
      </c>
      <c r="F3" s="57" t="s">
        <v>20</v>
      </c>
      <c r="G3" s="34" t="s">
        <v>22</v>
      </c>
      <c r="H3" s="50"/>
      <c r="I3" s="34" t="s">
        <v>23</v>
      </c>
      <c r="J3" s="15" t="s">
        <v>24</v>
      </c>
    </row>
    <row r="4" spans="1:10" x14ac:dyDescent="0.25">
      <c r="A4" s="5">
        <v>44743</v>
      </c>
      <c r="B4" s="59">
        <v>2543</v>
      </c>
      <c r="C4" s="60">
        <f>IF(B5-B4 &lt; 0,0,B5-B4)</f>
        <v>2442</v>
      </c>
      <c r="D4" s="59">
        <v>1944</v>
      </c>
      <c r="E4" s="60">
        <f t="shared" ref="E4:E33" si="0">IF(D5-D4 &lt; 0,0,D5-D4)</f>
        <v>1135</v>
      </c>
      <c r="F4" s="59">
        <v>213</v>
      </c>
      <c r="G4" s="61">
        <v>67</v>
      </c>
      <c r="H4" s="61"/>
      <c r="I4" s="60">
        <f>+E4+C4</f>
        <v>3577</v>
      </c>
      <c r="J4" s="16">
        <f>(C4*0.288)+(E4*0.177)</f>
        <v>904.19099999999992</v>
      </c>
    </row>
    <row r="5" spans="1:10" x14ac:dyDescent="0.25">
      <c r="A5" s="5">
        <v>44744</v>
      </c>
      <c r="B5" s="59">
        <v>4985</v>
      </c>
      <c r="C5" s="60">
        <f t="shared" ref="C5:C33" si="1">IF(B6-B5 &lt; 0,0,B6-B5)</f>
        <v>2419</v>
      </c>
      <c r="D5" s="59">
        <v>3079</v>
      </c>
      <c r="E5" s="60">
        <f t="shared" si="0"/>
        <v>1117</v>
      </c>
      <c r="F5" s="59">
        <v>213</v>
      </c>
      <c r="G5" s="61">
        <v>64</v>
      </c>
      <c r="H5" s="61"/>
      <c r="I5" s="60">
        <f t="shared" ref="I5:I35" si="2">+E5+C5</f>
        <v>3536</v>
      </c>
      <c r="J5" s="16">
        <f t="shared" ref="J5:J35" si="3">(C5*0.288)+(E5*0.177)</f>
        <v>894.38099999999986</v>
      </c>
    </row>
    <row r="6" spans="1:10" x14ac:dyDescent="0.25">
      <c r="A6" s="5">
        <v>44745</v>
      </c>
      <c r="B6" s="59">
        <v>7404</v>
      </c>
      <c r="C6" s="60">
        <f t="shared" si="1"/>
        <v>2211</v>
      </c>
      <c r="D6" s="59">
        <v>4196</v>
      </c>
      <c r="E6" s="60">
        <f t="shared" si="0"/>
        <v>937</v>
      </c>
      <c r="F6" s="59">
        <v>213</v>
      </c>
      <c r="G6" s="61">
        <v>59</v>
      </c>
      <c r="H6" s="61"/>
      <c r="I6" s="60">
        <f t="shared" si="2"/>
        <v>3148</v>
      </c>
      <c r="J6" s="16">
        <f t="shared" si="3"/>
        <v>802.61699999999996</v>
      </c>
    </row>
    <row r="7" spans="1:10" x14ac:dyDescent="0.25">
      <c r="A7" s="5">
        <v>44746</v>
      </c>
      <c r="B7" s="59">
        <v>9615</v>
      </c>
      <c r="C7" s="60">
        <f t="shared" si="1"/>
        <v>2222</v>
      </c>
      <c r="D7" s="59">
        <v>5133</v>
      </c>
      <c r="E7" s="60">
        <f t="shared" si="0"/>
        <v>1038</v>
      </c>
      <c r="F7" s="59">
        <v>213</v>
      </c>
      <c r="G7" s="61">
        <v>80</v>
      </c>
      <c r="H7" s="61"/>
      <c r="I7" s="60">
        <f t="shared" si="2"/>
        <v>3260</v>
      </c>
      <c r="J7" s="16">
        <f t="shared" si="3"/>
        <v>823.66199999999992</v>
      </c>
    </row>
    <row r="8" spans="1:10" x14ac:dyDescent="0.25">
      <c r="A8" s="5">
        <v>44747</v>
      </c>
      <c r="B8" s="59">
        <v>11837</v>
      </c>
      <c r="C8" s="60">
        <f t="shared" si="1"/>
        <v>2377</v>
      </c>
      <c r="D8" s="59">
        <v>6171</v>
      </c>
      <c r="E8" s="60">
        <f t="shared" si="0"/>
        <v>1204</v>
      </c>
      <c r="F8" s="59">
        <v>213</v>
      </c>
      <c r="G8" s="61">
        <v>80</v>
      </c>
      <c r="H8" s="61"/>
      <c r="I8" s="60">
        <f t="shared" si="2"/>
        <v>3581</v>
      </c>
      <c r="J8" s="16">
        <f t="shared" si="3"/>
        <v>897.68399999999986</v>
      </c>
    </row>
    <row r="9" spans="1:10" x14ac:dyDescent="0.25">
      <c r="A9" s="5">
        <v>44748</v>
      </c>
      <c r="B9" s="59">
        <v>14214</v>
      </c>
      <c r="C9" s="60">
        <f t="shared" si="1"/>
        <v>2494</v>
      </c>
      <c r="D9" s="59">
        <v>7375</v>
      </c>
      <c r="E9" s="60">
        <f t="shared" si="0"/>
        <v>1170</v>
      </c>
      <c r="F9" s="59">
        <v>213</v>
      </c>
      <c r="G9" s="61">
        <v>50</v>
      </c>
      <c r="H9" s="61"/>
      <c r="I9" s="60">
        <f t="shared" si="2"/>
        <v>3664</v>
      </c>
      <c r="J9" s="16">
        <f t="shared" si="3"/>
        <v>925.36199999999985</v>
      </c>
    </row>
    <row r="10" spans="1:10" x14ac:dyDescent="0.25">
      <c r="A10" s="5">
        <v>44749</v>
      </c>
      <c r="B10" s="59">
        <v>16708</v>
      </c>
      <c r="C10" s="60">
        <f t="shared" si="1"/>
        <v>1479</v>
      </c>
      <c r="D10" s="59">
        <v>8545</v>
      </c>
      <c r="E10" s="60">
        <f t="shared" si="0"/>
        <v>1091</v>
      </c>
      <c r="F10" s="59">
        <v>213</v>
      </c>
      <c r="G10" s="61">
        <v>53</v>
      </c>
      <c r="H10" s="61"/>
      <c r="I10" s="60">
        <f t="shared" si="2"/>
        <v>2570</v>
      </c>
      <c r="J10" s="16">
        <f t="shared" si="3"/>
        <v>619.05899999999997</v>
      </c>
    </row>
    <row r="11" spans="1:10" x14ac:dyDescent="0.25">
      <c r="A11" s="5">
        <v>44750</v>
      </c>
      <c r="B11" s="59">
        <v>18187</v>
      </c>
      <c r="C11" s="60">
        <f t="shared" si="1"/>
        <v>3519</v>
      </c>
      <c r="D11" s="59">
        <v>9636</v>
      </c>
      <c r="E11" s="60">
        <f t="shared" si="0"/>
        <v>1089</v>
      </c>
      <c r="F11" s="59">
        <v>213</v>
      </c>
      <c r="G11" s="61">
        <v>70</v>
      </c>
      <c r="H11" s="61"/>
      <c r="I11" s="60">
        <f t="shared" si="2"/>
        <v>4608</v>
      </c>
      <c r="J11" s="16">
        <f t="shared" si="3"/>
        <v>1206.2249999999999</v>
      </c>
    </row>
    <row r="12" spans="1:10" x14ac:dyDescent="0.25">
      <c r="A12" s="5">
        <v>44751</v>
      </c>
      <c r="B12" s="59">
        <v>21706</v>
      </c>
      <c r="C12" s="60">
        <f t="shared" si="1"/>
        <v>2467</v>
      </c>
      <c r="D12" s="59">
        <v>10725</v>
      </c>
      <c r="E12" s="60">
        <f t="shared" si="0"/>
        <v>1255</v>
      </c>
      <c r="F12" s="59">
        <v>213</v>
      </c>
      <c r="G12" s="61">
        <v>71</v>
      </c>
      <c r="H12" s="61"/>
      <c r="I12" s="60">
        <f t="shared" si="2"/>
        <v>3722</v>
      </c>
      <c r="J12" s="16">
        <f t="shared" si="3"/>
        <v>932.63099999999997</v>
      </c>
    </row>
    <row r="13" spans="1:10" x14ac:dyDescent="0.25">
      <c r="A13" s="5">
        <v>44752</v>
      </c>
      <c r="B13" s="59">
        <v>24173</v>
      </c>
      <c r="C13" s="60">
        <f t="shared" si="1"/>
        <v>2387</v>
      </c>
      <c r="D13" s="59">
        <v>11980</v>
      </c>
      <c r="E13" s="60">
        <f t="shared" si="0"/>
        <v>1127</v>
      </c>
      <c r="F13" s="59">
        <v>213</v>
      </c>
      <c r="G13" s="61">
        <v>71</v>
      </c>
      <c r="H13" s="61"/>
      <c r="I13" s="60">
        <f t="shared" si="2"/>
        <v>3514</v>
      </c>
      <c r="J13" s="16">
        <f t="shared" si="3"/>
        <v>886.93499999999995</v>
      </c>
    </row>
    <row r="14" spans="1:10" x14ac:dyDescent="0.25">
      <c r="A14" s="5">
        <v>44753</v>
      </c>
      <c r="B14" s="59">
        <v>26560</v>
      </c>
      <c r="C14" s="60">
        <f t="shared" si="1"/>
        <v>2325</v>
      </c>
      <c r="D14" s="59">
        <v>13107</v>
      </c>
      <c r="E14" s="60">
        <f t="shared" si="0"/>
        <v>973</v>
      </c>
      <c r="F14" s="59">
        <v>213</v>
      </c>
      <c r="G14" s="61">
        <v>60</v>
      </c>
      <c r="H14" s="61"/>
      <c r="I14" s="60">
        <f t="shared" si="2"/>
        <v>3298</v>
      </c>
      <c r="J14" s="16">
        <f t="shared" si="3"/>
        <v>841.82099999999991</v>
      </c>
    </row>
    <row r="15" spans="1:10" x14ac:dyDescent="0.25">
      <c r="A15" s="5">
        <v>44754</v>
      </c>
      <c r="B15" s="59">
        <v>28885</v>
      </c>
      <c r="C15" s="60">
        <f t="shared" si="1"/>
        <v>2368</v>
      </c>
      <c r="D15" s="59">
        <v>14080</v>
      </c>
      <c r="E15" s="60">
        <f t="shared" si="0"/>
        <v>1176</v>
      </c>
      <c r="F15" s="59">
        <v>213</v>
      </c>
      <c r="G15" s="61">
        <v>51</v>
      </c>
      <c r="H15" s="61"/>
      <c r="I15" s="60">
        <f t="shared" si="2"/>
        <v>3544</v>
      </c>
      <c r="J15" s="16">
        <f t="shared" si="3"/>
        <v>890.13599999999997</v>
      </c>
    </row>
    <row r="16" spans="1:10" x14ac:dyDescent="0.25">
      <c r="A16" s="5">
        <v>44755</v>
      </c>
      <c r="B16" s="59">
        <v>31253</v>
      </c>
      <c r="C16" s="60">
        <f t="shared" si="1"/>
        <v>2338</v>
      </c>
      <c r="D16" s="59">
        <v>15256</v>
      </c>
      <c r="E16" s="60">
        <f t="shared" si="0"/>
        <v>1121</v>
      </c>
      <c r="F16" s="59">
        <v>214</v>
      </c>
      <c r="G16" s="61">
        <v>51</v>
      </c>
      <c r="H16" s="61"/>
      <c r="I16" s="60">
        <f t="shared" si="2"/>
        <v>3459</v>
      </c>
      <c r="J16" s="16">
        <f t="shared" si="3"/>
        <v>871.76099999999997</v>
      </c>
    </row>
    <row r="17" spans="1:10" x14ac:dyDescent="0.25">
      <c r="A17" s="5">
        <v>44756</v>
      </c>
      <c r="B17" s="59">
        <v>33591</v>
      </c>
      <c r="C17" s="60">
        <f t="shared" si="1"/>
        <v>2566</v>
      </c>
      <c r="D17" s="59">
        <v>16377</v>
      </c>
      <c r="E17" s="60">
        <f t="shared" si="0"/>
        <v>1212</v>
      </c>
      <c r="F17" s="59">
        <v>214</v>
      </c>
      <c r="G17" s="61">
        <v>54</v>
      </c>
      <c r="H17" s="61"/>
      <c r="I17" s="60">
        <f t="shared" si="2"/>
        <v>3778</v>
      </c>
      <c r="J17" s="16">
        <f t="shared" si="3"/>
        <v>953.53199999999993</v>
      </c>
    </row>
    <row r="18" spans="1:10" x14ac:dyDescent="0.25">
      <c r="A18" s="5">
        <v>44757</v>
      </c>
      <c r="B18" s="59">
        <v>36157</v>
      </c>
      <c r="C18" s="60">
        <f t="shared" si="1"/>
        <v>2584</v>
      </c>
      <c r="D18" s="59">
        <v>17589</v>
      </c>
      <c r="E18" s="60">
        <f t="shared" si="0"/>
        <v>1173</v>
      </c>
      <c r="F18" s="59">
        <v>218</v>
      </c>
      <c r="G18" s="61">
        <v>66</v>
      </c>
      <c r="H18" s="61"/>
      <c r="I18" s="60">
        <f t="shared" si="2"/>
        <v>3757</v>
      </c>
      <c r="J18" s="16">
        <f t="shared" si="3"/>
        <v>951.81299999999987</v>
      </c>
    </row>
    <row r="19" spans="1:10" x14ac:dyDescent="0.25">
      <c r="A19" s="5">
        <v>44758</v>
      </c>
      <c r="B19" s="59">
        <v>38741</v>
      </c>
      <c r="C19" s="60">
        <f t="shared" si="1"/>
        <v>2409</v>
      </c>
      <c r="D19" s="59">
        <v>18762</v>
      </c>
      <c r="E19" s="60">
        <f t="shared" si="0"/>
        <v>1172</v>
      </c>
      <c r="F19" s="59">
        <v>226</v>
      </c>
      <c r="G19" s="61">
        <v>63</v>
      </c>
      <c r="H19" s="61"/>
      <c r="I19" s="60">
        <f t="shared" si="2"/>
        <v>3581</v>
      </c>
      <c r="J19" s="16">
        <f t="shared" si="3"/>
        <v>901.23599999999988</v>
      </c>
    </row>
    <row r="20" spans="1:10" x14ac:dyDescent="0.25">
      <c r="A20" s="5">
        <v>44759</v>
      </c>
      <c r="B20" s="59">
        <v>41150</v>
      </c>
      <c r="C20" s="60">
        <f t="shared" si="1"/>
        <v>2467</v>
      </c>
      <c r="D20" s="59">
        <v>19934</v>
      </c>
      <c r="E20" s="60">
        <f t="shared" si="0"/>
        <v>1183</v>
      </c>
      <c r="F20" s="59">
        <v>226</v>
      </c>
      <c r="G20" s="61">
        <v>65</v>
      </c>
      <c r="H20" s="61"/>
      <c r="I20" s="60">
        <f t="shared" si="2"/>
        <v>3650</v>
      </c>
      <c r="J20" s="16">
        <f t="shared" si="3"/>
        <v>919.88699999999994</v>
      </c>
    </row>
    <row r="21" spans="1:10" x14ac:dyDescent="0.25">
      <c r="A21" s="5">
        <v>44760</v>
      </c>
      <c r="B21" s="59">
        <v>43617</v>
      </c>
      <c r="C21" s="60">
        <f t="shared" si="1"/>
        <v>2457</v>
      </c>
      <c r="D21" s="59">
        <v>21117</v>
      </c>
      <c r="E21" s="60">
        <f t="shared" si="0"/>
        <v>1269</v>
      </c>
      <c r="F21" s="59">
        <v>226</v>
      </c>
      <c r="G21" s="61">
        <v>46</v>
      </c>
      <c r="H21" s="61"/>
      <c r="I21" s="60">
        <f t="shared" si="2"/>
        <v>3726</v>
      </c>
      <c r="J21" s="16">
        <f t="shared" si="3"/>
        <v>932.22900000000004</v>
      </c>
    </row>
    <row r="22" spans="1:10" x14ac:dyDescent="0.25">
      <c r="A22" s="5">
        <v>44761</v>
      </c>
      <c r="B22" s="59">
        <v>46074</v>
      </c>
      <c r="C22" s="60">
        <f t="shared" si="1"/>
        <v>3876</v>
      </c>
      <c r="D22" s="59">
        <v>22386</v>
      </c>
      <c r="E22" s="60">
        <f t="shared" si="0"/>
        <v>1500</v>
      </c>
      <c r="F22" s="59">
        <v>226</v>
      </c>
      <c r="G22" s="61">
        <v>44</v>
      </c>
      <c r="H22" s="61"/>
      <c r="I22" s="60">
        <f t="shared" si="2"/>
        <v>5376</v>
      </c>
      <c r="J22" s="16">
        <f t="shared" si="3"/>
        <v>1381.788</v>
      </c>
    </row>
    <row r="23" spans="1:10" x14ac:dyDescent="0.25">
      <c r="A23" s="5">
        <v>44762</v>
      </c>
      <c r="B23" s="59">
        <v>49950</v>
      </c>
      <c r="C23" s="60">
        <f t="shared" si="1"/>
        <v>1082</v>
      </c>
      <c r="D23" s="59">
        <v>23886</v>
      </c>
      <c r="E23" s="60">
        <f t="shared" si="0"/>
        <v>892</v>
      </c>
      <c r="F23" s="59">
        <v>226</v>
      </c>
      <c r="G23" s="61">
        <v>62</v>
      </c>
      <c r="H23" s="61"/>
      <c r="I23" s="60">
        <f t="shared" si="2"/>
        <v>1974</v>
      </c>
      <c r="J23" s="16">
        <f t="shared" si="3"/>
        <v>469.5</v>
      </c>
    </row>
    <row r="24" spans="1:10" x14ac:dyDescent="0.25">
      <c r="A24" s="5">
        <v>44763</v>
      </c>
      <c r="B24" s="59">
        <v>51032</v>
      </c>
      <c r="C24" s="60">
        <f t="shared" si="1"/>
        <v>2646</v>
      </c>
      <c r="D24" s="59">
        <v>24778</v>
      </c>
      <c r="E24" s="60">
        <f t="shared" si="0"/>
        <v>1180</v>
      </c>
      <c r="F24" s="59">
        <v>226</v>
      </c>
      <c r="G24" s="61">
        <v>57</v>
      </c>
      <c r="H24" s="61"/>
      <c r="I24" s="60">
        <f t="shared" si="2"/>
        <v>3826</v>
      </c>
      <c r="J24" s="16">
        <f t="shared" si="3"/>
        <v>970.9079999999999</v>
      </c>
    </row>
    <row r="25" spans="1:10" x14ac:dyDescent="0.25">
      <c r="A25" s="5">
        <v>44764</v>
      </c>
      <c r="B25" s="59">
        <v>53678</v>
      </c>
      <c r="C25" s="60">
        <f t="shared" si="1"/>
        <v>2433</v>
      </c>
      <c r="D25" s="59">
        <v>25958</v>
      </c>
      <c r="E25" s="60">
        <f t="shared" si="0"/>
        <v>1116</v>
      </c>
      <c r="F25" s="59">
        <v>226</v>
      </c>
      <c r="G25" s="61">
        <v>54</v>
      </c>
      <c r="H25" s="61"/>
      <c r="I25" s="60">
        <f t="shared" si="2"/>
        <v>3549</v>
      </c>
      <c r="J25" s="16">
        <f t="shared" si="3"/>
        <v>898.23599999999988</v>
      </c>
    </row>
    <row r="26" spans="1:10" x14ac:dyDescent="0.25">
      <c r="A26" s="5">
        <v>44765</v>
      </c>
      <c r="B26" s="59">
        <v>56111</v>
      </c>
      <c r="C26" s="60">
        <f t="shared" si="1"/>
        <v>2437</v>
      </c>
      <c r="D26" s="59">
        <v>27074</v>
      </c>
      <c r="E26" s="60">
        <f t="shared" si="0"/>
        <v>843</v>
      </c>
      <c r="F26" s="59">
        <v>226</v>
      </c>
      <c r="G26" s="61">
        <v>58</v>
      </c>
      <c r="H26" s="62"/>
      <c r="I26" s="60">
        <f t="shared" si="2"/>
        <v>3280</v>
      </c>
      <c r="J26" s="16">
        <f t="shared" si="3"/>
        <v>851.06700000000001</v>
      </c>
    </row>
    <row r="27" spans="1:10" x14ac:dyDescent="0.25">
      <c r="A27" s="5">
        <v>44766</v>
      </c>
      <c r="B27" s="59">
        <v>58548</v>
      </c>
      <c r="C27" s="60">
        <f t="shared" si="1"/>
        <v>2468</v>
      </c>
      <c r="D27" s="59">
        <v>27917</v>
      </c>
      <c r="E27" s="60">
        <f t="shared" si="0"/>
        <v>930</v>
      </c>
      <c r="F27" s="59">
        <v>226</v>
      </c>
      <c r="G27" s="61">
        <v>55</v>
      </c>
      <c r="H27" s="61"/>
      <c r="I27" s="60">
        <f t="shared" si="2"/>
        <v>3398</v>
      </c>
      <c r="J27" s="16">
        <f t="shared" si="3"/>
        <v>875.39400000000001</v>
      </c>
    </row>
    <row r="28" spans="1:10" x14ac:dyDescent="0.25">
      <c r="A28" s="5">
        <v>44767</v>
      </c>
      <c r="B28" s="59">
        <v>61016</v>
      </c>
      <c r="C28" s="60">
        <f t="shared" si="1"/>
        <v>2447</v>
      </c>
      <c r="D28" s="59">
        <v>28847</v>
      </c>
      <c r="E28" s="60">
        <f t="shared" si="0"/>
        <v>904</v>
      </c>
      <c r="F28" s="59">
        <v>226</v>
      </c>
      <c r="G28" s="61">
        <v>51</v>
      </c>
      <c r="H28" s="61"/>
      <c r="I28" s="60">
        <f t="shared" si="2"/>
        <v>3351</v>
      </c>
      <c r="J28" s="16">
        <f t="shared" si="3"/>
        <v>864.74399999999991</v>
      </c>
    </row>
    <row r="29" spans="1:10" x14ac:dyDescent="0.25">
      <c r="A29" s="5">
        <v>44768</v>
      </c>
      <c r="B29" s="59">
        <v>63463</v>
      </c>
      <c r="C29" s="60">
        <f t="shared" si="1"/>
        <v>2470</v>
      </c>
      <c r="D29" s="59">
        <v>29751</v>
      </c>
      <c r="E29" s="60">
        <f t="shared" si="0"/>
        <v>1002</v>
      </c>
      <c r="F29" s="59">
        <v>226</v>
      </c>
      <c r="G29" s="61">
        <v>59</v>
      </c>
      <c r="H29" s="61"/>
      <c r="I29" s="60">
        <f t="shared" si="2"/>
        <v>3472</v>
      </c>
      <c r="J29" s="16">
        <f t="shared" si="3"/>
        <v>888.71399999999994</v>
      </c>
    </row>
    <row r="30" spans="1:10" x14ac:dyDescent="0.25">
      <c r="A30" s="5">
        <v>44769</v>
      </c>
      <c r="B30" s="59">
        <v>65933</v>
      </c>
      <c r="C30" s="60">
        <f t="shared" si="1"/>
        <v>2528</v>
      </c>
      <c r="D30" s="59">
        <v>30753</v>
      </c>
      <c r="E30" s="60">
        <f t="shared" si="0"/>
        <v>941</v>
      </c>
      <c r="F30" s="59">
        <v>226</v>
      </c>
      <c r="G30" s="61">
        <v>47</v>
      </c>
      <c r="H30" s="61"/>
      <c r="I30" s="60">
        <f t="shared" si="2"/>
        <v>3469</v>
      </c>
      <c r="J30" s="16">
        <f t="shared" si="3"/>
        <v>894.62099999999998</v>
      </c>
    </row>
    <row r="31" spans="1:10" x14ac:dyDescent="0.25">
      <c r="A31" s="5">
        <v>44770</v>
      </c>
      <c r="B31" s="59">
        <v>68461</v>
      </c>
      <c r="C31" s="60">
        <f t="shared" si="1"/>
        <v>2508</v>
      </c>
      <c r="D31" s="59">
        <v>31694</v>
      </c>
      <c r="E31" s="60">
        <f t="shared" si="0"/>
        <v>914</v>
      </c>
      <c r="F31" s="59">
        <v>226</v>
      </c>
      <c r="G31" s="61">
        <v>38</v>
      </c>
      <c r="H31" s="61"/>
      <c r="I31" s="60">
        <f t="shared" si="2"/>
        <v>3422</v>
      </c>
      <c r="J31" s="16">
        <f t="shared" si="3"/>
        <v>884.08199999999999</v>
      </c>
    </row>
    <row r="32" spans="1:10" x14ac:dyDescent="0.25">
      <c r="A32" s="5">
        <v>44771</v>
      </c>
      <c r="B32" s="59">
        <v>70969</v>
      </c>
      <c r="C32" s="60">
        <f t="shared" si="1"/>
        <v>2386</v>
      </c>
      <c r="D32" s="59">
        <v>32608</v>
      </c>
      <c r="E32" s="60">
        <f t="shared" si="0"/>
        <v>848</v>
      </c>
      <c r="F32" s="59">
        <v>226</v>
      </c>
      <c r="G32" s="61">
        <v>48</v>
      </c>
      <c r="H32" s="61"/>
      <c r="I32" s="60">
        <f t="shared" si="2"/>
        <v>3234</v>
      </c>
      <c r="J32" s="16">
        <f t="shared" si="3"/>
        <v>837.2639999999999</v>
      </c>
    </row>
    <row r="33" spans="1:10" x14ac:dyDescent="0.25">
      <c r="A33" s="5">
        <v>44772</v>
      </c>
      <c r="B33" s="59">
        <v>73355</v>
      </c>
      <c r="C33" s="60">
        <f t="shared" si="1"/>
        <v>0</v>
      </c>
      <c r="D33" s="59">
        <v>33456</v>
      </c>
      <c r="E33" s="60">
        <f t="shared" si="0"/>
        <v>0</v>
      </c>
      <c r="F33" s="59">
        <v>226</v>
      </c>
      <c r="G33" s="61">
        <v>48</v>
      </c>
      <c r="H33" s="61"/>
      <c r="I33" s="60">
        <f t="shared" si="2"/>
        <v>0</v>
      </c>
      <c r="J33" s="16">
        <f t="shared" si="3"/>
        <v>0</v>
      </c>
    </row>
    <row r="34" spans="1:10" x14ac:dyDescent="0.25">
      <c r="A34" s="5">
        <v>44773</v>
      </c>
      <c r="B34" s="59">
        <v>0</v>
      </c>
      <c r="C34" s="60"/>
      <c r="D34" s="59">
        <v>2215</v>
      </c>
      <c r="E34" s="60"/>
      <c r="F34" s="59"/>
      <c r="G34" s="61">
        <v>42</v>
      </c>
      <c r="H34" s="61"/>
      <c r="I34" s="60">
        <f t="shared" si="2"/>
        <v>0</v>
      </c>
      <c r="J34" s="16">
        <f t="shared" si="3"/>
        <v>0</v>
      </c>
    </row>
    <row r="35" spans="1:10" x14ac:dyDescent="0.25">
      <c r="A35" s="58"/>
      <c r="B35" s="63"/>
      <c r="C35" s="60"/>
      <c r="D35" s="59"/>
      <c r="E35" s="60"/>
      <c r="F35" s="59"/>
      <c r="G35" s="61"/>
      <c r="H35" s="61"/>
      <c r="I35" s="60">
        <f t="shared" si="2"/>
        <v>0</v>
      </c>
      <c r="J35" s="16">
        <f t="shared" si="3"/>
        <v>0</v>
      </c>
    </row>
    <row r="36" spans="1:10" ht="13.5" customHeight="1" x14ac:dyDescent="0.25">
      <c r="A36" s="90"/>
      <c r="B36" s="91"/>
      <c r="C36" s="64">
        <f>SUM(C4:C35)</f>
        <v>70812</v>
      </c>
      <c r="D36" s="64"/>
      <c r="E36" s="64">
        <f>SUM(E4:E35)</f>
        <v>31512</v>
      </c>
      <c r="F36" s="64"/>
      <c r="G36" s="50"/>
      <c r="H36" s="50"/>
      <c r="I36" s="60">
        <f>+E36+C36</f>
        <v>102324</v>
      </c>
      <c r="J36" s="16">
        <f>(C36*0.288)+(E36*0.177)</f>
        <v>25971.48</v>
      </c>
    </row>
    <row r="37" spans="1:10" x14ac:dyDescent="0.25">
      <c r="G37" s="32"/>
      <c r="H37" s="24" t="s">
        <v>30</v>
      </c>
    </row>
    <row r="38" spans="1:10" x14ac:dyDescent="0.25">
      <c r="H38" s="24" t="s">
        <v>31</v>
      </c>
    </row>
    <row r="39" spans="1:10" ht="15.6" x14ac:dyDescent="0.3">
      <c r="A39" s="54" t="s">
        <v>29</v>
      </c>
      <c r="H39" s="24" t="s">
        <v>32</v>
      </c>
    </row>
    <row r="40" spans="1:10" x14ac:dyDescent="0.25">
      <c r="H40" s="24" t="s">
        <v>33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topLeftCell="A23" zoomScaleNormal="100" workbookViewId="0">
      <selection activeCell="G4" sqref="G4:G34"/>
    </sheetView>
  </sheetViews>
  <sheetFormatPr defaultRowHeight="13.2" x14ac:dyDescent="0.25"/>
  <cols>
    <col min="1" max="1" width="14" style="52" customWidth="1"/>
    <col min="2" max="2" width="20.33203125" style="32" bestFit="1" customWidth="1"/>
    <col min="3" max="3" width="18.88671875" style="32" bestFit="1" customWidth="1"/>
    <col min="4" max="4" width="20.33203125" style="32" bestFit="1" customWidth="1"/>
    <col min="5" max="5" width="18.88671875" style="32" customWidth="1"/>
    <col min="6" max="6" width="14.6640625" style="32" customWidth="1"/>
    <col min="7" max="7" width="11.33203125" style="24" customWidth="1"/>
    <col min="8" max="8" width="18.6640625" style="24" customWidth="1"/>
    <col min="9" max="9" width="19.109375" style="32" bestFit="1" customWidth="1"/>
    <col min="10" max="10" width="10.109375" style="14" bestFit="1" customWidth="1"/>
    <col min="11" max="256" width="9.109375" style="24"/>
    <col min="257" max="257" width="14" style="24" customWidth="1"/>
    <col min="258" max="258" width="20.33203125" style="24" bestFit="1" customWidth="1"/>
    <col min="259" max="259" width="18.88671875" style="24" bestFit="1" customWidth="1"/>
    <col min="260" max="260" width="20.33203125" style="24" bestFit="1" customWidth="1"/>
    <col min="261" max="261" width="18.88671875" style="24" customWidth="1"/>
    <col min="262" max="262" width="14.6640625" style="24" customWidth="1"/>
    <col min="263" max="263" width="11.33203125" style="24" customWidth="1"/>
    <col min="264" max="264" width="18.6640625" style="24" customWidth="1"/>
    <col min="265" max="265" width="19.109375" style="24" bestFit="1" customWidth="1"/>
    <col min="266" max="266" width="10.109375" style="24" bestFit="1" customWidth="1"/>
    <col min="267" max="512" width="9.109375" style="24"/>
    <col min="513" max="513" width="14" style="24" customWidth="1"/>
    <col min="514" max="514" width="20.33203125" style="24" bestFit="1" customWidth="1"/>
    <col min="515" max="515" width="18.88671875" style="24" bestFit="1" customWidth="1"/>
    <col min="516" max="516" width="20.33203125" style="24" bestFit="1" customWidth="1"/>
    <col min="517" max="517" width="18.88671875" style="24" customWidth="1"/>
    <col min="518" max="518" width="14.6640625" style="24" customWidth="1"/>
    <col min="519" max="519" width="11.33203125" style="24" customWidth="1"/>
    <col min="520" max="520" width="18.6640625" style="24" customWidth="1"/>
    <col min="521" max="521" width="19.109375" style="24" bestFit="1" customWidth="1"/>
    <col min="522" max="522" width="10.109375" style="24" bestFit="1" customWidth="1"/>
    <col min="523" max="768" width="9.109375" style="24"/>
    <col min="769" max="769" width="14" style="24" customWidth="1"/>
    <col min="770" max="770" width="20.33203125" style="24" bestFit="1" customWidth="1"/>
    <col min="771" max="771" width="18.88671875" style="24" bestFit="1" customWidth="1"/>
    <col min="772" max="772" width="20.33203125" style="24" bestFit="1" customWidth="1"/>
    <col min="773" max="773" width="18.88671875" style="24" customWidth="1"/>
    <col min="774" max="774" width="14.6640625" style="24" customWidth="1"/>
    <col min="775" max="775" width="11.33203125" style="24" customWidth="1"/>
    <col min="776" max="776" width="18.6640625" style="24" customWidth="1"/>
    <col min="777" max="777" width="19.109375" style="24" bestFit="1" customWidth="1"/>
    <col min="778" max="778" width="10.109375" style="24" bestFit="1" customWidth="1"/>
    <col min="779" max="1024" width="9.109375" style="24"/>
    <col min="1025" max="1025" width="14" style="24" customWidth="1"/>
    <col min="1026" max="1026" width="20.33203125" style="24" bestFit="1" customWidth="1"/>
    <col min="1027" max="1027" width="18.88671875" style="24" bestFit="1" customWidth="1"/>
    <col min="1028" max="1028" width="20.33203125" style="24" bestFit="1" customWidth="1"/>
    <col min="1029" max="1029" width="18.88671875" style="24" customWidth="1"/>
    <col min="1030" max="1030" width="14.6640625" style="24" customWidth="1"/>
    <col min="1031" max="1031" width="11.33203125" style="24" customWidth="1"/>
    <col min="1032" max="1032" width="18.6640625" style="24" customWidth="1"/>
    <col min="1033" max="1033" width="19.109375" style="24" bestFit="1" customWidth="1"/>
    <col min="1034" max="1034" width="10.109375" style="24" bestFit="1" customWidth="1"/>
    <col min="1035" max="1280" width="9.109375" style="24"/>
    <col min="1281" max="1281" width="14" style="24" customWidth="1"/>
    <col min="1282" max="1282" width="20.33203125" style="24" bestFit="1" customWidth="1"/>
    <col min="1283" max="1283" width="18.88671875" style="24" bestFit="1" customWidth="1"/>
    <col min="1284" max="1284" width="20.33203125" style="24" bestFit="1" customWidth="1"/>
    <col min="1285" max="1285" width="18.88671875" style="24" customWidth="1"/>
    <col min="1286" max="1286" width="14.6640625" style="24" customWidth="1"/>
    <col min="1287" max="1287" width="11.33203125" style="24" customWidth="1"/>
    <col min="1288" max="1288" width="18.6640625" style="24" customWidth="1"/>
    <col min="1289" max="1289" width="19.109375" style="24" bestFit="1" customWidth="1"/>
    <col min="1290" max="1290" width="10.109375" style="24" bestFit="1" customWidth="1"/>
    <col min="1291" max="1536" width="9.109375" style="24"/>
    <col min="1537" max="1537" width="14" style="24" customWidth="1"/>
    <col min="1538" max="1538" width="20.33203125" style="24" bestFit="1" customWidth="1"/>
    <col min="1539" max="1539" width="18.88671875" style="24" bestFit="1" customWidth="1"/>
    <col min="1540" max="1540" width="20.33203125" style="24" bestFit="1" customWidth="1"/>
    <col min="1541" max="1541" width="18.88671875" style="24" customWidth="1"/>
    <col min="1542" max="1542" width="14.6640625" style="24" customWidth="1"/>
    <col min="1543" max="1543" width="11.33203125" style="24" customWidth="1"/>
    <col min="1544" max="1544" width="18.6640625" style="24" customWidth="1"/>
    <col min="1545" max="1545" width="19.109375" style="24" bestFit="1" customWidth="1"/>
    <col min="1546" max="1546" width="10.109375" style="24" bestFit="1" customWidth="1"/>
    <col min="1547" max="1792" width="9.109375" style="24"/>
    <col min="1793" max="1793" width="14" style="24" customWidth="1"/>
    <col min="1794" max="1794" width="20.33203125" style="24" bestFit="1" customWidth="1"/>
    <col min="1795" max="1795" width="18.88671875" style="24" bestFit="1" customWidth="1"/>
    <col min="1796" max="1796" width="20.33203125" style="24" bestFit="1" customWidth="1"/>
    <col min="1797" max="1797" width="18.88671875" style="24" customWidth="1"/>
    <col min="1798" max="1798" width="14.6640625" style="24" customWidth="1"/>
    <col min="1799" max="1799" width="11.33203125" style="24" customWidth="1"/>
    <col min="1800" max="1800" width="18.6640625" style="24" customWidth="1"/>
    <col min="1801" max="1801" width="19.109375" style="24" bestFit="1" customWidth="1"/>
    <col min="1802" max="1802" width="10.109375" style="24" bestFit="1" customWidth="1"/>
    <col min="1803" max="2048" width="9.109375" style="24"/>
    <col min="2049" max="2049" width="14" style="24" customWidth="1"/>
    <col min="2050" max="2050" width="20.33203125" style="24" bestFit="1" customWidth="1"/>
    <col min="2051" max="2051" width="18.88671875" style="24" bestFit="1" customWidth="1"/>
    <col min="2052" max="2052" width="20.33203125" style="24" bestFit="1" customWidth="1"/>
    <col min="2053" max="2053" width="18.88671875" style="24" customWidth="1"/>
    <col min="2054" max="2054" width="14.6640625" style="24" customWidth="1"/>
    <col min="2055" max="2055" width="11.33203125" style="24" customWidth="1"/>
    <col min="2056" max="2056" width="18.6640625" style="24" customWidth="1"/>
    <col min="2057" max="2057" width="19.109375" style="24" bestFit="1" customWidth="1"/>
    <col min="2058" max="2058" width="10.109375" style="24" bestFit="1" customWidth="1"/>
    <col min="2059" max="2304" width="9.109375" style="24"/>
    <col min="2305" max="2305" width="14" style="24" customWidth="1"/>
    <col min="2306" max="2306" width="20.33203125" style="24" bestFit="1" customWidth="1"/>
    <col min="2307" max="2307" width="18.88671875" style="24" bestFit="1" customWidth="1"/>
    <col min="2308" max="2308" width="20.33203125" style="24" bestFit="1" customWidth="1"/>
    <col min="2309" max="2309" width="18.88671875" style="24" customWidth="1"/>
    <col min="2310" max="2310" width="14.6640625" style="24" customWidth="1"/>
    <col min="2311" max="2311" width="11.33203125" style="24" customWidth="1"/>
    <col min="2312" max="2312" width="18.6640625" style="24" customWidth="1"/>
    <col min="2313" max="2313" width="19.109375" style="24" bestFit="1" customWidth="1"/>
    <col min="2314" max="2314" width="10.109375" style="24" bestFit="1" customWidth="1"/>
    <col min="2315" max="2560" width="9.109375" style="24"/>
    <col min="2561" max="2561" width="14" style="24" customWidth="1"/>
    <col min="2562" max="2562" width="20.33203125" style="24" bestFit="1" customWidth="1"/>
    <col min="2563" max="2563" width="18.88671875" style="24" bestFit="1" customWidth="1"/>
    <col min="2564" max="2564" width="20.33203125" style="24" bestFit="1" customWidth="1"/>
    <col min="2565" max="2565" width="18.88671875" style="24" customWidth="1"/>
    <col min="2566" max="2566" width="14.6640625" style="24" customWidth="1"/>
    <col min="2567" max="2567" width="11.33203125" style="24" customWidth="1"/>
    <col min="2568" max="2568" width="18.6640625" style="24" customWidth="1"/>
    <col min="2569" max="2569" width="19.109375" style="24" bestFit="1" customWidth="1"/>
    <col min="2570" max="2570" width="10.109375" style="24" bestFit="1" customWidth="1"/>
    <col min="2571" max="2816" width="9.109375" style="24"/>
    <col min="2817" max="2817" width="14" style="24" customWidth="1"/>
    <col min="2818" max="2818" width="20.33203125" style="24" bestFit="1" customWidth="1"/>
    <col min="2819" max="2819" width="18.88671875" style="24" bestFit="1" customWidth="1"/>
    <col min="2820" max="2820" width="20.33203125" style="24" bestFit="1" customWidth="1"/>
    <col min="2821" max="2821" width="18.88671875" style="24" customWidth="1"/>
    <col min="2822" max="2822" width="14.6640625" style="24" customWidth="1"/>
    <col min="2823" max="2823" width="11.33203125" style="24" customWidth="1"/>
    <col min="2824" max="2824" width="18.6640625" style="24" customWidth="1"/>
    <col min="2825" max="2825" width="19.109375" style="24" bestFit="1" customWidth="1"/>
    <col min="2826" max="2826" width="10.109375" style="24" bestFit="1" customWidth="1"/>
    <col min="2827" max="3072" width="9.109375" style="24"/>
    <col min="3073" max="3073" width="14" style="24" customWidth="1"/>
    <col min="3074" max="3074" width="20.33203125" style="24" bestFit="1" customWidth="1"/>
    <col min="3075" max="3075" width="18.88671875" style="24" bestFit="1" customWidth="1"/>
    <col min="3076" max="3076" width="20.33203125" style="24" bestFit="1" customWidth="1"/>
    <col min="3077" max="3077" width="18.88671875" style="24" customWidth="1"/>
    <col min="3078" max="3078" width="14.6640625" style="24" customWidth="1"/>
    <col min="3079" max="3079" width="11.33203125" style="24" customWidth="1"/>
    <col min="3080" max="3080" width="18.6640625" style="24" customWidth="1"/>
    <col min="3081" max="3081" width="19.109375" style="24" bestFit="1" customWidth="1"/>
    <col min="3082" max="3082" width="10.109375" style="24" bestFit="1" customWidth="1"/>
    <col min="3083" max="3328" width="9.109375" style="24"/>
    <col min="3329" max="3329" width="14" style="24" customWidth="1"/>
    <col min="3330" max="3330" width="20.33203125" style="24" bestFit="1" customWidth="1"/>
    <col min="3331" max="3331" width="18.88671875" style="24" bestFit="1" customWidth="1"/>
    <col min="3332" max="3332" width="20.33203125" style="24" bestFit="1" customWidth="1"/>
    <col min="3333" max="3333" width="18.88671875" style="24" customWidth="1"/>
    <col min="3334" max="3334" width="14.6640625" style="24" customWidth="1"/>
    <col min="3335" max="3335" width="11.33203125" style="24" customWidth="1"/>
    <col min="3336" max="3336" width="18.6640625" style="24" customWidth="1"/>
    <col min="3337" max="3337" width="19.109375" style="24" bestFit="1" customWidth="1"/>
    <col min="3338" max="3338" width="10.109375" style="24" bestFit="1" customWidth="1"/>
    <col min="3339" max="3584" width="9.109375" style="24"/>
    <col min="3585" max="3585" width="14" style="24" customWidth="1"/>
    <col min="3586" max="3586" width="20.33203125" style="24" bestFit="1" customWidth="1"/>
    <col min="3587" max="3587" width="18.88671875" style="24" bestFit="1" customWidth="1"/>
    <col min="3588" max="3588" width="20.33203125" style="24" bestFit="1" customWidth="1"/>
    <col min="3589" max="3589" width="18.88671875" style="24" customWidth="1"/>
    <col min="3590" max="3590" width="14.6640625" style="24" customWidth="1"/>
    <col min="3591" max="3591" width="11.33203125" style="24" customWidth="1"/>
    <col min="3592" max="3592" width="18.6640625" style="24" customWidth="1"/>
    <col min="3593" max="3593" width="19.109375" style="24" bestFit="1" customWidth="1"/>
    <col min="3594" max="3594" width="10.109375" style="24" bestFit="1" customWidth="1"/>
    <col min="3595" max="3840" width="9.109375" style="24"/>
    <col min="3841" max="3841" width="14" style="24" customWidth="1"/>
    <col min="3842" max="3842" width="20.33203125" style="24" bestFit="1" customWidth="1"/>
    <col min="3843" max="3843" width="18.88671875" style="24" bestFit="1" customWidth="1"/>
    <col min="3844" max="3844" width="20.33203125" style="24" bestFit="1" customWidth="1"/>
    <col min="3845" max="3845" width="18.88671875" style="24" customWidth="1"/>
    <col min="3846" max="3846" width="14.6640625" style="24" customWidth="1"/>
    <col min="3847" max="3847" width="11.33203125" style="24" customWidth="1"/>
    <col min="3848" max="3848" width="18.6640625" style="24" customWidth="1"/>
    <col min="3849" max="3849" width="19.109375" style="24" bestFit="1" customWidth="1"/>
    <col min="3850" max="3850" width="10.109375" style="24" bestFit="1" customWidth="1"/>
    <col min="3851" max="4096" width="9.109375" style="24"/>
    <col min="4097" max="4097" width="14" style="24" customWidth="1"/>
    <col min="4098" max="4098" width="20.33203125" style="24" bestFit="1" customWidth="1"/>
    <col min="4099" max="4099" width="18.88671875" style="24" bestFit="1" customWidth="1"/>
    <col min="4100" max="4100" width="20.33203125" style="24" bestFit="1" customWidth="1"/>
    <col min="4101" max="4101" width="18.88671875" style="24" customWidth="1"/>
    <col min="4102" max="4102" width="14.6640625" style="24" customWidth="1"/>
    <col min="4103" max="4103" width="11.33203125" style="24" customWidth="1"/>
    <col min="4104" max="4104" width="18.6640625" style="24" customWidth="1"/>
    <col min="4105" max="4105" width="19.109375" style="24" bestFit="1" customWidth="1"/>
    <col min="4106" max="4106" width="10.109375" style="24" bestFit="1" customWidth="1"/>
    <col min="4107" max="4352" width="9.109375" style="24"/>
    <col min="4353" max="4353" width="14" style="24" customWidth="1"/>
    <col min="4354" max="4354" width="20.33203125" style="24" bestFit="1" customWidth="1"/>
    <col min="4355" max="4355" width="18.88671875" style="24" bestFit="1" customWidth="1"/>
    <col min="4356" max="4356" width="20.33203125" style="24" bestFit="1" customWidth="1"/>
    <col min="4357" max="4357" width="18.88671875" style="24" customWidth="1"/>
    <col min="4358" max="4358" width="14.6640625" style="24" customWidth="1"/>
    <col min="4359" max="4359" width="11.33203125" style="24" customWidth="1"/>
    <col min="4360" max="4360" width="18.6640625" style="24" customWidth="1"/>
    <col min="4361" max="4361" width="19.109375" style="24" bestFit="1" customWidth="1"/>
    <col min="4362" max="4362" width="10.109375" style="24" bestFit="1" customWidth="1"/>
    <col min="4363" max="4608" width="9.109375" style="24"/>
    <col min="4609" max="4609" width="14" style="24" customWidth="1"/>
    <col min="4610" max="4610" width="20.33203125" style="24" bestFit="1" customWidth="1"/>
    <col min="4611" max="4611" width="18.88671875" style="24" bestFit="1" customWidth="1"/>
    <col min="4612" max="4612" width="20.33203125" style="24" bestFit="1" customWidth="1"/>
    <col min="4613" max="4613" width="18.88671875" style="24" customWidth="1"/>
    <col min="4614" max="4614" width="14.6640625" style="24" customWidth="1"/>
    <col min="4615" max="4615" width="11.33203125" style="24" customWidth="1"/>
    <col min="4616" max="4616" width="18.6640625" style="24" customWidth="1"/>
    <col min="4617" max="4617" width="19.109375" style="24" bestFit="1" customWidth="1"/>
    <col min="4618" max="4618" width="10.109375" style="24" bestFit="1" customWidth="1"/>
    <col min="4619" max="4864" width="9.109375" style="24"/>
    <col min="4865" max="4865" width="14" style="24" customWidth="1"/>
    <col min="4866" max="4866" width="20.33203125" style="24" bestFit="1" customWidth="1"/>
    <col min="4867" max="4867" width="18.88671875" style="24" bestFit="1" customWidth="1"/>
    <col min="4868" max="4868" width="20.33203125" style="24" bestFit="1" customWidth="1"/>
    <col min="4869" max="4869" width="18.88671875" style="24" customWidth="1"/>
    <col min="4870" max="4870" width="14.6640625" style="24" customWidth="1"/>
    <col min="4871" max="4871" width="11.33203125" style="24" customWidth="1"/>
    <col min="4872" max="4872" width="18.6640625" style="24" customWidth="1"/>
    <col min="4873" max="4873" width="19.109375" style="24" bestFit="1" customWidth="1"/>
    <col min="4874" max="4874" width="10.109375" style="24" bestFit="1" customWidth="1"/>
    <col min="4875" max="5120" width="9.109375" style="24"/>
    <col min="5121" max="5121" width="14" style="24" customWidth="1"/>
    <col min="5122" max="5122" width="20.33203125" style="24" bestFit="1" customWidth="1"/>
    <col min="5123" max="5123" width="18.88671875" style="24" bestFit="1" customWidth="1"/>
    <col min="5124" max="5124" width="20.33203125" style="24" bestFit="1" customWidth="1"/>
    <col min="5125" max="5125" width="18.88671875" style="24" customWidth="1"/>
    <col min="5126" max="5126" width="14.6640625" style="24" customWidth="1"/>
    <col min="5127" max="5127" width="11.33203125" style="24" customWidth="1"/>
    <col min="5128" max="5128" width="18.6640625" style="24" customWidth="1"/>
    <col min="5129" max="5129" width="19.109375" style="24" bestFit="1" customWidth="1"/>
    <col min="5130" max="5130" width="10.109375" style="24" bestFit="1" customWidth="1"/>
    <col min="5131" max="5376" width="9.109375" style="24"/>
    <col min="5377" max="5377" width="14" style="24" customWidth="1"/>
    <col min="5378" max="5378" width="20.33203125" style="24" bestFit="1" customWidth="1"/>
    <col min="5379" max="5379" width="18.88671875" style="24" bestFit="1" customWidth="1"/>
    <col min="5380" max="5380" width="20.33203125" style="24" bestFit="1" customWidth="1"/>
    <col min="5381" max="5381" width="18.88671875" style="24" customWidth="1"/>
    <col min="5382" max="5382" width="14.6640625" style="24" customWidth="1"/>
    <col min="5383" max="5383" width="11.33203125" style="24" customWidth="1"/>
    <col min="5384" max="5384" width="18.6640625" style="24" customWidth="1"/>
    <col min="5385" max="5385" width="19.109375" style="24" bestFit="1" customWidth="1"/>
    <col min="5386" max="5386" width="10.109375" style="24" bestFit="1" customWidth="1"/>
    <col min="5387" max="5632" width="9.109375" style="24"/>
    <col min="5633" max="5633" width="14" style="24" customWidth="1"/>
    <col min="5634" max="5634" width="20.33203125" style="24" bestFit="1" customWidth="1"/>
    <col min="5635" max="5635" width="18.88671875" style="24" bestFit="1" customWidth="1"/>
    <col min="5636" max="5636" width="20.33203125" style="24" bestFit="1" customWidth="1"/>
    <col min="5637" max="5637" width="18.88671875" style="24" customWidth="1"/>
    <col min="5638" max="5638" width="14.6640625" style="24" customWidth="1"/>
    <col min="5639" max="5639" width="11.33203125" style="24" customWidth="1"/>
    <col min="5640" max="5640" width="18.6640625" style="24" customWidth="1"/>
    <col min="5641" max="5641" width="19.109375" style="24" bestFit="1" customWidth="1"/>
    <col min="5642" max="5642" width="10.109375" style="24" bestFit="1" customWidth="1"/>
    <col min="5643" max="5888" width="9.109375" style="24"/>
    <col min="5889" max="5889" width="14" style="24" customWidth="1"/>
    <col min="5890" max="5890" width="20.33203125" style="24" bestFit="1" customWidth="1"/>
    <col min="5891" max="5891" width="18.88671875" style="24" bestFit="1" customWidth="1"/>
    <col min="5892" max="5892" width="20.33203125" style="24" bestFit="1" customWidth="1"/>
    <col min="5893" max="5893" width="18.88671875" style="24" customWidth="1"/>
    <col min="5894" max="5894" width="14.6640625" style="24" customWidth="1"/>
    <col min="5895" max="5895" width="11.33203125" style="24" customWidth="1"/>
    <col min="5896" max="5896" width="18.6640625" style="24" customWidth="1"/>
    <col min="5897" max="5897" width="19.109375" style="24" bestFit="1" customWidth="1"/>
    <col min="5898" max="5898" width="10.109375" style="24" bestFit="1" customWidth="1"/>
    <col min="5899" max="6144" width="9.109375" style="24"/>
    <col min="6145" max="6145" width="14" style="24" customWidth="1"/>
    <col min="6146" max="6146" width="20.33203125" style="24" bestFit="1" customWidth="1"/>
    <col min="6147" max="6147" width="18.88671875" style="24" bestFit="1" customWidth="1"/>
    <col min="6148" max="6148" width="20.33203125" style="24" bestFit="1" customWidth="1"/>
    <col min="6149" max="6149" width="18.88671875" style="24" customWidth="1"/>
    <col min="6150" max="6150" width="14.6640625" style="24" customWidth="1"/>
    <col min="6151" max="6151" width="11.33203125" style="24" customWidth="1"/>
    <col min="6152" max="6152" width="18.6640625" style="24" customWidth="1"/>
    <col min="6153" max="6153" width="19.109375" style="24" bestFit="1" customWidth="1"/>
    <col min="6154" max="6154" width="10.109375" style="24" bestFit="1" customWidth="1"/>
    <col min="6155" max="6400" width="9.109375" style="24"/>
    <col min="6401" max="6401" width="14" style="24" customWidth="1"/>
    <col min="6402" max="6402" width="20.33203125" style="24" bestFit="1" customWidth="1"/>
    <col min="6403" max="6403" width="18.88671875" style="24" bestFit="1" customWidth="1"/>
    <col min="6404" max="6404" width="20.33203125" style="24" bestFit="1" customWidth="1"/>
    <col min="6405" max="6405" width="18.88671875" style="24" customWidth="1"/>
    <col min="6406" max="6406" width="14.6640625" style="24" customWidth="1"/>
    <col min="6407" max="6407" width="11.33203125" style="24" customWidth="1"/>
    <col min="6408" max="6408" width="18.6640625" style="24" customWidth="1"/>
    <col min="6409" max="6409" width="19.109375" style="24" bestFit="1" customWidth="1"/>
    <col min="6410" max="6410" width="10.109375" style="24" bestFit="1" customWidth="1"/>
    <col min="6411" max="6656" width="9.109375" style="24"/>
    <col min="6657" max="6657" width="14" style="24" customWidth="1"/>
    <col min="6658" max="6658" width="20.33203125" style="24" bestFit="1" customWidth="1"/>
    <col min="6659" max="6659" width="18.88671875" style="24" bestFit="1" customWidth="1"/>
    <col min="6660" max="6660" width="20.33203125" style="24" bestFit="1" customWidth="1"/>
    <col min="6661" max="6661" width="18.88671875" style="24" customWidth="1"/>
    <col min="6662" max="6662" width="14.6640625" style="24" customWidth="1"/>
    <col min="6663" max="6663" width="11.33203125" style="24" customWidth="1"/>
    <col min="6664" max="6664" width="18.6640625" style="24" customWidth="1"/>
    <col min="6665" max="6665" width="19.109375" style="24" bestFit="1" customWidth="1"/>
    <col min="6666" max="6666" width="10.109375" style="24" bestFit="1" customWidth="1"/>
    <col min="6667" max="6912" width="9.109375" style="24"/>
    <col min="6913" max="6913" width="14" style="24" customWidth="1"/>
    <col min="6914" max="6914" width="20.33203125" style="24" bestFit="1" customWidth="1"/>
    <col min="6915" max="6915" width="18.88671875" style="24" bestFit="1" customWidth="1"/>
    <col min="6916" max="6916" width="20.33203125" style="24" bestFit="1" customWidth="1"/>
    <col min="6917" max="6917" width="18.88671875" style="24" customWidth="1"/>
    <col min="6918" max="6918" width="14.6640625" style="24" customWidth="1"/>
    <col min="6919" max="6919" width="11.33203125" style="24" customWidth="1"/>
    <col min="6920" max="6920" width="18.6640625" style="24" customWidth="1"/>
    <col min="6921" max="6921" width="19.109375" style="24" bestFit="1" customWidth="1"/>
    <col min="6922" max="6922" width="10.109375" style="24" bestFit="1" customWidth="1"/>
    <col min="6923" max="7168" width="9.109375" style="24"/>
    <col min="7169" max="7169" width="14" style="24" customWidth="1"/>
    <col min="7170" max="7170" width="20.33203125" style="24" bestFit="1" customWidth="1"/>
    <col min="7171" max="7171" width="18.88671875" style="24" bestFit="1" customWidth="1"/>
    <col min="7172" max="7172" width="20.33203125" style="24" bestFit="1" customWidth="1"/>
    <col min="7173" max="7173" width="18.88671875" style="24" customWidth="1"/>
    <col min="7174" max="7174" width="14.6640625" style="24" customWidth="1"/>
    <col min="7175" max="7175" width="11.33203125" style="24" customWidth="1"/>
    <col min="7176" max="7176" width="18.6640625" style="24" customWidth="1"/>
    <col min="7177" max="7177" width="19.109375" style="24" bestFit="1" customWidth="1"/>
    <col min="7178" max="7178" width="10.109375" style="24" bestFit="1" customWidth="1"/>
    <col min="7179" max="7424" width="9.109375" style="24"/>
    <col min="7425" max="7425" width="14" style="24" customWidth="1"/>
    <col min="7426" max="7426" width="20.33203125" style="24" bestFit="1" customWidth="1"/>
    <col min="7427" max="7427" width="18.88671875" style="24" bestFit="1" customWidth="1"/>
    <col min="7428" max="7428" width="20.33203125" style="24" bestFit="1" customWidth="1"/>
    <col min="7429" max="7429" width="18.88671875" style="24" customWidth="1"/>
    <col min="7430" max="7430" width="14.6640625" style="24" customWidth="1"/>
    <col min="7431" max="7431" width="11.33203125" style="24" customWidth="1"/>
    <col min="7432" max="7432" width="18.6640625" style="24" customWidth="1"/>
    <col min="7433" max="7433" width="19.109375" style="24" bestFit="1" customWidth="1"/>
    <col min="7434" max="7434" width="10.109375" style="24" bestFit="1" customWidth="1"/>
    <col min="7435" max="7680" width="9.109375" style="24"/>
    <col min="7681" max="7681" width="14" style="24" customWidth="1"/>
    <col min="7682" max="7682" width="20.33203125" style="24" bestFit="1" customWidth="1"/>
    <col min="7683" max="7683" width="18.88671875" style="24" bestFit="1" customWidth="1"/>
    <col min="7684" max="7684" width="20.33203125" style="24" bestFit="1" customWidth="1"/>
    <col min="7685" max="7685" width="18.88671875" style="24" customWidth="1"/>
    <col min="7686" max="7686" width="14.6640625" style="24" customWidth="1"/>
    <col min="7687" max="7687" width="11.33203125" style="24" customWidth="1"/>
    <col min="7688" max="7688" width="18.6640625" style="24" customWidth="1"/>
    <col min="7689" max="7689" width="19.109375" style="24" bestFit="1" customWidth="1"/>
    <col min="7690" max="7690" width="10.109375" style="24" bestFit="1" customWidth="1"/>
    <col min="7691" max="7936" width="9.109375" style="24"/>
    <col min="7937" max="7937" width="14" style="24" customWidth="1"/>
    <col min="7938" max="7938" width="20.33203125" style="24" bestFit="1" customWidth="1"/>
    <col min="7939" max="7939" width="18.88671875" style="24" bestFit="1" customWidth="1"/>
    <col min="7940" max="7940" width="20.33203125" style="24" bestFit="1" customWidth="1"/>
    <col min="7941" max="7941" width="18.88671875" style="24" customWidth="1"/>
    <col min="7942" max="7942" width="14.6640625" style="24" customWidth="1"/>
    <col min="7943" max="7943" width="11.33203125" style="24" customWidth="1"/>
    <col min="7944" max="7944" width="18.6640625" style="24" customWidth="1"/>
    <col min="7945" max="7945" width="19.109375" style="24" bestFit="1" customWidth="1"/>
    <col min="7946" max="7946" width="10.109375" style="24" bestFit="1" customWidth="1"/>
    <col min="7947" max="8192" width="9.109375" style="24"/>
    <col min="8193" max="8193" width="14" style="24" customWidth="1"/>
    <col min="8194" max="8194" width="20.33203125" style="24" bestFit="1" customWidth="1"/>
    <col min="8195" max="8195" width="18.88671875" style="24" bestFit="1" customWidth="1"/>
    <col min="8196" max="8196" width="20.33203125" style="24" bestFit="1" customWidth="1"/>
    <col min="8197" max="8197" width="18.88671875" style="24" customWidth="1"/>
    <col min="8198" max="8198" width="14.6640625" style="24" customWidth="1"/>
    <col min="8199" max="8199" width="11.33203125" style="24" customWidth="1"/>
    <col min="8200" max="8200" width="18.6640625" style="24" customWidth="1"/>
    <col min="8201" max="8201" width="19.109375" style="24" bestFit="1" customWidth="1"/>
    <col min="8202" max="8202" width="10.109375" style="24" bestFit="1" customWidth="1"/>
    <col min="8203" max="8448" width="9.109375" style="24"/>
    <col min="8449" max="8449" width="14" style="24" customWidth="1"/>
    <col min="8450" max="8450" width="20.33203125" style="24" bestFit="1" customWidth="1"/>
    <col min="8451" max="8451" width="18.88671875" style="24" bestFit="1" customWidth="1"/>
    <col min="8452" max="8452" width="20.33203125" style="24" bestFit="1" customWidth="1"/>
    <col min="8453" max="8453" width="18.88671875" style="24" customWidth="1"/>
    <col min="8454" max="8454" width="14.6640625" style="24" customWidth="1"/>
    <col min="8455" max="8455" width="11.33203125" style="24" customWidth="1"/>
    <col min="8456" max="8456" width="18.6640625" style="24" customWidth="1"/>
    <col min="8457" max="8457" width="19.109375" style="24" bestFit="1" customWidth="1"/>
    <col min="8458" max="8458" width="10.109375" style="24" bestFit="1" customWidth="1"/>
    <col min="8459" max="8704" width="9.109375" style="24"/>
    <col min="8705" max="8705" width="14" style="24" customWidth="1"/>
    <col min="8706" max="8706" width="20.33203125" style="24" bestFit="1" customWidth="1"/>
    <col min="8707" max="8707" width="18.88671875" style="24" bestFit="1" customWidth="1"/>
    <col min="8708" max="8708" width="20.33203125" style="24" bestFit="1" customWidth="1"/>
    <col min="8709" max="8709" width="18.88671875" style="24" customWidth="1"/>
    <col min="8710" max="8710" width="14.6640625" style="24" customWidth="1"/>
    <col min="8711" max="8711" width="11.33203125" style="24" customWidth="1"/>
    <col min="8712" max="8712" width="18.6640625" style="24" customWidth="1"/>
    <col min="8713" max="8713" width="19.109375" style="24" bestFit="1" customWidth="1"/>
    <col min="8714" max="8714" width="10.109375" style="24" bestFit="1" customWidth="1"/>
    <col min="8715" max="8960" width="9.109375" style="24"/>
    <col min="8961" max="8961" width="14" style="24" customWidth="1"/>
    <col min="8962" max="8962" width="20.33203125" style="24" bestFit="1" customWidth="1"/>
    <col min="8963" max="8963" width="18.88671875" style="24" bestFit="1" customWidth="1"/>
    <col min="8964" max="8964" width="20.33203125" style="24" bestFit="1" customWidth="1"/>
    <col min="8965" max="8965" width="18.88671875" style="24" customWidth="1"/>
    <col min="8966" max="8966" width="14.6640625" style="24" customWidth="1"/>
    <col min="8967" max="8967" width="11.33203125" style="24" customWidth="1"/>
    <col min="8968" max="8968" width="18.6640625" style="24" customWidth="1"/>
    <col min="8969" max="8969" width="19.109375" style="24" bestFit="1" customWidth="1"/>
    <col min="8970" max="8970" width="10.109375" style="24" bestFit="1" customWidth="1"/>
    <col min="8971" max="9216" width="9.109375" style="24"/>
    <col min="9217" max="9217" width="14" style="24" customWidth="1"/>
    <col min="9218" max="9218" width="20.33203125" style="24" bestFit="1" customWidth="1"/>
    <col min="9219" max="9219" width="18.88671875" style="24" bestFit="1" customWidth="1"/>
    <col min="9220" max="9220" width="20.33203125" style="24" bestFit="1" customWidth="1"/>
    <col min="9221" max="9221" width="18.88671875" style="24" customWidth="1"/>
    <col min="9222" max="9222" width="14.6640625" style="24" customWidth="1"/>
    <col min="9223" max="9223" width="11.33203125" style="24" customWidth="1"/>
    <col min="9224" max="9224" width="18.6640625" style="24" customWidth="1"/>
    <col min="9225" max="9225" width="19.109375" style="24" bestFit="1" customWidth="1"/>
    <col min="9226" max="9226" width="10.109375" style="24" bestFit="1" customWidth="1"/>
    <col min="9227" max="9472" width="9.109375" style="24"/>
    <col min="9473" max="9473" width="14" style="24" customWidth="1"/>
    <col min="9474" max="9474" width="20.33203125" style="24" bestFit="1" customWidth="1"/>
    <col min="9475" max="9475" width="18.88671875" style="24" bestFit="1" customWidth="1"/>
    <col min="9476" max="9476" width="20.33203125" style="24" bestFit="1" customWidth="1"/>
    <col min="9477" max="9477" width="18.88671875" style="24" customWidth="1"/>
    <col min="9478" max="9478" width="14.6640625" style="24" customWidth="1"/>
    <col min="9479" max="9479" width="11.33203125" style="24" customWidth="1"/>
    <col min="9480" max="9480" width="18.6640625" style="24" customWidth="1"/>
    <col min="9481" max="9481" width="19.109375" style="24" bestFit="1" customWidth="1"/>
    <col min="9482" max="9482" width="10.109375" style="24" bestFit="1" customWidth="1"/>
    <col min="9483" max="9728" width="9.109375" style="24"/>
    <col min="9729" max="9729" width="14" style="24" customWidth="1"/>
    <col min="9730" max="9730" width="20.33203125" style="24" bestFit="1" customWidth="1"/>
    <col min="9731" max="9731" width="18.88671875" style="24" bestFit="1" customWidth="1"/>
    <col min="9732" max="9732" width="20.33203125" style="24" bestFit="1" customWidth="1"/>
    <col min="9733" max="9733" width="18.88671875" style="24" customWidth="1"/>
    <col min="9734" max="9734" width="14.6640625" style="24" customWidth="1"/>
    <col min="9735" max="9735" width="11.33203125" style="24" customWidth="1"/>
    <col min="9736" max="9736" width="18.6640625" style="24" customWidth="1"/>
    <col min="9737" max="9737" width="19.109375" style="24" bestFit="1" customWidth="1"/>
    <col min="9738" max="9738" width="10.109375" style="24" bestFit="1" customWidth="1"/>
    <col min="9739" max="9984" width="9.109375" style="24"/>
    <col min="9985" max="9985" width="14" style="24" customWidth="1"/>
    <col min="9986" max="9986" width="20.33203125" style="24" bestFit="1" customWidth="1"/>
    <col min="9987" max="9987" width="18.88671875" style="24" bestFit="1" customWidth="1"/>
    <col min="9988" max="9988" width="20.33203125" style="24" bestFit="1" customWidth="1"/>
    <col min="9989" max="9989" width="18.88671875" style="24" customWidth="1"/>
    <col min="9990" max="9990" width="14.6640625" style="24" customWidth="1"/>
    <col min="9991" max="9991" width="11.33203125" style="24" customWidth="1"/>
    <col min="9992" max="9992" width="18.6640625" style="24" customWidth="1"/>
    <col min="9993" max="9993" width="19.109375" style="24" bestFit="1" customWidth="1"/>
    <col min="9994" max="9994" width="10.109375" style="24" bestFit="1" customWidth="1"/>
    <col min="9995" max="10240" width="9.109375" style="24"/>
    <col min="10241" max="10241" width="14" style="24" customWidth="1"/>
    <col min="10242" max="10242" width="20.33203125" style="24" bestFit="1" customWidth="1"/>
    <col min="10243" max="10243" width="18.88671875" style="24" bestFit="1" customWidth="1"/>
    <col min="10244" max="10244" width="20.33203125" style="24" bestFit="1" customWidth="1"/>
    <col min="10245" max="10245" width="18.88671875" style="24" customWidth="1"/>
    <col min="10246" max="10246" width="14.6640625" style="24" customWidth="1"/>
    <col min="10247" max="10247" width="11.33203125" style="24" customWidth="1"/>
    <col min="10248" max="10248" width="18.6640625" style="24" customWidth="1"/>
    <col min="10249" max="10249" width="19.109375" style="24" bestFit="1" customWidth="1"/>
    <col min="10250" max="10250" width="10.109375" style="24" bestFit="1" customWidth="1"/>
    <col min="10251" max="10496" width="9.109375" style="24"/>
    <col min="10497" max="10497" width="14" style="24" customWidth="1"/>
    <col min="10498" max="10498" width="20.33203125" style="24" bestFit="1" customWidth="1"/>
    <col min="10499" max="10499" width="18.88671875" style="24" bestFit="1" customWidth="1"/>
    <col min="10500" max="10500" width="20.33203125" style="24" bestFit="1" customWidth="1"/>
    <col min="10501" max="10501" width="18.88671875" style="24" customWidth="1"/>
    <col min="10502" max="10502" width="14.6640625" style="24" customWidth="1"/>
    <col min="10503" max="10503" width="11.33203125" style="24" customWidth="1"/>
    <col min="10504" max="10504" width="18.6640625" style="24" customWidth="1"/>
    <col min="10505" max="10505" width="19.109375" style="24" bestFit="1" customWidth="1"/>
    <col min="10506" max="10506" width="10.109375" style="24" bestFit="1" customWidth="1"/>
    <col min="10507" max="10752" width="9.109375" style="24"/>
    <col min="10753" max="10753" width="14" style="24" customWidth="1"/>
    <col min="10754" max="10754" width="20.33203125" style="24" bestFit="1" customWidth="1"/>
    <col min="10755" max="10755" width="18.88671875" style="24" bestFit="1" customWidth="1"/>
    <col min="10756" max="10756" width="20.33203125" style="24" bestFit="1" customWidth="1"/>
    <col min="10757" max="10757" width="18.88671875" style="24" customWidth="1"/>
    <col min="10758" max="10758" width="14.6640625" style="24" customWidth="1"/>
    <col min="10759" max="10759" width="11.33203125" style="24" customWidth="1"/>
    <col min="10760" max="10760" width="18.6640625" style="24" customWidth="1"/>
    <col min="10761" max="10761" width="19.109375" style="24" bestFit="1" customWidth="1"/>
    <col min="10762" max="10762" width="10.109375" style="24" bestFit="1" customWidth="1"/>
    <col min="10763" max="11008" width="9.109375" style="24"/>
    <col min="11009" max="11009" width="14" style="24" customWidth="1"/>
    <col min="11010" max="11010" width="20.33203125" style="24" bestFit="1" customWidth="1"/>
    <col min="11011" max="11011" width="18.88671875" style="24" bestFit="1" customWidth="1"/>
    <col min="11012" max="11012" width="20.33203125" style="24" bestFit="1" customWidth="1"/>
    <col min="11013" max="11013" width="18.88671875" style="24" customWidth="1"/>
    <col min="11014" max="11014" width="14.6640625" style="24" customWidth="1"/>
    <col min="11015" max="11015" width="11.33203125" style="24" customWidth="1"/>
    <col min="11016" max="11016" width="18.6640625" style="24" customWidth="1"/>
    <col min="11017" max="11017" width="19.109375" style="24" bestFit="1" customWidth="1"/>
    <col min="11018" max="11018" width="10.109375" style="24" bestFit="1" customWidth="1"/>
    <col min="11019" max="11264" width="9.109375" style="24"/>
    <col min="11265" max="11265" width="14" style="24" customWidth="1"/>
    <col min="11266" max="11266" width="20.33203125" style="24" bestFit="1" customWidth="1"/>
    <col min="11267" max="11267" width="18.88671875" style="24" bestFit="1" customWidth="1"/>
    <col min="11268" max="11268" width="20.33203125" style="24" bestFit="1" customWidth="1"/>
    <col min="11269" max="11269" width="18.88671875" style="24" customWidth="1"/>
    <col min="11270" max="11270" width="14.6640625" style="24" customWidth="1"/>
    <col min="11271" max="11271" width="11.33203125" style="24" customWidth="1"/>
    <col min="11272" max="11272" width="18.6640625" style="24" customWidth="1"/>
    <col min="11273" max="11273" width="19.109375" style="24" bestFit="1" customWidth="1"/>
    <col min="11274" max="11274" width="10.109375" style="24" bestFit="1" customWidth="1"/>
    <col min="11275" max="11520" width="9.109375" style="24"/>
    <col min="11521" max="11521" width="14" style="24" customWidth="1"/>
    <col min="11522" max="11522" width="20.33203125" style="24" bestFit="1" customWidth="1"/>
    <col min="11523" max="11523" width="18.88671875" style="24" bestFit="1" customWidth="1"/>
    <col min="11524" max="11524" width="20.33203125" style="24" bestFit="1" customWidth="1"/>
    <col min="11525" max="11525" width="18.88671875" style="24" customWidth="1"/>
    <col min="11526" max="11526" width="14.6640625" style="24" customWidth="1"/>
    <col min="11527" max="11527" width="11.33203125" style="24" customWidth="1"/>
    <col min="11528" max="11528" width="18.6640625" style="24" customWidth="1"/>
    <col min="11529" max="11529" width="19.109375" style="24" bestFit="1" customWidth="1"/>
    <col min="11530" max="11530" width="10.109375" style="24" bestFit="1" customWidth="1"/>
    <col min="11531" max="11776" width="9.109375" style="24"/>
    <col min="11777" max="11777" width="14" style="24" customWidth="1"/>
    <col min="11778" max="11778" width="20.33203125" style="24" bestFit="1" customWidth="1"/>
    <col min="11779" max="11779" width="18.88671875" style="24" bestFit="1" customWidth="1"/>
    <col min="11780" max="11780" width="20.33203125" style="24" bestFit="1" customWidth="1"/>
    <col min="11781" max="11781" width="18.88671875" style="24" customWidth="1"/>
    <col min="11782" max="11782" width="14.6640625" style="24" customWidth="1"/>
    <col min="11783" max="11783" width="11.33203125" style="24" customWidth="1"/>
    <col min="11784" max="11784" width="18.6640625" style="24" customWidth="1"/>
    <col min="11785" max="11785" width="19.109375" style="24" bestFit="1" customWidth="1"/>
    <col min="11786" max="11786" width="10.109375" style="24" bestFit="1" customWidth="1"/>
    <col min="11787" max="12032" width="9.109375" style="24"/>
    <col min="12033" max="12033" width="14" style="24" customWidth="1"/>
    <col min="12034" max="12034" width="20.33203125" style="24" bestFit="1" customWidth="1"/>
    <col min="12035" max="12035" width="18.88671875" style="24" bestFit="1" customWidth="1"/>
    <col min="12036" max="12036" width="20.33203125" style="24" bestFit="1" customWidth="1"/>
    <col min="12037" max="12037" width="18.88671875" style="24" customWidth="1"/>
    <col min="12038" max="12038" width="14.6640625" style="24" customWidth="1"/>
    <col min="12039" max="12039" width="11.33203125" style="24" customWidth="1"/>
    <col min="12040" max="12040" width="18.6640625" style="24" customWidth="1"/>
    <col min="12041" max="12041" width="19.109375" style="24" bestFit="1" customWidth="1"/>
    <col min="12042" max="12042" width="10.109375" style="24" bestFit="1" customWidth="1"/>
    <col min="12043" max="12288" width="9.109375" style="24"/>
    <col min="12289" max="12289" width="14" style="24" customWidth="1"/>
    <col min="12290" max="12290" width="20.33203125" style="24" bestFit="1" customWidth="1"/>
    <col min="12291" max="12291" width="18.88671875" style="24" bestFit="1" customWidth="1"/>
    <col min="12292" max="12292" width="20.33203125" style="24" bestFit="1" customWidth="1"/>
    <col min="12293" max="12293" width="18.88671875" style="24" customWidth="1"/>
    <col min="12294" max="12294" width="14.6640625" style="24" customWidth="1"/>
    <col min="12295" max="12295" width="11.33203125" style="24" customWidth="1"/>
    <col min="12296" max="12296" width="18.6640625" style="24" customWidth="1"/>
    <col min="12297" max="12297" width="19.109375" style="24" bestFit="1" customWidth="1"/>
    <col min="12298" max="12298" width="10.109375" style="24" bestFit="1" customWidth="1"/>
    <col min="12299" max="12544" width="9.109375" style="24"/>
    <col min="12545" max="12545" width="14" style="24" customWidth="1"/>
    <col min="12546" max="12546" width="20.33203125" style="24" bestFit="1" customWidth="1"/>
    <col min="12547" max="12547" width="18.88671875" style="24" bestFit="1" customWidth="1"/>
    <col min="12548" max="12548" width="20.33203125" style="24" bestFit="1" customWidth="1"/>
    <col min="12549" max="12549" width="18.88671875" style="24" customWidth="1"/>
    <col min="12550" max="12550" width="14.6640625" style="24" customWidth="1"/>
    <col min="12551" max="12551" width="11.33203125" style="24" customWidth="1"/>
    <col min="12552" max="12552" width="18.6640625" style="24" customWidth="1"/>
    <col min="12553" max="12553" width="19.109375" style="24" bestFit="1" customWidth="1"/>
    <col min="12554" max="12554" width="10.109375" style="24" bestFit="1" customWidth="1"/>
    <col min="12555" max="12800" width="9.109375" style="24"/>
    <col min="12801" max="12801" width="14" style="24" customWidth="1"/>
    <col min="12802" max="12802" width="20.33203125" style="24" bestFit="1" customWidth="1"/>
    <col min="12803" max="12803" width="18.88671875" style="24" bestFit="1" customWidth="1"/>
    <col min="12804" max="12804" width="20.33203125" style="24" bestFit="1" customWidth="1"/>
    <col min="12805" max="12805" width="18.88671875" style="24" customWidth="1"/>
    <col min="12806" max="12806" width="14.6640625" style="24" customWidth="1"/>
    <col min="12807" max="12807" width="11.33203125" style="24" customWidth="1"/>
    <col min="12808" max="12808" width="18.6640625" style="24" customWidth="1"/>
    <col min="12809" max="12809" width="19.109375" style="24" bestFit="1" customWidth="1"/>
    <col min="12810" max="12810" width="10.109375" style="24" bestFit="1" customWidth="1"/>
    <col min="12811" max="13056" width="9.109375" style="24"/>
    <col min="13057" max="13057" width="14" style="24" customWidth="1"/>
    <col min="13058" max="13058" width="20.33203125" style="24" bestFit="1" customWidth="1"/>
    <col min="13059" max="13059" width="18.88671875" style="24" bestFit="1" customWidth="1"/>
    <col min="13060" max="13060" width="20.33203125" style="24" bestFit="1" customWidth="1"/>
    <col min="13061" max="13061" width="18.88671875" style="24" customWidth="1"/>
    <col min="13062" max="13062" width="14.6640625" style="24" customWidth="1"/>
    <col min="13063" max="13063" width="11.33203125" style="24" customWidth="1"/>
    <col min="13064" max="13064" width="18.6640625" style="24" customWidth="1"/>
    <col min="13065" max="13065" width="19.109375" style="24" bestFit="1" customWidth="1"/>
    <col min="13066" max="13066" width="10.109375" style="24" bestFit="1" customWidth="1"/>
    <col min="13067" max="13312" width="9.109375" style="24"/>
    <col min="13313" max="13313" width="14" style="24" customWidth="1"/>
    <col min="13314" max="13314" width="20.33203125" style="24" bestFit="1" customWidth="1"/>
    <col min="13315" max="13315" width="18.88671875" style="24" bestFit="1" customWidth="1"/>
    <col min="13316" max="13316" width="20.33203125" style="24" bestFit="1" customWidth="1"/>
    <col min="13317" max="13317" width="18.88671875" style="24" customWidth="1"/>
    <col min="13318" max="13318" width="14.6640625" style="24" customWidth="1"/>
    <col min="13319" max="13319" width="11.33203125" style="24" customWidth="1"/>
    <col min="13320" max="13320" width="18.6640625" style="24" customWidth="1"/>
    <col min="13321" max="13321" width="19.109375" style="24" bestFit="1" customWidth="1"/>
    <col min="13322" max="13322" width="10.109375" style="24" bestFit="1" customWidth="1"/>
    <col min="13323" max="13568" width="9.109375" style="24"/>
    <col min="13569" max="13569" width="14" style="24" customWidth="1"/>
    <col min="13570" max="13570" width="20.33203125" style="24" bestFit="1" customWidth="1"/>
    <col min="13571" max="13571" width="18.88671875" style="24" bestFit="1" customWidth="1"/>
    <col min="13572" max="13572" width="20.33203125" style="24" bestFit="1" customWidth="1"/>
    <col min="13573" max="13573" width="18.88671875" style="24" customWidth="1"/>
    <col min="13574" max="13574" width="14.6640625" style="24" customWidth="1"/>
    <col min="13575" max="13575" width="11.33203125" style="24" customWidth="1"/>
    <col min="13576" max="13576" width="18.6640625" style="24" customWidth="1"/>
    <col min="13577" max="13577" width="19.109375" style="24" bestFit="1" customWidth="1"/>
    <col min="13578" max="13578" width="10.109375" style="24" bestFit="1" customWidth="1"/>
    <col min="13579" max="13824" width="9.109375" style="24"/>
    <col min="13825" max="13825" width="14" style="24" customWidth="1"/>
    <col min="13826" max="13826" width="20.33203125" style="24" bestFit="1" customWidth="1"/>
    <col min="13827" max="13827" width="18.88671875" style="24" bestFit="1" customWidth="1"/>
    <col min="13828" max="13828" width="20.33203125" style="24" bestFit="1" customWidth="1"/>
    <col min="13829" max="13829" width="18.88671875" style="24" customWidth="1"/>
    <col min="13830" max="13830" width="14.6640625" style="24" customWidth="1"/>
    <col min="13831" max="13831" width="11.33203125" style="24" customWidth="1"/>
    <col min="13832" max="13832" width="18.6640625" style="24" customWidth="1"/>
    <col min="13833" max="13833" width="19.109375" style="24" bestFit="1" customWidth="1"/>
    <col min="13834" max="13834" width="10.109375" style="24" bestFit="1" customWidth="1"/>
    <col min="13835" max="14080" width="9.109375" style="24"/>
    <col min="14081" max="14081" width="14" style="24" customWidth="1"/>
    <col min="14082" max="14082" width="20.33203125" style="24" bestFit="1" customWidth="1"/>
    <col min="14083" max="14083" width="18.88671875" style="24" bestFit="1" customWidth="1"/>
    <col min="14084" max="14084" width="20.33203125" style="24" bestFit="1" customWidth="1"/>
    <col min="14085" max="14085" width="18.88671875" style="24" customWidth="1"/>
    <col min="14086" max="14086" width="14.6640625" style="24" customWidth="1"/>
    <col min="14087" max="14087" width="11.33203125" style="24" customWidth="1"/>
    <col min="14088" max="14088" width="18.6640625" style="24" customWidth="1"/>
    <col min="14089" max="14089" width="19.109375" style="24" bestFit="1" customWidth="1"/>
    <col min="14090" max="14090" width="10.109375" style="24" bestFit="1" customWidth="1"/>
    <col min="14091" max="14336" width="9.109375" style="24"/>
    <col min="14337" max="14337" width="14" style="24" customWidth="1"/>
    <col min="14338" max="14338" width="20.33203125" style="24" bestFit="1" customWidth="1"/>
    <col min="14339" max="14339" width="18.88671875" style="24" bestFit="1" customWidth="1"/>
    <col min="14340" max="14340" width="20.33203125" style="24" bestFit="1" customWidth="1"/>
    <col min="14341" max="14341" width="18.88671875" style="24" customWidth="1"/>
    <col min="14342" max="14342" width="14.6640625" style="24" customWidth="1"/>
    <col min="14343" max="14343" width="11.33203125" style="24" customWidth="1"/>
    <col min="14344" max="14344" width="18.6640625" style="24" customWidth="1"/>
    <col min="14345" max="14345" width="19.109375" style="24" bestFit="1" customWidth="1"/>
    <col min="14346" max="14346" width="10.109375" style="24" bestFit="1" customWidth="1"/>
    <col min="14347" max="14592" width="9.109375" style="24"/>
    <col min="14593" max="14593" width="14" style="24" customWidth="1"/>
    <col min="14594" max="14594" width="20.33203125" style="24" bestFit="1" customWidth="1"/>
    <col min="14595" max="14595" width="18.88671875" style="24" bestFit="1" customWidth="1"/>
    <col min="14596" max="14596" width="20.33203125" style="24" bestFit="1" customWidth="1"/>
    <col min="14597" max="14597" width="18.88671875" style="24" customWidth="1"/>
    <col min="14598" max="14598" width="14.6640625" style="24" customWidth="1"/>
    <col min="14599" max="14599" width="11.33203125" style="24" customWidth="1"/>
    <col min="14600" max="14600" width="18.6640625" style="24" customWidth="1"/>
    <col min="14601" max="14601" width="19.109375" style="24" bestFit="1" customWidth="1"/>
    <col min="14602" max="14602" width="10.109375" style="24" bestFit="1" customWidth="1"/>
    <col min="14603" max="14848" width="9.109375" style="24"/>
    <col min="14849" max="14849" width="14" style="24" customWidth="1"/>
    <col min="14850" max="14850" width="20.33203125" style="24" bestFit="1" customWidth="1"/>
    <col min="14851" max="14851" width="18.88671875" style="24" bestFit="1" customWidth="1"/>
    <col min="14852" max="14852" width="20.33203125" style="24" bestFit="1" customWidth="1"/>
    <col min="14853" max="14853" width="18.88671875" style="24" customWidth="1"/>
    <col min="14854" max="14854" width="14.6640625" style="24" customWidth="1"/>
    <col min="14855" max="14855" width="11.33203125" style="24" customWidth="1"/>
    <col min="14856" max="14856" width="18.6640625" style="24" customWidth="1"/>
    <col min="14857" max="14857" width="19.109375" style="24" bestFit="1" customWidth="1"/>
    <col min="14858" max="14858" width="10.109375" style="24" bestFit="1" customWidth="1"/>
    <col min="14859" max="15104" width="9.109375" style="24"/>
    <col min="15105" max="15105" width="14" style="24" customWidth="1"/>
    <col min="15106" max="15106" width="20.33203125" style="24" bestFit="1" customWidth="1"/>
    <col min="15107" max="15107" width="18.88671875" style="24" bestFit="1" customWidth="1"/>
    <col min="15108" max="15108" width="20.33203125" style="24" bestFit="1" customWidth="1"/>
    <col min="15109" max="15109" width="18.88671875" style="24" customWidth="1"/>
    <col min="15110" max="15110" width="14.6640625" style="24" customWidth="1"/>
    <col min="15111" max="15111" width="11.33203125" style="24" customWidth="1"/>
    <col min="15112" max="15112" width="18.6640625" style="24" customWidth="1"/>
    <col min="15113" max="15113" width="19.109375" style="24" bestFit="1" customWidth="1"/>
    <col min="15114" max="15114" width="10.109375" style="24" bestFit="1" customWidth="1"/>
    <col min="15115" max="15360" width="9.109375" style="24"/>
    <col min="15361" max="15361" width="14" style="24" customWidth="1"/>
    <col min="15362" max="15362" width="20.33203125" style="24" bestFit="1" customWidth="1"/>
    <col min="15363" max="15363" width="18.88671875" style="24" bestFit="1" customWidth="1"/>
    <col min="15364" max="15364" width="20.33203125" style="24" bestFit="1" customWidth="1"/>
    <col min="15365" max="15365" width="18.88671875" style="24" customWidth="1"/>
    <col min="15366" max="15366" width="14.6640625" style="24" customWidth="1"/>
    <col min="15367" max="15367" width="11.33203125" style="24" customWidth="1"/>
    <col min="15368" max="15368" width="18.6640625" style="24" customWidth="1"/>
    <col min="15369" max="15369" width="19.109375" style="24" bestFit="1" customWidth="1"/>
    <col min="15370" max="15370" width="10.109375" style="24" bestFit="1" customWidth="1"/>
    <col min="15371" max="15616" width="9.109375" style="24"/>
    <col min="15617" max="15617" width="14" style="24" customWidth="1"/>
    <col min="15618" max="15618" width="20.33203125" style="24" bestFit="1" customWidth="1"/>
    <col min="15619" max="15619" width="18.88671875" style="24" bestFit="1" customWidth="1"/>
    <col min="15620" max="15620" width="20.33203125" style="24" bestFit="1" customWidth="1"/>
    <col min="15621" max="15621" width="18.88671875" style="24" customWidth="1"/>
    <col min="15622" max="15622" width="14.6640625" style="24" customWidth="1"/>
    <col min="15623" max="15623" width="11.33203125" style="24" customWidth="1"/>
    <col min="15624" max="15624" width="18.6640625" style="24" customWidth="1"/>
    <col min="15625" max="15625" width="19.109375" style="24" bestFit="1" customWidth="1"/>
    <col min="15626" max="15626" width="10.109375" style="24" bestFit="1" customWidth="1"/>
    <col min="15627" max="15872" width="9.109375" style="24"/>
    <col min="15873" max="15873" width="14" style="24" customWidth="1"/>
    <col min="15874" max="15874" width="20.33203125" style="24" bestFit="1" customWidth="1"/>
    <col min="15875" max="15875" width="18.88671875" style="24" bestFit="1" customWidth="1"/>
    <col min="15876" max="15876" width="20.33203125" style="24" bestFit="1" customWidth="1"/>
    <col min="15877" max="15877" width="18.88671875" style="24" customWidth="1"/>
    <col min="15878" max="15878" width="14.6640625" style="24" customWidth="1"/>
    <col min="15879" max="15879" width="11.33203125" style="24" customWidth="1"/>
    <col min="15880" max="15880" width="18.6640625" style="24" customWidth="1"/>
    <col min="15881" max="15881" width="19.109375" style="24" bestFit="1" customWidth="1"/>
    <col min="15882" max="15882" width="10.109375" style="24" bestFit="1" customWidth="1"/>
    <col min="15883" max="16128" width="9.109375" style="24"/>
    <col min="16129" max="16129" width="14" style="24" customWidth="1"/>
    <col min="16130" max="16130" width="20.33203125" style="24" bestFit="1" customWidth="1"/>
    <col min="16131" max="16131" width="18.88671875" style="24" bestFit="1" customWidth="1"/>
    <col min="16132" max="16132" width="20.33203125" style="24" bestFit="1" customWidth="1"/>
    <col min="16133" max="16133" width="18.88671875" style="24" customWidth="1"/>
    <col min="16134" max="16134" width="14.6640625" style="24" customWidth="1"/>
    <col min="16135" max="16135" width="11.33203125" style="24" customWidth="1"/>
    <col min="16136" max="16136" width="18.6640625" style="24" customWidth="1"/>
    <col min="16137" max="16137" width="19.109375" style="24" bestFit="1" customWidth="1"/>
    <col min="16138" max="16138" width="10.109375" style="24" bestFit="1" customWidth="1"/>
    <col min="16139" max="16384" width="9.109375" style="24"/>
  </cols>
  <sheetData>
    <row r="1" spans="1:10" ht="17.399999999999999" x14ac:dyDescent="0.3">
      <c r="A1" s="31" t="s">
        <v>12</v>
      </c>
    </row>
    <row r="2" spans="1:10" ht="17.399999999999999" x14ac:dyDescent="0.3">
      <c r="A2" s="55"/>
      <c r="B2" s="34" t="s">
        <v>13</v>
      </c>
      <c r="C2" s="34" t="s">
        <v>14</v>
      </c>
      <c r="D2" s="34" t="s">
        <v>13</v>
      </c>
      <c r="E2" s="34" t="s">
        <v>14</v>
      </c>
      <c r="F2" s="34" t="s">
        <v>15</v>
      </c>
      <c r="G2" s="34" t="s">
        <v>16</v>
      </c>
      <c r="H2" s="34" t="s">
        <v>17</v>
      </c>
      <c r="I2" s="34" t="s">
        <v>18</v>
      </c>
      <c r="J2" s="15" t="s">
        <v>19</v>
      </c>
    </row>
    <row r="3" spans="1:10" x14ac:dyDescent="0.25">
      <c r="A3" s="56"/>
      <c r="B3" s="34" t="s">
        <v>20</v>
      </c>
      <c r="C3" s="34" t="s">
        <v>20</v>
      </c>
      <c r="D3" s="34"/>
      <c r="E3" s="34" t="s">
        <v>21</v>
      </c>
      <c r="F3" s="57" t="s">
        <v>20</v>
      </c>
      <c r="G3" s="34" t="s">
        <v>22</v>
      </c>
      <c r="H3" s="50"/>
      <c r="I3" s="34" t="s">
        <v>23</v>
      </c>
      <c r="J3" s="15" t="s">
        <v>24</v>
      </c>
    </row>
    <row r="4" spans="1:10" x14ac:dyDescent="0.25">
      <c r="A4" s="5">
        <v>44743</v>
      </c>
      <c r="B4" s="59">
        <v>4648</v>
      </c>
      <c r="C4" s="60">
        <f>IF(B5-B4 &lt; 0,0,B5-B4)</f>
        <v>4538</v>
      </c>
      <c r="D4" s="59">
        <v>4559</v>
      </c>
      <c r="E4" s="60">
        <f>IF(D5-D4 &lt; 0,0,D5-D4)</f>
        <v>2817</v>
      </c>
      <c r="F4" s="59">
        <v>383</v>
      </c>
      <c r="G4" s="61">
        <v>67</v>
      </c>
      <c r="H4" s="61"/>
      <c r="I4" s="60">
        <f>+E4+C4</f>
        <v>7355</v>
      </c>
      <c r="J4" s="16">
        <f>(C4*0.288)+(E4*0.177)</f>
        <v>1805.5529999999999</v>
      </c>
    </row>
    <row r="5" spans="1:10" x14ac:dyDescent="0.25">
      <c r="A5" s="5">
        <v>44744</v>
      </c>
      <c r="B5" s="59">
        <v>9186</v>
      </c>
      <c r="C5" s="60">
        <f t="shared" ref="C5:E34" si="0">IF(B6-B5 &lt; 0,0,B6-B5)</f>
        <v>4458</v>
      </c>
      <c r="D5" s="59">
        <v>7376</v>
      </c>
      <c r="E5" s="60">
        <f t="shared" ref="E5:E33" si="1">IF(D6-D5 &lt; 0,0,D6-D5)</f>
        <v>3018</v>
      </c>
      <c r="F5" s="59">
        <v>383</v>
      </c>
      <c r="G5" s="61">
        <v>64</v>
      </c>
      <c r="H5" s="61"/>
      <c r="I5" s="60">
        <f>+E5+C5</f>
        <v>7476</v>
      </c>
      <c r="J5" s="16">
        <f t="shared" ref="J5:J35" si="2">(C5*0.288)+(E5*0.177)</f>
        <v>1818.09</v>
      </c>
    </row>
    <row r="6" spans="1:10" ht="11.25" customHeight="1" x14ac:dyDescent="0.25">
      <c r="A6" s="5">
        <v>44745</v>
      </c>
      <c r="B6" s="59">
        <v>13644</v>
      </c>
      <c r="C6" s="60">
        <f t="shared" si="0"/>
        <v>4179</v>
      </c>
      <c r="D6" s="59">
        <v>10394</v>
      </c>
      <c r="E6" s="60">
        <f t="shared" si="1"/>
        <v>2414</v>
      </c>
      <c r="F6" s="59">
        <v>383</v>
      </c>
      <c r="G6" s="61">
        <v>59</v>
      </c>
      <c r="H6" s="61"/>
      <c r="I6" s="60">
        <f>+E6+C6</f>
        <v>6593</v>
      </c>
      <c r="J6" s="16">
        <f t="shared" si="2"/>
        <v>1630.83</v>
      </c>
    </row>
    <row r="7" spans="1:10" x14ac:dyDescent="0.25">
      <c r="A7" s="5">
        <v>44746</v>
      </c>
      <c r="B7" s="59">
        <v>17823</v>
      </c>
      <c r="C7" s="60">
        <f t="shared" si="0"/>
        <v>4508</v>
      </c>
      <c r="D7" s="59">
        <v>12808</v>
      </c>
      <c r="E7" s="60">
        <f t="shared" si="1"/>
        <v>2853</v>
      </c>
      <c r="F7" s="61">
        <v>383</v>
      </c>
      <c r="G7" s="61">
        <v>80</v>
      </c>
      <c r="H7" s="61"/>
      <c r="I7" s="60">
        <f t="shared" ref="I7:I35" si="3">+E7+C7</f>
        <v>7361</v>
      </c>
      <c r="J7" s="16">
        <f t="shared" si="2"/>
        <v>1803.2849999999999</v>
      </c>
    </row>
    <row r="8" spans="1:10" x14ac:dyDescent="0.25">
      <c r="A8" s="5">
        <v>44747</v>
      </c>
      <c r="B8" s="59">
        <v>22331</v>
      </c>
      <c r="C8" s="60">
        <f t="shared" si="0"/>
        <v>4769</v>
      </c>
      <c r="D8" s="59">
        <v>15661</v>
      </c>
      <c r="E8" s="60">
        <f t="shared" si="1"/>
        <v>3036</v>
      </c>
      <c r="F8" s="61">
        <v>383</v>
      </c>
      <c r="G8" s="61">
        <v>80</v>
      </c>
      <c r="H8" s="61"/>
      <c r="I8" s="60">
        <f t="shared" si="3"/>
        <v>7805</v>
      </c>
      <c r="J8" s="16">
        <f t="shared" si="2"/>
        <v>1910.8440000000001</v>
      </c>
    </row>
    <row r="9" spans="1:10" x14ac:dyDescent="0.25">
      <c r="A9" s="5">
        <v>44748</v>
      </c>
      <c r="B9" s="59">
        <v>27100</v>
      </c>
      <c r="C9" s="60">
        <f t="shared" si="0"/>
        <v>5019</v>
      </c>
      <c r="D9" s="59">
        <v>18697</v>
      </c>
      <c r="E9" s="60">
        <f t="shared" si="1"/>
        <v>2827</v>
      </c>
      <c r="F9" s="59">
        <v>383</v>
      </c>
      <c r="G9" s="61">
        <v>50</v>
      </c>
      <c r="H9" s="61"/>
      <c r="I9" s="60">
        <f t="shared" si="3"/>
        <v>7846</v>
      </c>
      <c r="J9" s="16">
        <f t="shared" si="2"/>
        <v>1945.8509999999999</v>
      </c>
    </row>
    <row r="10" spans="1:10" x14ac:dyDescent="0.25">
      <c r="A10" s="5">
        <v>44749</v>
      </c>
      <c r="B10" s="59">
        <v>32119</v>
      </c>
      <c r="C10" s="60">
        <f t="shared" si="0"/>
        <v>5477</v>
      </c>
      <c r="D10" s="59">
        <v>21524</v>
      </c>
      <c r="E10" s="60">
        <f t="shared" si="1"/>
        <v>3162</v>
      </c>
      <c r="F10" s="59">
        <v>423</v>
      </c>
      <c r="G10" s="61">
        <v>53</v>
      </c>
      <c r="H10" s="61"/>
      <c r="I10" s="60">
        <f t="shared" si="3"/>
        <v>8639</v>
      </c>
      <c r="J10" s="16">
        <f t="shared" si="2"/>
        <v>2137.0500000000002</v>
      </c>
    </row>
    <row r="11" spans="1:10" x14ac:dyDescent="0.25">
      <c r="A11" s="5">
        <v>44750</v>
      </c>
      <c r="B11" s="59">
        <v>37596</v>
      </c>
      <c r="C11" s="60">
        <f t="shared" si="0"/>
        <v>5578</v>
      </c>
      <c r="D11" s="59">
        <v>24686</v>
      </c>
      <c r="E11" s="60">
        <f t="shared" si="1"/>
        <v>3176</v>
      </c>
      <c r="F11" s="59">
        <v>443</v>
      </c>
      <c r="G11" s="61">
        <v>70</v>
      </c>
      <c r="H11" s="61"/>
      <c r="I11" s="60">
        <f t="shared" si="3"/>
        <v>8754</v>
      </c>
      <c r="J11" s="16">
        <f t="shared" si="2"/>
        <v>2168.616</v>
      </c>
    </row>
    <row r="12" spans="1:10" x14ac:dyDescent="0.25">
      <c r="A12" s="5">
        <v>44751</v>
      </c>
      <c r="B12" s="59">
        <v>43174</v>
      </c>
      <c r="C12" s="60">
        <f t="shared" si="0"/>
        <v>5469</v>
      </c>
      <c r="D12" s="59">
        <v>27862</v>
      </c>
      <c r="E12" s="60">
        <f t="shared" si="1"/>
        <v>3966</v>
      </c>
      <c r="F12" s="59">
        <v>463</v>
      </c>
      <c r="G12" s="61">
        <v>71</v>
      </c>
      <c r="H12" s="61"/>
      <c r="I12" s="60">
        <f t="shared" si="3"/>
        <v>9435</v>
      </c>
      <c r="J12" s="16">
        <f t="shared" si="2"/>
        <v>2277.0540000000001</v>
      </c>
    </row>
    <row r="13" spans="1:10" x14ac:dyDescent="0.25">
      <c r="A13" s="5">
        <v>44752</v>
      </c>
      <c r="B13" s="59">
        <v>48643</v>
      </c>
      <c r="C13" s="60">
        <f t="shared" si="0"/>
        <v>5349</v>
      </c>
      <c r="D13" s="59">
        <v>31828</v>
      </c>
      <c r="E13" s="60">
        <f t="shared" si="1"/>
        <v>3676</v>
      </c>
      <c r="F13" s="59">
        <v>464</v>
      </c>
      <c r="G13" s="61">
        <v>71</v>
      </c>
      <c r="H13" s="61"/>
      <c r="I13" s="60">
        <f t="shared" si="3"/>
        <v>9025</v>
      </c>
      <c r="J13" s="16">
        <f t="shared" si="2"/>
        <v>2191.1639999999998</v>
      </c>
    </row>
    <row r="14" spans="1:10" x14ac:dyDescent="0.25">
      <c r="A14" s="5">
        <v>44753</v>
      </c>
      <c r="B14" s="59">
        <v>53992</v>
      </c>
      <c r="C14" s="60">
        <f t="shared" si="0"/>
        <v>4598</v>
      </c>
      <c r="D14" s="59">
        <v>35504</v>
      </c>
      <c r="E14" s="60">
        <f t="shared" si="1"/>
        <v>2757</v>
      </c>
      <c r="F14" s="59">
        <v>464</v>
      </c>
      <c r="G14" s="61">
        <v>60</v>
      </c>
      <c r="H14" s="61"/>
      <c r="I14" s="60">
        <f t="shared" si="3"/>
        <v>7355</v>
      </c>
      <c r="J14" s="16">
        <f t="shared" si="2"/>
        <v>1812.213</v>
      </c>
    </row>
    <row r="15" spans="1:10" x14ac:dyDescent="0.25">
      <c r="A15" s="5">
        <v>44754</v>
      </c>
      <c r="B15" s="59">
        <v>58590</v>
      </c>
      <c r="C15" s="60">
        <f t="shared" si="0"/>
        <v>4728</v>
      </c>
      <c r="D15" s="59">
        <v>38261</v>
      </c>
      <c r="E15" s="60">
        <f t="shared" si="1"/>
        <v>2796</v>
      </c>
      <c r="F15" s="59">
        <v>464</v>
      </c>
      <c r="G15" s="61">
        <v>51</v>
      </c>
      <c r="H15" s="61"/>
      <c r="I15" s="60">
        <f t="shared" si="3"/>
        <v>7524</v>
      </c>
      <c r="J15" s="16">
        <f t="shared" si="2"/>
        <v>1856.556</v>
      </c>
    </row>
    <row r="16" spans="1:10" x14ac:dyDescent="0.25">
      <c r="A16" s="5">
        <v>44755</v>
      </c>
      <c r="B16" s="59">
        <v>63318</v>
      </c>
      <c r="C16" s="60">
        <f t="shared" si="0"/>
        <v>4437</v>
      </c>
      <c r="D16" s="59">
        <v>41057</v>
      </c>
      <c r="E16" s="60">
        <f t="shared" si="1"/>
        <v>2724</v>
      </c>
      <c r="F16" s="59">
        <v>463</v>
      </c>
      <c r="G16" s="61">
        <v>51</v>
      </c>
      <c r="H16" s="61"/>
      <c r="I16" s="60">
        <f t="shared" si="3"/>
        <v>7161</v>
      </c>
      <c r="J16" s="16">
        <f t="shared" si="2"/>
        <v>1760.0039999999999</v>
      </c>
    </row>
    <row r="17" spans="1:10" x14ac:dyDescent="0.25">
      <c r="A17" s="5">
        <v>44756</v>
      </c>
      <c r="B17" s="59">
        <v>67755</v>
      </c>
      <c r="C17" s="60">
        <f t="shared" si="0"/>
        <v>5118</v>
      </c>
      <c r="D17" s="59">
        <v>43781</v>
      </c>
      <c r="E17" s="60">
        <f t="shared" si="1"/>
        <v>2895</v>
      </c>
      <c r="F17" s="59">
        <v>463</v>
      </c>
      <c r="G17" s="61">
        <v>54</v>
      </c>
      <c r="H17" s="61"/>
      <c r="I17" s="60">
        <f t="shared" si="3"/>
        <v>8013</v>
      </c>
      <c r="J17" s="16">
        <f t="shared" si="2"/>
        <v>1986.3989999999999</v>
      </c>
    </row>
    <row r="18" spans="1:10" x14ac:dyDescent="0.25">
      <c r="A18" s="5">
        <v>44757</v>
      </c>
      <c r="B18" s="59">
        <v>72873</v>
      </c>
      <c r="C18" s="60">
        <f t="shared" si="0"/>
        <v>5007</v>
      </c>
      <c r="D18" s="59">
        <v>46676</v>
      </c>
      <c r="E18" s="60">
        <f t="shared" si="1"/>
        <v>2954</v>
      </c>
      <c r="F18" s="59">
        <v>463</v>
      </c>
      <c r="G18" s="61">
        <v>66</v>
      </c>
      <c r="H18" s="61"/>
      <c r="I18" s="60">
        <f t="shared" si="3"/>
        <v>7961</v>
      </c>
      <c r="J18" s="16">
        <f t="shared" si="2"/>
        <v>1964.8739999999998</v>
      </c>
    </row>
    <row r="19" spans="1:10" x14ac:dyDescent="0.25">
      <c r="A19" s="5">
        <v>44758</v>
      </c>
      <c r="B19" s="59">
        <v>77880</v>
      </c>
      <c r="C19" s="60">
        <f t="shared" si="0"/>
        <v>5308</v>
      </c>
      <c r="D19" s="59">
        <v>49630</v>
      </c>
      <c r="E19" s="60">
        <f t="shared" si="1"/>
        <v>3396</v>
      </c>
      <c r="F19" s="59">
        <v>464</v>
      </c>
      <c r="G19" s="61">
        <v>63</v>
      </c>
      <c r="H19" s="61"/>
      <c r="I19" s="60">
        <f t="shared" si="3"/>
        <v>8704</v>
      </c>
      <c r="J19" s="16">
        <f t="shared" si="2"/>
        <v>2129.7959999999998</v>
      </c>
    </row>
    <row r="20" spans="1:10" x14ac:dyDescent="0.25">
      <c r="A20" s="5">
        <v>44759</v>
      </c>
      <c r="B20" s="59">
        <v>83188</v>
      </c>
      <c r="C20" s="60">
        <f t="shared" si="0"/>
        <v>5300</v>
      </c>
      <c r="D20" s="59">
        <v>53026</v>
      </c>
      <c r="E20" s="60">
        <f t="shared" si="1"/>
        <v>3405</v>
      </c>
      <c r="F20" s="59">
        <v>464</v>
      </c>
      <c r="G20" s="61">
        <v>65</v>
      </c>
      <c r="H20" s="61"/>
      <c r="I20" s="60">
        <f t="shared" si="3"/>
        <v>8705</v>
      </c>
      <c r="J20" s="16">
        <f t="shared" si="2"/>
        <v>2129.085</v>
      </c>
    </row>
    <row r="21" spans="1:10" x14ac:dyDescent="0.25">
      <c r="A21" s="5">
        <v>44760</v>
      </c>
      <c r="B21" s="59">
        <v>88488</v>
      </c>
      <c r="C21" s="60">
        <f t="shared" si="0"/>
        <v>5279</v>
      </c>
      <c r="D21" s="59">
        <v>56431</v>
      </c>
      <c r="E21" s="60">
        <f t="shared" si="1"/>
        <v>3136</v>
      </c>
      <c r="F21" s="59">
        <v>464</v>
      </c>
      <c r="G21" s="61">
        <v>46</v>
      </c>
      <c r="H21" s="61"/>
      <c r="I21" s="60">
        <f t="shared" si="3"/>
        <v>8415</v>
      </c>
      <c r="J21" s="16">
        <f t="shared" si="2"/>
        <v>2075.424</v>
      </c>
    </row>
    <row r="22" spans="1:10" x14ac:dyDescent="0.25">
      <c r="A22" s="5">
        <v>44761</v>
      </c>
      <c r="B22" s="59">
        <v>93767</v>
      </c>
      <c r="C22" s="60">
        <f t="shared" si="0"/>
        <v>4814</v>
      </c>
      <c r="D22" s="59">
        <v>59567</v>
      </c>
      <c r="E22" s="60">
        <f t="shared" si="1"/>
        <v>2818</v>
      </c>
      <c r="F22" s="59">
        <v>464</v>
      </c>
      <c r="G22" s="61">
        <v>44</v>
      </c>
      <c r="H22" s="61"/>
      <c r="I22" s="60">
        <f t="shared" si="3"/>
        <v>7632</v>
      </c>
      <c r="J22" s="16">
        <f t="shared" si="2"/>
        <v>1885.2179999999998</v>
      </c>
    </row>
    <row r="23" spans="1:10" x14ac:dyDescent="0.25">
      <c r="A23" s="5">
        <v>44762</v>
      </c>
      <c r="B23" s="59">
        <v>98581</v>
      </c>
      <c r="C23" s="60">
        <f t="shared" si="0"/>
        <v>5653</v>
      </c>
      <c r="D23" s="59">
        <v>62385</v>
      </c>
      <c r="E23" s="60">
        <f t="shared" si="1"/>
        <v>3734</v>
      </c>
      <c r="F23" s="59">
        <v>464</v>
      </c>
      <c r="G23" s="61">
        <v>62</v>
      </c>
      <c r="H23" s="61"/>
      <c r="I23" s="60">
        <f t="shared" si="3"/>
        <v>9387</v>
      </c>
      <c r="J23" s="16">
        <f t="shared" si="2"/>
        <v>2288.982</v>
      </c>
    </row>
    <row r="24" spans="1:10" x14ac:dyDescent="0.25">
      <c r="A24" s="5">
        <v>44763</v>
      </c>
      <c r="B24" s="59">
        <v>104234</v>
      </c>
      <c r="C24" s="60">
        <f t="shared" si="0"/>
        <v>5655</v>
      </c>
      <c r="D24" s="59">
        <v>66119</v>
      </c>
      <c r="E24" s="60">
        <f t="shared" si="1"/>
        <v>5415</v>
      </c>
      <c r="F24" s="59">
        <v>463</v>
      </c>
      <c r="G24" s="61">
        <v>57</v>
      </c>
      <c r="H24" s="61"/>
      <c r="I24" s="60">
        <f t="shared" si="3"/>
        <v>11070</v>
      </c>
      <c r="J24" s="16">
        <f t="shared" si="2"/>
        <v>2587.0949999999998</v>
      </c>
    </row>
    <row r="25" spans="1:10" x14ac:dyDescent="0.25">
      <c r="A25" s="5">
        <v>44764</v>
      </c>
      <c r="B25" s="59">
        <v>109889</v>
      </c>
      <c r="C25" s="60">
        <f t="shared" si="0"/>
        <v>5111</v>
      </c>
      <c r="D25" s="59">
        <v>71534</v>
      </c>
      <c r="E25" s="60">
        <f t="shared" si="1"/>
        <v>774</v>
      </c>
      <c r="F25" s="59">
        <v>463</v>
      </c>
      <c r="G25" s="61">
        <v>54</v>
      </c>
      <c r="H25" s="61"/>
      <c r="I25" s="60">
        <f t="shared" si="3"/>
        <v>5885</v>
      </c>
      <c r="J25" s="16">
        <f t="shared" si="2"/>
        <v>1608.9659999999999</v>
      </c>
    </row>
    <row r="26" spans="1:10" x14ac:dyDescent="0.25">
      <c r="A26" s="5">
        <v>44765</v>
      </c>
      <c r="B26" s="59">
        <v>115000</v>
      </c>
      <c r="C26" s="60">
        <f t="shared" si="0"/>
        <v>5660</v>
      </c>
      <c r="D26" s="59">
        <v>72308</v>
      </c>
      <c r="E26" s="60">
        <f t="shared" si="1"/>
        <v>3163</v>
      </c>
      <c r="F26" s="59">
        <v>464</v>
      </c>
      <c r="G26" s="61">
        <v>58</v>
      </c>
      <c r="H26" s="62"/>
      <c r="I26" s="60">
        <f t="shared" si="3"/>
        <v>8823</v>
      </c>
      <c r="J26" s="16">
        <f t="shared" si="2"/>
        <v>2189.931</v>
      </c>
    </row>
    <row r="27" spans="1:10" x14ac:dyDescent="0.25">
      <c r="A27" s="5">
        <v>44766</v>
      </c>
      <c r="B27" s="59">
        <v>120660</v>
      </c>
      <c r="C27" s="60">
        <f t="shared" si="0"/>
        <v>5357</v>
      </c>
      <c r="D27" s="59">
        <v>75471</v>
      </c>
      <c r="E27" s="60">
        <f t="shared" si="1"/>
        <v>3076</v>
      </c>
      <c r="F27" s="59">
        <v>464</v>
      </c>
      <c r="G27" s="61">
        <v>55</v>
      </c>
      <c r="H27" s="61"/>
      <c r="I27" s="60">
        <f t="shared" si="3"/>
        <v>8433</v>
      </c>
      <c r="J27" s="16">
        <f t="shared" si="2"/>
        <v>2087.268</v>
      </c>
    </row>
    <row r="28" spans="1:10" x14ac:dyDescent="0.25">
      <c r="A28" s="5">
        <v>44767</v>
      </c>
      <c r="B28" s="59">
        <v>126017</v>
      </c>
      <c r="C28" s="60">
        <f t="shared" si="0"/>
        <v>5148</v>
      </c>
      <c r="D28" s="59">
        <v>78547</v>
      </c>
      <c r="E28" s="60">
        <f t="shared" si="1"/>
        <v>2946</v>
      </c>
      <c r="F28" s="59">
        <v>464</v>
      </c>
      <c r="G28" s="61">
        <v>51</v>
      </c>
      <c r="H28" s="61"/>
      <c r="I28" s="60">
        <f t="shared" si="3"/>
        <v>8094</v>
      </c>
      <c r="J28" s="16">
        <f t="shared" si="2"/>
        <v>2004.0659999999998</v>
      </c>
    </row>
    <row r="29" spans="1:10" x14ac:dyDescent="0.25">
      <c r="A29" s="5">
        <v>44768</v>
      </c>
      <c r="B29" s="59">
        <v>131165</v>
      </c>
      <c r="C29" s="60">
        <f t="shared" si="0"/>
        <v>4899</v>
      </c>
      <c r="D29" s="59">
        <v>81493</v>
      </c>
      <c r="E29" s="60">
        <f t="shared" si="1"/>
        <v>2746</v>
      </c>
      <c r="F29" s="59">
        <v>464</v>
      </c>
      <c r="G29" s="61">
        <v>59</v>
      </c>
      <c r="H29" s="61"/>
      <c r="I29" s="60">
        <f t="shared" si="3"/>
        <v>7645</v>
      </c>
      <c r="J29" s="16">
        <f t="shared" si="2"/>
        <v>1896.9539999999997</v>
      </c>
    </row>
    <row r="30" spans="1:10" x14ac:dyDescent="0.25">
      <c r="A30" s="5">
        <v>44769</v>
      </c>
      <c r="B30" s="59">
        <v>136064</v>
      </c>
      <c r="C30" s="60">
        <f t="shared" si="0"/>
        <v>4728</v>
      </c>
      <c r="D30" s="59">
        <v>84239</v>
      </c>
      <c r="E30" s="60">
        <f t="shared" si="1"/>
        <v>2985</v>
      </c>
      <c r="F30" s="59">
        <v>464</v>
      </c>
      <c r="G30" s="61">
        <v>47</v>
      </c>
      <c r="H30" s="61"/>
      <c r="I30" s="60">
        <f t="shared" si="3"/>
        <v>7713</v>
      </c>
      <c r="J30" s="16">
        <f t="shared" si="2"/>
        <v>1890.009</v>
      </c>
    </row>
    <row r="31" spans="1:10" x14ac:dyDescent="0.25">
      <c r="A31" s="5">
        <v>44770</v>
      </c>
      <c r="B31" s="59">
        <v>140792</v>
      </c>
      <c r="C31" s="60">
        <f t="shared" si="0"/>
        <v>4919</v>
      </c>
      <c r="D31" s="59">
        <v>87224</v>
      </c>
      <c r="E31" s="60">
        <f t="shared" si="1"/>
        <v>2915</v>
      </c>
      <c r="F31" s="59">
        <v>464</v>
      </c>
      <c r="G31" s="61">
        <v>38</v>
      </c>
      <c r="H31" s="61"/>
      <c r="I31" s="60">
        <f t="shared" si="3"/>
        <v>7834</v>
      </c>
      <c r="J31" s="16">
        <f t="shared" si="2"/>
        <v>1932.6269999999997</v>
      </c>
    </row>
    <row r="32" spans="1:10" x14ac:dyDescent="0.25">
      <c r="A32" s="5">
        <v>44771</v>
      </c>
      <c r="B32" s="59">
        <v>145711</v>
      </c>
      <c r="C32" s="60">
        <f t="shared" si="0"/>
        <v>4408</v>
      </c>
      <c r="D32" s="59">
        <v>90139</v>
      </c>
      <c r="E32" s="60">
        <f t="shared" si="1"/>
        <v>2917</v>
      </c>
      <c r="F32" s="59">
        <v>464</v>
      </c>
      <c r="G32" s="61">
        <v>48</v>
      </c>
      <c r="H32" s="61"/>
      <c r="I32" s="60">
        <f t="shared" si="3"/>
        <v>7325</v>
      </c>
      <c r="J32" s="16">
        <f t="shared" si="2"/>
        <v>1785.8129999999999</v>
      </c>
    </row>
    <row r="33" spans="1:10" x14ac:dyDescent="0.25">
      <c r="A33" s="5">
        <v>44772</v>
      </c>
      <c r="B33" s="59">
        <v>150119</v>
      </c>
      <c r="C33" s="60">
        <f t="shared" si="0"/>
        <v>0</v>
      </c>
      <c r="D33" s="59">
        <v>93056</v>
      </c>
      <c r="E33" s="60">
        <f t="shared" si="1"/>
        <v>0</v>
      </c>
      <c r="F33" s="59">
        <v>464</v>
      </c>
      <c r="G33" s="61">
        <v>48</v>
      </c>
      <c r="H33" s="61"/>
      <c r="I33" s="60">
        <f t="shared" si="3"/>
        <v>0</v>
      </c>
      <c r="J33" s="16">
        <f t="shared" si="2"/>
        <v>0</v>
      </c>
    </row>
    <row r="34" spans="1:10" x14ac:dyDescent="0.25">
      <c r="A34" s="5">
        <v>44773</v>
      </c>
      <c r="B34" s="59">
        <v>0</v>
      </c>
      <c r="C34" s="60">
        <f t="shared" si="0"/>
        <v>0</v>
      </c>
      <c r="D34" s="59">
        <v>2215</v>
      </c>
      <c r="E34" s="60">
        <f t="shared" si="0"/>
        <v>0</v>
      </c>
      <c r="F34" s="59">
        <v>0</v>
      </c>
      <c r="G34" s="61">
        <v>42</v>
      </c>
      <c r="H34" s="61"/>
      <c r="I34" s="60">
        <f t="shared" si="3"/>
        <v>0</v>
      </c>
      <c r="J34" s="16">
        <f t="shared" si="2"/>
        <v>0</v>
      </c>
    </row>
    <row r="35" spans="1:10" x14ac:dyDescent="0.25">
      <c r="A35" s="58"/>
      <c r="B35" s="63"/>
      <c r="C35" s="60"/>
      <c r="D35" s="59"/>
      <c r="E35" s="60"/>
      <c r="F35" s="59"/>
      <c r="G35" s="61"/>
      <c r="H35" s="61"/>
      <c r="I35" s="60">
        <f t="shared" si="3"/>
        <v>0</v>
      </c>
      <c r="J35" s="16">
        <f t="shared" si="2"/>
        <v>0</v>
      </c>
    </row>
    <row r="36" spans="1:10" x14ac:dyDescent="0.25">
      <c r="A36" s="90"/>
      <c r="B36" s="91"/>
      <c r="C36" s="64">
        <f>SUM(C4:C35)</f>
        <v>145471</v>
      </c>
      <c r="D36" s="64"/>
      <c r="E36" s="64">
        <f>SUM(E4:E35)</f>
        <v>88497</v>
      </c>
      <c r="F36" s="64"/>
      <c r="G36" s="50"/>
      <c r="H36" s="50"/>
      <c r="I36" s="60">
        <f>+E36+C36</f>
        <v>233968</v>
      </c>
      <c r="J36" s="16">
        <f>(C36*0.288)+(E36*0.177)</f>
        <v>57559.616999999991</v>
      </c>
    </row>
    <row r="37" spans="1:10" x14ac:dyDescent="0.25">
      <c r="A37" s="52">
        <f>COUNT(A4:A34)</f>
        <v>31</v>
      </c>
      <c r="G37" s="32"/>
    </row>
    <row r="38" spans="1:10" x14ac:dyDescent="0.25">
      <c r="H38" s="24" t="s">
        <v>31</v>
      </c>
    </row>
    <row r="39" spans="1:10" ht="15.6" x14ac:dyDescent="0.3">
      <c r="A39" s="54" t="s">
        <v>29</v>
      </c>
      <c r="H39" s="24" t="s">
        <v>32</v>
      </c>
    </row>
    <row r="40" spans="1:10" x14ac:dyDescent="0.25">
      <c r="H40" s="24" t="s">
        <v>33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38"/>
  <sheetViews>
    <sheetView zoomScale="90" zoomScaleNormal="90" workbookViewId="0">
      <selection activeCell="F4" sqref="F4:F34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1.6640625" customWidth="1"/>
    <col min="8" max="8" width="19.109375" style="1" bestFit="1" customWidth="1"/>
    <col min="9" max="9" width="13.33203125" style="14" customWidth="1"/>
  </cols>
  <sheetData>
    <row r="1" spans="1:9" ht="17.399999999999999" x14ac:dyDescent="0.3">
      <c r="A1" s="6" t="s">
        <v>34</v>
      </c>
    </row>
    <row r="2" spans="1:9" ht="17.399999999999999" x14ac:dyDescent="0.3">
      <c r="A2" s="2"/>
      <c r="B2" s="7" t="s">
        <v>35</v>
      </c>
      <c r="C2" s="7" t="s">
        <v>36</v>
      </c>
      <c r="D2" s="7" t="s">
        <v>37</v>
      </c>
      <c r="E2" s="7" t="s">
        <v>36</v>
      </c>
      <c r="F2" s="7" t="s">
        <v>16</v>
      </c>
      <c r="G2" s="7" t="s">
        <v>17</v>
      </c>
      <c r="H2" s="7" t="s">
        <v>18</v>
      </c>
      <c r="I2" s="15" t="s">
        <v>19</v>
      </c>
    </row>
    <row r="3" spans="1:9" x14ac:dyDescent="0.25">
      <c r="A3" s="3"/>
      <c r="B3" s="7" t="s">
        <v>38</v>
      </c>
      <c r="C3" s="7" t="s">
        <v>38</v>
      </c>
      <c r="D3" s="7" t="s">
        <v>38</v>
      </c>
      <c r="E3" s="7" t="s">
        <v>38</v>
      </c>
      <c r="F3" s="7" t="s">
        <v>22</v>
      </c>
      <c r="G3" s="11"/>
      <c r="H3" s="7" t="s">
        <v>38</v>
      </c>
      <c r="I3" s="15" t="s">
        <v>24</v>
      </c>
    </row>
    <row r="4" spans="1:9" x14ac:dyDescent="0.25">
      <c r="A4" s="5">
        <v>44743</v>
      </c>
      <c r="B4" s="10">
        <v>365230</v>
      </c>
      <c r="C4" s="8">
        <f t="shared" ref="C4:C7" si="0">IF(B5-B4&lt;0,0,B5-B4)</f>
        <v>951</v>
      </c>
      <c r="D4" s="10">
        <v>3283</v>
      </c>
      <c r="E4" s="8">
        <f t="shared" ref="E4:E6" si="1">IF(D5-D4&lt;0,0,D5-D4)</f>
        <v>0</v>
      </c>
      <c r="F4" s="61">
        <v>67</v>
      </c>
      <c r="G4" s="61"/>
      <c r="H4" s="8">
        <f>+E4+C4</f>
        <v>951</v>
      </c>
      <c r="I4" s="16">
        <f>(C4*1.35)+(E4*1.35)</f>
        <v>1283.8500000000001</v>
      </c>
    </row>
    <row r="5" spans="1:9" x14ac:dyDescent="0.25">
      <c r="A5" s="5">
        <v>44744</v>
      </c>
      <c r="B5" s="10">
        <v>366181</v>
      </c>
      <c r="C5" s="8">
        <f t="shared" si="0"/>
        <v>988</v>
      </c>
      <c r="D5" s="10">
        <v>3283</v>
      </c>
      <c r="E5" s="8">
        <f t="shared" si="1"/>
        <v>3</v>
      </c>
      <c r="F5" s="61">
        <v>64</v>
      </c>
      <c r="G5" s="61"/>
      <c r="H5" s="8">
        <f t="shared" ref="H5:H34" si="2">+E5+C5</f>
        <v>991</v>
      </c>
      <c r="I5" s="16">
        <f t="shared" ref="I5:I34" si="3">(C5*1.35)+(E5*1.35)</f>
        <v>1337.8500000000001</v>
      </c>
    </row>
    <row r="6" spans="1:9" x14ac:dyDescent="0.25">
      <c r="A6" s="5">
        <v>44745</v>
      </c>
      <c r="B6" s="10">
        <v>367169</v>
      </c>
      <c r="C6" s="8">
        <f t="shared" si="0"/>
        <v>970</v>
      </c>
      <c r="D6" s="10">
        <v>3286</v>
      </c>
      <c r="E6" s="8">
        <f t="shared" si="1"/>
        <v>3</v>
      </c>
      <c r="F6" s="61">
        <v>59</v>
      </c>
      <c r="G6" s="61"/>
      <c r="H6" s="8">
        <f t="shared" si="2"/>
        <v>973</v>
      </c>
      <c r="I6" s="16">
        <f>(C6*1.35)+(E6*1.35)</f>
        <v>1313.55</v>
      </c>
    </row>
    <row r="7" spans="1:9" x14ac:dyDescent="0.25">
      <c r="A7" s="5">
        <v>44746</v>
      </c>
      <c r="B7" s="10">
        <v>368139</v>
      </c>
      <c r="C7" s="8">
        <f t="shared" si="0"/>
        <v>1049</v>
      </c>
      <c r="D7" s="10">
        <v>3289</v>
      </c>
      <c r="E7" s="8">
        <f>IF(D8-D7&lt;0,0,D8-D7)</f>
        <v>1</v>
      </c>
      <c r="F7" s="61">
        <v>80</v>
      </c>
      <c r="G7" s="61"/>
      <c r="H7" s="8">
        <f t="shared" si="2"/>
        <v>1050</v>
      </c>
      <c r="I7" s="16">
        <f t="shared" si="3"/>
        <v>1417.5</v>
      </c>
    </row>
    <row r="8" spans="1:9" x14ac:dyDescent="0.25">
      <c r="A8" s="5">
        <v>44747</v>
      </c>
      <c r="B8" s="10">
        <v>369188</v>
      </c>
      <c r="C8" s="8">
        <f>IF(B9-B8&lt;0,0,B9-B8)</f>
        <v>1024</v>
      </c>
      <c r="D8" s="10">
        <v>3290</v>
      </c>
      <c r="E8" s="8">
        <f>IF(D9-D8&lt;0,0,D9-D8)</f>
        <v>3</v>
      </c>
      <c r="F8" s="61">
        <v>80</v>
      </c>
      <c r="G8" s="61"/>
      <c r="H8" s="8">
        <f t="shared" si="2"/>
        <v>1027</v>
      </c>
      <c r="I8" s="16">
        <f t="shared" si="3"/>
        <v>1386.45</v>
      </c>
    </row>
    <row r="9" spans="1:9" x14ac:dyDescent="0.25">
      <c r="A9" s="5">
        <v>44748</v>
      </c>
      <c r="B9" s="10">
        <v>370212</v>
      </c>
      <c r="C9" s="8">
        <f t="shared" ref="C9:C33" si="4">IF(B10-B9&lt;0,0,B10-B9)</f>
        <v>992</v>
      </c>
      <c r="D9" s="10">
        <v>3293</v>
      </c>
      <c r="E9" s="8">
        <f t="shared" ref="E9:E32" si="5">IF(D10-D9&lt;0,0,D10-D9)</f>
        <v>4</v>
      </c>
      <c r="F9" s="61">
        <v>50</v>
      </c>
      <c r="G9" s="61"/>
      <c r="H9" s="8">
        <f t="shared" si="2"/>
        <v>996</v>
      </c>
      <c r="I9" s="16">
        <f t="shared" si="3"/>
        <v>1344.6000000000001</v>
      </c>
    </row>
    <row r="10" spans="1:9" x14ac:dyDescent="0.25">
      <c r="A10" s="5">
        <v>44749</v>
      </c>
      <c r="B10" s="10">
        <v>371204</v>
      </c>
      <c r="C10" s="8">
        <f t="shared" si="4"/>
        <v>964</v>
      </c>
      <c r="D10" s="10">
        <v>3297</v>
      </c>
      <c r="E10" s="8">
        <f t="shared" si="5"/>
        <v>1</v>
      </c>
      <c r="F10" s="61">
        <v>53</v>
      </c>
      <c r="G10" s="61"/>
      <c r="H10" s="8">
        <f t="shared" si="2"/>
        <v>965</v>
      </c>
      <c r="I10" s="16">
        <f t="shared" si="3"/>
        <v>1302.75</v>
      </c>
    </row>
    <row r="11" spans="1:9" x14ac:dyDescent="0.25">
      <c r="A11" s="5">
        <v>44750</v>
      </c>
      <c r="B11" s="10">
        <v>372168</v>
      </c>
      <c r="C11" s="8">
        <f t="shared" si="4"/>
        <v>994</v>
      </c>
      <c r="D11" s="10">
        <v>3298</v>
      </c>
      <c r="E11" s="8">
        <f t="shared" si="5"/>
        <v>1</v>
      </c>
      <c r="F11" s="61">
        <v>70</v>
      </c>
      <c r="G11" s="61"/>
      <c r="H11" s="8">
        <f t="shared" si="2"/>
        <v>995</v>
      </c>
      <c r="I11" s="16">
        <f t="shared" si="3"/>
        <v>1343.25</v>
      </c>
    </row>
    <row r="12" spans="1:9" x14ac:dyDescent="0.25">
      <c r="A12" s="5">
        <v>44751</v>
      </c>
      <c r="B12" s="10">
        <v>373162</v>
      </c>
      <c r="C12" s="8">
        <f t="shared" si="4"/>
        <v>1025</v>
      </c>
      <c r="D12" s="10">
        <v>3299</v>
      </c>
      <c r="E12" s="8">
        <f t="shared" si="5"/>
        <v>0</v>
      </c>
      <c r="F12" s="61">
        <v>71</v>
      </c>
      <c r="G12" s="61"/>
      <c r="H12" s="8">
        <f t="shared" si="2"/>
        <v>1025</v>
      </c>
      <c r="I12" s="16">
        <f t="shared" si="3"/>
        <v>1383.75</v>
      </c>
    </row>
    <row r="13" spans="1:9" x14ac:dyDescent="0.25">
      <c r="A13" s="5">
        <v>44752</v>
      </c>
      <c r="B13" s="10">
        <v>374187</v>
      </c>
      <c r="C13" s="8">
        <f t="shared" si="4"/>
        <v>925</v>
      </c>
      <c r="D13" s="10">
        <v>3299</v>
      </c>
      <c r="E13" s="8">
        <f t="shared" si="5"/>
        <v>1</v>
      </c>
      <c r="F13" s="61">
        <v>71</v>
      </c>
      <c r="G13" s="61"/>
      <c r="H13" s="8">
        <f t="shared" si="2"/>
        <v>926</v>
      </c>
      <c r="I13" s="16">
        <f t="shared" si="3"/>
        <v>1250.0999999999999</v>
      </c>
    </row>
    <row r="14" spans="1:9" x14ac:dyDescent="0.25">
      <c r="A14" s="5">
        <v>44753</v>
      </c>
      <c r="B14" s="10">
        <v>375112</v>
      </c>
      <c r="C14" s="8">
        <f t="shared" si="4"/>
        <v>985</v>
      </c>
      <c r="D14" s="10">
        <v>3300</v>
      </c>
      <c r="E14" s="8">
        <f t="shared" si="5"/>
        <v>0</v>
      </c>
      <c r="F14" s="61">
        <v>60</v>
      </c>
      <c r="G14" s="61"/>
      <c r="H14" s="8">
        <f t="shared" si="2"/>
        <v>985</v>
      </c>
      <c r="I14" s="16">
        <f t="shared" si="3"/>
        <v>1329.75</v>
      </c>
    </row>
    <row r="15" spans="1:9" x14ac:dyDescent="0.25">
      <c r="A15" s="5">
        <v>44754</v>
      </c>
      <c r="B15" s="10">
        <v>376097</v>
      </c>
      <c r="C15" s="8">
        <f t="shared" si="4"/>
        <v>954</v>
      </c>
      <c r="D15" s="10">
        <v>3300</v>
      </c>
      <c r="E15" s="8">
        <f t="shared" si="5"/>
        <v>1</v>
      </c>
      <c r="F15" s="61">
        <v>51</v>
      </c>
      <c r="G15" s="61"/>
      <c r="H15" s="8">
        <f t="shared" si="2"/>
        <v>955</v>
      </c>
      <c r="I15" s="16">
        <f t="shared" si="3"/>
        <v>1289.25</v>
      </c>
    </row>
    <row r="16" spans="1:9" x14ac:dyDescent="0.25">
      <c r="A16" s="5">
        <v>44755</v>
      </c>
      <c r="B16" s="10">
        <v>377051</v>
      </c>
      <c r="C16" s="8">
        <f t="shared" si="4"/>
        <v>1001</v>
      </c>
      <c r="D16" s="10">
        <v>3301</v>
      </c>
      <c r="E16" s="8">
        <f t="shared" si="5"/>
        <v>1</v>
      </c>
      <c r="F16" s="61">
        <v>51</v>
      </c>
      <c r="G16" s="61"/>
      <c r="H16" s="8">
        <f t="shared" si="2"/>
        <v>1002</v>
      </c>
      <c r="I16" s="16">
        <f t="shared" si="3"/>
        <v>1352.7</v>
      </c>
    </row>
    <row r="17" spans="1:11" x14ac:dyDescent="0.25">
      <c r="A17" s="5">
        <v>44756</v>
      </c>
      <c r="B17" s="10">
        <v>378052</v>
      </c>
      <c r="C17" s="8">
        <f t="shared" si="4"/>
        <v>1023</v>
      </c>
      <c r="D17" s="10">
        <v>3302</v>
      </c>
      <c r="E17" s="8">
        <f t="shared" si="5"/>
        <v>1</v>
      </c>
      <c r="F17" s="61">
        <v>54</v>
      </c>
      <c r="G17" s="12"/>
      <c r="H17" s="8">
        <f t="shared" si="2"/>
        <v>1024</v>
      </c>
      <c r="I17" s="16">
        <f t="shared" si="3"/>
        <v>1382.4</v>
      </c>
    </row>
    <row r="18" spans="1:11" x14ac:dyDescent="0.25">
      <c r="A18" s="5">
        <v>44757</v>
      </c>
      <c r="B18" s="10">
        <v>379075</v>
      </c>
      <c r="C18" s="8">
        <f t="shared" si="4"/>
        <v>1033</v>
      </c>
      <c r="D18" s="10">
        <v>3303</v>
      </c>
      <c r="E18" s="8">
        <f t="shared" si="5"/>
        <v>1</v>
      </c>
      <c r="F18" s="61">
        <v>66</v>
      </c>
      <c r="G18" s="12"/>
      <c r="H18" s="8">
        <f t="shared" si="2"/>
        <v>1034</v>
      </c>
      <c r="I18" s="16">
        <f t="shared" si="3"/>
        <v>1395.9</v>
      </c>
      <c r="K18" t="s">
        <v>39</v>
      </c>
    </row>
    <row r="19" spans="1:11" x14ac:dyDescent="0.25">
      <c r="A19" s="5">
        <v>44758</v>
      </c>
      <c r="B19" s="10">
        <v>380108</v>
      </c>
      <c r="C19" s="8">
        <f t="shared" si="4"/>
        <v>1081</v>
      </c>
      <c r="D19" s="10">
        <v>3304</v>
      </c>
      <c r="E19" s="8">
        <f t="shared" si="5"/>
        <v>0</v>
      </c>
      <c r="F19" s="61">
        <v>63</v>
      </c>
      <c r="G19" s="12"/>
      <c r="H19" s="8">
        <f t="shared" si="2"/>
        <v>1081</v>
      </c>
      <c r="I19" s="16">
        <f t="shared" si="3"/>
        <v>1459.3500000000001</v>
      </c>
    </row>
    <row r="20" spans="1:11" x14ac:dyDescent="0.25">
      <c r="A20" s="5">
        <v>44759</v>
      </c>
      <c r="B20" s="10">
        <v>381189</v>
      </c>
      <c r="C20" s="8">
        <f t="shared" si="4"/>
        <v>1090</v>
      </c>
      <c r="D20" s="10">
        <v>3304</v>
      </c>
      <c r="E20" s="8">
        <f t="shared" si="5"/>
        <v>3</v>
      </c>
      <c r="F20" s="61">
        <v>65</v>
      </c>
      <c r="G20" s="12"/>
      <c r="H20" s="8">
        <f t="shared" si="2"/>
        <v>1093</v>
      </c>
      <c r="I20" s="16">
        <f t="shared" si="3"/>
        <v>1475.55</v>
      </c>
    </row>
    <row r="21" spans="1:11" x14ac:dyDescent="0.25">
      <c r="A21" s="5">
        <v>44760</v>
      </c>
      <c r="B21" s="10">
        <v>382279</v>
      </c>
      <c r="C21" s="8">
        <f t="shared" si="4"/>
        <v>1143</v>
      </c>
      <c r="D21" s="10">
        <v>3307</v>
      </c>
      <c r="E21" s="8">
        <f t="shared" si="5"/>
        <v>1</v>
      </c>
      <c r="F21" s="61">
        <v>46</v>
      </c>
      <c r="G21" s="12"/>
      <c r="H21" s="8">
        <f t="shared" si="2"/>
        <v>1144</v>
      </c>
      <c r="I21" s="16">
        <f t="shared" si="3"/>
        <v>1544.4</v>
      </c>
    </row>
    <row r="22" spans="1:11" x14ac:dyDescent="0.25">
      <c r="A22" s="5">
        <v>44761</v>
      </c>
      <c r="B22" s="10">
        <v>383422</v>
      </c>
      <c r="C22" s="8">
        <f t="shared" si="4"/>
        <v>1106</v>
      </c>
      <c r="D22" s="10">
        <v>3308</v>
      </c>
      <c r="E22" s="8">
        <f t="shared" si="5"/>
        <v>3</v>
      </c>
      <c r="F22" s="61">
        <v>44</v>
      </c>
      <c r="G22" s="12"/>
      <c r="H22" s="8">
        <f t="shared" si="2"/>
        <v>1109</v>
      </c>
      <c r="I22" s="16">
        <f t="shared" si="3"/>
        <v>1497.15</v>
      </c>
    </row>
    <row r="23" spans="1:11" x14ac:dyDescent="0.25">
      <c r="A23" s="5">
        <v>44762</v>
      </c>
      <c r="B23" s="10">
        <v>384528</v>
      </c>
      <c r="C23" s="8">
        <f t="shared" si="4"/>
        <v>1057</v>
      </c>
      <c r="D23" s="10">
        <v>3311</v>
      </c>
      <c r="E23" s="8">
        <f t="shared" si="5"/>
        <v>1</v>
      </c>
      <c r="F23" s="61">
        <v>62</v>
      </c>
      <c r="G23" s="12"/>
      <c r="H23" s="8">
        <f t="shared" si="2"/>
        <v>1058</v>
      </c>
      <c r="I23" s="16">
        <f t="shared" si="3"/>
        <v>1428.3</v>
      </c>
    </row>
    <row r="24" spans="1:11" x14ac:dyDescent="0.25">
      <c r="A24" s="5">
        <v>44763</v>
      </c>
      <c r="B24" s="10">
        <v>385585</v>
      </c>
      <c r="C24" s="8">
        <f t="shared" si="4"/>
        <v>1029</v>
      </c>
      <c r="D24" s="10">
        <v>3312</v>
      </c>
      <c r="E24" s="8">
        <f t="shared" si="5"/>
        <v>1</v>
      </c>
      <c r="F24" s="61">
        <v>57</v>
      </c>
      <c r="G24" s="12"/>
      <c r="H24" s="8">
        <f t="shared" si="2"/>
        <v>1030</v>
      </c>
      <c r="I24" s="16">
        <f t="shared" si="3"/>
        <v>1390.5</v>
      </c>
    </row>
    <row r="25" spans="1:11" x14ac:dyDescent="0.25">
      <c r="A25" s="5">
        <v>44764</v>
      </c>
      <c r="B25" s="10">
        <v>386614</v>
      </c>
      <c r="C25" s="8">
        <f t="shared" si="4"/>
        <v>1032</v>
      </c>
      <c r="D25" s="10">
        <v>3313</v>
      </c>
      <c r="E25" s="8">
        <f t="shared" si="5"/>
        <v>2</v>
      </c>
      <c r="F25" s="61">
        <v>54</v>
      </c>
      <c r="G25" s="12"/>
      <c r="H25" s="8">
        <f t="shared" si="2"/>
        <v>1034</v>
      </c>
      <c r="I25" s="16">
        <f t="shared" si="3"/>
        <v>1395.9</v>
      </c>
    </row>
    <row r="26" spans="1:11" x14ac:dyDescent="0.25">
      <c r="A26" s="5">
        <v>44765</v>
      </c>
      <c r="B26" s="10">
        <v>387646</v>
      </c>
      <c r="C26" s="8">
        <f t="shared" si="4"/>
        <v>1094</v>
      </c>
      <c r="D26" s="10">
        <v>3315</v>
      </c>
      <c r="E26" s="8">
        <f t="shared" si="5"/>
        <v>4</v>
      </c>
      <c r="F26" s="61">
        <v>58</v>
      </c>
      <c r="G26" s="18"/>
      <c r="H26" s="8">
        <f t="shared" si="2"/>
        <v>1098</v>
      </c>
      <c r="I26" s="16">
        <f t="shared" si="3"/>
        <v>1482.3000000000002</v>
      </c>
    </row>
    <row r="27" spans="1:11" x14ac:dyDescent="0.25">
      <c r="A27" s="5">
        <v>44766</v>
      </c>
      <c r="B27" s="10">
        <v>388740</v>
      </c>
      <c r="C27" s="8">
        <f t="shared" si="4"/>
        <v>1087</v>
      </c>
      <c r="D27" s="10">
        <v>3319</v>
      </c>
      <c r="E27" s="8">
        <f t="shared" si="5"/>
        <v>7</v>
      </c>
      <c r="F27" s="61">
        <v>55</v>
      </c>
      <c r="G27" s="12"/>
      <c r="H27" s="8">
        <f t="shared" si="2"/>
        <v>1094</v>
      </c>
      <c r="I27" s="16">
        <f t="shared" si="3"/>
        <v>1476.9</v>
      </c>
    </row>
    <row r="28" spans="1:11" x14ac:dyDescent="0.25">
      <c r="A28" s="5">
        <v>44767</v>
      </c>
      <c r="B28" s="10">
        <v>389827</v>
      </c>
      <c r="C28" s="8">
        <f t="shared" si="4"/>
        <v>1120</v>
      </c>
      <c r="D28" s="10">
        <v>3326</v>
      </c>
      <c r="E28" s="8">
        <f t="shared" si="5"/>
        <v>4</v>
      </c>
      <c r="F28" s="61">
        <v>51</v>
      </c>
      <c r="G28" s="12"/>
      <c r="H28" s="8">
        <f t="shared" si="2"/>
        <v>1124</v>
      </c>
      <c r="I28" s="16">
        <f t="shared" si="3"/>
        <v>1517.4</v>
      </c>
    </row>
    <row r="29" spans="1:11" x14ac:dyDescent="0.25">
      <c r="A29" s="5">
        <v>44768</v>
      </c>
      <c r="B29" s="10">
        <v>390947</v>
      </c>
      <c r="C29" s="8">
        <f t="shared" si="4"/>
        <v>1125</v>
      </c>
      <c r="D29" s="10">
        <v>3330</v>
      </c>
      <c r="E29" s="8">
        <f t="shared" si="5"/>
        <v>6</v>
      </c>
      <c r="F29" s="61">
        <v>59</v>
      </c>
      <c r="G29" s="12"/>
      <c r="H29" s="8">
        <f t="shared" si="2"/>
        <v>1131</v>
      </c>
      <c r="I29" s="16">
        <f t="shared" si="3"/>
        <v>1526.85</v>
      </c>
    </row>
    <row r="30" spans="1:11" x14ac:dyDescent="0.25">
      <c r="A30" s="5">
        <v>44769</v>
      </c>
      <c r="B30" s="10">
        <v>392072</v>
      </c>
      <c r="C30" s="8">
        <f t="shared" si="4"/>
        <v>1149</v>
      </c>
      <c r="D30" s="10">
        <v>3336</v>
      </c>
      <c r="E30" s="8">
        <f t="shared" si="5"/>
        <v>6</v>
      </c>
      <c r="F30" s="61">
        <v>47</v>
      </c>
      <c r="G30" s="12"/>
      <c r="H30" s="8">
        <f t="shared" si="2"/>
        <v>1155</v>
      </c>
      <c r="I30" s="16">
        <f t="shared" si="3"/>
        <v>1559.25</v>
      </c>
    </row>
    <row r="31" spans="1:11" x14ac:dyDescent="0.25">
      <c r="A31" s="5">
        <v>44770</v>
      </c>
      <c r="B31" s="10">
        <v>393221</v>
      </c>
      <c r="C31" s="8">
        <f t="shared" si="4"/>
        <v>1448</v>
      </c>
      <c r="D31" s="10">
        <v>3342</v>
      </c>
      <c r="E31" s="8">
        <f t="shared" si="5"/>
        <v>4</v>
      </c>
      <c r="F31" s="61">
        <v>38</v>
      </c>
      <c r="G31" s="12"/>
      <c r="H31" s="8">
        <f t="shared" si="2"/>
        <v>1452</v>
      </c>
      <c r="I31" s="16">
        <f t="shared" si="3"/>
        <v>1960.2000000000003</v>
      </c>
    </row>
    <row r="32" spans="1:11" x14ac:dyDescent="0.25">
      <c r="A32" s="5">
        <v>44771</v>
      </c>
      <c r="B32" s="10">
        <v>394669</v>
      </c>
      <c r="C32" s="8">
        <f t="shared" si="4"/>
        <v>1149</v>
      </c>
      <c r="D32" s="10">
        <v>3346</v>
      </c>
      <c r="E32" s="8">
        <f t="shared" si="5"/>
        <v>6</v>
      </c>
      <c r="F32" s="61">
        <v>48</v>
      </c>
      <c r="G32" s="12"/>
      <c r="H32" s="8">
        <f t="shared" si="2"/>
        <v>1155</v>
      </c>
      <c r="I32" s="16">
        <f t="shared" si="3"/>
        <v>1559.25</v>
      </c>
    </row>
    <row r="33" spans="1:9" x14ac:dyDescent="0.25">
      <c r="A33" s="5">
        <v>44772</v>
      </c>
      <c r="B33" s="10">
        <v>395818</v>
      </c>
      <c r="C33" s="8">
        <f t="shared" si="4"/>
        <v>1235</v>
      </c>
      <c r="D33" s="10">
        <v>3352</v>
      </c>
      <c r="E33" s="8">
        <v>0</v>
      </c>
      <c r="F33" s="61">
        <v>48</v>
      </c>
      <c r="G33" s="12"/>
      <c r="H33" s="8">
        <f t="shared" si="2"/>
        <v>1235</v>
      </c>
      <c r="I33" s="16">
        <f t="shared" si="3"/>
        <v>1667.25</v>
      </c>
    </row>
    <row r="34" spans="1:9" x14ac:dyDescent="0.25">
      <c r="A34" s="5">
        <v>44773</v>
      </c>
      <c r="B34" s="10">
        <v>397053</v>
      </c>
      <c r="C34" s="8"/>
      <c r="D34" s="10">
        <v>3359</v>
      </c>
      <c r="E34" s="8">
        <v>0</v>
      </c>
      <c r="F34" s="61">
        <v>42</v>
      </c>
      <c r="G34" s="12"/>
      <c r="H34" s="8">
        <f t="shared" si="2"/>
        <v>0</v>
      </c>
      <c r="I34" s="16">
        <f t="shared" si="3"/>
        <v>0</v>
      </c>
    </row>
    <row r="35" spans="1:9" x14ac:dyDescent="0.25">
      <c r="A35" s="92"/>
      <c r="B35" s="93"/>
      <c r="C35" s="9">
        <f>SUM(C4:C34)</f>
        <v>31823</v>
      </c>
      <c r="D35" s="9"/>
      <c r="E35" s="9">
        <f>SUM(E4:E34)</f>
        <v>69</v>
      </c>
      <c r="F35" s="11"/>
      <c r="G35" s="11"/>
      <c r="H35" s="8">
        <f>SUM(H4:H34)</f>
        <v>31892</v>
      </c>
      <c r="I35" s="16">
        <f>SUM(I4:I34)</f>
        <v>43054.2</v>
      </c>
    </row>
    <row r="36" spans="1:9" x14ac:dyDescent="0.25">
      <c r="A36" s="17"/>
      <c r="F36" s="1"/>
    </row>
    <row r="38" spans="1:9" ht="15.6" x14ac:dyDescent="0.3">
      <c r="A38" s="13" t="s">
        <v>29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9"/>
  <sheetViews>
    <sheetView topLeftCell="A28" zoomScale="85" workbookViewId="0">
      <selection activeCell="B34" sqref="B34"/>
    </sheetView>
  </sheetViews>
  <sheetFormatPr defaultRowHeight="13.2" x14ac:dyDescent="0.25"/>
  <cols>
    <col min="1" max="1" width="14" style="52" customWidth="1"/>
    <col min="2" max="2" width="12.109375" style="32" customWidth="1"/>
    <col min="3" max="3" width="12.5546875" style="32" customWidth="1"/>
    <col min="4" max="4" width="12.5546875" style="24" customWidth="1"/>
    <col min="5" max="5" width="9.44140625" style="14" customWidth="1"/>
    <col min="6" max="6" width="17.109375" style="33" bestFit="1" customWidth="1"/>
    <col min="7" max="7" width="16.6640625" style="33" customWidth="1"/>
    <col min="8" max="8" width="13.6640625" style="33" customWidth="1"/>
    <col min="9" max="9" width="10" style="33" customWidth="1"/>
    <col min="10" max="10" width="9" style="33" customWidth="1"/>
    <col min="11" max="255" width="9.109375" style="24"/>
    <col min="256" max="256" width="14" style="24" customWidth="1"/>
    <col min="257" max="257" width="12.109375" style="24" customWidth="1"/>
    <col min="258" max="259" width="12.5546875" style="24" customWidth="1"/>
    <col min="260" max="260" width="9.44140625" style="24" customWidth="1"/>
    <col min="261" max="261" width="17.109375" style="24" bestFit="1" customWidth="1"/>
    <col min="262" max="262" width="16.6640625" style="24" customWidth="1"/>
    <col min="263" max="263" width="13.6640625" style="24" customWidth="1"/>
    <col min="264" max="264" width="10" style="24" customWidth="1"/>
    <col min="265" max="265" width="9" style="24" customWidth="1"/>
    <col min="266" max="266" width="9.109375" style="24" customWidth="1"/>
    <col min="267" max="511" width="9.109375" style="24"/>
    <col min="512" max="512" width="14" style="24" customWidth="1"/>
    <col min="513" max="513" width="12.109375" style="24" customWidth="1"/>
    <col min="514" max="515" width="12.5546875" style="24" customWidth="1"/>
    <col min="516" max="516" width="9.44140625" style="24" customWidth="1"/>
    <col min="517" max="517" width="17.109375" style="24" bestFit="1" customWidth="1"/>
    <col min="518" max="518" width="16.6640625" style="24" customWidth="1"/>
    <col min="519" max="519" width="13.6640625" style="24" customWidth="1"/>
    <col min="520" max="520" width="10" style="24" customWidth="1"/>
    <col min="521" max="521" width="9" style="24" customWidth="1"/>
    <col min="522" max="522" width="9.109375" style="24" customWidth="1"/>
    <col min="523" max="767" width="9.109375" style="24"/>
    <col min="768" max="768" width="14" style="24" customWidth="1"/>
    <col min="769" max="769" width="12.109375" style="24" customWidth="1"/>
    <col min="770" max="771" width="12.5546875" style="24" customWidth="1"/>
    <col min="772" max="772" width="9.44140625" style="24" customWidth="1"/>
    <col min="773" max="773" width="17.109375" style="24" bestFit="1" customWidth="1"/>
    <col min="774" max="774" width="16.6640625" style="24" customWidth="1"/>
    <col min="775" max="775" width="13.6640625" style="24" customWidth="1"/>
    <col min="776" max="776" width="10" style="24" customWidth="1"/>
    <col min="777" max="777" width="9" style="24" customWidth="1"/>
    <col min="778" max="778" width="9.109375" style="24" customWidth="1"/>
    <col min="779" max="1023" width="9.109375" style="24"/>
    <col min="1024" max="1024" width="14" style="24" customWidth="1"/>
    <col min="1025" max="1025" width="12.109375" style="24" customWidth="1"/>
    <col min="1026" max="1027" width="12.5546875" style="24" customWidth="1"/>
    <col min="1028" max="1028" width="9.44140625" style="24" customWidth="1"/>
    <col min="1029" max="1029" width="17.109375" style="24" bestFit="1" customWidth="1"/>
    <col min="1030" max="1030" width="16.6640625" style="24" customWidth="1"/>
    <col min="1031" max="1031" width="13.6640625" style="24" customWidth="1"/>
    <col min="1032" max="1032" width="10" style="24" customWidth="1"/>
    <col min="1033" max="1033" width="9" style="24" customWidth="1"/>
    <col min="1034" max="1034" width="9.109375" style="24" customWidth="1"/>
    <col min="1035" max="1279" width="9.109375" style="24"/>
    <col min="1280" max="1280" width="14" style="24" customWidth="1"/>
    <col min="1281" max="1281" width="12.109375" style="24" customWidth="1"/>
    <col min="1282" max="1283" width="12.5546875" style="24" customWidth="1"/>
    <col min="1284" max="1284" width="9.44140625" style="24" customWidth="1"/>
    <col min="1285" max="1285" width="17.109375" style="24" bestFit="1" customWidth="1"/>
    <col min="1286" max="1286" width="16.6640625" style="24" customWidth="1"/>
    <col min="1287" max="1287" width="13.6640625" style="24" customWidth="1"/>
    <col min="1288" max="1288" width="10" style="24" customWidth="1"/>
    <col min="1289" max="1289" width="9" style="24" customWidth="1"/>
    <col min="1290" max="1290" width="9.109375" style="24" customWidth="1"/>
    <col min="1291" max="1535" width="9.109375" style="24"/>
    <col min="1536" max="1536" width="14" style="24" customWidth="1"/>
    <col min="1537" max="1537" width="12.109375" style="24" customWidth="1"/>
    <col min="1538" max="1539" width="12.5546875" style="24" customWidth="1"/>
    <col min="1540" max="1540" width="9.44140625" style="24" customWidth="1"/>
    <col min="1541" max="1541" width="17.109375" style="24" bestFit="1" customWidth="1"/>
    <col min="1542" max="1542" width="16.6640625" style="24" customWidth="1"/>
    <col min="1543" max="1543" width="13.6640625" style="24" customWidth="1"/>
    <col min="1544" max="1544" width="10" style="24" customWidth="1"/>
    <col min="1545" max="1545" width="9" style="24" customWidth="1"/>
    <col min="1546" max="1546" width="9.109375" style="24" customWidth="1"/>
    <col min="1547" max="1791" width="9.109375" style="24"/>
    <col min="1792" max="1792" width="14" style="24" customWidth="1"/>
    <col min="1793" max="1793" width="12.109375" style="24" customWidth="1"/>
    <col min="1794" max="1795" width="12.5546875" style="24" customWidth="1"/>
    <col min="1796" max="1796" width="9.44140625" style="24" customWidth="1"/>
    <col min="1797" max="1797" width="17.109375" style="24" bestFit="1" customWidth="1"/>
    <col min="1798" max="1798" width="16.6640625" style="24" customWidth="1"/>
    <col min="1799" max="1799" width="13.6640625" style="24" customWidth="1"/>
    <col min="1800" max="1800" width="10" style="24" customWidth="1"/>
    <col min="1801" max="1801" width="9" style="24" customWidth="1"/>
    <col min="1802" max="1802" width="9.109375" style="24" customWidth="1"/>
    <col min="1803" max="2047" width="9.109375" style="24"/>
    <col min="2048" max="2048" width="14" style="24" customWidth="1"/>
    <col min="2049" max="2049" width="12.109375" style="24" customWidth="1"/>
    <col min="2050" max="2051" width="12.5546875" style="24" customWidth="1"/>
    <col min="2052" max="2052" width="9.44140625" style="24" customWidth="1"/>
    <col min="2053" max="2053" width="17.109375" style="24" bestFit="1" customWidth="1"/>
    <col min="2054" max="2054" width="16.6640625" style="24" customWidth="1"/>
    <col min="2055" max="2055" width="13.6640625" style="24" customWidth="1"/>
    <col min="2056" max="2056" width="10" style="24" customWidth="1"/>
    <col min="2057" max="2057" width="9" style="24" customWidth="1"/>
    <col min="2058" max="2058" width="9.109375" style="24" customWidth="1"/>
    <col min="2059" max="2303" width="9.109375" style="24"/>
    <col min="2304" max="2304" width="14" style="24" customWidth="1"/>
    <col min="2305" max="2305" width="12.109375" style="24" customWidth="1"/>
    <col min="2306" max="2307" width="12.5546875" style="24" customWidth="1"/>
    <col min="2308" max="2308" width="9.44140625" style="24" customWidth="1"/>
    <col min="2309" max="2309" width="17.109375" style="24" bestFit="1" customWidth="1"/>
    <col min="2310" max="2310" width="16.6640625" style="24" customWidth="1"/>
    <col min="2311" max="2311" width="13.6640625" style="24" customWidth="1"/>
    <col min="2312" max="2312" width="10" style="24" customWidth="1"/>
    <col min="2313" max="2313" width="9" style="24" customWidth="1"/>
    <col min="2314" max="2314" width="9.109375" style="24" customWidth="1"/>
    <col min="2315" max="2559" width="9.109375" style="24"/>
    <col min="2560" max="2560" width="14" style="24" customWidth="1"/>
    <col min="2561" max="2561" width="12.109375" style="24" customWidth="1"/>
    <col min="2562" max="2563" width="12.5546875" style="24" customWidth="1"/>
    <col min="2564" max="2564" width="9.44140625" style="24" customWidth="1"/>
    <col min="2565" max="2565" width="17.109375" style="24" bestFit="1" customWidth="1"/>
    <col min="2566" max="2566" width="16.6640625" style="24" customWidth="1"/>
    <col min="2567" max="2567" width="13.6640625" style="24" customWidth="1"/>
    <col min="2568" max="2568" width="10" style="24" customWidth="1"/>
    <col min="2569" max="2569" width="9" style="24" customWidth="1"/>
    <col min="2570" max="2570" width="9.109375" style="24" customWidth="1"/>
    <col min="2571" max="2815" width="9.109375" style="24"/>
    <col min="2816" max="2816" width="14" style="24" customWidth="1"/>
    <col min="2817" max="2817" width="12.109375" style="24" customWidth="1"/>
    <col min="2818" max="2819" width="12.5546875" style="24" customWidth="1"/>
    <col min="2820" max="2820" width="9.44140625" style="24" customWidth="1"/>
    <col min="2821" max="2821" width="17.109375" style="24" bestFit="1" customWidth="1"/>
    <col min="2822" max="2822" width="16.6640625" style="24" customWidth="1"/>
    <col min="2823" max="2823" width="13.6640625" style="24" customWidth="1"/>
    <col min="2824" max="2824" width="10" style="24" customWidth="1"/>
    <col min="2825" max="2825" width="9" style="24" customWidth="1"/>
    <col min="2826" max="2826" width="9.109375" style="24" customWidth="1"/>
    <col min="2827" max="3071" width="9.109375" style="24"/>
    <col min="3072" max="3072" width="14" style="24" customWidth="1"/>
    <col min="3073" max="3073" width="12.109375" style="24" customWidth="1"/>
    <col min="3074" max="3075" width="12.5546875" style="24" customWidth="1"/>
    <col min="3076" max="3076" width="9.44140625" style="24" customWidth="1"/>
    <col min="3077" max="3077" width="17.109375" style="24" bestFit="1" customWidth="1"/>
    <col min="3078" max="3078" width="16.6640625" style="24" customWidth="1"/>
    <col min="3079" max="3079" width="13.6640625" style="24" customWidth="1"/>
    <col min="3080" max="3080" width="10" style="24" customWidth="1"/>
    <col min="3081" max="3081" width="9" style="24" customWidth="1"/>
    <col min="3082" max="3082" width="9.109375" style="24" customWidth="1"/>
    <col min="3083" max="3327" width="9.109375" style="24"/>
    <col min="3328" max="3328" width="14" style="24" customWidth="1"/>
    <col min="3329" max="3329" width="12.109375" style="24" customWidth="1"/>
    <col min="3330" max="3331" width="12.5546875" style="24" customWidth="1"/>
    <col min="3332" max="3332" width="9.44140625" style="24" customWidth="1"/>
    <col min="3333" max="3333" width="17.109375" style="24" bestFit="1" customWidth="1"/>
    <col min="3334" max="3334" width="16.6640625" style="24" customWidth="1"/>
    <col min="3335" max="3335" width="13.6640625" style="24" customWidth="1"/>
    <col min="3336" max="3336" width="10" style="24" customWidth="1"/>
    <col min="3337" max="3337" width="9" style="24" customWidth="1"/>
    <col min="3338" max="3338" width="9.109375" style="24" customWidth="1"/>
    <col min="3339" max="3583" width="9.109375" style="24"/>
    <col min="3584" max="3584" width="14" style="24" customWidth="1"/>
    <col min="3585" max="3585" width="12.109375" style="24" customWidth="1"/>
    <col min="3586" max="3587" width="12.5546875" style="24" customWidth="1"/>
    <col min="3588" max="3588" width="9.44140625" style="24" customWidth="1"/>
    <col min="3589" max="3589" width="17.109375" style="24" bestFit="1" customWidth="1"/>
    <col min="3590" max="3590" width="16.6640625" style="24" customWidth="1"/>
    <col min="3591" max="3591" width="13.6640625" style="24" customWidth="1"/>
    <col min="3592" max="3592" width="10" style="24" customWidth="1"/>
    <col min="3593" max="3593" width="9" style="24" customWidth="1"/>
    <col min="3594" max="3594" width="9.109375" style="24" customWidth="1"/>
    <col min="3595" max="3839" width="9.109375" style="24"/>
    <col min="3840" max="3840" width="14" style="24" customWidth="1"/>
    <col min="3841" max="3841" width="12.109375" style="24" customWidth="1"/>
    <col min="3842" max="3843" width="12.5546875" style="24" customWidth="1"/>
    <col min="3844" max="3844" width="9.44140625" style="24" customWidth="1"/>
    <col min="3845" max="3845" width="17.109375" style="24" bestFit="1" customWidth="1"/>
    <col min="3846" max="3846" width="16.6640625" style="24" customWidth="1"/>
    <col min="3847" max="3847" width="13.6640625" style="24" customWidth="1"/>
    <col min="3848" max="3848" width="10" style="24" customWidth="1"/>
    <col min="3849" max="3849" width="9" style="24" customWidth="1"/>
    <col min="3850" max="3850" width="9.109375" style="24" customWidth="1"/>
    <col min="3851" max="4095" width="9.109375" style="24"/>
    <col min="4096" max="4096" width="14" style="24" customWidth="1"/>
    <col min="4097" max="4097" width="12.109375" style="24" customWidth="1"/>
    <col min="4098" max="4099" width="12.5546875" style="24" customWidth="1"/>
    <col min="4100" max="4100" width="9.44140625" style="24" customWidth="1"/>
    <col min="4101" max="4101" width="17.109375" style="24" bestFit="1" customWidth="1"/>
    <col min="4102" max="4102" width="16.6640625" style="24" customWidth="1"/>
    <col min="4103" max="4103" width="13.6640625" style="24" customWidth="1"/>
    <col min="4104" max="4104" width="10" style="24" customWidth="1"/>
    <col min="4105" max="4105" width="9" style="24" customWidth="1"/>
    <col min="4106" max="4106" width="9.109375" style="24" customWidth="1"/>
    <col min="4107" max="4351" width="9.109375" style="24"/>
    <col min="4352" max="4352" width="14" style="24" customWidth="1"/>
    <col min="4353" max="4353" width="12.109375" style="24" customWidth="1"/>
    <col min="4354" max="4355" width="12.5546875" style="24" customWidth="1"/>
    <col min="4356" max="4356" width="9.44140625" style="24" customWidth="1"/>
    <col min="4357" max="4357" width="17.109375" style="24" bestFit="1" customWidth="1"/>
    <col min="4358" max="4358" width="16.6640625" style="24" customWidth="1"/>
    <col min="4359" max="4359" width="13.6640625" style="24" customWidth="1"/>
    <col min="4360" max="4360" width="10" style="24" customWidth="1"/>
    <col min="4361" max="4361" width="9" style="24" customWidth="1"/>
    <col min="4362" max="4362" width="9.109375" style="24" customWidth="1"/>
    <col min="4363" max="4607" width="9.109375" style="24"/>
    <col min="4608" max="4608" width="14" style="24" customWidth="1"/>
    <col min="4609" max="4609" width="12.109375" style="24" customWidth="1"/>
    <col min="4610" max="4611" width="12.5546875" style="24" customWidth="1"/>
    <col min="4612" max="4612" width="9.44140625" style="24" customWidth="1"/>
    <col min="4613" max="4613" width="17.109375" style="24" bestFit="1" customWidth="1"/>
    <col min="4614" max="4614" width="16.6640625" style="24" customWidth="1"/>
    <col min="4615" max="4615" width="13.6640625" style="24" customWidth="1"/>
    <col min="4616" max="4616" width="10" style="24" customWidth="1"/>
    <col min="4617" max="4617" width="9" style="24" customWidth="1"/>
    <col min="4618" max="4618" width="9.109375" style="24" customWidth="1"/>
    <col min="4619" max="4863" width="9.109375" style="24"/>
    <col min="4864" max="4864" width="14" style="24" customWidth="1"/>
    <col min="4865" max="4865" width="12.109375" style="24" customWidth="1"/>
    <col min="4866" max="4867" width="12.5546875" style="24" customWidth="1"/>
    <col min="4868" max="4868" width="9.44140625" style="24" customWidth="1"/>
    <col min="4869" max="4869" width="17.109375" style="24" bestFit="1" customWidth="1"/>
    <col min="4870" max="4870" width="16.6640625" style="24" customWidth="1"/>
    <col min="4871" max="4871" width="13.6640625" style="24" customWidth="1"/>
    <col min="4872" max="4872" width="10" style="24" customWidth="1"/>
    <col min="4873" max="4873" width="9" style="24" customWidth="1"/>
    <col min="4874" max="4874" width="9.109375" style="24" customWidth="1"/>
    <col min="4875" max="5119" width="9.109375" style="24"/>
    <col min="5120" max="5120" width="14" style="24" customWidth="1"/>
    <col min="5121" max="5121" width="12.109375" style="24" customWidth="1"/>
    <col min="5122" max="5123" width="12.5546875" style="24" customWidth="1"/>
    <col min="5124" max="5124" width="9.44140625" style="24" customWidth="1"/>
    <col min="5125" max="5125" width="17.109375" style="24" bestFit="1" customWidth="1"/>
    <col min="5126" max="5126" width="16.6640625" style="24" customWidth="1"/>
    <col min="5127" max="5127" width="13.6640625" style="24" customWidth="1"/>
    <col min="5128" max="5128" width="10" style="24" customWidth="1"/>
    <col min="5129" max="5129" width="9" style="24" customWidth="1"/>
    <col min="5130" max="5130" width="9.109375" style="24" customWidth="1"/>
    <col min="5131" max="5375" width="9.109375" style="24"/>
    <col min="5376" max="5376" width="14" style="24" customWidth="1"/>
    <col min="5377" max="5377" width="12.109375" style="24" customWidth="1"/>
    <col min="5378" max="5379" width="12.5546875" style="24" customWidth="1"/>
    <col min="5380" max="5380" width="9.44140625" style="24" customWidth="1"/>
    <col min="5381" max="5381" width="17.109375" style="24" bestFit="1" customWidth="1"/>
    <col min="5382" max="5382" width="16.6640625" style="24" customWidth="1"/>
    <col min="5383" max="5383" width="13.6640625" style="24" customWidth="1"/>
    <col min="5384" max="5384" width="10" style="24" customWidth="1"/>
    <col min="5385" max="5385" width="9" style="24" customWidth="1"/>
    <col min="5386" max="5386" width="9.109375" style="24" customWidth="1"/>
    <col min="5387" max="5631" width="9.109375" style="24"/>
    <col min="5632" max="5632" width="14" style="24" customWidth="1"/>
    <col min="5633" max="5633" width="12.109375" style="24" customWidth="1"/>
    <col min="5634" max="5635" width="12.5546875" style="24" customWidth="1"/>
    <col min="5636" max="5636" width="9.44140625" style="24" customWidth="1"/>
    <col min="5637" max="5637" width="17.109375" style="24" bestFit="1" customWidth="1"/>
    <col min="5638" max="5638" width="16.6640625" style="24" customWidth="1"/>
    <col min="5639" max="5639" width="13.6640625" style="24" customWidth="1"/>
    <col min="5640" max="5640" width="10" style="24" customWidth="1"/>
    <col min="5641" max="5641" width="9" style="24" customWidth="1"/>
    <col min="5642" max="5642" width="9.109375" style="24" customWidth="1"/>
    <col min="5643" max="5887" width="9.109375" style="24"/>
    <col min="5888" max="5888" width="14" style="24" customWidth="1"/>
    <col min="5889" max="5889" width="12.109375" style="24" customWidth="1"/>
    <col min="5890" max="5891" width="12.5546875" style="24" customWidth="1"/>
    <col min="5892" max="5892" width="9.44140625" style="24" customWidth="1"/>
    <col min="5893" max="5893" width="17.109375" style="24" bestFit="1" customWidth="1"/>
    <col min="5894" max="5894" width="16.6640625" style="24" customWidth="1"/>
    <col min="5895" max="5895" width="13.6640625" style="24" customWidth="1"/>
    <col min="5896" max="5896" width="10" style="24" customWidth="1"/>
    <col min="5897" max="5897" width="9" style="24" customWidth="1"/>
    <col min="5898" max="5898" width="9.109375" style="24" customWidth="1"/>
    <col min="5899" max="6143" width="9.109375" style="24"/>
    <col min="6144" max="6144" width="14" style="24" customWidth="1"/>
    <col min="6145" max="6145" width="12.109375" style="24" customWidth="1"/>
    <col min="6146" max="6147" width="12.5546875" style="24" customWidth="1"/>
    <col min="6148" max="6148" width="9.44140625" style="24" customWidth="1"/>
    <col min="6149" max="6149" width="17.109375" style="24" bestFit="1" customWidth="1"/>
    <col min="6150" max="6150" width="16.6640625" style="24" customWidth="1"/>
    <col min="6151" max="6151" width="13.6640625" style="24" customWidth="1"/>
    <col min="6152" max="6152" width="10" style="24" customWidth="1"/>
    <col min="6153" max="6153" width="9" style="24" customWidth="1"/>
    <col min="6154" max="6154" width="9.109375" style="24" customWidth="1"/>
    <col min="6155" max="6399" width="9.109375" style="24"/>
    <col min="6400" max="6400" width="14" style="24" customWidth="1"/>
    <col min="6401" max="6401" width="12.109375" style="24" customWidth="1"/>
    <col min="6402" max="6403" width="12.5546875" style="24" customWidth="1"/>
    <col min="6404" max="6404" width="9.44140625" style="24" customWidth="1"/>
    <col min="6405" max="6405" width="17.109375" style="24" bestFit="1" customWidth="1"/>
    <col min="6406" max="6406" width="16.6640625" style="24" customWidth="1"/>
    <col min="6407" max="6407" width="13.6640625" style="24" customWidth="1"/>
    <col min="6408" max="6408" width="10" style="24" customWidth="1"/>
    <col min="6409" max="6409" width="9" style="24" customWidth="1"/>
    <col min="6410" max="6410" width="9.109375" style="24" customWidth="1"/>
    <col min="6411" max="6655" width="9.109375" style="24"/>
    <col min="6656" max="6656" width="14" style="24" customWidth="1"/>
    <col min="6657" max="6657" width="12.109375" style="24" customWidth="1"/>
    <col min="6658" max="6659" width="12.5546875" style="24" customWidth="1"/>
    <col min="6660" max="6660" width="9.44140625" style="24" customWidth="1"/>
    <col min="6661" max="6661" width="17.109375" style="24" bestFit="1" customWidth="1"/>
    <col min="6662" max="6662" width="16.6640625" style="24" customWidth="1"/>
    <col min="6663" max="6663" width="13.6640625" style="24" customWidth="1"/>
    <col min="6664" max="6664" width="10" style="24" customWidth="1"/>
    <col min="6665" max="6665" width="9" style="24" customWidth="1"/>
    <col min="6666" max="6666" width="9.109375" style="24" customWidth="1"/>
    <col min="6667" max="6911" width="9.109375" style="24"/>
    <col min="6912" max="6912" width="14" style="24" customWidth="1"/>
    <col min="6913" max="6913" width="12.109375" style="24" customWidth="1"/>
    <col min="6914" max="6915" width="12.5546875" style="24" customWidth="1"/>
    <col min="6916" max="6916" width="9.44140625" style="24" customWidth="1"/>
    <col min="6917" max="6917" width="17.109375" style="24" bestFit="1" customWidth="1"/>
    <col min="6918" max="6918" width="16.6640625" style="24" customWidth="1"/>
    <col min="6919" max="6919" width="13.6640625" style="24" customWidth="1"/>
    <col min="6920" max="6920" width="10" style="24" customWidth="1"/>
    <col min="6921" max="6921" width="9" style="24" customWidth="1"/>
    <col min="6922" max="6922" width="9.109375" style="24" customWidth="1"/>
    <col min="6923" max="7167" width="9.109375" style="24"/>
    <col min="7168" max="7168" width="14" style="24" customWidth="1"/>
    <col min="7169" max="7169" width="12.109375" style="24" customWidth="1"/>
    <col min="7170" max="7171" width="12.5546875" style="24" customWidth="1"/>
    <col min="7172" max="7172" width="9.44140625" style="24" customWidth="1"/>
    <col min="7173" max="7173" width="17.109375" style="24" bestFit="1" customWidth="1"/>
    <col min="7174" max="7174" width="16.6640625" style="24" customWidth="1"/>
    <col min="7175" max="7175" width="13.6640625" style="24" customWidth="1"/>
    <col min="7176" max="7176" width="10" style="24" customWidth="1"/>
    <col min="7177" max="7177" width="9" style="24" customWidth="1"/>
    <col min="7178" max="7178" width="9.109375" style="24" customWidth="1"/>
    <col min="7179" max="7423" width="9.109375" style="24"/>
    <col min="7424" max="7424" width="14" style="24" customWidth="1"/>
    <col min="7425" max="7425" width="12.109375" style="24" customWidth="1"/>
    <col min="7426" max="7427" width="12.5546875" style="24" customWidth="1"/>
    <col min="7428" max="7428" width="9.44140625" style="24" customWidth="1"/>
    <col min="7429" max="7429" width="17.109375" style="24" bestFit="1" customWidth="1"/>
    <col min="7430" max="7430" width="16.6640625" style="24" customWidth="1"/>
    <col min="7431" max="7431" width="13.6640625" style="24" customWidth="1"/>
    <col min="7432" max="7432" width="10" style="24" customWidth="1"/>
    <col min="7433" max="7433" width="9" style="24" customWidth="1"/>
    <col min="7434" max="7434" width="9.109375" style="24" customWidth="1"/>
    <col min="7435" max="7679" width="9.109375" style="24"/>
    <col min="7680" max="7680" width="14" style="24" customWidth="1"/>
    <col min="7681" max="7681" width="12.109375" style="24" customWidth="1"/>
    <col min="7682" max="7683" width="12.5546875" style="24" customWidth="1"/>
    <col min="7684" max="7684" width="9.44140625" style="24" customWidth="1"/>
    <col min="7685" max="7685" width="17.109375" style="24" bestFit="1" customWidth="1"/>
    <col min="7686" max="7686" width="16.6640625" style="24" customWidth="1"/>
    <col min="7687" max="7687" width="13.6640625" style="24" customWidth="1"/>
    <col min="7688" max="7688" width="10" style="24" customWidth="1"/>
    <col min="7689" max="7689" width="9" style="24" customWidth="1"/>
    <col min="7690" max="7690" width="9.109375" style="24" customWidth="1"/>
    <col min="7691" max="7935" width="9.109375" style="24"/>
    <col min="7936" max="7936" width="14" style="24" customWidth="1"/>
    <col min="7937" max="7937" width="12.109375" style="24" customWidth="1"/>
    <col min="7938" max="7939" width="12.5546875" style="24" customWidth="1"/>
    <col min="7940" max="7940" width="9.44140625" style="24" customWidth="1"/>
    <col min="7941" max="7941" width="17.109375" style="24" bestFit="1" customWidth="1"/>
    <col min="7942" max="7942" width="16.6640625" style="24" customWidth="1"/>
    <col min="7943" max="7943" width="13.6640625" style="24" customWidth="1"/>
    <col min="7944" max="7944" width="10" style="24" customWidth="1"/>
    <col min="7945" max="7945" width="9" style="24" customWidth="1"/>
    <col min="7946" max="7946" width="9.109375" style="24" customWidth="1"/>
    <col min="7947" max="8191" width="9.109375" style="24"/>
    <col min="8192" max="8192" width="14" style="24" customWidth="1"/>
    <col min="8193" max="8193" width="12.109375" style="24" customWidth="1"/>
    <col min="8194" max="8195" width="12.5546875" style="24" customWidth="1"/>
    <col min="8196" max="8196" width="9.44140625" style="24" customWidth="1"/>
    <col min="8197" max="8197" width="17.109375" style="24" bestFit="1" customWidth="1"/>
    <col min="8198" max="8198" width="16.6640625" style="24" customWidth="1"/>
    <col min="8199" max="8199" width="13.6640625" style="24" customWidth="1"/>
    <col min="8200" max="8200" width="10" style="24" customWidth="1"/>
    <col min="8201" max="8201" width="9" style="24" customWidth="1"/>
    <col min="8202" max="8202" width="9.109375" style="24" customWidth="1"/>
    <col min="8203" max="8447" width="9.109375" style="24"/>
    <col min="8448" max="8448" width="14" style="24" customWidth="1"/>
    <col min="8449" max="8449" width="12.109375" style="24" customWidth="1"/>
    <col min="8450" max="8451" width="12.5546875" style="24" customWidth="1"/>
    <col min="8452" max="8452" width="9.44140625" style="24" customWidth="1"/>
    <col min="8453" max="8453" width="17.109375" style="24" bestFit="1" customWidth="1"/>
    <col min="8454" max="8454" width="16.6640625" style="24" customWidth="1"/>
    <col min="8455" max="8455" width="13.6640625" style="24" customWidth="1"/>
    <col min="8456" max="8456" width="10" style="24" customWidth="1"/>
    <col min="8457" max="8457" width="9" style="24" customWidth="1"/>
    <col min="8458" max="8458" width="9.109375" style="24" customWidth="1"/>
    <col min="8459" max="8703" width="9.109375" style="24"/>
    <col min="8704" max="8704" width="14" style="24" customWidth="1"/>
    <col min="8705" max="8705" width="12.109375" style="24" customWidth="1"/>
    <col min="8706" max="8707" width="12.5546875" style="24" customWidth="1"/>
    <col min="8708" max="8708" width="9.44140625" style="24" customWidth="1"/>
    <col min="8709" max="8709" width="17.109375" style="24" bestFit="1" customWidth="1"/>
    <col min="8710" max="8710" width="16.6640625" style="24" customWidth="1"/>
    <col min="8711" max="8711" width="13.6640625" style="24" customWidth="1"/>
    <col min="8712" max="8712" width="10" style="24" customWidth="1"/>
    <col min="8713" max="8713" width="9" style="24" customWidth="1"/>
    <col min="8714" max="8714" width="9.109375" style="24" customWidth="1"/>
    <col min="8715" max="8959" width="9.109375" style="24"/>
    <col min="8960" max="8960" width="14" style="24" customWidth="1"/>
    <col min="8961" max="8961" width="12.109375" style="24" customWidth="1"/>
    <col min="8962" max="8963" width="12.5546875" style="24" customWidth="1"/>
    <col min="8964" max="8964" width="9.44140625" style="24" customWidth="1"/>
    <col min="8965" max="8965" width="17.109375" style="24" bestFit="1" customWidth="1"/>
    <col min="8966" max="8966" width="16.6640625" style="24" customWidth="1"/>
    <col min="8967" max="8967" width="13.6640625" style="24" customWidth="1"/>
    <col min="8968" max="8968" width="10" style="24" customWidth="1"/>
    <col min="8969" max="8969" width="9" style="24" customWidth="1"/>
    <col min="8970" max="8970" width="9.109375" style="24" customWidth="1"/>
    <col min="8971" max="9215" width="9.109375" style="24"/>
    <col min="9216" max="9216" width="14" style="24" customWidth="1"/>
    <col min="9217" max="9217" width="12.109375" style="24" customWidth="1"/>
    <col min="9218" max="9219" width="12.5546875" style="24" customWidth="1"/>
    <col min="9220" max="9220" width="9.44140625" style="24" customWidth="1"/>
    <col min="9221" max="9221" width="17.109375" style="24" bestFit="1" customWidth="1"/>
    <col min="9222" max="9222" width="16.6640625" style="24" customWidth="1"/>
    <col min="9223" max="9223" width="13.6640625" style="24" customWidth="1"/>
    <col min="9224" max="9224" width="10" style="24" customWidth="1"/>
    <col min="9225" max="9225" width="9" style="24" customWidth="1"/>
    <col min="9226" max="9226" width="9.109375" style="24" customWidth="1"/>
    <col min="9227" max="9471" width="9.109375" style="24"/>
    <col min="9472" max="9472" width="14" style="24" customWidth="1"/>
    <col min="9473" max="9473" width="12.109375" style="24" customWidth="1"/>
    <col min="9474" max="9475" width="12.5546875" style="24" customWidth="1"/>
    <col min="9476" max="9476" width="9.44140625" style="24" customWidth="1"/>
    <col min="9477" max="9477" width="17.109375" style="24" bestFit="1" customWidth="1"/>
    <col min="9478" max="9478" width="16.6640625" style="24" customWidth="1"/>
    <col min="9479" max="9479" width="13.6640625" style="24" customWidth="1"/>
    <col min="9480" max="9480" width="10" style="24" customWidth="1"/>
    <col min="9481" max="9481" width="9" style="24" customWidth="1"/>
    <col min="9482" max="9482" width="9.109375" style="24" customWidth="1"/>
    <col min="9483" max="9727" width="9.109375" style="24"/>
    <col min="9728" max="9728" width="14" style="24" customWidth="1"/>
    <col min="9729" max="9729" width="12.109375" style="24" customWidth="1"/>
    <col min="9730" max="9731" width="12.5546875" style="24" customWidth="1"/>
    <col min="9732" max="9732" width="9.44140625" style="24" customWidth="1"/>
    <col min="9733" max="9733" width="17.109375" style="24" bestFit="1" customWidth="1"/>
    <col min="9734" max="9734" width="16.6640625" style="24" customWidth="1"/>
    <col min="9735" max="9735" width="13.6640625" style="24" customWidth="1"/>
    <col min="9736" max="9736" width="10" style="24" customWidth="1"/>
    <col min="9737" max="9737" width="9" style="24" customWidth="1"/>
    <col min="9738" max="9738" width="9.109375" style="24" customWidth="1"/>
    <col min="9739" max="9983" width="9.109375" style="24"/>
    <col min="9984" max="9984" width="14" style="24" customWidth="1"/>
    <col min="9985" max="9985" width="12.109375" style="24" customWidth="1"/>
    <col min="9986" max="9987" width="12.5546875" style="24" customWidth="1"/>
    <col min="9988" max="9988" width="9.44140625" style="24" customWidth="1"/>
    <col min="9989" max="9989" width="17.109375" style="24" bestFit="1" customWidth="1"/>
    <col min="9990" max="9990" width="16.6640625" style="24" customWidth="1"/>
    <col min="9991" max="9991" width="13.6640625" style="24" customWidth="1"/>
    <col min="9992" max="9992" width="10" style="24" customWidth="1"/>
    <col min="9993" max="9993" width="9" style="24" customWidth="1"/>
    <col min="9994" max="9994" width="9.109375" style="24" customWidth="1"/>
    <col min="9995" max="10239" width="9.109375" style="24"/>
    <col min="10240" max="10240" width="14" style="24" customWidth="1"/>
    <col min="10241" max="10241" width="12.109375" style="24" customWidth="1"/>
    <col min="10242" max="10243" width="12.5546875" style="24" customWidth="1"/>
    <col min="10244" max="10244" width="9.44140625" style="24" customWidth="1"/>
    <col min="10245" max="10245" width="17.109375" style="24" bestFit="1" customWidth="1"/>
    <col min="10246" max="10246" width="16.6640625" style="24" customWidth="1"/>
    <col min="10247" max="10247" width="13.6640625" style="24" customWidth="1"/>
    <col min="10248" max="10248" width="10" style="24" customWidth="1"/>
    <col min="10249" max="10249" width="9" style="24" customWidth="1"/>
    <col min="10250" max="10250" width="9.109375" style="24" customWidth="1"/>
    <col min="10251" max="10495" width="9.109375" style="24"/>
    <col min="10496" max="10496" width="14" style="24" customWidth="1"/>
    <col min="10497" max="10497" width="12.109375" style="24" customWidth="1"/>
    <col min="10498" max="10499" width="12.5546875" style="24" customWidth="1"/>
    <col min="10500" max="10500" width="9.44140625" style="24" customWidth="1"/>
    <col min="10501" max="10501" width="17.109375" style="24" bestFit="1" customWidth="1"/>
    <col min="10502" max="10502" width="16.6640625" style="24" customWidth="1"/>
    <col min="10503" max="10503" width="13.6640625" style="24" customWidth="1"/>
    <col min="10504" max="10504" width="10" style="24" customWidth="1"/>
    <col min="10505" max="10505" width="9" style="24" customWidth="1"/>
    <col min="10506" max="10506" width="9.109375" style="24" customWidth="1"/>
    <col min="10507" max="10751" width="9.109375" style="24"/>
    <col min="10752" max="10752" width="14" style="24" customWidth="1"/>
    <col min="10753" max="10753" width="12.109375" style="24" customWidth="1"/>
    <col min="10754" max="10755" width="12.5546875" style="24" customWidth="1"/>
    <col min="10756" max="10756" width="9.44140625" style="24" customWidth="1"/>
    <col min="10757" max="10757" width="17.109375" style="24" bestFit="1" customWidth="1"/>
    <col min="10758" max="10758" width="16.6640625" style="24" customWidth="1"/>
    <col min="10759" max="10759" width="13.6640625" style="24" customWidth="1"/>
    <col min="10760" max="10760" width="10" style="24" customWidth="1"/>
    <col min="10761" max="10761" width="9" style="24" customWidth="1"/>
    <col min="10762" max="10762" width="9.109375" style="24" customWidth="1"/>
    <col min="10763" max="11007" width="9.109375" style="24"/>
    <col min="11008" max="11008" width="14" style="24" customWidth="1"/>
    <col min="11009" max="11009" width="12.109375" style="24" customWidth="1"/>
    <col min="11010" max="11011" width="12.5546875" style="24" customWidth="1"/>
    <col min="11012" max="11012" width="9.44140625" style="24" customWidth="1"/>
    <col min="11013" max="11013" width="17.109375" style="24" bestFit="1" customWidth="1"/>
    <col min="11014" max="11014" width="16.6640625" style="24" customWidth="1"/>
    <col min="11015" max="11015" width="13.6640625" style="24" customWidth="1"/>
    <col min="11016" max="11016" width="10" style="24" customWidth="1"/>
    <col min="11017" max="11017" width="9" style="24" customWidth="1"/>
    <col min="11018" max="11018" width="9.109375" style="24" customWidth="1"/>
    <col min="11019" max="11263" width="9.109375" style="24"/>
    <col min="11264" max="11264" width="14" style="24" customWidth="1"/>
    <col min="11265" max="11265" width="12.109375" style="24" customWidth="1"/>
    <col min="11266" max="11267" width="12.5546875" style="24" customWidth="1"/>
    <col min="11268" max="11268" width="9.44140625" style="24" customWidth="1"/>
    <col min="11269" max="11269" width="17.109375" style="24" bestFit="1" customWidth="1"/>
    <col min="11270" max="11270" width="16.6640625" style="24" customWidth="1"/>
    <col min="11271" max="11271" width="13.6640625" style="24" customWidth="1"/>
    <col min="11272" max="11272" width="10" style="24" customWidth="1"/>
    <col min="11273" max="11273" width="9" style="24" customWidth="1"/>
    <col min="11274" max="11274" width="9.109375" style="24" customWidth="1"/>
    <col min="11275" max="11519" width="9.109375" style="24"/>
    <col min="11520" max="11520" width="14" style="24" customWidth="1"/>
    <col min="11521" max="11521" width="12.109375" style="24" customWidth="1"/>
    <col min="11522" max="11523" width="12.5546875" style="24" customWidth="1"/>
    <col min="11524" max="11524" width="9.44140625" style="24" customWidth="1"/>
    <col min="11525" max="11525" width="17.109375" style="24" bestFit="1" customWidth="1"/>
    <col min="11526" max="11526" width="16.6640625" style="24" customWidth="1"/>
    <col min="11527" max="11527" width="13.6640625" style="24" customWidth="1"/>
    <col min="11528" max="11528" width="10" style="24" customWidth="1"/>
    <col min="11529" max="11529" width="9" style="24" customWidth="1"/>
    <col min="11530" max="11530" width="9.109375" style="24" customWidth="1"/>
    <col min="11531" max="11775" width="9.109375" style="24"/>
    <col min="11776" max="11776" width="14" style="24" customWidth="1"/>
    <col min="11777" max="11777" width="12.109375" style="24" customWidth="1"/>
    <col min="11778" max="11779" width="12.5546875" style="24" customWidth="1"/>
    <col min="11780" max="11780" width="9.44140625" style="24" customWidth="1"/>
    <col min="11781" max="11781" width="17.109375" style="24" bestFit="1" customWidth="1"/>
    <col min="11782" max="11782" width="16.6640625" style="24" customWidth="1"/>
    <col min="11783" max="11783" width="13.6640625" style="24" customWidth="1"/>
    <col min="11784" max="11784" width="10" style="24" customWidth="1"/>
    <col min="11785" max="11785" width="9" style="24" customWidth="1"/>
    <col min="11786" max="11786" width="9.109375" style="24" customWidth="1"/>
    <col min="11787" max="12031" width="9.109375" style="24"/>
    <col min="12032" max="12032" width="14" style="24" customWidth="1"/>
    <col min="12033" max="12033" width="12.109375" style="24" customWidth="1"/>
    <col min="12034" max="12035" width="12.5546875" style="24" customWidth="1"/>
    <col min="12036" max="12036" width="9.44140625" style="24" customWidth="1"/>
    <col min="12037" max="12037" width="17.109375" style="24" bestFit="1" customWidth="1"/>
    <col min="12038" max="12038" width="16.6640625" style="24" customWidth="1"/>
    <col min="12039" max="12039" width="13.6640625" style="24" customWidth="1"/>
    <col min="12040" max="12040" width="10" style="24" customWidth="1"/>
    <col min="12041" max="12041" width="9" style="24" customWidth="1"/>
    <col min="12042" max="12042" width="9.109375" style="24" customWidth="1"/>
    <col min="12043" max="12287" width="9.109375" style="24"/>
    <col min="12288" max="12288" width="14" style="24" customWidth="1"/>
    <col min="12289" max="12289" width="12.109375" style="24" customWidth="1"/>
    <col min="12290" max="12291" width="12.5546875" style="24" customWidth="1"/>
    <col min="12292" max="12292" width="9.44140625" style="24" customWidth="1"/>
    <col min="12293" max="12293" width="17.109375" style="24" bestFit="1" customWidth="1"/>
    <col min="12294" max="12294" width="16.6640625" style="24" customWidth="1"/>
    <col min="12295" max="12295" width="13.6640625" style="24" customWidth="1"/>
    <col min="12296" max="12296" width="10" style="24" customWidth="1"/>
    <col min="12297" max="12297" width="9" style="24" customWidth="1"/>
    <col min="12298" max="12298" width="9.109375" style="24" customWidth="1"/>
    <col min="12299" max="12543" width="9.109375" style="24"/>
    <col min="12544" max="12544" width="14" style="24" customWidth="1"/>
    <col min="12545" max="12545" width="12.109375" style="24" customWidth="1"/>
    <col min="12546" max="12547" width="12.5546875" style="24" customWidth="1"/>
    <col min="12548" max="12548" width="9.44140625" style="24" customWidth="1"/>
    <col min="12549" max="12549" width="17.109375" style="24" bestFit="1" customWidth="1"/>
    <col min="12550" max="12550" width="16.6640625" style="24" customWidth="1"/>
    <col min="12551" max="12551" width="13.6640625" style="24" customWidth="1"/>
    <col min="12552" max="12552" width="10" style="24" customWidth="1"/>
    <col min="12553" max="12553" width="9" style="24" customWidth="1"/>
    <col min="12554" max="12554" width="9.109375" style="24" customWidth="1"/>
    <col min="12555" max="12799" width="9.109375" style="24"/>
    <col min="12800" max="12800" width="14" style="24" customWidth="1"/>
    <col min="12801" max="12801" width="12.109375" style="24" customWidth="1"/>
    <col min="12802" max="12803" width="12.5546875" style="24" customWidth="1"/>
    <col min="12804" max="12804" width="9.44140625" style="24" customWidth="1"/>
    <col min="12805" max="12805" width="17.109375" style="24" bestFit="1" customWidth="1"/>
    <col min="12806" max="12806" width="16.6640625" style="24" customWidth="1"/>
    <col min="12807" max="12807" width="13.6640625" style="24" customWidth="1"/>
    <col min="12808" max="12808" width="10" style="24" customWidth="1"/>
    <col min="12809" max="12809" width="9" style="24" customWidth="1"/>
    <col min="12810" max="12810" width="9.109375" style="24" customWidth="1"/>
    <col min="12811" max="13055" width="9.109375" style="24"/>
    <col min="13056" max="13056" width="14" style="24" customWidth="1"/>
    <col min="13057" max="13057" width="12.109375" style="24" customWidth="1"/>
    <col min="13058" max="13059" width="12.5546875" style="24" customWidth="1"/>
    <col min="13060" max="13060" width="9.44140625" style="24" customWidth="1"/>
    <col min="13061" max="13061" width="17.109375" style="24" bestFit="1" customWidth="1"/>
    <col min="13062" max="13062" width="16.6640625" style="24" customWidth="1"/>
    <col min="13063" max="13063" width="13.6640625" style="24" customWidth="1"/>
    <col min="13064" max="13064" width="10" style="24" customWidth="1"/>
    <col min="13065" max="13065" width="9" style="24" customWidth="1"/>
    <col min="13066" max="13066" width="9.109375" style="24" customWidth="1"/>
    <col min="13067" max="13311" width="9.109375" style="24"/>
    <col min="13312" max="13312" width="14" style="24" customWidth="1"/>
    <col min="13313" max="13313" width="12.109375" style="24" customWidth="1"/>
    <col min="13314" max="13315" width="12.5546875" style="24" customWidth="1"/>
    <col min="13316" max="13316" width="9.44140625" style="24" customWidth="1"/>
    <col min="13317" max="13317" width="17.109375" style="24" bestFit="1" customWidth="1"/>
    <col min="13318" max="13318" width="16.6640625" style="24" customWidth="1"/>
    <col min="13319" max="13319" width="13.6640625" style="24" customWidth="1"/>
    <col min="13320" max="13320" width="10" style="24" customWidth="1"/>
    <col min="13321" max="13321" width="9" style="24" customWidth="1"/>
    <col min="13322" max="13322" width="9.109375" style="24" customWidth="1"/>
    <col min="13323" max="13567" width="9.109375" style="24"/>
    <col min="13568" max="13568" width="14" style="24" customWidth="1"/>
    <col min="13569" max="13569" width="12.109375" style="24" customWidth="1"/>
    <col min="13570" max="13571" width="12.5546875" style="24" customWidth="1"/>
    <col min="13572" max="13572" width="9.44140625" style="24" customWidth="1"/>
    <col min="13573" max="13573" width="17.109375" style="24" bestFit="1" customWidth="1"/>
    <col min="13574" max="13574" width="16.6640625" style="24" customWidth="1"/>
    <col min="13575" max="13575" width="13.6640625" style="24" customWidth="1"/>
    <col min="13576" max="13576" width="10" style="24" customWidth="1"/>
    <col min="13577" max="13577" width="9" style="24" customWidth="1"/>
    <col min="13578" max="13578" width="9.109375" style="24" customWidth="1"/>
    <col min="13579" max="13823" width="9.109375" style="24"/>
    <col min="13824" max="13824" width="14" style="24" customWidth="1"/>
    <col min="13825" max="13825" width="12.109375" style="24" customWidth="1"/>
    <col min="13826" max="13827" width="12.5546875" style="24" customWidth="1"/>
    <col min="13828" max="13828" width="9.44140625" style="24" customWidth="1"/>
    <col min="13829" max="13829" width="17.109375" style="24" bestFit="1" customWidth="1"/>
    <col min="13830" max="13830" width="16.6640625" style="24" customWidth="1"/>
    <col min="13831" max="13831" width="13.6640625" style="24" customWidth="1"/>
    <col min="13832" max="13832" width="10" style="24" customWidth="1"/>
    <col min="13833" max="13833" width="9" style="24" customWidth="1"/>
    <col min="13834" max="13834" width="9.109375" style="24" customWidth="1"/>
    <col min="13835" max="14079" width="9.109375" style="24"/>
    <col min="14080" max="14080" width="14" style="24" customWidth="1"/>
    <col min="14081" max="14081" width="12.109375" style="24" customWidth="1"/>
    <col min="14082" max="14083" width="12.5546875" style="24" customWidth="1"/>
    <col min="14084" max="14084" width="9.44140625" style="24" customWidth="1"/>
    <col min="14085" max="14085" width="17.109375" style="24" bestFit="1" customWidth="1"/>
    <col min="14086" max="14086" width="16.6640625" style="24" customWidth="1"/>
    <col min="14087" max="14087" width="13.6640625" style="24" customWidth="1"/>
    <col min="14088" max="14088" width="10" style="24" customWidth="1"/>
    <col min="14089" max="14089" width="9" style="24" customWidth="1"/>
    <col min="14090" max="14090" width="9.109375" style="24" customWidth="1"/>
    <col min="14091" max="14335" width="9.109375" style="24"/>
    <col min="14336" max="14336" width="14" style="24" customWidth="1"/>
    <col min="14337" max="14337" width="12.109375" style="24" customWidth="1"/>
    <col min="14338" max="14339" width="12.5546875" style="24" customWidth="1"/>
    <col min="14340" max="14340" width="9.44140625" style="24" customWidth="1"/>
    <col min="14341" max="14341" width="17.109375" style="24" bestFit="1" customWidth="1"/>
    <col min="14342" max="14342" width="16.6640625" style="24" customWidth="1"/>
    <col min="14343" max="14343" width="13.6640625" style="24" customWidth="1"/>
    <col min="14344" max="14344" width="10" style="24" customWidth="1"/>
    <col min="14345" max="14345" width="9" style="24" customWidth="1"/>
    <col min="14346" max="14346" width="9.109375" style="24" customWidth="1"/>
    <col min="14347" max="14591" width="9.109375" style="24"/>
    <col min="14592" max="14592" width="14" style="24" customWidth="1"/>
    <col min="14593" max="14593" width="12.109375" style="24" customWidth="1"/>
    <col min="14594" max="14595" width="12.5546875" style="24" customWidth="1"/>
    <col min="14596" max="14596" width="9.44140625" style="24" customWidth="1"/>
    <col min="14597" max="14597" width="17.109375" style="24" bestFit="1" customWidth="1"/>
    <col min="14598" max="14598" width="16.6640625" style="24" customWidth="1"/>
    <col min="14599" max="14599" width="13.6640625" style="24" customWidth="1"/>
    <col min="14600" max="14600" width="10" style="24" customWidth="1"/>
    <col min="14601" max="14601" width="9" style="24" customWidth="1"/>
    <col min="14602" max="14602" width="9.109375" style="24" customWidth="1"/>
    <col min="14603" max="14847" width="9.109375" style="24"/>
    <col min="14848" max="14848" width="14" style="24" customWidth="1"/>
    <col min="14849" max="14849" width="12.109375" style="24" customWidth="1"/>
    <col min="14850" max="14851" width="12.5546875" style="24" customWidth="1"/>
    <col min="14852" max="14852" width="9.44140625" style="24" customWidth="1"/>
    <col min="14853" max="14853" width="17.109375" style="24" bestFit="1" customWidth="1"/>
    <col min="14854" max="14854" width="16.6640625" style="24" customWidth="1"/>
    <col min="14855" max="14855" width="13.6640625" style="24" customWidth="1"/>
    <col min="14856" max="14856" width="10" style="24" customWidth="1"/>
    <col min="14857" max="14857" width="9" style="24" customWidth="1"/>
    <col min="14858" max="14858" width="9.109375" style="24" customWidth="1"/>
    <col min="14859" max="15103" width="9.109375" style="24"/>
    <col min="15104" max="15104" width="14" style="24" customWidth="1"/>
    <col min="15105" max="15105" width="12.109375" style="24" customWidth="1"/>
    <col min="15106" max="15107" width="12.5546875" style="24" customWidth="1"/>
    <col min="15108" max="15108" width="9.44140625" style="24" customWidth="1"/>
    <col min="15109" max="15109" width="17.109375" style="24" bestFit="1" customWidth="1"/>
    <col min="15110" max="15110" width="16.6640625" style="24" customWidth="1"/>
    <col min="15111" max="15111" width="13.6640625" style="24" customWidth="1"/>
    <col min="15112" max="15112" width="10" style="24" customWidth="1"/>
    <col min="15113" max="15113" width="9" style="24" customWidth="1"/>
    <col min="15114" max="15114" width="9.109375" style="24" customWidth="1"/>
    <col min="15115" max="15359" width="9.109375" style="24"/>
    <col min="15360" max="15360" width="14" style="24" customWidth="1"/>
    <col min="15361" max="15361" width="12.109375" style="24" customWidth="1"/>
    <col min="15362" max="15363" width="12.5546875" style="24" customWidth="1"/>
    <col min="15364" max="15364" width="9.44140625" style="24" customWidth="1"/>
    <col min="15365" max="15365" width="17.109375" style="24" bestFit="1" customWidth="1"/>
    <col min="15366" max="15366" width="16.6640625" style="24" customWidth="1"/>
    <col min="15367" max="15367" width="13.6640625" style="24" customWidth="1"/>
    <col min="15368" max="15368" width="10" style="24" customWidth="1"/>
    <col min="15369" max="15369" width="9" style="24" customWidth="1"/>
    <col min="15370" max="15370" width="9.109375" style="24" customWidth="1"/>
    <col min="15371" max="15615" width="9.109375" style="24"/>
    <col min="15616" max="15616" width="14" style="24" customWidth="1"/>
    <col min="15617" max="15617" width="12.109375" style="24" customWidth="1"/>
    <col min="15618" max="15619" width="12.5546875" style="24" customWidth="1"/>
    <col min="15620" max="15620" width="9.44140625" style="24" customWidth="1"/>
    <col min="15621" max="15621" width="17.109375" style="24" bestFit="1" customWidth="1"/>
    <col min="15622" max="15622" width="16.6640625" style="24" customWidth="1"/>
    <col min="15623" max="15623" width="13.6640625" style="24" customWidth="1"/>
    <col min="15624" max="15624" width="10" style="24" customWidth="1"/>
    <col min="15625" max="15625" width="9" style="24" customWidth="1"/>
    <col min="15626" max="15626" width="9.109375" style="24" customWidth="1"/>
    <col min="15627" max="15871" width="9.109375" style="24"/>
    <col min="15872" max="15872" width="14" style="24" customWidth="1"/>
    <col min="15873" max="15873" width="12.109375" style="24" customWidth="1"/>
    <col min="15874" max="15875" width="12.5546875" style="24" customWidth="1"/>
    <col min="15876" max="15876" width="9.44140625" style="24" customWidth="1"/>
    <col min="15877" max="15877" width="17.109375" style="24" bestFit="1" customWidth="1"/>
    <col min="15878" max="15878" width="16.6640625" style="24" customWidth="1"/>
    <col min="15879" max="15879" width="13.6640625" style="24" customWidth="1"/>
    <col min="15880" max="15880" width="10" style="24" customWidth="1"/>
    <col min="15881" max="15881" width="9" style="24" customWidth="1"/>
    <col min="15882" max="15882" width="9.109375" style="24" customWidth="1"/>
    <col min="15883" max="16127" width="9.109375" style="24"/>
    <col min="16128" max="16128" width="14" style="24" customWidth="1"/>
    <col min="16129" max="16129" width="12.109375" style="24" customWidth="1"/>
    <col min="16130" max="16131" width="12.5546875" style="24" customWidth="1"/>
    <col min="16132" max="16132" width="9.44140625" style="24" customWidth="1"/>
    <col min="16133" max="16133" width="17.109375" style="24" bestFit="1" customWidth="1"/>
    <col min="16134" max="16134" width="16.6640625" style="24" customWidth="1"/>
    <col min="16135" max="16135" width="13.6640625" style="24" customWidth="1"/>
    <col min="16136" max="16136" width="10" style="24" customWidth="1"/>
    <col min="16137" max="16137" width="9" style="24" customWidth="1"/>
    <col min="16138" max="16138" width="9.109375" style="24" customWidth="1"/>
    <col min="16139" max="16384" width="9.109375" style="24"/>
  </cols>
  <sheetData>
    <row r="1" spans="1:13" ht="17.399999999999999" x14ac:dyDescent="0.3">
      <c r="A1" s="31" t="s">
        <v>40</v>
      </c>
    </row>
    <row r="2" spans="1:13" ht="17.399999999999999" x14ac:dyDescent="0.3">
      <c r="A2" s="69"/>
      <c r="B2" s="70" t="s">
        <v>41</v>
      </c>
      <c r="C2" s="70" t="s">
        <v>42</v>
      </c>
      <c r="D2" s="70" t="s">
        <v>42</v>
      </c>
      <c r="E2" s="71" t="s">
        <v>43</v>
      </c>
      <c r="F2" s="72" t="s">
        <v>44</v>
      </c>
      <c r="G2" s="70" t="s">
        <v>44</v>
      </c>
      <c r="H2" s="70" t="s">
        <v>36</v>
      </c>
      <c r="I2" s="73" t="s">
        <v>19</v>
      </c>
      <c r="J2" s="74" t="s">
        <v>45</v>
      </c>
      <c r="K2" s="37"/>
    </row>
    <row r="3" spans="1:13" x14ac:dyDescent="0.25">
      <c r="A3" s="75"/>
      <c r="B3" s="67" t="s">
        <v>46</v>
      </c>
      <c r="C3" s="67" t="s">
        <v>47</v>
      </c>
      <c r="D3" s="34" t="s">
        <v>48</v>
      </c>
      <c r="E3" s="35" t="s">
        <v>49</v>
      </c>
      <c r="F3" s="36" t="s">
        <v>47</v>
      </c>
      <c r="G3" s="34" t="s">
        <v>48</v>
      </c>
      <c r="H3" s="34" t="s">
        <v>50</v>
      </c>
      <c r="I3" s="15" t="s">
        <v>24</v>
      </c>
      <c r="J3" s="76"/>
      <c r="K3" s="37"/>
    </row>
    <row r="4" spans="1:13" x14ac:dyDescent="0.25">
      <c r="A4" s="77">
        <v>44743</v>
      </c>
      <c r="B4" s="66">
        <v>1</v>
      </c>
      <c r="C4" s="66">
        <v>10</v>
      </c>
      <c r="D4" s="65">
        <v>21</v>
      </c>
      <c r="E4" s="40">
        <f>D4-C4</f>
        <v>11</v>
      </c>
      <c r="F4" s="39">
        <v>1675388.6</v>
      </c>
      <c r="G4" s="42">
        <v>1675752.1</v>
      </c>
      <c r="H4" s="43">
        <f>G4-F4</f>
        <v>363.5</v>
      </c>
      <c r="I4" s="16">
        <f>(H4*[1]Summary!$C$6)</f>
        <v>1032.3399999999999</v>
      </c>
      <c r="J4" s="78">
        <v>2954.1</v>
      </c>
      <c r="K4" s="98" t="s">
        <v>51</v>
      </c>
      <c r="L4" s="98"/>
      <c r="M4" s="98"/>
    </row>
    <row r="5" spans="1:13" x14ac:dyDescent="0.25">
      <c r="A5" s="79">
        <v>44744</v>
      </c>
      <c r="B5" s="68">
        <v>1</v>
      </c>
      <c r="C5" s="68">
        <v>8.3000000000000007</v>
      </c>
      <c r="D5" s="39">
        <v>21</v>
      </c>
      <c r="E5" s="40">
        <f t="shared" ref="E5:E34" si="0">D5-C5</f>
        <v>12.7</v>
      </c>
      <c r="F5" s="42">
        <v>1675752.1</v>
      </c>
      <c r="G5" s="42">
        <v>1676150.4</v>
      </c>
      <c r="H5" s="43">
        <f t="shared" ref="H5:H34" si="1">G5-F5</f>
        <v>398.29999999981374</v>
      </c>
      <c r="I5" s="16">
        <f>(H5*[1]Summary!$C$6)</f>
        <v>1131.1719999994709</v>
      </c>
      <c r="J5" s="78">
        <v>7000</v>
      </c>
      <c r="K5" s="98" t="s">
        <v>52</v>
      </c>
      <c r="L5" s="98"/>
      <c r="M5" s="98"/>
    </row>
    <row r="6" spans="1:13" x14ac:dyDescent="0.25">
      <c r="A6" s="79">
        <v>44745</v>
      </c>
      <c r="B6" s="39">
        <v>1</v>
      </c>
      <c r="C6" s="39">
        <v>9.3000000000000007</v>
      </c>
      <c r="D6" s="39">
        <v>22.3</v>
      </c>
      <c r="E6" s="40">
        <f t="shared" si="0"/>
        <v>13</v>
      </c>
      <c r="F6" s="42">
        <v>1676150.4</v>
      </c>
      <c r="G6" s="42">
        <v>1676567.8</v>
      </c>
      <c r="H6" s="43">
        <f t="shared" si="1"/>
        <v>417.4000000001397</v>
      </c>
      <c r="I6" s="16">
        <f>(H6*[1]Summary!$C$6)</f>
        <v>1185.4160000003967</v>
      </c>
      <c r="J6" s="80"/>
      <c r="K6" s="33"/>
    </row>
    <row r="7" spans="1:13" x14ac:dyDescent="0.25">
      <c r="A7" s="79">
        <v>44746</v>
      </c>
      <c r="B7" s="39">
        <v>1</v>
      </c>
      <c r="C7" s="39">
        <v>7.3</v>
      </c>
      <c r="D7" s="39">
        <v>20</v>
      </c>
      <c r="E7" s="40">
        <f t="shared" si="0"/>
        <v>12.7</v>
      </c>
      <c r="F7" s="42">
        <v>1676567.8</v>
      </c>
      <c r="G7" s="42">
        <v>1676946.6</v>
      </c>
      <c r="H7" s="43">
        <f t="shared" si="1"/>
        <v>378.80000000004657</v>
      </c>
      <c r="I7" s="16">
        <f>(H7*[1]Summary!$C$6)</f>
        <v>1075.7920000001322</v>
      </c>
      <c r="J7" s="80"/>
      <c r="K7" s="33"/>
    </row>
    <row r="8" spans="1:13" x14ac:dyDescent="0.25">
      <c r="A8" s="79">
        <v>44747</v>
      </c>
      <c r="B8" s="39">
        <v>1</v>
      </c>
      <c r="C8" s="39">
        <v>8.3000000000000007</v>
      </c>
      <c r="D8" s="39">
        <v>21</v>
      </c>
      <c r="E8" s="40">
        <f t="shared" si="0"/>
        <v>12.7</v>
      </c>
      <c r="F8" s="42">
        <v>1676946.6</v>
      </c>
      <c r="G8" s="42">
        <v>1677356.1</v>
      </c>
      <c r="H8" s="43">
        <f t="shared" si="1"/>
        <v>409.5</v>
      </c>
      <c r="I8" s="40">
        <f>(H8*[1]Summary!$C$6)</f>
        <v>1162.98</v>
      </c>
      <c r="J8" s="80"/>
      <c r="K8" s="33"/>
    </row>
    <row r="9" spans="1:13" x14ac:dyDescent="0.25">
      <c r="A9" s="79">
        <v>44748</v>
      </c>
      <c r="B9" s="39">
        <v>1</v>
      </c>
      <c r="C9" s="39">
        <v>8.3000000000000007</v>
      </c>
      <c r="D9" s="39">
        <v>21.3</v>
      </c>
      <c r="E9" s="40">
        <f t="shared" si="0"/>
        <v>13</v>
      </c>
      <c r="F9" s="42">
        <v>1677356.1</v>
      </c>
      <c r="G9" s="44">
        <v>1677800.1</v>
      </c>
      <c r="H9" s="43">
        <f t="shared" si="1"/>
        <v>444</v>
      </c>
      <c r="I9" s="45">
        <f>(H9*[1]Summary!$C$6)</f>
        <v>1260.96</v>
      </c>
      <c r="J9" s="81"/>
      <c r="K9" s="33"/>
    </row>
    <row r="10" spans="1:13" x14ac:dyDescent="0.25">
      <c r="A10" s="79">
        <v>44749</v>
      </c>
      <c r="B10" s="39">
        <v>1</v>
      </c>
      <c r="C10" s="39">
        <v>9</v>
      </c>
      <c r="D10" s="39">
        <v>9.3000000000000007</v>
      </c>
      <c r="E10" s="40">
        <f t="shared" si="0"/>
        <v>0.30000000000000071</v>
      </c>
      <c r="F10" s="44">
        <v>1677800.1</v>
      </c>
      <c r="G10" s="44">
        <v>1678192.7</v>
      </c>
      <c r="H10" s="43">
        <f t="shared" si="1"/>
        <v>392.5999999998603</v>
      </c>
      <c r="I10" s="45">
        <f>(H10*[1]Summary!$C$6)</f>
        <v>1114.9839999996032</v>
      </c>
      <c r="J10" s="81"/>
      <c r="K10" s="33"/>
    </row>
    <row r="11" spans="1:13" x14ac:dyDescent="0.25">
      <c r="A11" s="79">
        <v>44750</v>
      </c>
      <c r="B11" s="39">
        <v>1</v>
      </c>
      <c r="C11" s="39">
        <v>8.3000000000000007</v>
      </c>
      <c r="D11" s="39">
        <v>20</v>
      </c>
      <c r="E11" s="40">
        <f t="shared" si="0"/>
        <v>11.7</v>
      </c>
      <c r="F11" s="44">
        <v>1678192.7</v>
      </c>
      <c r="G11" s="44">
        <v>1678599.4</v>
      </c>
      <c r="H11" s="43">
        <f t="shared" si="1"/>
        <v>406.69999999995343</v>
      </c>
      <c r="I11" s="45">
        <f>(H11*[1]Summary!$C$6)</f>
        <v>1155.0279999998677</v>
      </c>
      <c r="J11" s="81"/>
      <c r="K11" s="33"/>
    </row>
    <row r="12" spans="1:13" x14ac:dyDescent="0.25">
      <c r="A12" s="79">
        <v>44751</v>
      </c>
      <c r="B12" s="39">
        <v>1</v>
      </c>
      <c r="C12" s="39">
        <v>8.3000000000000007</v>
      </c>
      <c r="D12" s="39">
        <v>18</v>
      </c>
      <c r="E12" s="40">
        <f t="shared" si="0"/>
        <v>9.6999999999999993</v>
      </c>
      <c r="F12" s="44">
        <v>1678599.4</v>
      </c>
      <c r="G12" s="44">
        <v>1678940.9</v>
      </c>
      <c r="H12" s="43">
        <f t="shared" si="1"/>
        <v>341.5</v>
      </c>
      <c r="I12" s="45">
        <f>(H12*[1]Summary!$C$6)</f>
        <v>969.8599999999999</v>
      </c>
      <c r="J12" s="81"/>
      <c r="K12" s="33"/>
    </row>
    <row r="13" spans="1:13" x14ac:dyDescent="0.25">
      <c r="A13" s="79">
        <v>44752</v>
      </c>
      <c r="B13" s="39">
        <v>1</v>
      </c>
      <c r="C13" s="39">
        <v>8.3000000000000007</v>
      </c>
      <c r="D13" s="39">
        <v>18</v>
      </c>
      <c r="E13" s="40">
        <f t="shared" si="0"/>
        <v>9.6999999999999993</v>
      </c>
      <c r="F13" s="44">
        <v>1678940.9</v>
      </c>
      <c r="G13" s="44">
        <v>1679280</v>
      </c>
      <c r="H13" s="43">
        <f t="shared" si="1"/>
        <v>339.10000000009313</v>
      </c>
      <c r="I13" s="45">
        <f>(H13*[1]Summary!$C$6)</f>
        <v>963.04400000026442</v>
      </c>
      <c r="J13" s="81"/>
      <c r="K13" s="33"/>
    </row>
    <row r="14" spans="1:13" x14ac:dyDescent="0.25">
      <c r="A14" s="79">
        <v>44753</v>
      </c>
      <c r="B14" s="39">
        <v>1</v>
      </c>
      <c r="C14" s="39">
        <v>8.3000000000000007</v>
      </c>
      <c r="D14" s="39">
        <v>21</v>
      </c>
      <c r="E14" s="40">
        <f t="shared" si="0"/>
        <v>12.7</v>
      </c>
      <c r="F14" s="44">
        <v>1679280</v>
      </c>
      <c r="G14" s="44">
        <v>1679681.4</v>
      </c>
      <c r="H14" s="43">
        <f t="shared" si="1"/>
        <v>401.39999999990687</v>
      </c>
      <c r="I14" s="45">
        <f>(H14*[1]Summary!$C$6)</f>
        <v>1139.9759999997354</v>
      </c>
      <c r="J14" s="81"/>
      <c r="K14" s="33"/>
    </row>
    <row r="15" spans="1:13" x14ac:dyDescent="0.25">
      <c r="A15" s="79">
        <v>44754</v>
      </c>
      <c r="B15" s="39">
        <v>1</v>
      </c>
      <c r="C15" s="39">
        <v>8.3000000000000007</v>
      </c>
      <c r="D15" s="39">
        <v>21</v>
      </c>
      <c r="E15" s="40">
        <f t="shared" si="0"/>
        <v>12.7</v>
      </c>
      <c r="F15" s="44">
        <v>1679681.4</v>
      </c>
      <c r="G15" s="44">
        <v>1680098.7</v>
      </c>
      <c r="H15" s="43">
        <f t="shared" si="1"/>
        <v>417.30000000004657</v>
      </c>
      <c r="I15" s="45">
        <f>(H15*[1]Summary!$C$6)</f>
        <v>1185.1320000001322</v>
      </c>
      <c r="J15" s="81"/>
      <c r="K15" s="33"/>
    </row>
    <row r="16" spans="1:13" x14ac:dyDescent="0.25">
      <c r="A16" s="79">
        <v>44755</v>
      </c>
      <c r="B16" s="39">
        <v>1</v>
      </c>
      <c r="C16" s="39">
        <v>8.3000000000000007</v>
      </c>
      <c r="D16" s="39">
        <v>18</v>
      </c>
      <c r="E16" s="40">
        <f t="shared" si="0"/>
        <v>9.6999999999999993</v>
      </c>
      <c r="F16" s="44">
        <v>1680098.7</v>
      </c>
      <c r="G16" s="44">
        <v>1680447.4</v>
      </c>
      <c r="H16" s="43">
        <f>G16-F16</f>
        <v>348.69999999995343</v>
      </c>
      <c r="I16" s="45">
        <f>(H16*[1]Summary!$C$6)</f>
        <v>990.30799999986766</v>
      </c>
      <c r="J16" s="81"/>
      <c r="K16" s="33"/>
    </row>
    <row r="17" spans="1:11" x14ac:dyDescent="0.25">
      <c r="A17" s="79">
        <v>44756</v>
      </c>
      <c r="B17" s="46">
        <v>1</v>
      </c>
      <c r="C17" s="46">
        <v>8.3000000000000007</v>
      </c>
      <c r="D17" s="46">
        <v>21</v>
      </c>
      <c r="E17" s="40">
        <f t="shared" si="0"/>
        <v>12.7</v>
      </c>
      <c r="F17" s="44">
        <v>1680447.4</v>
      </c>
      <c r="G17" s="44">
        <v>1680836.8</v>
      </c>
      <c r="H17" s="43">
        <f t="shared" ref="H17:H18" si="2">G17-F17</f>
        <v>389.4000000001397</v>
      </c>
      <c r="I17" s="45">
        <f>(H17*[1]Summary!$C$6)</f>
        <v>1105.8960000003967</v>
      </c>
      <c r="J17" s="81"/>
      <c r="K17" s="33"/>
    </row>
    <row r="18" spans="1:11" x14ac:dyDescent="0.25">
      <c r="A18" s="79">
        <v>44757</v>
      </c>
      <c r="B18" s="46">
        <v>1</v>
      </c>
      <c r="C18" s="46">
        <v>8.3000000000000007</v>
      </c>
      <c r="D18" s="46">
        <v>21</v>
      </c>
      <c r="E18" s="40">
        <f t="shared" si="0"/>
        <v>12.7</v>
      </c>
      <c r="F18" s="41">
        <v>1680836.4</v>
      </c>
      <c r="G18" s="44">
        <v>1681222.8</v>
      </c>
      <c r="H18" s="43">
        <f t="shared" si="2"/>
        <v>386.4000000001397</v>
      </c>
      <c r="I18" s="45">
        <f>(H18*[1]Summary!$C$6)</f>
        <v>1097.3760000003967</v>
      </c>
      <c r="J18" s="81"/>
      <c r="K18" s="33"/>
    </row>
    <row r="19" spans="1:11" x14ac:dyDescent="0.25">
      <c r="A19" s="79">
        <v>44758</v>
      </c>
      <c r="B19" s="46">
        <v>1</v>
      </c>
      <c r="C19" s="46">
        <v>8.3000000000000007</v>
      </c>
      <c r="D19" s="46">
        <v>21</v>
      </c>
      <c r="E19" s="40">
        <f t="shared" si="0"/>
        <v>12.7</v>
      </c>
      <c r="F19" s="41">
        <v>1681222.8</v>
      </c>
      <c r="G19" s="44">
        <v>1681646.5</v>
      </c>
      <c r="H19" s="43">
        <f t="shared" si="1"/>
        <v>423.69999999995343</v>
      </c>
      <c r="I19" s="45">
        <f>(H19*[1]Summary!$C$6)</f>
        <v>1203.3079999998677</v>
      </c>
      <c r="J19" s="81"/>
      <c r="K19" s="33"/>
    </row>
    <row r="20" spans="1:11" x14ac:dyDescent="0.25">
      <c r="A20" s="79">
        <v>44759</v>
      </c>
      <c r="B20" s="46">
        <v>1</v>
      </c>
      <c r="C20" s="46">
        <v>8.3000000000000007</v>
      </c>
      <c r="D20" s="46">
        <v>21</v>
      </c>
      <c r="E20" s="40">
        <f t="shared" si="0"/>
        <v>12.7</v>
      </c>
      <c r="F20" s="41">
        <v>1681646.5</v>
      </c>
      <c r="G20" s="44">
        <v>1682055.3</v>
      </c>
      <c r="H20" s="43">
        <f t="shared" si="1"/>
        <v>408.80000000004657</v>
      </c>
      <c r="I20" s="45">
        <f>(H20*[1]Summary!$C$6)</f>
        <v>1160.9920000001323</v>
      </c>
      <c r="J20" s="81"/>
      <c r="K20" s="33"/>
    </row>
    <row r="21" spans="1:11" x14ac:dyDescent="0.25">
      <c r="A21" s="79">
        <v>44760</v>
      </c>
      <c r="B21" s="46">
        <v>1</v>
      </c>
      <c r="C21" s="46">
        <v>8.3000000000000007</v>
      </c>
      <c r="D21" s="46">
        <v>20</v>
      </c>
      <c r="E21" s="40">
        <f t="shared" si="0"/>
        <v>11.7</v>
      </c>
      <c r="F21" s="43">
        <v>1682055.3</v>
      </c>
      <c r="G21" s="44">
        <v>1682449.1</v>
      </c>
      <c r="H21" s="43">
        <f>G21-F21</f>
        <v>393.80000000004657</v>
      </c>
      <c r="I21" s="45">
        <f>(H21*[1]Summary!$C$6)</f>
        <v>1118.3920000001322</v>
      </c>
      <c r="J21" s="82"/>
      <c r="K21" s="33"/>
    </row>
    <row r="22" spans="1:11" x14ac:dyDescent="0.25">
      <c r="A22" s="79">
        <v>44761</v>
      </c>
      <c r="B22" s="46">
        <v>1</v>
      </c>
      <c r="C22" s="46">
        <v>8.3000000000000007</v>
      </c>
      <c r="D22" s="46">
        <v>20</v>
      </c>
      <c r="E22" s="40">
        <f t="shared" si="0"/>
        <v>11.7</v>
      </c>
      <c r="F22" s="43">
        <v>1682449.2</v>
      </c>
      <c r="G22" s="44">
        <v>1682826.8</v>
      </c>
      <c r="H22" s="43">
        <f t="shared" si="1"/>
        <v>377.60000000009313</v>
      </c>
      <c r="I22" s="45">
        <f>(H22*[1]Summary!$C$6)</f>
        <v>1072.3840000002645</v>
      </c>
      <c r="J22" s="81"/>
      <c r="K22" s="47"/>
    </row>
    <row r="23" spans="1:11" x14ac:dyDescent="0.25">
      <c r="A23" s="79">
        <v>44762</v>
      </c>
      <c r="B23" s="46">
        <v>1</v>
      </c>
      <c r="C23" s="46">
        <v>8.3000000000000007</v>
      </c>
      <c r="D23" s="46">
        <v>18</v>
      </c>
      <c r="E23" s="40">
        <f t="shared" si="0"/>
        <v>9.6999999999999993</v>
      </c>
      <c r="F23" s="43">
        <v>1682826.8</v>
      </c>
      <c r="G23" s="44">
        <v>1683152.1</v>
      </c>
      <c r="H23" s="43">
        <f t="shared" si="1"/>
        <v>325.30000000004657</v>
      </c>
      <c r="I23" s="45">
        <f>(H23*[1]Summary!$C$6)</f>
        <v>923.85200000013219</v>
      </c>
      <c r="J23" s="81"/>
      <c r="K23" s="33"/>
    </row>
    <row r="24" spans="1:11" x14ac:dyDescent="0.25">
      <c r="A24" s="79">
        <v>44763</v>
      </c>
      <c r="B24" s="46">
        <v>1</v>
      </c>
      <c r="C24" s="46">
        <v>8.3000000000000007</v>
      </c>
      <c r="D24" s="46">
        <v>18</v>
      </c>
      <c r="E24" s="40">
        <f t="shared" si="0"/>
        <v>9.6999999999999993</v>
      </c>
      <c r="F24" s="43">
        <v>1683152.1</v>
      </c>
      <c r="G24" s="44">
        <v>1683478.4</v>
      </c>
      <c r="H24" s="43">
        <f t="shared" si="1"/>
        <v>326.29999999981374</v>
      </c>
      <c r="I24" s="45">
        <f>(H24*[1]Summary!$C$6)</f>
        <v>926.69199999947091</v>
      </c>
      <c r="J24" s="81">
        <v>4550</v>
      </c>
      <c r="K24" s="33" t="s">
        <v>52</v>
      </c>
    </row>
    <row r="25" spans="1:11" x14ac:dyDescent="0.25">
      <c r="A25" s="79">
        <v>44764</v>
      </c>
      <c r="B25" s="46">
        <v>1</v>
      </c>
      <c r="C25" s="46">
        <v>8.3000000000000007</v>
      </c>
      <c r="D25" s="46">
        <v>18</v>
      </c>
      <c r="E25" s="40">
        <f t="shared" si="0"/>
        <v>9.6999999999999993</v>
      </c>
      <c r="F25" s="41">
        <v>1683478.4</v>
      </c>
      <c r="G25" s="44">
        <v>1683813.6</v>
      </c>
      <c r="H25" s="43">
        <f t="shared" si="1"/>
        <v>335.20000000018626</v>
      </c>
      <c r="I25" s="45">
        <f>(H25*[1]Summary!$C$6)</f>
        <v>951.96800000052895</v>
      </c>
      <c r="J25" s="81"/>
      <c r="K25" s="33"/>
    </row>
    <row r="26" spans="1:11" x14ac:dyDescent="0.25">
      <c r="A26" s="79">
        <v>44765</v>
      </c>
      <c r="B26" s="46">
        <v>1</v>
      </c>
      <c r="C26" s="46">
        <v>8.3000000000000007</v>
      </c>
      <c r="D26" s="46">
        <v>18</v>
      </c>
      <c r="E26" s="40">
        <f t="shared" si="0"/>
        <v>9.6999999999999993</v>
      </c>
      <c r="F26" s="41">
        <v>1683813.6</v>
      </c>
      <c r="G26" s="44">
        <v>1684154.8</v>
      </c>
      <c r="H26" s="43">
        <f t="shared" si="1"/>
        <v>341.19999999995343</v>
      </c>
      <c r="I26" s="45">
        <f>(H26*[1]Summary!$C$6)</f>
        <v>969.00799999986771</v>
      </c>
      <c r="J26" s="81"/>
      <c r="K26" s="33"/>
    </row>
    <row r="27" spans="1:11" x14ac:dyDescent="0.25">
      <c r="A27" s="79">
        <v>44766</v>
      </c>
      <c r="B27" s="46">
        <v>1</v>
      </c>
      <c r="C27" s="46">
        <v>8.3000000000000007</v>
      </c>
      <c r="D27" s="46">
        <v>18</v>
      </c>
      <c r="E27" s="40">
        <f t="shared" si="0"/>
        <v>9.6999999999999993</v>
      </c>
      <c r="F27" s="41">
        <v>1684154.8</v>
      </c>
      <c r="G27" s="44">
        <v>1684498</v>
      </c>
      <c r="H27" s="43">
        <f t="shared" si="1"/>
        <v>343.19999999995343</v>
      </c>
      <c r="I27" s="45">
        <f>(H27*[1]Summary!$C$6)</f>
        <v>974.68799999986766</v>
      </c>
      <c r="J27" s="81"/>
      <c r="K27" s="33"/>
    </row>
    <row r="28" spans="1:11" x14ac:dyDescent="0.25">
      <c r="A28" s="79">
        <v>44767</v>
      </c>
      <c r="B28" s="46">
        <v>1</v>
      </c>
      <c r="C28" s="46">
        <v>8.3000000000000007</v>
      </c>
      <c r="D28" s="46">
        <v>20</v>
      </c>
      <c r="E28" s="40">
        <f t="shared" si="0"/>
        <v>11.7</v>
      </c>
      <c r="F28" s="41">
        <v>1684498</v>
      </c>
      <c r="G28" s="44">
        <v>1684897.2</v>
      </c>
      <c r="H28" s="43">
        <f t="shared" si="1"/>
        <v>399.19999999995343</v>
      </c>
      <c r="I28" s="45">
        <f>(H28*[1]Summary!$C$6)</f>
        <v>1133.7279999998677</v>
      </c>
      <c r="J28" s="81"/>
      <c r="K28" s="33"/>
    </row>
    <row r="29" spans="1:11" x14ac:dyDescent="0.25">
      <c r="A29" s="79">
        <v>44768</v>
      </c>
      <c r="B29" s="46">
        <v>1</v>
      </c>
      <c r="C29" s="46">
        <v>8.3000000000000007</v>
      </c>
      <c r="D29" s="46">
        <v>20</v>
      </c>
      <c r="E29" s="40">
        <f t="shared" si="0"/>
        <v>11.7</v>
      </c>
      <c r="F29" s="41">
        <v>1684897.2</v>
      </c>
      <c r="G29" s="44">
        <v>1685287.3</v>
      </c>
      <c r="H29" s="43">
        <f t="shared" si="1"/>
        <v>390.10000000009313</v>
      </c>
      <c r="I29" s="45">
        <f>(H29*[1]Summary!$C$6)</f>
        <v>1107.8840000002645</v>
      </c>
      <c r="J29" s="81"/>
      <c r="K29" s="33"/>
    </row>
    <row r="30" spans="1:11" x14ac:dyDescent="0.25">
      <c r="A30" s="79">
        <v>44769</v>
      </c>
      <c r="B30" s="39">
        <v>1</v>
      </c>
      <c r="C30" s="39">
        <v>8.3000000000000007</v>
      </c>
      <c r="D30" s="39">
        <v>20</v>
      </c>
      <c r="E30" s="40">
        <f t="shared" si="0"/>
        <v>11.7</v>
      </c>
      <c r="F30" s="41">
        <v>1685287.3</v>
      </c>
      <c r="G30" s="42">
        <v>1685708.7</v>
      </c>
      <c r="H30" s="43">
        <f t="shared" si="1"/>
        <v>421.39999999990687</v>
      </c>
      <c r="I30" s="45">
        <f>(H30*[1]Summary!$C$6)</f>
        <v>1196.7759999997354</v>
      </c>
      <c r="J30" s="81"/>
      <c r="K30" s="33"/>
    </row>
    <row r="31" spans="1:11" x14ac:dyDescent="0.25">
      <c r="A31" s="79">
        <v>44770</v>
      </c>
      <c r="B31" s="39">
        <v>1</v>
      </c>
      <c r="C31" s="39">
        <v>8.3000000000000007</v>
      </c>
      <c r="D31" s="39">
        <v>18</v>
      </c>
      <c r="E31" s="40">
        <f t="shared" si="0"/>
        <v>9.6999999999999993</v>
      </c>
      <c r="F31" s="41">
        <v>1685708.7</v>
      </c>
      <c r="G31" s="42">
        <v>1686077.9</v>
      </c>
      <c r="H31" s="43">
        <f>G31-F31</f>
        <v>369.19999999995343</v>
      </c>
      <c r="I31" s="45">
        <f>(H31*[1]Summary!$C$6)</f>
        <v>1048.5279999998677</v>
      </c>
      <c r="J31" s="81"/>
      <c r="K31" s="33"/>
    </row>
    <row r="32" spans="1:11" x14ac:dyDescent="0.25">
      <c r="A32" s="79">
        <v>44771</v>
      </c>
      <c r="B32" s="39">
        <v>1</v>
      </c>
      <c r="C32" s="39">
        <v>8.3000000000000007</v>
      </c>
      <c r="D32" s="39">
        <v>19.5</v>
      </c>
      <c r="E32" s="40">
        <f t="shared" si="0"/>
        <v>11.2</v>
      </c>
      <c r="F32" s="41">
        <v>1686077.9</v>
      </c>
      <c r="G32" s="42">
        <v>1686485.7</v>
      </c>
      <c r="H32" s="43">
        <f t="shared" si="1"/>
        <v>407.80000000004657</v>
      </c>
      <c r="I32" s="45">
        <f>(H32*[1]Summary!$C$6)</f>
        <v>1158.1520000001321</v>
      </c>
      <c r="J32" s="81"/>
      <c r="K32" s="33"/>
    </row>
    <row r="33" spans="1:11" x14ac:dyDescent="0.25">
      <c r="A33" s="79">
        <v>44772</v>
      </c>
      <c r="B33" s="39">
        <v>1</v>
      </c>
      <c r="C33" s="39">
        <v>8.3000000000000007</v>
      </c>
      <c r="D33" s="39">
        <v>18</v>
      </c>
      <c r="E33" s="40">
        <f t="shared" si="0"/>
        <v>9.6999999999999993</v>
      </c>
      <c r="F33" s="41">
        <v>1686485.7</v>
      </c>
      <c r="G33" s="42">
        <v>1686803.2</v>
      </c>
      <c r="H33" s="43">
        <f t="shared" si="1"/>
        <v>317.5</v>
      </c>
      <c r="I33" s="40">
        <f>(H33*[1]Summary!$C$6)</f>
        <v>901.69999999999993</v>
      </c>
      <c r="J33" s="80"/>
      <c r="K33" s="33"/>
    </row>
    <row r="34" spans="1:11" x14ac:dyDescent="0.25">
      <c r="A34" s="79">
        <v>44773</v>
      </c>
      <c r="B34" s="39">
        <v>1</v>
      </c>
      <c r="C34" s="39">
        <v>8.3000000000000007</v>
      </c>
      <c r="D34" s="39">
        <v>18</v>
      </c>
      <c r="E34" s="40">
        <f t="shared" si="0"/>
        <v>9.6999999999999993</v>
      </c>
      <c r="F34" s="41">
        <v>1686803.2</v>
      </c>
      <c r="G34" s="42">
        <v>1687134.8</v>
      </c>
      <c r="H34" s="43">
        <f t="shared" si="1"/>
        <v>331.60000000009313</v>
      </c>
      <c r="I34" s="16"/>
      <c r="J34" s="80"/>
      <c r="K34" s="33"/>
    </row>
    <row r="35" spans="1:11" ht="15" customHeight="1" x14ac:dyDescent="0.25">
      <c r="A35" s="83"/>
      <c r="B35" s="39"/>
      <c r="C35" s="39"/>
      <c r="D35" s="39"/>
      <c r="E35" s="16"/>
      <c r="F35" s="48"/>
      <c r="G35" s="42"/>
      <c r="H35" s="49"/>
      <c r="I35" s="16"/>
      <c r="J35" s="96">
        <f>SUM(J4:J34)-H36</f>
        <v>2757.5999999997675</v>
      </c>
      <c r="K35" s="33"/>
    </row>
    <row r="36" spans="1:11" ht="15" customHeight="1" x14ac:dyDescent="0.25">
      <c r="A36" s="94" t="s">
        <v>28</v>
      </c>
      <c r="B36" s="95"/>
      <c r="C36" s="84"/>
      <c r="D36" s="84"/>
      <c r="E36" s="85"/>
      <c r="F36" s="86"/>
      <c r="G36" s="87"/>
      <c r="H36" s="88">
        <f>SUM(H4:H34)</f>
        <v>11746.500000000233</v>
      </c>
      <c r="I36" s="89">
        <f>SUM(I4:I34)</f>
        <v>32418.316000000395</v>
      </c>
      <c r="J36" s="97"/>
    </row>
    <row r="37" spans="1:11" x14ac:dyDescent="0.25">
      <c r="A37" s="51">
        <f>COUNT(A4:A34)</f>
        <v>31</v>
      </c>
      <c r="D37" s="32"/>
    </row>
    <row r="38" spans="1:11" x14ac:dyDescent="0.25">
      <c r="F38" s="53"/>
      <c r="G38" s="37"/>
      <c r="H38" s="37"/>
    </row>
    <row r="39" spans="1:11" ht="15.6" x14ac:dyDescent="0.3">
      <c r="A39" s="54" t="s">
        <v>53</v>
      </c>
    </row>
  </sheetData>
  <mergeCells count="4">
    <mergeCell ref="A36:B36"/>
    <mergeCell ref="J35:J36"/>
    <mergeCell ref="K4:M4"/>
    <mergeCell ref="K5:M5"/>
  </mergeCells>
  <pageMargins left="0.21" right="0.21" top="0.57999999999999996" bottom="0.69" header="0.5" footer="0.5"/>
  <pageSetup paperSize="9" scale="7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 July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2022-08-03T07:27:14Z</dcterms:modified>
  <cp:category/>
  <cp:contentStatus/>
</cp:coreProperties>
</file>