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20\"/>
    </mc:Choice>
  </mc:AlternateContent>
  <bookViews>
    <workbookView xWindow="0" yWindow="0" windowWidth="28800" windowHeight="12435" tabRatio="762" firstSheet="1" activeTab="1"/>
  </bookViews>
  <sheets>
    <sheet name="TOTAL" sheetId="11" r:id="rId1"/>
    <sheet name="FS Jimbaran March 2020" sheetId="14" r:id="rId2"/>
    <sheet name="RNs &amp; Covers March 2020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47" i="14" l="1"/>
  <c r="Q47" i="14"/>
  <c r="C38" i="10"/>
  <c r="B38" i="10"/>
  <c r="AG33" i="14"/>
  <c r="AG34" i="14"/>
  <c r="AG35" i="14"/>
  <c r="AG36" i="14"/>
  <c r="AG37" i="14"/>
  <c r="AG38" i="14"/>
  <c r="AG39" i="14"/>
  <c r="AG40" i="14"/>
  <c r="AI40" i="14" s="1"/>
  <c r="AG41" i="14"/>
  <c r="AI41" i="14" s="1"/>
  <c r="AG42" i="14"/>
  <c r="AI42" i="14" s="1"/>
  <c r="AL40" i="14"/>
  <c r="AL41" i="14"/>
  <c r="AL42" i="14"/>
  <c r="AA40" i="14"/>
  <c r="AB40" i="14" s="1"/>
  <c r="AA41" i="14"/>
  <c r="AB41" i="14" s="1"/>
  <c r="AA42" i="14"/>
  <c r="AB42" i="14" s="1"/>
  <c r="V40" i="14"/>
  <c r="V41" i="14"/>
  <c r="V42" i="14"/>
  <c r="N40" i="14"/>
  <c r="P40" i="14"/>
  <c r="N41" i="14"/>
  <c r="P41" i="14"/>
  <c r="N42" i="14"/>
  <c r="P42" i="14"/>
  <c r="I40" i="14"/>
  <c r="I41" i="14"/>
  <c r="I42" i="14"/>
  <c r="O42" i="14" l="1"/>
  <c r="O41" i="14"/>
  <c r="O40" i="14"/>
  <c r="E30" i="11"/>
  <c r="F30" i="11"/>
  <c r="G30" i="11"/>
  <c r="H30" i="11"/>
  <c r="I30" i="11"/>
  <c r="J30" i="11"/>
  <c r="K30" i="11"/>
  <c r="L30" i="11"/>
  <c r="E31" i="11"/>
  <c r="F31" i="11"/>
  <c r="G31" i="11"/>
  <c r="H31" i="11"/>
  <c r="I31" i="11"/>
  <c r="J31" i="11"/>
  <c r="K31" i="11"/>
  <c r="L31" i="11"/>
  <c r="E32" i="11"/>
  <c r="F32" i="11"/>
  <c r="G32" i="11"/>
  <c r="H32" i="11"/>
  <c r="I32" i="11"/>
  <c r="J32" i="11"/>
  <c r="K32" i="11"/>
  <c r="L32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G31" i="14"/>
  <c r="AI31" i="14" s="1"/>
  <c r="AG32" i="14"/>
  <c r="AI32" i="14" s="1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N31" i="14"/>
  <c r="N32" i="14"/>
  <c r="N33" i="14"/>
  <c r="N34" i="14"/>
  <c r="N35" i="14"/>
  <c r="N36" i="14"/>
  <c r="N37" i="14"/>
  <c r="N38" i="14"/>
  <c r="N39" i="14"/>
  <c r="I39" i="14"/>
  <c r="I38" i="14"/>
  <c r="I37" i="14"/>
  <c r="O37" i="14" s="1"/>
  <c r="I36" i="14"/>
  <c r="I35" i="14"/>
  <c r="I34" i="14"/>
  <c r="I33" i="14"/>
  <c r="I32" i="14"/>
  <c r="I31" i="14"/>
  <c r="O35" i="14" l="1"/>
  <c r="O32" i="14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AG30" i="14"/>
  <c r="N30" i="14"/>
  <c r="I30" i="14"/>
  <c r="AL29" i="14"/>
  <c r="AG29" i="14"/>
  <c r="N29" i="14"/>
  <c r="I29" i="14"/>
  <c r="AL28" i="14"/>
  <c r="AG28" i="14"/>
  <c r="N28" i="14"/>
  <c r="I28" i="14"/>
  <c r="AG27" i="14"/>
  <c r="N27" i="14"/>
  <c r="I27" i="14"/>
  <c r="AL26" i="14"/>
  <c r="AG26" i="14"/>
  <c r="AI26" i="14" s="1"/>
  <c r="I26" i="14"/>
  <c r="AL25" i="14"/>
  <c r="I15" i="11"/>
  <c r="AG25" i="14"/>
  <c r="N25" i="14"/>
  <c r="P25" i="14"/>
  <c r="AL24" i="14"/>
  <c r="AG24" i="14"/>
  <c r="K14" i="11"/>
  <c r="N24" i="14"/>
  <c r="I24" i="14"/>
  <c r="AL23" i="14"/>
  <c r="AG23" i="14"/>
  <c r="P23" i="14"/>
  <c r="N23" i="14"/>
  <c r="AG22" i="14"/>
  <c r="N22" i="14"/>
  <c r="I22" i="14"/>
  <c r="AG21" i="14"/>
  <c r="P21" i="14"/>
  <c r="N21" i="14"/>
  <c r="AL20" i="14"/>
  <c r="AG20" i="14"/>
  <c r="AA20" i="14"/>
  <c r="AB20" i="14" s="1"/>
  <c r="N20" i="14"/>
  <c r="I20" i="14"/>
  <c r="I9" i="11"/>
  <c r="AG19" i="14"/>
  <c r="AA19" i="14"/>
  <c r="AB19" i="14" s="1"/>
  <c r="N19" i="14"/>
  <c r="AL18" i="14"/>
  <c r="AG18" i="14"/>
  <c r="P18" i="14"/>
  <c r="I18" i="14"/>
  <c r="AL17" i="14"/>
  <c r="I7" i="11"/>
  <c r="AG17" i="14"/>
  <c r="P17" i="14"/>
  <c r="N17" i="14"/>
  <c r="AL16" i="14"/>
  <c r="AG16" i="14"/>
  <c r="K6" i="11"/>
  <c r="N16" i="14"/>
  <c r="I16" i="14"/>
  <c r="AL15" i="14"/>
  <c r="AG15" i="14"/>
  <c r="P15" i="14"/>
  <c r="N15" i="14"/>
  <c r="AG14" i="14"/>
  <c r="N14" i="14"/>
  <c r="AL13" i="14"/>
  <c r="AG13" i="14"/>
  <c r="N13" i="14"/>
  <c r="AG12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A15" i="14"/>
  <c r="AA17" i="14"/>
  <c r="AA23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AA29" i="14"/>
  <c r="G19" i="11"/>
  <c r="I17" i="11"/>
  <c r="K15" i="11"/>
  <c r="K7" i="11"/>
  <c r="L10" i="11"/>
  <c r="P13" i="14"/>
  <c r="AF47" i="14"/>
  <c r="I10" i="11"/>
  <c r="M47" i="14"/>
  <c r="P16" i="14"/>
  <c r="I17" i="14"/>
  <c r="N18" i="14"/>
  <c r="O18" i="14" s="1"/>
  <c r="I21" i="14"/>
  <c r="O21" i="14" s="1"/>
  <c r="AA27" i="14"/>
  <c r="G18" i="11"/>
  <c r="G10" i="11"/>
  <c r="I16" i="11"/>
  <c r="I8" i="11"/>
  <c r="J19" i="11"/>
  <c r="J3" i="11"/>
  <c r="L9" i="11"/>
  <c r="K47" i="14"/>
  <c r="O22" i="14"/>
  <c r="AA24" i="14"/>
  <c r="P26" i="14"/>
  <c r="E47" i="14"/>
  <c r="I13" i="14"/>
  <c r="O13" i="14" s="1"/>
  <c r="I15" i="14"/>
  <c r="O15" i="14" s="1"/>
  <c r="O16" i="14"/>
  <c r="P19" i="14"/>
  <c r="AA21" i="14"/>
  <c r="I23" i="14"/>
  <c r="O23" i="14" s="1"/>
  <c r="P28" i="14"/>
  <c r="G17" i="11"/>
  <c r="J18" i="11"/>
  <c r="J10" i="11"/>
  <c r="K13" i="11"/>
  <c r="K5" i="11"/>
  <c r="AA25" i="14"/>
  <c r="F47" i="14"/>
  <c r="V47" i="14"/>
  <c r="I14" i="14"/>
  <c r="O14" i="14" s="1"/>
  <c r="AA14" i="14"/>
  <c r="P24" i="14"/>
  <c r="I25" i="14"/>
  <c r="O25" i="14" s="1"/>
  <c r="N26" i="14"/>
  <c r="O26" i="14" s="1"/>
  <c r="I14" i="11"/>
  <c r="I6" i="11"/>
  <c r="K12" i="11"/>
  <c r="K4" i="11"/>
  <c r="AA12" i="14"/>
  <c r="L2" i="11" s="1"/>
  <c r="H2" i="11"/>
  <c r="AA18" i="14"/>
  <c r="AA26" i="14"/>
  <c r="AA22" i="14"/>
  <c r="N12" i="14"/>
  <c r="AA30" i="14"/>
  <c r="H47" i="14"/>
  <c r="P12" i="14"/>
  <c r="AA28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16" i="14"/>
  <c r="AA47" i="14" s="1"/>
  <c r="AH47" i="14"/>
  <c r="AI47" i="14" s="1"/>
  <c r="AI12" i="14"/>
  <c r="N47" i="14"/>
  <c r="O12" i="14"/>
  <c r="P47" i="14"/>
  <c r="S47" i="14" s="1"/>
  <c r="Z47" i="14"/>
  <c r="AB12" i="14"/>
  <c r="AB47" i="14" l="1"/>
  <c r="AA49" i="14"/>
  <c r="F7" i="11"/>
  <c r="F2" i="11"/>
  <c r="AB16" i="14"/>
  <c r="L6" i="11"/>
  <c r="O47" i="14"/>
  <c r="T47" i="14" s="1"/>
  <c r="U47" i="14" l="1"/>
  <c r="U48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<sst xmlns="http://schemas.openxmlformats.org/spreadsheetml/2006/main" count="100" uniqueCount="54">
  <si>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</si>
  <si>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</si>
  <si>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</si>
  <si>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</si>
  <si>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</si>
  <si>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</si>
  <si>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</si>
  <si>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</si>
  <si>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</si>
  <si>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</si>
  <si>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</si>
  <si>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</si>
  <si>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</si>
  <si>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</si>
  <si>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</si>
  <si>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</si>
  <si>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</si>
  <si>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MARCH 2020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</si>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</sst>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  <numFmt numFmtId="172" formatCode="0.0%"/>
    <numFmt numFmtId="173" formatCode="_-* #,##0.000_-;\-* #,##0.000_-;_-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</cellStyleXfs>
  <cellXfs count="283">
    <xf numFmtId="0" fontId="0" fillId="0" borderId="0" xfId="0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/>
    <xf numFmtId="168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43" fontId="0" fillId="3" borderId="0" xfId="0" applyNumberFormat="1" applyFill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70" fontId="6" fillId="3" borderId="0" xfId="0" applyNumberFormat="1" applyFont="1" applyFill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8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4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40" xfId="0" applyNumberFormat="1" applyFill="1" applyBorder="1"/>
    <xf numFmtId="168" fontId="1" fillId="0" borderId="40" xfId="0" applyNumberFormat="1" applyFont="1" applyBorder="1"/>
    <xf numFmtId="0" fontId="0" fillId="3" borderId="48" xfId="0" applyFill="1" applyBorder="1"/>
    <xf numFmtId="168" fontId="0" fillId="3" borderId="48" xfId="2" applyNumberFormat="1" applyFont="1" applyFill="1" applyBorder="1"/>
    <xf numFmtId="43" fontId="8" fillId="3" borderId="48" xfId="2" applyFont="1" applyFill="1" applyBorder="1"/>
    <xf numFmtId="168" fontId="8" fillId="3" borderId="48" xfId="2" applyNumberFormat="1" applyFont="1" applyFill="1" applyBorder="1"/>
    <xf numFmtId="43" fontId="0" fillId="3" borderId="48" xfId="0" applyNumberFormat="1" applyFill="1" applyBorder="1"/>
    <xf numFmtId="0" fontId="0" fillId="3" borderId="50" xfId="0" applyFill="1" applyBorder="1"/>
    <xf numFmtId="167" fontId="0" fillId="3" borderId="48" xfId="0" applyNumberFormat="1" applyFill="1" applyBorder="1"/>
    <xf numFmtId="168" fontId="0" fillId="3" borderId="48" xfId="0" applyNumberFormat="1" applyFill="1" applyBorder="1"/>
    <xf numFmtId="168" fontId="0" fillId="0" borderId="48" xfId="2" applyNumberFormat="1" applyFont="1" applyBorder="1"/>
    <xf numFmtId="170" fontId="0" fillId="3" borderId="50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8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8" fontId="9" fillId="0" borderId="54" xfId="2" applyNumberFormat="1" applyFont="1" applyBorder="1" applyAlignment="1">
      <alignment horizontal="center" vertical="center" wrapText="1"/>
    </xf>
    <xf numFmtId="168" fontId="8" fillId="0" borderId="55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7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8" xfId="0" applyBorder="1"/>
    <xf numFmtId="43" fontId="0" fillId="0" borderId="46" xfId="2" applyFont="1" applyBorder="1"/>
    <xf numFmtId="43" fontId="0" fillId="0" borderId="59" xfId="2" applyFont="1" applyBorder="1"/>
    <xf numFmtId="168" fontId="8" fillId="0" borderId="45" xfId="2" applyNumberFormat="1" applyFont="1" applyBorder="1" applyAlignment="1">
      <alignment horizontal="center" vertical="center" wrapText="1"/>
    </xf>
    <xf numFmtId="168" fontId="8" fillId="0" borderId="46" xfId="2" applyNumberFormat="1" applyFont="1" applyBorder="1"/>
    <xf numFmtId="168" fontId="8" fillId="0" borderId="59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8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167" fontId="0" fillId="3" borderId="5" xfId="0" applyNumberFormat="1" applyFill="1" applyBorder="1"/>
    <xf numFmtId="0" fontId="0" fillId="3" borderId="66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2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8" xfId="2" applyNumberFormat="1" applyFont="1" applyBorder="1"/>
    <xf numFmtId="171" fontId="0" fillId="0" borderId="6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7" xfId="2" applyNumberFormat="1" applyFont="1" applyFill="1" applyBorder="1" applyProtection="1">
      <protection locked="0"/>
    </xf>
    <xf numFmtId="169" fontId="0" fillId="0" borderId="56" xfId="2" applyNumberFormat="1" applyFont="1" applyBorder="1"/>
    <xf numFmtId="168" fontId="14" fillId="3" borderId="46" xfId="2" applyNumberFormat="1" applyFont="1" applyFill="1" applyBorder="1" applyProtection="1">
      <protection locked="0"/>
    </xf>
    <xf numFmtId="168" fontId="0" fillId="0" borderId="59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4" xfId="2" applyNumberFormat="1" applyFont="1" applyFill="1" applyBorder="1" applyProtection="1">
      <protection locked="0"/>
    </xf>
    <xf numFmtId="168" fontId="14" fillId="3" borderId="47" xfId="2" applyNumberFormat="1" applyFont="1" applyFill="1" applyBorder="1" applyProtection="1">
      <protection locked="0"/>
    </xf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50" xfId="0" applyNumberFormat="1" applyFill="1" applyBorder="1"/>
    <xf numFmtId="43" fontId="1" fillId="6" borderId="23" xfId="2" applyFont="1" applyFill="1" applyBorder="1"/>
    <xf numFmtId="168" fontId="4" fillId="3" borderId="0" xfId="0" applyNumberFormat="1" applyFont="1" applyFill="1"/>
    <xf numFmtId="168" fontId="4" fillId="0" borderId="0" xfId="0" applyNumberFormat="1" applyFont="1"/>
    <xf numFmtId="166" fontId="4" fillId="0" borderId="0" xfId="1" applyFont="1" applyBorder="1"/>
    <xf numFmtId="172" fontId="4" fillId="0" borderId="0" xfId="5" applyNumberFormat="1" applyFont="1" applyBorder="1"/>
    <xf numFmtId="170" fontId="4" fillId="0" borderId="0" xfId="0" applyNumberFormat="1" applyFont="1"/>
    <xf numFmtId="0" fontId="4" fillId="0" borderId="0" xfId="0" applyFont="1"/>
    <xf numFmtId="43" fontId="0" fillId="3" borderId="39" xfId="2" applyFont="1" applyFill="1" applyBorder="1"/>
    <xf numFmtId="43" fontId="0" fillId="3" borderId="40" xfId="2" applyFont="1" applyFill="1" applyBorder="1"/>
    <xf numFmtId="168" fontId="19" fillId="3" borderId="0" xfId="2" applyNumberFormat="1" applyFont="1" applyFill="1" applyBorder="1"/>
    <xf numFmtId="168" fontId="19" fillId="0" borderId="0" xfId="2" applyNumberFormat="1" applyFont="1" applyBorder="1"/>
    <xf numFmtId="3" fontId="19" fillId="0" borderId="0" xfId="0" applyNumberFormat="1" applyFont="1"/>
    <xf numFmtId="173" fontId="19" fillId="0" borderId="0" xfId="2" applyNumberFormat="1" applyFont="1"/>
    <xf numFmtId="10" fontId="19" fillId="0" borderId="0" xfId="5" applyNumberFormat="1" applyFont="1"/>
    <xf numFmtId="166" fontId="19" fillId="0" borderId="0" xfId="1" applyFont="1" applyBorder="1"/>
    <xf numFmtId="168" fontId="20" fillId="0" borderId="0" xfId="2" applyNumberFormat="1" applyFont="1" applyBorder="1"/>
    <xf numFmtId="171" fontId="19" fillId="0" borderId="0" xfId="2" applyNumberFormat="1" applyFont="1" applyBorder="1"/>
    <xf numFmtId="168" fontId="19" fillId="0" borderId="0" xfId="2" applyNumberFormat="1" applyFont="1" applyBorder="1" applyAlignment="1">
      <alignment horizontal="right"/>
    </xf>
    <xf numFmtId="172" fontId="19" fillId="0" borderId="0" xfId="5" applyNumberFormat="1" applyFont="1" applyBorder="1"/>
    <xf numFmtId="168" fontId="21" fillId="0" borderId="0" xfId="2" applyNumberFormat="1" applyFont="1" applyBorder="1"/>
    <xf numFmtId="0" fontId="19" fillId="0" borderId="0" xfId="0" applyFont="1"/>
    <xf numFmtId="170" fontId="19" fillId="0" borderId="0" xfId="2" applyNumberFormat="1" applyFont="1" applyBorder="1"/>
    <xf numFmtId="0" fontId="17" fillId="3" borderId="0" xfId="0" applyFont="1" applyFill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43" fontId="0" fillId="3" borderId="70" xfId="2" applyFont="1" applyFill="1" applyBorder="1"/>
    <xf numFmtId="43" fontId="0" fillId="3" borderId="7" xfId="2" applyFont="1" applyFill="1" applyBorder="1"/>
    <xf numFmtId="43" fontId="0" fillId="3" borderId="71" xfId="2" applyFont="1" applyFill="1" applyBorder="1"/>
    <xf numFmtId="43" fontId="0" fillId="3" borderId="11" xfId="2" applyFont="1" applyFill="1" applyBorder="1"/>
    <xf numFmtId="43" fontId="0" fillId="3" borderId="72" xfId="2" applyFont="1" applyFill="1" applyBorder="1"/>
    <xf numFmtId="43" fontId="0" fillId="3" borderId="47" xfId="2" applyFont="1" applyFill="1" applyBorder="1"/>
    <xf numFmtId="43" fontId="17" fillId="0" borderId="0" xfId="0" applyNumberFormat="1" applyFont="1"/>
    <xf numFmtId="43" fontId="17" fillId="0" borderId="0" xfId="2" applyFont="1"/>
    <xf numFmtId="9" fontId="17" fillId="0" borderId="0" xfId="5" applyFont="1"/>
    <xf numFmtId="0" fontId="0" fillId="3" borderId="64" xfId="0" applyFill="1" applyBorder="1" applyAlignment="1">
      <alignment wrapText="1"/>
    </xf>
    <xf numFmtId="0" fontId="7" fillId="0" borderId="6" xfId="4" quotePrefix="1" applyBorder="1"/>
    <xf numFmtId="171" fontId="0" fillId="0" borderId="47" xfId="2" applyNumberFormat="1" applyFont="1" applyBorder="1"/>
    <xf numFmtId="171" fontId="0" fillId="0" borderId="39" xfId="2" applyNumberFormat="1" applyFont="1" applyBorder="1"/>
    <xf numFmtId="0" fontId="0" fillId="3" borderId="39" xfId="0" applyFill="1" applyBorder="1" applyAlignment="1">
      <alignment wrapText="1"/>
    </xf>
    <xf numFmtId="0" fontId="7" fillId="3" borderId="39" xfId="4" quotePrefix="1" applyFill="1" applyBorder="1" applyAlignment="1"/>
    <xf numFmtId="171" fontId="7" fillId="3" borderId="39" xfId="2" applyNumberFormat="1" applyFont="1" applyFill="1" applyBorder="1" applyAlignment="1">
      <alignment vertical="top" wrapText="1"/>
    </xf>
    <xf numFmtId="171" fontId="17" fillId="3" borderId="39" xfId="2" applyNumberFormat="1" applyFont="1" applyFill="1" applyBorder="1" applyAlignment="1">
      <alignment vertical="top" wrapText="1"/>
    </xf>
    <xf numFmtId="171" fontId="7" fillId="3" borderId="39" xfId="4" quotePrefix="1" applyNumberFormat="1" applyFill="1" applyBorder="1" applyAlignment="1">
      <alignment vertical="top"/>
    </xf>
    <xf numFmtId="0" fontId="7" fillId="3" borderId="39" xfId="4" applyFill="1" applyBorder="1" applyAlignment="1">
      <alignment vertical="top" wrapText="1"/>
    </xf>
    <xf numFmtId="0" fontId="7" fillId="0" borderId="40" xfId="4" quotePrefix="1" applyBorder="1"/>
    <xf numFmtId="1" fontId="22" fillId="13" borderId="46" xfId="0" applyNumberFormat="1" applyFont="1" applyFill="1" applyBorder="1"/>
    <xf numFmtId="1" fontId="22" fillId="13" borderId="73" xfId="0" applyNumberFormat="1" applyFont="1" applyFill="1" applyBorder="1"/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43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0">
    <cellStyle name="Comma" xfId="2" builtinId="3"/>
    <cellStyle name="Comma [0] 2" xfId="8"/>
    <cellStyle name="Comma 10" xfId="3"/>
    <cellStyle name="Comma 2" xfId="6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3"/>
  <sheetViews>
    <sheetView workbookViewId="0">
      <selection activeCell="D4" sqref="D4:D32"/>
    </sheetView>
  </sheetViews>
  <sheetFormatPr defaultColWidth="11.5703125" defaultRowHeight="15" x14ac:dyDescent="0.25"/>
  <cols>
    <col min="1" max="1" width="18.42578125" style="167" customWidth="1"/>
    <col min="2" max="2" width="11.5703125" style="168"/>
    <col min="3" max="3" width="11.5703125" style="169"/>
    <col min="4" max="4" width="13.42578125" style="168" customWidth="1"/>
    <col min="5" max="5" width="12.5703125" style="166" customWidth="1"/>
    <col min="6" max="6" width="12.5703125" style="170" customWidth="1"/>
    <col min="7" max="7" width="11.5703125" style="166"/>
    <col min="8" max="8" width="11.5703125" style="170"/>
    <col min="9" max="9" width="11.5703125" style="171"/>
    <col min="10" max="10" width="11.5703125" style="172"/>
    <col min="11" max="11" width="11.5703125" style="166"/>
    <col min="12" max="12" width="11.5703125" style="172"/>
    <col min="13" max="26" width="11.5703125" style="166"/>
  </cols>
  <sheetData>
    <row r="1" spans="1:15" s="160" customFormat="1" ht="60" x14ac:dyDescent="0.25">
      <c r="A1" s="156" t="s">
        <v>0</v>
      </c>
      <c r="B1" s="156" t="s">
        <v>1</v>
      </c>
      <c r="C1" s="157" t="s">
        <v>2</v>
      </c>
      <c r="D1" s="156" t="s">
        <v>3</v>
      </c>
      <c r="E1" s="155" t="s">
        <v>4</v>
      </c>
      <c r="F1" s="158" t="s">
        <v>5</v>
      </c>
      <c r="G1" s="155" t="s">
        <v>6</v>
      </c>
      <c r="H1" s="158" t="s">
        <v>7</v>
      </c>
      <c r="I1" s="155" t="s">
        <v>8</v>
      </c>
      <c r="J1" s="158" t="s">
        <v>9</v>
      </c>
      <c r="K1" s="155" t="s">
        <v>10</v>
      </c>
      <c r="L1" s="159" t="s">
        <v>11</v>
      </c>
      <c r="M1" s="155" t="s">
        <v>12</v>
      </c>
      <c r="N1" s="155" t="s">
        <v>13</v>
      </c>
    </row>
    <row r="2" spans="1:15" x14ac:dyDescent="0.25">
      <c r="A2" s="161" t="s">
        <v>14</v>
      </c>
      <c r="B2" s="162">
        <v>1</v>
      </c>
      <c r="C2" s="163">
        <v>3</v>
      </c>
      <c r="D2" s="162">
        <v>2020</v>
      </c>
      <c r="E2" s="164">
        <f>'FS Jimbaran March 2020'!P12</f>
        <v>17500.000000000226</v>
      </c>
      <c r="F2" s="173">
        <f>'FS Jimbaran March 2020'!O12/'FS Jimbaran March 2020'!P12</f>
        <v>1120.4180228571388</v>
      </c>
      <c r="G2" s="164">
        <f>'FS Jimbaran March 2020'!AG12</f>
        <v>91.838400000011717</v>
      </c>
      <c r="H2" s="173">
        <f>'FS Jimbaran March 2020'!AH12/'FS Jimbaran March 2020'!AG12</f>
        <v>9196</v>
      </c>
      <c r="I2" s="164">
        <f>'FS Jimbaran March 2020'!AJ12</f>
        <v>345.64999999999418</v>
      </c>
      <c r="J2" s="165">
        <f>'FS Jimbaran March 2020'!AK12/'FS Jimbaran March 2020'!AJ12</f>
        <v>10000</v>
      </c>
      <c r="K2" s="164">
        <f>'FS Jimbaran March 2020'!V12</f>
        <v>663.93999999999994</v>
      </c>
      <c r="L2" s="173">
        <f>'FS Jimbaran March 2020'!AA12/'FS Jimbaran March 2020'!V12</f>
        <v>11.381179624664881</v>
      </c>
      <c r="M2" s="164">
        <v>1</v>
      </c>
      <c r="N2" s="164">
        <v>42</v>
      </c>
    </row>
    <row r="3" spans="1:15" x14ac:dyDescent="0.25">
      <c r="A3" s="161" t="s">
        <v>14</v>
      </c>
      <c r="B3" s="162">
        <f>B2+1</f>
        <v>2</v>
      </c>
      <c r="C3" s="163">
        <v>3</v>
      </c>
      <c r="D3" s="162">
        <v>2020</v>
      </c>
      <c r="E3" s="164">
        <f>'FS Jimbaran March 2020'!P13</f>
        <v>17919.999999999847</v>
      </c>
      <c r="F3" s="173">
        <f>'FS Jimbaran March 2020'!O13/'FS Jimbaran March 2020'!P13</f>
        <v>1121.9023325892936</v>
      </c>
      <c r="G3" s="164">
        <f>'FS Jimbaran March 2020'!AG13</f>
        <v>188.81740000001173</v>
      </c>
      <c r="H3" s="173">
        <f>'FS Jimbaran March 2020'!AH13/'FS Jimbaran March 2020'!AG13</f>
        <v>9881.3181963102543</v>
      </c>
      <c r="I3" s="164">
        <f>'FS Jimbaran March 2020'!AJ13</f>
        <v>383</v>
      </c>
      <c r="J3" s="165">
        <f>'FS Jimbaran March 2020'!AK13/'FS Jimbaran March 2020'!AJ13</f>
        <v>10000</v>
      </c>
      <c r="K3" s="164">
        <f>'FS Jimbaran March 2020'!V13</f>
        <v>680.85</v>
      </c>
      <c r="L3" s="173">
        <f>'FS Jimbaran March 2020'!AA13/'FS Jimbaran March 2020'!V13</f>
        <v>16.647764705882352</v>
      </c>
      <c r="M3" s="164">
        <v>1</v>
      </c>
      <c r="N3" s="164">
        <v>30</v>
      </c>
    </row>
    <row r="4" spans="1:15" x14ac:dyDescent="0.25">
      <c r="A4" s="161" t="s">
        <v>14</v>
      </c>
      <c r="B4" s="162">
        <f t="shared" ref="B4:B32" si="0">B3+1</f>
        <v>3</v>
      </c>
      <c r="C4" s="163">
        <v>3</v>
      </c>
      <c r="D4" s="162">
        <v>2020</v>
      </c>
      <c r="E4" s="164">
        <f>'FS Jimbaran March 2020'!P14</f>
        <v>16939.999999999145</v>
      </c>
      <c r="F4" s="173">
        <f>'FS Jimbaran March 2020'!O14/'FS Jimbaran March 2020'!P14</f>
        <v>1123.2159740259822</v>
      </c>
      <c r="G4" s="164">
        <f>'FS Jimbaran March 2020'!AG14</f>
        <v>86.15891999999765</v>
      </c>
      <c r="H4" s="173">
        <f>'FS Jimbaran March 2020'!AH14/'FS Jimbaran March 2020'!AG14</f>
        <v>9196</v>
      </c>
      <c r="I4" s="164">
        <f>'FS Jimbaran March 2020'!AJ14</f>
        <v>261</v>
      </c>
      <c r="J4" s="165">
        <f>'FS Jimbaran March 2020'!AK14/'FS Jimbaran March 2020'!AJ14</f>
        <v>10000</v>
      </c>
      <c r="K4" s="164">
        <f>'FS Jimbaran March 2020'!V14</f>
        <v>770.74</v>
      </c>
      <c r="L4" s="173">
        <f>'FS Jimbaran March 2020'!AA14/'FS Jimbaran March 2020'!V14</f>
        <v>14.706166281755197</v>
      </c>
      <c r="M4" s="164">
        <v>1</v>
      </c>
      <c r="N4" s="164">
        <v>17</v>
      </c>
    </row>
    <row r="5" spans="1:15" x14ac:dyDescent="0.25">
      <c r="A5" s="161" t="s">
        <v>14</v>
      </c>
      <c r="B5" s="162">
        <f t="shared" si="0"/>
        <v>4</v>
      </c>
      <c r="C5" s="163">
        <v>3</v>
      </c>
      <c r="D5" s="162">
        <v>2020</v>
      </c>
      <c r="E5" s="164">
        <f>'FS Jimbaran March 2020'!P15</f>
        <v>16900.000000000771</v>
      </c>
      <c r="F5" s="173">
        <f>'FS Jimbaran March 2020'!O15/'FS Jimbaran March 2020'!P15</f>
        <v>1119.7455976331328</v>
      </c>
      <c r="G5" s="164">
        <f>'FS Jimbaran March 2020'!AG15</f>
        <v>24</v>
      </c>
      <c r="H5" s="173">
        <f>'FS Jimbaran March 2020'!AH15/'FS Jimbaran March 2020'!AG15</f>
        <v>11625</v>
      </c>
      <c r="I5" s="164">
        <f>'FS Jimbaran March 2020'!AJ15</f>
        <v>335.88000000000466</v>
      </c>
      <c r="J5" s="165">
        <f>'FS Jimbaran March 2020'!AK15/'FS Jimbaran March 2020'!AJ15</f>
        <v>10000</v>
      </c>
      <c r="K5" s="164">
        <f>'FS Jimbaran March 2020'!V15</f>
        <v>751.16</v>
      </c>
      <c r="L5" s="173">
        <f>'FS Jimbaran March 2020'!AA15/'FS Jimbaran March 2020'!V15</f>
        <v>10.059668246445499</v>
      </c>
      <c r="M5" s="164">
        <v>2</v>
      </c>
      <c r="N5" s="164">
        <v>28</v>
      </c>
    </row>
    <row r="6" spans="1:15" x14ac:dyDescent="0.25">
      <c r="A6" s="161" t="s">
        <v>14</v>
      </c>
      <c r="B6" s="162">
        <f t="shared" si="0"/>
        <v>5</v>
      </c>
      <c r="C6" s="163">
        <v>3</v>
      </c>
      <c r="D6" s="162">
        <v>2020</v>
      </c>
      <c r="E6" s="164">
        <f>'FS Jimbaran March 2020'!P16</f>
        <v>16439.999999999374</v>
      </c>
      <c r="F6" s="173">
        <f>'FS Jimbaran March 2020'!O16/'FS Jimbaran March 2020'!P16</f>
        <v>1125.2451824817526</v>
      </c>
      <c r="G6" s="164">
        <f>'FS Jimbaran March 2020'!AG16</f>
        <v>341.43559999998826</v>
      </c>
      <c r="H6" s="173">
        <f>'FS Jimbaran March 2020'!AH16/'FS Jimbaran March 2020'!AG16</f>
        <v>10143.470035344912</v>
      </c>
      <c r="I6" s="164">
        <f>'FS Jimbaran March 2020'!AJ16</f>
        <v>338.06999999999971</v>
      </c>
      <c r="J6" s="165">
        <f>'FS Jimbaran March 2020'!AK16/'FS Jimbaran March 2020'!AJ16</f>
        <v>10000</v>
      </c>
      <c r="K6" s="164">
        <f>'FS Jimbaran March 2020'!V16</f>
        <v>735.14</v>
      </c>
      <c r="L6" s="173">
        <f>'FS Jimbaran March 2020'!AA16/'FS Jimbaran March 2020'!V16</f>
        <v>35.976101694915258</v>
      </c>
      <c r="M6" s="164">
        <v>3</v>
      </c>
      <c r="N6" s="164">
        <v>44</v>
      </c>
    </row>
    <row r="7" spans="1:15" x14ac:dyDescent="0.25">
      <c r="A7" s="161" t="s">
        <v>14</v>
      </c>
      <c r="B7" s="162">
        <f t="shared" si="0"/>
        <v>6</v>
      </c>
      <c r="C7" s="163">
        <v>3</v>
      </c>
      <c r="D7" s="162">
        <v>2020</v>
      </c>
      <c r="E7" s="164">
        <f>'FS Jimbaran March 2020'!P17</f>
        <v>16500.000000000226</v>
      </c>
      <c r="F7" s="173">
        <f>'FS Jimbaran March 2020'!O17/'FS Jimbaran March 2020'!P17</f>
        <v>1117.3869090908981</v>
      </c>
      <c r="G7" s="164">
        <f>'FS Jimbaran March 2020'!AG17</f>
        <v>100.74027999997888</v>
      </c>
      <c r="H7" s="173">
        <f>'FS Jimbaran March 2020'!AH17/'FS Jimbaran March 2020'!AG17</f>
        <v>9196</v>
      </c>
      <c r="I7" s="164">
        <f>'FS Jimbaran March 2020'!AJ17</f>
        <v>309.41999999999825</v>
      </c>
      <c r="J7" s="165">
        <f>'FS Jimbaran March 2020'!AK17/'FS Jimbaran March 2020'!AJ17</f>
        <v>10000</v>
      </c>
      <c r="K7" s="164">
        <f>'FS Jimbaran March 2020'!V17</f>
        <v>174.44</v>
      </c>
      <c r="L7" s="173">
        <f>'FS Jimbaran March 2020'!AA17/'FS Jimbaran March 2020'!V17</f>
        <v>12890.948877551022</v>
      </c>
      <c r="M7" s="164">
        <v>3</v>
      </c>
      <c r="N7" s="164">
        <v>44</v>
      </c>
    </row>
    <row r="8" spans="1:15" x14ac:dyDescent="0.25">
      <c r="A8" s="161" t="s">
        <v>14</v>
      </c>
      <c r="B8" s="162">
        <f t="shared" si="0"/>
        <v>7</v>
      </c>
      <c r="C8" s="163">
        <v>3</v>
      </c>
      <c r="D8" s="162">
        <v>2020</v>
      </c>
      <c r="E8" s="164">
        <f>'FS Jimbaran March 2020'!P18</f>
        <v>16619.999999999436</v>
      </c>
      <c r="F8" s="173">
        <f>'FS Jimbaran March 2020'!O18/'FS Jimbaran March 2020'!P18</f>
        <v>1117.4209025270895</v>
      </c>
      <c r="G8" s="164">
        <f>'FS Jimbaran March 2020'!AG18</f>
        <v>122.60199999999999</v>
      </c>
      <c r="H8" s="173">
        <f>'FS Jimbaran March 2020'!AH18/'FS Jimbaran March 2020'!AG18</f>
        <v>9909.2346943769262</v>
      </c>
      <c r="I8" s="164">
        <f>'FS Jimbaran March 2020'!AJ18</f>
        <v>300.41000000000349</v>
      </c>
      <c r="J8" s="165">
        <f>'FS Jimbaran March 2020'!AK18/'FS Jimbaran March 2020'!AJ18</f>
        <v>10000</v>
      </c>
      <c r="K8" s="164">
        <f>'FS Jimbaran March 2020'!V18</f>
        <v>602.53</v>
      </c>
      <c r="L8" s="173">
        <f>'FS Jimbaran March 2020'!AA18/'FS Jimbaran March 2020'!V18</f>
        <v>3137.4600590841956</v>
      </c>
      <c r="M8" s="164">
        <v>1</v>
      </c>
      <c r="N8" s="164">
        <v>69</v>
      </c>
    </row>
    <row r="9" spans="1:15" x14ac:dyDescent="0.25">
      <c r="A9" s="161" t="s">
        <v>14</v>
      </c>
      <c r="B9" s="162">
        <f t="shared" si="0"/>
        <v>8</v>
      </c>
      <c r="C9" s="163">
        <v>3</v>
      </c>
      <c r="D9" s="162">
        <v>2020</v>
      </c>
      <c r="E9" s="164">
        <f>'FS Jimbaran March 2020'!P19</f>
        <v>16519.999999999302</v>
      </c>
      <c r="F9" s="173">
        <f>'FS Jimbaran March 2020'!O19/'FS Jimbaran March 2020'!P19</f>
        <v>1118.5420823244619</v>
      </c>
      <c r="G9" s="164">
        <f>'FS Jimbaran March 2020'!AG19</f>
        <v>94.976800000023431</v>
      </c>
      <c r="H9" s="173">
        <f>'FS Jimbaran March 2020'!AH19/'FS Jimbaran March 2020'!AG19</f>
        <v>9502.8959998651553</v>
      </c>
      <c r="I9" s="164">
        <f>'FS Jimbaran March 2020'!AJ19</f>
        <v>359.82000000001426</v>
      </c>
      <c r="J9" s="165">
        <f>'FS Jimbaran March 2020'!AK19/'FS Jimbaran March 2020'!AJ19</f>
        <v>10000</v>
      </c>
      <c r="K9" s="164">
        <f>'FS Jimbaran March 2020'!V19</f>
        <v>959.42</v>
      </c>
      <c r="L9" s="173">
        <f>'FS Jimbaran March 2020'!AA19/'FS Jimbaran March 2020'!V19</f>
        <v>2660.0760111317254</v>
      </c>
      <c r="M9" s="164">
        <v>1</v>
      </c>
      <c r="N9" s="164">
        <v>23</v>
      </c>
      <c r="O9" s="166" t="s">
        <v>15</v>
      </c>
    </row>
    <row r="10" spans="1:15" x14ac:dyDescent="0.25">
      <c r="A10" s="161" t="s">
        <v>14</v>
      </c>
      <c r="B10" s="162">
        <f t="shared" si="0"/>
        <v>9</v>
      </c>
      <c r="C10" s="163">
        <v>3</v>
      </c>
      <c r="D10" s="162">
        <v>2020</v>
      </c>
      <c r="E10" s="164">
        <f>'FS Jimbaran March 2020'!P20</f>
        <v>16900.000000001</v>
      </c>
      <c r="F10" s="173">
        <f>'FS Jimbaran March 2020'!O20/'FS Jimbaran March 2020'!P20</f>
        <v>1120.3584852070885</v>
      </c>
      <c r="G10" s="164">
        <f>'FS Jimbaran March 2020'!AG20</f>
        <v>86.561720000021097</v>
      </c>
      <c r="H10" s="173">
        <f>'FS Jimbaran March 2020'!AH20/'FS Jimbaran March 2020'!AG20</f>
        <v>9196</v>
      </c>
      <c r="I10" s="164">
        <f>'FS Jimbaran March 2020'!AJ20</f>
        <v>356.48999999999796</v>
      </c>
      <c r="J10" s="165">
        <f>'FS Jimbaran March 2020'!AK20/'FS Jimbaran March 2020'!AJ20</f>
        <v>10000</v>
      </c>
      <c r="K10" s="164">
        <f>'FS Jimbaran March 2020'!V20</f>
        <v>680.85</v>
      </c>
      <c r="L10" s="173">
        <f>'FS Jimbaran March 2020'!AA20/'FS Jimbaran March 2020'!V20</f>
        <v>55.49254901960785</v>
      </c>
      <c r="M10" s="164">
        <v>1</v>
      </c>
      <c r="N10" s="164">
        <v>19</v>
      </c>
    </row>
    <row r="11" spans="1:15" x14ac:dyDescent="0.25">
      <c r="A11" s="161" t="s">
        <v>14</v>
      </c>
      <c r="B11" s="162">
        <f t="shared" si="0"/>
        <v>10</v>
      </c>
      <c r="C11" s="163">
        <v>3</v>
      </c>
      <c r="D11" s="162">
        <v>2020</v>
      </c>
      <c r="E11" s="164">
        <f>'FS Jimbaran March 2020'!P21</f>
        <v>17199.999999999593</v>
      </c>
      <c r="F11" s="173">
        <f>'FS Jimbaran March 2020'!O21/'FS Jimbaran March 2020'!P21</f>
        <v>1121.2920697674415</v>
      </c>
      <c r="G11" s="164">
        <f>'FS Jimbaran March 2020'!AG21</f>
        <v>86.763119999974194</v>
      </c>
      <c r="H11" s="173">
        <f>'FS Jimbaran March 2020'!AH21/'FS Jimbaran March 2020'!AG21</f>
        <v>9196</v>
      </c>
      <c r="I11" s="164">
        <f>'FS Jimbaran March 2020'!AJ21</f>
        <v>339.38000000000466</v>
      </c>
      <c r="J11" s="165">
        <f>'FS Jimbaran March 2020'!AK21/'FS Jimbaran March 2020'!AJ21</f>
        <v>10000</v>
      </c>
      <c r="K11" s="164">
        <f>'FS Jimbaran March 2020'!V21</f>
        <v>732.47</v>
      </c>
      <c r="L11" s="173">
        <f>'FS Jimbaran March 2020'!AA21/'FS Jimbaran March 2020'!V21</f>
        <v>67.056306196840822</v>
      </c>
      <c r="M11" s="164">
        <v>1</v>
      </c>
      <c r="N11" s="164">
        <v>43</v>
      </c>
    </row>
    <row r="12" spans="1:15" x14ac:dyDescent="0.25">
      <c r="A12" s="161" t="s">
        <v>14</v>
      </c>
      <c r="B12" s="162">
        <f t="shared" si="0"/>
        <v>11</v>
      </c>
      <c r="C12" s="163">
        <v>3</v>
      </c>
      <c r="D12" s="162">
        <v>2020</v>
      </c>
      <c r="E12" s="164">
        <f>'FS Jimbaran March 2020'!P22</f>
        <v>16480.000000001157</v>
      </c>
      <c r="F12" s="173">
        <f>'FS Jimbaran March 2020'!O22/'FS Jimbaran March 2020'!P22</f>
        <v>1126.9135558252462</v>
      </c>
      <c r="G12" s="164">
        <f>'FS Jimbaran March 2020'!AG22</f>
        <v>188.93824000000703</v>
      </c>
      <c r="H12" s="173">
        <f>'FS Jimbaran March 2020'!AH22/'FS Jimbaran March 2020'!AG22</f>
        <v>9880.8798845590773</v>
      </c>
      <c r="I12" s="164">
        <f>'FS Jimbaran March 2020'!AJ22</f>
        <v>261.62999999999738</v>
      </c>
      <c r="J12" s="165">
        <f>'FS Jimbaran March 2020'!AK22/'FS Jimbaran March 2020'!AJ22</f>
        <v>10000</v>
      </c>
      <c r="K12" s="164">
        <f>'FS Jimbaran March 2020'!V22</f>
        <v>736.92</v>
      </c>
      <c r="L12" s="173">
        <f>'FS Jimbaran March 2020'!AA22/'FS Jimbaran March 2020'!V22</f>
        <v>46.143260869565225</v>
      </c>
      <c r="M12" s="164">
        <v>4</v>
      </c>
      <c r="N12" s="164">
        <v>29</v>
      </c>
    </row>
    <row r="13" spans="1:15" x14ac:dyDescent="0.25">
      <c r="A13" s="161" t="s">
        <v>14</v>
      </c>
      <c r="B13" s="162">
        <f t="shared" si="0"/>
        <v>12</v>
      </c>
      <c r="C13" s="163">
        <v>3</v>
      </c>
      <c r="D13" s="162">
        <v>2020</v>
      </c>
      <c r="E13" s="164">
        <f>'FS Jimbaran March 2020'!P23</f>
        <v>16879.999999999425</v>
      </c>
      <c r="F13" s="173">
        <f>'FS Jimbaran March 2020'!O23/'FS Jimbaran March 2020'!P23</f>
        <v>1129.6629028435964</v>
      </c>
      <c r="G13" s="164">
        <f>'FS Jimbaran March 2020'!AG23</f>
        <v>98.199199999976543</v>
      </c>
      <c r="H13" s="173">
        <f>'FS Jimbaran March 2020'!AH23/'FS Jimbaran March 2020'!AG23</f>
        <v>9492.8252287188388</v>
      </c>
      <c r="I13" s="164">
        <f>'FS Jimbaran March 2020'!AJ23</f>
        <v>407.15000000002328</v>
      </c>
      <c r="J13" s="165">
        <f>'FS Jimbaran March 2020'!AK23/'FS Jimbaran March 2020'!AJ23</f>
        <v>10000</v>
      </c>
      <c r="K13" s="164">
        <f>'FS Jimbaran March 2020'!V23</f>
        <v>737.81</v>
      </c>
      <c r="L13" s="173">
        <f>'FS Jimbaran March 2020'!AA23/'FS Jimbaran March 2020'!V23</f>
        <v>20.483377563329316</v>
      </c>
      <c r="M13" s="164">
        <v>6</v>
      </c>
      <c r="N13" s="164">
        <v>46</v>
      </c>
    </row>
    <row r="14" spans="1:15" x14ac:dyDescent="0.25">
      <c r="A14" s="161" t="s">
        <v>14</v>
      </c>
      <c r="B14" s="162">
        <f t="shared" si="0"/>
        <v>13</v>
      </c>
      <c r="C14" s="163">
        <v>3</v>
      </c>
      <c r="D14" s="162">
        <v>2020</v>
      </c>
      <c r="E14" s="164">
        <f>'FS Jimbaran March 2020'!P24</f>
        <v>17539.999999999738</v>
      </c>
      <c r="F14" s="173">
        <f>'FS Jimbaran March 2020'!O24/'FS Jimbaran March 2020'!P24</f>
        <v>1121.9965792474313</v>
      </c>
      <c r="G14" s="164">
        <f>'FS Jimbaran March 2020'!AG24</f>
        <v>90.267480000014061</v>
      </c>
      <c r="H14" s="173">
        <f>'FS Jimbaran March 2020'!AH24/'FS Jimbaran March 2020'!AG24</f>
        <v>9196</v>
      </c>
      <c r="I14" s="164">
        <f>'FS Jimbaran March 2020'!AJ24</f>
        <v>370.40000000000146</v>
      </c>
      <c r="J14" s="165">
        <f>'FS Jimbaran March 2020'!AK24/'FS Jimbaran March 2020'!AJ24</f>
        <v>10000</v>
      </c>
      <c r="K14" s="164">
        <f>'FS Jimbaran March 2020'!V24</f>
        <v>695.09</v>
      </c>
      <c r="L14" s="173">
        <f>'FS Jimbaran March 2020'!AA24/'FS Jimbaran March 2020'!V24</f>
        <v>43.484558258642771</v>
      </c>
      <c r="M14" s="164">
        <v>13</v>
      </c>
      <c r="N14" s="164">
        <v>81</v>
      </c>
    </row>
    <row r="15" spans="1:15" x14ac:dyDescent="0.25">
      <c r="A15" s="161" t="s">
        <v>14</v>
      </c>
      <c r="B15" s="162">
        <f t="shared" si="0"/>
        <v>14</v>
      </c>
      <c r="C15" s="163">
        <v>3</v>
      </c>
      <c r="D15" s="162">
        <v>2020</v>
      </c>
      <c r="E15" s="164">
        <f>'FS Jimbaran March 2020'!P25</f>
        <v>17180.000000000746</v>
      </c>
      <c r="F15" s="173">
        <f>'FS Jimbaran March 2020'!O25/'FS Jimbaran March 2020'!P25</f>
        <v>1120.7887194412122</v>
      </c>
      <c r="G15" s="164">
        <f>'FS Jimbaran March 2020'!AG25</f>
        <v>86.15891999999765</v>
      </c>
      <c r="H15" s="173">
        <f>'FS Jimbaran March 2020'!AH25/'FS Jimbaran March 2020'!AG25</f>
        <v>9196</v>
      </c>
      <c r="I15" s="164">
        <f>'FS Jimbaran March 2020'!AJ25</f>
        <v>245.79999999999563</v>
      </c>
      <c r="J15" s="165">
        <f>'FS Jimbaran March 2020'!AK25/'FS Jimbaran March 2020'!AJ25</f>
        <v>10000</v>
      </c>
      <c r="K15" s="164">
        <f>'FS Jimbaran March 2020'!V25</f>
        <v>720.01</v>
      </c>
      <c r="L15" s="173">
        <f>'FS Jimbaran March 2020'!AA25/'FS Jimbaran March 2020'!V25</f>
        <v>15.742323856613103</v>
      </c>
      <c r="M15" s="164">
        <v>15</v>
      </c>
      <c r="N15" s="164">
        <v>84</v>
      </c>
    </row>
    <row r="16" spans="1:15" x14ac:dyDescent="0.25">
      <c r="A16" s="161" t="s">
        <v>14</v>
      </c>
      <c r="B16" s="162">
        <f t="shared" si="0"/>
        <v>15</v>
      </c>
      <c r="C16" s="163">
        <v>3</v>
      </c>
      <c r="D16" s="162">
        <v>2020</v>
      </c>
      <c r="E16" s="164">
        <f>'FS Jimbaran March 2020'!P26</f>
        <v>16900.00000000032</v>
      </c>
      <c r="F16" s="173">
        <f>'FS Jimbaran March 2020'!O26/'FS Jimbaran March 2020'!P26</f>
        <v>1121.5842603550263</v>
      </c>
      <c r="G16" s="164">
        <f>'FS Jimbaran March 2020'!AG26</f>
        <v>334.86996000002813</v>
      </c>
      <c r="H16" s="173">
        <f>'FS Jimbaran March 2020'!AH26/'FS Jimbaran March 2020'!AG26</f>
        <v>10162.046640910918</v>
      </c>
      <c r="I16" s="164">
        <f>'FS Jimbaran March 2020'!AJ26</f>
        <v>328.7300000000032</v>
      </c>
      <c r="J16" s="165">
        <f>'FS Jimbaran March 2020'!AK26/'FS Jimbaran March 2020'!AJ26</f>
        <v>10000</v>
      </c>
      <c r="K16" s="164">
        <f>'FS Jimbaran March 2020'!V26</f>
        <v>744.04</v>
      </c>
      <c r="L16" s="173">
        <f>'FS Jimbaran March 2020'!AA26/'FS Jimbaran March 2020'!V26</f>
        <v>58.22552631578948</v>
      </c>
      <c r="M16" s="164">
        <v>3</v>
      </c>
      <c r="N16" s="164">
        <v>54</v>
      </c>
    </row>
    <row r="17" spans="1:14" x14ac:dyDescent="0.25">
      <c r="A17" s="161" t="s">
        <v>14</v>
      </c>
      <c r="B17" s="162">
        <f t="shared" si="0"/>
        <v>16</v>
      </c>
      <c r="C17" s="163">
        <v>3</v>
      </c>
      <c r="D17" s="162">
        <v>2020</v>
      </c>
      <c r="E17" s="164">
        <f>'FS Jimbaran March 2020'!P27</f>
        <v>17079.999999998792</v>
      </c>
      <c r="F17" s="173">
        <f>'FS Jimbaran March 2020'!O27/'FS Jimbaran March 2020'!P27</f>
        <v>1119.4671428571485</v>
      </c>
      <c r="G17" s="164">
        <f>'FS Jimbaran March 2020'!AG27</f>
        <v>100.7771199999742</v>
      </c>
      <c r="H17" s="173">
        <f>'FS Jimbaran March 2020'!AH27/'FS Jimbaran March 2020'!AG27</f>
        <v>9485.232317811895</v>
      </c>
      <c r="I17" s="164">
        <f>'FS Jimbaran March 2020'!AJ27</f>
        <v>295.08999999999651</v>
      </c>
      <c r="J17" s="165">
        <f>'FS Jimbaran March 2020'!AK27/'FS Jimbaran March 2020'!AJ27</f>
        <v>10000</v>
      </c>
      <c r="K17" s="164">
        <f>'FS Jimbaran March 2020'!V27</f>
        <v>679.96</v>
      </c>
      <c r="L17" s="173">
        <f>'FS Jimbaran March 2020'!AA27/'FS Jimbaran March 2020'!V27</f>
        <v>11.11303664921466</v>
      </c>
      <c r="M17" s="164">
        <v>3</v>
      </c>
      <c r="N17" s="164">
        <v>35</v>
      </c>
    </row>
    <row r="18" spans="1:14" x14ac:dyDescent="0.25">
      <c r="A18" s="161" t="s">
        <v>14</v>
      </c>
      <c r="B18" s="162">
        <f t="shared" si="0"/>
        <v>17</v>
      </c>
      <c r="C18" s="163">
        <v>3</v>
      </c>
      <c r="D18" s="162">
        <v>2020</v>
      </c>
      <c r="E18" s="164">
        <f>'FS Jimbaran March 2020'!P28</f>
        <v>17060.00000000131</v>
      </c>
      <c r="F18" s="173">
        <f>'FS Jimbaran March 2020'!O28/'FS Jimbaran March 2020'!P28</f>
        <v>1121.9938100820609</v>
      </c>
      <c r="G18" s="164">
        <f>'FS Jimbaran March 2020'!AG28</f>
        <v>96.346320000009371</v>
      </c>
      <c r="H18" s="173">
        <f>'FS Jimbaran March 2020'!AH28/'FS Jimbaran March 2020'!AG28</f>
        <v>9498.5336100018885</v>
      </c>
      <c r="I18" s="164">
        <f>'FS Jimbaran March 2020'!AJ28</f>
        <v>305.78000000000611</v>
      </c>
      <c r="J18" s="165">
        <f>'FS Jimbaran March 2020'!AK28/'FS Jimbaran March 2020'!AJ28</f>
        <v>10000</v>
      </c>
      <c r="K18" s="164">
        <f>'FS Jimbaran March 2020'!V28</f>
        <v>728.91</v>
      </c>
      <c r="L18" s="173">
        <f>'FS Jimbaran March 2020'!AA28/'FS Jimbaran March 2020'!V28</f>
        <v>10.366739926739928</v>
      </c>
      <c r="M18" s="164">
        <v>6</v>
      </c>
      <c r="N18" s="164">
        <v>68</v>
      </c>
    </row>
    <row r="19" spans="1:14" x14ac:dyDescent="0.25">
      <c r="A19" s="161" t="s">
        <v>14</v>
      </c>
      <c r="B19" s="162">
        <f t="shared" si="0"/>
        <v>18</v>
      </c>
      <c r="C19" s="163">
        <v>3</v>
      </c>
      <c r="D19" s="162">
        <v>2020</v>
      </c>
      <c r="E19" s="164">
        <f>'FS Jimbaran March 2020'!P29</f>
        <v>17339.999999998552</v>
      </c>
      <c r="F19" s="173">
        <f>'FS Jimbaran March 2020'!O29/'FS Jimbaran March 2020'!P29</f>
        <v>1118.8096539792448</v>
      </c>
      <c r="G19" s="164">
        <f>'FS Jimbaran March 2020'!AG29</f>
        <v>88.938240000007028</v>
      </c>
      <c r="H19" s="173">
        <f>'FS Jimbaran March 2020'!AH29/'FS Jimbaran March 2020'!AG29</f>
        <v>9196</v>
      </c>
      <c r="I19" s="164">
        <f>'FS Jimbaran March 2020'!AJ29</f>
        <v>163.92999999997483</v>
      </c>
      <c r="J19" s="165">
        <f>'FS Jimbaran March 2020'!AK29/'FS Jimbaran March 2020'!AJ29</f>
        <v>10000</v>
      </c>
      <c r="K19" s="164">
        <f>'FS Jimbaran March 2020'!V29</f>
        <v>789.43</v>
      </c>
      <c r="L19" s="173">
        <f>'FS Jimbaran March 2020'!AA29/'FS Jimbaran March 2020'!V29</f>
        <v>9.5719954904171374</v>
      </c>
      <c r="M19" s="164">
        <v>4</v>
      </c>
      <c r="N19" s="164">
        <v>33</v>
      </c>
    </row>
    <row r="20" spans="1:14" x14ac:dyDescent="0.25">
      <c r="A20" s="161" t="s">
        <v>14</v>
      </c>
      <c r="B20" s="162">
        <f t="shared" si="0"/>
        <v>19</v>
      </c>
      <c r="C20" s="163">
        <v>3</v>
      </c>
      <c r="D20" s="162">
        <v>2020</v>
      </c>
      <c r="E20" s="164">
        <f>'FS Jimbaran March 2020'!P30</f>
        <v>16240.000000000464</v>
      </c>
      <c r="F20" s="173">
        <f>'FS Jimbaran March 2020'!O30/'FS Jimbaran March 2020'!P30</f>
        <v>1125.0713793103409</v>
      </c>
      <c r="G20" s="164">
        <f>'FS Jimbaran March 2020'!AG30</f>
        <v>240.58971999996248</v>
      </c>
      <c r="H20" s="173">
        <f>'FS Jimbaran March 2020'!AH30/'FS Jimbaran March 2020'!AG30</f>
        <v>10002.76763745363</v>
      </c>
      <c r="I20" s="164">
        <f>'FS Jimbaran March 2020'!AJ30</f>
        <v>369.33000000000175</v>
      </c>
      <c r="J20" s="165">
        <f>'FS Jimbaran March 2020'!AK30/'FS Jimbaran March 2020'!AJ30</f>
        <v>10000</v>
      </c>
      <c r="K20" s="164">
        <f>'FS Jimbaran March 2020'!V30</f>
        <v>706.66</v>
      </c>
      <c r="L20" s="173">
        <f>'FS Jimbaran March 2020'!AA30/'FS Jimbaran March 2020'!V30</f>
        <v>5487.8480604534006</v>
      </c>
      <c r="M20" s="164">
        <v>5</v>
      </c>
      <c r="N20" s="164">
        <v>59</v>
      </c>
    </row>
    <row r="21" spans="1:14" x14ac:dyDescent="0.25">
      <c r="A21" s="161" t="s">
        <v>14</v>
      </c>
      <c r="B21" s="162">
        <f t="shared" si="0"/>
        <v>20</v>
      </c>
      <c r="C21" s="163">
        <v>3</v>
      </c>
      <c r="D21" s="162">
        <v>2020</v>
      </c>
      <c r="E21" s="164">
        <f>'FS Jimbaran March 2020'!P31</f>
        <v>16299.999999999955</v>
      </c>
      <c r="F21" s="173">
        <f>'FS Jimbaran March 2020'!O31/'FS Jimbaran March 2020'!P31</f>
        <v>1124.742699386502</v>
      </c>
      <c r="G21" s="164">
        <f>'FS Jimbaran March 2020'!AG31</f>
        <v>109.91724000000703</v>
      </c>
      <c r="H21" s="173">
        <f>'FS Jimbaran March 2020'!AH31/'FS Jimbaran March 2020'!AG31</f>
        <v>9726.3626619445349</v>
      </c>
      <c r="I21" s="164">
        <f>'FS Jimbaran March 2020'!AJ31</f>
        <v>286.09999999999854</v>
      </c>
      <c r="J21" s="165">
        <f>'FS Jimbaran March 2020'!AK31/'FS Jimbaran March 2020'!AJ31</f>
        <v>10000</v>
      </c>
      <c r="K21" s="164">
        <f>'FS Jimbaran March 2020'!V31</f>
        <v>772.52</v>
      </c>
      <c r="L21" s="173">
        <f>'FS Jimbaran March 2020'!AA31/'FS Jimbaran March 2020'!V31</f>
        <v>0</v>
      </c>
      <c r="M21" s="164">
        <v>6</v>
      </c>
      <c r="N21" s="164">
        <v>55</v>
      </c>
    </row>
    <row r="22" spans="1:14" x14ac:dyDescent="0.25">
      <c r="A22" s="161" t="s">
        <v>14</v>
      </c>
      <c r="B22" s="162">
        <f t="shared" si="0"/>
        <v>21</v>
      </c>
      <c r="C22" s="163">
        <v>3</v>
      </c>
      <c r="D22" s="162">
        <v>2020</v>
      </c>
      <c r="E22" s="164">
        <f>'FS Jimbaran March 2020'!P32</f>
        <v>16160.000000000309</v>
      </c>
      <c r="F22" s="173">
        <f>'FS Jimbaran March 2020'!O32/'FS Jimbaran March 2020'!P32</f>
        <v>1118.4629331683275</v>
      </c>
      <c r="G22" s="164">
        <f>'FS Jimbaran March 2020'!AG32</f>
        <v>95.419880000025785</v>
      </c>
      <c r="H22" s="173">
        <f>'FS Jimbaran March 2020'!AH32/'FS Jimbaran March 2020'!AG32</f>
        <v>9501.470935406669</v>
      </c>
      <c r="I22" s="164">
        <f>'FS Jimbaran March 2020'!AJ32</f>
        <v>268.37999999999738</v>
      </c>
      <c r="J22" s="165">
        <f>'FS Jimbaran March 2020'!AK32/'FS Jimbaran March 2020'!AJ32</f>
        <v>10000</v>
      </c>
      <c r="K22" s="164">
        <f>'FS Jimbaran March 2020'!V32</f>
        <v>726.24</v>
      </c>
      <c r="L22" s="173">
        <f>'FS Jimbaran March 2020'!AA32/'FS Jimbaran March 2020'!V32</f>
        <v>0</v>
      </c>
      <c r="M22" s="164">
        <v>4</v>
      </c>
      <c r="N22" s="164">
        <v>88</v>
      </c>
    </row>
    <row r="23" spans="1:14" x14ac:dyDescent="0.25">
      <c r="A23" s="161" t="s">
        <v>14</v>
      </c>
      <c r="B23" s="162">
        <f t="shared" si="0"/>
        <v>22</v>
      </c>
      <c r="C23" s="163">
        <v>3</v>
      </c>
      <c r="D23" s="162">
        <v>2020</v>
      </c>
      <c r="E23" s="164">
        <f>'FS Jimbaran March 2020'!P33</f>
        <v>16359.9999999999</v>
      </c>
      <c r="F23" s="173">
        <f>'FS Jimbaran March 2020'!O33/'FS Jimbaran March 2020'!P33</f>
        <v>1120.6177261613573</v>
      </c>
      <c r="G23" s="164">
        <f>'FS Jimbaran March 2020'!AG33</f>
        <v>179.87524000000701</v>
      </c>
      <c r="H23" s="173">
        <f>'FS Jimbaran March 2020'!AH33/'FS Jimbaran March 2020'!AG33</f>
        <v>9915.387504361328</v>
      </c>
      <c r="I23" s="164">
        <f>'FS Jimbaran March 2020'!AJ33</f>
        <v>330.20000000000437</v>
      </c>
      <c r="J23" s="165">
        <f>'FS Jimbaran March 2020'!AK33/'FS Jimbaran March 2020'!AJ33</f>
        <v>10000</v>
      </c>
      <c r="K23" s="164">
        <f>'FS Jimbaran March 2020'!V33</f>
        <v>712</v>
      </c>
      <c r="L23" s="173">
        <f>'FS Jimbaran March 2020'!AA33/'FS Jimbaran March 2020'!V33</f>
        <v>2908.3560749999997</v>
      </c>
      <c r="M23" s="164">
        <v>2</v>
      </c>
      <c r="N23" s="164">
        <v>26</v>
      </c>
    </row>
    <row r="24" spans="1:14" x14ac:dyDescent="0.25">
      <c r="A24" s="161" t="s">
        <v>14</v>
      </c>
      <c r="B24" s="162">
        <f t="shared" si="0"/>
        <v>23</v>
      </c>
      <c r="C24" s="163">
        <v>3</v>
      </c>
      <c r="D24" s="162">
        <v>2020</v>
      </c>
      <c r="E24" s="164">
        <f>'FS Jimbaran March 2020'!P34</f>
        <v>15560.000000001082</v>
      </c>
      <c r="F24" s="173">
        <f>'FS Jimbaran March 2020'!O34/'FS Jimbaran March 2020'!P34</f>
        <v>1118.3228791773804</v>
      </c>
      <c r="G24" s="164">
        <f>'FS Jimbaran March 2020'!AG34</f>
        <v>98.722839999995301</v>
      </c>
      <c r="H24" s="173">
        <f>'FS Jimbaran March 2020'!AH34/'FS Jimbaran March 2020'!AG34</f>
        <v>9491.2508254422319</v>
      </c>
      <c r="I24" s="164">
        <f>'FS Jimbaran March 2020'!AJ34</f>
        <v>276.97999999999593</v>
      </c>
      <c r="J24" s="165">
        <f>'FS Jimbaran March 2020'!AK34/'FS Jimbaran March 2020'!AJ34</f>
        <v>10000</v>
      </c>
      <c r="K24" s="164">
        <f>'FS Jimbaran March 2020'!V34</f>
        <v>716.45</v>
      </c>
      <c r="L24" s="173">
        <f>'FS Jimbaran March 2020'!AA34/'FS Jimbaran March 2020'!V34</f>
        <v>3661.0708074534164</v>
      </c>
      <c r="M24" s="164">
        <v>3</v>
      </c>
      <c r="N24" s="164">
        <v>39</v>
      </c>
    </row>
    <row r="25" spans="1:14" x14ac:dyDescent="0.25">
      <c r="A25" s="161" t="s">
        <v>14</v>
      </c>
      <c r="B25" s="162">
        <f t="shared" si="0"/>
        <v>24</v>
      </c>
      <c r="C25" s="163">
        <v>3</v>
      </c>
      <c r="D25" s="162">
        <v>2020</v>
      </c>
      <c r="E25" s="164">
        <f>'FS Jimbaran March 2020'!P35</f>
        <v>14980.000000000246</v>
      </c>
      <c r="F25" s="173">
        <f>'FS Jimbaran March 2020'!O35/'FS Jimbaran March 2020'!P35</f>
        <v>1119.444472630167</v>
      </c>
      <c r="G25" s="164">
        <f>'FS Jimbaran March 2020'!AG35</f>
        <v>72.262320000009368</v>
      </c>
      <c r="H25" s="173">
        <f>'FS Jimbaran March 2020'!AH35/'FS Jimbaran March 2020'!AG35</f>
        <v>9196</v>
      </c>
      <c r="I25" s="164">
        <f>'FS Jimbaran March 2020'!AJ35</f>
        <v>226.62000000000262</v>
      </c>
      <c r="J25" s="165">
        <f>'FS Jimbaran March 2020'!AK35/'FS Jimbaran March 2020'!AJ35</f>
        <v>10000</v>
      </c>
      <c r="K25" s="164">
        <f>'FS Jimbaran March 2020'!V35</f>
        <v>715.56</v>
      </c>
      <c r="L25" s="173">
        <f>'FS Jimbaran March 2020'!AA35/'FS Jimbaran March 2020'!V35</f>
        <v>3464.4620646766166</v>
      </c>
      <c r="M25" s="164">
        <v>8</v>
      </c>
      <c r="N25" s="164">
        <v>62</v>
      </c>
    </row>
    <row r="26" spans="1:14" x14ac:dyDescent="0.25">
      <c r="A26" s="161" t="s">
        <v>14</v>
      </c>
      <c r="B26" s="162">
        <f>B25+1</f>
        <v>25</v>
      </c>
      <c r="C26" s="163">
        <v>3</v>
      </c>
      <c r="D26" s="162">
        <v>2020</v>
      </c>
      <c r="E26" s="164">
        <f>'FS Jimbaran March 2020'!P36</f>
        <v>15119.999999998299</v>
      </c>
      <c r="F26" s="173">
        <f>'FS Jimbaran March 2020'!O36/'FS Jimbaran March 2020'!P36</f>
        <v>1113.8745238095316</v>
      </c>
      <c r="G26" s="164">
        <f>'FS Jimbaran March 2020'!AG36</f>
        <v>102.55287999996716</v>
      </c>
      <c r="H26" s="173">
        <f>'FS Jimbaran March 2020'!AH36/'FS Jimbaran March 2020'!AG36</f>
        <v>9196</v>
      </c>
      <c r="I26" s="164">
        <f>'FS Jimbaran March 2020'!AJ36</f>
        <v>143.23999999999796</v>
      </c>
      <c r="J26" s="165">
        <f>'FS Jimbaran March 2020'!AK36/'FS Jimbaran March 2020'!AJ36</f>
        <v>10000</v>
      </c>
      <c r="K26" s="164">
        <f>'FS Jimbaran March 2020'!V36</f>
        <v>680.85</v>
      </c>
      <c r="L26" s="173">
        <f>'FS Jimbaran March 2020'!AA36/'FS Jimbaran March 2020'!V36</f>
        <v>2936.3562091503268</v>
      </c>
      <c r="M26" s="164">
        <v>11</v>
      </c>
      <c r="N26" s="164">
        <v>43</v>
      </c>
    </row>
    <row r="27" spans="1:14" x14ac:dyDescent="0.25">
      <c r="A27" s="161" t="s">
        <v>14</v>
      </c>
      <c r="B27" s="162">
        <f t="shared" si="0"/>
        <v>26</v>
      </c>
      <c r="C27" s="163">
        <v>3</v>
      </c>
      <c r="D27" s="162">
        <v>2020</v>
      </c>
      <c r="E27" s="164">
        <f>'FS Jimbaran March 2020'!P37</f>
        <v>15560.000000000628</v>
      </c>
      <c r="F27" s="173">
        <f>'FS Jimbaran March 2020'!O37/'FS Jimbaran March 2020'!P37</f>
        <v>1115.6602056555191</v>
      </c>
      <c r="G27" s="164">
        <f>'FS Jimbaran March 2020'!AG37</f>
        <v>227.70012000003283</v>
      </c>
      <c r="H27" s="173">
        <f>'FS Jimbaran March 2020'!AH37/'FS Jimbaran March 2020'!AG37</f>
        <v>10048.436968412541</v>
      </c>
      <c r="I27" s="164">
        <f>'FS Jimbaran March 2020'!AJ37</f>
        <v>164.43000000000029</v>
      </c>
      <c r="J27" s="165">
        <f>'FS Jimbaran March 2020'!AK37/'FS Jimbaran March 2020'!AJ37</f>
        <v>10000</v>
      </c>
      <c r="K27" s="164">
        <f>'FS Jimbaran March 2020'!V37</f>
        <v>694.19999999999993</v>
      </c>
      <c r="L27" s="173">
        <f>'FS Jimbaran March 2020'!AA37/'FS Jimbaran March 2020'!V37</f>
        <v>2949.0051282051286</v>
      </c>
      <c r="M27" s="164">
        <v>9</v>
      </c>
      <c r="N27" s="164">
        <v>114</v>
      </c>
    </row>
    <row r="28" spans="1:14" x14ac:dyDescent="0.25">
      <c r="A28" s="161" t="s">
        <v>14</v>
      </c>
      <c r="B28" s="162">
        <f t="shared" si="0"/>
        <v>27</v>
      </c>
      <c r="C28" s="163">
        <v>3</v>
      </c>
      <c r="D28" s="162">
        <v>2020</v>
      </c>
      <c r="E28" s="164">
        <f>'FS Jimbaran March 2020'!P38</f>
        <v>16740.000000000466</v>
      </c>
      <c r="F28" s="173">
        <f>'FS Jimbaran March 2020'!O38/'FS Jimbaran March 2020'!P38</f>
        <v>1118.6918996415768</v>
      </c>
      <c r="G28" s="164">
        <f>'FS Jimbaran March 2020'!AG38</f>
        <v>75.524999999999991</v>
      </c>
      <c r="H28" s="173">
        <f>'FS Jimbaran March 2020'!AH38/'FS Jimbaran March 2020'!AG38</f>
        <v>9196</v>
      </c>
      <c r="I28" s="164">
        <f>'FS Jimbaran March 2020'!AJ38</f>
        <v>356.15000000000146</v>
      </c>
      <c r="J28" s="165">
        <f>'FS Jimbaran March 2020'!AK38/'FS Jimbaran March 2020'!AJ38</f>
        <v>10000</v>
      </c>
      <c r="K28" s="164">
        <f>'FS Jimbaran March 2020'!V38</f>
        <v>812.57</v>
      </c>
      <c r="L28" s="173">
        <f>'FS Jimbaran March 2020'!AA38/'FS Jimbaran March 2020'!V38</f>
        <v>2558.7787513691128</v>
      </c>
      <c r="M28" s="164">
        <v>7</v>
      </c>
      <c r="N28" s="164">
        <v>114</v>
      </c>
    </row>
    <row r="29" spans="1:14" x14ac:dyDescent="0.25">
      <c r="A29" s="161" t="s">
        <v>14</v>
      </c>
      <c r="B29" s="162">
        <f t="shared" si="0"/>
        <v>28</v>
      </c>
      <c r="C29" s="163">
        <v>3</v>
      </c>
      <c r="D29" s="162">
        <v>2020</v>
      </c>
      <c r="E29" s="164">
        <f>'FS Jimbaran March 2020'!P39</f>
        <v>16599.999999999229</v>
      </c>
      <c r="F29" s="173">
        <f>'FS Jimbaran March 2020'!O39/'FS Jimbaran March 2020'!P39</f>
        <v>1111.2796265060226</v>
      </c>
      <c r="G29" s="164">
        <f>'FS Jimbaran March 2020'!AG39</f>
        <v>73.712399999953107</v>
      </c>
      <c r="H29" s="173">
        <f>'FS Jimbaran March 2020'!AH39/'FS Jimbaran March 2020'!AG39</f>
        <v>9196</v>
      </c>
      <c r="I29" s="164">
        <f>'FS Jimbaran March 2020'!AJ39</f>
        <v>255.91999999999825</v>
      </c>
      <c r="J29" s="165">
        <f>'FS Jimbaran March 2020'!AK39/'FS Jimbaran March 2020'!AJ39</f>
        <v>10000</v>
      </c>
      <c r="K29" s="164">
        <f>'FS Jimbaran March 2020'!V39</f>
        <v>738.7</v>
      </c>
      <c r="L29" s="173">
        <f>'FS Jimbaran March 2020'!AA39/'FS Jimbaran March 2020'!V39</f>
        <v>736.14096385542177</v>
      </c>
      <c r="M29" s="164">
        <v>4</v>
      </c>
      <c r="N29" s="164">
        <v>130</v>
      </c>
    </row>
    <row r="30" spans="1:14" x14ac:dyDescent="0.25">
      <c r="A30" s="161" t="s">
        <v>14</v>
      </c>
      <c r="B30" s="162">
        <f t="shared" si="0"/>
        <v>29</v>
      </c>
      <c r="C30" s="163">
        <v>3</v>
      </c>
      <c r="D30" s="162">
        <v>2020</v>
      </c>
      <c r="E30" s="164">
        <f>'FS Jimbaran March 2020'!P40</f>
        <v>13820.000000001301</v>
      </c>
      <c r="F30" s="173">
        <f>'FS Jimbaran March 2020'!O40/'FS Jimbaran March 2020'!P40</f>
        <v>1112.9763386396519</v>
      </c>
      <c r="G30" s="164">
        <f>'FS Jimbaran March 2020'!AG40</f>
        <v>84.785960000028126</v>
      </c>
      <c r="H30" s="173">
        <f>'FS Jimbaran March 2020'!AH40/'FS Jimbaran March 2020'!AG40</f>
        <v>9539.7833339386652</v>
      </c>
      <c r="I30" s="164">
        <f>'FS Jimbaran March 2020'!AJ40</f>
        <v>257.59000000000378</v>
      </c>
      <c r="J30" s="165">
        <f>'FS Jimbaran March 2020'!AK40/'FS Jimbaran March 2020'!AJ40</f>
        <v>10000</v>
      </c>
      <c r="K30" s="164">
        <f>'FS Jimbaran March 2020'!V40</f>
        <v>539.34</v>
      </c>
      <c r="L30" s="173">
        <f>'FS Jimbaran March 2020'!AA40/'FS Jimbaran March 2020'!V40</f>
        <v>0</v>
      </c>
      <c r="M30" s="164">
        <v>4</v>
      </c>
      <c r="N30" s="164">
        <v>25</v>
      </c>
    </row>
    <row r="31" spans="1:14" x14ac:dyDescent="0.25">
      <c r="A31" s="161" t="s">
        <v>14</v>
      </c>
      <c r="B31" s="162">
        <f t="shared" si="0"/>
        <v>30</v>
      </c>
      <c r="C31" s="163">
        <v>3</v>
      </c>
      <c r="D31" s="162">
        <v>2020</v>
      </c>
      <c r="E31" s="164">
        <f>'FS Jimbaran March 2020'!P41</f>
        <v>13219.9999999998</v>
      </c>
      <c r="F31" s="173">
        <f>'FS Jimbaran March 2020'!O41/'FS Jimbaran March 2020'!P41</f>
        <v>1111.7789863842697</v>
      </c>
      <c r="G31" s="164">
        <f>'FS Jimbaran March 2020'!AG41</f>
        <v>127.94180000002343</v>
      </c>
      <c r="H31" s="173">
        <f>'FS Jimbaran March 2020'!AH41/'FS Jimbaran March 2020'!AG41</f>
        <v>9701.6986848706856</v>
      </c>
      <c r="I31" s="164">
        <f>'FS Jimbaran March 2020'!AJ41</f>
        <v>199</v>
      </c>
      <c r="J31" s="165">
        <f>'FS Jimbaran March 2020'!AK41/'FS Jimbaran March 2020'!AJ41</f>
        <v>10000</v>
      </c>
      <c r="K31" s="164">
        <f>'FS Jimbaran March 2020'!V41</f>
        <v>516.20000000000005</v>
      </c>
      <c r="L31" s="173">
        <f>'FS Jimbaran March 2020'!AA41/'FS Jimbaran March 2020'!V41</f>
        <v>0</v>
      </c>
      <c r="M31" s="164">
        <v>6</v>
      </c>
      <c r="N31" s="164">
        <v>50</v>
      </c>
    </row>
    <row r="32" spans="1:14" x14ac:dyDescent="0.25">
      <c r="A32" s="161" t="s">
        <v>14</v>
      </c>
      <c r="B32" s="162">
        <f t="shared" si="0"/>
        <v>31</v>
      </c>
      <c r="C32" s="163">
        <v>3</v>
      </c>
      <c r="D32" s="162">
        <v>2020</v>
      </c>
      <c r="E32" s="164">
        <f>'FS Jimbaran March 2020'!P42</f>
        <v>12719.999999999573</v>
      </c>
      <c r="F32" s="173">
        <f>'FS Jimbaran March 2020'!O42/'FS Jimbaran March 2020'!P42</f>
        <v>1078.1232075471789</v>
      </c>
      <c r="G32" s="164">
        <f>'FS Jimbaran March 2020'!AG42</f>
        <v>179.35159999998825</v>
      </c>
      <c r="H32" s="173">
        <f>'FS Jimbaran March 2020'!AH42/'FS Jimbaran March 2020'!AG42</f>
        <v>9917.487848449684</v>
      </c>
      <c r="I32" s="164">
        <f>'FS Jimbaran March 2020'!AJ42</f>
        <v>196.19999999999709</v>
      </c>
      <c r="J32" s="165">
        <f>'FS Jimbaran March 2020'!AK42/'FS Jimbaran March 2020'!AJ42</f>
        <v>10000</v>
      </c>
      <c r="K32" s="164">
        <f>'FS Jimbaran March 2020'!V42</f>
        <v>553.58000000000004</v>
      </c>
      <c r="L32" s="173">
        <f>'FS Jimbaran March 2020'!AA42/'FS Jimbaran March 2020'!V42</f>
        <v>0</v>
      </c>
      <c r="M32" s="164">
        <v>8</v>
      </c>
      <c r="N32" s="164">
        <v>56</v>
      </c>
    </row>
    <row r="33" spans="5:14" x14ac:dyDescent="0.25">
      <c r="E33" s="171"/>
      <c r="G33" s="171"/>
      <c r="K33" s="171"/>
      <c r="M33" s="171"/>
      <c r="N33" s="17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113"/>
  <sheetViews>
    <sheetView tabSelected="1" zoomScale="62" zoomScaleNormal="62" workbookViewId="0">
      <pane xSplit="4" ySplit="10" topLeftCell="V11" activePane="bottomRight" state="frozen"/>
      <selection pane="topRight" activeCell="E1" sqref="E1"/>
      <selection pane="bottomLeft" activeCell="A11" sqref="A11"/>
      <selection pane="bottomRight" activeCell="Y12" sqref="Y12:Y42"/>
    </sheetView>
  </sheetViews>
  <sheetFormatPr defaultRowHeight="15.75" x14ac:dyDescent="0.25"/>
  <cols>
    <col min="1" max="1" width="3.7109375" style="7" customWidth="1"/>
    <col min="2" max="2" width="8.7109375" style="7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8" width="18.140625" style="89" customWidth="1"/>
    <col min="19" max="19" width="22.85546875" customWidth="1"/>
    <col min="20" max="20" width="21.140625" bestFit="1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0.7109375" bestFit="1" customWidth="1"/>
    <col min="34" max="34" width="19" style="3" customWidth="1"/>
    <col min="35" max="35" width="10.5703125" customWidth="1"/>
    <col min="36" max="36" width="13.28515625" style="89" bestFit="1" customWidth="1"/>
    <col min="37" max="37" width="20.7109375" bestFit="1" customWidth="1"/>
    <col min="38" max="38" width="9.42578125" style="41" bestFit="1" customWidth="1"/>
    <col min="39" max="39" width="2.28515625" style="7" customWidth="1"/>
  </cols>
  <sheetData>
    <row r="5" spans="1:39" x14ac:dyDescent="0.25">
      <c r="N5" s="174"/>
      <c r="X5" s="175"/>
    </row>
    <row r="6" spans="1:39" s="26" customFormat="1" ht="19.5" thickBot="1" x14ac:dyDescent="0.35">
      <c r="B6" s="26" t="s">
        <v>16</v>
      </c>
      <c r="C6" s="34"/>
      <c r="E6" s="34"/>
      <c r="F6" s="34"/>
      <c r="H6" s="34"/>
      <c r="L6" s="34"/>
      <c r="M6" s="59"/>
      <c r="N6" s="65"/>
      <c r="P6" s="65"/>
      <c r="R6" s="85"/>
      <c r="AD6" s="34"/>
      <c r="AH6" s="34"/>
      <c r="AJ6" s="85"/>
      <c r="AL6" s="37"/>
    </row>
    <row r="7" spans="1:39" s="11" customFormat="1" ht="16.5" thickBot="1" x14ac:dyDescent="0.3">
      <c r="A7" s="30"/>
      <c r="B7" s="243" t="s">
        <v>17</v>
      </c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  <c r="AC7" s="244"/>
      <c r="AD7" s="244"/>
      <c r="AE7" s="244"/>
      <c r="AF7" s="244"/>
      <c r="AG7" s="244"/>
      <c r="AH7" s="244"/>
      <c r="AI7" s="244"/>
      <c r="AJ7" s="244"/>
      <c r="AK7" s="244"/>
      <c r="AL7" s="245"/>
      <c r="AM7" s="30"/>
    </row>
    <row r="8" spans="1:39" s="7" customFormat="1" ht="15.75" customHeight="1" thickBot="1" x14ac:dyDescent="0.3">
      <c r="A8" s="27"/>
      <c r="B8" s="246" t="s">
        <v>18</v>
      </c>
      <c r="C8" s="249" t="s">
        <v>19</v>
      </c>
      <c r="D8" s="252" t="s">
        <v>13</v>
      </c>
      <c r="E8" s="255" t="s">
        <v>20</v>
      </c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6"/>
      <c r="V8" s="257" t="s">
        <v>21</v>
      </c>
      <c r="W8" s="258"/>
      <c r="X8" s="258"/>
      <c r="Y8" s="258"/>
      <c r="Z8" s="258"/>
      <c r="AA8" s="258"/>
      <c r="AB8" s="259"/>
      <c r="AC8" s="260" t="s">
        <v>22</v>
      </c>
      <c r="AD8" s="260"/>
      <c r="AE8" s="260"/>
      <c r="AF8" s="260"/>
      <c r="AG8" s="260"/>
      <c r="AH8" s="260"/>
      <c r="AI8" s="260"/>
      <c r="AJ8" s="260"/>
      <c r="AK8" s="260"/>
      <c r="AL8" s="261"/>
      <c r="AM8" s="29"/>
    </row>
    <row r="9" spans="1:39" ht="15" customHeight="1" thickBot="1" x14ac:dyDescent="0.3">
      <c r="B9" s="247"/>
      <c r="C9" s="250"/>
      <c r="D9" s="253"/>
      <c r="E9" s="262" t="s">
        <v>23</v>
      </c>
      <c r="F9" s="263"/>
      <c r="G9" s="263"/>
      <c r="H9" s="263"/>
      <c r="I9" s="264"/>
      <c r="J9" s="265" t="s">
        <v>24</v>
      </c>
      <c r="K9" s="265"/>
      <c r="L9" s="265"/>
      <c r="M9" s="265"/>
      <c r="N9" s="266"/>
      <c r="O9" s="252" t="s">
        <v>25</v>
      </c>
      <c r="P9" s="267" t="s">
        <v>26</v>
      </c>
      <c r="Q9" s="269" t="s">
        <v>27</v>
      </c>
      <c r="R9" s="271" t="s">
        <v>28</v>
      </c>
      <c r="S9" s="273" t="s">
        <v>29</v>
      </c>
      <c r="T9" s="275" t="s">
        <v>30</v>
      </c>
      <c r="U9" s="276"/>
      <c r="V9" s="53"/>
      <c r="W9" s="53" t="s">
        <v>31</v>
      </c>
      <c r="X9" s="53"/>
      <c r="Y9" s="54"/>
      <c r="Z9" s="179"/>
      <c r="AA9" s="277" t="s">
        <v>32</v>
      </c>
      <c r="AB9" s="278"/>
      <c r="AC9" s="260" t="s">
        <v>33</v>
      </c>
      <c r="AD9" s="260"/>
      <c r="AE9" s="260"/>
      <c r="AF9" s="260"/>
      <c r="AG9" s="260"/>
      <c r="AH9" s="260"/>
      <c r="AI9" s="261"/>
      <c r="AJ9" s="139" t="s">
        <v>34</v>
      </c>
      <c r="AK9" s="36"/>
      <c r="AL9" s="38"/>
    </row>
    <row r="10" spans="1:39" ht="61.5" customHeight="1" thickBot="1" x14ac:dyDescent="0.3">
      <c r="A10" s="28"/>
      <c r="B10" s="248"/>
      <c r="C10" s="251"/>
      <c r="D10" s="254"/>
      <c r="E10" s="99" t="s">
        <v>35</v>
      </c>
      <c r="F10" s="83" t="s">
        <v>36</v>
      </c>
      <c r="G10" s="133" t="s">
        <v>37</v>
      </c>
      <c r="H10" s="17" t="s">
        <v>36</v>
      </c>
      <c r="I10" s="100" t="s">
        <v>38</v>
      </c>
      <c r="J10" s="99" t="s">
        <v>35</v>
      </c>
      <c r="K10" s="84" t="s">
        <v>36</v>
      </c>
      <c r="L10" s="133" t="s">
        <v>37</v>
      </c>
      <c r="M10" s="60" t="s">
        <v>36</v>
      </c>
      <c r="N10" s="92" t="s">
        <v>39</v>
      </c>
      <c r="O10" s="254"/>
      <c r="P10" s="268"/>
      <c r="Q10" s="270"/>
      <c r="R10" s="272"/>
      <c r="S10" s="274"/>
      <c r="T10" s="180" t="s">
        <v>40</v>
      </c>
      <c r="U10" s="23" t="s">
        <v>41</v>
      </c>
      <c r="V10" s="181" t="s">
        <v>42</v>
      </c>
      <c r="W10" s="55" t="s">
        <v>43</v>
      </c>
      <c r="X10" s="55" t="s">
        <v>44</v>
      </c>
      <c r="Y10" s="22" t="s">
        <v>45</v>
      </c>
      <c r="Z10" s="22" t="s">
        <v>46</v>
      </c>
      <c r="AA10" s="22" t="s">
        <v>40</v>
      </c>
      <c r="AB10" s="12" t="s">
        <v>41</v>
      </c>
      <c r="AC10" s="125" t="s">
        <v>47</v>
      </c>
      <c r="AD10" s="48" t="s">
        <v>48</v>
      </c>
      <c r="AE10" s="47" t="s">
        <v>49</v>
      </c>
      <c r="AF10" s="47" t="s">
        <v>50</v>
      </c>
      <c r="AG10" s="47" t="s">
        <v>51</v>
      </c>
      <c r="AH10" s="48" t="s">
        <v>40</v>
      </c>
      <c r="AI10" s="49" t="s">
        <v>41</v>
      </c>
      <c r="AJ10" s="140" t="s">
        <v>52</v>
      </c>
      <c r="AK10" s="47" t="s">
        <v>40</v>
      </c>
      <c r="AL10" s="51" t="s">
        <v>41</v>
      </c>
      <c r="AM10" s="28"/>
    </row>
    <row r="11" spans="1:39" x14ac:dyDescent="0.25">
      <c r="A11" s="28"/>
      <c r="B11" s="57"/>
      <c r="C11" s="101"/>
      <c r="D11" s="182"/>
      <c r="E11" s="183"/>
      <c r="F11" s="90"/>
      <c r="G11" s="18"/>
      <c r="H11" s="19"/>
      <c r="I11" s="102"/>
      <c r="J11" s="91"/>
      <c r="K11" s="18"/>
      <c r="L11" s="19"/>
      <c r="M11" s="61"/>
      <c r="N11" s="93"/>
      <c r="O11" s="56"/>
      <c r="P11" s="110"/>
      <c r="Q11" s="184"/>
      <c r="R11" s="113"/>
      <c r="S11" s="185"/>
      <c r="T11" s="21"/>
      <c r="U11" s="24"/>
      <c r="V11" s="91"/>
      <c r="W11" s="18"/>
      <c r="X11" s="18"/>
      <c r="Y11" s="20"/>
      <c r="Z11" s="20"/>
      <c r="AA11" s="20"/>
      <c r="AB11" s="102"/>
      <c r="AC11" s="126"/>
      <c r="AD11" s="45"/>
      <c r="AE11" s="42"/>
      <c r="AF11" s="42"/>
      <c r="AG11" s="42"/>
      <c r="AH11" s="45"/>
      <c r="AI11" s="46"/>
      <c r="AJ11" s="141"/>
      <c r="AK11" s="42"/>
      <c r="AL11" s="50"/>
      <c r="AM11" s="28"/>
    </row>
    <row r="12" spans="1:39" x14ac:dyDescent="0.25">
      <c r="A12" s="33"/>
      <c r="B12" s="58">
        <v>1</v>
      </c>
      <c r="C12" s="150">
        <v>11</v>
      </c>
      <c r="D12" s="152">
        <v>177</v>
      </c>
      <c r="E12" s="106">
        <v>13280.000000000655</v>
      </c>
      <c r="F12" s="2">
        <v>13755158.400000678</v>
      </c>
      <c r="G12" s="35">
        <v>2519.9999999999818</v>
      </c>
      <c r="H12" s="2">
        <v>3915248.399999972</v>
      </c>
      <c r="I12" s="103">
        <f>F12+H12</f>
        <v>17670406.800000649</v>
      </c>
      <c r="J12" s="106">
        <v>1359.9999999996726</v>
      </c>
      <c r="K12" s="2">
        <v>1408660.7999996608</v>
      </c>
      <c r="L12" s="186">
        <v>339.99999999991815</v>
      </c>
      <c r="M12" s="187">
        <v>528247.7999998728</v>
      </c>
      <c r="N12" s="94">
        <f>K12+M12</f>
        <v>1936908.5999995335</v>
      </c>
      <c r="O12" s="108">
        <f>N12+I12</f>
        <v>19607315.400000181</v>
      </c>
      <c r="P12" s="111">
        <f>L12+J12+G12+E12</f>
        <v>17500.000000000226</v>
      </c>
      <c r="Q12" s="230"/>
      <c r="R12" s="232"/>
      <c r="S12" s="226"/>
      <c r="T12" s="223"/>
      <c r="U12" s="221">
        <v>0</v>
      </c>
      <c r="V12" s="188">
        <f>Y12+W12</f>
        <v>663.93999999999994</v>
      </c>
      <c r="W12" s="2">
        <v>0</v>
      </c>
      <c r="X12" s="2">
        <v>0</v>
      </c>
      <c r="Y12" s="241">
        <v>663.93999999999994</v>
      </c>
      <c r="Z12" s="31">
        <v>7556.4204000000009</v>
      </c>
      <c r="AA12" s="31">
        <f t="shared" ref="AA12:AA39" si="0">Z12+X12</f>
        <v>7556.4204000000009</v>
      </c>
      <c r="AB12" s="128">
        <f t="shared" ref="AB12:AB39" si="1">AA12/$AL$48</f>
        <v>0.5823341545873989</v>
      </c>
      <c r="AC12" s="134">
        <v>91.838400000011717</v>
      </c>
      <c r="AD12" s="2">
        <v>0</v>
      </c>
      <c r="AE12" s="2">
        <v>0</v>
      </c>
      <c r="AF12" s="2">
        <v>0</v>
      </c>
      <c r="AG12" s="2">
        <f>SUM(AC12:AF12)</f>
        <v>91.838400000011717</v>
      </c>
      <c r="AH12" s="2">
        <v>844545.9264001078</v>
      </c>
      <c r="AI12" s="43">
        <f t="shared" ref="AI12:AI39" si="2">AH12/$AL$48</f>
        <v>65.084777186356433</v>
      </c>
      <c r="AJ12" s="142">
        <v>345.64999999999418</v>
      </c>
      <c r="AK12" s="2">
        <v>3456499.9999999418</v>
      </c>
      <c r="AL12" s="39">
        <f t="shared" ref="AL12:AL42" si="3">AK12/$AL$48</f>
        <v>266.3745396340455</v>
      </c>
      <c r="AM12" s="6"/>
    </row>
    <row r="13" spans="1:39" x14ac:dyDescent="0.25">
      <c r="A13" s="33"/>
      <c r="B13" s="58">
        <v>2</v>
      </c>
      <c r="C13" s="150">
        <v>12</v>
      </c>
      <c r="D13" s="152">
        <v>124</v>
      </c>
      <c r="E13" s="106">
        <v>13600.000000000364</v>
      </c>
      <c r="F13" s="2">
        <v>14086608.000000376</v>
      </c>
      <c r="G13" s="35">
        <v>2680.000000000291</v>
      </c>
      <c r="H13" s="2">
        <v>4163835.6000004523</v>
      </c>
      <c r="I13" s="103">
        <f t="shared" ref="I13:I42" si="4">F13+H13</f>
        <v>18250443.600000829</v>
      </c>
      <c r="J13" s="106">
        <v>1339.999999999236</v>
      </c>
      <c r="K13" s="2">
        <v>1387945.1999992086</v>
      </c>
      <c r="L13" s="186">
        <v>299.99999999995453</v>
      </c>
      <c r="M13" s="187">
        <v>466100.99999992939</v>
      </c>
      <c r="N13" s="94">
        <f t="shared" ref="N13:N39" si="5">K13+M13</f>
        <v>1854046.199999138</v>
      </c>
      <c r="O13" s="108">
        <f t="shared" ref="O13:O39" si="6">N13+I13</f>
        <v>20104489.799999967</v>
      </c>
      <c r="P13" s="111">
        <f t="shared" ref="P13:P39" si="7">L13+J13+G13+E13</f>
        <v>17919.999999999847</v>
      </c>
      <c r="Q13" s="219"/>
      <c r="R13" s="233"/>
      <c r="S13" s="197"/>
      <c r="T13" s="224"/>
      <c r="U13" s="221">
        <v>0</v>
      </c>
      <c r="V13" s="188">
        <f t="shared" ref="V13:V42" si="8">Y13+W13</f>
        <v>680.85</v>
      </c>
      <c r="W13" s="2">
        <v>0</v>
      </c>
      <c r="X13" s="2">
        <v>0</v>
      </c>
      <c r="Y13" s="242">
        <v>680.85</v>
      </c>
      <c r="Z13" s="31">
        <v>11334.6306</v>
      </c>
      <c r="AA13" s="31">
        <f t="shared" si="0"/>
        <v>11334.6306</v>
      </c>
      <c r="AB13" s="128">
        <f t="shared" si="1"/>
        <v>0.87350123188109829</v>
      </c>
      <c r="AC13" s="134">
        <v>88.817400000011716</v>
      </c>
      <c r="AD13" s="2">
        <v>0</v>
      </c>
      <c r="AE13" s="2">
        <v>100</v>
      </c>
      <c r="AF13" s="2">
        <v>0</v>
      </c>
      <c r="AG13" s="2">
        <f t="shared" ref="AG13:AG42" si="9">SUM(AC13:AF13)</f>
        <v>188.81740000001173</v>
      </c>
      <c r="AH13" s="2">
        <v>1865764.8104001079</v>
      </c>
      <c r="AI13" s="43">
        <f t="shared" si="2"/>
        <v>143.78482350231138</v>
      </c>
      <c r="AJ13" s="142">
        <v>383</v>
      </c>
      <c r="AK13" s="2">
        <v>3830000</v>
      </c>
      <c r="AL13" s="39">
        <f t="shared" si="3"/>
        <v>295.15824874827473</v>
      </c>
      <c r="AM13" s="6"/>
    </row>
    <row r="14" spans="1:39" x14ac:dyDescent="0.25">
      <c r="A14" s="33"/>
      <c r="B14" s="58">
        <v>3</v>
      </c>
      <c r="C14" s="150">
        <v>14</v>
      </c>
      <c r="D14" s="152">
        <v>125</v>
      </c>
      <c r="E14" s="106">
        <v>12799.999999999272</v>
      </c>
      <c r="F14" s="2">
        <v>13257983.999999246</v>
      </c>
      <c r="G14" s="35">
        <v>2559.9999999999454</v>
      </c>
      <c r="H14" s="2">
        <v>3977395.1999999154</v>
      </c>
      <c r="I14" s="103">
        <f t="shared" si="4"/>
        <v>17235379.199999161</v>
      </c>
      <c r="J14" s="106">
        <v>1279.9999999997453</v>
      </c>
      <c r="K14" s="2">
        <v>1325798.3999997361</v>
      </c>
      <c r="L14" s="186">
        <v>300.0000000001819</v>
      </c>
      <c r="M14" s="187">
        <v>466101.00000028266</v>
      </c>
      <c r="N14" s="94">
        <f t="shared" si="5"/>
        <v>1791899.4000000188</v>
      </c>
      <c r="O14" s="108">
        <f t="shared" si="6"/>
        <v>19027278.599999178</v>
      </c>
      <c r="P14" s="111">
        <f t="shared" si="7"/>
        <v>16939.999999999145</v>
      </c>
      <c r="Q14" s="219"/>
      <c r="R14" s="233"/>
      <c r="S14" s="197"/>
      <c r="T14" s="224"/>
      <c r="U14" s="221">
        <v>0</v>
      </c>
      <c r="V14" s="188">
        <f t="shared" si="8"/>
        <v>770.74</v>
      </c>
      <c r="W14" s="2">
        <v>0</v>
      </c>
      <c r="X14" s="2">
        <v>0</v>
      </c>
      <c r="Y14" s="242">
        <v>770.74</v>
      </c>
      <c r="Z14" s="31">
        <v>11334.6306</v>
      </c>
      <c r="AA14" s="31">
        <f t="shared" si="0"/>
        <v>11334.6306</v>
      </c>
      <c r="AB14" s="128">
        <f t="shared" si="1"/>
        <v>0.87350123188109829</v>
      </c>
      <c r="AC14" s="134">
        <v>86.15891999999765</v>
      </c>
      <c r="AD14" s="2">
        <v>0</v>
      </c>
      <c r="AE14" s="2">
        <v>0</v>
      </c>
      <c r="AF14" s="2">
        <v>0</v>
      </c>
      <c r="AG14" s="2">
        <f t="shared" si="9"/>
        <v>86.15891999999765</v>
      </c>
      <c r="AH14" s="2">
        <v>792317.42831997841</v>
      </c>
      <c r="AI14" s="43">
        <f t="shared" si="2"/>
        <v>61.059797544559139</v>
      </c>
      <c r="AJ14" s="142">
        <v>261</v>
      </c>
      <c r="AK14" s="2">
        <v>2610000</v>
      </c>
      <c r="AL14" s="39">
        <f t="shared" si="3"/>
        <v>201.1391721234979</v>
      </c>
      <c r="AM14" s="6"/>
    </row>
    <row r="15" spans="1:39" x14ac:dyDescent="0.25">
      <c r="A15" s="33"/>
      <c r="B15" s="58">
        <v>4</v>
      </c>
      <c r="C15" s="150">
        <v>20</v>
      </c>
      <c r="D15" s="152">
        <v>159</v>
      </c>
      <c r="E15" s="106">
        <v>12800.000000001091</v>
      </c>
      <c r="F15" s="2">
        <v>13257984.000001131</v>
      </c>
      <c r="G15" s="35">
        <v>2440.0000000000546</v>
      </c>
      <c r="H15" s="2">
        <v>3790954.800000085</v>
      </c>
      <c r="I15" s="103">
        <f t="shared" si="4"/>
        <v>17048938.800001215</v>
      </c>
      <c r="J15" s="106">
        <v>1359.9999999996726</v>
      </c>
      <c r="K15" s="2">
        <v>1408660.7999996608</v>
      </c>
      <c r="L15" s="186">
        <v>299.99999999995453</v>
      </c>
      <c r="M15" s="187">
        <v>466100.99999992939</v>
      </c>
      <c r="N15" s="94">
        <f t="shared" si="5"/>
        <v>1874761.7999995903</v>
      </c>
      <c r="O15" s="108">
        <f t="shared" si="6"/>
        <v>18923700.600000806</v>
      </c>
      <c r="P15" s="111">
        <f t="shared" si="7"/>
        <v>16900.000000000771</v>
      </c>
      <c r="Q15" s="219"/>
      <c r="R15" s="233"/>
      <c r="S15" s="197"/>
      <c r="T15" s="224"/>
      <c r="U15" s="221">
        <v>0</v>
      </c>
      <c r="V15" s="188">
        <f t="shared" si="8"/>
        <v>751.16</v>
      </c>
      <c r="W15" s="2">
        <v>0</v>
      </c>
      <c r="X15" s="2">
        <v>0</v>
      </c>
      <c r="Y15" s="242">
        <v>751.16</v>
      </c>
      <c r="Z15" s="31">
        <v>7556.4204000000009</v>
      </c>
      <c r="AA15" s="31">
        <f t="shared" si="0"/>
        <v>7556.4204000000009</v>
      </c>
      <c r="AB15" s="128">
        <f t="shared" si="1"/>
        <v>0.5823341545873989</v>
      </c>
      <c r="AC15" s="134">
        <v>0</v>
      </c>
      <c r="AD15" s="2">
        <v>0</v>
      </c>
      <c r="AE15" s="2">
        <v>0</v>
      </c>
      <c r="AF15" s="2">
        <v>24</v>
      </c>
      <c r="AG15" s="2">
        <f t="shared" si="9"/>
        <v>24</v>
      </c>
      <c r="AH15" s="2">
        <v>279000</v>
      </c>
      <c r="AI15" s="43">
        <f t="shared" si="2"/>
        <v>21.501083916649776</v>
      </c>
      <c r="AJ15" s="142">
        <v>335.88000000000466</v>
      </c>
      <c r="AK15" s="2">
        <v>3358800.0000000466</v>
      </c>
      <c r="AL15" s="39">
        <f t="shared" si="3"/>
        <v>258.84530702238089</v>
      </c>
      <c r="AM15" s="6"/>
    </row>
    <row r="16" spans="1:39" x14ac:dyDescent="0.25">
      <c r="A16" s="33"/>
      <c r="B16" s="58">
        <v>5</v>
      </c>
      <c r="C16" s="150">
        <v>17</v>
      </c>
      <c r="D16" s="152">
        <v>184</v>
      </c>
      <c r="E16" s="106">
        <v>12239.999999999782</v>
      </c>
      <c r="F16" s="2">
        <v>12677947.199999774</v>
      </c>
      <c r="G16" s="35">
        <v>2519.9999999999818</v>
      </c>
      <c r="H16" s="2">
        <v>3915248.399999972</v>
      </c>
      <c r="I16" s="103">
        <f t="shared" si="4"/>
        <v>16593195.599999746</v>
      </c>
      <c r="J16" s="106">
        <v>1359.9999999996726</v>
      </c>
      <c r="K16" s="2">
        <v>1408660.7999996608</v>
      </c>
      <c r="L16" s="186">
        <v>319.99999999993634</v>
      </c>
      <c r="M16" s="187">
        <v>497174.39999990113</v>
      </c>
      <c r="N16" s="94">
        <f t="shared" si="5"/>
        <v>1905835.199999562</v>
      </c>
      <c r="O16" s="108">
        <f t="shared" si="6"/>
        <v>18499030.799999308</v>
      </c>
      <c r="P16" s="111">
        <f t="shared" si="7"/>
        <v>16439.999999999374</v>
      </c>
      <c r="Q16" s="219"/>
      <c r="R16" s="233"/>
      <c r="S16" s="197"/>
      <c r="T16" s="224"/>
      <c r="U16" s="221">
        <v>0</v>
      </c>
      <c r="V16" s="188">
        <f t="shared" si="8"/>
        <v>735.14</v>
      </c>
      <c r="W16" s="2">
        <v>0</v>
      </c>
      <c r="X16" s="2">
        <v>0</v>
      </c>
      <c r="Y16" s="242">
        <v>735.14</v>
      </c>
      <c r="Z16" s="31">
        <v>26447.471400000002</v>
      </c>
      <c r="AA16" s="31">
        <f t="shared" si="0"/>
        <v>26447.471400000002</v>
      </c>
      <c r="AB16" s="128">
        <f t="shared" si="1"/>
        <v>2.038169541055896</v>
      </c>
      <c r="AC16" s="134">
        <v>91.43559999998827</v>
      </c>
      <c r="AD16" s="2">
        <v>0</v>
      </c>
      <c r="AE16" s="2">
        <v>250</v>
      </c>
      <c r="AF16" s="2">
        <v>0</v>
      </c>
      <c r="AG16" s="2">
        <f t="shared" si="9"/>
        <v>341.43559999998826</v>
      </c>
      <c r="AH16" s="2">
        <v>3463341.7775998921</v>
      </c>
      <c r="AI16" s="43">
        <f t="shared" si="2"/>
        <v>266.90179997209424</v>
      </c>
      <c r="AJ16" s="142">
        <v>338.06999999999971</v>
      </c>
      <c r="AK16" s="2">
        <v>3380699.9999999972</v>
      </c>
      <c r="AL16" s="39">
        <f t="shared" si="3"/>
        <v>260.53302651260873</v>
      </c>
      <c r="AM16" s="6"/>
    </row>
    <row r="17" spans="1:39" x14ac:dyDescent="0.25">
      <c r="A17" s="33"/>
      <c r="B17" s="58">
        <v>6</v>
      </c>
      <c r="C17" s="150">
        <v>13</v>
      </c>
      <c r="D17" s="152">
        <v>139</v>
      </c>
      <c r="E17" s="106">
        <v>12520.000000000437</v>
      </c>
      <c r="F17" s="2">
        <v>12967965.600000452</v>
      </c>
      <c r="G17" s="35">
        <v>2279.9999999997453</v>
      </c>
      <c r="H17" s="2">
        <v>3542367.5999996043</v>
      </c>
      <c r="I17" s="103">
        <f t="shared" si="4"/>
        <v>16510333.200000057</v>
      </c>
      <c r="J17" s="106">
        <v>1380.0000000001091</v>
      </c>
      <c r="K17" s="2">
        <v>1429376.4000001131</v>
      </c>
      <c r="L17" s="186">
        <v>319.99999999993634</v>
      </c>
      <c r="M17" s="187">
        <v>497174.39999990113</v>
      </c>
      <c r="N17" s="94">
        <f t="shared" si="5"/>
        <v>1926550.8000000142</v>
      </c>
      <c r="O17" s="108">
        <f t="shared" si="6"/>
        <v>18436884.000000071</v>
      </c>
      <c r="P17" s="111">
        <f t="shared" si="7"/>
        <v>16500.000000000226</v>
      </c>
      <c r="Q17" s="219"/>
      <c r="R17" s="233"/>
      <c r="S17" s="197"/>
      <c r="T17" s="197"/>
      <c r="U17" s="221">
        <v>0</v>
      </c>
      <c r="V17" s="188">
        <f t="shared" si="8"/>
        <v>174.44</v>
      </c>
      <c r="W17" s="2">
        <v>122.82000000000001</v>
      </c>
      <c r="X17" s="2">
        <v>2207136.81</v>
      </c>
      <c r="Y17" s="242">
        <v>51.62</v>
      </c>
      <c r="Z17" s="31">
        <v>41560.312200000008</v>
      </c>
      <c r="AA17" s="31">
        <f t="shared" si="0"/>
        <v>2248697.1222000001</v>
      </c>
      <c r="AB17" s="128">
        <f t="shared" si="1"/>
        <v>173.29543199839088</v>
      </c>
      <c r="AC17" s="134">
        <v>100.74027999997888</v>
      </c>
      <c r="AD17" s="2">
        <v>0</v>
      </c>
      <c r="AE17" s="2">
        <v>0</v>
      </c>
      <c r="AF17" s="2">
        <v>0</v>
      </c>
      <c r="AG17" s="2">
        <f t="shared" si="9"/>
        <v>100.74027999997888</v>
      </c>
      <c r="AH17" s="2">
        <v>926407.61487980583</v>
      </c>
      <c r="AI17" s="43">
        <f t="shared" si="2"/>
        <v>71.393433220623919</v>
      </c>
      <c r="AJ17" s="142">
        <v>309.41999999999825</v>
      </c>
      <c r="AK17" s="2">
        <v>3094199.9999999823</v>
      </c>
      <c r="AL17" s="39">
        <f t="shared" si="3"/>
        <v>238.45395646916614</v>
      </c>
      <c r="AM17" s="6"/>
    </row>
    <row r="18" spans="1:39" x14ac:dyDescent="0.25">
      <c r="A18" s="33"/>
      <c r="B18" s="58">
        <v>7</v>
      </c>
      <c r="C18" s="150">
        <v>15</v>
      </c>
      <c r="D18" s="152">
        <v>150</v>
      </c>
      <c r="E18" s="106">
        <v>12719.999999999345</v>
      </c>
      <c r="F18" s="2">
        <v>13175121.599999322</v>
      </c>
      <c r="G18" s="35">
        <v>2280.0000000002001</v>
      </c>
      <c r="H18" s="2">
        <v>3542367.6000003112</v>
      </c>
      <c r="I18" s="103">
        <f t="shared" si="4"/>
        <v>16717489.199999632</v>
      </c>
      <c r="J18" s="106">
        <v>1279.9999999997453</v>
      </c>
      <c r="K18" s="2">
        <v>1325798.3999997361</v>
      </c>
      <c r="L18" s="186">
        <v>340.00000000014552</v>
      </c>
      <c r="M18" s="187">
        <v>528247.80000022613</v>
      </c>
      <c r="N18" s="94">
        <f t="shared" si="5"/>
        <v>1854046.1999999622</v>
      </c>
      <c r="O18" s="108">
        <f t="shared" si="6"/>
        <v>18571535.399999596</v>
      </c>
      <c r="P18" s="111">
        <f t="shared" si="7"/>
        <v>16619.999999999436</v>
      </c>
      <c r="Q18" s="219"/>
      <c r="R18" s="233"/>
      <c r="S18" s="197"/>
      <c r="T18" s="197"/>
      <c r="U18" s="221">
        <v>0</v>
      </c>
      <c r="V18" s="188">
        <f t="shared" si="8"/>
        <v>602.53</v>
      </c>
      <c r="W18" s="2">
        <v>100.57000000000001</v>
      </c>
      <c r="X18" s="2">
        <v>1807293.1850000001</v>
      </c>
      <c r="Y18" s="242">
        <v>501.96</v>
      </c>
      <c r="Z18" s="31">
        <v>83120.624400000015</v>
      </c>
      <c r="AA18" s="31">
        <f t="shared" si="0"/>
        <v>1890413.8094000001</v>
      </c>
      <c r="AB18" s="128">
        <f t="shared" si="1"/>
        <v>145.6843940971433</v>
      </c>
      <c r="AC18" s="134">
        <v>86.60199999999999</v>
      </c>
      <c r="AD18" s="2">
        <v>0</v>
      </c>
      <c r="AE18" s="2">
        <v>0</v>
      </c>
      <c r="AF18" s="2">
        <v>36</v>
      </c>
      <c r="AG18" s="2">
        <f t="shared" si="9"/>
        <v>122.60199999999999</v>
      </c>
      <c r="AH18" s="2">
        <v>1214891.9919999999</v>
      </c>
      <c r="AI18" s="43">
        <f t="shared" si="2"/>
        <v>93.625428923504685</v>
      </c>
      <c r="AJ18" s="142">
        <v>300.41000000000349</v>
      </c>
      <c r="AK18" s="2">
        <v>3004100.0000000349</v>
      </c>
      <c r="AL18" s="39">
        <f t="shared" si="3"/>
        <v>231.51041646597972</v>
      </c>
      <c r="AM18" s="6"/>
    </row>
    <row r="19" spans="1:39" x14ac:dyDescent="0.25">
      <c r="A19" s="33"/>
      <c r="B19" s="58">
        <v>8</v>
      </c>
      <c r="C19" s="150">
        <v>16</v>
      </c>
      <c r="D19" s="152">
        <v>140</v>
      </c>
      <c r="E19" s="106">
        <v>12559.999999999491</v>
      </c>
      <c r="F19" s="2">
        <v>13009396.799999472</v>
      </c>
      <c r="G19" s="35">
        <v>2320.0000000001637</v>
      </c>
      <c r="H19" s="2">
        <v>3604514.4000002546</v>
      </c>
      <c r="I19" s="103">
        <f t="shared" si="4"/>
        <v>16613911.199999727</v>
      </c>
      <c r="J19" s="106">
        <v>1319.999999999709</v>
      </c>
      <c r="K19" s="2">
        <v>1367229.5999996986</v>
      </c>
      <c r="L19" s="186">
        <v>319.99999999993634</v>
      </c>
      <c r="M19" s="187">
        <v>497174.39999990113</v>
      </c>
      <c r="N19" s="94">
        <f t="shared" si="5"/>
        <v>1864403.9999995998</v>
      </c>
      <c r="O19" s="108">
        <f t="shared" si="6"/>
        <v>18478315.199999329</v>
      </c>
      <c r="P19" s="111">
        <f t="shared" si="7"/>
        <v>16519.999999999302</v>
      </c>
      <c r="Q19" s="219"/>
      <c r="R19" s="233"/>
      <c r="S19" s="197"/>
      <c r="T19" s="197"/>
      <c r="U19" s="221">
        <v>0</v>
      </c>
      <c r="V19" s="188">
        <f t="shared" si="8"/>
        <v>959.42</v>
      </c>
      <c r="W19" s="2">
        <v>66.75</v>
      </c>
      <c r="X19" s="2">
        <v>1199530.875</v>
      </c>
      <c r="Y19" s="242">
        <v>892.67</v>
      </c>
      <c r="Z19" s="31">
        <v>1352599.2516000001</v>
      </c>
      <c r="AA19" s="31">
        <f t="shared" si="0"/>
        <v>2552130.1266000001</v>
      </c>
      <c r="AB19" s="128">
        <f t="shared" si="1"/>
        <v>196.67944092557929</v>
      </c>
      <c r="AC19" s="134">
        <v>82.976800000023431</v>
      </c>
      <c r="AD19" s="2">
        <v>0</v>
      </c>
      <c r="AE19" s="2">
        <v>0</v>
      </c>
      <c r="AF19" s="2">
        <v>12</v>
      </c>
      <c r="AG19" s="2">
        <f t="shared" si="9"/>
        <v>94.976800000023431</v>
      </c>
      <c r="AH19" s="2">
        <v>902554.65280021552</v>
      </c>
      <c r="AI19" s="43">
        <f t="shared" si="2"/>
        <v>69.555209065305149</v>
      </c>
      <c r="AJ19" s="142">
        <v>359.82000000001426</v>
      </c>
      <c r="AK19" s="2">
        <v>3598200.0000001425</v>
      </c>
      <c r="AL19" s="39">
        <f t="shared" si="3"/>
        <v>277.29462418957809</v>
      </c>
      <c r="AM19" s="6"/>
    </row>
    <row r="20" spans="1:39" x14ac:dyDescent="0.25">
      <c r="A20" s="33"/>
      <c r="B20" s="58">
        <v>9</v>
      </c>
      <c r="C20" s="150">
        <v>15</v>
      </c>
      <c r="D20" s="152">
        <v>125</v>
      </c>
      <c r="E20" s="106">
        <v>12800.000000001091</v>
      </c>
      <c r="F20" s="2">
        <v>13257984.000001131</v>
      </c>
      <c r="G20" s="35">
        <v>2399.9999999996362</v>
      </c>
      <c r="H20" s="2">
        <v>3728807.9999994352</v>
      </c>
      <c r="I20" s="103">
        <f t="shared" si="4"/>
        <v>16986792.000000566</v>
      </c>
      <c r="J20" s="106">
        <v>1340.0000000001455</v>
      </c>
      <c r="K20" s="2">
        <v>1387945.2000001506</v>
      </c>
      <c r="L20" s="186">
        <v>360.00000000012733</v>
      </c>
      <c r="M20" s="187">
        <v>559321.20000019786</v>
      </c>
      <c r="N20" s="94">
        <f t="shared" si="5"/>
        <v>1947266.4000003485</v>
      </c>
      <c r="O20" s="108">
        <f t="shared" si="6"/>
        <v>18934058.400000915</v>
      </c>
      <c r="P20" s="111">
        <f t="shared" si="7"/>
        <v>16900.000000001</v>
      </c>
      <c r="Q20" s="219"/>
      <c r="R20" s="233"/>
      <c r="S20" s="197"/>
      <c r="T20" s="197"/>
      <c r="U20" s="221">
        <v>0</v>
      </c>
      <c r="V20" s="188">
        <f t="shared" si="8"/>
        <v>680.85</v>
      </c>
      <c r="W20" s="2">
        <v>0</v>
      </c>
      <c r="X20" s="2">
        <v>0</v>
      </c>
      <c r="Y20" s="242">
        <v>680.85</v>
      </c>
      <c r="Z20" s="31">
        <v>37782.102000000006</v>
      </c>
      <c r="AA20" s="31">
        <f t="shared" si="0"/>
        <v>37782.102000000006</v>
      </c>
      <c r="AB20" s="128">
        <f t="shared" si="1"/>
        <v>2.9116707729369944</v>
      </c>
      <c r="AC20" s="134">
        <v>86.561720000021097</v>
      </c>
      <c r="AD20" s="2">
        <v>0</v>
      </c>
      <c r="AE20" s="2">
        <v>0</v>
      </c>
      <c r="AF20" s="2">
        <v>0</v>
      </c>
      <c r="AG20" s="2">
        <f t="shared" si="9"/>
        <v>86.561720000021097</v>
      </c>
      <c r="AH20" s="2">
        <v>796021.57712019398</v>
      </c>
      <c r="AI20" s="43">
        <f t="shared" si="2"/>
        <v>61.345257093638679</v>
      </c>
      <c r="AJ20" s="142">
        <v>356.48999999999796</v>
      </c>
      <c r="AK20" s="2">
        <v>3564899.9999999795</v>
      </c>
      <c r="AL20" s="39">
        <f t="shared" si="3"/>
        <v>274.72836578661054</v>
      </c>
      <c r="AM20" s="6"/>
    </row>
    <row r="21" spans="1:39" x14ac:dyDescent="0.25">
      <c r="A21" s="33"/>
      <c r="B21" s="58">
        <v>10</v>
      </c>
      <c r="C21" s="150">
        <v>15</v>
      </c>
      <c r="D21" s="152">
        <v>124</v>
      </c>
      <c r="E21" s="106">
        <v>13000</v>
      </c>
      <c r="F21" s="2">
        <v>13465140</v>
      </c>
      <c r="G21" s="35">
        <v>2519.9999999999818</v>
      </c>
      <c r="H21" s="2">
        <v>3915248.399999972</v>
      </c>
      <c r="I21" s="103">
        <f t="shared" si="4"/>
        <v>17380388.399999972</v>
      </c>
      <c r="J21" s="106">
        <v>1359.9999999996726</v>
      </c>
      <c r="K21" s="2">
        <v>1408660.7999996608</v>
      </c>
      <c r="L21" s="186">
        <v>319.99999999993634</v>
      </c>
      <c r="M21" s="187">
        <v>497174.39999990113</v>
      </c>
      <c r="N21" s="94">
        <f t="shared" si="5"/>
        <v>1905835.199999562</v>
      </c>
      <c r="O21" s="108">
        <f t="shared" si="6"/>
        <v>19286223.599999536</v>
      </c>
      <c r="P21" s="111">
        <f t="shared" si="7"/>
        <v>17199.999999999593</v>
      </c>
      <c r="Q21" s="219"/>
      <c r="R21" s="233"/>
      <c r="S21" s="197"/>
      <c r="T21" s="224"/>
      <c r="U21" s="221">
        <v>0</v>
      </c>
      <c r="V21" s="188">
        <f t="shared" si="8"/>
        <v>732.47</v>
      </c>
      <c r="W21" s="2">
        <v>0</v>
      </c>
      <c r="X21" s="2">
        <v>0</v>
      </c>
      <c r="Y21" s="242">
        <v>732.47</v>
      </c>
      <c r="Z21" s="31">
        <v>49116.732600000003</v>
      </c>
      <c r="AA21" s="31">
        <f t="shared" si="0"/>
        <v>49116.732600000003</v>
      </c>
      <c r="AB21" s="128">
        <f t="shared" si="1"/>
        <v>3.7851720048180924</v>
      </c>
      <c r="AC21" s="134">
        <v>86.763119999974194</v>
      </c>
      <c r="AD21" s="2">
        <v>0</v>
      </c>
      <c r="AE21" s="2">
        <v>0</v>
      </c>
      <c r="AF21" s="2">
        <v>0</v>
      </c>
      <c r="AG21" s="2">
        <f t="shared" si="9"/>
        <v>86.763119999974194</v>
      </c>
      <c r="AH21" s="2">
        <v>797873.6515197627</v>
      </c>
      <c r="AI21" s="43">
        <f t="shared" si="2"/>
        <v>61.487986868136915</v>
      </c>
      <c r="AJ21" s="142">
        <v>339.38000000000466</v>
      </c>
      <c r="AK21" s="2">
        <v>3393800.0000000466</v>
      </c>
      <c r="AL21" s="39">
        <f t="shared" si="3"/>
        <v>261.5425756140753</v>
      </c>
      <c r="AM21" s="6"/>
    </row>
    <row r="22" spans="1:39" x14ac:dyDescent="0.25">
      <c r="A22" s="33"/>
      <c r="B22" s="58">
        <v>11</v>
      </c>
      <c r="C22" s="150">
        <v>20</v>
      </c>
      <c r="D22" s="152">
        <v>140</v>
      </c>
      <c r="E22" s="106">
        <v>12200.000000000728</v>
      </c>
      <c r="F22" s="2">
        <v>12636516.000000753</v>
      </c>
      <c r="G22" s="35">
        <v>2640.0000000003274</v>
      </c>
      <c r="H22" s="2">
        <v>4101688.8000005088</v>
      </c>
      <c r="I22" s="103">
        <f t="shared" si="4"/>
        <v>16738204.800001262</v>
      </c>
      <c r="J22" s="106">
        <v>1380.0000000001091</v>
      </c>
      <c r="K22" s="2">
        <v>1429376.4000001131</v>
      </c>
      <c r="L22" s="186">
        <v>259.99999999999091</v>
      </c>
      <c r="M22" s="187">
        <v>403954.19999998587</v>
      </c>
      <c r="N22" s="94">
        <f t="shared" si="5"/>
        <v>1833330.6000000988</v>
      </c>
      <c r="O22" s="108">
        <f t="shared" si="6"/>
        <v>18571535.400001362</v>
      </c>
      <c r="P22" s="111">
        <f t="shared" si="7"/>
        <v>16480.000000001157</v>
      </c>
      <c r="Q22" s="219"/>
      <c r="R22" s="233"/>
      <c r="S22" s="197"/>
      <c r="T22" s="224"/>
      <c r="U22" s="221">
        <v>0</v>
      </c>
      <c r="V22" s="188">
        <f t="shared" si="8"/>
        <v>736.92</v>
      </c>
      <c r="W22" s="2">
        <v>0</v>
      </c>
      <c r="X22" s="2">
        <v>0</v>
      </c>
      <c r="Y22" s="242">
        <v>736.92</v>
      </c>
      <c r="Z22" s="31">
        <v>34003.891800000005</v>
      </c>
      <c r="AA22" s="31">
        <f t="shared" si="0"/>
        <v>34003.891800000005</v>
      </c>
      <c r="AB22" s="128">
        <f t="shared" si="1"/>
        <v>2.6205036956432952</v>
      </c>
      <c r="AC22" s="134">
        <v>88.938240000007028</v>
      </c>
      <c r="AD22" s="2">
        <v>0</v>
      </c>
      <c r="AE22" s="2">
        <v>100</v>
      </c>
      <c r="AF22" s="2">
        <v>0</v>
      </c>
      <c r="AG22" s="2">
        <f t="shared" si="9"/>
        <v>188.93824000000703</v>
      </c>
      <c r="AH22" s="2">
        <v>1866876.0550400647</v>
      </c>
      <c r="AI22" s="43">
        <f t="shared" si="2"/>
        <v>143.87046136702696</v>
      </c>
      <c r="AJ22" s="142">
        <v>261.62999999999738</v>
      </c>
      <c r="AK22" s="2">
        <v>2616299.9999999739</v>
      </c>
      <c r="AL22" s="39">
        <f t="shared" si="3"/>
        <v>201.6246804700009</v>
      </c>
      <c r="AM22" s="6"/>
    </row>
    <row r="23" spans="1:39" x14ac:dyDescent="0.25">
      <c r="A23" s="33"/>
      <c r="B23" s="58">
        <v>12</v>
      </c>
      <c r="C23" s="150">
        <v>25</v>
      </c>
      <c r="D23" s="152">
        <v>188</v>
      </c>
      <c r="E23" s="106">
        <v>12479.999999999563</v>
      </c>
      <c r="F23" s="2">
        <v>12926534.399999548</v>
      </c>
      <c r="G23" s="35">
        <v>2719.9999999997999</v>
      </c>
      <c r="H23" s="2">
        <v>4225982.3999996893</v>
      </c>
      <c r="I23" s="103">
        <f t="shared" si="4"/>
        <v>17152516.799999237</v>
      </c>
      <c r="J23" s="106">
        <v>1340.0000000001455</v>
      </c>
      <c r="K23" s="2">
        <v>1387945.2000001506</v>
      </c>
      <c r="L23" s="186">
        <v>339.99999999991815</v>
      </c>
      <c r="M23" s="187">
        <v>528247.7999998728</v>
      </c>
      <c r="N23" s="94">
        <f t="shared" si="5"/>
        <v>1916193.0000000233</v>
      </c>
      <c r="O23" s="108">
        <f t="shared" si="6"/>
        <v>19068709.799999259</v>
      </c>
      <c r="P23" s="111">
        <f t="shared" si="7"/>
        <v>16879.999999999425</v>
      </c>
      <c r="Q23" s="219"/>
      <c r="R23" s="233"/>
      <c r="S23" s="197"/>
      <c r="T23" s="224"/>
      <c r="U23" s="221">
        <v>0</v>
      </c>
      <c r="V23" s="188">
        <f t="shared" si="8"/>
        <v>737.81</v>
      </c>
      <c r="W23" s="2">
        <v>0</v>
      </c>
      <c r="X23" s="2">
        <v>0</v>
      </c>
      <c r="Y23" s="242">
        <v>737.81</v>
      </c>
      <c r="Z23" s="31">
        <v>15112.840800000002</v>
      </c>
      <c r="AA23" s="31">
        <f t="shared" si="0"/>
        <v>15112.840800000002</v>
      </c>
      <c r="AB23" s="128">
        <f t="shared" si="1"/>
        <v>1.1646683091747978</v>
      </c>
      <c r="AC23" s="134">
        <v>86.199199999976543</v>
      </c>
      <c r="AD23" s="2">
        <v>0</v>
      </c>
      <c r="AE23" s="2">
        <v>0</v>
      </c>
      <c r="AF23" s="2">
        <v>12</v>
      </c>
      <c r="AG23" s="2">
        <f t="shared" si="9"/>
        <v>98.199199999976543</v>
      </c>
      <c r="AH23" s="2">
        <v>932187.84319978429</v>
      </c>
      <c r="AI23" s="43">
        <f t="shared" si="2"/>
        <v>71.838885457775362</v>
      </c>
      <c r="AJ23" s="142">
        <v>407.15000000002328</v>
      </c>
      <c r="AK23" s="2">
        <v>4071500.0000002328</v>
      </c>
      <c r="AL23" s="39">
        <f t="shared" si="3"/>
        <v>313.76940203098411</v>
      </c>
      <c r="AM23" s="6"/>
    </row>
    <row r="24" spans="1:39" x14ac:dyDescent="0.25">
      <c r="A24" s="33"/>
      <c r="B24" s="58">
        <v>13</v>
      </c>
      <c r="C24" s="150">
        <v>19</v>
      </c>
      <c r="D24" s="152">
        <v>189</v>
      </c>
      <c r="E24" s="106">
        <v>13280.000000000655</v>
      </c>
      <c r="F24" s="2">
        <v>13755158.400000678</v>
      </c>
      <c r="G24" s="35">
        <v>2599.9999999999091</v>
      </c>
      <c r="H24" s="2">
        <v>4039541.9999998589</v>
      </c>
      <c r="I24" s="103">
        <f t="shared" si="4"/>
        <v>17794700.400000539</v>
      </c>
      <c r="J24" s="106">
        <v>1339.999999999236</v>
      </c>
      <c r="K24" s="2">
        <v>1387945.1999992086</v>
      </c>
      <c r="L24" s="186">
        <v>319.99999999993634</v>
      </c>
      <c r="M24" s="187">
        <v>497174.39999990113</v>
      </c>
      <c r="N24" s="94">
        <f t="shared" si="5"/>
        <v>1885119.5999991097</v>
      </c>
      <c r="O24" s="108">
        <f t="shared" si="6"/>
        <v>19679819.99999965</v>
      </c>
      <c r="P24" s="111">
        <f t="shared" si="7"/>
        <v>17539.999999999738</v>
      </c>
      <c r="Q24" s="219"/>
      <c r="R24" s="233"/>
      <c r="S24" s="197"/>
      <c r="T24" s="224"/>
      <c r="U24" s="221">
        <v>0</v>
      </c>
      <c r="V24" s="188">
        <f>Y24+W24</f>
        <v>695.09</v>
      </c>
      <c r="W24" s="2">
        <v>0</v>
      </c>
      <c r="X24" s="2">
        <v>0</v>
      </c>
      <c r="Y24" s="242">
        <v>695.09</v>
      </c>
      <c r="Z24" s="31">
        <v>30225.681600000004</v>
      </c>
      <c r="AA24" s="31">
        <f t="shared" si="0"/>
        <v>30225.681600000004</v>
      </c>
      <c r="AB24" s="128">
        <f t="shared" si="1"/>
        <v>2.3293366183495956</v>
      </c>
      <c r="AC24" s="134">
        <v>90.267480000014061</v>
      </c>
      <c r="AD24" s="2">
        <v>0</v>
      </c>
      <c r="AE24" s="2">
        <v>0</v>
      </c>
      <c r="AF24" s="2">
        <v>0</v>
      </c>
      <c r="AG24" s="2">
        <f t="shared" si="9"/>
        <v>90.267480000014061</v>
      </c>
      <c r="AH24" s="2">
        <v>830099.74608012929</v>
      </c>
      <c r="AI24" s="43">
        <f t="shared" si="2"/>
        <v>63.971484945012655</v>
      </c>
      <c r="AJ24" s="142">
        <v>370.40000000000146</v>
      </c>
      <c r="AK24" s="2">
        <v>3704000.0000000144</v>
      </c>
      <c r="AL24" s="39">
        <f t="shared" si="3"/>
        <v>285.44808181817592</v>
      </c>
      <c r="AM24" s="6"/>
    </row>
    <row r="25" spans="1:39" x14ac:dyDescent="0.25">
      <c r="A25" s="33"/>
      <c r="B25" s="58">
        <v>14</v>
      </c>
      <c r="C25" s="150">
        <v>21</v>
      </c>
      <c r="D25" s="152">
        <v>177</v>
      </c>
      <c r="E25" s="106">
        <v>13000</v>
      </c>
      <c r="F25" s="2">
        <v>13465140</v>
      </c>
      <c r="G25" s="35">
        <v>2519.9999999999818</v>
      </c>
      <c r="H25" s="2">
        <v>3915248.399999972</v>
      </c>
      <c r="I25" s="103">
        <f t="shared" si="4"/>
        <v>17380388.399999972</v>
      </c>
      <c r="J25" s="106">
        <v>1360.0000000005821</v>
      </c>
      <c r="K25" s="2">
        <v>1408660.8000006028</v>
      </c>
      <c r="L25" s="186">
        <v>300.0000000001819</v>
      </c>
      <c r="M25" s="187">
        <v>466101.00000028266</v>
      </c>
      <c r="N25" s="94">
        <f t="shared" si="5"/>
        <v>1874761.8000008855</v>
      </c>
      <c r="O25" s="108">
        <f t="shared" si="6"/>
        <v>19255150.20000086</v>
      </c>
      <c r="P25" s="111">
        <f t="shared" si="7"/>
        <v>17180.000000000746</v>
      </c>
      <c r="Q25" s="219"/>
      <c r="R25" s="233"/>
      <c r="S25" s="197"/>
      <c r="T25" s="224"/>
      <c r="U25" s="221">
        <v>0</v>
      </c>
      <c r="V25" s="188">
        <f t="shared" si="8"/>
        <v>720.01</v>
      </c>
      <c r="W25" s="2">
        <v>0</v>
      </c>
      <c r="X25" s="2">
        <v>0</v>
      </c>
      <c r="Y25" s="242">
        <v>720.01</v>
      </c>
      <c r="Z25" s="31">
        <v>11334.6306</v>
      </c>
      <c r="AA25" s="31">
        <f t="shared" si="0"/>
        <v>11334.6306</v>
      </c>
      <c r="AB25" s="128">
        <f t="shared" si="1"/>
        <v>0.87350123188109829</v>
      </c>
      <c r="AC25" s="134">
        <v>86.15891999999765</v>
      </c>
      <c r="AD25" s="2">
        <v>0</v>
      </c>
      <c r="AE25" s="2">
        <v>0</v>
      </c>
      <c r="AF25" s="2">
        <v>0</v>
      </c>
      <c r="AG25" s="2">
        <f t="shared" si="9"/>
        <v>86.15891999999765</v>
      </c>
      <c r="AH25" s="2">
        <v>792317.42831997841</v>
      </c>
      <c r="AI25" s="43">
        <f t="shared" si="2"/>
        <v>61.059797544559139</v>
      </c>
      <c r="AJ25" s="142">
        <v>245.79999999999563</v>
      </c>
      <c r="AK25" s="2">
        <v>2457999.9999999562</v>
      </c>
      <c r="AL25" s="39">
        <f t="shared" si="3"/>
        <v>189.42531995385022</v>
      </c>
      <c r="AM25" s="6"/>
    </row>
    <row r="26" spans="1:39" x14ac:dyDescent="0.25">
      <c r="A26" s="33"/>
      <c r="B26" s="58">
        <v>15</v>
      </c>
      <c r="C26" s="150">
        <v>13</v>
      </c>
      <c r="D26" s="152">
        <v>165</v>
      </c>
      <c r="E26" s="106">
        <v>12680.000000000291</v>
      </c>
      <c r="F26" s="2">
        <v>13133690.4000003</v>
      </c>
      <c r="G26" s="35">
        <v>2480.0000000000182</v>
      </c>
      <c r="H26" s="2">
        <v>3853101.6000000285</v>
      </c>
      <c r="I26" s="103">
        <f t="shared" si="4"/>
        <v>16986792.000000328</v>
      </c>
      <c r="J26" s="106">
        <v>1420.0000000000728</v>
      </c>
      <c r="K26" s="2">
        <v>1470807.6000000753</v>
      </c>
      <c r="L26" s="186">
        <v>319.99999999993634</v>
      </c>
      <c r="M26" s="187">
        <v>497174.39999990113</v>
      </c>
      <c r="N26" s="94">
        <f t="shared" si="5"/>
        <v>1967981.9999999765</v>
      </c>
      <c r="O26" s="108">
        <f t="shared" si="6"/>
        <v>18954774.000000305</v>
      </c>
      <c r="P26" s="111">
        <f t="shared" si="7"/>
        <v>16900.00000000032</v>
      </c>
      <c r="Q26" s="219"/>
      <c r="R26" s="233"/>
      <c r="S26" s="197"/>
      <c r="T26" s="224"/>
      <c r="U26" s="221">
        <v>0</v>
      </c>
      <c r="V26" s="188">
        <f t="shared" si="8"/>
        <v>744.04</v>
      </c>
      <c r="W26" s="2">
        <v>1.78</v>
      </c>
      <c r="X26" s="2">
        <v>31987.49</v>
      </c>
      <c r="Y26" s="242">
        <v>742.26</v>
      </c>
      <c r="Z26" s="31">
        <v>11334.6306</v>
      </c>
      <c r="AA26" s="31">
        <f t="shared" si="0"/>
        <v>43322.120600000002</v>
      </c>
      <c r="AB26" s="128">
        <f t="shared" si="1"/>
        <v>3.3386112919993622</v>
      </c>
      <c r="AC26" s="134">
        <v>84.869960000028129</v>
      </c>
      <c r="AD26" s="2">
        <v>0</v>
      </c>
      <c r="AE26" s="2">
        <v>250</v>
      </c>
      <c r="AF26" s="2">
        <v>0</v>
      </c>
      <c r="AG26" s="2">
        <f t="shared" si="9"/>
        <v>334.86996000002813</v>
      </c>
      <c r="AH26" s="2">
        <v>3402964.152160259</v>
      </c>
      <c r="AI26" s="43">
        <f t="shared" si="2"/>
        <v>262.24880932239671</v>
      </c>
      <c r="AJ26" s="142">
        <v>328.7300000000032</v>
      </c>
      <c r="AK26" s="2">
        <v>3287300.0000000321</v>
      </c>
      <c r="AL26" s="39">
        <f t="shared" si="3"/>
        <v>253.33517261363261</v>
      </c>
      <c r="AM26" s="6"/>
    </row>
    <row r="27" spans="1:39" x14ac:dyDescent="0.25">
      <c r="A27" s="33"/>
      <c r="B27" s="58">
        <v>16</v>
      </c>
      <c r="C27" s="150">
        <v>14</v>
      </c>
      <c r="D27" s="152">
        <v>134</v>
      </c>
      <c r="E27" s="106">
        <v>12959.999999999127</v>
      </c>
      <c r="F27" s="2">
        <v>13423708.799999095</v>
      </c>
      <c r="G27" s="35">
        <v>2440.0000000000546</v>
      </c>
      <c r="H27" s="2">
        <v>3790954.800000085</v>
      </c>
      <c r="I27" s="103">
        <f t="shared" si="4"/>
        <v>17214663.599999182</v>
      </c>
      <c r="J27" s="106">
        <v>1359.9999999996726</v>
      </c>
      <c r="K27" s="2">
        <v>1408660.7999996608</v>
      </c>
      <c r="L27" s="186">
        <v>319.99999999993634</v>
      </c>
      <c r="M27" s="187">
        <v>497174.39999990113</v>
      </c>
      <c r="N27" s="94">
        <f t="shared" si="5"/>
        <v>1905835.199999562</v>
      </c>
      <c r="O27" s="108">
        <f t="shared" si="6"/>
        <v>19120498.799998745</v>
      </c>
      <c r="P27" s="111">
        <f t="shared" si="7"/>
        <v>17079.999999998792</v>
      </c>
      <c r="Q27" s="219"/>
      <c r="R27" s="233"/>
      <c r="S27" s="197"/>
      <c r="T27" s="224"/>
      <c r="U27" s="221">
        <v>0</v>
      </c>
      <c r="V27" s="188">
        <f t="shared" si="8"/>
        <v>679.96</v>
      </c>
      <c r="W27" s="2">
        <v>0</v>
      </c>
      <c r="X27" s="2">
        <v>0</v>
      </c>
      <c r="Y27" s="242">
        <v>679.96</v>
      </c>
      <c r="Z27" s="31">
        <v>7556.4204000000009</v>
      </c>
      <c r="AA27" s="31">
        <f t="shared" si="0"/>
        <v>7556.4204000000009</v>
      </c>
      <c r="AB27" s="128">
        <f t="shared" si="1"/>
        <v>0.5823341545873989</v>
      </c>
      <c r="AC27" s="134">
        <v>88.777119999974204</v>
      </c>
      <c r="AD27" s="2">
        <v>0</v>
      </c>
      <c r="AE27" s="2">
        <v>0</v>
      </c>
      <c r="AF27" s="2">
        <v>12</v>
      </c>
      <c r="AG27" s="2">
        <f t="shared" si="9"/>
        <v>100.7771199999742</v>
      </c>
      <c r="AH27" s="2">
        <v>955894.39551976277</v>
      </c>
      <c r="AI27" s="43">
        <f t="shared" si="2"/>
        <v>73.665826571776449</v>
      </c>
      <c r="AJ27" s="142">
        <v>295.08999999999651</v>
      </c>
      <c r="AK27" s="2">
        <v>2950899.9999999651</v>
      </c>
      <c r="AL27" s="39">
        <f t="shared" si="3"/>
        <v>227.41056820659884</v>
      </c>
      <c r="AM27" s="6"/>
    </row>
    <row r="28" spans="1:39" x14ac:dyDescent="0.25">
      <c r="A28" s="33"/>
      <c r="B28" s="58">
        <v>17</v>
      </c>
      <c r="C28" s="150">
        <v>14</v>
      </c>
      <c r="D28" s="152">
        <v>141</v>
      </c>
      <c r="E28" s="106">
        <v>12880.000000001019</v>
      </c>
      <c r="F28" s="2">
        <v>13340846.400001055</v>
      </c>
      <c r="G28" s="35">
        <v>2519.9999999999818</v>
      </c>
      <c r="H28" s="2">
        <v>3915248.399999972</v>
      </c>
      <c r="I28" s="103">
        <f t="shared" si="4"/>
        <v>17256094.800001025</v>
      </c>
      <c r="J28" s="106">
        <v>1340.0000000001455</v>
      </c>
      <c r="K28" s="2">
        <v>1387945.2000001506</v>
      </c>
      <c r="L28" s="186">
        <v>320.00000000016371</v>
      </c>
      <c r="M28" s="187">
        <v>497174.40000025439</v>
      </c>
      <c r="N28" s="94">
        <f t="shared" si="5"/>
        <v>1885119.600000405</v>
      </c>
      <c r="O28" s="108">
        <f t="shared" si="6"/>
        <v>19141214.400001429</v>
      </c>
      <c r="P28" s="111">
        <f t="shared" si="7"/>
        <v>17060.00000000131</v>
      </c>
      <c r="Q28" s="219"/>
      <c r="R28" s="233"/>
      <c r="S28" s="197"/>
      <c r="T28" s="224"/>
      <c r="U28" s="221">
        <v>0</v>
      </c>
      <c r="V28" s="188">
        <f t="shared" si="8"/>
        <v>728.91</v>
      </c>
      <c r="W28" s="2">
        <v>0</v>
      </c>
      <c r="X28" s="2">
        <v>0</v>
      </c>
      <c r="Y28" s="242">
        <v>728.91</v>
      </c>
      <c r="Z28" s="31">
        <v>7556.4204000000009</v>
      </c>
      <c r="AA28" s="31">
        <f t="shared" si="0"/>
        <v>7556.4204000000009</v>
      </c>
      <c r="AB28" s="128">
        <f t="shared" si="1"/>
        <v>0.5823341545873989</v>
      </c>
      <c r="AC28" s="134">
        <v>84.346320000009371</v>
      </c>
      <c r="AD28" s="2">
        <v>0</v>
      </c>
      <c r="AE28" s="2">
        <v>0</v>
      </c>
      <c r="AF28" s="2">
        <v>12</v>
      </c>
      <c r="AG28" s="2">
        <f t="shared" si="9"/>
        <v>96.346320000009371</v>
      </c>
      <c r="AH28" s="2">
        <v>915148.75872008619</v>
      </c>
      <c r="AI28" s="43">
        <f t="shared" si="2"/>
        <v>70.525771532109147</v>
      </c>
      <c r="AJ28" s="142">
        <v>305.78000000000611</v>
      </c>
      <c r="AK28" s="2">
        <v>3057800.000000061</v>
      </c>
      <c r="AL28" s="39">
        <f t="shared" si="3"/>
        <v>235.64879713381004</v>
      </c>
      <c r="AM28" s="6"/>
    </row>
    <row r="29" spans="1:39" x14ac:dyDescent="0.25">
      <c r="A29" s="33"/>
      <c r="B29" s="58">
        <v>18</v>
      </c>
      <c r="C29" s="150">
        <v>11</v>
      </c>
      <c r="D29" s="152">
        <v>96</v>
      </c>
      <c r="E29" s="106">
        <v>13199.999999998909</v>
      </c>
      <c r="F29" s="2">
        <v>13672295.999998869</v>
      </c>
      <c r="G29" s="35">
        <v>2440.0000000000546</v>
      </c>
      <c r="H29" s="2">
        <v>3790954.800000085</v>
      </c>
      <c r="I29" s="103">
        <f t="shared" si="4"/>
        <v>17463250.799998954</v>
      </c>
      <c r="J29" s="106">
        <v>1359.9999999996726</v>
      </c>
      <c r="K29" s="2">
        <v>1408660.7999996608</v>
      </c>
      <c r="L29" s="186">
        <v>339.99999999991815</v>
      </c>
      <c r="M29" s="187">
        <v>528247.7999998728</v>
      </c>
      <c r="N29" s="94">
        <f t="shared" si="5"/>
        <v>1936908.5999995335</v>
      </c>
      <c r="O29" s="108">
        <f t="shared" si="6"/>
        <v>19400159.399998486</v>
      </c>
      <c r="P29" s="111">
        <f t="shared" si="7"/>
        <v>17339.999999998552</v>
      </c>
      <c r="Q29" s="219"/>
      <c r="R29" s="233"/>
      <c r="S29" s="197"/>
      <c r="T29" s="224"/>
      <c r="U29" s="221">
        <v>0</v>
      </c>
      <c r="V29" s="188">
        <f t="shared" si="8"/>
        <v>789.43</v>
      </c>
      <c r="W29" s="2">
        <v>0</v>
      </c>
      <c r="X29" s="2">
        <v>0</v>
      </c>
      <c r="Y29" s="242">
        <v>789.43</v>
      </c>
      <c r="Z29" s="31">
        <v>7556.4204000000009</v>
      </c>
      <c r="AA29" s="31">
        <f t="shared" si="0"/>
        <v>7556.4204000000009</v>
      </c>
      <c r="AB29" s="128">
        <f t="shared" si="1"/>
        <v>0.5823341545873989</v>
      </c>
      <c r="AC29" s="134">
        <v>88.938240000007028</v>
      </c>
      <c r="AD29" s="2">
        <v>0</v>
      </c>
      <c r="AE29" s="2">
        <v>0</v>
      </c>
      <c r="AF29" s="2">
        <v>0</v>
      </c>
      <c r="AG29" s="2">
        <f t="shared" si="9"/>
        <v>88.938240000007028</v>
      </c>
      <c r="AH29" s="2">
        <v>817876.05504006462</v>
      </c>
      <c r="AI29" s="43">
        <f t="shared" si="2"/>
        <v>63.0294684331</v>
      </c>
      <c r="AJ29" s="142">
        <v>163.92999999997483</v>
      </c>
      <c r="AK29" s="2">
        <v>1639299.9999997483</v>
      </c>
      <c r="AL29" s="39">
        <f t="shared" si="3"/>
        <v>126.33235435325651</v>
      </c>
      <c r="AM29" s="6"/>
    </row>
    <row r="30" spans="1:39" x14ac:dyDescent="0.25">
      <c r="A30" s="33"/>
      <c r="B30" s="58">
        <v>19</v>
      </c>
      <c r="C30" s="150">
        <v>11</v>
      </c>
      <c r="D30" s="152">
        <v>96</v>
      </c>
      <c r="E30" s="106">
        <v>12040.000000000873</v>
      </c>
      <c r="F30" s="2">
        <v>12470791.200000905</v>
      </c>
      <c r="G30" s="35">
        <v>2480.0000000000182</v>
      </c>
      <c r="H30" s="2">
        <v>3853101.6000000285</v>
      </c>
      <c r="I30" s="103">
        <f t="shared" si="4"/>
        <v>16323892.800000932</v>
      </c>
      <c r="J30" s="106">
        <v>1399.9999999996362</v>
      </c>
      <c r="K30" s="2">
        <v>1450091.999999623</v>
      </c>
      <c r="L30" s="186">
        <v>319.99999999993634</v>
      </c>
      <c r="M30" s="187">
        <v>497174.39999990113</v>
      </c>
      <c r="N30" s="94">
        <f t="shared" si="5"/>
        <v>1947266.3999995242</v>
      </c>
      <c r="O30" s="108">
        <f t="shared" si="6"/>
        <v>18271159.200000457</v>
      </c>
      <c r="P30" s="111">
        <f t="shared" si="7"/>
        <v>16240.000000000464</v>
      </c>
      <c r="Q30" s="219"/>
      <c r="R30" s="234"/>
      <c r="S30" s="197"/>
      <c r="T30" s="224"/>
      <c r="U30" s="221">
        <v>0</v>
      </c>
      <c r="V30" s="188">
        <f t="shared" si="8"/>
        <v>706.66</v>
      </c>
      <c r="W30" s="2">
        <v>215.38</v>
      </c>
      <c r="X30" s="2">
        <v>3870486.29</v>
      </c>
      <c r="Y30" s="242">
        <v>491.28</v>
      </c>
      <c r="Z30" s="31">
        <v>7556.4204000000009</v>
      </c>
      <c r="AA30" s="31">
        <f t="shared" si="0"/>
        <v>3878042.7104000002</v>
      </c>
      <c r="AB30" s="128">
        <f t="shared" si="1"/>
        <v>298.86065142889731</v>
      </c>
      <c r="AC30" s="134">
        <v>90.589719999962483</v>
      </c>
      <c r="AD30" s="2">
        <v>0</v>
      </c>
      <c r="AE30" s="2">
        <v>150</v>
      </c>
      <c r="AF30" s="2">
        <v>0</v>
      </c>
      <c r="AG30" s="2">
        <f t="shared" si="9"/>
        <v>240.58971999996248</v>
      </c>
      <c r="AH30" s="2">
        <v>2406563.0651196549</v>
      </c>
      <c r="AI30" s="43">
        <f t="shared" si="2"/>
        <v>185.46134198511683</v>
      </c>
      <c r="AJ30" s="142">
        <v>369.33000000000175</v>
      </c>
      <c r="AK30" s="2">
        <v>3693300.0000000177</v>
      </c>
      <c r="AL30" s="39">
        <f t="shared" si="3"/>
        <v>284.62348827728675</v>
      </c>
      <c r="AM30" s="6"/>
    </row>
    <row r="31" spans="1:39" x14ac:dyDescent="0.25">
      <c r="A31" s="33"/>
      <c r="B31" s="58">
        <v>20</v>
      </c>
      <c r="C31" s="150">
        <v>10</v>
      </c>
      <c r="D31" s="152">
        <v>86</v>
      </c>
      <c r="E31" s="106">
        <v>12079.999999999927</v>
      </c>
      <c r="F31" s="2">
        <v>12512222.399999924</v>
      </c>
      <c r="G31" s="35">
        <v>2480.0000000000182</v>
      </c>
      <c r="H31" s="2">
        <v>3853101.6000000285</v>
      </c>
      <c r="I31" s="103">
        <f t="shared" si="4"/>
        <v>16365323.999999952</v>
      </c>
      <c r="J31" s="106">
        <v>1420.0000000000728</v>
      </c>
      <c r="K31" s="2">
        <v>1470807.6000000753</v>
      </c>
      <c r="L31" s="186">
        <v>319.99999999993634</v>
      </c>
      <c r="M31" s="187">
        <v>497174.39999990113</v>
      </c>
      <c r="N31" s="94">
        <f t="shared" si="5"/>
        <v>1967981.9999999765</v>
      </c>
      <c r="O31" s="108">
        <f t="shared" si="6"/>
        <v>18333305.999999929</v>
      </c>
      <c r="P31" s="111">
        <f t="shared" si="7"/>
        <v>16299.999999999955</v>
      </c>
      <c r="Q31" s="220"/>
      <c r="R31" s="235"/>
      <c r="S31" s="197"/>
      <c r="T31" s="224"/>
      <c r="U31" s="221">
        <v>0</v>
      </c>
      <c r="V31" s="188">
        <f t="shared" si="8"/>
        <v>772.52</v>
      </c>
      <c r="W31" s="2">
        <v>0</v>
      </c>
      <c r="X31" s="2">
        <v>0</v>
      </c>
      <c r="Y31" s="242">
        <v>772.52</v>
      </c>
      <c r="Z31" s="31">
        <v>0</v>
      </c>
      <c r="AA31" s="31">
        <f t="shared" si="0"/>
        <v>0</v>
      </c>
      <c r="AB31" s="128">
        <f t="shared" si="1"/>
        <v>0</v>
      </c>
      <c r="AC31" s="134">
        <v>85.917240000007027</v>
      </c>
      <c r="AD31" s="2">
        <v>0</v>
      </c>
      <c r="AE31" s="2">
        <v>0</v>
      </c>
      <c r="AF31" s="2">
        <v>24</v>
      </c>
      <c r="AG31" s="2">
        <f t="shared" si="9"/>
        <v>109.91724000000703</v>
      </c>
      <c r="AH31" s="2">
        <v>1069094.9390400646</v>
      </c>
      <c r="AI31" s="43">
        <f t="shared" si="2"/>
        <v>82.389605731777792</v>
      </c>
      <c r="AJ31" s="142">
        <v>286.09999999999854</v>
      </c>
      <c r="AK31" s="2">
        <v>2860999.9999999856</v>
      </c>
      <c r="AL31" s="39">
        <f t="shared" si="3"/>
        <v>220.48244116679103</v>
      </c>
      <c r="AM31" s="6"/>
    </row>
    <row r="32" spans="1:39" x14ac:dyDescent="0.25">
      <c r="A32" s="33"/>
      <c r="B32" s="58">
        <v>21</v>
      </c>
      <c r="C32" s="150">
        <v>5</v>
      </c>
      <c r="D32" s="152">
        <v>76</v>
      </c>
      <c r="E32" s="106">
        <v>12159.999999999854</v>
      </c>
      <c r="F32" s="2">
        <v>12595084.79999985</v>
      </c>
      <c r="G32" s="35">
        <v>2280.0000000002001</v>
      </c>
      <c r="H32" s="2">
        <v>3542367.6000003112</v>
      </c>
      <c r="I32" s="103">
        <f t="shared" si="4"/>
        <v>16137452.400000161</v>
      </c>
      <c r="J32" s="106">
        <v>1420.0000000000728</v>
      </c>
      <c r="K32" s="2">
        <v>1470807.6000000753</v>
      </c>
      <c r="L32" s="186">
        <v>300.0000000001819</v>
      </c>
      <c r="M32" s="187">
        <v>466101.00000028266</v>
      </c>
      <c r="N32" s="94">
        <f t="shared" si="5"/>
        <v>1936908.600000358</v>
      </c>
      <c r="O32" s="108">
        <f t="shared" si="6"/>
        <v>18074361.000000518</v>
      </c>
      <c r="P32" s="111">
        <f t="shared" si="7"/>
        <v>16160.000000000309</v>
      </c>
      <c r="Q32" s="219"/>
      <c r="R32" s="236"/>
      <c r="S32" s="197"/>
      <c r="T32" s="224"/>
      <c r="U32" s="221">
        <v>0</v>
      </c>
      <c r="V32" s="188">
        <f t="shared" si="8"/>
        <v>726.24</v>
      </c>
      <c r="W32" s="2">
        <v>0</v>
      </c>
      <c r="X32" s="2">
        <v>0</v>
      </c>
      <c r="Y32" s="242">
        <v>726.24</v>
      </c>
      <c r="Z32" s="31">
        <v>0</v>
      </c>
      <c r="AA32" s="31">
        <f t="shared" si="0"/>
        <v>0</v>
      </c>
      <c r="AB32" s="128">
        <f t="shared" si="1"/>
        <v>0</v>
      </c>
      <c r="AC32" s="134">
        <v>83.419880000025785</v>
      </c>
      <c r="AD32" s="2">
        <v>0</v>
      </c>
      <c r="AE32" s="2">
        <v>0</v>
      </c>
      <c r="AF32" s="2">
        <v>12</v>
      </c>
      <c r="AG32" s="2">
        <f t="shared" si="9"/>
        <v>95.419880000025785</v>
      </c>
      <c r="AH32" s="2">
        <v>906629.21648023708</v>
      </c>
      <c r="AI32" s="43">
        <f t="shared" si="2"/>
        <v>69.869214569276039</v>
      </c>
      <c r="AJ32" s="142">
        <v>268.37999999999738</v>
      </c>
      <c r="AK32" s="2">
        <v>2683799.9999999739</v>
      </c>
      <c r="AL32" s="39">
        <f t="shared" si="3"/>
        <v>206.82655561112583</v>
      </c>
      <c r="AM32" s="6"/>
    </row>
    <row r="33" spans="1:39" x14ac:dyDescent="0.25">
      <c r="A33" s="33"/>
      <c r="B33" s="58">
        <v>22</v>
      </c>
      <c r="C33" s="150">
        <v>4</v>
      </c>
      <c r="D33" s="152">
        <v>72</v>
      </c>
      <c r="E33" s="106">
        <v>12360.000000000582</v>
      </c>
      <c r="F33" s="2">
        <v>12802240.800000602</v>
      </c>
      <c r="G33" s="35">
        <v>2359.9999999996726</v>
      </c>
      <c r="H33" s="2">
        <v>3666661.1999994917</v>
      </c>
      <c r="I33" s="103">
        <f t="shared" si="4"/>
        <v>16468902.000000093</v>
      </c>
      <c r="J33" s="106">
        <v>1319.999999999709</v>
      </c>
      <c r="K33" s="2">
        <v>1367229.5999996986</v>
      </c>
      <c r="L33" s="186">
        <v>319.99999999993634</v>
      </c>
      <c r="M33" s="187">
        <v>497174.39999990113</v>
      </c>
      <c r="N33" s="94">
        <f t="shared" si="5"/>
        <v>1864403.9999995998</v>
      </c>
      <c r="O33" s="108">
        <f t="shared" si="6"/>
        <v>18333305.999999695</v>
      </c>
      <c r="P33" s="111">
        <f t="shared" si="7"/>
        <v>16359.9999999999</v>
      </c>
      <c r="Q33" s="219"/>
      <c r="R33" s="234"/>
      <c r="S33" s="197"/>
      <c r="T33" s="224"/>
      <c r="U33" s="221">
        <v>0</v>
      </c>
      <c r="V33" s="188">
        <f t="shared" si="8"/>
        <v>712</v>
      </c>
      <c r="W33" s="2">
        <v>114.81</v>
      </c>
      <c r="X33" s="2">
        <v>2063193.105</v>
      </c>
      <c r="Y33" s="242">
        <v>597.18999999999994</v>
      </c>
      <c r="Z33" s="31">
        <v>7556.4204000000009</v>
      </c>
      <c r="AA33" s="31">
        <f t="shared" si="0"/>
        <v>2070749.5253999999</v>
      </c>
      <c r="AB33" s="128">
        <f t="shared" si="1"/>
        <v>159.5819330322154</v>
      </c>
      <c r="AC33" s="134">
        <v>79.875240000007025</v>
      </c>
      <c r="AD33" s="2">
        <v>0</v>
      </c>
      <c r="AE33" s="2">
        <v>100</v>
      </c>
      <c r="AF33" s="2">
        <v>0</v>
      </c>
      <c r="AG33" s="2">
        <f t="shared" si="9"/>
        <v>179.87524000000701</v>
      </c>
      <c r="AH33" s="2">
        <v>1783532.7070400645</v>
      </c>
      <c r="AI33" s="43">
        <f t="shared" si="2"/>
        <v>137.44762151311099</v>
      </c>
      <c r="AJ33" s="142">
        <v>330.20000000000437</v>
      </c>
      <c r="AK33" s="2">
        <v>3302000.0000000438</v>
      </c>
      <c r="AL33" s="39">
        <f t="shared" si="3"/>
        <v>254.46802542214516</v>
      </c>
      <c r="AM33" s="6"/>
    </row>
    <row r="34" spans="1:39" x14ac:dyDescent="0.25">
      <c r="A34" s="33"/>
      <c r="B34" s="58">
        <v>23</v>
      </c>
      <c r="C34" s="150">
        <v>3</v>
      </c>
      <c r="D34" s="152">
        <v>60</v>
      </c>
      <c r="E34" s="106">
        <v>11760.000000000218</v>
      </c>
      <c r="F34" s="2">
        <v>12180772.800000226</v>
      </c>
      <c r="G34" s="35">
        <v>2160.0000000003092</v>
      </c>
      <c r="H34" s="2">
        <v>3355927.2000004807</v>
      </c>
      <c r="I34" s="103">
        <f t="shared" si="4"/>
        <v>15536700.000000708</v>
      </c>
      <c r="J34" s="106">
        <v>1320.0000000006185</v>
      </c>
      <c r="K34" s="2">
        <v>1367229.6000006406</v>
      </c>
      <c r="L34" s="186">
        <v>319.99999999993634</v>
      </c>
      <c r="M34" s="187">
        <v>497174.39999990113</v>
      </c>
      <c r="N34" s="94">
        <f t="shared" si="5"/>
        <v>1864404.0000005418</v>
      </c>
      <c r="O34" s="108">
        <f t="shared" si="6"/>
        <v>17401104.000001248</v>
      </c>
      <c r="P34" s="111">
        <f t="shared" si="7"/>
        <v>15560.000000001082</v>
      </c>
      <c r="Q34" s="220"/>
      <c r="R34" s="235"/>
      <c r="S34" s="197"/>
      <c r="T34" s="224"/>
      <c r="U34" s="221">
        <v>0</v>
      </c>
      <c r="V34" s="188">
        <f t="shared" si="8"/>
        <v>716.45</v>
      </c>
      <c r="W34" s="2">
        <v>145.96</v>
      </c>
      <c r="X34" s="2">
        <v>2622974.1800000002</v>
      </c>
      <c r="Y34" s="242">
        <v>570.49</v>
      </c>
      <c r="Z34" s="31">
        <v>0</v>
      </c>
      <c r="AA34" s="31">
        <f t="shared" si="0"/>
        <v>2622974.1800000002</v>
      </c>
      <c r="AB34" s="128">
        <f t="shared" si="1"/>
        <v>202.13902492969763</v>
      </c>
      <c r="AC34" s="134">
        <v>86.722839999995301</v>
      </c>
      <c r="AD34" s="2">
        <v>0</v>
      </c>
      <c r="AE34" s="2">
        <v>0</v>
      </c>
      <c r="AF34" s="2">
        <v>12</v>
      </c>
      <c r="AG34" s="2">
        <f t="shared" si="9"/>
        <v>98.722839999995301</v>
      </c>
      <c r="AH34" s="2">
        <v>937003.23663995683</v>
      </c>
      <c r="AI34" s="43">
        <f t="shared" si="2"/>
        <v>72.20998287157046</v>
      </c>
      <c r="AJ34" s="142">
        <v>276.97999999999593</v>
      </c>
      <c r="AK34" s="2">
        <v>2769799.999999959</v>
      </c>
      <c r="AL34" s="39">
        <f t="shared" si="3"/>
        <v>213.45412986500239</v>
      </c>
      <c r="AM34" s="6"/>
    </row>
    <row r="35" spans="1:39" x14ac:dyDescent="0.25">
      <c r="A35" s="33"/>
      <c r="B35" s="58">
        <v>24</v>
      </c>
      <c r="C35" s="150">
        <v>4</v>
      </c>
      <c r="D35" s="152">
        <v>34</v>
      </c>
      <c r="E35" s="106">
        <v>11280.000000000655</v>
      </c>
      <c r="F35" s="2">
        <v>11683598.400000678</v>
      </c>
      <c r="G35" s="35">
        <v>2159.9999999998545</v>
      </c>
      <c r="H35" s="2">
        <v>3355927.1999997739</v>
      </c>
      <c r="I35" s="103">
        <f t="shared" si="4"/>
        <v>15039525.600000452</v>
      </c>
      <c r="J35" s="106">
        <v>1279.9999999997453</v>
      </c>
      <c r="K35" s="2">
        <v>1325798.3999997361</v>
      </c>
      <c r="L35" s="186">
        <v>259.99999999999091</v>
      </c>
      <c r="M35" s="187">
        <v>403954.19999998587</v>
      </c>
      <c r="N35" s="94">
        <f t="shared" si="5"/>
        <v>1729752.5999997221</v>
      </c>
      <c r="O35" s="108">
        <f t="shared" si="6"/>
        <v>16769278.200000174</v>
      </c>
      <c r="P35" s="111">
        <f t="shared" si="7"/>
        <v>14980.000000000246</v>
      </c>
      <c r="Q35" s="219"/>
      <c r="R35" s="236"/>
      <c r="S35" s="197"/>
      <c r="T35" s="224"/>
      <c r="U35" s="221">
        <v>0</v>
      </c>
      <c r="V35" s="188">
        <f t="shared" si="8"/>
        <v>715.56</v>
      </c>
      <c r="W35" s="2">
        <v>137.94999999999999</v>
      </c>
      <c r="X35" s="2">
        <v>2479030.4749999996</v>
      </c>
      <c r="Y35" s="242">
        <v>577.61</v>
      </c>
      <c r="Z35" s="31">
        <v>0</v>
      </c>
      <c r="AA35" s="31">
        <f t="shared" si="0"/>
        <v>2479030.4749999996</v>
      </c>
      <c r="AB35" s="128">
        <f t="shared" si="1"/>
        <v>191.04602965916541</v>
      </c>
      <c r="AC35" s="134">
        <v>72.262320000009368</v>
      </c>
      <c r="AD35" s="2">
        <v>0</v>
      </c>
      <c r="AE35" s="2">
        <v>0</v>
      </c>
      <c r="AF35" s="2">
        <v>0</v>
      </c>
      <c r="AG35" s="2">
        <f t="shared" si="9"/>
        <v>72.262320000009368</v>
      </c>
      <c r="AH35" s="2">
        <v>664524.29472008615</v>
      </c>
      <c r="AI35" s="43">
        <f t="shared" si="2"/>
        <v>51.211443101896343</v>
      </c>
      <c r="AJ35" s="142">
        <v>226.62000000000262</v>
      </c>
      <c r="AK35" s="2">
        <v>2266200.0000000261</v>
      </c>
      <c r="AL35" s="39">
        <f t="shared" si="3"/>
        <v>174.6442880713702</v>
      </c>
      <c r="AM35" s="6"/>
    </row>
    <row r="36" spans="1:39" x14ac:dyDescent="0.25">
      <c r="A36" s="33"/>
      <c r="B36" s="58">
        <v>25</v>
      </c>
      <c r="C36" s="150">
        <v>5</v>
      </c>
      <c r="D36" s="152">
        <v>31</v>
      </c>
      <c r="E36" s="106">
        <v>11519.999999998618</v>
      </c>
      <c r="F36" s="2">
        <v>11932185.599998567</v>
      </c>
      <c r="G36" s="35">
        <v>2119.9999999998909</v>
      </c>
      <c r="H36" s="2">
        <v>3293780.3999998304</v>
      </c>
      <c r="I36" s="103">
        <f t="shared" si="4"/>
        <v>15225965.999998398</v>
      </c>
      <c r="J36" s="106">
        <v>1319.999999999709</v>
      </c>
      <c r="K36" s="2">
        <v>1367229.5999996986</v>
      </c>
      <c r="L36" s="186">
        <v>160.00000000008185</v>
      </c>
      <c r="M36" s="187">
        <v>248587.2000001272</v>
      </c>
      <c r="N36" s="94">
        <f t="shared" si="5"/>
        <v>1615816.7999998257</v>
      </c>
      <c r="O36" s="108">
        <f t="shared" si="6"/>
        <v>16841782.799998224</v>
      </c>
      <c r="P36" s="111">
        <f t="shared" si="7"/>
        <v>15119.999999998299</v>
      </c>
      <c r="Q36" s="219"/>
      <c r="R36" s="236"/>
      <c r="S36" s="197"/>
      <c r="T36" s="224"/>
      <c r="U36" s="221">
        <v>0</v>
      </c>
      <c r="V36" s="188">
        <f t="shared" si="8"/>
        <v>680.85</v>
      </c>
      <c r="W36" s="2">
        <v>111.25</v>
      </c>
      <c r="X36" s="2">
        <v>1999218.125</v>
      </c>
      <c r="Y36" s="242">
        <v>569.6</v>
      </c>
      <c r="Z36" s="31">
        <v>0</v>
      </c>
      <c r="AA36" s="31">
        <f t="shared" si="0"/>
        <v>1999218.125</v>
      </c>
      <c r="AB36" s="128">
        <f t="shared" si="1"/>
        <v>154.06937875739149</v>
      </c>
      <c r="AC36" s="134">
        <v>102.55287999996716</v>
      </c>
      <c r="AD36" s="2">
        <v>0</v>
      </c>
      <c r="AE36" s="2">
        <v>0</v>
      </c>
      <c r="AF36" s="2">
        <v>0</v>
      </c>
      <c r="AG36" s="2">
        <f t="shared" si="9"/>
        <v>102.55287999996716</v>
      </c>
      <c r="AH36" s="2">
        <v>943076.28447969805</v>
      </c>
      <c r="AI36" s="43">
        <f t="shared" si="2"/>
        <v>72.678001191398792</v>
      </c>
      <c r="AJ36" s="142">
        <v>143.23999999999796</v>
      </c>
      <c r="AK36" s="2">
        <v>1432399.9999999795</v>
      </c>
      <c r="AL36" s="39">
        <f t="shared" si="3"/>
        <v>110.38764373551506</v>
      </c>
      <c r="AM36" s="6"/>
    </row>
    <row r="37" spans="1:39" x14ac:dyDescent="0.25">
      <c r="A37" s="33"/>
      <c r="B37" s="58">
        <v>26</v>
      </c>
      <c r="C37" s="150">
        <v>4</v>
      </c>
      <c r="D37" s="152">
        <v>59</v>
      </c>
      <c r="E37" s="106">
        <v>11880.000000001019</v>
      </c>
      <c r="F37" s="2">
        <v>12305066.400001055</v>
      </c>
      <c r="G37" s="35">
        <v>2119.9999999998909</v>
      </c>
      <c r="H37" s="2">
        <v>3293780.3999998304</v>
      </c>
      <c r="I37" s="103">
        <f t="shared" si="4"/>
        <v>15598846.800000886</v>
      </c>
      <c r="J37" s="106">
        <v>1279.9999999997453</v>
      </c>
      <c r="K37" s="2">
        <v>1325798.3999997361</v>
      </c>
      <c r="L37" s="186">
        <v>279.99999999997272</v>
      </c>
      <c r="M37" s="187">
        <v>435027.5999999576</v>
      </c>
      <c r="N37" s="94">
        <f t="shared" si="5"/>
        <v>1760825.9999996936</v>
      </c>
      <c r="O37" s="108">
        <f t="shared" si="6"/>
        <v>17359672.800000578</v>
      </c>
      <c r="P37" s="111">
        <f t="shared" si="7"/>
        <v>15560.000000000628</v>
      </c>
      <c r="Q37" s="219"/>
      <c r="R37" s="236"/>
      <c r="S37" s="197"/>
      <c r="T37" s="224"/>
      <c r="U37" s="221">
        <v>0</v>
      </c>
      <c r="V37" s="188">
        <f t="shared" si="8"/>
        <v>694.19999999999993</v>
      </c>
      <c r="W37" s="2">
        <v>113.92</v>
      </c>
      <c r="X37" s="2">
        <v>2047199.36</v>
      </c>
      <c r="Y37" s="242">
        <v>580.28</v>
      </c>
      <c r="Z37" s="31">
        <v>0</v>
      </c>
      <c r="AA37" s="31">
        <f t="shared" si="0"/>
        <v>2047199.36</v>
      </c>
      <c r="AB37" s="128">
        <f t="shared" si="1"/>
        <v>157.76704384756889</v>
      </c>
      <c r="AC37" s="134">
        <v>77.700120000032811</v>
      </c>
      <c r="AD37" s="2">
        <v>0</v>
      </c>
      <c r="AE37" s="2">
        <v>150</v>
      </c>
      <c r="AF37" s="2">
        <v>0</v>
      </c>
      <c r="AG37" s="2">
        <f t="shared" si="9"/>
        <v>227.70012000003283</v>
      </c>
      <c r="AH37" s="2">
        <v>2288030.3035203018</v>
      </c>
      <c r="AI37" s="43">
        <f t="shared" si="2"/>
        <v>176.32663641515293</v>
      </c>
      <c r="AJ37" s="142">
        <v>164.43000000000029</v>
      </c>
      <c r="AK37" s="2">
        <v>1644300.0000000028</v>
      </c>
      <c r="AL37" s="39">
        <f t="shared" si="3"/>
        <v>126.7176784378039</v>
      </c>
      <c r="AM37" s="6"/>
    </row>
    <row r="38" spans="1:39" x14ac:dyDescent="0.25">
      <c r="A38" s="33"/>
      <c r="B38" s="58">
        <v>27</v>
      </c>
      <c r="C38" s="150">
        <v>4</v>
      </c>
      <c r="D38" s="152">
        <v>34</v>
      </c>
      <c r="E38" s="106">
        <v>12760.000000000218</v>
      </c>
      <c r="F38" s="2">
        <v>13216552.800000226</v>
      </c>
      <c r="G38" s="35">
        <v>2400.0000000000909</v>
      </c>
      <c r="H38" s="2">
        <v>3728808.0000001416</v>
      </c>
      <c r="I38" s="103">
        <f t="shared" si="4"/>
        <v>16945360.80000037</v>
      </c>
      <c r="J38" s="106">
        <v>1300.0000000001819</v>
      </c>
      <c r="K38" s="2">
        <v>1346514.0000001884</v>
      </c>
      <c r="L38" s="186">
        <v>279.99999999997272</v>
      </c>
      <c r="M38" s="187">
        <v>435027.5999999576</v>
      </c>
      <c r="N38" s="94">
        <f t="shared" si="5"/>
        <v>1781541.6000001458</v>
      </c>
      <c r="O38" s="108">
        <f t="shared" si="6"/>
        <v>18726902.400000516</v>
      </c>
      <c r="P38" s="111">
        <f t="shared" si="7"/>
        <v>16740.000000000466</v>
      </c>
      <c r="Q38" s="219"/>
      <c r="R38" s="236"/>
      <c r="S38" s="197"/>
      <c r="T38" s="224"/>
      <c r="U38" s="221">
        <v>0</v>
      </c>
      <c r="V38" s="188">
        <f t="shared" si="8"/>
        <v>812.57</v>
      </c>
      <c r="W38" s="2">
        <v>115.7</v>
      </c>
      <c r="X38" s="2">
        <v>2079186.85</v>
      </c>
      <c r="Y38" s="242">
        <v>696.87</v>
      </c>
      <c r="Z38" s="31">
        <v>0</v>
      </c>
      <c r="AA38" s="31">
        <f t="shared" si="0"/>
        <v>2079186.85</v>
      </c>
      <c r="AB38" s="128">
        <f t="shared" si="1"/>
        <v>160.23215390768715</v>
      </c>
      <c r="AC38" s="134">
        <v>75.524999999999991</v>
      </c>
      <c r="AD38" s="2">
        <v>0</v>
      </c>
      <c r="AE38" s="2">
        <v>0</v>
      </c>
      <c r="AF38" s="2">
        <v>0</v>
      </c>
      <c r="AG38" s="2">
        <f t="shared" si="9"/>
        <v>75.524999999999991</v>
      </c>
      <c r="AH38" s="2">
        <v>694527.89999999991</v>
      </c>
      <c r="AI38" s="43">
        <f t="shared" si="2"/>
        <v>53.523665449299436</v>
      </c>
      <c r="AJ38" s="142">
        <v>356.15000000000146</v>
      </c>
      <c r="AK38" s="2">
        <v>3561500.0000000144</v>
      </c>
      <c r="AL38" s="39">
        <f t="shared" si="3"/>
        <v>274.46634540913436</v>
      </c>
      <c r="AM38" s="6"/>
    </row>
    <row r="39" spans="1:39" x14ac:dyDescent="0.25">
      <c r="A39" s="33"/>
      <c r="B39" s="58">
        <v>28</v>
      </c>
      <c r="C39" s="150">
        <v>1</v>
      </c>
      <c r="D39" s="152">
        <v>60</v>
      </c>
      <c r="E39" s="106">
        <v>12799.999999999272</v>
      </c>
      <c r="F39" s="2">
        <v>13257983.999999246</v>
      </c>
      <c r="G39" s="35">
        <v>2119.9999999998909</v>
      </c>
      <c r="H39" s="2">
        <v>3293780.3999998304</v>
      </c>
      <c r="I39" s="103">
        <f t="shared" si="4"/>
        <v>16551764.399999077</v>
      </c>
      <c r="J39" s="106">
        <v>1380.0000000001091</v>
      </c>
      <c r="K39" s="2">
        <v>1429376.4000001131</v>
      </c>
      <c r="L39" s="186">
        <v>299.99999999995453</v>
      </c>
      <c r="M39" s="187">
        <v>466100.99999992939</v>
      </c>
      <c r="N39" s="94">
        <f t="shared" si="5"/>
        <v>1895477.4000000425</v>
      </c>
      <c r="O39" s="108">
        <f t="shared" si="6"/>
        <v>18447241.799999118</v>
      </c>
      <c r="P39" s="111">
        <f t="shared" si="7"/>
        <v>16599.999999999229</v>
      </c>
      <c r="Q39" s="219"/>
      <c r="R39" s="237"/>
      <c r="S39" s="197"/>
      <c r="T39" s="224"/>
      <c r="U39" s="221">
        <v>0</v>
      </c>
      <c r="V39" s="188">
        <f t="shared" si="8"/>
        <v>738.7</v>
      </c>
      <c r="W39" s="2">
        <v>30.26</v>
      </c>
      <c r="X39" s="2">
        <v>543787.33000000007</v>
      </c>
      <c r="Y39" s="242">
        <v>708.44</v>
      </c>
      <c r="Z39" s="31">
        <v>0</v>
      </c>
      <c r="AA39" s="31">
        <f t="shared" si="0"/>
        <v>543787.33000000007</v>
      </c>
      <c r="AB39" s="128">
        <f t="shared" si="1"/>
        <v>41.906871022010485</v>
      </c>
      <c r="AC39" s="134">
        <v>73.712399999953107</v>
      </c>
      <c r="AD39" s="2">
        <v>0</v>
      </c>
      <c r="AE39" s="2">
        <v>0</v>
      </c>
      <c r="AF39" s="2">
        <v>0</v>
      </c>
      <c r="AG39" s="2">
        <f t="shared" si="9"/>
        <v>73.712399999953107</v>
      </c>
      <c r="AH39" s="2">
        <v>677859.2303995688</v>
      </c>
      <c r="AI39" s="43">
        <f t="shared" si="2"/>
        <v>52.239097478483025</v>
      </c>
      <c r="AJ39" s="142">
        <v>255.91999999999825</v>
      </c>
      <c r="AK39" s="2">
        <v>2559199.9999999823</v>
      </c>
      <c r="AL39" s="39">
        <f t="shared" si="3"/>
        <v>197.22427942469437</v>
      </c>
      <c r="AM39" s="6"/>
    </row>
    <row r="40" spans="1:39" x14ac:dyDescent="0.25">
      <c r="A40" s="33"/>
      <c r="B40" s="58">
        <v>29</v>
      </c>
      <c r="C40" s="150">
        <v>1</v>
      </c>
      <c r="D40" s="152">
        <v>35</v>
      </c>
      <c r="E40" s="106">
        <v>10400.000000001455</v>
      </c>
      <c r="F40" s="2">
        <v>10772112.000001507</v>
      </c>
      <c r="G40" s="35">
        <v>1800.0000000001819</v>
      </c>
      <c r="H40" s="2">
        <v>2796606.0000002827</v>
      </c>
      <c r="I40" s="103">
        <f t="shared" si="4"/>
        <v>13568718.00000179</v>
      </c>
      <c r="J40" s="106">
        <v>1359.9999999996726</v>
      </c>
      <c r="K40" s="2">
        <v>1408660.7999996608</v>
      </c>
      <c r="L40" s="186">
        <v>259.99999999999091</v>
      </c>
      <c r="M40" s="187">
        <v>403954.19999998587</v>
      </c>
      <c r="N40" s="94">
        <f t="shared" ref="N40:N42" si="10">K40+M40</f>
        <v>1812614.9999996466</v>
      </c>
      <c r="O40" s="108">
        <f t="shared" ref="O40:O42" si="11">N40+I40</f>
        <v>15381333.000001436</v>
      </c>
      <c r="P40" s="111">
        <f t="shared" ref="P40:P42" si="12">L40+J40+G40+E40</f>
        <v>13820.000000001301</v>
      </c>
      <c r="Q40" s="220"/>
      <c r="R40" s="238"/>
      <c r="S40" s="197"/>
      <c r="T40" s="224"/>
      <c r="U40" s="221">
        <v>0</v>
      </c>
      <c r="V40" s="188">
        <f t="shared" si="8"/>
        <v>539.34</v>
      </c>
      <c r="W40" s="2">
        <v>0</v>
      </c>
      <c r="X40" s="2">
        <v>0</v>
      </c>
      <c r="Y40" s="242">
        <v>539.34</v>
      </c>
      <c r="Z40" s="31">
        <v>0</v>
      </c>
      <c r="AA40" s="31">
        <f t="shared" ref="AA40:AA42" si="13">Z40+X40</f>
        <v>0</v>
      </c>
      <c r="AB40" s="128">
        <f t="shared" ref="AB40:AB42" si="14">AA40/$AL$48</f>
        <v>0</v>
      </c>
      <c r="AC40" s="134">
        <v>72.785960000028126</v>
      </c>
      <c r="AD40" s="2">
        <v>0</v>
      </c>
      <c r="AE40" s="2">
        <v>0</v>
      </c>
      <c r="AF40" s="2">
        <v>12</v>
      </c>
      <c r="AG40" s="2">
        <f t="shared" si="9"/>
        <v>84.785960000028126</v>
      </c>
      <c r="AH40" s="2">
        <v>808839.68816025869</v>
      </c>
      <c r="AI40" s="43">
        <f t="shared" ref="AI40:AI42" si="15">AH40/$AL$48</f>
        <v>62.333082474016337</v>
      </c>
      <c r="AJ40" s="142">
        <v>257.59000000000378</v>
      </c>
      <c r="AK40" s="2">
        <v>2575900.0000000377</v>
      </c>
      <c r="AL40" s="39">
        <f t="shared" si="3"/>
        <v>198.5112618670214</v>
      </c>
      <c r="AM40" s="6"/>
    </row>
    <row r="41" spans="1:39" x14ac:dyDescent="0.25">
      <c r="A41" s="33"/>
      <c r="B41" s="58">
        <v>30</v>
      </c>
      <c r="C41" s="150">
        <v>1</v>
      </c>
      <c r="D41" s="152">
        <v>28</v>
      </c>
      <c r="E41" s="106">
        <v>10000</v>
      </c>
      <c r="F41" s="2">
        <v>10357800</v>
      </c>
      <c r="G41" s="35">
        <v>1639.9999999998727</v>
      </c>
      <c r="H41" s="2">
        <v>2548018.7999998024</v>
      </c>
      <c r="I41" s="103">
        <f t="shared" si="4"/>
        <v>12905818.799999803</v>
      </c>
      <c r="J41" s="106">
        <v>1279.9999999997453</v>
      </c>
      <c r="K41" s="2">
        <v>1325798.3999997361</v>
      </c>
      <c r="L41" s="186">
        <v>300.0000000001819</v>
      </c>
      <c r="M41" s="187">
        <v>466101.00000028266</v>
      </c>
      <c r="N41" s="94">
        <f t="shared" si="10"/>
        <v>1791899.4000000188</v>
      </c>
      <c r="O41" s="108">
        <f t="shared" si="11"/>
        <v>14697718.199999822</v>
      </c>
      <c r="P41" s="111">
        <f t="shared" si="12"/>
        <v>13219.9999999998</v>
      </c>
      <c r="Q41" s="219"/>
      <c r="R41" s="239"/>
      <c r="S41" s="197"/>
      <c r="T41" s="224"/>
      <c r="U41" s="221">
        <v>0</v>
      </c>
      <c r="V41" s="188">
        <f t="shared" si="8"/>
        <v>516.20000000000005</v>
      </c>
      <c r="W41" s="2">
        <v>0</v>
      </c>
      <c r="X41" s="2">
        <v>0</v>
      </c>
      <c r="Y41" s="242">
        <v>516.20000000000005</v>
      </c>
      <c r="Z41" s="31">
        <v>0</v>
      </c>
      <c r="AA41" s="31">
        <f t="shared" si="13"/>
        <v>0</v>
      </c>
      <c r="AB41" s="128">
        <f t="shared" si="14"/>
        <v>0</v>
      </c>
      <c r="AC41" s="134">
        <v>77.941800000023434</v>
      </c>
      <c r="AD41" s="2">
        <v>0</v>
      </c>
      <c r="AE41" s="2">
        <v>50</v>
      </c>
      <c r="AF41" s="2">
        <v>0</v>
      </c>
      <c r="AG41" s="2">
        <f t="shared" si="9"/>
        <v>127.94180000002343</v>
      </c>
      <c r="AH41" s="2">
        <v>1241252.7928002155</v>
      </c>
      <c r="AI41" s="43">
        <f t="shared" si="15"/>
        <v>95.656919210657108</v>
      </c>
      <c r="AJ41" s="142">
        <v>199</v>
      </c>
      <c r="AK41" s="2">
        <v>1990000</v>
      </c>
      <c r="AL41" s="39">
        <f t="shared" si="3"/>
        <v>153.35898564205397</v>
      </c>
      <c r="AM41" s="6"/>
    </row>
    <row r="42" spans="1:39" x14ac:dyDescent="0.25">
      <c r="A42" s="33"/>
      <c r="B42" s="58">
        <v>31</v>
      </c>
      <c r="C42" s="176">
        <v>0</v>
      </c>
      <c r="D42" s="177">
        <v>32</v>
      </c>
      <c r="E42" s="106">
        <v>10399.999999999636</v>
      </c>
      <c r="F42" s="2">
        <v>10772111.999999624</v>
      </c>
      <c r="G42" s="35">
        <v>800.0000000001819</v>
      </c>
      <c r="H42" s="2">
        <v>1242936.0000002827</v>
      </c>
      <c r="I42" s="103">
        <f t="shared" si="4"/>
        <v>12015047.999999907</v>
      </c>
      <c r="J42" s="106">
        <v>1279.9999999997453</v>
      </c>
      <c r="K42" s="2">
        <v>1325798.3999997361</v>
      </c>
      <c r="L42" s="186">
        <v>240.00000000000909</v>
      </c>
      <c r="M42" s="187">
        <v>372880.80000001413</v>
      </c>
      <c r="N42" s="94">
        <f t="shared" si="10"/>
        <v>1698679.1999997501</v>
      </c>
      <c r="O42" s="108">
        <f t="shared" si="11"/>
        <v>13713727.199999657</v>
      </c>
      <c r="P42" s="111">
        <f t="shared" si="12"/>
        <v>12719.999999999573</v>
      </c>
      <c r="Q42" s="219"/>
      <c r="R42" s="239"/>
      <c r="S42" s="197"/>
      <c r="T42" s="224"/>
      <c r="U42" s="221">
        <v>0</v>
      </c>
      <c r="V42" s="188">
        <f t="shared" si="8"/>
        <v>553.58000000000004</v>
      </c>
      <c r="W42" s="2">
        <v>0</v>
      </c>
      <c r="X42" s="2">
        <v>0</v>
      </c>
      <c r="Y42" s="242">
        <v>553.58000000000004</v>
      </c>
      <c r="Z42" s="31">
        <v>0</v>
      </c>
      <c r="AA42" s="31">
        <f t="shared" si="13"/>
        <v>0</v>
      </c>
      <c r="AB42" s="128">
        <f t="shared" si="14"/>
        <v>0</v>
      </c>
      <c r="AC42" s="134">
        <v>79.351599999988267</v>
      </c>
      <c r="AD42" s="2">
        <v>0</v>
      </c>
      <c r="AE42" s="2">
        <v>100</v>
      </c>
      <c r="AF42" s="2">
        <v>0</v>
      </c>
      <c r="AG42" s="2">
        <f t="shared" si="9"/>
        <v>179.35159999998825</v>
      </c>
      <c r="AH42" s="2">
        <v>1778717.313599892</v>
      </c>
      <c r="AI42" s="43">
        <f t="shared" si="15"/>
        <v>137.07652409931589</v>
      </c>
      <c r="AJ42" s="142">
        <v>196.19999999999709</v>
      </c>
      <c r="AK42" s="2">
        <v>1961999.9999999709</v>
      </c>
      <c r="AL42" s="39">
        <f t="shared" si="3"/>
        <v>151.20117076869619</v>
      </c>
      <c r="AM42" s="6"/>
    </row>
    <row r="43" spans="1:39" ht="16.5" thickBot="1" x14ac:dyDescent="0.3">
      <c r="A43" s="33"/>
      <c r="B43" s="122"/>
      <c r="C43" s="151"/>
      <c r="D43" s="153"/>
      <c r="E43" s="104"/>
      <c r="F43" s="104"/>
      <c r="G43" s="95"/>
      <c r="H43" s="96"/>
      <c r="I43" s="105"/>
      <c r="J43" s="107"/>
      <c r="K43" s="95"/>
      <c r="L43" s="96"/>
      <c r="M43" s="97"/>
      <c r="N43" s="98"/>
      <c r="O43" s="109"/>
      <c r="P43" s="112"/>
      <c r="Q43" s="231"/>
      <c r="R43" s="240"/>
      <c r="S43" s="198"/>
      <c r="T43" s="225"/>
      <c r="U43" s="222"/>
      <c r="V43" s="188"/>
      <c r="W43" s="2"/>
      <c r="X43" s="2"/>
      <c r="Y43" s="31"/>
      <c r="Z43" s="31"/>
      <c r="AA43" s="16"/>
      <c r="AB43" s="129"/>
      <c r="AC43" s="127"/>
      <c r="AD43" s="2"/>
      <c r="AE43" s="1"/>
      <c r="AF43" s="1"/>
      <c r="AG43" s="1"/>
      <c r="AH43" s="2"/>
      <c r="AI43" s="43"/>
      <c r="AJ43" s="142"/>
      <c r="AK43" s="2"/>
      <c r="AL43" s="39"/>
      <c r="AM43" s="6"/>
    </row>
    <row r="44" spans="1:39" s="7" customFormat="1" ht="4.5" customHeight="1" x14ac:dyDescent="0.25">
      <c r="B44" s="117"/>
      <c r="C44" s="118"/>
      <c r="D44" s="118"/>
      <c r="E44" s="116"/>
      <c r="F44" s="6"/>
      <c r="H44" s="6"/>
      <c r="L44" s="6"/>
      <c r="M44" s="62"/>
      <c r="N44" s="66"/>
      <c r="P44" s="66"/>
      <c r="R44" s="86"/>
      <c r="S44" s="6"/>
      <c r="U44" s="32"/>
      <c r="V44" s="130"/>
      <c r="AB44" s="32"/>
      <c r="AD44" s="6"/>
      <c r="AJ44" s="86"/>
      <c r="AL44" s="32"/>
    </row>
    <row r="45" spans="1:39" s="7" customFormat="1" ht="6" customHeight="1" x14ac:dyDescent="0.25">
      <c r="B45" s="117"/>
      <c r="C45" s="118"/>
      <c r="D45" s="118"/>
      <c r="E45" s="116"/>
      <c r="F45" s="6"/>
      <c r="H45" s="6"/>
      <c r="L45" s="6"/>
      <c r="M45" s="62"/>
      <c r="N45" s="66"/>
      <c r="P45" s="66"/>
      <c r="R45" s="86"/>
      <c r="S45" s="14"/>
      <c r="T45" s="14"/>
      <c r="U45" s="32"/>
      <c r="V45" s="130"/>
      <c r="AB45" s="131"/>
      <c r="AD45" s="6"/>
      <c r="AH45" s="6"/>
      <c r="AJ45" s="88"/>
      <c r="AK45" s="4"/>
      <c r="AL45" s="40"/>
    </row>
    <row r="46" spans="1:39" s="7" customFormat="1" ht="16.5" thickBot="1" x14ac:dyDescent="0.3">
      <c r="B46" s="119"/>
      <c r="C46" s="120"/>
      <c r="D46" s="120"/>
      <c r="E46" s="121"/>
      <c r="F46" s="72"/>
      <c r="G46" s="71"/>
      <c r="H46" s="72"/>
      <c r="I46" s="71"/>
      <c r="J46" s="71"/>
      <c r="K46" s="71"/>
      <c r="L46" s="72"/>
      <c r="M46" s="73"/>
      <c r="N46" s="74"/>
      <c r="O46" s="71"/>
      <c r="P46" s="74"/>
      <c r="Q46" s="71"/>
      <c r="R46" s="87"/>
      <c r="S46" s="75"/>
      <c r="T46" s="71"/>
      <c r="U46" s="189"/>
      <c r="V46" s="132"/>
      <c r="W46" s="77"/>
      <c r="X46" s="71"/>
      <c r="Y46" s="71"/>
      <c r="Z46" s="71"/>
      <c r="AA46" s="71"/>
      <c r="AB46" s="76"/>
      <c r="AC46" s="78"/>
      <c r="AD46" s="72"/>
      <c r="AE46" s="78"/>
      <c r="AF46" s="78"/>
      <c r="AG46" s="78"/>
      <c r="AH46" s="72"/>
      <c r="AI46" s="71"/>
      <c r="AJ46" s="143"/>
      <c r="AK46" s="79"/>
      <c r="AL46" s="80"/>
    </row>
    <row r="47" spans="1:39" ht="17.25" thickTop="1" thickBot="1" x14ac:dyDescent="0.3">
      <c r="A47" s="25"/>
      <c r="B47" s="69"/>
      <c r="C47" s="70">
        <f>SUM(C12:C43)</f>
        <v>338</v>
      </c>
      <c r="D47" s="70">
        <f>SUM(D12:D43)</f>
        <v>3380</v>
      </c>
      <c r="E47" s="70">
        <f>SUM(E12:E43)</f>
        <v>382440.00000000425</v>
      </c>
      <c r="F47" s="70">
        <f>SUM(F12:F43)</f>
        <v>396123703.2000044</v>
      </c>
      <c r="G47" s="70">
        <f>SUM(G12:G43)</f>
        <v>71800.000000000175</v>
      </c>
      <c r="H47" s="70">
        <f t="shared" ref="H47:O47" si="16">SUM(H12:H43)</f>
        <v>111553506.00000027</v>
      </c>
      <c r="I47" s="70">
        <f t="shared" si="16"/>
        <v>507677209.20000458</v>
      </c>
      <c r="J47" s="70">
        <f t="shared" si="16"/>
        <v>41639.99999999578</v>
      </c>
      <c r="K47" s="70">
        <f t="shared" si="16"/>
        <v>43129879.199995637</v>
      </c>
      <c r="L47" s="70">
        <f t="shared" si="16"/>
        <v>9400.0000000000909</v>
      </c>
      <c r="M47" s="70">
        <f t="shared" si="16"/>
        <v>14604498.000000142</v>
      </c>
      <c r="N47" s="70">
        <f t="shared" si="16"/>
        <v>57734377.199995771</v>
      </c>
      <c r="O47" s="70">
        <f t="shared" si="16"/>
        <v>565411586.40000045</v>
      </c>
      <c r="P47" s="82">
        <f>SUM(P12:P43)</f>
        <v>505280.00000000017</v>
      </c>
      <c r="Q47" s="190" t="e">
        <f>#REF!</f>
        <v>#REF!</v>
      </c>
      <c r="R47" s="123" t="e">
        <f>#REF!</f>
        <v>#REF!</v>
      </c>
      <c r="S47" s="115" t="e">
        <f>Q47+P47</f>
        <v>#REF!</v>
      </c>
      <c r="T47" s="115" t="e">
        <f>R47+O47</f>
        <v>#REF!</v>
      </c>
      <c r="U47" s="136" t="e">
        <f>T47/AL48</f>
        <v>#REF!</v>
      </c>
      <c r="V47" s="178">
        <f>SUM(V12:V42)</f>
        <v>21468.58</v>
      </c>
      <c r="W47" s="52">
        <f>SUM(W12:W42)</f>
        <v>1277.1500000000001</v>
      </c>
      <c r="X47" s="52">
        <f t="shared" ref="X47:Z47" si="17">SUM(X12:X42)</f>
        <v>22951024.075000003</v>
      </c>
      <c r="Y47" s="52">
        <f t="shared" si="17"/>
        <v>20191.43</v>
      </c>
      <c r="Z47" s="52">
        <f t="shared" si="17"/>
        <v>1768202.3735999998</v>
      </c>
      <c r="AA47" s="135">
        <f>SUM(AA12:AA42)</f>
        <v>24719226.448600002</v>
      </c>
      <c r="AB47" s="124">
        <f>AA47/$AL$48</f>
        <v>1904.9826603083056</v>
      </c>
      <c r="AC47" s="44">
        <f>SUM(AC12:AC41)</f>
        <v>2479.3951200000329</v>
      </c>
      <c r="AD47" s="137">
        <f>SUM(AD12:AD41)</f>
        <v>0</v>
      </c>
      <c r="AE47" s="44">
        <f>SUM(AE12:AE42)</f>
        <v>1250</v>
      </c>
      <c r="AF47" s="44">
        <f>SUM(AF12:AF42)</f>
        <v>168</v>
      </c>
      <c r="AG47" s="44">
        <f>SUM(AG12:AG42)</f>
        <v>3976.7467200000201</v>
      </c>
      <c r="AH47" s="147">
        <f>SUM(AH12:AH43)</f>
        <v>38595734.83712019</v>
      </c>
      <c r="AI47" s="148">
        <f>AH47/$AL$48</f>
        <v>2974.3732385580088</v>
      </c>
      <c r="AJ47" s="144">
        <f>SUM(AJ12:AJ43)</f>
        <v>9037.770000000015</v>
      </c>
      <c r="AK47" s="145">
        <f>SUM(AK12:AK43)</f>
        <v>90377700.000000134</v>
      </c>
      <c r="AL47" s="146">
        <f>AK47/AL48</f>
        <v>6964.9409028451664</v>
      </c>
      <c r="AM47" s="25"/>
    </row>
    <row r="48" spans="1:39" x14ac:dyDescent="0.25">
      <c r="A48" s="25"/>
      <c r="B48" s="25"/>
      <c r="C48" s="4"/>
      <c r="D48" s="10"/>
      <c r="E48" s="4"/>
      <c r="F48" s="4"/>
      <c r="G48" s="10"/>
      <c r="H48" s="4"/>
      <c r="I48" s="8"/>
      <c r="J48" s="8"/>
      <c r="K48" s="8"/>
      <c r="L48" s="15"/>
      <c r="M48" s="63"/>
      <c r="N48" s="67"/>
      <c r="O48" s="9"/>
      <c r="P48" s="67"/>
      <c r="Q48" s="9"/>
      <c r="R48" s="114"/>
      <c r="S48" s="13"/>
      <c r="T48" s="81" t="s">
        <v>53</v>
      </c>
      <c r="U48" s="154" t="e">
        <f>U47/S47</f>
        <v>#REF!</v>
      </c>
      <c r="V48" s="10"/>
      <c r="W48" s="10"/>
      <c r="X48" s="10"/>
      <c r="Y48" s="138"/>
      <c r="Z48" s="10"/>
      <c r="AA48" s="10"/>
      <c r="AB48" s="10"/>
      <c r="AC48" s="14"/>
      <c r="AD48" s="6"/>
      <c r="AE48" s="14"/>
      <c r="AF48" s="14"/>
      <c r="AG48" s="6"/>
      <c r="AH48" s="4"/>
      <c r="AI48" s="10"/>
      <c r="AJ48" s="88"/>
      <c r="AK48" s="10"/>
      <c r="AL48" s="149">
        <v>12976.09</v>
      </c>
      <c r="AM48" s="25"/>
    </row>
    <row r="49" spans="1:39" s="196" customFormat="1" x14ac:dyDescent="0.25">
      <c r="A49" s="191"/>
      <c r="B49" s="191"/>
      <c r="C49" s="15"/>
      <c r="D49" s="192"/>
      <c r="E49" s="15"/>
      <c r="F49" s="15"/>
      <c r="G49" s="192"/>
      <c r="H49" s="15"/>
      <c r="I49" s="8"/>
      <c r="J49" s="8"/>
      <c r="K49" s="8"/>
      <c r="L49" s="15"/>
      <c r="M49" s="67"/>
      <c r="N49" s="67"/>
      <c r="O49" s="9"/>
      <c r="P49" s="67"/>
      <c r="Q49" s="9"/>
      <c r="R49" s="114"/>
      <c r="S49" s="13"/>
      <c r="T49" s="15"/>
      <c r="U49" s="193"/>
      <c r="V49" s="192"/>
      <c r="W49" s="192"/>
      <c r="X49" s="192"/>
      <c r="Y49" s="194"/>
      <c r="Z49" s="15"/>
      <c r="AA49" s="192">
        <f>AA47/V47</f>
        <v>1151.4141339855732</v>
      </c>
      <c r="AB49" s="192"/>
      <c r="AC49" s="192"/>
      <c r="AD49" s="15"/>
      <c r="AE49" s="192"/>
      <c r="AF49" s="192"/>
      <c r="AG49" s="15"/>
      <c r="AH49" s="15"/>
      <c r="AI49" s="192"/>
      <c r="AJ49" s="114"/>
      <c r="AK49" s="192"/>
      <c r="AL49" s="195"/>
      <c r="AM49" s="191"/>
    </row>
    <row r="50" spans="1:39" s="200" customFormat="1" x14ac:dyDescent="0.25">
      <c r="A50" s="199"/>
      <c r="B50" s="199"/>
      <c r="E50" s="201"/>
      <c r="F50" s="202"/>
      <c r="G50" s="201"/>
      <c r="I50" s="201"/>
      <c r="J50" s="201"/>
      <c r="K50" s="201"/>
      <c r="L50" s="201"/>
      <c r="M50" s="201"/>
      <c r="N50" s="203"/>
      <c r="O50" s="204"/>
      <c r="P50" s="205"/>
      <c r="R50" s="206"/>
      <c r="S50" s="207"/>
      <c r="Y50" s="208"/>
      <c r="Z50" s="209"/>
      <c r="AB50" s="210"/>
      <c r="AJ50" s="206"/>
      <c r="AL50" s="211"/>
      <c r="AM50" s="199"/>
    </row>
    <row r="51" spans="1:39" s="214" customFormat="1" x14ac:dyDescent="0.25">
      <c r="A51" s="212"/>
      <c r="B51" s="212"/>
      <c r="C51" s="213"/>
      <c r="E51" s="213"/>
      <c r="F51" s="213"/>
      <c r="H51" s="213"/>
      <c r="L51" s="213"/>
      <c r="M51" s="215"/>
      <c r="N51" s="216"/>
      <c r="P51" s="216"/>
      <c r="R51" s="217"/>
      <c r="W51" s="229"/>
      <c r="Z51" s="227"/>
      <c r="AD51" s="213"/>
      <c r="AH51" s="213"/>
      <c r="AJ51" s="217"/>
      <c r="AK51" s="227"/>
      <c r="AL51" s="218"/>
      <c r="AM51" s="212"/>
    </row>
    <row r="52" spans="1:39" s="214" customFormat="1" x14ac:dyDescent="0.25">
      <c r="A52" s="212"/>
      <c r="B52" s="212"/>
      <c r="C52" s="213"/>
      <c r="E52" s="213"/>
      <c r="F52" s="213"/>
      <c r="H52" s="213"/>
      <c r="L52" s="213"/>
      <c r="M52" s="215"/>
      <c r="N52" s="216"/>
      <c r="P52" s="216"/>
      <c r="R52" s="217"/>
      <c r="V52" s="228"/>
      <c r="W52" s="228"/>
      <c r="AD52" s="213"/>
      <c r="AH52" s="213"/>
      <c r="AJ52" s="217"/>
      <c r="AL52" s="218"/>
      <c r="AM52" s="212"/>
    </row>
    <row r="53" spans="1:39" s="214" customFormat="1" x14ac:dyDescent="0.25">
      <c r="A53" s="212"/>
      <c r="B53" s="212"/>
      <c r="C53" s="213"/>
      <c r="E53" s="213"/>
      <c r="F53" s="213"/>
      <c r="H53" s="213"/>
      <c r="L53" s="213"/>
      <c r="M53" s="215"/>
      <c r="N53" s="216"/>
      <c r="P53" s="216"/>
      <c r="R53" s="217"/>
      <c r="AD53" s="213"/>
      <c r="AH53" s="213"/>
      <c r="AJ53" s="217"/>
      <c r="AL53" s="218"/>
      <c r="AM53" s="212"/>
    </row>
    <row r="54" spans="1:39" s="214" customFormat="1" x14ac:dyDescent="0.25">
      <c r="A54" s="212"/>
      <c r="B54" s="212"/>
      <c r="C54" s="213"/>
      <c r="E54" s="213"/>
      <c r="F54" s="213"/>
      <c r="H54" s="213"/>
      <c r="L54" s="213"/>
      <c r="M54" s="215"/>
      <c r="N54" s="216"/>
      <c r="P54" s="216"/>
      <c r="R54" s="217"/>
      <c r="AD54" s="213"/>
      <c r="AH54" s="213"/>
      <c r="AJ54" s="217"/>
      <c r="AL54" s="218"/>
      <c r="AM54" s="212"/>
    </row>
    <row r="55" spans="1:39" s="214" customFormat="1" x14ac:dyDescent="0.25">
      <c r="A55" s="212"/>
      <c r="B55" s="212"/>
      <c r="C55" s="213"/>
      <c r="E55" s="213"/>
      <c r="F55" s="213"/>
      <c r="H55" s="213"/>
      <c r="L55" s="213"/>
      <c r="M55" s="215"/>
      <c r="N55" s="216"/>
      <c r="P55" s="216"/>
      <c r="R55" s="217"/>
      <c r="AD55" s="213"/>
      <c r="AH55" s="213"/>
      <c r="AJ55" s="217"/>
      <c r="AL55" s="218"/>
      <c r="AM55" s="212"/>
    </row>
    <row r="56" spans="1:39" s="214" customFormat="1" x14ac:dyDescent="0.25">
      <c r="A56" s="212"/>
      <c r="B56" s="212"/>
      <c r="C56" s="213"/>
      <c r="E56" s="213"/>
      <c r="F56" s="213"/>
      <c r="H56" s="213"/>
      <c r="L56" s="213"/>
      <c r="M56" s="215"/>
      <c r="N56" s="216"/>
      <c r="P56" s="216"/>
      <c r="R56" s="217"/>
      <c r="AD56" s="213"/>
      <c r="AH56" s="213"/>
      <c r="AJ56" s="217"/>
      <c r="AL56" s="218"/>
      <c r="AM56" s="212"/>
    </row>
    <row r="57" spans="1:39" s="214" customFormat="1" x14ac:dyDescent="0.25">
      <c r="A57" s="212"/>
      <c r="B57" s="212"/>
      <c r="C57" s="213"/>
      <c r="E57" s="213"/>
      <c r="F57" s="213"/>
      <c r="H57" s="213"/>
      <c r="L57" s="213"/>
      <c r="M57" s="215"/>
      <c r="N57" s="216"/>
      <c r="P57" s="216"/>
      <c r="R57" s="217"/>
      <c r="AD57" s="213"/>
      <c r="AH57" s="213"/>
      <c r="AJ57" s="217"/>
      <c r="AL57" s="218"/>
      <c r="AM57" s="212"/>
    </row>
    <row r="58" spans="1:39" s="214" customFormat="1" x14ac:dyDescent="0.25">
      <c r="A58" s="212"/>
      <c r="B58" s="212"/>
      <c r="C58" s="213"/>
      <c r="E58" s="213"/>
      <c r="F58" s="213"/>
      <c r="H58" s="213"/>
      <c r="L58" s="213"/>
      <c r="M58" s="215"/>
      <c r="N58" s="216"/>
      <c r="P58" s="216"/>
      <c r="R58" s="217"/>
      <c r="AD58" s="213"/>
      <c r="AH58" s="213"/>
      <c r="AJ58" s="217"/>
      <c r="AL58" s="218"/>
      <c r="AM58" s="212"/>
    </row>
    <row r="59" spans="1:39" s="214" customFormat="1" x14ac:dyDescent="0.25">
      <c r="A59" s="212"/>
      <c r="B59" s="212"/>
      <c r="C59" s="213"/>
      <c r="E59" s="213"/>
      <c r="F59" s="213"/>
      <c r="H59" s="213"/>
      <c r="L59" s="213"/>
      <c r="M59" s="215"/>
      <c r="N59" s="216"/>
      <c r="P59" s="216"/>
      <c r="R59" s="217"/>
      <c r="AD59" s="213"/>
      <c r="AH59" s="213"/>
      <c r="AJ59" s="217"/>
      <c r="AL59" s="218"/>
      <c r="AM59" s="212"/>
    </row>
    <row r="60" spans="1:39" s="214" customFormat="1" x14ac:dyDescent="0.25">
      <c r="A60" s="212"/>
      <c r="B60" s="212"/>
      <c r="C60" s="213"/>
      <c r="E60" s="213"/>
      <c r="F60" s="213"/>
      <c r="H60" s="213"/>
      <c r="L60" s="213"/>
      <c r="M60" s="215"/>
      <c r="N60" s="216"/>
      <c r="P60" s="216"/>
      <c r="R60" s="217"/>
      <c r="AD60" s="213"/>
      <c r="AH60" s="213"/>
      <c r="AJ60" s="217"/>
      <c r="AL60" s="218"/>
      <c r="AM60" s="212"/>
    </row>
    <row r="61" spans="1:39" s="214" customFormat="1" x14ac:dyDescent="0.25">
      <c r="A61" s="212"/>
      <c r="B61" s="212"/>
      <c r="C61" s="213"/>
      <c r="E61" s="213"/>
      <c r="F61" s="213"/>
      <c r="H61" s="213"/>
      <c r="L61" s="213"/>
      <c r="M61" s="215"/>
      <c r="N61" s="216"/>
      <c r="P61" s="216"/>
      <c r="R61" s="217"/>
      <c r="AD61" s="213"/>
      <c r="AH61" s="213"/>
      <c r="AJ61" s="217"/>
      <c r="AL61" s="218"/>
      <c r="AM61" s="212"/>
    </row>
    <row r="62" spans="1:39" s="214" customFormat="1" x14ac:dyDescent="0.25">
      <c r="A62" s="212"/>
      <c r="B62" s="212"/>
      <c r="C62" s="213"/>
      <c r="E62" s="213"/>
      <c r="F62" s="213"/>
      <c r="H62" s="213"/>
      <c r="L62" s="213"/>
      <c r="M62" s="215"/>
      <c r="N62" s="216"/>
      <c r="P62" s="216"/>
      <c r="R62" s="217"/>
      <c r="AD62" s="213"/>
      <c r="AH62" s="213"/>
      <c r="AJ62" s="217"/>
      <c r="AL62" s="218"/>
      <c r="AM62" s="212"/>
    </row>
    <row r="63" spans="1:39" s="214" customFormat="1" x14ac:dyDescent="0.25">
      <c r="A63" s="212"/>
      <c r="B63" s="212"/>
      <c r="C63" s="213"/>
      <c r="E63" s="213"/>
      <c r="F63" s="213"/>
      <c r="H63" s="213"/>
      <c r="L63" s="213"/>
      <c r="M63" s="215"/>
      <c r="N63" s="216"/>
      <c r="P63" s="216"/>
      <c r="R63" s="217"/>
      <c r="AD63" s="213"/>
      <c r="AH63" s="213"/>
      <c r="AJ63" s="217"/>
      <c r="AL63" s="218"/>
      <c r="AM63" s="212"/>
    </row>
    <row r="64" spans="1:39" s="214" customFormat="1" x14ac:dyDescent="0.25">
      <c r="A64" s="212"/>
      <c r="B64" s="212"/>
      <c r="C64" s="213"/>
      <c r="E64" s="213"/>
      <c r="F64" s="213"/>
      <c r="H64" s="213"/>
      <c r="L64" s="213"/>
      <c r="M64" s="215"/>
      <c r="N64" s="216"/>
      <c r="P64" s="216"/>
      <c r="R64" s="217"/>
      <c r="AD64" s="213"/>
      <c r="AH64" s="213"/>
      <c r="AJ64" s="217"/>
      <c r="AL64" s="218"/>
      <c r="AM64" s="212"/>
    </row>
    <row r="65" spans="1:39" s="214" customFormat="1" x14ac:dyDescent="0.25">
      <c r="A65" s="212"/>
      <c r="B65" s="212"/>
      <c r="C65" s="213"/>
      <c r="E65" s="213"/>
      <c r="F65" s="213"/>
      <c r="H65" s="213"/>
      <c r="L65" s="213"/>
      <c r="M65" s="215"/>
      <c r="N65" s="216"/>
      <c r="P65" s="216"/>
      <c r="R65" s="217"/>
      <c r="AD65" s="213"/>
      <c r="AH65" s="213"/>
      <c r="AJ65" s="217"/>
      <c r="AL65" s="218"/>
      <c r="AM65" s="212"/>
    </row>
    <row r="66" spans="1:39" s="214" customFormat="1" x14ac:dyDescent="0.25">
      <c r="A66" s="212"/>
      <c r="B66" s="212"/>
      <c r="C66" s="213"/>
      <c r="E66" s="213"/>
      <c r="F66" s="213"/>
      <c r="H66" s="213"/>
      <c r="L66" s="213"/>
      <c r="M66" s="215"/>
      <c r="N66" s="216"/>
      <c r="P66" s="216"/>
      <c r="R66" s="217"/>
      <c r="AD66" s="213"/>
      <c r="AH66" s="213"/>
      <c r="AJ66" s="217"/>
      <c r="AL66" s="218"/>
      <c r="AM66" s="212"/>
    </row>
    <row r="67" spans="1:39" s="214" customFormat="1" x14ac:dyDescent="0.25">
      <c r="A67" s="212"/>
      <c r="B67" s="212"/>
      <c r="C67" s="213"/>
      <c r="E67" s="213"/>
      <c r="F67" s="213"/>
      <c r="H67" s="213"/>
      <c r="L67" s="213"/>
      <c r="M67" s="215"/>
      <c r="N67" s="216"/>
      <c r="P67" s="216"/>
      <c r="R67" s="217"/>
      <c r="AD67" s="213"/>
      <c r="AH67" s="213"/>
      <c r="AJ67" s="217"/>
      <c r="AL67" s="218"/>
      <c r="AM67" s="212"/>
    </row>
    <row r="68" spans="1:39" s="214" customFormat="1" x14ac:dyDescent="0.25">
      <c r="A68" s="212"/>
      <c r="B68" s="212"/>
      <c r="C68" s="213"/>
      <c r="E68" s="213"/>
      <c r="F68" s="213"/>
      <c r="H68" s="213"/>
      <c r="L68" s="213"/>
      <c r="M68" s="215"/>
      <c r="N68" s="216"/>
      <c r="P68" s="216"/>
      <c r="R68" s="217"/>
      <c r="AD68" s="213"/>
      <c r="AH68" s="213"/>
      <c r="AJ68" s="217"/>
      <c r="AL68" s="218"/>
      <c r="AM68" s="212"/>
    </row>
    <row r="69" spans="1:39" s="214" customFormat="1" x14ac:dyDescent="0.25">
      <c r="A69" s="212"/>
      <c r="B69" s="212"/>
      <c r="C69" s="213"/>
      <c r="E69" s="213"/>
      <c r="F69" s="213"/>
      <c r="H69" s="213"/>
      <c r="L69" s="213"/>
      <c r="M69" s="215"/>
      <c r="N69" s="216"/>
      <c r="P69" s="216"/>
      <c r="R69" s="217"/>
      <c r="AD69" s="213"/>
      <c r="AH69" s="213"/>
      <c r="AJ69" s="217"/>
      <c r="AL69" s="218"/>
      <c r="AM69" s="212"/>
    </row>
    <row r="70" spans="1:39" s="214" customFormat="1" x14ac:dyDescent="0.25">
      <c r="A70" s="212"/>
      <c r="B70" s="212"/>
      <c r="C70" s="213"/>
      <c r="E70" s="213"/>
      <c r="F70" s="213"/>
      <c r="H70" s="213"/>
      <c r="L70" s="213"/>
      <c r="M70" s="215"/>
      <c r="N70" s="216"/>
      <c r="P70" s="216"/>
      <c r="R70" s="217"/>
      <c r="AD70" s="213"/>
      <c r="AH70" s="213"/>
      <c r="AJ70" s="217"/>
      <c r="AL70" s="218"/>
      <c r="AM70" s="212"/>
    </row>
    <row r="71" spans="1:39" s="214" customFormat="1" x14ac:dyDescent="0.25">
      <c r="A71" s="212"/>
      <c r="B71" s="212"/>
      <c r="C71" s="213"/>
      <c r="E71" s="213"/>
      <c r="F71" s="213"/>
      <c r="H71" s="213"/>
      <c r="L71" s="213"/>
      <c r="M71" s="215"/>
      <c r="N71" s="216"/>
      <c r="P71" s="216"/>
      <c r="R71" s="217"/>
      <c r="AD71" s="213"/>
      <c r="AH71" s="213"/>
      <c r="AJ71" s="217"/>
      <c r="AL71" s="218"/>
      <c r="AM71" s="212"/>
    </row>
    <row r="72" spans="1:39" s="214" customFormat="1" x14ac:dyDescent="0.25">
      <c r="A72" s="212"/>
      <c r="B72" s="212"/>
      <c r="C72" s="213"/>
      <c r="E72" s="213"/>
      <c r="F72" s="213"/>
      <c r="H72" s="213"/>
      <c r="L72" s="213"/>
      <c r="M72" s="215"/>
      <c r="N72" s="216"/>
      <c r="P72" s="216"/>
      <c r="R72" s="217"/>
      <c r="AD72" s="213"/>
      <c r="AH72" s="213"/>
      <c r="AJ72" s="217"/>
      <c r="AL72" s="218"/>
      <c r="AM72" s="212"/>
    </row>
    <row r="73" spans="1:39" s="214" customFormat="1" x14ac:dyDescent="0.25">
      <c r="A73" s="212"/>
      <c r="B73" s="212"/>
      <c r="C73" s="213"/>
      <c r="E73" s="213"/>
      <c r="F73" s="213"/>
      <c r="H73" s="213"/>
      <c r="L73" s="213"/>
      <c r="M73" s="215"/>
      <c r="N73" s="216"/>
      <c r="P73" s="216"/>
      <c r="R73" s="217"/>
      <c r="AD73" s="213"/>
      <c r="AH73" s="213"/>
      <c r="AJ73" s="217"/>
      <c r="AL73" s="218"/>
      <c r="AM73" s="212"/>
    </row>
    <row r="74" spans="1:39" s="214" customFormat="1" x14ac:dyDescent="0.25">
      <c r="A74" s="212"/>
      <c r="B74" s="212"/>
      <c r="C74" s="213"/>
      <c r="E74" s="213"/>
      <c r="F74" s="213"/>
      <c r="H74" s="213"/>
      <c r="L74" s="213"/>
      <c r="M74" s="215"/>
      <c r="N74" s="216"/>
      <c r="P74" s="216"/>
      <c r="R74" s="217"/>
      <c r="AD74" s="213"/>
      <c r="AH74" s="213"/>
      <c r="AJ74" s="217"/>
      <c r="AL74" s="218"/>
      <c r="AM74" s="212"/>
    </row>
    <row r="75" spans="1:39" s="214" customFormat="1" x14ac:dyDescent="0.25">
      <c r="A75" s="212"/>
      <c r="B75" s="212"/>
      <c r="C75" s="213"/>
      <c r="E75" s="213"/>
      <c r="F75" s="213"/>
      <c r="H75" s="213"/>
      <c r="L75" s="213"/>
      <c r="M75" s="215"/>
      <c r="N75" s="216"/>
      <c r="P75" s="216"/>
      <c r="R75" s="217"/>
      <c r="AD75" s="213"/>
      <c r="AH75" s="213"/>
      <c r="AJ75" s="217"/>
      <c r="AL75" s="218"/>
      <c r="AM75" s="212"/>
    </row>
    <row r="76" spans="1:39" s="214" customFormat="1" x14ac:dyDescent="0.25">
      <c r="A76" s="212"/>
      <c r="B76" s="212"/>
      <c r="C76" s="213"/>
      <c r="E76" s="213"/>
      <c r="F76" s="213"/>
      <c r="H76" s="213"/>
      <c r="L76" s="213"/>
      <c r="M76" s="215"/>
      <c r="N76" s="216"/>
      <c r="P76" s="216"/>
      <c r="R76" s="217"/>
      <c r="AD76" s="213"/>
      <c r="AH76" s="213"/>
      <c r="AJ76" s="217"/>
      <c r="AL76" s="218"/>
      <c r="AM76" s="212"/>
    </row>
    <row r="77" spans="1:39" s="214" customFormat="1" x14ac:dyDescent="0.25">
      <c r="A77" s="212"/>
      <c r="B77" s="212"/>
      <c r="C77" s="213"/>
      <c r="E77" s="213"/>
      <c r="F77" s="213"/>
      <c r="H77" s="213"/>
      <c r="L77" s="213"/>
      <c r="M77" s="215"/>
      <c r="N77" s="216"/>
      <c r="P77" s="216"/>
      <c r="R77" s="217"/>
      <c r="AD77" s="213"/>
      <c r="AH77" s="213"/>
      <c r="AJ77" s="217"/>
      <c r="AL77" s="218"/>
      <c r="AM77" s="212"/>
    </row>
    <row r="78" spans="1:39" s="214" customFormat="1" x14ac:dyDescent="0.25">
      <c r="A78" s="212"/>
      <c r="B78" s="212"/>
      <c r="C78" s="213"/>
      <c r="E78" s="213"/>
      <c r="F78" s="213"/>
      <c r="H78" s="213"/>
      <c r="L78" s="213"/>
      <c r="M78" s="215"/>
      <c r="N78" s="216"/>
      <c r="P78" s="216"/>
      <c r="R78" s="217"/>
      <c r="AD78" s="213"/>
      <c r="AH78" s="213"/>
      <c r="AJ78" s="217"/>
      <c r="AL78" s="218"/>
      <c r="AM78" s="212"/>
    </row>
    <row r="79" spans="1:39" s="214" customFormat="1" x14ac:dyDescent="0.25">
      <c r="A79" s="212"/>
      <c r="B79" s="212"/>
      <c r="C79" s="213"/>
      <c r="E79" s="213"/>
      <c r="F79" s="213"/>
      <c r="H79" s="213"/>
      <c r="L79" s="213"/>
      <c r="M79" s="215"/>
      <c r="N79" s="216"/>
      <c r="P79" s="216"/>
      <c r="R79" s="217"/>
      <c r="AD79" s="213"/>
      <c r="AH79" s="213"/>
      <c r="AJ79" s="217"/>
      <c r="AL79" s="218"/>
      <c r="AM79" s="212"/>
    </row>
    <row r="80" spans="1:39" s="214" customFormat="1" x14ac:dyDescent="0.25">
      <c r="A80" s="212"/>
      <c r="B80" s="212"/>
      <c r="C80" s="213"/>
      <c r="E80" s="213"/>
      <c r="F80" s="213"/>
      <c r="H80" s="213"/>
      <c r="L80" s="213"/>
      <c r="M80" s="215"/>
      <c r="N80" s="216"/>
      <c r="P80" s="216"/>
      <c r="R80" s="217"/>
      <c r="AD80" s="213"/>
      <c r="AH80" s="213"/>
      <c r="AJ80" s="217"/>
      <c r="AL80" s="218"/>
      <c r="AM80" s="212"/>
    </row>
    <row r="81" spans="1:39" s="214" customFormat="1" x14ac:dyDescent="0.25">
      <c r="A81" s="212"/>
      <c r="B81" s="212"/>
      <c r="C81" s="213"/>
      <c r="E81" s="213"/>
      <c r="F81" s="213"/>
      <c r="H81" s="213"/>
      <c r="L81" s="213"/>
      <c r="M81" s="215"/>
      <c r="N81" s="216"/>
      <c r="P81" s="216"/>
      <c r="R81" s="217"/>
      <c r="AD81" s="213"/>
      <c r="AH81" s="213"/>
      <c r="AJ81" s="217"/>
      <c r="AL81" s="218"/>
      <c r="AM81" s="212"/>
    </row>
    <row r="82" spans="1:39" s="214" customFormat="1" x14ac:dyDescent="0.25">
      <c r="A82" s="212"/>
      <c r="B82" s="212"/>
      <c r="C82" s="213"/>
      <c r="E82" s="213"/>
      <c r="F82" s="213"/>
      <c r="H82" s="213"/>
      <c r="L82" s="213"/>
      <c r="M82" s="215"/>
      <c r="N82" s="216"/>
      <c r="P82" s="216"/>
      <c r="R82" s="217"/>
      <c r="AD82" s="213"/>
      <c r="AH82" s="213"/>
      <c r="AJ82" s="217"/>
      <c r="AL82" s="218"/>
      <c r="AM82" s="212"/>
    </row>
    <row r="83" spans="1:39" s="214" customFormat="1" x14ac:dyDescent="0.25">
      <c r="A83" s="212"/>
      <c r="B83" s="212"/>
      <c r="C83" s="213"/>
      <c r="E83" s="213"/>
      <c r="F83" s="213"/>
      <c r="H83" s="213"/>
      <c r="L83" s="213"/>
      <c r="M83" s="215"/>
      <c r="N83" s="216"/>
      <c r="P83" s="216"/>
      <c r="R83" s="217"/>
      <c r="AD83" s="213"/>
      <c r="AH83" s="213"/>
      <c r="AJ83" s="217"/>
      <c r="AL83" s="218"/>
      <c r="AM83" s="212"/>
    </row>
    <row r="84" spans="1:39" s="214" customFormat="1" x14ac:dyDescent="0.25">
      <c r="A84" s="212"/>
      <c r="B84" s="212"/>
      <c r="C84" s="213"/>
      <c r="E84" s="213"/>
      <c r="F84" s="213"/>
      <c r="H84" s="213"/>
      <c r="L84" s="213"/>
      <c r="M84" s="215"/>
      <c r="N84" s="216"/>
      <c r="P84" s="216"/>
      <c r="R84" s="217"/>
      <c r="AD84" s="213"/>
      <c r="AH84" s="213"/>
      <c r="AJ84" s="217"/>
      <c r="AL84" s="218"/>
      <c r="AM84" s="212"/>
    </row>
    <row r="85" spans="1:39" s="214" customFormat="1" x14ac:dyDescent="0.25">
      <c r="A85" s="212"/>
      <c r="B85" s="212"/>
      <c r="C85" s="213"/>
      <c r="E85" s="213"/>
      <c r="F85" s="213"/>
      <c r="H85" s="213"/>
      <c r="L85" s="213"/>
      <c r="M85" s="215"/>
      <c r="N85" s="216"/>
      <c r="P85" s="216"/>
      <c r="R85" s="217"/>
      <c r="AD85" s="213"/>
      <c r="AH85" s="213"/>
      <c r="AJ85" s="217"/>
      <c r="AL85" s="218"/>
      <c r="AM85" s="212"/>
    </row>
    <row r="86" spans="1:39" s="214" customFormat="1" x14ac:dyDescent="0.25">
      <c r="A86" s="212"/>
      <c r="B86" s="212"/>
      <c r="C86" s="213"/>
      <c r="E86" s="213"/>
      <c r="F86" s="213"/>
      <c r="H86" s="213"/>
      <c r="L86" s="213"/>
      <c r="M86" s="215"/>
      <c r="N86" s="216"/>
      <c r="P86" s="216"/>
      <c r="R86" s="217"/>
      <c r="AD86" s="213"/>
      <c r="AH86" s="213"/>
      <c r="AJ86" s="217"/>
      <c r="AL86" s="218"/>
      <c r="AM86" s="212"/>
    </row>
    <row r="87" spans="1:39" s="214" customFormat="1" x14ac:dyDescent="0.25">
      <c r="A87" s="212"/>
      <c r="B87" s="212"/>
      <c r="C87" s="213"/>
      <c r="E87" s="213"/>
      <c r="F87" s="213"/>
      <c r="H87" s="213"/>
      <c r="L87" s="213"/>
      <c r="M87" s="215"/>
      <c r="N87" s="216"/>
      <c r="P87" s="216"/>
      <c r="R87" s="217"/>
      <c r="AD87" s="213"/>
      <c r="AH87" s="213"/>
      <c r="AJ87" s="217"/>
      <c r="AL87" s="218"/>
      <c r="AM87" s="212"/>
    </row>
    <row r="88" spans="1:39" s="214" customFormat="1" x14ac:dyDescent="0.25">
      <c r="A88" s="212"/>
      <c r="B88" s="212"/>
      <c r="C88" s="213"/>
      <c r="E88" s="213"/>
      <c r="F88" s="213"/>
      <c r="H88" s="213"/>
      <c r="L88" s="213"/>
      <c r="M88" s="215"/>
      <c r="N88" s="216"/>
      <c r="P88" s="216"/>
      <c r="R88" s="217"/>
      <c r="AD88" s="213"/>
      <c r="AH88" s="213"/>
      <c r="AJ88" s="217"/>
      <c r="AL88" s="218"/>
      <c r="AM88" s="212"/>
    </row>
    <row r="89" spans="1:39" s="214" customFormat="1" x14ac:dyDescent="0.25">
      <c r="A89" s="212"/>
      <c r="B89" s="212"/>
      <c r="C89" s="213"/>
      <c r="E89" s="213"/>
      <c r="F89" s="213"/>
      <c r="H89" s="213"/>
      <c r="L89" s="213"/>
      <c r="M89" s="215"/>
      <c r="N89" s="216"/>
      <c r="P89" s="216"/>
      <c r="R89" s="217"/>
      <c r="AD89" s="213"/>
      <c r="AH89" s="213"/>
      <c r="AJ89" s="217"/>
      <c r="AL89" s="218"/>
      <c r="AM89" s="212"/>
    </row>
    <row r="90" spans="1:39" s="214" customFormat="1" x14ac:dyDescent="0.25">
      <c r="A90" s="212"/>
      <c r="B90" s="212"/>
      <c r="C90" s="213"/>
      <c r="E90" s="213"/>
      <c r="F90" s="213"/>
      <c r="H90" s="213"/>
      <c r="L90" s="213"/>
      <c r="M90" s="215"/>
      <c r="N90" s="216"/>
      <c r="P90" s="216"/>
      <c r="R90" s="217"/>
      <c r="AD90" s="213"/>
      <c r="AH90" s="213"/>
      <c r="AJ90" s="217"/>
      <c r="AL90" s="218"/>
      <c r="AM90" s="212"/>
    </row>
    <row r="91" spans="1:39" s="214" customFormat="1" x14ac:dyDescent="0.25">
      <c r="A91" s="212"/>
      <c r="B91" s="212"/>
      <c r="C91" s="213"/>
      <c r="E91" s="213"/>
      <c r="F91" s="213"/>
      <c r="H91" s="213"/>
      <c r="L91" s="213"/>
      <c r="M91" s="215"/>
      <c r="N91" s="216"/>
      <c r="P91" s="216"/>
      <c r="R91" s="217"/>
      <c r="AD91" s="213"/>
      <c r="AH91" s="213"/>
      <c r="AJ91" s="217"/>
      <c r="AL91" s="218"/>
      <c r="AM91" s="212"/>
    </row>
    <row r="92" spans="1:39" s="214" customFormat="1" x14ac:dyDescent="0.25">
      <c r="A92" s="212"/>
      <c r="B92" s="212"/>
      <c r="C92" s="213"/>
      <c r="E92" s="213"/>
      <c r="F92" s="213"/>
      <c r="H92" s="213"/>
      <c r="L92" s="213"/>
      <c r="M92" s="215"/>
      <c r="N92" s="216"/>
      <c r="P92" s="216"/>
      <c r="R92" s="217"/>
      <c r="AD92" s="213"/>
      <c r="AH92" s="213"/>
      <c r="AJ92" s="217"/>
      <c r="AL92" s="218"/>
      <c r="AM92" s="212"/>
    </row>
    <row r="93" spans="1:39" s="214" customFormat="1" x14ac:dyDescent="0.25">
      <c r="A93" s="212"/>
      <c r="B93" s="212"/>
      <c r="C93" s="213"/>
      <c r="E93" s="213"/>
      <c r="F93" s="213"/>
      <c r="H93" s="213"/>
      <c r="L93" s="213"/>
      <c r="M93" s="215"/>
      <c r="N93" s="216"/>
      <c r="P93" s="216"/>
      <c r="R93" s="217"/>
      <c r="AD93" s="213"/>
      <c r="AH93" s="213"/>
      <c r="AJ93" s="217"/>
      <c r="AL93" s="218"/>
      <c r="AM93" s="212"/>
    </row>
    <row r="94" spans="1:39" s="214" customFormat="1" x14ac:dyDescent="0.25">
      <c r="A94" s="212"/>
      <c r="B94" s="212"/>
      <c r="C94" s="213"/>
      <c r="E94" s="213"/>
      <c r="F94" s="213"/>
      <c r="H94" s="213"/>
      <c r="L94" s="213"/>
      <c r="M94" s="215"/>
      <c r="N94" s="216"/>
      <c r="P94" s="216"/>
      <c r="R94" s="217"/>
      <c r="AD94" s="213"/>
      <c r="AH94" s="213"/>
      <c r="AJ94" s="217"/>
      <c r="AL94" s="218"/>
      <c r="AM94" s="212"/>
    </row>
    <row r="95" spans="1:39" s="214" customFormat="1" x14ac:dyDescent="0.25">
      <c r="A95" s="212"/>
      <c r="B95" s="212"/>
      <c r="C95" s="213"/>
      <c r="E95" s="213"/>
      <c r="F95" s="213"/>
      <c r="H95" s="213"/>
      <c r="L95" s="213"/>
      <c r="M95" s="215"/>
      <c r="N95" s="216"/>
      <c r="P95" s="216"/>
      <c r="R95" s="217"/>
      <c r="AD95" s="213"/>
      <c r="AH95" s="213"/>
      <c r="AJ95" s="217"/>
      <c r="AL95" s="218"/>
      <c r="AM95" s="212"/>
    </row>
    <row r="96" spans="1:39" s="214" customFormat="1" x14ac:dyDescent="0.25">
      <c r="A96" s="212"/>
      <c r="B96" s="212"/>
      <c r="C96" s="213"/>
      <c r="E96" s="213"/>
      <c r="F96" s="213"/>
      <c r="H96" s="213"/>
      <c r="L96" s="213"/>
      <c r="M96" s="215"/>
      <c r="N96" s="216"/>
      <c r="P96" s="216"/>
      <c r="R96" s="217"/>
      <c r="AD96" s="213"/>
      <c r="AH96" s="213"/>
      <c r="AJ96" s="217"/>
      <c r="AL96" s="218"/>
      <c r="AM96" s="212"/>
    </row>
    <row r="97" spans="1:39" s="214" customFormat="1" x14ac:dyDescent="0.25">
      <c r="A97" s="212"/>
      <c r="B97" s="212"/>
      <c r="C97" s="213"/>
      <c r="E97" s="213"/>
      <c r="F97" s="213"/>
      <c r="H97" s="213"/>
      <c r="L97" s="213"/>
      <c r="M97" s="215"/>
      <c r="N97" s="216"/>
      <c r="P97" s="216"/>
      <c r="R97" s="217"/>
      <c r="AD97" s="213"/>
      <c r="AH97" s="213"/>
      <c r="AJ97" s="217"/>
      <c r="AL97" s="218"/>
      <c r="AM97" s="212"/>
    </row>
    <row r="98" spans="1:39" s="214" customFormat="1" x14ac:dyDescent="0.25">
      <c r="A98" s="212"/>
      <c r="B98" s="212"/>
      <c r="C98" s="213"/>
      <c r="E98" s="213"/>
      <c r="F98" s="213"/>
      <c r="H98" s="213"/>
      <c r="L98" s="213"/>
      <c r="M98" s="215"/>
      <c r="N98" s="216"/>
      <c r="P98" s="216"/>
      <c r="R98" s="217"/>
      <c r="AD98" s="213"/>
      <c r="AH98" s="213"/>
      <c r="AJ98" s="217"/>
      <c r="AL98" s="218"/>
      <c r="AM98" s="212"/>
    </row>
    <row r="99" spans="1:39" s="214" customFormat="1" x14ac:dyDescent="0.25">
      <c r="A99" s="212"/>
      <c r="B99" s="212"/>
      <c r="C99" s="213"/>
      <c r="E99" s="213"/>
      <c r="F99" s="213"/>
      <c r="H99" s="213"/>
      <c r="L99" s="213"/>
      <c r="M99" s="215"/>
      <c r="N99" s="216"/>
      <c r="P99" s="216"/>
      <c r="R99" s="217"/>
      <c r="AD99" s="213"/>
      <c r="AH99" s="213"/>
      <c r="AJ99" s="217"/>
      <c r="AL99" s="218"/>
      <c r="AM99" s="212"/>
    </row>
    <row r="100" spans="1:39" s="214" customFormat="1" x14ac:dyDescent="0.25">
      <c r="A100" s="212"/>
      <c r="B100" s="212"/>
      <c r="C100" s="213"/>
      <c r="E100" s="213"/>
      <c r="F100" s="213"/>
      <c r="H100" s="213"/>
      <c r="L100" s="213"/>
      <c r="M100" s="215"/>
      <c r="N100" s="216"/>
      <c r="P100" s="216"/>
      <c r="R100" s="217"/>
      <c r="AD100" s="213"/>
      <c r="AH100" s="213"/>
      <c r="AJ100" s="217"/>
      <c r="AL100" s="218"/>
      <c r="AM100" s="212"/>
    </row>
    <row r="101" spans="1:39" s="214" customFormat="1" x14ac:dyDescent="0.25">
      <c r="A101" s="212"/>
      <c r="B101" s="212"/>
      <c r="C101" s="213"/>
      <c r="E101" s="213"/>
      <c r="F101" s="213"/>
      <c r="H101" s="213"/>
      <c r="L101" s="213"/>
      <c r="M101" s="215"/>
      <c r="N101" s="216"/>
      <c r="P101" s="216"/>
      <c r="R101" s="217"/>
      <c r="AD101" s="213"/>
      <c r="AH101" s="213"/>
      <c r="AJ101" s="217"/>
      <c r="AL101" s="218"/>
      <c r="AM101" s="212"/>
    </row>
    <row r="102" spans="1:39" s="214" customFormat="1" x14ac:dyDescent="0.25">
      <c r="A102" s="212"/>
      <c r="B102" s="212"/>
      <c r="C102" s="213"/>
      <c r="E102" s="213"/>
      <c r="F102" s="213"/>
      <c r="H102" s="213"/>
      <c r="L102" s="213"/>
      <c r="M102" s="215"/>
      <c r="N102" s="216"/>
      <c r="P102" s="216"/>
      <c r="R102" s="217"/>
      <c r="AD102" s="213"/>
      <c r="AH102" s="213"/>
      <c r="AJ102" s="217"/>
      <c r="AL102" s="218"/>
      <c r="AM102" s="212"/>
    </row>
    <row r="103" spans="1:39" s="214" customFormat="1" x14ac:dyDescent="0.25">
      <c r="A103" s="212"/>
      <c r="B103" s="212"/>
      <c r="C103" s="213"/>
      <c r="E103" s="213"/>
      <c r="F103" s="213"/>
      <c r="H103" s="213"/>
      <c r="L103" s="213"/>
      <c r="M103" s="215"/>
      <c r="N103" s="216"/>
      <c r="P103" s="216"/>
      <c r="R103" s="217"/>
      <c r="AD103" s="213"/>
      <c r="AH103" s="213"/>
      <c r="AJ103" s="217"/>
      <c r="AL103" s="218"/>
      <c r="AM103" s="212"/>
    </row>
    <row r="104" spans="1:39" s="214" customFormat="1" x14ac:dyDescent="0.25">
      <c r="A104" s="212"/>
      <c r="B104" s="212"/>
      <c r="C104" s="213"/>
      <c r="E104" s="213"/>
      <c r="F104" s="213"/>
      <c r="H104" s="213"/>
      <c r="L104" s="213"/>
      <c r="M104" s="215"/>
      <c r="N104" s="216"/>
      <c r="P104" s="216"/>
      <c r="R104" s="217"/>
      <c r="AD104" s="213"/>
      <c r="AH104" s="213"/>
      <c r="AJ104" s="217"/>
      <c r="AL104" s="218"/>
      <c r="AM104" s="212"/>
    </row>
    <row r="105" spans="1:39" s="214" customFormat="1" x14ac:dyDescent="0.25">
      <c r="A105" s="212"/>
      <c r="B105" s="212"/>
      <c r="C105" s="213"/>
      <c r="E105" s="213"/>
      <c r="F105" s="213"/>
      <c r="H105" s="213"/>
      <c r="L105" s="213"/>
      <c r="M105" s="215"/>
      <c r="N105" s="216"/>
      <c r="P105" s="216"/>
      <c r="R105" s="217"/>
      <c r="AD105" s="213"/>
      <c r="AH105" s="213"/>
      <c r="AJ105" s="217"/>
      <c r="AL105" s="218"/>
      <c r="AM105" s="212"/>
    </row>
    <row r="106" spans="1:39" s="214" customFormat="1" x14ac:dyDescent="0.25">
      <c r="A106" s="212"/>
      <c r="B106" s="212"/>
      <c r="C106" s="213"/>
      <c r="E106" s="213"/>
      <c r="F106" s="213"/>
      <c r="H106" s="213"/>
      <c r="L106" s="213"/>
      <c r="M106" s="215"/>
      <c r="N106" s="216"/>
      <c r="P106" s="216"/>
      <c r="R106" s="217"/>
      <c r="AD106" s="213"/>
      <c r="AH106" s="213"/>
      <c r="AJ106" s="217"/>
      <c r="AL106" s="218"/>
      <c r="AM106" s="212"/>
    </row>
    <row r="107" spans="1:39" s="214" customFormat="1" x14ac:dyDescent="0.25">
      <c r="A107" s="212"/>
      <c r="B107" s="212"/>
      <c r="C107" s="213"/>
      <c r="E107" s="213"/>
      <c r="F107" s="213"/>
      <c r="H107" s="213"/>
      <c r="L107" s="213"/>
      <c r="M107" s="215"/>
      <c r="N107" s="216"/>
      <c r="P107" s="216"/>
      <c r="R107" s="217"/>
      <c r="AD107" s="213"/>
      <c r="AH107" s="213"/>
      <c r="AJ107" s="217"/>
      <c r="AL107" s="218"/>
      <c r="AM107" s="212"/>
    </row>
    <row r="108" spans="1:39" s="214" customFormat="1" x14ac:dyDescent="0.25">
      <c r="A108" s="212"/>
      <c r="B108" s="212"/>
      <c r="C108" s="213"/>
      <c r="E108" s="213"/>
      <c r="F108" s="213"/>
      <c r="H108" s="213"/>
      <c r="L108" s="213"/>
      <c r="M108" s="215"/>
      <c r="N108" s="216"/>
      <c r="P108" s="216"/>
      <c r="R108" s="217"/>
      <c r="AD108" s="213"/>
      <c r="AH108" s="213"/>
      <c r="AJ108" s="217"/>
      <c r="AL108" s="218"/>
      <c r="AM108" s="212"/>
    </row>
    <row r="109" spans="1:39" s="214" customFormat="1" x14ac:dyDescent="0.25">
      <c r="A109" s="212"/>
      <c r="B109" s="212"/>
      <c r="C109" s="213"/>
      <c r="E109" s="213"/>
      <c r="F109" s="213"/>
      <c r="H109" s="213"/>
      <c r="L109" s="213"/>
      <c r="M109" s="215"/>
      <c r="N109" s="216"/>
      <c r="P109" s="216"/>
      <c r="R109" s="217"/>
      <c r="AD109" s="213"/>
      <c r="AH109" s="213"/>
      <c r="AJ109" s="217"/>
      <c r="AL109" s="218"/>
      <c r="AM109" s="212"/>
    </row>
    <row r="110" spans="1:39" s="214" customFormat="1" x14ac:dyDescent="0.25">
      <c r="A110" s="212"/>
      <c r="B110" s="212"/>
      <c r="C110" s="213"/>
      <c r="E110" s="213"/>
      <c r="F110" s="213"/>
      <c r="H110" s="213"/>
      <c r="L110" s="213"/>
      <c r="M110" s="215"/>
      <c r="N110" s="216"/>
      <c r="P110" s="216"/>
      <c r="R110" s="217"/>
      <c r="AD110" s="213"/>
      <c r="AH110" s="213"/>
      <c r="AJ110" s="217"/>
      <c r="AL110" s="218"/>
      <c r="AM110" s="212"/>
    </row>
    <row r="111" spans="1:39" s="214" customFormat="1" x14ac:dyDescent="0.25">
      <c r="A111" s="212"/>
      <c r="B111" s="212"/>
      <c r="C111" s="213"/>
      <c r="E111" s="213"/>
      <c r="F111" s="213"/>
      <c r="H111" s="213"/>
      <c r="L111" s="213"/>
      <c r="M111" s="215"/>
      <c r="N111" s="216"/>
      <c r="P111" s="216"/>
      <c r="R111" s="217"/>
      <c r="AD111" s="213"/>
      <c r="AH111" s="213"/>
      <c r="AJ111" s="217"/>
      <c r="AL111" s="218"/>
      <c r="AM111" s="212"/>
    </row>
    <row r="112" spans="1:39" s="214" customFormat="1" x14ac:dyDescent="0.25">
      <c r="A112" s="212"/>
      <c r="B112" s="212"/>
      <c r="C112" s="213"/>
      <c r="E112" s="213"/>
      <c r="F112" s="213"/>
      <c r="H112" s="213"/>
      <c r="L112" s="213"/>
      <c r="M112" s="215"/>
      <c r="N112" s="216"/>
      <c r="P112" s="216"/>
      <c r="R112" s="217"/>
      <c r="AD112" s="213"/>
      <c r="AH112" s="213"/>
      <c r="AJ112" s="217"/>
      <c r="AL112" s="218"/>
      <c r="AM112" s="212"/>
    </row>
    <row r="113" spans="1:39" s="214" customFormat="1" x14ac:dyDescent="0.25">
      <c r="A113" s="212"/>
      <c r="B113" s="212"/>
      <c r="C113" s="213"/>
      <c r="E113" s="213"/>
      <c r="F113" s="213"/>
      <c r="H113" s="213"/>
      <c r="L113" s="213"/>
      <c r="M113" s="215"/>
      <c r="N113" s="216"/>
      <c r="P113" s="216"/>
      <c r="R113" s="217"/>
      <c r="AD113" s="213"/>
      <c r="AH113" s="213"/>
      <c r="AJ113" s="217"/>
      <c r="AL113" s="218"/>
      <c r="AM113" s="212"/>
    </row>
  </sheetData>
  <mergeCells count="17"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  <mergeCell ref="S9:S10"/>
    <mergeCell ref="T9:U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3" sqref="A3:A5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26" t="s">
        <v>16</v>
      </c>
    </row>
    <row r="2" spans="1:3" ht="18.75" x14ac:dyDescent="0.3">
      <c r="A2" s="279">
        <v>43891</v>
      </c>
      <c r="B2" s="280"/>
      <c r="C2" s="280"/>
    </row>
    <row r="3" spans="1:3" x14ac:dyDescent="0.25">
      <c r="A3" s="282" t="s">
        <v>18</v>
      </c>
      <c r="B3" s="281" t="s">
        <v>19</v>
      </c>
      <c r="C3" s="281" t="s">
        <v>13</v>
      </c>
    </row>
    <row r="4" spans="1:3" x14ac:dyDescent="0.25">
      <c r="A4" s="282"/>
      <c r="B4" s="281"/>
      <c r="C4" s="281"/>
    </row>
    <row r="5" spans="1:3" x14ac:dyDescent="0.25">
      <c r="A5" s="282"/>
      <c r="B5" s="281"/>
      <c r="C5" s="281"/>
    </row>
    <row r="6" spans="1:3" x14ac:dyDescent="0.25">
      <c r="A6" s="1">
        <v>1</v>
      </c>
      <c r="B6" s="1">
        <v>1</v>
      </c>
      <c r="C6" s="1">
        <v>42</v>
      </c>
    </row>
    <row r="7" spans="1:3" x14ac:dyDescent="0.25">
      <c r="A7" s="1">
        <v>2</v>
      </c>
      <c r="B7" s="1">
        <v>1</v>
      </c>
      <c r="C7" s="1">
        <v>30</v>
      </c>
    </row>
    <row r="8" spans="1:3" x14ac:dyDescent="0.25">
      <c r="A8" s="1">
        <f>A7+1</f>
        <v>3</v>
      </c>
      <c r="B8" s="1">
        <v>1</v>
      </c>
      <c r="C8" s="1">
        <v>17</v>
      </c>
    </row>
    <row r="9" spans="1:3" x14ac:dyDescent="0.25">
      <c r="A9" s="1">
        <f>A8+1</f>
        <v>4</v>
      </c>
      <c r="B9" s="1">
        <v>2</v>
      </c>
      <c r="C9" s="1">
        <v>28</v>
      </c>
    </row>
    <row r="10" spans="1:3" x14ac:dyDescent="0.25">
      <c r="A10" s="1">
        <f t="shared" ref="A10:A36" si="0">A9+1</f>
        <v>5</v>
      </c>
      <c r="B10" s="1">
        <v>3</v>
      </c>
      <c r="C10" s="1">
        <v>44</v>
      </c>
    </row>
    <row r="11" spans="1:3" x14ac:dyDescent="0.25">
      <c r="A11" s="1">
        <f t="shared" si="0"/>
        <v>6</v>
      </c>
      <c r="B11" s="1">
        <v>3</v>
      </c>
      <c r="C11" s="1">
        <v>44</v>
      </c>
    </row>
    <row r="12" spans="1:3" x14ac:dyDescent="0.25">
      <c r="A12" s="1">
        <f t="shared" si="0"/>
        <v>7</v>
      </c>
      <c r="B12" s="1">
        <v>1</v>
      </c>
      <c r="C12" s="1">
        <v>69</v>
      </c>
    </row>
    <row r="13" spans="1:3" x14ac:dyDescent="0.25">
      <c r="A13" s="1">
        <f t="shared" si="0"/>
        <v>8</v>
      </c>
      <c r="B13" s="1">
        <v>1</v>
      </c>
      <c r="C13" s="1">
        <v>23</v>
      </c>
    </row>
    <row r="14" spans="1:3" x14ac:dyDescent="0.25">
      <c r="A14" s="1">
        <f t="shared" si="0"/>
        <v>9</v>
      </c>
      <c r="B14" s="1">
        <v>1</v>
      </c>
      <c r="C14" s="1">
        <v>19</v>
      </c>
    </row>
    <row r="15" spans="1:3" x14ac:dyDescent="0.25">
      <c r="A15" s="1">
        <f t="shared" si="0"/>
        <v>10</v>
      </c>
      <c r="B15" s="1">
        <v>1</v>
      </c>
      <c r="C15" s="1">
        <v>43</v>
      </c>
    </row>
    <row r="16" spans="1:3" x14ac:dyDescent="0.25">
      <c r="A16" s="1">
        <f t="shared" si="0"/>
        <v>11</v>
      </c>
      <c r="B16" s="1">
        <v>4</v>
      </c>
      <c r="C16" s="1">
        <v>29</v>
      </c>
    </row>
    <row r="17" spans="1:3" x14ac:dyDescent="0.25">
      <c r="A17" s="1">
        <f t="shared" si="0"/>
        <v>12</v>
      </c>
      <c r="B17" s="1">
        <v>6</v>
      </c>
      <c r="C17" s="1">
        <v>46</v>
      </c>
    </row>
    <row r="18" spans="1:3" x14ac:dyDescent="0.25">
      <c r="A18" s="1">
        <f t="shared" si="0"/>
        <v>13</v>
      </c>
      <c r="B18" s="1">
        <v>13</v>
      </c>
      <c r="C18" s="1">
        <v>81</v>
      </c>
    </row>
    <row r="19" spans="1:3" x14ac:dyDescent="0.25">
      <c r="A19" s="1">
        <f t="shared" si="0"/>
        <v>14</v>
      </c>
      <c r="B19" s="1">
        <v>15</v>
      </c>
      <c r="C19" s="1">
        <v>84</v>
      </c>
    </row>
    <row r="20" spans="1:3" x14ac:dyDescent="0.25">
      <c r="A20" s="1">
        <f t="shared" si="0"/>
        <v>15</v>
      </c>
      <c r="B20" s="1">
        <v>3</v>
      </c>
      <c r="C20" s="1">
        <v>54</v>
      </c>
    </row>
    <row r="21" spans="1:3" x14ac:dyDescent="0.25">
      <c r="A21" s="1">
        <f t="shared" si="0"/>
        <v>16</v>
      </c>
      <c r="B21" s="1">
        <v>3</v>
      </c>
      <c r="C21" s="1">
        <v>35</v>
      </c>
    </row>
    <row r="22" spans="1:3" x14ac:dyDescent="0.25">
      <c r="A22" s="1">
        <f t="shared" si="0"/>
        <v>17</v>
      </c>
      <c r="B22" s="1">
        <v>6</v>
      </c>
      <c r="C22" s="1">
        <v>68</v>
      </c>
    </row>
    <row r="23" spans="1:3" x14ac:dyDescent="0.25">
      <c r="A23" s="1">
        <f t="shared" si="0"/>
        <v>18</v>
      </c>
      <c r="B23" s="1">
        <v>4</v>
      </c>
      <c r="C23" s="1">
        <v>33</v>
      </c>
    </row>
    <row r="24" spans="1:3" x14ac:dyDescent="0.25">
      <c r="A24" s="1">
        <f t="shared" si="0"/>
        <v>19</v>
      </c>
      <c r="B24" s="1">
        <v>5</v>
      </c>
      <c r="C24" s="1">
        <v>59</v>
      </c>
    </row>
    <row r="25" spans="1:3" x14ac:dyDescent="0.25">
      <c r="A25" s="1">
        <f t="shared" si="0"/>
        <v>20</v>
      </c>
      <c r="B25" s="1">
        <v>6</v>
      </c>
      <c r="C25" s="1">
        <v>55</v>
      </c>
    </row>
    <row r="26" spans="1:3" x14ac:dyDescent="0.25">
      <c r="A26" s="1">
        <f t="shared" si="0"/>
        <v>21</v>
      </c>
      <c r="B26" s="1">
        <v>4</v>
      </c>
      <c r="C26" s="1">
        <v>88</v>
      </c>
    </row>
    <row r="27" spans="1:3" x14ac:dyDescent="0.25">
      <c r="A27" s="1">
        <f t="shared" si="0"/>
        <v>22</v>
      </c>
      <c r="B27" s="1">
        <v>2</v>
      </c>
      <c r="C27" s="1">
        <v>26</v>
      </c>
    </row>
    <row r="28" spans="1:3" x14ac:dyDescent="0.25">
      <c r="A28" s="1">
        <f t="shared" si="0"/>
        <v>23</v>
      </c>
      <c r="B28" s="1">
        <v>3</v>
      </c>
      <c r="C28" s="1">
        <v>39</v>
      </c>
    </row>
    <row r="29" spans="1:3" x14ac:dyDescent="0.25">
      <c r="A29" s="1">
        <f t="shared" si="0"/>
        <v>24</v>
      </c>
      <c r="B29" s="1">
        <v>8</v>
      </c>
      <c r="C29" s="1">
        <v>62</v>
      </c>
    </row>
    <row r="30" spans="1:3" x14ac:dyDescent="0.25">
      <c r="A30" s="1">
        <f t="shared" si="0"/>
        <v>25</v>
      </c>
      <c r="B30" s="1">
        <v>11</v>
      </c>
      <c r="C30" s="1">
        <v>43</v>
      </c>
    </row>
    <row r="31" spans="1:3" x14ac:dyDescent="0.25">
      <c r="A31" s="1">
        <f t="shared" si="0"/>
        <v>26</v>
      </c>
      <c r="B31" s="1">
        <v>9</v>
      </c>
      <c r="C31" s="1">
        <v>114</v>
      </c>
    </row>
    <row r="32" spans="1:3" x14ac:dyDescent="0.25">
      <c r="A32" s="1">
        <f t="shared" si="0"/>
        <v>27</v>
      </c>
      <c r="B32" s="1">
        <v>7</v>
      </c>
      <c r="C32" s="1">
        <v>114</v>
      </c>
    </row>
    <row r="33" spans="1:3" x14ac:dyDescent="0.25">
      <c r="A33" s="1">
        <f t="shared" si="0"/>
        <v>28</v>
      </c>
      <c r="B33" s="1">
        <v>4</v>
      </c>
      <c r="C33" s="1">
        <v>130</v>
      </c>
    </row>
    <row r="34" spans="1:3" x14ac:dyDescent="0.25">
      <c r="A34" s="1">
        <f t="shared" si="0"/>
        <v>29</v>
      </c>
      <c r="B34" s="1">
        <v>4</v>
      </c>
      <c r="C34" s="1">
        <v>25</v>
      </c>
    </row>
    <row r="35" spans="1:3" x14ac:dyDescent="0.25">
      <c r="A35" s="1">
        <f t="shared" si="0"/>
        <v>30</v>
      </c>
      <c r="B35" s="1">
        <v>6</v>
      </c>
      <c r="C35" s="1">
        <v>50</v>
      </c>
    </row>
    <row r="36" spans="1:3" x14ac:dyDescent="0.25">
      <c r="A36" s="1">
        <f t="shared" si="0"/>
        <v>31</v>
      </c>
      <c r="B36" s="1">
        <v>8</v>
      </c>
      <c r="C36" s="1">
        <v>56</v>
      </c>
    </row>
    <row r="38" spans="1:3" x14ac:dyDescent="0.25">
      <c r="B38" s="5">
        <f>SUM(B6:B36)</f>
        <v>146</v>
      </c>
      <c r="C38" s="5">
        <f>SUM(C6:C36)</f>
        <v>1650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C58F76-5F17-4EFD-A55F-665975DF7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a2b08d59-ce98-408b-b7f1-7ea559ce0d50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2e11796f-5f26-4c51-a1e5-22e0f1616a71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March 2020</vt:lpstr>
      <vt:lpstr>RNs &amp; Covers March 2020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2022-06-06T12:41:13Z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