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<sst xmlns="http://schemas.openxmlformats.org/spreadsheetml/2006/main" count="315" uniqueCount="148">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</sst>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9899.9999999989395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87</v>
      </c>
      <c r="J14" s="11">
        <f t="shared" si="2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11200.000000000909</v>
      </c>
      <c r="F15" s="11">
        <f t="shared" si="0"/>
        <v>0.58765030286592534</v>
      </c>
      <c r="G15" s="12">
        <f>(Submetering!AX15+Submetering!AY15+Submetering!AZ15+Submetering!BA15+Submetering!BB15)</f>
        <v>7.3259999999999996</v>
      </c>
      <c r="H15" s="11">
        <f t="shared" si="1"/>
        <v>0.99</v>
      </c>
      <c r="I15" s="12">
        <f>'FS Desroches Daily'!CM17</f>
        <v>91.299999999999272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10599.999999999643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92.700000000000728</v>
      </c>
      <c r="J16" s="11">
        <f t="shared" si="2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10100.000000000176</v>
      </c>
      <c r="F17" s="11">
        <f t="shared" si="0"/>
        <v>0.58765030286592534</v>
      </c>
      <c r="G17" s="12">
        <f>(Submetering!AX17+Submetering!AY17+Submetering!AZ17+Submetering!BA17+Submetering!BB17)</f>
        <v>7.3259999999999996</v>
      </c>
      <c r="H17" s="11">
        <f t="shared" si="1"/>
        <v>0.99</v>
      </c>
      <c r="I17" s="12">
        <f>'FS Desroches Daily'!CM19</f>
        <v>83.700000000000728</v>
      </c>
      <c r="J17" s="11">
        <f t="shared" si="2"/>
        <v>10.487297712684205</v>
      </c>
      <c r="K17" s="13">
        <f>'FS Desroches Daily'!CN19</f>
        <v>24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9699.9999999999181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72.299999999999272</v>
      </c>
      <c r="J18" s="11">
        <f t="shared" si="2"/>
        <v>10.487297712684205</v>
      </c>
      <c r="K18" s="13">
        <f>'FS Desroches Daily'!CN20</f>
        <v>20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10899.999999999867</v>
      </c>
      <c r="F19" s="11">
        <f t="shared" si="0"/>
        <v>0.58765030286592534</v>
      </c>
      <c r="G19" s="12">
        <f>(Submetering!AX19+Submetering!AY19+Submetering!AZ19+Submetering!BA19+Submetering!BB19)</f>
        <v>5.4944999999999995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9600.0000000001201</v>
      </c>
      <c r="F20" s="11">
        <f t="shared" si="0"/>
        <v>0.58765030286592534</v>
      </c>
      <c r="G20" s="12">
        <f>(Submetering!AX20+Submetering!AY20+Submetering!AZ20+Submetering!BA20+Submetering!BB20)</f>
        <v>5.3113500000001661</v>
      </c>
      <c r="H20" s="11">
        <f t="shared" si="1"/>
        <v>0.99</v>
      </c>
      <c r="I20" s="12">
        <f>'FS Desroches Daily'!CM22</f>
        <v>74</v>
      </c>
      <c r="J20" s="11">
        <f t="shared" si="2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10399.999999999922</v>
      </c>
      <c r="F21" s="11">
        <f t="shared" si="0"/>
        <v>0.58765030286592534</v>
      </c>
      <c r="G21" s="12">
        <f>(Submetering!AX21+Submetering!AY21+Submetering!AZ21+Submetering!BA21+Submetering!BB21)</f>
        <v>2.0146499999998335</v>
      </c>
      <c r="H21" s="11">
        <f t="shared" si="1"/>
        <v>0.99</v>
      </c>
      <c r="I21" s="12">
        <f>'FS Desroches Daily'!CM23</f>
        <v>67</v>
      </c>
      <c r="J21" s="11">
        <f t="shared" si="2"/>
        <v>10.487297712684205</v>
      </c>
      <c r="K21" s="13">
        <f>'FS Desroches Daily'!CN23</f>
        <v>20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10500.000000000542</v>
      </c>
      <c r="F22" s="11">
        <f t="shared" si="0"/>
        <v>0.58765030286592534</v>
      </c>
      <c r="G22" s="12">
        <f>(Submetering!AX22+Submetering!AY22+Submetering!AZ22+Submetering!BA22+Submetering!BB22)</f>
        <v>152.01449999999997</v>
      </c>
      <c r="H22" s="11">
        <f t="shared" si="1"/>
        <v>0.99</v>
      </c>
      <c r="I22" s="12">
        <f>'FS Desroches Daily'!CM24</f>
        <v>81</v>
      </c>
      <c r="J22" s="11">
        <f t="shared" si="2"/>
        <v>10.487297712684205</v>
      </c>
      <c r="K22" s="13">
        <f>'FS Desroches Daily'!CN24</f>
        <v>26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10499.999999999985</v>
      </c>
      <c r="F23" s="11">
        <f t="shared" si="0"/>
        <v>0.58765030286592534</v>
      </c>
      <c r="G23" s="12">
        <f>(Submetering!AX23+Submetering!AY23+Submetering!AZ23+Submetering!BA23+Submetering!BB23)</f>
        <v>12.820499999999999</v>
      </c>
      <c r="H23" s="11">
        <f t="shared" si="1"/>
        <v>0.99</v>
      </c>
      <c r="I23" s="12">
        <f>'FS Desroches Daily'!CM25</f>
        <v>108</v>
      </c>
      <c r="J23" s="11">
        <f t="shared" si="2"/>
        <v>10.487297712684205</v>
      </c>
      <c r="K23" s="13">
        <f>'FS Desroches Daily'!CN25</f>
        <v>26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10499.999999999176</v>
      </c>
      <c r="F24" s="11">
        <f t="shared" si="0"/>
        <v>0.58765030286592534</v>
      </c>
      <c r="G24" s="12">
        <f>(Submetering!AX24+Submetering!AY24+Submetering!AZ24+Submetering!BA24+Submetering!BB24)</f>
        <v>9.1574999999999989</v>
      </c>
      <c r="H24" s="11">
        <f t="shared" si="1"/>
        <v>0.99</v>
      </c>
      <c r="I24" s="12">
        <f>'FS Desroches Daily'!CM26</f>
        <v>97</v>
      </c>
      <c r="J24" s="11">
        <f t="shared" si="2"/>
        <v>10.487297712684205</v>
      </c>
      <c r="K24" s="13">
        <f>'FS Desroches Daily'!CN26</f>
        <v>20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10000.000000000597</v>
      </c>
      <c r="F25" s="11">
        <f t="shared" si="0"/>
        <v>0.58765030286592534</v>
      </c>
      <c r="G25" s="12">
        <f>(Submetering!AX25+Submetering!AY25+Submetering!AZ25+Submetering!BA25+Submetering!BB25)</f>
        <v>7.3259999999999996</v>
      </c>
      <c r="H25" s="11">
        <f t="shared" si="1"/>
        <v>0.99</v>
      </c>
      <c r="I25" s="12">
        <f>'FS Desroches Daily'!CM27</f>
        <v>96</v>
      </c>
      <c r="J25" s="11">
        <f t="shared" si="2"/>
        <v>10.487297712684205</v>
      </c>
      <c r="K25" s="13">
        <f>'FS Desroches Daily'!CN27</f>
        <v>17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8799.9999999994307</v>
      </c>
      <c r="F26" s="11">
        <f t="shared" si="0"/>
        <v>0.58765030286592534</v>
      </c>
      <c r="G26" s="12">
        <f>(Submetering!AX26+Submetering!AY26+Submetering!AZ26+Submetering!BA26+Submetering!BB26)</f>
        <v>9.1574999999999989</v>
      </c>
      <c r="H26" s="11">
        <f t="shared" si="1"/>
        <v>0.99</v>
      </c>
      <c r="I26" s="12">
        <f>'FS Desroches Daily'!CM28</f>
        <v>93</v>
      </c>
      <c r="J26" s="11">
        <f t="shared" si="2"/>
        <v>10.487297712684205</v>
      </c>
      <c r="K26" s="13">
        <f>'FS Desroches Daily'!CN28</f>
        <v>11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8300.0000000004729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 t="e">
        <f>Submetering!E28+Submetering!F28+Submetering!G28+Submetering!H28+Submetering!J28-Submetering!AV28</f>
        <v>#VALUE!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 t="e">
        <f>'FS Desroches Daily'!CM30</f>
        <v>#VALUE!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393.46849999999995</v>
      </c>
      <c r="I33" s="19" t="e">
        <f>SUM(I2:I32)</f>
        <v>#VALUE!</v>
      </c>
      <c r="K33" s="19">
        <f>SUM(K2:K32)</f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>
        <f>'FS Desroches Daily'!BF14</f>
        <v>29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>
        <f>IF(LPG!Q20-LPG!Q18&lt;0,"0",(LPG!Q20-LPG!Q18)*1.8315)</f>
        <v>9.1574999999999989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27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2000.0000000002237</v>
      </c>
      <c r="F14" s="32">
        <f>'FS Desroches Daily'!F16</f>
        <v>2899.9999999994584</v>
      </c>
      <c r="G14" s="31">
        <f>'FS Desroches Daily'!H16</f>
        <v>2999.9999999992256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24</v>
      </c>
      <c r="L14" s="31">
        <f>'FS Desroches Daily'!R16</f>
        <v>3</v>
      </c>
      <c r="M14" s="31">
        <f>'FS Desroches Daily'!T16</f>
        <v>0.90000000000009095</v>
      </c>
      <c r="N14" s="31">
        <f>'FS Desroches Daily'!V16</f>
        <v>336.20000000006985</v>
      </c>
      <c r="O14" s="31">
        <f>'FS Desroches Daily'!X16</f>
        <v>259.99999999999091</v>
      </c>
      <c r="P14" s="31">
        <f>'FS Desroches Daily'!Z16</f>
        <v>2699.9999999999245</v>
      </c>
      <c r="Q14" s="31">
        <f>'FS Desroches Daily'!AB16</f>
        <v>350.00000000002274</v>
      </c>
      <c r="R14" s="31">
        <f>'FS Desroches Daily'!AD16</f>
        <v>280.0000000000864</v>
      </c>
      <c r="S14" s="31">
        <f>'FS Desroches Daily'!AF16</f>
        <v>720.00000000002728</v>
      </c>
      <c r="T14" s="31">
        <f>'FS Desroches Daily'!AH16</f>
        <v>27</v>
      </c>
      <c r="U14" s="35">
        <f>'FS Desroches Daily'!AJ16</f>
        <v>629.99999999999545</v>
      </c>
      <c r="V14" s="35">
        <f>'FS Desroches Daily'!AL16</f>
        <v>199.99999999998863</v>
      </c>
      <c r="W14" s="35">
        <f>'FS Desroches Daily'!AN16</f>
        <v>180.00000000000682</v>
      </c>
      <c r="X14" s="35">
        <f>'FS Desroches Daily'!AP16</f>
        <v>170.00000000001592</v>
      </c>
      <c r="Y14" s="35">
        <f>'FS Desroches Daily'!AR16</f>
        <v>89.999999999974989</v>
      </c>
      <c r="Z14" s="35">
        <f>'FS Desroches Daily'!AT16</f>
        <v>60.000000000002274</v>
      </c>
      <c r="AA14" s="35">
        <f>'FS Desroches Daily'!AT16</f>
        <v>60.000000000002274</v>
      </c>
      <c r="AB14" s="35">
        <f>'FS Desroches Daily'!AV16</f>
        <v>139.99999999998636</v>
      </c>
      <c r="AC14" s="35">
        <f>'FS Desroches Daily'!AZ16</f>
        <v>100.00000000002274</v>
      </c>
      <c r="AD14" s="35">
        <f>'FS Desroches Daily'!BB16</f>
        <v>90.000000000031832</v>
      </c>
      <c r="AE14" s="35">
        <f>'FS Desroches Daily'!BD16</f>
        <v>60.000000000002274</v>
      </c>
      <c r="AF14" s="31">
        <f>'FS Desroches Daily'!BF16</f>
        <v>23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28</v>
      </c>
      <c r="AM14" s="32">
        <f>'FS Desroches Daily'!BT16</f>
        <v>30.000000000001137</v>
      </c>
      <c r="AN14" s="32">
        <f>'FS Desroches Daily'!BV16</f>
        <v>38</v>
      </c>
      <c r="AO14" s="32">
        <f>'FS Desroches Daily'!BX16</f>
        <v>30.000000000001137</v>
      </c>
      <c r="AP14" s="32">
        <f>'FS Desroches Daily'!BZ16</f>
        <v>44</v>
      </c>
      <c r="AQ14" s="31">
        <f>'FS Desroches Daily'!CB16</f>
        <v>51.5</v>
      </c>
      <c r="AR14" s="31">
        <f>'FS Desroches Daily'!CD16</f>
        <v>11.600000000000364</v>
      </c>
      <c r="AS14" s="31">
        <f>'FS Desroches Daily'!CF16</f>
        <v>2.4000000000014552</v>
      </c>
      <c r="AT14" s="31">
        <f>'FS Desroches Daily'!CH16</f>
        <v>40.399999999994179</v>
      </c>
      <c r="AU14" s="31">
        <f>'FS Desroches Daily'!CJ16</f>
        <v>275</v>
      </c>
      <c r="AV14" s="31">
        <f>'FS Desroches Daily'!CL16</f>
        <v>900.00000000009095</v>
      </c>
      <c r="AW14" s="31">
        <f>'FS Desroches Daily'!CM16</f>
        <v>87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2299.9999999999686</v>
      </c>
      <c r="F15" s="32">
        <f>'FS Desroches Daily'!F17</f>
        <v>3300.0000000003029</v>
      </c>
      <c r="G15" s="31">
        <f>'FS Desroches Daily'!H17</f>
        <v>3300.0000000003029</v>
      </c>
      <c r="H15" s="32">
        <f>'FS Desroches Daily'!J17</f>
        <v>1600.0000000002678</v>
      </c>
      <c r="I15" s="31">
        <f>'FS Desroches Daily'!L17</f>
        <v>2099.9999999999909</v>
      </c>
      <c r="J15" s="32">
        <f>'FS Desroches Daily'!N17</f>
        <v>1600.0000000000459</v>
      </c>
      <c r="K15" s="13">
        <f>'FS Desroches Daily'!P17</f>
        <v>25</v>
      </c>
      <c r="L15" s="31">
        <f>'FS Desroches Daily'!R17</f>
        <v>3</v>
      </c>
      <c r="M15" s="31">
        <f>'FS Desroches Daily'!T17</f>
        <v>1.2000000000000455</v>
      </c>
      <c r="N15" s="31">
        <f>'FS Desroches Daily'!V17</f>
        <v>453.19999999995343</v>
      </c>
      <c r="O15" s="31">
        <f>'FS Desroches Daily'!X17</f>
        <v>340.00000000003183</v>
      </c>
      <c r="P15" s="31">
        <f>'FS Desroches Daily'!Z17</f>
        <v>2899.9999999999027</v>
      </c>
      <c r="Q15" s="31">
        <f>'FS Desroches Daily'!AB17</f>
        <v>299.99999999995453</v>
      </c>
      <c r="R15" s="31">
        <f>'FS Desroches Daily'!AD17</f>
        <v>339.99999999991815</v>
      </c>
      <c r="S15" s="31">
        <f>'FS Desroches Daily'!AF17</f>
        <v>820.00000000005002</v>
      </c>
      <c r="T15" s="31">
        <f>'FS Desroches Daily'!AH17</f>
        <v>24</v>
      </c>
      <c r="U15" s="35">
        <f>'FS Desroches Daily'!AJ17</f>
        <v>679.99999999994998</v>
      </c>
      <c r="V15" s="35">
        <f>'FS Desroches Daily'!AL17</f>
        <v>230.00000000001819</v>
      </c>
      <c r="W15" s="35">
        <f>'FS Desroches Daily'!AN17</f>
        <v>209.99999999997954</v>
      </c>
      <c r="X15" s="35">
        <f>'FS Desroches Daily'!AP17</f>
        <v>209.99999999997954</v>
      </c>
      <c r="Y15" s="35">
        <f>'FS Desroches Daily'!AR17</f>
        <v>90.000000000031832</v>
      </c>
      <c r="Z15" s="35">
        <f>'FS Desroches Daily'!AT17</f>
        <v>69.999999999993179</v>
      </c>
      <c r="AA15" s="35">
        <f>'FS Desroches Daily'!AT17</f>
        <v>69.999999999993179</v>
      </c>
      <c r="AB15" s="35">
        <f>'FS Desroches Daily'!AV17</f>
        <v>149.99999999997726</v>
      </c>
      <c r="AC15" s="35">
        <f>'FS Desroches Daily'!AZ17</f>
        <v>110.00000000001364</v>
      </c>
      <c r="AD15" s="35">
        <f>'FS Desroches Daily'!BB17</f>
        <v>109.9999999999568</v>
      </c>
      <c r="AE15" s="35">
        <f>'FS Desroches Daily'!BD17</f>
        <v>60.000000000002274</v>
      </c>
      <c r="AF15" s="31">
        <f>'FS Desroches Daily'!BF17</f>
        <v>20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49.999999999982947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34</v>
      </c>
      <c r="AM15" s="32">
        <f>'FS Desroches Daily'!BT17</f>
        <v>39.999999999992042</v>
      </c>
      <c r="AN15" s="32">
        <f>'FS Desroches Daily'!BV17</f>
        <v>38</v>
      </c>
      <c r="AO15" s="32">
        <f>'FS Desroches Daily'!BX17</f>
        <v>30.000000000001137</v>
      </c>
      <c r="AP15" s="32">
        <f>'FS Desroches Daily'!BZ17</f>
        <v>50</v>
      </c>
      <c r="AQ15" s="31">
        <f>'FS Desroches Daily'!CB17</f>
        <v>51.100000000005821</v>
      </c>
      <c r="AR15" s="31">
        <f>'FS Desroches Daily'!CD17</f>
        <v>9.8999999999996362</v>
      </c>
      <c r="AS15" s="31">
        <f>'FS Desroches Daily'!CF17</f>
        <v>5.6999999999989086</v>
      </c>
      <c r="AT15" s="31">
        <f>'FS Desroches Daily'!CH17</f>
        <v>37.400000000008731</v>
      </c>
      <c r="AU15" s="31">
        <f>'FS Desroches Daily'!CJ17</f>
        <v>271</v>
      </c>
      <c r="AV15" s="31">
        <f>'FS Desroches Daily'!CL17</f>
        <v>899.99999999997726</v>
      </c>
      <c r="AW15" s="31">
        <f>'FS Desroches Daily'!CM17</f>
        <v>91.299999999999272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2299.9999999999686</v>
      </c>
      <c r="F16" s="32">
        <f>'FS Desroches Daily'!F18</f>
        <v>3000.0000000001137</v>
      </c>
      <c r="G16" s="31">
        <f>'FS Desroches Daily'!H18</f>
        <v>3099.9999999998809</v>
      </c>
      <c r="H16" s="32">
        <f>'FS Desroches Daily'!J18</f>
        <v>1499.9999999996128</v>
      </c>
      <c r="I16" s="31">
        <f>'FS Desroches Daily'!L18</f>
        <v>2099.9999999999909</v>
      </c>
      <c r="J16" s="32">
        <f>'FS Desroches Daily'!N18</f>
        <v>1600.0000000000459</v>
      </c>
      <c r="K16" s="13">
        <f>'FS Desroches Daily'!P18</f>
        <v>23</v>
      </c>
      <c r="L16" s="31">
        <f>'FS Desroches Daily'!R18</f>
        <v>3</v>
      </c>
      <c r="M16" s="31">
        <f>'FS Desroches Daily'!T18</f>
        <v>1.0999999999999091</v>
      </c>
      <c r="N16" s="31">
        <f>'FS Desroches Daily'!V18</f>
        <v>374.90000000002328</v>
      </c>
      <c r="O16" s="31">
        <f>'FS Desroches Daily'!X18</f>
        <v>289.99999999996362</v>
      </c>
      <c r="P16" s="31">
        <f>'FS Desroches Daily'!Z18</f>
        <v>2699.9999999999245</v>
      </c>
      <c r="Q16" s="31">
        <f>'FS Desroches Daily'!AB18</f>
        <v>360.00000000001364</v>
      </c>
      <c r="R16" s="31">
        <f>'FS Desroches Daily'!AD18</f>
        <v>320.00000000005002</v>
      </c>
      <c r="S16" s="31">
        <f>'FS Desroches Daily'!AF18</f>
        <v>799.99999999995453</v>
      </c>
      <c r="T16" s="31">
        <f>'FS Desroches Daily'!AH18</f>
        <v>26</v>
      </c>
      <c r="U16" s="35">
        <f>'FS Desroches Daily'!AJ18</f>
        <v>840.00000000003183</v>
      </c>
      <c r="V16" s="35">
        <f>'FS Desroches Daily'!AL18</f>
        <v>199.99999999998863</v>
      </c>
      <c r="W16" s="35">
        <f>'FS Desroches Daily'!AN18</f>
        <v>180.00000000000682</v>
      </c>
      <c r="X16" s="35">
        <f>'FS Desroches Daily'!AP18</f>
        <v>180.00000000000682</v>
      </c>
      <c r="Y16" s="35">
        <f>'FS Desroches Daily'!AR18</f>
        <v>79.999999999984084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150.00000000003411</v>
      </c>
      <c r="AC16" s="35">
        <f>'FS Desroches Daily'!AZ18</f>
        <v>179.99999999994998</v>
      </c>
      <c r="AD16" s="35">
        <f>'FS Desroches Daily'!BB18</f>
        <v>90.000000000031832</v>
      </c>
      <c r="AE16" s="35">
        <f>'FS Desroches Daily'!BD18</f>
        <v>60.000000000002274</v>
      </c>
      <c r="AF16" s="31">
        <f>'FS Desroches Daily'!BF18</f>
        <v>27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47</v>
      </c>
      <c r="AQ16" s="31">
        <f>'FS Desroches Daily'!CB18</f>
        <v>50.399999999994179</v>
      </c>
      <c r="AR16" s="31">
        <f>'FS Desroches Daily'!CD18</f>
        <v>10.700000000000728</v>
      </c>
      <c r="AS16" s="31">
        <f>'FS Desroches Daily'!CF18</f>
        <v>0.1000000000003638</v>
      </c>
      <c r="AT16" s="31">
        <f>'FS Desroches Daily'!CH18</f>
        <v>36</v>
      </c>
      <c r="AU16" s="31">
        <f>'FS Desroches Daily'!CJ18</f>
        <v>279</v>
      </c>
      <c r="AV16" s="31">
        <f>'FS Desroches Daily'!CL18</f>
        <v>899.99999999997726</v>
      </c>
      <c r="AW16" s="31">
        <f>'FS Desroches Daily'!CM18</f>
        <v>92.700000000000728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2200.0000000002019</v>
      </c>
      <c r="F17" s="32">
        <f>'FS Desroches Daily'!F19</f>
        <v>2699.9999999999245</v>
      </c>
      <c r="G17" s="31">
        <f>'FS Desroches Daily'!H19</f>
        <v>3000.0000000001137</v>
      </c>
      <c r="H17" s="32">
        <f>'FS Desroches Daily'!J19</f>
        <v>1500.0000000000568</v>
      </c>
      <c r="I17" s="31">
        <f>'FS Desroches Daily'!L19</f>
        <v>1999.9999999997797</v>
      </c>
      <c r="J17" s="32">
        <f>'FS Desroches Daily'!N19</f>
        <v>1499.9999999998347</v>
      </c>
      <c r="K17" s="13">
        <f>'FS Desroches Daily'!P19</f>
        <v>26</v>
      </c>
      <c r="L17" s="31">
        <f>'FS Desroches Daily'!R19</f>
        <v>4</v>
      </c>
      <c r="M17" s="31">
        <f>'FS Desroches Daily'!T19</f>
        <v>1.0999999999999091</v>
      </c>
      <c r="N17" s="31">
        <f>'FS Desroches Daily'!V19</f>
        <v>413.09999999997672</v>
      </c>
      <c r="O17" s="31">
        <f>'FS Desroches Daily'!X19</f>
        <v>290.00000000007731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370.00000000000455</v>
      </c>
      <c r="S17" s="31">
        <f>'FS Desroches Daily'!AF19</f>
        <v>860.00000000001364</v>
      </c>
      <c r="T17" s="31">
        <f>'FS Desroches Daily'!AH19</f>
        <v>31</v>
      </c>
      <c r="U17" s="35">
        <f>'FS Desroches Daily'!AJ19</f>
        <v>590.00000000003183</v>
      </c>
      <c r="V17" s="35">
        <f>'FS Desroches Daily'!AL19</f>
        <v>209.99999999997954</v>
      </c>
      <c r="W17" s="35">
        <f>'FS Desroches Daily'!AN19</f>
        <v>189.99999999999773</v>
      </c>
      <c r="X17" s="35">
        <f>'FS Desroches Daily'!AP19</f>
        <v>180.00000000000682</v>
      </c>
      <c r="Y17" s="35">
        <f>'FS Desroches Daily'!AR19</f>
        <v>139.99999999998636</v>
      </c>
      <c r="Z17" s="35">
        <f>'FS Desroches Daily'!AU20</f>
        <v>351.88</v>
      </c>
      <c r="AA17" s="35">
        <f>'FS Desroches Daily'!AU20</f>
        <v>351.88</v>
      </c>
      <c r="AB17" s="35">
        <f>'FS Desroches Daily'!AV19</f>
        <v>159.99999999996817</v>
      </c>
      <c r="AC17" s="35">
        <f>'FS Desroches Daily'!AZ19</f>
        <v>200.00000000004547</v>
      </c>
      <c r="AD17" s="35">
        <f>'FS Desroches Daily'!BB19</f>
        <v>89.999999999974989</v>
      </c>
      <c r="AE17" s="35">
        <f>'FS Desroches Daily'!BD19</f>
        <v>69.999999999993179</v>
      </c>
      <c r="AF17" s="31">
        <f>'FS Desroches Daily'!BF19</f>
        <v>6</v>
      </c>
      <c r="AG17" s="32">
        <f>'FS Desroches Daily'!BH19</f>
        <v>30.000000000001137</v>
      </c>
      <c r="AH17" s="32">
        <f>'FS Desroches Daily'!BJ19</f>
        <v>29.999999999972715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32</v>
      </c>
      <c r="AM17" s="32">
        <f>'FS Desroches Daily'!BT19</f>
        <v>39.999999999992042</v>
      </c>
      <c r="AN17" s="32">
        <f>'FS Desroches Daily'!BV19</f>
        <v>42</v>
      </c>
      <c r="AO17" s="32">
        <f>'FS Desroches Daily'!BX19</f>
        <v>60.000000000002274</v>
      </c>
      <c r="AP17" s="32">
        <f>'FS Desroches Daily'!BZ19</f>
        <v>49</v>
      </c>
      <c r="AQ17" s="31">
        <f>'FS Desroches Daily'!CB19</f>
        <v>60.900000000001455</v>
      </c>
      <c r="AR17" s="31">
        <f>'FS Desroches Daily'!CD19</f>
        <v>9.7000000000007276</v>
      </c>
      <c r="AS17" s="31">
        <f>'FS Desroches Daily'!CF19</f>
        <v>3</v>
      </c>
      <c r="AT17" s="31">
        <f>'FS Desroches Daily'!CH19</f>
        <v>53.5</v>
      </c>
      <c r="AU17" s="31">
        <f>'FS Desroches Daily'!CJ19</f>
        <v>264</v>
      </c>
      <c r="AV17" s="31">
        <f>'FS Desroches Daily'!CL19</f>
        <v>799.99999999995453</v>
      </c>
      <c r="AW17" s="31">
        <f>'FS Desroches Daily'!CM19</f>
        <v>83.700000000000728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3.6629999999999998</v>
      </c>
      <c r="BC17" s="13">
        <f>'FS Desroches Daily'!CN19</f>
        <v>24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1799.9999999998017</v>
      </c>
      <c r="F18" s="32">
        <f>'FS Desroches Daily'!F20</f>
        <v>2899.9999999994584</v>
      </c>
      <c r="G18" s="31">
        <f>'FS Desroches Daily'!H20</f>
        <v>2900.0000000003465</v>
      </c>
      <c r="H18" s="32">
        <f>'FS Desroches Daily'!J20</f>
        <v>1400.0000000002899</v>
      </c>
      <c r="I18" s="31">
        <f>'FS Desroches Daily'!L20</f>
        <v>2000.0000000002237</v>
      </c>
      <c r="J18" s="32">
        <f>'FS Desroches Daily'!N20</f>
        <v>1400.0000000000678</v>
      </c>
      <c r="K18" s="13">
        <f>'FS Desroches Daily'!P20</f>
        <v>20</v>
      </c>
      <c r="L18" s="31">
        <f>'FS Desroches Daily'!R20</f>
        <v>2</v>
      </c>
      <c r="M18" s="31">
        <f>'FS Desroches Daily'!T20</f>
        <v>1.6000000000001364</v>
      </c>
      <c r="N18" s="31">
        <f>'FS Desroches Daily'!V20</f>
        <v>414.5</v>
      </c>
      <c r="O18" s="31">
        <f>'FS Desroches Daily'!X20</f>
        <v>259.99999999999091</v>
      </c>
      <c r="P18" s="31">
        <f>'FS Desroches Daily'!Z20</f>
        <v>2700.0000000003688</v>
      </c>
      <c r="Q18" s="31">
        <f>'FS Desroches Daily'!AB20</f>
        <v>340.00000000003183</v>
      </c>
      <c r="R18" s="31">
        <f>'FS Desroches Daily'!AD20</f>
        <v>279.99999999997272</v>
      </c>
      <c r="S18" s="31">
        <f>'FS Desroches Daily'!AF20</f>
        <v>629.99999999999545</v>
      </c>
      <c r="T18" s="31">
        <f>'FS Desroches Daily'!AH20</f>
        <v>25</v>
      </c>
      <c r="U18" s="35">
        <f>'FS Desroches Daily'!AJ20</f>
        <v>529.99999999997272</v>
      </c>
      <c r="V18" s="35">
        <f>'FS Desroches Daily'!AL20</f>
        <v>160.00000000002501</v>
      </c>
      <c r="W18" s="35">
        <f>'FS Desroches Daily'!AN20</f>
        <v>160.00000000002501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109.9999999999568</v>
      </c>
      <c r="AA18" s="35">
        <f>'FS Desroches Daily'!AT20</f>
        <v>109.9999999999568</v>
      </c>
      <c r="AB18" s="35">
        <f>'FS Desroches Daily'!AV20</f>
        <v>120.00000000000455</v>
      </c>
      <c r="AC18" s="35">
        <f>'FS Desroches Daily'!AZ20</f>
        <v>159.99999999996817</v>
      </c>
      <c r="AD18" s="35">
        <f>'FS Desroches Daily'!BB20</f>
        <v>79.999999999984084</v>
      </c>
      <c r="AE18" s="35">
        <f>'FS Desroches Daily'!BD20</f>
        <v>39.99999999996362</v>
      </c>
      <c r="AF18" s="31">
        <f>'FS Desroches Daily'!BF20</f>
        <v>18</v>
      </c>
      <c r="AG18" s="32">
        <f>'FS Desroches Daily'!BH20</f>
        <v>29.999999999972715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26</v>
      </c>
      <c r="AM18" s="32">
        <f>'FS Desroches Daily'!BT20</f>
        <v>20.000000000010232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42</v>
      </c>
      <c r="AQ18" s="31">
        <f>'FS Desroches Daily'!CB20</f>
        <v>63.80000000000291</v>
      </c>
      <c r="AR18" s="31">
        <f>'FS Desroches Daily'!CD20</f>
        <v>13.799999999999272</v>
      </c>
      <c r="AS18" s="31">
        <f>'FS Desroches Daily'!CF20</f>
        <v>6.2000000000007276</v>
      </c>
      <c r="AT18" s="31">
        <f>'FS Desroches Daily'!CH20</f>
        <v>42.399999999994179</v>
      </c>
      <c r="AU18" s="31">
        <f>'FS Desroches Daily'!CJ20</f>
        <v>256</v>
      </c>
      <c r="AV18" s="31">
        <f>'FS Desroches Daily'!CL20</f>
        <v>700.00000000004547</v>
      </c>
      <c r="AW18" s="31">
        <f>'FS Desroches Daily'!CM20</f>
        <v>72.299999999999272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20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2200.0000000002019</v>
      </c>
      <c r="F19" s="32">
        <f>'FS Desroches Daily'!F21</f>
        <v>3000.0000000001137</v>
      </c>
      <c r="G19" s="31">
        <f>'FS Desroches Daily'!H21</f>
        <v>3199.9999999996476</v>
      </c>
      <c r="H19" s="32">
        <f>'FS Desroches Daily'!J21</f>
        <v>1599.9999999998238</v>
      </c>
      <c r="I19" s="31">
        <f>'FS Desroches Daily'!L21</f>
        <v>2099.9999999999909</v>
      </c>
      <c r="J19" s="32">
        <f>'FS Desroches Daily'!N21</f>
        <v>1700.0000000000348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0.59999999999990905</v>
      </c>
      <c r="N19" s="31">
        <f>'FS Desroches Daily'!V21</f>
        <v>429.19999999995343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349.99999999990905</v>
      </c>
      <c r="R19" s="31">
        <f>'FS Desroches Daily'!AD21</f>
        <v>379.99999999999545</v>
      </c>
      <c r="S19" s="31">
        <f>'FS Desroches Daily'!AF21</f>
        <v>850.00000000002274</v>
      </c>
      <c r="T19" s="31">
        <f>'FS Desroches Daily'!AH21</f>
        <v>31</v>
      </c>
      <c r="U19" s="35">
        <f>'FS Desroches Daily'!AJ21</f>
        <v>389.99999999998636</v>
      </c>
      <c r="V19" s="35">
        <f>'FS Desroches Daily'!AL21</f>
        <v>209.99999999997954</v>
      </c>
      <c r="W19" s="35">
        <f>'FS Desroches Daily'!AN21</f>
        <v>159.99999999996817</v>
      </c>
      <c r="X19" s="35">
        <f>'FS Desroches Daily'!AP21</f>
        <v>129.99999999999545</v>
      </c>
      <c r="Y19" s="35">
        <f>'FS Desroches Daily'!AR21</f>
        <v>120.00000000000455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139.99999999998636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60.000000000002274</v>
      </c>
      <c r="AF19" s="31">
        <f>'FS Desroches Daily'!BF21</f>
        <v>32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49.999999999982947</v>
      </c>
      <c r="AJ19" s="32">
        <f>'FS Desroches Daily'!BN21</f>
        <v>40.000000000020464</v>
      </c>
      <c r="AK19" s="32">
        <f>'FS Desroches Daily'!BP21</f>
        <v>40.000000000020464</v>
      </c>
      <c r="AL19" s="32">
        <f>'FS Desroches Daily'!BR21</f>
        <v>28</v>
      </c>
      <c r="AM19" s="32">
        <f>'FS Desroches Daily'!BT21</f>
        <v>39.999999999992042</v>
      </c>
      <c r="AN19" s="32">
        <f>'FS Desroches Daily'!BV21</f>
        <v>29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56.400000000001455</v>
      </c>
      <c r="AR19" s="31">
        <f>'FS Desroches Daily'!CD21</f>
        <v>9.2999999999992724</v>
      </c>
      <c r="AS19" s="31">
        <f>'FS Desroches Daily'!CF21</f>
        <v>0.2999999999992724</v>
      </c>
      <c r="AT19" s="31">
        <f>'FS Desroches Daily'!CH21</f>
        <v>44.19999999999709</v>
      </c>
      <c r="AU19" s="31">
        <f>'FS Desroches Daily'!CJ21</f>
        <v>269</v>
      </c>
      <c r="AV19" s="31">
        <f>'FS Desroches Daily'!CL21</f>
        <v>799.99999999995453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1.8314999999999999</v>
      </c>
      <c r="BB19" s="31">
        <f>IF(LPG!Q26-LPG!Q25&lt;0,"0",(LPG!Q26-LPG!Q25)*1.8315)</f>
        <v>3.6629999999999998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2099.9999999999909</v>
      </c>
      <c r="F20" s="32">
        <f>'FS Desroches Daily'!F22</f>
        <v>2500.0000000003906</v>
      </c>
      <c r="G20" s="31">
        <f>'FS Desroches Daily'!H22</f>
        <v>2799.9999999996917</v>
      </c>
      <c r="H20" s="32">
        <f>'FS Desroches Daily'!J22</f>
        <v>1500.0000000000568</v>
      </c>
      <c r="I20" s="31">
        <f>'FS Desroches Daily'!L22</f>
        <v>2099.9999999999909</v>
      </c>
      <c r="J20" s="32">
        <f>'FS Desroches Daily'!N22</f>
        <v>1500.0000000000568</v>
      </c>
      <c r="K20" s="13">
        <f>'FS Desroches Daily'!P22</f>
        <v>2</v>
      </c>
      <c r="L20" s="31">
        <f>'FS Desroches Daily'!R22</f>
        <v>3</v>
      </c>
      <c r="M20" s="31">
        <f>'FS Desroches Daily'!T22</f>
        <v>0.90000000000009095</v>
      </c>
      <c r="N20" s="31">
        <f>'FS Desroches Daily'!V22</f>
        <v>285.70000000006985</v>
      </c>
      <c r="O20" s="31">
        <f>'FS Desroches Daily'!X22</f>
        <v>290.00000000007731</v>
      </c>
      <c r="P20" s="31">
        <f>'FS Desroches Daily'!Z22</f>
        <v>2200.0000000002019</v>
      </c>
      <c r="Q20" s="31">
        <f>'FS Desroches Daily'!AB22</f>
        <v>350.00000000002274</v>
      </c>
      <c r="R20" s="31">
        <f>'FS Desroches Daily'!AD22</f>
        <v>370.00000000000455</v>
      </c>
      <c r="S20" s="31">
        <f>'FS Desroches Daily'!AF22</f>
        <v>750</v>
      </c>
      <c r="T20" s="31">
        <f>'FS Desroches Daily'!AH22</f>
        <v>28</v>
      </c>
      <c r="U20" s="35">
        <f>'FS Desroches Daily'!AJ22</f>
        <v>899.99999999997726</v>
      </c>
      <c r="V20" s="35">
        <f>'FS Desroches Daily'!AL22</f>
        <v>220.00000000002728</v>
      </c>
      <c r="W20" s="35">
        <f>'FS Desroches Daily'!AN22</f>
        <v>140.0000000000432</v>
      </c>
      <c r="X20" s="35">
        <f>'FS Desroches Daily'!AP22</f>
        <v>149.99999999997726</v>
      </c>
      <c r="Y20" s="35">
        <f>'FS Desroches Daily'!AR22</f>
        <v>180.00000000000682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140.0000000000432</v>
      </c>
      <c r="AC20" s="35">
        <f>'FS Desroches Daily'!AZ22</f>
        <v>160.00000000002501</v>
      </c>
      <c r="AD20" s="35">
        <f>'FS Desroches Daily'!BB22</f>
        <v>100.00000000002274</v>
      </c>
      <c r="AE20" s="35">
        <f>'FS Desroches Daily'!BD22</f>
        <v>69.999999999993179</v>
      </c>
      <c r="AF20" s="31">
        <f>'FS Desroches Daily'!BF22</f>
        <v>14</v>
      </c>
      <c r="AG20" s="32">
        <f>'FS Desroches Daily'!BH22</f>
        <v>39.999999999992042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30.000000000001137</v>
      </c>
      <c r="AK20" s="32">
        <f>'FS Desroches Daily'!BP22</f>
        <v>60.000000000002274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37</v>
      </c>
      <c r="AO20" s="32">
        <f>'FS Desroches Daily'!BX22</f>
        <v>40.000000000020464</v>
      </c>
      <c r="AP20" s="32">
        <f>'FS Desroches Daily'!BZ22</f>
        <v>47</v>
      </c>
      <c r="AQ20" s="31">
        <f>'FS Desroches Daily'!CB22</f>
        <v>54.69999999999709</v>
      </c>
      <c r="AR20" s="31">
        <f>'FS Desroches Daily'!CD22</f>
        <v>10</v>
      </c>
      <c r="AS20" s="31">
        <f>'FS Desroches Daily'!CF22</f>
        <v>12.399999999999636</v>
      </c>
      <c r="AT20" s="31">
        <f>'FS Desroches Daily'!CH22</f>
        <v>50.5</v>
      </c>
      <c r="AU20" s="31">
        <f>'FS Desroches Daily'!CJ22</f>
        <v>278</v>
      </c>
      <c r="AV20" s="31">
        <f>'FS Desroches Daily'!CL22</f>
        <v>800.00000000006821</v>
      </c>
      <c r="AW20" s="31">
        <f>'FS Desroches Daily'!CM22</f>
        <v>74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1.6483500000001665</v>
      </c>
      <c r="BB20" s="31">
        <f>IF(LPG!Q27-LPG!Q26&lt;0,"0",(LPG!Q27-LPG!Q26)*1.8315)</f>
        <v>3.6629999999999998</v>
      </c>
      <c r="BC20" s="13">
        <f>'FS Desroches Daily'!CN22</f>
        <v>20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2499.9999999999468</v>
      </c>
      <c r="F21" s="32">
        <f>'FS Desroches Daily'!F23</f>
        <v>2899.9999999994584</v>
      </c>
      <c r="G21" s="31">
        <f>'FS Desroches Daily'!H23</f>
        <v>2800.0000000005798</v>
      </c>
      <c r="H21" s="32">
        <f>'FS Desroches Daily'!J23</f>
        <v>1500.0000000000568</v>
      </c>
      <c r="I21" s="31">
        <f>'FS Desroches Daily'!L23</f>
        <v>1999.9999999997797</v>
      </c>
      <c r="J21" s="32">
        <f>'FS Desroches Daily'!N23</f>
        <v>1499.9999999998347</v>
      </c>
      <c r="K21" s="13">
        <f>'FS Desroches Daily'!P23</f>
        <v>58</v>
      </c>
      <c r="L21" s="31">
        <f>'FS Desroches Daily'!R23</f>
        <v>3</v>
      </c>
      <c r="M21" s="31">
        <f>'FS Desroches Daily'!T23</f>
        <v>0.70000000000004547</v>
      </c>
      <c r="N21" s="31">
        <f>'FS Desroches Daily'!V23</f>
        <v>344.09999999997672</v>
      </c>
      <c r="O21" s="31">
        <f>'FS Desroches Daily'!X23</f>
        <v>230.00000000001819</v>
      </c>
      <c r="P21" s="31">
        <f>'FS Desroches Daily'!Z23</f>
        <v>2499.9999999999468</v>
      </c>
      <c r="Q21" s="31">
        <f>'FS Desroches Daily'!AB23</f>
        <v>340.00000000003183</v>
      </c>
      <c r="R21" s="31">
        <f>'FS Desroches Daily'!AD23</f>
        <v>330.00000000004093</v>
      </c>
      <c r="S21" s="31">
        <f>'FS Desroches Daily'!AF23</f>
        <v>629.99999999999545</v>
      </c>
      <c r="T21" s="31">
        <f>'FS Desroches Daily'!AH23</f>
        <v>25</v>
      </c>
      <c r="U21" s="35">
        <f>'FS Desroches Daily'!AJ23</f>
        <v>800.00000000006821</v>
      </c>
      <c r="V21" s="35">
        <f>'FS Desroches Daily'!AL23</f>
        <v>189.99999999999773</v>
      </c>
      <c r="W21" s="35">
        <f>'FS Desroches Daily'!AN23</f>
        <v>119.9999999999477</v>
      </c>
      <c r="X21" s="35">
        <f>'FS Desroches Daily'!AP23</f>
        <v>189.99999999999773</v>
      </c>
      <c r="Y21" s="35">
        <f>'FS Desroches Daily'!AR23</f>
        <v>159.99999999996817</v>
      </c>
      <c r="Z21" s="35">
        <f>'FS Desroches Daily'!AT23</f>
        <v>170.00000000001592</v>
      </c>
      <c r="AA21" s="35">
        <f>'FS Desroches Daily'!AT23</f>
        <v>170.00000000001592</v>
      </c>
      <c r="AB21" s="35">
        <f>'FS Desroches Daily'!AV23</f>
        <v>129.99999999999545</v>
      </c>
      <c r="AC21" s="35">
        <f>'FS Desroches Daily'!AZ23</f>
        <v>129.99999999999545</v>
      </c>
      <c r="AD21" s="35">
        <f>'FS Desroches Daily'!BB23</f>
        <v>89.999999999974989</v>
      </c>
      <c r="AE21" s="35">
        <f>'FS Desroches Daily'!BD23</f>
        <v>60.000000000002274</v>
      </c>
      <c r="AF21" s="31">
        <f>'FS Desroches Daily'!BF23</f>
        <v>16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49.999999999982947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49.999999999982947</v>
      </c>
      <c r="AP21" s="32">
        <f>'FS Desroches Daily'!BZ23</f>
        <v>43</v>
      </c>
      <c r="AQ21" s="31">
        <f>'FS Desroches Daily'!CB23</f>
        <v>51.5</v>
      </c>
      <c r="AR21" s="31">
        <f>'FS Desroches Daily'!CD23</f>
        <v>9</v>
      </c>
      <c r="AS21" s="31">
        <f>'FS Desroches Daily'!CF23</f>
        <v>0</v>
      </c>
      <c r="AT21" s="31">
        <f>'FS Desroches Daily'!CH23</f>
        <v>47.80000000000291</v>
      </c>
      <c r="AU21" s="31">
        <f>'FS Desroches Daily'!CJ23</f>
        <v>284</v>
      </c>
      <c r="AV21" s="31">
        <f>'FS Desroches Daily'!CL23</f>
        <v>799.99999999995453</v>
      </c>
      <c r="AW21" s="31">
        <f>'FS Desroches Daily'!CM23</f>
        <v>67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0.18314999999983342</v>
      </c>
      <c r="BB21" s="31">
        <f>IF(LPG!Q28-LPG!Q27&lt;0,"0",(LPG!Q28-LPG!Q27)*1.8315)</f>
        <v>1.8314999999999999</v>
      </c>
      <c r="BC21" s="13">
        <f>'FS Desroches Daily'!CN23</f>
        <v>20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2699.9999999999245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1500.0000000000568</v>
      </c>
      <c r="I22" s="31">
        <f>'FS Desroches Daily'!L24</f>
        <v>2000.0000000002237</v>
      </c>
      <c r="J22" s="32">
        <f>'FS Desroches Daily'!N24</f>
        <v>1300.0000000000789</v>
      </c>
      <c r="K22" s="13">
        <f>'FS Desroches Daily'!P24</f>
        <v>25</v>
      </c>
      <c r="L22" s="31">
        <f>'FS Desroches Daily'!R24</f>
        <v>3</v>
      </c>
      <c r="M22" s="31">
        <f>'FS Desroches Daily'!T24</f>
        <v>0.89999999999986358</v>
      </c>
      <c r="N22" s="31">
        <f>'FS Desroches Daily'!V24</f>
        <v>326</v>
      </c>
      <c r="O22" s="31">
        <f>'FS Desroches Daily'!X24</f>
        <v>269.99999999998181</v>
      </c>
      <c r="P22" s="31">
        <f>'FS Desroches Daily'!Z24</f>
        <v>2600.0000000001578</v>
      </c>
      <c r="Q22" s="31">
        <f>'FS Desroches Daily'!AB24</f>
        <v>250</v>
      </c>
      <c r="R22" s="31">
        <f>'FS Desroches Daily'!AD24</f>
        <v>339.99999999991815</v>
      </c>
      <c r="S22" s="31">
        <f>'FS Desroches Daily'!AF24</f>
        <v>669.99999999995907</v>
      </c>
      <c r="T22" s="31">
        <f>'FS Desroches Daily'!AH24</f>
        <v>38</v>
      </c>
      <c r="U22" s="35">
        <f>'FS Desroches Daily'!AJ24</f>
        <v>919.99999999995907</v>
      </c>
      <c r="V22" s="35">
        <f>'FS Desroches Daily'!AL24</f>
        <v>250</v>
      </c>
      <c r="W22" s="35">
        <f>'FS Desroches Daily'!AN24</f>
        <v>170.00000000001592</v>
      </c>
      <c r="X22" s="35">
        <f>'FS Desroches Daily'!AP24</f>
        <v>190.00000000005457</v>
      </c>
      <c r="Y22" s="35">
        <f>'FS Desroches Daily'!AR24</f>
        <v>150.00000000003411</v>
      </c>
      <c r="Z22" s="35">
        <f>'FS Desroches Daily'!AT24</f>
        <v>170.00000000001592</v>
      </c>
      <c r="AA22" s="35">
        <f>'FS Desroches Daily'!AT24</f>
        <v>170.00000000001592</v>
      </c>
      <c r="AB22" s="35">
        <f>'FS Desroches Daily'!AV24</f>
        <v>129.99999999999545</v>
      </c>
      <c r="AC22" s="35">
        <f>'FS Desroches Daily'!AZ24</f>
        <v>139.99999999998636</v>
      </c>
      <c r="AD22" s="35">
        <f>'FS Desroches Daily'!BB24</f>
        <v>120.00000000000455</v>
      </c>
      <c r="AE22" s="35">
        <f>'FS Desroches Daily'!BD24</f>
        <v>60.000000000002274</v>
      </c>
      <c r="AF22" s="31">
        <f>'FS Desroches Daily'!BF24</f>
        <v>24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49.999999999954525</v>
      </c>
      <c r="AL22" s="32">
        <f>'FS Desroches Daily'!BR24</f>
        <v>28</v>
      </c>
      <c r="AM22" s="32">
        <f>'FS Desroches Daily'!BT24</f>
        <v>69.999999999993179</v>
      </c>
      <c r="AN22" s="32">
        <f>'FS Desroches Daily'!BV24</f>
        <v>31</v>
      </c>
      <c r="AO22" s="32">
        <f>'FS Desroches Daily'!BX24</f>
        <v>30.000000000001137</v>
      </c>
      <c r="AP22" s="32">
        <f>'FS Desroches Daily'!BZ24</f>
        <v>42</v>
      </c>
      <c r="AQ22" s="31">
        <f>'FS Desroches Daily'!CB24</f>
        <v>45.599999999998545</v>
      </c>
      <c r="AR22" s="31">
        <f>'FS Desroches Daily'!CD24</f>
        <v>9.9000000000014552</v>
      </c>
      <c r="AS22" s="31">
        <f>'FS Desroches Daily'!CF24</f>
        <v>5</v>
      </c>
      <c r="AT22" s="31">
        <f>'FS Desroches Daily'!CH24</f>
        <v>53.400000000008731</v>
      </c>
      <c r="AU22" s="31">
        <f>'FS Desroches Daily'!CJ24</f>
        <v>286</v>
      </c>
      <c r="AV22" s="31">
        <f>'FS Desroches Daily'!CL24</f>
        <v>899.99999999997726</v>
      </c>
      <c r="AW22" s="31">
        <f>'FS Desroches Daily'!CM24</f>
        <v>81</v>
      </c>
      <c r="AX22" s="31">
        <f>IF(LPG!F29-LPG!F28&lt;0,"0",(LPG!F29-LPG!F28)*1.8315)</f>
        <v>0</v>
      </c>
      <c r="AY22" s="31">
        <f>IF(LPG!G29-LPG!G28&lt;0,"0",(LPG!G29-LPG!G28)*1.8315)</f>
        <v>146.51999999999998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26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2599.9999999997135</v>
      </c>
      <c r="F23" s="32">
        <f>'FS Desroches Daily'!F25</f>
        <v>2900.0000000003465</v>
      </c>
      <c r="G23" s="31">
        <f>'FS Desroches Daily'!H25</f>
        <v>3000.0000000001137</v>
      </c>
      <c r="H23" s="32">
        <f>'FS Desroches Daily'!J25</f>
        <v>1399.9999999998458</v>
      </c>
      <c r="I23" s="31">
        <f>'FS Desroches Daily'!L25</f>
        <v>1999.9999999997797</v>
      </c>
      <c r="J23" s="32">
        <f>'FS Desroches Daily'!N25</f>
        <v>1500.0000000000568</v>
      </c>
      <c r="K23" s="13">
        <f>'FS Desroches Daily'!P25</f>
        <v>27</v>
      </c>
      <c r="L23" s="31">
        <f>'FS Desroches Daily'!R25</f>
        <v>3</v>
      </c>
      <c r="M23" s="31">
        <f>'FS Desroches Daily'!T25</f>
        <v>0.90000000000009095</v>
      </c>
      <c r="N23" s="31">
        <f>'FS Desroches Daily'!V25</f>
        <v>413.80000000004657</v>
      </c>
      <c r="O23" s="31">
        <f>'FS Desroches Daily'!X25</f>
        <v>279.99999999997272</v>
      </c>
      <c r="P23" s="31">
        <f>'FS Desroches Daily'!Z25</f>
        <v>2599.9999999997135</v>
      </c>
      <c r="Q23" s="31">
        <f>'FS Desroches Daily'!AB25</f>
        <v>389.99999999998636</v>
      </c>
      <c r="R23" s="31">
        <f>'FS Desroches Daily'!AD25</f>
        <v>310.00000000005912</v>
      </c>
      <c r="S23" s="31">
        <f>'FS Desroches Daily'!AF25</f>
        <v>659.99999999996817</v>
      </c>
      <c r="T23" s="31">
        <f>'FS Desroches Daily'!AH25</f>
        <v>41</v>
      </c>
      <c r="U23" s="35">
        <f>'FS Desroches Daily'!AJ25</f>
        <v>870.00000000000455</v>
      </c>
      <c r="V23" s="35">
        <f>'FS Desroches Daily'!AL25</f>
        <v>229.99999999996135</v>
      </c>
      <c r="W23" s="35">
        <f>'FS Desroches Daily'!AN25</f>
        <v>189.99999999999773</v>
      </c>
      <c r="X23" s="35">
        <f>'FS Desroches Daily'!AP25</f>
        <v>209.99999999997954</v>
      </c>
      <c r="Y23" s="35">
        <f>'FS Desroches Daily'!AR25</f>
        <v>279.99999999997272</v>
      </c>
      <c r="Z23" s="35">
        <f>'FS Desroches Daily'!AT25</f>
        <v>170.00000000001592</v>
      </c>
      <c r="AA23" s="35">
        <f>'FS Desroches Daily'!AT25</f>
        <v>170.00000000001592</v>
      </c>
      <c r="AB23" s="35">
        <f>'FS Desroches Daily'!AV25</f>
        <v>180.00000000000682</v>
      </c>
      <c r="AC23" s="35">
        <f>'FS Desroches Daily'!AZ25</f>
        <v>120.00000000000455</v>
      </c>
      <c r="AD23" s="35">
        <f>'FS Desroches Daily'!BB25</f>
        <v>89.999999999974989</v>
      </c>
      <c r="AE23" s="35">
        <f>'FS Desroches Daily'!BD25</f>
        <v>60.000000000002274</v>
      </c>
      <c r="AF23" s="31">
        <f>'FS Desroches Daily'!BF25</f>
        <v>20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49.999999999982947</v>
      </c>
      <c r="AJ23" s="32">
        <f>'FS Desroches Daily'!BN25</f>
        <v>30.000000000001137</v>
      </c>
      <c r="AK23" s="32">
        <f>'FS Desroches Daily'!BP25</f>
        <v>40.000000000020464</v>
      </c>
      <c r="AL23" s="32">
        <f>'FS Desroches Daily'!BR25</f>
        <v>25</v>
      </c>
      <c r="AM23" s="32">
        <f>'FS Desroches Daily'!BT25</f>
        <v>9.9999999999909051</v>
      </c>
      <c r="AN23" s="32">
        <f>'FS Desroches Daily'!BV25</f>
        <v>24</v>
      </c>
      <c r="AO23" s="32">
        <f>'FS Desroches Daily'!BX25</f>
        <v>39.999999999992042</v>
      </c>
      <c r="AP23" s="32">
        <f>'FS Desroches Daily'!BZ25</f>
        <v>42</v>
      </c>
      <c r="AQ23" s="31">
        <f>'FS Desroches Daily'!CB25</f>
        <v>59</v>
      </c>
      <c r="AR23" s="31">
        <f>'FS Desroches Daily'!CD25</f>
        <v>10</v>
      </c>
      <c r="AS23" s="31">
        <f>'FS Desroches Daily'!CF25</f>
        <v>2.6000000000003638</v>
      </c>
      <c r="AT23" s="31">
        <f>'FS Desroches Daily'!CH25</f>
        <v>53.099999999991269</v>
      </c>
      <c r="AU23" s="31">
        <f>'FS Desroches Daily'!CJ25</f>
        <v>291</v>
      </c>
      <c r="AV23" s="31">
        <f>'FS Desroches Daily'!CL25</f>
        <v>900.00000000009095</v>
      </c>
      <c r="AW23" s="31">
        <f>'FS Desroches Daily'!CM25</f>
        <v>108</v>
      </c>
      <c r="AX23" s="31">
        <f>IF(LPG!F30-LPG!F29&lt;0,"0",(LPG!F30-LPG!F29)*1.8315)</f>
        <v>0</v>
      </c>
      <c r="AY23" s="31" t="str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9.1574999999999989</v>
      </c>
      <c r="BC23" s="13">
        <f>'FS Desroches Daily'!CN25</f>
        <v>26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2600.0000000001578</v>
      </c>
      <c r="F24" s="32">
        <f>'FS Desroches Daily'!F26</f>
        <v>3099.9999999998809</v>
      </c>
      <c r="G24" s="31">
        <f>'FS Desroches Daily'!H26</f>
        <v>2999.9999999992256</v>
      </c>
      <c r="H24" s="32">
        <f>'FS Desroches Daily'!J26</f>
        <v>1500.0000000000568</v>
      </c>
      <c r="I24" s="31">
        <f>'FS Desroches Daily'!L26</f>
        <v>2000.0000000002237</v>
      </c>
      <c r="J24" s="32">
        <f>'FS Desroches Daily'!N26</f>
        <v>1299.9999999998568</v>
      </c>
      <c r="K24" s="13">
        <f>'FS Desroches Daily'!P26</f>
        <v>24</v>
      </c>
      <c r="L24" s="31">
        <f>'FS Desroches Daily'!R26</f>
        <v>3</v>
      </c>
      <c r="M24" s="31">
        <f>'FS Desroches Daily'!T26</f>
        <v>1</v>
      </c>
      <c r="N24" s="31">
        <f>'FS Desroches Daily'!V26</f>
        <v>309.69999999995343</v>
      </c>
      <c r="O24" s="31">
        <f>'FS Desroches Daily'!X26</f>
        <v>319.99999999993634</v>
      </c>
      <c r="P24" s="31">
        <f>'FS Desroches Daily'!Z26</f>
        <v>2900.0000000003465</v>
      </c>
      <c r="Q24" s="31">
        <f>'FS Desroches Daily'!AB26</f>
        <v>220.00000000002728</v>
      </c>
      <c r="R24" s="31">
        <f>'FS Desroches Daily'!AD26</f>
        <v>289.99999999996362</v>
      </c>
      <c r="S24" s="31">
        <f>'FS Desroches Daily'!AF26</f>
        <v>700.00000000004547</v>
      </c>
      <c r="T24" s="31">
        <f>'FS Desroches Daily'!AH26</f>
        <v>37</v>
      </c>
      <c r="U24" s="35">
        <f>'FS Desroches Daily'!AJ26</f>
        <v>799.99999999995453</v>
      </c>
      <c r="V24" s="35">
        <f>'FS Desroches Daily'!AL26</f>
        <v>199.99999999998863</v>
      </c>
      <c r="W24" s="35">
        <f>'FS Desroches Daily'!AN26</f>
        <v>180.00000000000682</v>
      </c>
      <c r="X24" s="35">
        <f>'FS Desroches Daily'!AP26</f>
        <v>180.00000000000682</v>
      </c>
      <c r="Y24" s="35">
        <f>'FS Desroches Daily'!AR26</f>
        <v>270.00000000003865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179.99999999994998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17</v>
      </c>
      <c r="AG24" s="32">
        <f>'FS Desroches Daily'!BH26</f>
        <v>249.59</v>
      </c>
      <c r="AH24" s="32">
        <f>'FS Desroches Daily'!BJ26</f>
        <v>29.999999999972715</v>
      </c>
      <c r="AI24" s="32">
        <f>'FS Desroches Daily'!BL26</f>
        <v>40.000000000020464</v>
      </c>
      <c r="AJ24" s="32">
        <f>'FS Desroches Daily'!BN26</f>
        <v>29.999999999972715</v>
      </c>
      <c r="AK24" s="32">
        <f>'FS Desroches Daily'!BP26</f>
        <v>29.999999999972715</v>
      </c>
      <c r="AL24" s="32">
        <f>'FS Desroches Daily'!BR26</f>
        <v>28</v>
      </c>
      <c r="AM24" s="32">
        <f>'FS Desroches Daily'!BT26</f>
        <v>40.000000000020464</v>
      </c>
      <c r="AN24" s="32">
        <f>'FS Desroches Daily'!BV26</f>
        <v>37</v>
      </c>
      <c r="AO24" s="32">
        <f>'FS Desroches Daily'!BX26</f>
        <v>40.000000000020464</v>
      </c>
      <c r="AP24" s="32">
        <f>'FS Desroches Daily'!BZ26</f>
        <v>43</v>
      </c>
      <c r="AQ24" s="31">
        <f>'FS Desroches Daily'!CB26</f>
        <v>51.200000000004366</v>
      </c>
      <c r="AR24" s="31">
        <f>'FS Desroches Daily'!CD26</f>
        <v>10</v>
      </c>
      <c r="AS24" s="31">
        <f>'FS Desroches Daily'!CF26</f>
        <v>4.7999999999992724</v>
      </c>
      <c r="AT24" s="31">
        <f>'FS Desroches Daily'!CH26</f>
        <v>48.30000000000291</v>
      </c>
      <c r="AU24" s="31">
        <f>'FS Desroches Daily'!CJ26</f>
        <v>264</v>
      </c>
      <c r="AV24" s="31">
        <f>'FS Desroches Daily'!CL26</f>
        <v>1000</v>
      </c>
      <c r="AW24" s="31">
        <f>'FS Desroches Daily'!CM26</f>
        <v>97</v>
      </c>
      <c r="AX24" s="31">
        <f>IF(LPG!F31-LPG!F30&lt;0,"0",(LPG!F31-LPG!F30)*1.8315)</f>
        <v>0</v>
      </c>
      <c r="AY24" s="31" t="str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20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2200.0000000002019</v>
      </c>
      <c r="F25" s="32">
        <f>'FS Desroches Daily'!F27</f>
        <v>2799.9999999996917</v>
      </c>
      <c r="G25" s="31">
        <f>'FS Desroches Daily'!H27</f>
        <v>3100.000000000769</v>
      </c>
      <c r="H25" s="32">
        <f>'FS Desroches Daily'!J27</f>
        <v>1399.9999999998458</v>
      </c>
      <c r="I25" s="31">
        <f>'FS Desroches Daily'!L27</f>
        <v>1900.0000000000127</v>
      </c>
      <c r="J25" s="32">
        <f>'FS Desroches Daily'!N27</f>
        <v>1400.0000000000678</v>
      </c>
      <c r="K25" s="13">
        <f>'FS Desroches Daily'!P27</f>
        <v>21</v>
      </c>
      <c r="L25" s="31">
        <f>'FS Desroches Daily'!R27</f>
        <v>2</v>
      </c>
      <c r="M25" s="31">
        <f>'FS Desroches Daily'!T27</f>
        <v>1.2000000000000455</v>
      </c>
      <c r="N25" s="31">
        <f>'FS Desroches Daily'!V27</f>
        <v>380.09999999997672</v>
      </c>
      <c r="O25" s="31">
        <f>'FS Desroches Daily'!X27</f>
        <v>300.00000000006821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269.99999999998181</v>
      </c>
      <c r="S25" s="31">
        <f>'FS Desroches Daily'!AF27</f>
        <v>649.99999999997726</v>
      </c>
      <c r="T25" s="31">
        <f>'FS Desroches Daily'!AH27</f>
        <v>34</v>
      </c>
      <c r="U25" s="35">
        <f>'FS Desroches Daily'!AJ27</f>
        <v>500</v>
      </c>
      <c r="V25" s="35">
        <f>'FS Desroches Daily'!AL27</f>
        <v>280.00000000002956</v>
      </c>
      <c r="W25" s="35">
        <f>'FS Desroches Daily'!AN27</f>
        <v>170.00000000001592</v>
      </c>
      <c r="X25" s="35">
        <f>'FS Desroches Daily'!AP27</f>
        <v>189.99999999999773</v>
      </c>
      <c r="Y25" s="35">
        <f>'FS Desroches Daily'!AR27</f>
        <v>269.99999999998181</v>
      </c>
      <c r="Z25" s="35">
        <f>'FS Desroches Daily'!AT27</f>
        <v>180.00000000000682</v>
      </c>
      <c r="AA25" s="35">
        <f>'FS Desroches Daily'!AT27</f>
        <v>180.00000000000682</v>
      </c>
      <c r="AB25" s="35">
        <f>'FS Desroches Daily'!AV27</f>
        <v>120.00000000000455</v>
      </c>
      <c r="AC25" s="35">
        <f>'FS Desroches Daily'!AZ27</f>
        <v>120.00000000000455</v>
      </c>
      <c r="AD25" s="35">
        <f>'FS Desroches Daily'!BB27</f>
        <v>79.999999999984084</v>
      </c>
      <c r="AE25" s="35">
        <f>'FS Desroches Daily'!BD27</f>
        <v>60.000000000002274</v>
      </c>
      <c r="AF25" s="31">
        <f>'FS Desroches Daily'!BF27</f>
        <v>24</v>
      </c>
      <c r="AG25" s="32">
        <f>'FS Desroches Daily'!BH27</f>
        <v>39.999999999992042</v>
      </c>
      <c r="AH25" s="32">
        <f>'FS Desroches Daily'!BJ27</f>
        <v>29.999999999972715</v>
      </c>
      <c r="AI25" s="32">
        <f>'FS Desroches Daily'!BL27</f>
        <v>39.999999999992042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28</v>
      </c>
      <c r="AM25" s="32">
        <f>'FS Desroches Daily'!BT27</f>
        <v>39.999999999992042</v>
      </c>
      <c r="AN25" s="32">
        <f>'FS Desroches Daily'!BV27</f>
        <v>32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52.5</v>
      </c>
      <c r="AR25" s="31">
        <f>'FS Desroches Daily'!CD27</f>
        <v>10.199999999998909</v>
      </c>
      <c r="AS25" s="31">
        <f>'FS Desroches Daily'!CF27</f>
        <v>0</v>
      </c>
      <c r="AT25" s="31">
        <f>'FS Desroches Daily'!CH27</f>
        <v>51.100000000005821</v>
      </c>
      <c r="AU25" s="31">
        <f>'FS Desroches Daily'!CJ27</f>
        <v>299</v>
      </c>
      <c r="AV25" s="31">
        <f>'FS Desroches Daily'!CL27</f>
        <v>899.99999999997726</v>
      </c>
      <c r="AW25" s="31">
        <f>'FS Desroches Daily'!CM27</f>
        <v>96</v>
      </c>
      <c r="AX25" s="31">
        <f>IF(LPG!F32-LPG!F31&lt;0,"0",(LPG!F32-LPG!F31)*1.8315)</f>
        <v>0</v>
      </c>
      <c r="AY25" s="31" t="str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3.6629999999999998</v>
      </c>
      <c r="BB25" s="31">
        <f>IF(LPG!Q32-LPG!Q31&lt;0,"0",(LPG!Q32-LPG!Q31)*1.8315)</f>
        <v>3.6629999999999998</v>
      </c>
      <c r="BC25" s="13">
        <f>'FS Desroches Daily'!CN27</f>
        <v>17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1799.9999999998017</v>
      </c>
      <c r="F26" s="32">
        <f>'FS Desroches Daily'!F28</f>
        <v>2399.9999999997358</v>
      </c>
      <c r="G26" s="31">
        <f>'FS Desroches Daily'!H28</f>
        <v>2899.9999999994584</v>
      </c>
      <c r="H26" s="32">
        <f>'FS Desroches Daily'!J28</f>
        <v>1400.0000000002899</v>
      </c>
      <c r="I26" s="31">
        <f>'FS Desroches Daily'!L28</f>
        <v>1900.0000000000127</v>
      </c>
      <c r="J26" s="32">
        <f>'FS Desroches Daily'!N28</f>
        <v>1100.000000000101</v>
      </c>
      <c r="K26" s="13">
        <f>'FS Desroches Daily'!P28</f>
        <v>14</v>
      </c>
      <c r="L26" s="31">
        <f>'FS Desroches Daily'!R28</f>
        <v>3</v>
      </c>
      <c r="M26" s="31">
        <f>'FS Desroches Daily'!T28</f>
        <v>1.1999999999998181</v>
      </c>
      <c r="N26" s="31">
        <f>'FS Desroches Daily'!V28</f>
        <v>344.5</v>
      </c>
      <c r="O26" s="31">
        <f>'FS Desroches Daily'!X28</f>
        <v>250</v>
      </c>
      <c r="P26" s="31">
        <f>'FS Desroches Daily'!Z28</f>
        <v>2299.9999999999686</v>
      </c>
      <c r="Q26" s="31">
        <f>'FS Desroches Daily'!AB28</f>
        <v>209.99999999992269</v>
      </c>
      <c r="R26" s="31">
        <f>'FS Desroches Daily'!AD28</f>
        <v>250</v>
      </c>
      <c r="S26" s="31">
        <f>'FS Desroches Daily'!AF28</f>
        <v>680.00000000006366</v>
      </c>
      <c r="T26" s="31">
        <f>'FS Desroches Daily'!AH28</f>
        <v>33</v>
      </c>
      <c r="U26" s="35">
        <f>'FS Desroches Daily'!AJ28</f>
        <v>690.00000000005457</v>
      </c>
      <c r="V26" s="35">
        <f>'FS Desroches Daily'!AL28</f>
        <v>40.000000000020464</v>
      </c>
      <c r="W26" s="35">
        <f>'FS Desroches Daily'!AN28</f>
        <v>149.99999999997726</v>
      </c>
      <c r="X26" s="35">
        <f>'FS Desroches Daily'!AP28</f>
        <v>189.99999999999773</v>
      </c>
      <c r="Y26" s="35">
        <f>'FS Desroches Daily'!AR28</f>
        <v>219.99999999997044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100.00000000002274</v>
      </c>
      <c r="AC26" s="35">
        <f>'FS Desroches Daily'!AZ28</f>
        <v>99.999999999965894</v>
      </c>
      <c r="AD26" s="35">
        <f>'FS Desroches Daily'!BB28</f>
        <v>80.000000000040927</v>
      </c>
      <c r="AE26" s="35">
        <f>'FS Desroches Daily'!BD28</f>
        <v>40.000000000020464</v>
      </c>
      <c r="AF26" s="31">
        <f>'FS Desroches Daily'!BF28</f>
        <v>11</v>
      </c>
      <c r="AG26" s="32">
        <f>'FS Desroches Daily'!BH28</f>
        <v>20.000000000010232</v>
      </c>
      <c r="AH26" s="32">
        <f>'FS Desroches Daily'!BJ28</f>
        <v>20.000000000038654</v>
      </c>
      <c r="AI26" s="32">
        <f>'FS Desroches Daily'!BL28</f>
        <v>39.999999999992042</v>
      </c>
      <c r="AJ26" s="32">
        <f>'FS Desroches Daily'!BN28</f>
        <v>20.000000000010232</v>
      </c>
      <c r="AK26" s="32">
        <f>'FS Desroches Daily'!BP28</f>
        <v>129.99999999999545</v>
      </c>
      <c r="AL26" s="32">
        <f>'FS Desroches Daily'!BR28</f>
        <v>25</v>
      </c>
      <c r="AM26" s="32">
        <f>'FS Desroches Daily'!BT28</f>
        <v>39.999999999992042</v>
      </c>
      <c r="AN26" s="32">
        <f>'FS Desroches Daily'!BV28</f>
        <v>30</v>
      </c>
      <c r="AO26" s="32">
        <f>'FS Desroches Daily'!BX28</f>
        <v>30.000000000001137</v>
      </c>
      <c r="AP26" s="32">
        <f>'FS Desroches Daily'!BZ28</f>
        <v>31</v>
      </c>
      <c r="AQ26" s="31">
        <f>'FS Desroches Daily'!CB28</f>
        <v>58.399999999994179</v>
      </c>
      <c r="AR26" s="31">
        <f>'FS Desroches Daily'!CD28</f>
        <v>12.600000000000364</v>
      </c>
      <c r="AS26" s="31">
        <f>'FS Desroches Daily'!CF28</f>
        <v>6.9000000000014552</v>
      </c>
      <c r="AT26" s="31">
        <f>'FS Desroches Daily'!CH28</f>
        <v>39.399999999994179</v>
      </c>
      <c r="AU26" s="31">
        <f>'FS Desroches Daily'!CJ28</f>
        <v>259</v>
      </c>
      <c r="AV26" s="31">
        <f>'FS Desroches Daily'!CL28</f>
        <v>799.99999999995453</v>
      </c>
      <c r="AW26" s="31">
        <f>'FS Desroches Daily'!CM28</f>
        <v>93</v>
      </c>
      <c r="AX26" s="31">
        <f>IF(LPG!F33-LPG!F32&lt;0,"0",(LPG!F33-LPG!F32)*1.8315)</f>
        <v>0</v>
      </c>
      <c r="AY26" s="31" t="str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7.3259999999999996</v>
      </c>
      <c r="BC26" s="13">
        <f>'FS Desroches Daily'!CN28</f>
        <v>11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1300.0000000000789</v>
      </c>
      <c r="F27" s="32">
        <f>'FS Desroches Daily'!F29</f>
        <v>2500.0000000003906</v>
      </c>
      <c r="G27" s="31">
        <f>'FS Desroches Daily'!H29</f>
        <v>2500.0000000003906</v>
      </c>
      <c r="H27" s="32">
        <f>'FS Desroches Daily'!J29</f>
        <v>1199.9999999998679</v>
      </c>
      <c r="I27" s="31">
        <f>'FS Desroches Daily'!L29</f>
        <v>1799.9999999998017</v>
      </c>
      <c r="J27" s="32">
        <f>'FS Desroches Daily'!N29</f>
        <v>1299.9999999998568</v>
      </c>
      <c r="K27" s="13">
        <f>'FS Desroches Daily'!P29</f>
        <v>24</v>
      </c>
      <c r="L27" s="31">
        <f>'FS Desroches Daily'!R29</f>
        <v>4</v>
      </c>
      <c r="M27" s="31">
        <f>'FS Desroches Daily'!T29</f>
        <v>0.70000000000004547</v>
      </c>
      <c r="N27" s="31">
        <f>'FS Desroches Daily'!V29</f>
        <v>204.70000000006985</v>
      </c>
      <c r="O27" s="31">
        <f>'FS Desroches Daily'!X29</f>
        <v>289.99999999996362</v>
      </c>
      <c r="P27" s="31">
        <f>'FS Desroches Daily'!Z29</f>
        <v>2099.9999999999909</v>
      </c>
      <c r="Q27" s="31">
        <f>'FS Desroches Daily'!AB29</f>
        <v>330.00000000004093</v>
      </c>
      <c r="R27" s="31">
        <f>'FS Desroches Daily'!AD29</f>
        <v>230.00000000001819</v>
      </c>
      <c r="S27" s="31">
        <f>'FS Desroches Daily'!AF29</f>
        <v>539.99999999996362</v>
      </c>
      <c r="T27" s="31">
        <f>'FS Desroches Daily'!AH29</f>
        <v>32</v>
      </c>
      <c r="U27" s="35">
        <f>'FS Desroches Daily'!AJ29</f>
        <v>490.00000000000909</v>
      </c>
      <c r="V27" s="35">
        <f>'FS Desroches Daily'!AL29</f>
        <v>119.9999999999477</v>
      </c>
      <c r="W27" s="35">
        <f>'FS Desroches Daily'!AN29</f>
        <v>120.00000000000455</v>
      </c>
      <c r="X27" s="35">
        <f>'FS Desroches Daily'!AP29</f>
        <v>139.99999999998636</v>
      </c>
      <c r="Y27" s="35">
        <f>'FS Desroches Daily'!AR29</f>
        <v>80.000000000040927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89.999999999974989</v>
      </c>
      <c r="AC27" s="35">
        <f>'FS Desroches Daily'!AZ29</f>
        <v>79.999999999984084</v>
      </c>
      <c r="AD27" s="35">
        <f>'FS Desroches Daily'!BB29</f>
        <v>49.999999999954525</v>
      </c>
      <c r="AE27" s="35">
        <f>'FS Desroches Daily'!BD29</f>
        <v>39.99999999996362</v>
      </c>
      <c r="AF27" s="31" t="str">
        <f>'FS Desroches Daily'!BF29</f>
        <v/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39.999999999992042</v>
      </c>
      <c r="AJ27" s="32">
        <f>'FS Desroches Daily'!BN29</f>
        <v>30.000000000001137</v>
      </c>
      <c r="AK27" s="32">
        <f>'FS Desroches Daily'!BP29</f>
        <v>30.000000000029559</v>
      </c>
      <c r="AL27" s="32">
        <f>'FS Desroches Daily'!BR29</f>
        <v>22</v>
      </c>
      <c r="AM27" s="32">
        <f>'FS Desroches Daily'!BT29</f>
        <v>30.000000000001137</v>
      </c>
      <c r="AN27" s="32">
        <f>'FS Desroches Daily'!BV29</f>
        <v>21</v>
      </c>
      <c r="AO27" s="32">
        <f>'FS Desroches Daily'!BX29</f>
        <v>30.000000000001137</v>
      </c>
      <c r="AP27" s="32">
        <f>'FS Desroches Daily'!BZ29</f>
        <v>20</v>
      </c>
      <c r="AQ27" s="31">
        <f>'FS Desroches Daily'!CB29</f>
        <v>51.200000000004366</v>
      </c>
      <c r="AR27" s="31">
        <f>'FS Desroches Daily'!CD29</f>
        <v>9.2000000000007276</v>
      </c>
      <c r="AS27" s="31">
        <f>'FS Desroches Daily'!CF29</f>
        <v>4.2999999999992724</v>
      </c>
      <c r="AT27" s="31">
        <f>'FS Desroches Daily'!CH29</f>
        <v>49.80000000000291</v>
      </c>
      <c r="AU27" s="31">
        <f>'FS Desroches Daily'!CJ29</f>
        <v>253</v>
      </c>
      <c r="AV27" s="31">
        <f>'FS Desroches Daily'!CL29</f>
        <v>500.00000000011369</v>
      </c>
      <c r="AW27" s="31">
        <f>'FS Desroches Daily'!CM29</f>
        <v>85</v>
      </c>
      <c r="AX27" s="31" t="str">
        <f>IF(LPG!F35-LPG!F33&lt;0,"0",(LPG!F35-LPG!F33)*1.8315)</f>
        <v>0</v>
      </c>
      <c r="AY27" s="31" t="str">
        <f>IF(LPG!G34-LPG!G33&lt;0,"0",(LPG!G34-LPG!G33)*1.8315)</f>
        <v>0</v>
      </c>
      <c r="AZ27" s="31" t="str">
        <f>IF(LPG!H35-LPG!H33&lt;0,"0",(LPG!H35-LPG!H33)*1.8315)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>
        <f>'FS Desroches Daily'!BF30</f>
        <v>0</v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60999.999999999964</v>
      </c>
      <c r="F33" s="17">
        <f t="shared" ref="F33:BC33" si="0">SUM(F2:F32)</f>
        <v>78199.999999999854</v>
      </c>
      <c r="G33" s="17">
        <f t="shared" si="0"/>
        <v>80200.000000000524</v>
      </c>
      <c r="H33" s="17">
        <f t="shared" si="0"/>
        <v>39600.000000000095</v>
      </c>
      <c r="I33" s="17">
        <f t="shared" si="0"/>
        <v>53099.999999999731</v>
      </c>
      <c r="J33" s="17">
        <f t="shared" si="0"/>
        <v>40400</v>
      </c>
      <c r="K33" s="17">
        <f t="shared" si="0"/>
        <v>681</v>
      </c>
      <c r="L33" s="17">
        <f t="shared" si="0"/>
        <v>93</v>
      </c>
      <c r="M33" s="17">
        <f t="shared" si="0"/>
        <v>26.799999999999955</v>
      </c>
      <c r="N33" s="17">
        <f t="shared" si="0"/>
        <v>10054.70000000007</v>
      </c>
      <c r="O33" s="17">
        <f t="shared" si="0"/>
        <v>7909.9999999999682</v>
      </c>
      <c r="P33" s="17">
        <f t="shared" si="0"/>
        <v>70500.000000000029</v>
      </c>
      <c r="Q33" s="17">
        <f t="shared" si="0"/>
        <v>8730.0000000000182</v>
      </c>
      <c r="R33" s="17">
        <f t="shared" si="0"/>
        <v>9189.9999999999418</v>
      </c>
      <c r="S33" s="17">
        <f t="shared" si="0"/>
        <v>19840.000000000036</v>
      </c>
      <c r="T33" s="17">
        <f t="shared" si="0"/>
        <v>856</v>
      </c>
      <c r="U33" s="35">
        <f t="shared" si="0"/>
        <v>17940.000000000058</v>
      </c>
      <c r="V33" s="35">
        <f t="shared" si="0"/>
        <v>5449.9999999999891</v>
      </c>
      <c r="W33" s="35">
        <f t="shared" si="0"/>
        <v>3990.0000000000091</v>
      </c>
      <c r="X33" s="35">
        <f t="shared" si="0"/>
        <v>5040.0000000000227</v>
      </c>
      <c r="Y33" s="35">
        <f t="shared" si="0"/>
        <v>4250</v>
      </c>
      <c r="Z33" s="35">
        <f t="shared" si="0"/>
        <v>4011.8799999999683</v>
      </c>
      <c r="AA33" s="35">
        <f t="shared" si="0"/>
        <v>4011.8799999999683</v>
      </c>
      <c r="AB33" s="35">
        <f t="shared" si="0"/>
        <v>4110.8599999999915</v>
      </c>
      <c r="AC33" s="35">
        <f t="shared" si="0"/>
        <v>3349.9999999999659</v>
      </c>
      <c r="AD33" s="35">
        <f t="shared" si="0"/>
        <v>2689.9999999999977</v>
      </c>
      <c r="AE33" s="35">
        <f t="shared" si="0"/>
        <v>2550.0000000000114</v>
      </c>
      <c r="AF33" s="17">
        <f t="shared" si="0"/>
        <v>544</v>
      </c>
      <c r="AG33" s="32">
        <f t="shared" si="0"/>
        <v>1079.5900000000124</v>
      </c>
      <c r="AH33" s="32">
        <f t="shared" si="0"/>
        <v>829.99999999998408</v>
      </c>
      <c r="AI33" s="32">
        <f t="shared" si="0"/>
        <v>1179.9999999999784</v>
      </c>
      <c r="AJ33" s="32">
        <f t="shared" si="0"/>
        <v>939.99999999999773</v>
      </c>
      <c r="AK33" s="32">
        <f t="shared" si="0"/>
        <v>1310.0000000000023</v>
      </c>
      <c r="AL33" s="32">
        <f t="shared" si="0"/>
        <v>805</v>
      </c>
      <c r="AM33" s="32">
        <f t="shared" si="0"/>
        <v>1060.0000000000023</v>
      </c>
      <c r="AN33" s="32">
        <f t="shared" si="0"/>
        <v>955</v>
      </c>
      <c r="AO33" s="32">
        <f t="shared" si="0"/>
        <v>1030.0000000000011</v>
      </c>
      <c r="AP33" s="32">
        <f t="shared" si="0"/>
        <v>1146</v>
      </c>
      <c r="AQ33" s="17">
        <f t="shared" si="0"/>
        <v>1370.4000000000015</v>
      </c>
      <c r="AR33" s="17">
        <f t="shared" si="0"/>
        <v>283.70000000000073</v>
      </c>
      <c r="AS33" s="17">
        <f t="shared" si="0"/>
        <v>101.10000000000036</v>
      </c>
      <c r="AT33" s="17">
        <f t="shared" si="0"/>
        <v>1197.6999999999971</v>
      </c>
      <c r="AU33" s="17">
        <f t="shared" si="0"/>
        <v>7334</v>
      </c>
      <c r="AV33" s="17">
        <f t="shared" si="0"/>
        <v>23100.000000000135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161.172</v>
      </c>
      <c r="BC33" s="17">
        <f t="shared" si="0"/>
        <v>536</v>
      </c>
    </row>
    <row r="35" spans="5:55" x14ac:dyDescent="0.25">
      <c r="E35" s="38">
        <f>E33/E37</f>
        <v>0.20995532426050936</v>
      </c>
      <c r="G35" s="29">
        <f>G33-M36</f>
        <v>70118.500000000451</v>
      </c>
      <c r="AE35" s="35">
        <f>SUM(U33:AE33)</f>
        <v>57394.619999999988</v>
      </c>
      <c r="AG35" s="32">
        <f>SUM(AG33:AP33)</f>
        <v>10335.589999999978</v>
      </c>
    </row>
    <row r="36" spans="5:55" x14ac:dyDescent="0.25">
      <c r="G36" s="29">
        <f>G35-633*14</f>
        <v>61256.500000000451</v>
      </c>
      <c r="M36" s="29">
        <f>M33+N33</f>
        <v>10081.500000000069</v>
      </c>
    </row>
    <row r="37" spans="5:55" x14ac:dyDescent="0.25">
      <c r="E37" s="17">
        <f>E33+F33+G33+H33+J33-633*14</f>
        <v>290538.00000000047</v>
      </c>
      <c r="G37" s="37">
        <f>M36/E37</f>
        <v>3.4699419697251488E-2</v>
      </c>
      <c r="M37" s="35">
        <f>AE35</f>
        <v>57394.619999999988</v>
      </c>
    </row>
    <row r="38" spans="5:55" x14ac:dyDescent="0.25">
      <c r="L38" s="27">
        <f>M38/E37</f>
        <v>3.557396967006024E-2</v>
      </c>
      <c r="M38" s="29">
        <f>AG35</f>
        <v>10335.589999999978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5" zoomScaleNormal="85" workbookViewId="0">
      <pane ySplit="1" topLeftCell="A17" activePane="bottomLeft" state="frozen"/>
      <selection pane="bottomLeft" activeCell="CQ29" sqref="CQ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>
        <v>51959</v>
      </c>
      <c r="BF14" s="67">
        <f t="shared" si="83"/>
        <v>29</v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>
        <v>51986</v>
      </c>
      <c r="BF15" s="67">
        <f t="shared" si="83"/>
        <v>27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>
        <v>3.2816000000000001</v>
      </c>
      <c r="D16" s="64">
        <f t="shared" si="50"/>
        <v>2000.0000000002237</v>
      </c>
      <c r="E16" s="58">
        <v>4.3879999999999999</v>
      </c>
      <c r="F16" s="64">
        <f t="shared" si="51"/>
        <v>2899.9999999994584</v>
      </c>
      <c r="G16" s="58">
        <v>4.3484999999999996</v>
      </c>
      <c r="H16" s="64">
        <f t="shared" si="52"/>
        <v>2999.9999999992256</v>
      </c>
      <c r="I16" s="58">
        <v>2.1842999999999999</v>
      </c>
      <c r="J16" s="64">
        <f>IF((I16-I15&lt;0), "0",(I16-I15)*1000000)</f>
        <v>1500.0000000000568</v>
      </c>
      <c r="K16" s="58">
        <v>3.4005000000000001</v>
      </c>
      <c r="L16" s="64">
        <f t="shared" si="54"/>
        <v>1900.0000000000127</v>
      </c>
      <c r="M16" s="58">
        <v>1.9738</v>
      </c>
      <c r="N16" s="64">
        <f t="shared" si="55"/>
        <v>1400.0000000000678</v>
      </c>
      <c r="O16" s="58">
        <v>21558</v>
      </c>
      <c r="P16" s="67">
        <f t="shared" si="56"/>
        <v>24</v>
      </c>
      <c r="Q16" s="58">
        <v>2665</v>
      </c>
      <c r="R16" s="67">
        <f t="shared" si="57"/>
        <v>3</v>
      </c>
      <c r="S16" s="58">
        <v>1373.2</v>
      </c>
      <c r="T16" s="67">
        <f t="shared" si="58"/>
        <v>0.90000000000009095</v>
      </c>
      <c r="U16" s="58">
        <v>560405.80000000005</v>
      </c>
      <c r="V16" s="67">
        <f t="shared" si="59"/>
        <v>336.20000000006985</v>
      </c>
      <c r="W16" s="58">
        <v>518.42999999999995</v>
      </c>
      <c r="X16" s="65">
        <f t="shared" si="60"/>
        <v>259.99999999999091</v>
      </c>
      <c r="Y16" s="58">
        <v>3.8588</v>
      </c>
      <c r="Z16" s="65">
        <f t="shared" si="61"/>
        <v>2699.9999999999245</v>
      </c>
      <c r="AA16" s="58">
        <v>522.57000000000005</v>
      </c>
      <c r="AB16" s="65">
        <f t="shared" si="62"/>
        <v>350.00000000002274</v>
      </c>
      <c r="AC16" s="58">
        <v>516.58000000000004</v>
      </c>
      <c r="AD16" s="65">
        <f t="shared" si="63"/>
        <v>280.0000000000864</v>
      </c>
      <c r="AE16" s="58">
        <v>773.76</v>
      </c>
      <c r="AF16" s="65">
        <f t="shared" si="64"/>
        <v>720.00000000002728</v>
      </c>
      <c r="AG16" s="58">
        <v>18120</v>
      </c>
      <c r="AH16" s="67">
        <f t="shared" si="65"/>
        <v>27</v>
      </c>
      <c r="AI16" s="58">
        <v>871.98</v>
      </c>
      <c r="AJ16" s="65">
        <f t="shared" si="66"/>
        <v>629.99999999999545</v>
      </c>
      <c r="AK16" s="58">
        <v>291.49</v>
      </c>
      <c r="AL16" s="65">
        <f t="shared" si="67"/>
        <v>199.99999999998863</v>
      </c>
      <c r="AM16" s="58">
        <v>271.43</v>
      </c>
      <c r="AN16" s="65">
        <f t="shared" si="68"/>
        <v>180.00000000000682</v>
      </c>
      <c r="AO16" s="58">
        <v>261.86</v>
      </c>
      <c r="AP16" s="65">
        <f t="shared" si="69"/>
        <v>170.00000000001592</v>
      </c>
      <c r="AQ16" s="58">
        <v>316.77</v>
      </c>
      <c r="AR16" s="65">
        <f t="shared" si="70"/>
        <v>89.999999999974989</v>
      </c>
      <c r="AS16" s="58">
        <v>442.73</v>
      </c>
      <c r="AT16" s="65">
        <f t="shared" si="71"/>
        <v>60.000000000002274</v>
      </c>
      <c r="AU16" s="58">
        <v>351.3</v>
      </c>
      <c r="AV16" s="65">
        <f t="shared" si="72"/>
        <v>139.99999999998636</v>
      </c>
      <c r="AW16" s="58">
        <v>380.6</v>
      </c>
      <c r="AX16" s="65">
        <f t="shared" si="73"/>
        <v>110.00000000001364</v>
      </c>
      <c r="AY16" s="58">
        <v>413.49</v>
      </c>
      <c r="AZ16" s="65">
        <f t="shared" si="80"/>
        <v>100.00000000002274</v>
      </c>
      <c r="BA16" s="58">
        <v>433.72</v>
      </c>
      <c r="BB16" s="65">
        <f t="shared" si="81"/>
        <v>90.000000000031832</v>
      </c>
      <c r="BC16" s="58">
        <v>279.35000000000002</v>
      </c>
      <c r="BD16" s="65">
        <f t="shared" si="82"/>
        <v>60.000000000002274</v>
      </c>
      <c r="BE16" s="59">
        <v>52009</v>
      </c>
      <c r="BF16" s="67">
        <f t="shared" si="83"/>
        <v>23</v>
      </c>
      <c r="BG16" s="60">
        <v>249.26</v>
      </c>
      <c r="BH16" s="65">
        <f t="shared" si="84"/>
        <v>30.000000000001137</v>
      </c>
      <c r="BI16" s="60">
        <v>303.93</v>
      </c>
      <c r="BJ16" s="65">
        <f t="shared" si="85"/>
        <v>30.000000000029559</v>
      </c>
      <c r="BK16" s="60">
        <v>252.9</v>
      </c>
      <c r="BL16" s="65">
        <f t="shared" si="86"/>
        <v>50.000000000011369</v>
      </c>
      <c r="BM16" s="60">
        <v>239.06</v>
      </c>
      <c r="BN16" s="65">
        <f t="shared" si="87"/>
        <v>39.999999999992042</v>
      </c>
      <c r="BO16" s="60">
        <v>307.08</v>
      </c>
      <c r="BP16" s="65">
        <f t="shared" si="88"/>
        <v>39.99999999996362</v>
      </c>
      <c r="BQ16" s="60">
        <v>57375</v>
      </c>
      <c r="BR16" s="65">
        <f t="shared" si="89"/>
        <v>28</v>
      </c>
      <c r="BS16" s="60">
        <v>216.74</v>
      </c>
      <c r="BT16" s="65">
        <f t="shared" si="90"/>
        <v>30.000000000001137</v>
      </c>
      <c r="BU16" s="60">
        <v>55115</v>
      </c>
      <c r="BV16" s="65">
        <f t="shared" si="91"/>
        <v>38</v>
      </c>
      <c r="BW16" s="60">
        <v>244.87</v>
      </c>
      <c r="BX16" s="65">
        <f t="shared" si="92"/>
        <v>30.000000000001137</v>
      </c>
      <c r="BY16" s="60">
        <v>74889</v>
      </c>
      <c r="BZ16" s="67">
        <f t="shared" si="93"/>
        <v>44</v>
      </c>
      <c r="CA16" s="60">
        <v>49363.7</v>
      </c>
      <c r="CB16" s="67">
        <f t="shared" si="94"/>
        <v>51.5</v>
      </c>
      <c r="CC16" s="60">
        <v>15945.4</v>
      </c>
      <c r="CD16" s="67">
        <f t="shared" si="95"/>
        <v>11.600000000000364</v>
      </c>
      <c r="CE16" s="60">
        <v>8220.2000000000007</v>
      </c>
      <c r="CF16" s="67">
        <f t="shared" si="96"/>
        <v>2.4000000000014552</v>
      </c>
      <c r="CG16" s="60">
        <v>75540.399999999994</v>
      </c>
      <c r="CH16" s="67">
        <f t="shared" si="97"/>
        <v>40.399999999994179</v>
      </c>
      <c r="CI16" s="60">
        <v>1053232</v>
      </c>
      <c r="CJ16" s="67">
        <f t="shared" si="98"/>
        <v>275</v>
      </c>
      <c r="CK16" s="60">
        <v>1013.7</v>
      </c>
      <c r="CL16" s="64">
        <f t="shared" si="74"/>
        <v>900.00000000009095</v>
      </c>
      <c r="CM16" s="65">
        <f t="shared" si="75"/>
        <v>87</v>
      </c>
      <c r="CN16" s="62">
        <v>22</v>
      </c>
      <c r="CO16" s="62">
        <v>45</v>
      </c>
      <c r="CP16" s="68">
        <v>32327</v>
      </c>
      <c r="CQ16" s="67">
        <f t="shared" si="76"/>
        <v>70</v>
      </c>
      <c r="CR16" s="68">
        <v>21982</v>
      </c>
      <c r="CS16" s="67">
        <f t="shared" si="76"/>
        <v>17</v>
      </c>
      <c r="CT16" s="75">
        <v>10506</v>
      </c>
      <c r="CU16" s="67">
        <f t="shared" si="77"/>
        <v>8</v>
      </c>
      <c r="CV16" s="68">
        <v>24876</v>
      </c>
      <c r="CW16" s="67">
        <f t="shared" si="78"/>
        <v>26</v>
      </c>
      <c r="CX16" s="58">
        <v>3263.2</v>
      </c>
      <c r="CY16" s="67">
        <f t="shared" si="79"/>
        <v>9</v>
      </c>
    </row>
    <row r="17" spans="1:103" ht="25.5" customHeight="1" thickBot="1" x14ac:dyDescent="0.45">
      <c r="A17" s="63">
        <v>44726</v>
      </c>
      <c r="B17" s="44"/>
      <c r="C17" s="58">
        <v>3.2839</v>
      </c>
      <c r="D17" s="64">
        <f t="shared" si="50"/>
        <v>2299.9999999999686</v>
      </c>
      <c r="E17" s="58">
        <v>4.3913000000000002</v>
      </c>
      <c r="F17" s="64">
        <f t="shared" si="51"/>
        <v>3300.0000000003029</v>
      </c>
      <c r="G17" s="58">
        <v>4.3517999999999999</v>
      </c>
      <c r="H17" s="64">
        <f t="shared" si="52"/>
        <v>3300.0000000003029</v>
      </c>
      <c r="I17" s="58">
        <v>2.1859000000000002</v>
      </c>
      <c r="J17" s="64">
        <f t="shared" si="53"/>
        <v>1600.0000000002678</v>
      </c>
      <c r="K17" s="58">
        <v>3.4026000000000001</v>
      </c>
      <c r="L17" s="64">
        <f t="shared" si="54"/>
        <v>2099.9999999999909</v>
      </c>
      <c r="M17" s="58">
        <v>1.9754</v>
      </c>
      <c r="N17" s="64">
        <f t="shared" si="55"/>
        <v>1600.0000000000459</v>
      </c>
      <c r="O17" s="58">
        <v>21583</v>
      </c>
      <c r="P17" s="67">
        <f t="shared" si="56"/>
        <v>25</v>
      </c>
      <c r="Q17" s="58">
        <v>2668</v>
      </c>
      <c r="R17" s="67">
        <f t="shared" si="57"/>
        <v>3</v>
      </c>
      <c r="S17" s="58">
        <v>1374.4</v>
      </c>
      <c r="T17" s="67">
        <f t="shared" si="58"/>
        <v>1.2000000000000455</v>
      </c>
      <c r="U17" s="58">
        <v>560859</v>
      </c>
      <c r="V17" s="67">
        <f t="shared" si="59"/>
        <v>453.19999999995343</v>
      </c>
      <c r="W17" s="58">
        <v>518.77</v>
      </c>
      <c r="X17" s="65">
        <f t="shared" si="60"/>
        <v>340.00000000003183</v>
      </c>
      <c r="Y17" s="58">
        <v>3.8616999999999999</v>
      </c>
      <c r="Z17" s="65">
        <f t="shared" si="61"/>
        <v>2899.9999999999027</v>
      </c>
      <c r="AA17" s="58">
        <v>522.87</v>
      </c>
      <c r="AB17" s="65">
        <f t="shared" si="62"/>
        <v>299.99999999995453</v>
      </c>
      <c r="AC17" s="58">
        <v>516.91999999999996</v>
      </c>
      <c r="AD17" s="65">
        <f t="shared" si="63"/>
        <v>339.99999999991815</v>
      </c>
      <c r="AE17" s="58">
        <v>774.58</v>
      </c>
      <c r="AF17" s="65">
        <f t="shared" si="64"/>
        <v>820.00000000005002</v>
      </c>
      <c r="AG17" s="58">
        <v>18144</v>
      </c>
      <c r="AH17" s="67">
        <f t="shared" si="65"/>
        <v>24</v>
      </c>
      <c r="AI17" s="58">
        <v>872.66</v>
      </c>
      <c r="AJ17" s="65">
        <f t="shared" si="66"/>
        <v>679.99999999994998</v>
      </c>
      <c r="AK17" s="58">
        <v>291.72000000000003</v>
      </c>
      <c r="AL17" s="65">
        <f t="shared" si="67"/>
        <v>230.00000000001819</v>
      </c>
      <c r="AM17" s="58">
        <v>271.64</v>
      </c>
      <c r="AN17" s="65">
        <f t="shared" si="68"/>
        <v>209.99999999997954</v>
      </c>
      <c r="AO17" s="58">
        <v>262.07</v>
      </c>
      <c r="AP17" s="65">
        <f t="shared" si="69"/>
        <v>209.99999999997954</v>
      </c>
      <c r="AQ17" s="58">
        <v>316.86</v>
      </c>
      <c r="AR17" s="65">
        <f t="shared" si="70"/>
        <v>90.000000000031832</v>
      </c>
      <c r="AS17" s="58">
        <v>442.8</v>
      </c>
      <c r="AT17" s="65">
        <f t="shared" si="71"/>
        <v>69.999999999993179</v>
      </c>
      <c r="AU17" s="58">
        <v>351.45</v>
      </c>
      <c r="AV17" s="65">
        <f t="shared" si="72"/>
        <v>149.99999999997726</v>
      </c>
      <c r="AW17" s="58">
        <v>380.71</v>
      </c>
      <c r="AX17" s="65">
        <f t="shared" si="73"/>
        <v>109.9999999999568</v>
      </c>
      <c r="AY17" s="58">
        <v>413.6</v>
      </c>
      <c r="AZ17" s="65">
        <f t="shared" si="80"/>
        <v>110.00000000001364</v>
      </c>
      <c r="BA17" s="58">
        <v>433.83</v>
      </c>
      <c r="BB17" s="65">
        <f t="shared" si="81"/>
        <v>109.9999999999568</v>
      </c>
      <c r="BC17" s="58">
        <v>279.41000000000003</v>
      </c>
      <c r="BD17" s="65">
        <f t="shared" si="82"/>
        <v>60.000000000002274</v>
      </c>
      <c r="BE17" s="59">
        <v>52029</v>
      </c>
      <c r="BF17" s="67">
        <f t="shared" si="83"/>
        <v>20</v>
      </c>
      <c r="BG17" s="60">
        <v>249.29</v>
      </c>
      <c r="BH17" s="65">
        <f t="shared" si="84"/>
        <v>30.000000000001137</v>
      </c>
      <c r="BI17" s="60">
        <v>303.95999999999998</v>
      </c>
      <c r="BJ17" s="65">
        <f t="shared" si="85"/>
        <v>29.999999999972715</v>
      </c>
      <c r="BK17" s="60">
        <v>252.95</v>
      </c>
      <c r="BL17" s="65">
        <f t="shared" si="86"/>
        <v>49.999999999982947</v>
      </c>
      <c r="BM17" s="60">
        <v>239.1</v>
      </c>
      <c r="BN17" s="65">
        <f t="shared" si="87"/>
        <v>39.999999999992042</v>
      </c>
      <c r="BO17" s="60">
        <v>307.13</v>
      </c>
      <c r="BP17" s="65">
        <f t="shared" si="88"/>
        <v>50.000000000011369</v>
      </c>
      <c r="BQ17" s="60">
        <v>57409</v>
      </c>
      <c r="BR17" s="65">
        <f t="shared" si="89"/>
        <v>34</v>
      </c>
      <c r="BS17" s="60">
        <v>216.78</v>
      </c>
      <c r="BT17" s="65">
        <f t="shared" si="90"/>
        <v>39.999999999992042</v>
      </c>
      <c r="BU17" s="60">
        <v>55153</v>
      </c>
      <c r="BV17" s="65">
        <f t="shared" si="91"/>
        <v>38</v>
      </c>
      <c r="BW17" s="60">
        <v>244.9</v>
      </c>
      <c r="BX17" s="65">
        <f t="shared" si="92"/>
        <v>30.000000000001137</v>
      </c>
      <c r="BY17" s="60">
        <v>74939</v>
      </c>
      <c r="BZ17" s="67">
        <f t="shared" si="93"/>
        <v>50</v>
      </c>
      <c r="CA17" s="60">
        <v>49414.8</v>
      </c>
      <c r="CB17" s="67">
        <f t="shared" si="94"/>
        <v>51.100000000005821</v>
      </c>
      <c r="CC17" s="60">
        <v>15955.3</v>
      </c>
      <c r="CD17" s="67">
        <f t="shared" si="95"/>
        <v>9.8999999999996362</v>
      </c>
      <c r="CE17" s="60">
        <v>8225.9</v>
      </c>
      <c r="CF17" s="67">
        <f t="shared" si="96"/>
        <v>5.6999999999989086</v>
      </c>
      <c r="CG17" s="60">
        <v>75577.8</v>
      </c>
      <c r="CH17" s="67">
        <f t="shared" si="97"/>
        <v>37.400000000008731</v>
      </c>
      <c r="CI17" s="60">
        <v>1053503</v>
      </c>
      <c r="CJ17" s="67">
        <f t="shared" si="98"/>
        <v>271</v>
      </c>
      <c r="CK17" s="60">
        <v>1014.6</v>
      </c>
      <c r="CL17" s="64">
        <f t="shared" si="74"/>
        <v>899.99999999997726</v>
      </c>
      <c r="CM17" s="65">
        <f t="shared" si="75"/>
        <v>91.299999999999272</v>
      </c>
      <c r="CN17" s="62">
        <v>22</v>
      </c>
      <c r="CO17" s="62">
        <v>45</v>
      </c>
      <c r="CP17" s="68">
        <v>32403</v>
      </c>
      <c r="CQ17" s="67">
        <f t="shared" ref="CQ17:CQ34" si="99">IF((CP17-CP16&lt;0), "",CP17-CP16)</f>
        <v>76</v>
      </c>
      <c r="CR17" s="68">
        <v>21997.3</v>
      </c>
      <c r="CS17" s="67">
        <f t="shared" si="76"/>
        <v>15.299999999999272</v>
      </c>
      <c r="CT17" s="75">
        <v>10521</v>
      </c>
      <c r="CU17" s="67">
        <f t="shared" si="77"/>
        <v>15</v>
      </c>
      <c r="CV17" s="68">
        <v>24901</v>
      </c>
      <c r="CW17" s="67">
        <f t="shared" si="78"/>
        <v>25</v>
      </c>
      <c r="CX17" s="58">
        <v>3274.5</v>
      </c>
      <c r="CY17" s="67">
        <f t="shared" si="79"/>
        <v>11.300000000000182</v>
      </c>
    </row>
    <row r="18" spans="1:103" ht="25.5" customHeight="1" thickBot="1" x14ac:dyDescent="0.45">
      <c r="A18" s="63">
        <v>44727</v>
      </c>
      <c r="B18" s="44"/>
      <c r="C18" s="58">
        <v>3.2862</v>
      </c>
      <c r="D18" s="64">
        <f t="shared" si="50"/>
        <v>2299.9999999999686</v>
      </c>
      <c r="E18" s="58">
        <v>4.3943000000000003</v>
      </c>
      <c r="F18" s="64">
        <f t="shared" si="51"/>
        <v>3000.0000000001137</v>
      </c>
      <c r="G18" s="58">
        <v>4.3548999999999998</v>
      </c>
      <c r="H18" s="64">
        <f t="shared" si="52"/>
        <v>3099.9999999998809</v>
      </c>
      <c r="I18" s="58">
        <v>2.1873999999999998</v>
      </c>
      <c r="J18" s="64">
        <f t="shared" si="53"/>
        <v>1499.9999999996128</v>
      </c>
      <c r="K18" s="58">
        <v>3.4047000000000001</v>
      </c>
      <c r="L18" s="64">
        <f t="shared" si="54"/>
        <v>2099.9999999999909</v>
      </c>
      <c r="M18" s="58">
        <v>1.9770000000000001</v>
      </c>
      <c r="N18" s="64">
        <f t="shared" si="55"/>
        <v>1600.0000000000459</v>
      </c>
      <c r="O18" s="58">
        <v>21606</v>
      </c>
      <c r="P18" s="67">
        <f t="shared" si="56"/>
        <v>23</v>
      </c>
      <c r="Q18" s="58">
        <v>2671</v>
      </c>
      <c r="R18" s="67">
        <f t="shared" si="57"/>
        <v>3</v>
      </c>
      <c r="S18" s="58">
        <v>1375.5</v>
      </c>
      <c r="T18" s="67">
        <f t="shared" si="58"/>
        <v>1.0999999999999091</v>
      </c>
      <c r="U18" s="58">
        <v>561233.9</v>
      </c>
      <c r="V18" s="67">
        <f t="shared" si="59"/>
        <v>374.90000000002328</v>
      </c>
      <c r="W18" s="58">
        <v>519.05999999999995</v>
      </c>
      <c r="X18" s="65">
        <f t="shared" si="60"/>
        <v>289.99999999996362</v>
      </c>
      <c r="Y18" s="58">
        <v>3.8643999999999998</v>
      </c>
      <c r="Z18" s="65">
        <f t="shared" si="61"/>
        <v>2699.9999999999245</v>
      </c>
      <c r="AA18" s="58">
        <v>523.23</v>
      </c>
      <c r="AB18" s="65">
        <f t="shared" si="62"/>
        <v>360.00000000001364</v>
      </c>
      <c r="AC18" s="58">
        <v>517.24</v>
      </c>
      <c r="AD18" s="65">
        <f t="shared" si="63"/>
        <v>320.00000000005002</v>
      </c>
      <c r="AE18" s="58">
        <v>775.38</v>
      </c>
      <c r="AF18" s="65">
        <f t="shared" si="64"/>
        <v>799.99999999995453</v>
      </c>
      <c r="AG18" s="58">
        <v>18170</v>
      </c>
      <c r="AH18" s="67">
        <f t="shared" si="65"/>
        <v>26</v>
      </c>
      <c r="AI18" s="58">
        <v>873.5</v>
      </c>
      <c r="AJ18" s="65">
        <f t="shared" si="66"/>
        <v>840.00000000003183</v>
      </c>
      <c r="AK18" s="58">
        <v>291.92</v>
      </c>
      <c r="AL18" s="65">
        <f t="shared" si="67"/>
        <v>199.99999999998863</v>
      </c>
      <c r="AM18" s="58">
        <v>271.82</v>
      </c>
      <c r="AN18" s="65">
        <f t="shared" si="68"/>
        <v>180.00000000000682</v>
      </c>
      <c r="AO18" s="58">
        <v>262.25</v>
      </c>
      <c r="AP18" s="65">
        <f t="shared" si="69"/>
        <v>180.00000000000682</v>
      </c>
      <c r="AQ18" s="58">
        <v>316.94</v>
      </c>
      <c r="AR18" s="65">
        <f t="shared" si="70"/>
        <v>79.999999999984084</v>
      </c>
      <c r="AS18" s="58">
        <v>442.86</v>
      </c>
      <c r="AT18" s="65">
        <f t="shared" si="71"/>
        <v>60.000000000002274</v>
      </c>
      <c r="AU18" s="58">
        <v>351.6</v>
      </c>
      <c r="AV18" s="65">
        <f t="shared" si="72"/>
        <v>150.00000000003411</v>
      </c>
      <c r="AW18" s="58">
        <v>380.81</v>
      </c>
      <c r="AX18" s="65">
        <f t="shared" si="73"/>
        <v>100.00000000002274</v>
      </c>
      <c r="AY18" s="58">
        <v>413.78</v>
      </c>
      <c r="AZ18" s="65">
        <f t="shared" si="80"/>
        <v>179.99999999994998</v>
      </c>
      <c r="BA18" s="58">
        <v>433.92</v>
      </c>
      <c r="BB18" s="65">
        <f t="shared" si="81"/>
        <v>90.000000000031832</v>
      </c>
      <c r="BC18" s="58">
        <v>279.47000000000003</v>
      </c>
      <c r="BD18" s="65">
        <f t="shared" si="82"/>
        <v>60.000000000002274</v>
      </c>
      <c r="BE18" s="59">
        <v>52056</v>
      </c>
      <c r="BF18" s="67">
        <f t="shared" si="83"/>
        <v>27</v>
      </c>
      <c r="BG18" s="60">
        <v>249.33</v>
      </c>
      <c r="BH18" s="65">
        <f t="shared" si="84"/>
        <v>40.000000000020464</v>
      </c>
      <c r="BI18" s="60">
        <v>304</v>
      </c>
      <c r="BJ18" s="65">
        <f t="shared" si="85"/>
        <v>40.000000000020464</v>
      </c>
      <c r="BK18" s="60">
        <v>253</v>
      </c>
      <c r="BL18" s="65">
        <f t="shared" si="86"/>
        <v>50.000000000011369</v>
      </c>
      <c r="BM18" s="60">
        <v>239.14</v>
      </c>
      <c r="BN18" s="65">
        <f t="shared" si="87"/>
        <v>39.999999999992042</v>
      </c>
      <c r="BO18" s="60">
        <v>307.18</v>
      </c>
      <c r="BP18" s="65">
        <f t="shared" si="88"/>
        <v>50.000000000011369</v>
      </c>
      <c r="BQ18" s="60">
        <v>57438</v>
      </c>
      <c r="BR18" s="65">
        <f t="shared" si="89"/>
        <v>29</v>
      </c>
      <c r="BS18" s="60">
        <v>216.81</v>
      </c>
      <c r="BT18" s="65">
        <f t="shared" si="90"/>
        <v>30.000000000001137</v>
      </c>
      <c r="BU18" s="60">
        <v>55187</v>
      </c>
      <c r="BV18" s="65">
        <f t="shared" si="91"/>
        <v>34</v>
      </c>
      <c r="BW18" s="60">
        <v>244.93</v>
      </c>
      <c r="BX18" s="65">
        <f t="shared" si="92"/>
        <v>30.000000000001137</v>
      </c>
      <c r="BY18" s="60">
        <v>74986</v>
      </c>
      <c r="BZ18" s="67">
        <f t="shared" si="93"/>
        <v>47</v>
      </c>
      <c r="CA18" s="60">
        <v>49465.2</v>
      </c>
      <c r="CB18" s="67">
        <f t="shared" si="94"/>
        <v>50.399999999994179</v>
      </c>
      <c r="CC18" s="60">
        <v>15966</v>
      </c>
      <c r="CD18" s="67">
        <f t="shared" si="95"/>
        <v>10.700000000000728</v>
      </c>
      <c r="CE18" s="60">
        <v>8226</v>
      </c>
      <c r="CF18" s="67">
        <f t="shared" si="96"/>
        <v>0.1000000000003638</v>
      </c>
      <c r="CG18" s="60">
        <v>75613.8</v>
      </c>
      <c r="CH18" s="67">
        <f t="shared" si="97"/>
        <v>36</v>
      </c>
      <c r="CI18" s="60">
        <v>1053782</v>
      </c>
      <c r="CJ18" s="67">
        <f t="shared" si="98"/>
        <v>279</v>
      </c>
      <c r="CK18" s="60">
        <v>1015.5</v>
      </c>
      <c r="CL18" s="64">
        <f t="shared" si="74"/>
        <v>899.99999999997726</v>
      </c>
      <c r="CM18" s="65">
        <f t="shared" si="75"/>
        <v>92.700000000000728</v>
      </c>
      <c r="CN18" s="62">
        <v>22</v>
      </c>
      <c r="CO18" s="62">
        <v>45</v>
      </c>
      <c r="CP18" s="68">
        <v>32483</v>
      </c>
      <c r="CQ18" s="67">
        <f t="shared" si="99"/>
        <v>80</v>
      </c>
      <c r="CR18" s="68">
        <v>22010</v>
      </c>
      <c r="CS18" s="67">
        <f t="shared" si="76"/>
        <v>12.700000000000728</v>
      </c>
      <c r="CT18" s="75">
        <v>10535</v>
      </c>
      <c r="CU18" s="67">
        <f t="shared" si="77"/>
        <v>14</v>
      </c>
      <c r="CV18" s="68">
        <v>24927</v>
      </c>
      <c r="CW18" s="67">
        <f t="shared" si="78"/>
        <v>26</v>
      </c>
      <c r="CX18" s="58">
        <v>3284.7</v>
      </c>
      <c r="CY18" s="67">
        <f t="shared" si="79"/>
        <v>10.199999999999818</v>
      </c>
    </row>
    <row r="19" spans="1:103" ht="25.5" customHeight="1" thickBot="1" x14ac:dyDescent="0.45">
      <c r="A19" s="63">
        <v>44728</v>
      </c>
      <c r="B19" s="44"/>
      <c r="C19" s="58">
        <v>3.2884000000000002</v>
      </c>
      <c r="D19" s="64">
        <f t="shared" si="50"/>
        <v>2200.0000000002019</v>
      </c>
      <c r="E19" s="58">
        <v>4.3970000000000002</v>
      </c>
      <c r="F19" s="64">
        <f t="shared" si="51"/>
        <v>2699.9999999999245</v>
      </c>
      <c r="G19" s="58">
        <v>4.3578999999999999</v>
      </c>
      <c r="H19" s="64">
        <f t="shared" si="52"/>
        <v>3000.0000000001137</v>
      </c>
      <c r="I19" s="58">
        <v>2.1888999999999998</v>
      </c>
      <c r="J19" s="64">
        <f t="shared" si="53"/>
        <v>1500.0000000000568</v>
      </c>
      <c r="K19" s="58">
        <v>3.4066999999999998</v>
      </c>
      <c r="L19" s="64">
        <f t="shared" si="54"/>
        <v>1999.9999999997797</v>
      </c>
      <c r="M19" s="58">
        <v>1.9784999999999999</v>
      </c>
      <c r="N19" s="64">
        <f t="shared" si="55"/>
        <v>1499.9999999998347</v>
      </c>
      <c r="O19" s="58">
        <v>21632</v>
      </c>
      <c r="P19" s="67">
        <f t="shared" si="56"/>
        <v>26</v>
      </c>
      <c r="Q19" s="58">
        <v>2675</v>
      </c>
      <c r="R19" s="67">
        <f t="shared" si="57"/>
        <v>4</v>
      </c>
      <c r="S19" s="58">
        <v>1376.6</v>
      </c>
      <c r="T19" s="67">
        <f t="shared" si="58"/>
        <v>1.0999999999999091</v>
      </c>
      <c r="U19" s="58">
        <v>561647</v>
      </c>
      <c r="V19" s="67">
        <f t="shared" si="59"/>
        <v>413.09999999997672</v>
      </c>
      <c r="W19" s="58">
        <v>519.35</v>
      </c>
      <c r="X19" s="65">
        <f t="shared" si="60"/>
        <v>290.00000000007731</v>
      </c>
      <c r="Y19" s="58">
        <v>3.8668999999999998</v>
      </c>
      <c r="Z19" s="65">
        <f t="shared" si="61"/>
        <v>2499.9999999999468</v>
      </c>
      <c r="AA19" s="58">
        <v>523.48</v>
      </c>
      <c r="AB19" s="65">
        <f t="shared" si="62"/>
        <v>250</v>
      </c>
      <c r="AC19" s="58">
        <v>517.61</v>
      </c>
      <c r="AD19" s="65">
        <f t="shared" si="63"/>
        <v>370.00000000000455</v>
      </c>
      <c r="AE19" s="58">
        <v>776.24</v>
      </c>
      <c r="AF19" s="65">
        <f t="shared" si="64"/>
        <v>860.00000000001364</v>
      </c>
      <c r="AG19" s="58">
        <v>18201</v>
      </c>
      <c r="AH19" s="67">
        <f t="shared" si="65"/>
        <v>31</v>
      </c>
      <c r="AI19" s="58">
        <v>874.09</v>
      </c>
      <c r="AJ19" s="65">
        <f t="shared" si="66"/>
        <v>590.00000000003183</v>
      </c>
      <c r="AK19" s="58">
        <v>292.13</v>
      </c>
      <c r="AL19" s="65">
        <f t="shared" si="67"/>
        <v>209.99999999997954</v>
      </c>
      <c r="AM19" s="58">
        <v>272.01</v>
      </c>
      <c r="AN19" s="65">
        <f t="shared" si="68"/>
        <v>189.99999999999773</v>
      </c>
      <c r="AO19" s="58">
        <v>262.43</v>
      </c>
      <c r="AP19" s="65">
        <f t="shared" si="69"/>
        <v>180.00000000000682</v>
      </c>
      <c r="AQ19" s="58">
        <v>317.08</v>
      </c>
      <c r="AR19" s="65">
        <f t="shared" si="70"/>
        <v>139.99999999998636</v>
      </c>
      <c r="AS19" s="58">
        <v>442.92</v>
      </c>
      <c r="AT19" s="65">
        <f t="shared" si="71"/>
        <v>60.000000000002274</v>
      </c>
      <c r="AU19" s="58">
        <v>351.76</v>
      </c>
      <c r="AV19" s="65">
        <f t="shared" si="72"/>
        <v>159.99999999996817</v>
      </c>
      <c r="AW19" s="58">
        <v>380.91</v>
      </c>
      <c r="AX19" s="65">
        <f t="shared" si="73"/>
        <v>100.00000000002274</v>
      </c>
      <c r="AY19" s="58">
        <v>413.98</v>
      </c>
      <c r="AZ19" s="65">
        <f t="shared" si="80"/>
        <v>200.00000000004547</v>
      </c>
      <c r="BA19" s="58">
        <v>434.01</v>
      </c>
      <c r="BB19" s="65">
        <f t="shared" si="81"/>
        <v>89.999999999974989</v>
      </c>
      <c r="BC19" s="58">
        <v>279.54000000000002</v>
      </c>
      <c r="BD19" s="65">
        <f t="shared" si="82"/>
        <v>69.999999999993179</v>
      </c>
      <c r="BE19" s="59">
        <v>52062</v>
      </c>
      <c r="BF19" s="67">
        <f t="shared" si="83"/>
        <v>6</v>
      </c>
      <c r="BG19" s="60">
        <v>249.36</v>
      </c>
      <c r="BH19" s="65">
        <f t="shared" si="84"/>
        <v>30.000000000001137</v>
      </c>
      <c r="BI19" s="60">
        <v>304.02999999999997</v>
      </c>
      <c r="BJ19" s="65">
        <f t="shared" si="85"/>
        <v>29.999999999972715</v>
      </c>
      <c r="BK19" s="60">
        <v>253.04</v>
      </c>
      <c r="BL19" s="65">
        <f t="shared" si="86"/>
        <v>39.999999999992042</v>
      </c>
      <c r="BM19" s="60">
        <v>239.17</v>
      </c>
      <c r="BN19" s="65">
        <f t="shared" si="87"/>
        <v>30.000000000001137</v>
      </c>
      <c r="BO19" s="60">
        <v>307.23</v>
      </c>
      <c r="BP19" s="65">
        <f t="shared" si="88"/>
        <v>50.000000000011369</v>
      </c>
      <c r="BQ19" s="60">
        <v>57470</v>
      </c>
      <c r="BR19" s="65">
        <f t="shared" si="89"/>
        <v>32</v>
      </c>
      <c r="BS19" s="60">
        <v>216.85</v>
      </c>
      <c r="BT19" s="65">
        <f t="shared" si="90"/>
        <v>39.999999999992042</v>
      </c>
      <c r="BU19" s="60">
        <v>55229</v>
      </c>
      <c r="BV19" s="65">
        <f t="shared" si="91"/>
        <v>42</v>
      </c>
      <c r="BW19" s="60">
        <v>244.99</v>
      </c>
      <c r="BX19" s="65">
        <f t="shared" si="92"/>
        <v>60.000000000002274</v>
      </c>
      <c r="BY19" s="60">
        <v>75035</v>
      </c>
      <c r="BZ19" s="67">
        <f t="shared" si="93"/>
        <v>49</v>
      </c>
      <c r="CA19" s="60">
        <v>49526.1</v>
      </c>
      <c r="CB19" s="67">
        <f t="shared" si="94"/>
        <v>60.900000000001455</v>
      </c>
      <c r="CC19" s="60">
        <v>15975.7</v>
      </c>
      <c r="CD19" s="67">
        <f t="shared" si="95"/>
        <v>9.7000000000007276</v>
      </c>
      <c r="CE19" s="60">
        <v>8229</v>
      </c>
      <c r="CF19" s="67">
        <f t="shared" si="96"/>
        <v>3</v>
      </c>
      <c r="CG19" s="60">
        <v>75667.3</v>
      </c>
      <c r="CH19" s="67">
        <f t="shared" si="97"/>
        <v>53.5</v>
      </c>
      <c r="CI19" s="60">
        <v>1054046</v>
      </c>
      <c r="CJ19" s="67">
        <f t="shared" si="98"/>
        <v>264</v>
      </c>
      <c r="CK19" s="60">
        <v>1016.3</v>
      </c>
      <c r="CL19" s="64">
        <f t="shared" si="74"/>
        <v>799.99999999995453</v>
      </c>
      <c r="CM19" s="65">
        <f t="shared" si="75"/>
        <v>83.700000000000728</v>
      </c>
      <c r="CN19" s="62">
        <v>24</v>
      </c>
      <c r="CO19" s="62">
        <v>50</v>
      </c>
      <c r="CP19" s="68">
        <v>32548</v>
      </c>
      <c r="CQ19" s="67">
        <f t="shared" si="99"/>
        <v>65</v>
      </c>
      <c r="CR19" s="68">
        <v>22028.7</v>
      </c>
      <c r="CS19" s="67">
        <f t="shared" si="76"/>
        <v>18.700000000000728</v>
      </c>
      <c r="CT19" s="75">
        <v>10547</v>
      </c>
      <c r="CU19" s="67">
        <f t="shared" si="77"/>
        <v>12</v>
      </c>
      <c r="CV19" s="68">
        <v>24950</v>
      </c>
      <c r="CW19" s="67">
        <f t="shared" si="78"/>
        <v>23</v>
      </c>
      <c r="CX19" s="58">
        <v>3296.1</v>
      </c>
      <c r="CY19" s="67">
        <f t="shared" si="79"/>
        <v>11.400000000000091</v>
      </c>
    </row>
    <row r="20" spans="1:103" ht="25.5" customHeight="1" thickBot="1" x14ac:dyDescent="0.45">
      <c r="A20" s="63">
        <v>44729</v>
      </c>
      <c r="B20" s="44"/>
      <c r="C20" s="58">
        <v>3.2902</v>
      </c>
      <c r="D20" s="64">
        <f t="shared" si="50"/>
        <v>1799.9999999998017</v>
      </c>
      <c r="E20" s="58">
        <v>4.3998999999999997</v>
      </c>
      <c r="F20" s="64">
        <f t="shared" si="51"/>
        <v>2899.9999999994584</v>
      </c>
      <c r="G20" s="58">
        <v>4.3608000000000002</v>
      </c>
      <c r="H20" s="64">
        <f t="shared" si="52"/>
        <v>2900.0000000003465</v>
      </c>
      <c r="I20" s="58">
        <v>2.1903000000000001</v>
      </c>
      <c r="J20" s="64">
        <f t="shared" si="53"/>
        <v>1400.0000000002899</v>
      </c>
      <c r="K20" s="58">
        <v>3.4087000000000001</v>
      </c>
      <c r="L20" s="64">
        <f t="shared" si="54"/>
        <v>2000.0000000002237</v>
      </c>
      <c r="M20" s="58">
        <v>1.9799</v>
      </c>
      <c r="N20" s="64">
        <f t="shared" si="55"/>
        <v>1400.0000000000678</v>
      </c>
      <c r="O20" s="58">
        <v>21652</v>
      </c>
      <c r="P20" s="67">
        <f t="shared" si="56"/>
        <v>20</v>
      </c>
      <c r="Q20" s="58">
        <v>2677</v>
      </c>
      <c r="R20" s="67">
        <f t="shared" si="57"/>
        <v>2</v>
      </c>
      <c r="S20" s="58">
        <v>1378.2</v>
      </c>
      <c r="T20" s="67">
        <f t="shared" si="58"/>
        <v>1.6000000000001364</v>
      </c>
      <c r="U20" s="58">
        <v>562061.5</v>
      </c>
      <c r="V20" s="67">
        <f t="shared" si="59"/>
        <v>414.5</v>
      </c>
      <c r="W20" s="58">
        <v>519.61</v>
      </c>
      <c r="X20" s="65">
        <f t="shared" si="60"/>
        <v>259.99999999999091</v>
      </c>
      <c r="Y20" s="58">
        <v>3.8696000000000002</v>
      </c>
      <c r="Z20" s="65">
        <f t="shared" si="61"/>
        <v>2700.0000000003688</v>
      </c>
      <c r="AA20" s="58">
        <v>523.82000000000005</v>
      </c>
      <c r="AB20" s="65">
        <f t="shared" si="62"/>
        <v>340.00000000003183</v>
      </c>
      <c r="AC20" s="58">
        <v>517.89</v>
      </c>
      <c r="AD20" s="65">
        <f t="shared" si="63"/>
        <v>279.99999999997272</v>
      </c>
      <c r="AE20" s="58">
        <v>776.87</v>
      </c>
      <c r="AF20" s="65">
        <f t="shared" si="64"/>
        <v>629.99999999999545</v>
      </c>
      <c r="AG20" s="58">
        <v>18226</v>
      </c>
      <c r="AH20" s="67">
        <f t="shared" si="65"/>
        <v>25</v>
      </c>
      <c r="AI20" s="58">
        <v>874.62</v>
      </c>
      <c r="AJ20" s="65">
        <f t="shared" si="66"/>
        <v>529.99999999997272</v>
      </c>
      <c r="AK20" s="58">
        <v>292.29000000000002</v>
      </c>
      <c r="AL20" s="65">
        <f t="shared" si="67"/>
        <v>160.00000000002501</v>
      </c>
      <c r="AM20" s="58">
        <v>272.17</v>
      </c>
      <c r="AN20" s="65">
        <f t="shared" si="68"/>
        <v>160.00000000002501</v>
      </c>
      <c r="AO20" s="58">
        <v>262.56</v>
      </c>
      <c r="AP20" s="65">
        <f t="shared" si="69"/>
        <v>129.99999999999545</v>
      </c>
      <c r="AQ20" s="58">
        <v>317.19</v>
      </c>
      <c r="AR20" s="65">
        <f t="shared" si="70"/>
        <v>110.00000000001364</v>
      </c>
      <c r="AS20" s="58">
        <v>443.03</v>
      </c>
      <c r="AT20" s="65">
        <f t="shared" si="71"/>
        <v>109.9999999999568</v>
      </c>
      <c r="AU20" s="58">
        <v>351.88</v>
      </c>
      <c r="AV20" s="65">
        <f t="shared" si="72"/>
        <v>120.00000000000455</v>
      </c>
      <c r="AW20" s="58">
        <v>380.99</v>
      </c>
      <c r="AX20" s="65">
        <f t="shared" si="73"/>
        <v>79.999999999984084</v>
      </c>
      <c r="AY20" s="58">
        <v>414.14</v>
      </c>
      <c r="AZ20" s="65">
        <f t="shared" si="80"/>
        <v>159.99999999996817</v>
      </c>
      <c r="BA20" s="58">
        <v>434.09</v>
      </c>
      <c r="BB20" s="65">
        <f t="shared" si="81"/>
        <v>79.999999999984084</v>
      </c>
      <c r="BC20" s="58">
        <v>279.58</v>
      </c>
      <c r="BD20" s="65">
        <f t="shared" si="82"/>
        <v>39.99999999996362</v>
      </c>
      <c r="BE20" s="59">
        <v>52080</v>
      </c>
      <c r="BF20" s="67">
        <f t="shared" si="83"/>
        <v>18</v>
      </c>
      <c r="BG20" s="60">
        <v>249.39</v>
      </c>
      <c r="BH20" s="65">
        <f t="shared" si="84"/>
        <v>29.999999999972715</v>
      </c>
      <c r="BI20" s="60">
        <v>304.06</v>
      </c>
      <c r="BJ20" s="65">
        <f t="shared" si="85"/>
        <v>30.000000000029559</v>
      </c>
      <c r="BK20" s="60">
        <v>253.08</v>
      </c>
      <c r="BL20" s="65">
        <f t="shared" si="86"/>
        <v>40.000000000020464</v>
      </c>
      <c r="BM20" s="60">
        <v>239.2</v>
      </c>
      <c r="BN20" s="65">
        <f t="shared" si="87"/>
        <v>30.000000000001137</v>
      </c>
      <c r="BO20" s="60">
        <v>307.27</v>
      </c>
      <c r="BP20" s="65">
        <f t="shared" si="88"/>
        <v>39.99999999996362</v>
      </c>
      <c r="BQ20" s="60">
        <v>57496</v>
      </c>
      <c r="BR20" s="65">
        <f t="shared" si="89"/>
        <v>26</v>
      </c>
      <c r="BS20" s="60">
        <v>216.87</v>
      </c>
      <c r="BT20" s="65">
        <f t="shared" si="90"/>
        <v>20.000000000010232</v>
      </c>
      <c r="BU20" s="60">
        <v>55262</v>
      </c>
      <c r="BV20" s="65">
        <f t="shared" si="91"/>
        <v>33</v>
      </c>
      <c r="BW20" s="60">
        <v>245.02</v>
      </c>
      <c r="BX20" s="65">
        <f t="shared" si="92"/>
        <v>30.000000000001137</v>
      </c>
      <c r="BY20" s="60">
        <v>75077</v>
      </c>
      <c r="BZ20" s="67">
        <f t="shared" si="93"/>
        <v>42</v>
      </c>
      <c r="CA20" s="60">
        <v>49589.9</v>
      </c>
      <c r="CB20" s="67">
        <f t="shared" si="94"/>
        <v>63.80000000000291</v>
      </c>
      <c r="CC20" s="60">
        <v>15989.5</v>
      </c>
      <c r="CD20" s="67">
        <f t="shared" si="95"/>
        <v>13.799999999999272</v>
      </c>
      <c r="CE20" s="60">
        <v>8235.2000000000007</v>
      </c>
      <c r="CF20" s="67">
        <f t="shared" si="96"/>
        <v>6.2000000000007276</v>
      </c>
      <c r="CG20" s="60">
        <v>75709.7</v>
      </c>
      <c r="CH20" s="67">
        <f t="shared" si="97"/>
        <v>42.399999999994179</v>
      </c>
      <c r="CI20" s="60">
        <v>1054302</v>
      </c>
      <c r="CJ20" s="67">
        <f t="shared" si="98"/>
        <v>256</v>
      </c>
      <c r="CK20" s="60">
        <v>1017</v>
      </c>
      <c r="CL20" s="64">
        <f t="shared" si="74"/>
        <v>700.00000000004547</v>
      </c>
      <c r="CM20" s="65">
        <f t="shared" si="75"/>
        <v>72.299999999999272</v>
      </c>
      <c r="CN20" s="62">
        <v>20</v>
      </c>
      <c r="CO20" s="62">
        <v>37</v>
      </c>
      <c r="CP20" s="68">
        <v>32612</v>
      </c>
      <c r="CQ20" s="67">
        <f t="shared" si="99"/>
        <v>64</v>
      </c>
      <c r="CR20" s="68">
        <v>22037</v>
      </c>
      <c r="CS20" s="67">
        <f t="shared" si="76"/>
        <v>8.2999999999992724</v>
      </c>
      <c r="CT20" s="75">
        <v>10560</v>
      </c>
      <c r="CU20" s="67">
        <f t="shared" si="77"/>
        <v>13</v>
      </c>
      <c r="CV20" s="68">
        <v>24974</v>
      </c>
      <c r="CW20" s="67">
        <f t="shared" si="78"/>
        <v>24</v>
      </c>
      <c r="CX20" s="58">
        <v>3304.4</v>
      </c>
      <c r="CY20" s="67">
        <f t="shared" si="79"/>
        <v>8.3000000000001819</v>
      </c>
    </row>
    <row r="21" spans="1:103" ht="25.5" customHeight="1" thickBot="1" x14ac:dyDescent="0.45">
      <c r="A21" s="63">
        <v>44730</v>
      </c>
      <c r="B21" s="44"/>
      <c r="C21" s="58">
        <v>3.2924000000000002</v>
      </c>
      <c r="D21" s="64">
        <f t="shared" si="50"/>
        <v>2200.0000000002019</v>
      </c>
      <c r="E21" s="58">
        <v>4.4028999999999998</v>
      </c>
      <c r="F21" s="64">
        <f t="shared" si="51"/>
        <v>3000.0000000001137</v>
      </c>
      <c r="G21" s="58">
        <v>4.3639999999999999</v>
      </c>
      <c r="H21" s="64">
        <f t="shared" si="52"/>
        <v>3199.9999999996476</v>
      </c>
      <c r="I21" s="58">
        <v>2.1919</v>
      </c>
      <c r="J21" s="64">
        <f t="shared" si="53"/>
        <v>1599.9999999998238</v>
      </c>
      <c r="K21" s="58">
        <v>3.4108000000000001</v>
      </c>
      <c r="L21" s="64">
        <f t="shared" si="54"/>
        <v>2099.9999999999909</v>
      </c>
      <c r="M21" s="58">
        <v>1.9816</v>
      </c>
      <c r="N21" s="64">
        <f t="shared" si="55"/>
        <v>1700.0000000000348</v>
      </c>
      <c r="O21" s="58">
        <v>21670</v>
      </c>
      <c r="P21" s="67">
        <f t="shared" si="56"/>
        <v>18</v>
      </c>
      <c r="Q21" s="58">
        <v>2681</v>
      </c>
      <c r="R21" s="67">
        <f t="shared" si="57"/>
        <v>4</v>
      </c>
      <c r="S21" s="58">
        <v>1378.8</v>
      </c>
      <c r="T21" s="67">
        <f t="shared" si="58"/>
        <v>0.59999999999990905</v>
      </c>
      <c r="U21" s="58">
        <v>562490.69999999995</v>
      </c>
      <c r="V21" s="67">
        <f t="shared" si="59"/>
        <v>429.19999999995343</v>
      </c>
      <c r="W21" s="58">
        <v>519.91999999999996</v>
      </c>
      <c r="X21" s="65">
        <f t="shared" si="60"/>
        <v>309.99999999994543</v>
      </c>
      <c r="Y21" s="58">
        <v>3.8723999999999998</v>
      </c>
      <c r="Z21" s="65">
        <f t="shared" si="61"/>
        <v>2799.9999999996917</v>
      </c>
      <c r="AA21" s="58">
        <v>524.16999999999996</v>
      </c>
      <c r="AB21" s="65">
        <f t="shared" si="62"/>
        <v>349.99999999990905</v>
      </c>
      <c r="AC21" s="58">
        <v>518.27</v>
      </c>
      <c r="AD21" s="65">
        <f t="shared" si="63"/>
        <v>379.99999999999545</v>
      </c>
      <c r="AE21" s="58">
        <v>777.72</v>
      </c>
      <c r="AF21" s="65">
        <f t="shared" si="64"/>
        <v>850.00000000002274</v>
      </c>
      <c r="AG21" s="58">
        <v>18257</v>
      </c>
      <c r="AH21" s="67">
        <f t="shared" si="65"/>
        <v>31</v>
      </c>
      <c r="AI21" s="58">
        <v>875.01</v>
      </c>
      <c r="AJ21" s="65">
        <f t="shared" si="66"/>
        <v>389.99999999998636</v>
      </c>
      <c r="AK21" s="58">
        <v>292.5</v>
      </c>
      <c r="AL21" s="65">
        <f t="shared" si="67"/>
        <v>209.99999999997954</v>
      </c>
      <c r="AM21" s="58">
        <v>272.33</v>
      </c>
      <c r="AN21" s="65">
        <f t="shared" si="68"/>
        <v>159.99999999996817</v>
      </c>
      <c r="AO21" s="58">
        <v>262.69</v>
      </c>
      <c r="AP21" s="65">
        <f t="shared" si="69"/>
        <v>129.99999999999545</v>
      </c>
      <c r="AQ21" s="58">
        <v>317.31</v>
      </c>
      <c r="AR21" s="65">
        <f t="shared" si="70"/>
        <v>120.00000000000455</v>
      </c>
      <c r="AS21" s="58">
        <v>443.24</v>
      </c>
      <c r="AT21" s="65">
        <f t="shared" si="71"/>
        <v>210.00000000003638</v>
      </c>
      <c r="AU21" s="58">
        <v>352.02</v>
      </c>
      <c r="AV21" s="65">
        <f t="shared" si="72"/>
        <v>139.99999999998636</v>
      </c>
      <c r="AW21" s="58">
        <v>381.09</v>
      </c>
      <c r="AX21" s="65">
        <f t="shared" si="73"/>
        <v>99.999999999965894</v>
      </c>
      <c r="AY21" s="58">
        <v>414.31</v>
      </c>
      <c r="AZ21" s="65">
        <f t="shared" si="80"/>
        <v>170.00000000001592</v>
      </c>
      <c r="BA21" s="58">
        <v>434.19</v>
      </c>
      <c r="BB21" s="65">
        <f t="shared" si="81"/>
        <v>100.00000000002274</v>
      </c>
      <c r="BC21" s="58">
        <v>279.64</v>
      </c>
      <c r="BD21" s="65">
        <f t="shared" si="82"/>
        <v>60.000000000002274</v>
      </c>
      <c r="BE21" s="59">
        <v>52112</v>
      </c>
      <c r="BF21" s="67">
        <f t="shared" si="83"/>
        <v>32</v>
      </c>
      <c r="BG21" s="60">
        <v>249.43</v>
      </c>
      <c r="BH21" s="65">
        <f t="shared" si="84"/>
        <v>40.000000000020464</v>
      </c>
      <c r="BI21" s="60">
        <v>304.08999999999997</v>
      </c>
      <c r="BJ21" s="65">
        <f t="shared" si="85"/>
        <v>29.999999999972715</v>
      </c>
      <c r="BK21" s="60">
        <v>253.13</v>
      </c>
      <c r="BL21" s="65">
        <f t="shared" si="86"/>
        <v>49.999999999982947</v>
      </c>
      <c r="BM21" s="60">
        <v>239.24</v>
      </c>
      <c r="BN21" s="65">
        <f t="shared" si="87"/>
        <v>40.000000000020464</v>
      </c>
      <c r="BO21" s="60">
        <v>307.31</v>
      </c>
      <c r="BP21" s="65">
        <f t="shared" si="88"/>
        <v>40.000000000020464</v>
      </c>
      <c r="BQ21" s="60">
        <v>57524</v>
      </c>
      <c r="BR21" s="65">
        <f t="shared" si="89"/>
        <v>28</v>
      </c>
      <c r="BS21" s="60">
        <v>216.91</v>
      </c>
      <c r="BT21" s="65">
        <f t="shared" si="90"/>
        <v>39.999999999992042</v>
      </c>
      <c r="BU21" s="60">
        <v>55291</v>
      </c>
      <c r="BV21" s="65">
        <f t="shared" si="91"/>
        <v>29</v>
      </c>
      <c r="BW21" s="60">
        <v>245.07</v>
      </c>
      <c r="BX21" s="65">
        <f t="shared" si="92"/>
        <v>49.999999999982947</v>
      </c>
      <c r="BY21" s="60">
        <v>75125</v>
      </c>
      <c r="BZ21" s="67">
        <f t="shared" si="93"/>
        <v>48</v>
      </c>
      <c r="CA21" s="60">
        <v>49646.3</v>
      </c>
      <c r="CB21" s="67">
        <f t="shared" si="94"/>
        <v>56.400000000001455</v>
      </c>
      <c r="CC21" s="60">
        <v>15998.8</v>
      </c>
      <c r="CD21" s="67">
        <f t="shared" si="95"/>
        <v>9.2999999999992724</v>
      </c>
      <c r="CE21" s="60">
        <v>8235.5</v>
      </c>
      <c r="CF21" s="67">
        <f t="shared" si="96"/>
        <v>0.2999999999992724</v>
      </c>
      <c r="CG21" s="60">
        <v>75753.899999999994</v>
      </c>
      <c r="CH21" s="67">
        <f t="shared" si="97"/>
        <v>44.19999999999709</v>
      </c>
      <c r="CI21" s="60">
        <v>1054571</v>
      </c>
      <c r="CJ21" s="67">
        <f t="shared" si="98"/>
        <v>269</v>
      </c>
      <c r="CK21" s="60">
        <v>1017.8</v>
      </c>
      <c r="CL21" s="64">
        <f t="shared" si="74"/>
        <v>799.99999999995453</v>
      </c>
      <c r="CM21" s="65">
        <f t="shared" si="75"/>
        <v>118</v>
      </c>
      <c r="CN21" s="62">
        <v>20</v>
      </c>
      <c r="CO21" s="62">
        <v>37</v>
      </c>
      <c r="CP21" s="68">
        <v>32678</v>
      </c>
      <c r="CQ21" s="67">
        <f t="shared" si="99"/>
        <v>66</v>
      </c>
      <c r="CR21" s="68">
        <v>22089</v>
      </c>
      <c r="CS21" s="67">
        <f t="shared" si="76"/>
        <v>52</v>
      </c>
      <c r="CT21" s="75">
        <v>10571</v>
      </c>
      <c r="CU21" s="67">
        <f t="shared" si="77"/>
        <v>11</v>
      </c>
      <c r="CV21" s="68">
        <v>25003</v>
      </c>
      <c r="CW21" s="67">
        <f t="shared" si="78"/>
        <v>29</v>
      </c>
      <c r="CX21" s="58">
        <v>3316</v>
      </c>
      <c r="CY21" s="67">
        <f t="shared" si="79"/>
        <v>11.599999999999909</v>
      </c>
    </row>
    <row r="22" spans="1:103" ht="25.5" customHeight="1" thickBot="1" x14ac:dyDescent="0.45">
      <c r="A22" s="63">
        <v>44731</v>
      </c>
      <c r="B22" s="44"/>
      <c r="C22" s="58">
        <v>3.2945000000000002</v>
      </c>
      <c r="D22" s="64">
        <f t="shared" si="50"/>
        <v>2099.9999999999909</v>
      </c>
      <c r="E22" s="58">
        <v>4.4054000000000002</v>
      </c>
      <c r="F22" s="64">
        <f t="shared" si="51"/>
        <v>2500.0000000003906</v>
      </c>
      <c r="G22" s="58">
        <v>4.3667999999999996</v>
      </c>
      <c r="H22" s="64">
        <f t="shared" si="52"/>
        <v>2799.9999999996917</v>
      </c>
      <c r="I22" s="58">
        <v>2.1934</v>
      </c>
      <c r="J22" s="64">
        <f t="shared" si="53"/>
        <v>1500.0000000000568</v>
      </c>
      <c r="K22" s="58">
        <v>3.4129</v>
      </c>
      <c r="L22" s="64">
        <f t="shared" si="54"/>
        <v>2099.9999999999909</v>
      </c>
      <c r="M22" s="58">
        <v>1.9831000000000001</v>
      </c>
      <c r="N22" s="64">
        <f t="shared" si="55"/>
        <v>1500.0000000000568</v>
      </c>
      <c r="O22" s="58">
        <v>21672</v>
      </c>
      <c r="P22" s="67">
        <f t="shared" si="56"/>
        <v>2</v>
      </c>
      <c r="Q22" s="58">
        <v>2684</v>
      </c>
      <c r="R22" s="67">
        <f t="shared" si="57"/>
        <v>3</v>
      </c>
      <c r="S22" s="58">
        <v>1379.7</v>
      </c>
      <c r="T22" s="67">
        <f t="shared" si="58"/>
        <v>0.90000000000009095</v>
      </c>
      <c r="U22" s="58">
        <v>562776.4</v>
      </c>
      <c r="V22" s="67">
        <f t="shared" si="59"/>
        <v>285.70000000006985</v>
      </c>
      <c r="W22" s="58">
        <v>520.21</v>
      </c>
      <c r="X22" s="65">
        <f t="shared" si="60"/>
        <v>290.00000000007731</v>
      </c>
      <c r="Y22" s="58">
        <v>3.8746</v>
      </c>
      <c r="Z22" s="65">
        <f t="shared" si="61"/>
        <v>2200.0000000002019</v>
      </c>
      <c r="AA22" s="58">
        <v>524.52</v>
      </c>
      <c r="AB22" s="65">
        <f t="shared" si="62"/>
        <v>350.00000000002274</v>
      </c>
      <c r="AC22" s="58">
        <v>518.64</v>
      </c>
      <c r="AD22" s="65">
        <f t="shared" si="63"/>
        <v>370.00000000000455</v>
      </c>
      <c r="AE22" s="58">
        <v>778.47</v>
      </c>
      <c r="AF22" s="65">
        <f t="shared" si="64"/>
        <v>750</v>
      </c>
      <c r="AG22" s="58">
        <v>18285</v>
      </c>
      <c r="AH22" s="67">
        <f t="shared" si="65"/>
        <v>28</v>
      </c>
      <c r="AI22" s="58">
        <v>875.91</v>
      </c>
      <c r="AJ22" s="65">
        <f t="shared" si="66"/>
        <v>899.99999999997726</v>
      </c>
      <c r="AK22" s="58">
        <v>292.72000000000003</v>
      </c>
      <c r="AL22" s="65">
        <f t="shared" si="67"/>
        <v>220.00000000002728</v>
      </c>
      <c r="AM22" s="58">
        <v>272.47000000000003</v>
      </c>
      <c r="AN22" s="65">
        <f t="shared" si="68"/>
        <v>140.0000000000432</v>
      </c>
      <c r="AO22" s="58">
        <v>262.83999999999997</v>
      </c>
      <c r="AP22" s="65">
        <f t="shared" si="69"/>
        <v>149.99999999997726</v>
      </c>
      <c r="AQ22" s="58">
        <v>317.49</v>
      </c>
      <c r="AR22" s="65">
        <f t="shared" si="70"/>
        <v>180.00000000000682</v>
      </c>
      <c r="AS22" s="58">
        <v>443.4</v>
      </c>
      <c r="AT22" s="65">
        <f t="shared" si="71"/>
        <v>159.99999999996817</v>
      </c>
      <c r="AU22" s="58">
        <v>352.16</v>
      </c>
      <c r="AV22" s="65">
        <f t="shared" si="72"/>
        <v>140.0000000000432</v>
      </c>
      <c r="AW22" s="58">
        <v>381.2</v>
      </c>
      <c r="AX22" s="65">
        <f t="shared" si="73"/>
        <v>110.00000000001364</v>
      </c>
      <c r="AY22" s="58">
        <v>414.47</v>
      </c>
      <c r="AZ22" s="65">
        <f t="shared" si="80"/>
        <v>160.00000000002501</v>
      </c>
      <c r="BA22" s="58">
        <v>434.29</v>
      </c>
      <c r="BB22" s="65">
        <f t="shared" si="81"/>
        <v>100.00000000002274</v>
      </c>
      <c r="BC22" s="58">
        <v>279.70999999999998</v>
      </c>
      <c r="BD22" s="65">
        <f t="shared" si="82"/>
        <v>69.999999999993179</v>
      </c>
      <c r="BE22" s="59">
        <v>52126</v>
      </c>
      <c r="BF22" s="67">
        <f t="shared" si="83"/>
        <v>14</v>
      </c>
      <c r="BG22" s="60">
        <v>249.47</v>
      </c>
      <c r="BH22" s="65">
        <f t="shared" si="84"/>
        <v>39.999999999992042</v>
      </c>
      <c r="BI22" s="60">
        <v>304.13</v>
      </c>
      <c r="BJ22" s="65">
        <f t="shared" si="85"/>
        <v>40.000000000020464</v>
      </c>
      <c r="BK22" s="60">
        <v>253.18</v>
      </c>
      <c r="BL22" s="65">
        <f t="shared" si="86"/>
        <v>50.000000000011369</v>
      </c>
      <c r="BM22" s="60">
        <v>239.27</v>
      </c>
      <c r="BN22" s="65">
        <f t="shared" si="87"/>
        <v>30.000000000001137</v>
      </c>
      <c r="BO22" s="60">
        <v>307.37</v>
      </c>
      <c r="BP22" s="65">
        <f t="shared" si="88"/>
        <v>60.000000000002274</v>
      </c>
      <c r="BQ22" s="60">
        <v>57559</v>
      </c>
      <c r="BR22" s="65">
        <f t="shared" si="89"/>
        <v>35</v>
      </c>
      <c r="BS22" s="60">
        <v>216.95</v>
      </c>
      <c r="BT22" s="65">
        <f t="shared" si="90"/>
        <v>39.999999999992042</v>
      </c>
      <c r="BU22" s="60">
        <v>55328</v>
      </c>
      <c r="BV22" s="65">
        <f t="shared" si="91"/>
        <v>37</v>
      </c>
      <c r="BW22" s="60">
        <v>245.11</v>
      </c>
      <c r="BX22" s="65">
        <f t="shared" si="92"/>
        <v>40.000000000020464</v>
      </c>
      <c r="BY22" s="60">
        <v>75172</v>
      </c>
      <c r="BZ22" s="67">
        <f t="shared" si="93"/>
        <v>47</v>
      </c>
      <c r="CA22" s="60">
        <v>49701</v>
      </c>
      <c r="CB22" s="67">
        <f t="shared" si="94"/>
        <v>54.69999999999709</v>
      </c>
      <c r="CC22" s="60">
        <v>16008.8</v>
      </c>
      <c r="CD22" s="67">
        <f t="shared" si="95"/>
        <v>10</v>
      </c>
      <c r="CE22" s="60">
        <v>8247.9</v>
      </c>
      <c r="CF22" s="67">
        <f t="shared" si="96"/>
        <v>12.399999999999636</v>
      </c>
      <c r="CG22" s="60">
        <v>75804.399999999994</v>
      </c>
      <c r="CH22" s="67">
        <f t="shared" si="97"/>
        <v>50.5</v>
      </c>
      <c r="CI22" s="60">
        <v>1054849</v>
      </c>
      <c r="CJ22" s="67">
        <f t="shared" si="98"/>
        <v>278</v>
      </c>
      <c r="CK22" s="60">
        <v>1018.6</v>
      </c>
      <c r="CL22" s="64">
        <f t="shared" si="74"/>
        <v>800.00000000006821</v>
      </c>
      <c r="CM22" s="65">
        <f t="shared" si="75"/>
        <v>74</v>
      </c>
      <c r="CN22" s="62">
        <v>20</v>
      </c>
      <c r="CO22" s="62">
        <v>37</v>
      </c>
      <c r="CP22" s="68">
        <v>32743</v>
      </c>
      <c r="CQ22" s="67">
        <f t="shared" si="99"/>
        <v>65</v>
      </c>
      <c r="CR22" s="68">
        <v>22098</v>
      </c>
      <c r="CS22" s="67">
        <f t="shared" si="76"/>
        <v>9</v>
      </c>
      <c r="CT22" s="75">
        <v>10581</v>
      </c>
      <c r="CU22" s="67">
        <f t="shared" si="77"/>
        <v>10</v>
      </c>
      <c r="CV22" s="68">
        <v>25025</v>
      </c>
      <c r="CW22" s="67">
        <f t="shared" si="78"/>
        <v>22</v>
      </c>
      <c r="CX22" s="58">
        <v>3327.1</v>
      </c>
      <c r="CY22" s="67">
        <f t="shared" si="79"/>
        <v>11.099999999999909</v>
      </c>
    </row>
    <row r="23" spans="1:103" ht="25.5" customHeight="1" thickBot="1" x14ac:dyDescent="0.45">
      <c r="A23" s="63">
        <v>44732</v>
      </c>
      <c r="B23" s="44"/>
      <c r="C23" s="58">
        <v>3.2970000000000002</v>
      </c>
      <c r="D23" s="64">
        <f t="shared" si="50"/>
        <v>2499.9999999999468</v>
      </c>
      <c r="E23" s="58">
        <v>4.4082999999999997</v>
      </c>
      <c r="F23" s="64">
        <f t="shared" si="51"/>
        <v>2899.9999999994584</v>
      </c>
      <c r="G23" s="58">
        <v>4.3696000000000002</v>
      </c>
      <c r="H23" s="64">
        <f t="shared" si="52"/>
        <v>2800.0000000005798</v>
      </c>
      <c r="I23" s="58">
        <v>2.1949000000000001</v>
      </c>
      <c r="J23" s="64">
        <f t="shared" si="53"/>
        <v>1500.0000000000568</v>
      </c>
      <c r="K23" s="58">
        <v>3.4148999999999998</v>
      </c>
      <c r="L23" s="64">
        <f t="shared" si="54"/>
        <v>1999.9999999997797</v>
      </c>
      <c r="M23" s="58">
        <v>1.9845999999999999</v>
      </c>
      <c r="N23" s="64">
        <f t="shared" si="55"/>
        <v>1499.9999999998347</v>
      </c>
      <c r="O23" s="58">
        <v>21730</v>
      </c>
      <c r="P23" s="67">
        <f t="shared" si="56"/>
        <v>58</v>
      </c>
      <c r="Q23" s="58">
        <v>2687</v>
      </c>
      <c r="R23" s="67">
        <f t="shared" si="57"/>
        <v>3</v>
      </c>
      <c r="S23" s="58">
        <v>1380.4</v>
      </c>
      <c r="T23" s="67">
        <f t="shared" si="58"/>
        <v>0.70000000000004547</v>
      </c>
      <c r="U23" s="58">
        <v>563120.5</v>
      </c>
      <c r="V23" s="67">
        <f t="shared" si="59"/>
        <v>344.09999999997672</v>
      </c>
      <c r="W23" s="58">
        <v>520.44000000000005</v>
      </c>
      <c r="X23" s="65">
        <f t="shared" si="60"/>
        <v>230.00000000001819</v>
      </c>
      <c r="Y23" s="58">
        <v>3.8771</v>
      </c>
      <c r="Z23" s="65">
        <f t="shared" si="61"/>
        <v>2499.9999999999468</v>
      </c>
      <c r="AA23" s="58">
        <v>524.86</v>
      </c>
      <c r="AB23" s="65">
        <f t="shared" si="62"/>
        <v>340.00000000003183</v>
      </c>
      <c r="AC23" s="58">
        <v>518.97</v>
      </c>
      <c r="AD23" s="65">
        <f t="shared" si="63"/>
        <v>330.00000000004093</v>
      </c>
      <c r="AE23" s="58">
        <v>779.1</v>
      </c>
      <c r="AF23" s="65">
        <f t="shared" si="64"/>
        <v>629.99999999999545</v>
      </c>
      <c r="AG23" s="58">
        <v>18310</v>
      </c>
      <c r="AH23" s="67">
        <f t="shared" si="65"/>
        <v>25</v>
      </c>
      <c r="AI23" s="58">
        <v>876.71</v>
      </c>
      <c r="AJ23" s="65">
        <f t="shared" si="66"/>
        <v>800.00000000006821</v>
      </c>
      <c r="AK23" s="58">
        <v>292.91000000000003</v>
      </c>
      <c r="AL23" s="65">
        <f t="shared" si="67"/>
        <v>189.99999999999773</v>
      </c>
      <c r="AM23" s="58">
        <v>272.58999999999997</v>
      </c>
      <c r="AN23" s="65">
        <f t="shared" si="68"/>
        <v>119.9999999999477</v>
      </c>
      <c r="AO23" s="58">
        <v>263.02999999999997</v>
      </c>
      <c r="AP23" s="65">
        <f t="shared" si="69"/>
        <v>189.99999999999773</v>
      </c>
      <c r="AQ23" s="58">
        <v>317.64999999999998</v>
      </c>
      <c r="AR23" s="65">
        <f t="shared" si="70"/>
        <v>159.99999999996817</v>
      </c>
      <c r="AS23" s="58">
        <v>443.57</v>
      </c>
      <c r="AT23" s="65">
        <f t="shared" si="71"/>
        <v>170.00000000001592</v>
      </c>
      <c r="AU23" s="58">
        <v>352.29</v>
      </c>
      <c r="AV23" s="65">
        <f t="shared" si="72"/>
        <v>129.99999999999545</v>
      </c>
      <c r="AW23" s="58">
        <v>381.3</v>
      </c>
      <c r="AX23" s="65">
        <f t="shared" si="73"/>
        <v>100.00000000002274</v>
      </c>
      <c r="AY23" s="58">
        <v>414.6</v>
      </c>
      <c r="AZ23" s="65">
        <f t="shared" si="80"/>
        <v>129.99999999999545</v>
      </c>
      <c r="BA23" s="58">
        <v>434.38</v>
      </c>
      <c r="BB23" s="65">
        <f t="shared" si="81"/>
        <v>89.999999999974989</v>
      </c>
      <c r="BC23" s="58">
        <v>279.77</v>
      </c>
      <c r="BD23" s="65">
        <f t="shared" si="82"/>
        <v>60.000000000002274</v>
      </c>
      <c r="BE23" s="59">
        <v>52142</v>
      </c>
      <c r="BF23" s="67">
        <f t="shared" si="83"/>
        <v>16</v>
      </c>
      <c r="BG23" s="60">
        <v>249.5</v>
      </c>
      <c r="BH23" s="65">
        <f t="shared" si="84"/>
        <v>30.000000000001137</v>
      </c>
      <c r="BI23" s="60">
        <v>304.16000000000003</v>
      </c>
      <c r="BJ23" s="65">
        <f t="shared" si="85"/>
        <v>30.000000000029559</v>
      </c>
      <c r="BK23" s="60">
        <v>253.23</v>
      </c>
      <c r="BL23" s="65">
        <f t="shared" si="86"/>
        <v>49.999999999982947</v>
      </c>
      <c r="BM23" s="60">
        <v>239.3</v>
      </c>
      <c r="BN23" s="65">
        <f t="shared" si="87"/>
        <v>30.000000000001137</v>
      </c>
      <c r="BO23" s="60">
        <v>307.41000000000003</v>
      </c>
      <c r="BP23" s="65">
        <f t="shared" si="88"/>
        <v>40.000000000020464</v>
      </c>
      <c r="BQ23" s="60">
        <v>57590</v>
      </c>
      <c r="BR23" s="65">
        <f t="shared" si="89"/>
        <v>31</v>
      </c>
      <c r="BS23" s="60">
        <v>216.99</v>
      </c>
      <c r="BT23" s="65">
        <f t="shared" si="90"/>
        <v>40.000000000020464</v>
      </c>
      <c r="BU23" s="60">
        <v>55364</v>
      </c>
      <c r="BV23" s="65">
        <f t="shared" si="91"/>
        <v>36</v>
      </c>
      <c r="BW23" s="60">
        <v>245.16</v>
      </c>
      <c r="BX23" s="65">
        <f t="shared" si="92"/>
        <v>49.999999999982947</v>
      </c>
      <c r="BY23" s="60">
        <v>75215</v>
      </c>
      <c r="BZ23" s="67">
        <f t="shared" si="93"/>
        <v>43</v>
      </c>
      <c r="CA23" s="60">
        <v>49752.5</v>
      </c>
      <c r="CB23" s="67">
        <f t="shared" si="94"/>
        <v>51.5</v>
      </c>
      <c r="CC23" s="60">
        <v>16017.8</v>
      </c>
      <c r="CD23" s="67">
        <f t="shared" si="95"/>
        <v>9</v>
      </c>
      <c r="CE23" s="60">
        <v>8247.9</v>
      </c>
      <c r="CF23" s="67">
        <f t="shared" si="96"/>
        <v>0</v>
      </c>
      <c r="CG23" s="60">
        <v>75852.2</v>
      </c>
      <c r="CH23" s="67">
        <f t="shared" si="97"/>
        <v>47.80000000000291</v>
      </c>
      <c r="CI23" s="60">
        <v>1055133</v>
      </c>
      <c r="CJ23" s="67">
        <f t="shared" si="98"/>
        <v>284</v>
      </c>
      <c r="CK23" s="60">
        <v>1019.4</v>
      </c>
      <c r="CL23" s="64">
        <f t="shared" si="74"/>
        <v>799.99999999995453</v>
      </c>
      <c r="CM23" s="65">
        <f>CQ23+CS23</f>
        <v>67</v>
      </c>
      <c r="CN23" s="62">
        <v>20</v>
      </c>
      <c r="CO23" s="62">
        <v>37</v>
      </c>
      <c r="CP23" s="68">
        <v>32807</v>
      </c>
      <c r="CQ23" s="67">
        <f t="shared" si="99"/>
        <v>64</v>
      </c>
      <c r="CR23" s="68">
        <v>22101</v>
      </c>
      <c r="CS23" s="67">
        <f t="shared" si="76"/>
        <v>3</v>
      </c>
      <c r="CT23" s="75">
        <v>10588</v>
      </c>
      <c r="CU23" s="67">
        <f t="shared" si="77"/>
        <v>7</v>
      </c>
      <c r="CV23" s="68">
        <v>25047</v>
      </c>
      <c r="CW23" s="67">
        <f t="shared" si="78"/>
        <v>22</v>
      </c>
      <c r="CX23" s="58">
        <v>3338.4</v>
      </c>
      <c r="CY23" s="67">
        <f t="shared" si="79"/>
        <v>11.300000000000182</v>
      </c>
    </row>
    <row r="24" spans="1:103" ht="25.5" customHeight="1" thickBot="1" x14ac:dyDescent="0.45">
      <c r="A24" s="63">
        <v>44733</v>
      </c>
      <c r="B24" s="44"/>
      <c r="C24" s="58">
        <v>3.2997000000000001</v>
      </c>
      <c r="D24" s="64">
        <f t="shared" si="50"/>
        <v>2699.9999999999245</v>
      </c>
      <c r="E24" s="58">
        <v>4.4112</v>
      </c>
      <c r="F24" s="64">
        <f t="shared" si="51"/>
        <v>2900.0000000003465</v>
      </c>
      <c r="G24" s="58">
        <v>4.3726000000000003</v>
      </c>
      <c r="H24" s="64">
        <f t="shared" si="52"/>
        <v>3000.0000000001137</v>
      </c>
      <c r="I24" s="58">
        <v>2.1964000000000001</v>
      </c>
      <c r="J24" s="64">
        <f t="shared" si="53"/>
        <v>1500.0000000000568</v>
      </c>
      <c r="K24" s="58">
        <v>3.4169</v>
      </c>
      <c r="L24" s="64">
        <f t="shared" si="54"/>
        <v>2000.0000000002237</v>
      </c>
      <c r="M24" s="58">
        <v>1.9859</v>
      </c>
      <c r="N24" s="64">
        <f t="shared" si="55"/>
        <v>1300.0000000000789</v>
      </c>
      <c r="O24" s="58">
        <v>21755</v>
      </c>
      <c r="P24" s="67">
        <f t="shared" si="56"/>
        <v>25</v>
      </c>
      <c r="Q24" s="58">
        <v>2690</v>
      </c>
      <c r="R24" s="67">
        <f t="shared" si="57"/>
        <v>3</v>
      </c>
      <c r="S24" s="58">
        <v>1381.3</v>
      </c>
      <c r="T24" s="67">
        <f t="shared" si="58"/>
        <v>0.89999999999986358</v>
      </c>
      <c r="U24" s="58">
        <v>563446.5</v>
      </c>
      <c r="V24" s="67">
        <f t="shared" si="59"/>
        <v>326</v>
      </c>
      <c r="W24" s="58">
        <v>520.71</v>
      </c>
      <c r="X24" s="65">
        <f t="shared" si="60"/>
        <v>269.99999999998181</v>
      </c>
      <c r="Y24" s="58">
        <v>3.8797000000000001</v>
      </c>
      <c r="Z24" s="65">
        <f t="shared" si="61"/>
        <v>2600.0000000001578</v>
      </c>
      <c r="AA24" s="58">
        <v>525.11</v>
      </c>
      <c r="AB24" s="65">
        <f t="shared" si="62"/>
        <v>250</v>
      </c>
      <c r="AC24" s="58">
        <v>519.30999999999995</v>
      </c>
      <c r="AD24" s="65">
        <f t="shared" si="63"/>
        <v>339.99999999991815</v>
      </c>
      <c r="AE24" s="58">
        <v>779.77</v>
      </c>
      <c r="AF24" s="65">
        <f t="shared" si="64"/>
        <v>669.99999999995907</v>
      </c>
      <c r="AG24" s="58">
        <v>18348</v>
      </c>
      <c r="AH24" s="67">
        <f t="shared" si="65"/>
        <v>38</v>
      </c>
      <c r="AI24" s="58">
        <v>877.63</v>
      </c>
      <c r="AJ24" s="65">
        <f t="shared" si="66"/>
        <v>919.99999999995907</v>
      </c>
      <c r="AK24" s="58">
        <v>293.16000000000003</v>
      </c>
      <c r="AL24" s="65">
        <f t="shared" si="67"/>
        <v>250</v>
      </c>
      <c r="AM24" s="58">
        <v>272.76</v>
      </c>
      <c r="AN24" s="65">
        <f t="shared" si="68"/>
        <v>170.00000000001592</v>
      </c>
      <c r="AO24" s="58">
        <v>263.22000000000003</v>
      </c>
      <c r="AP24" s="65">
        <f t="shared" si="69"/>
        <v>190.00000000005457</v>
      </c>
      <c r="AQ24" s="58">
        <v>317.8</v>
      </c>
      <c r="AR24" s="65">
        <f t="shared" si="70"/>
        <v>150.00000000003411</v>
      </c>
      <c r="AS24" s="58">
        <v>443.74</v>
      </c>
      <c r="AT24" s="65">
        <f t="shared" si="71"/>
        <v>170.00000000001592</v>
      </c>
      <c r="AU24" s="58">
        <v>352.42</v>
      </c>
      <c r="AV24" s="65">
        <f t="shared" si="72"/>
        <v>129.99999999999545</v>
      </c>
      <c r="AW24" s="58">
        <v>381.41</v>
      </c>
      <c r="AX24" s="65">
        <f t="shared" si="73"/>
        <v>110.00000000001364</v>
      </c>
      <c r="AY24" s="58">
        <v>414.74</v>
      </c>
      <c r="AZ24" s="65">
        <f t="shared" si="80"/>
        <v>139.99999999998636</v>
      </c>
      <c r="BA24" s="58">
        <v>434.5</v>
      </c>
      <c r="BB24" s="65">
        <f t="shared" si="81"/>
        <v>120.00000000000455</v>
      </c>
      <c r="BC24" s="58">
        <v>279.83</v>
      </c>
      <c r="BD24" s="65">
        <f t="shared" si="82"/>
        <v>60.000000000002274</v>
      </c>
      <c r="BE24" s="59">
        <v>52166</v>
      </c>
      <c r="BF24" s="67">
        <f t="shared" si="83"/>
        <v>24</v>
      </c>
      <c r="BG24" s="60">
        <v>249.53</v>
      </c>
      <c r="BH24" s="65">
        <f t="shared" si="84"/>
        <v>30.000000000001137</v>
      </c>
      <c r="BI24" s="60">
        <v>304.19</v>
      </c>
      <c r="BJ24" s="65">
        <f t="shared" si="85"/>
        <v>29.999999999972715</v>
      </c>
      <c r="BK24" s="60">
        <v>253.27</v>
      </c>
      <c r="BL24" s="65">
        <f t="shared" si="86"/>
        <v>40.000000000020464</v>
      </c>
      <c r="BM24" s="60">
        <v>239.33</v>
      </c>
      <c r="BN24" s="65">
        <f t="shared" si="87"/>
        <v>30.000000000001137</v>
      </c>
      <c r="BO24" s="60">
        <v>307.45999999999998</v>
      </c>
      <c r="BP24" s="65">
        <f t="shared" si="88"/>
        <v>49.999999999954525</v>
      </c>
      <c r="BQ24" s="60">
        <v>57618</v>
      </c>
      <c r="BR24" s="65">
        <f t="shared" si="89"/>
        <v>28</v>
      </c>
      <c r="BS24" s="60">
        <v>217.06</v>
      </c>
      <c r="BT24" s="65">
        <f t="shared" si="90"/>
        <v>69.999999999993179</v>
      </c>
      <c r="BU24" s="60">
        <v>55395</v>
      </c>
      <c r="BV24" s="65">
        <f t="shared" si="91"/>
        <v>31</v>
      </c>
      <c r="BW24" s="60">
        <v>245.19</v>
      </c>
      <c r="BX24" s="65">
        <f t="shared" si="92"/>
        <v>30.000000000001137</v>
      </c>
      <c r="BY24" s="60">
        <v>75257</v>
      </c>
      <c r="BZ24" s="67">
        <f t="shared" si="93"/>
        <v>42</v>
      </c>
      <c r="CA24" s="60">
        <v>49798.1</v>
      </c>
      <c r="CB24" s="67">
        <f t="shared" si="94"/>
        <v>45.599999999998545</v>
      </c>
      <c r="CC24" s="60">
        <v>16027.7</v>
      </c>
      <c r="CD24" s="67">
        <f t="shared" si="95"/>
        <v>9.9000000000014552</v>
      </c>
      <c r="CE24" s="60">
        <v>8252.9</v>
      </c>
      <c r="CF24" s="67">
        <f t="shared" si="96"/>
        <v>5</v>
      </c>
      <c r="CG24" s="60">
        <v>75905.600000000006</v>
      </c>
      <c r="CH24" s="67">
        <f t="shared" si="97"/>
        <v>53.400000000008731</v>
      </c>
      <c r="CI24" s="60">
        <v>1055419</v>
      </c>
      <c r="CJ24" s="67">
        <f t="shared" si="98"/>
        <v>286</v>
      </c>
      <c r="CK24" s="60">
        <v>1020.3</v>
      </c>
      <c r="CL24" s="64">
        <f t="shared" si="74"/>
        <v>899.99999999997726</v>
      </c>
      <c r="CM24" s="65">
        <f t="shared" si="75"/>
        <v>81</v>
      </c>
      <c r="CN24" s="62">
        <v>26</v>
      </c>
      <c r="CO24" s="62">
        <v>54</v>
      </c>
      <c r="CP24" s="68">
        <v>32876</v>
      </c>
      <c r="CQ24" s="67">
        <f t="shared" si="99"/>
        <v>69</v>
      </c>
      <c r="CR24" s="68">
        <v>22113</v>
      </c>
      <c r="CS24" s="67">
        <f t="shared" si="76"/>
        <v>12</v>
      </c>
      <c r="CT24" s="75">
        <v>10597</v>
      </c>
      <c r="CU24" s="67">
        <f t="shared" si="77"/>
        <v>9</v>
      </c>
      <c r="CV24" s="68">
        <v>25070</v>
      </c>
      <c r="CW24" s="67">
        <f t="shared" si="78"/>
        <v>23</v>
      </c>
      <c r="CX24" s="58">
        <v>3349.5</v>
      </c>
      <c r="CY24" s="67">
        <f t="shared" si="79"/>
        <v>11.099999999999909</v>
      </c>
    </row>
    <row r="25" spans="1:103" ht="25.5" customHeight="1" thickBot="1" x14ac:dyDescent="0.45">
      <c r="A25" s="63">
        <v>44734</v>
      </c>
      <c r="B25" s="44"/>
      <c r="C25" s="58">
        <v>3.3022999999999998</v>
      </c>
      <c r="D25" s="64">
        <f t="shared" si="50"/>
        <v>2599.9999999997135</v>
      </c>
      <c r="E25" s="58">
        <v>4.4141000000000004</v>
      </c>
      <c r="F25" s="64">
        <f t="shared" si="51"/>
        <v>2900.0000000003465</v>
      </c>
      <c r="G25" s="58">
        <v>4.3756000000000004</v>
      </c>
      <c r="H25" s="64">
        <f t="shared" si="52"/>
        <v>3000.0000000001137</v>
      </c>
      <c r="I25" s="58">
        <v>2.1978</v>
      </c>
      <c r="J25" s="64">
        <f t="shared" si="53"/>
        <v>1399.9999999998458</v>
      </c>
      <c r="K25" s="58">
        <v>3.4188999999999998</v>
      </c>
      <c r="L25" s="64">
        <f t="shared" si="54"/>
        <v>1999.9999999997797</v>
      </c>
      <c r="M25" s="58">
        <v>1.9874000000000001</v>
      </c>
      <c r="N25" s="64">
        <f t="shared" si="55"/>
        <v>1500.0000000000568</v>
      </c>
      <c r="O25" s="58">
        <v>21782</v>
      </c>
      <c r="P25" s="67">
        <f t="shared" si="56"/>
        <v>27</v>
      </c>
      <c r="Q25" s="58">
        <v>2693</v>
      </c>
      <c r="R25" s="67">
        <f t="shared" si="57"/>
        <v>3</v>
      </c>
      <c r="S25" s="58">
        <v>1382.2</v>
      </c>
      <c r="T25" s="67">
        <f t="shared" si="58"/>
        <v>0.90000000000009095</v>
      </c>
      <c r="U25" s="58">
        <v>563860.30000000005</v>
      </c>
      <c r="V25" s="67">
        <f t="shared" si="59"/>
        <v>413.80000000004657</v>
      </c>
      <c r="W25" s="58">
        <v>520.99</v>
      </c>
      <c r="X25" s="65">
        <f t="shared" si="60"/>
        <v>279.99999999997272</v>
      </c>
      <c r="Y25" s="58">
        <v>3.8822999999999999</v>
      </c>
      <c r="Z25" s="65">
        <f t="shared" si="61"/>
        <v>2599.9999999997135</v>
      </c>
      <c r="AA25" s="58">
        <v>525.5</v>
      </c>
      <c r="AB25" s="65">
        <f t="shared" si="62"/>
        <v>389.99999999998636</v>
      </c>
      <c r="AC25" s="58">
        <v>519.62</v>
      </c>
      <c r="AD25" s="65">
        <f t="shared" si="63"/>
        <v>310.00000000005912</v>
      </c>
      <c r="AE25" s="58">
        <v>780.43</v>
      </c>
      <c r="AF25" s="65">
        <f t="shared" si="64"/>
        <v>659.99999999996817</v>
      </c>
      <c r="AG25" s="58">
        <v>18389</v>
      </c>
      <c r="AH25" s="67">
        <f t="shared" si="65"/>
        <v>41</v>
      </c>
      <c r="AI25" s="58">
        <v>878.5</v>
      </c>
      <c r="AJ25" s="65">
        <f t="shared" si="66"/>
        <v>870.00000000000455</v>
      </c>
      <c r="AK25" s="58">
        <v>293.39</v>
      </c>
      <c r="AL25" s="65">
        <f t="shared" si="67"/>
        <v>229.99999999996135</v>
      </c>
      <c r="AM25" s="58">
        <v>272.95</v>
      </c>
      <c r="AN25" s="65">
        <f t="shared" si="68"/>
        <v>189.99999999999773</v>
      </c>
      <c r="AO25" s="58">
        <v>263.43</v>
      </c>
      <c r="AP25" s="65">
        <f t="shared" si="69"/>
        <v>209.99999999997954</v>
      </c>
      <c r="AQ25" s="58">
        <v>318.08</v>
      </c>
      <c r="AR25" s="65">
        <f t="shared" si="70"/>
        <v>279.99999999997272</v>
      </c>
      <c r="AS25" s="58">
        <v>443.91</v>
      </c>
      <c r="AT25" s="65">
        <f t="shared" si="71"/>
        <v>170.00000000001592</v>
      </c>
      <c r="AU25" s="58">
        <v>352.6</v>
      </c>
      <c r="AV25" s="65">
        <f t="shared" si="72"/>
        <v>180.00000000000682</v>
      </c>
      <c r="AW25" s="58">
        <v>381.52</v>
      </c>
      <c r="AX25" s="65">
        <f t="shared" si="73"/>
        <v>109.9999999999568</v>
      </c>
      <c r="AY25" s="58">
        <v>414.86</v>
      </c>
      <c r="AZ25" s="65">
        <f t="shared" si="80"/>
        <v>120.00000000000455</v>
      </c>
      <c r="BA25" s="58">
        <v>434.59</v>
      </c>
      <c r="BB25" s="65">
        <f t="shared" si="81"/>
        <v>89.999999999974989</v>
      </c>
      <c r="BC25" s="58">
        <v>279.89</v>
      </c>
      <c r="BD25" s="65">
        <f t="shared" si="82"/>
        <v>60.000000000002274</v>
      </c>
      <c r="BE25" s="59">
        <v>52186</v>
      </c>
      <c r="BF25" s="67">
        <f t="shared" si="83"/>
        <v>20</v>
      </c>
      <c r="BG25" s="60">
        <v>249.56</v>
      </c>
      <c r="BH25" s="65">
        <f t="shared" si="84"/>
        <v>30.000000000001137</v>
      </c>
      <c r="BI25" s="60">
        <v>304.22000000000003</v>
      </c>
      <c r="BJ25" s="65">
        <f t="shared" si="85"/>
        <v>30.000000000029559</v>
      </c>
      <c r="BK25" s="60">
        <v>253.32</v>
      </c>
      <c r="BL25" s="65">
        <f t="shared" si="86"/>
        <v>49.999999999982947</v>
      </c>
      <c r="BM25" s="60">
        <v>239.36</v>
      </c>
      <c r="BN25" s="65">
        <f t="shared" si="87"/>
        <v>30.000000000001137</v>
      </c>
      <c r="BO25" s="60">
        <v>307.5</v>
      </c>
      <c r="BP25" s="65">
        <f t="shared" si="88"/>
        <v>40.000000000020464</v>
      </c>
      <c r="BQ25" s="60">
        <v>57643</v>
      </c>
      <c r="BR25" s="65">
        <f t="shared" si="89"/>
        <v>25</v>
      </c>
      <c r="BS25" s="60">
        <v>217.07</v>
      </c>
      <c r="BT25" s="65">
        <f t="shared" si="90"/>
        <v>9.9999999999909051</v>
      </c>
      <c r="BU25" s="60">
        <v>55419</v>
      </c>
      <c r="BV25" s="65">
        <f t="shared" si="91"/>
        <v>24</v>
      </c>
      <c r="BW25" s="60">
        <v>245.23</v>
      </c>
      <c r="BX25" s="65">
        <f t="shared" si="92"/>
        <v>39.999999999992042</v>
      </c>
      <c r="BY25" s="60">
        <v>75299</v>
      </c>
      <c r="BZ25" s="67">
        <f t="shared" si="93"/>
        <v>42</v>
      </c>
      <c r="CA25" s="60">
        <v>49857.1</v>
      </c>
      <c r="CB25" s="67">
        <f t="shared" si="94"/>
        <v>59</v>
      </c>
      <c r="CC25" s="60">
        <v>16037.7</v>
      </c>
      <c r="CD25" s="67">
        <f t="shared" si="95"/>
        <v>10</v>
      </c>
      <c r="CE25" s="60">
        <v>8255.5</v>
      </c>
      <c r="CF25" s="67">
        <f t="shared" si="96"/>
        <v>2.6000000000003638</v>
      </c>
      <c r="CG25" s="60">
        <v>75958.7</v>
      </c>
      <c r="CH25" s="67">
        <f t="shared" si="97"/>
        <v>53.099999999991269</v>
      </c>
      <c r="CI25" s="60">
        <v>1055710</v>
      </c>
      <c r="CJ25" s="67">
        <f t="shared" si="98"/>
        <v>291</v>
      </c>
      <c r="CK25" s="60">
        <v>1021.2</v>
      </c>
      <c r="CL25" s="64">
        <f t="shared" si="74"/>
        <v>900.00000000009095</v>
      </c>
      <c r="CM25" s="65">
        <f t="shared" si="75"/>
        <v>108</v>
      </c>
      <c r="CN25" s="62">
        <v>26</v>
      </c>
      <c r="CO25" s="62">
        <v>54</v>
      </c>
      <c r="CP25" s="68">
        <v>32950</v>
      </c>
      <c r="CQ25" s="67">
        <f t="shared" si="99"/>
        <v>74</v>
      </c>
      <c r="CR25" s="68">
        <v>22147</v>
      </c>
      <c r="CS25" s="67">
        <f t="shared" si="76"/>
        <v>34</v>
      </c>
      <c r="CT25" s="75">
        <v>10605</v>
      </c>
      <c r="CU25" s="67">
        <f t="shared" si="77"/>
        <v>8</v>
      </c>
      <c r="CV25" s="68">
        <v>25091</v>
      </c>
      <c r="CW25" s="67">
        <f t="shared" si="78"/>
        <v>21</v>
      </c>
      <c r="CX25" s="58">
        <v>3360.4</v>
      </c>
      <c r="CY25" s="67">
        <f t="shared" si="79"/>
        <v>10.900000000000091</v>
      </c>
    </row>
    <row r="26" spans="1:103" ht="25.5" customHeight="1" thickBot="1" x14ac:dyDescent="0.45">
      <c r="A26" s="63">
        <v>44735</v>
      </c>
      <c r="B26" s="44"/>
      <c r="C26" s="58">
        <v>3.3048999999999999</v>
      </c>
      <c r="D26" s="64">
        <f t="shared" si="50"/>
        <v>2600.0000000001578</v>
      </c>
      <c r="E26" s="58">
        <v>4.4172000000000002</v>
      </c>
      <c r="F26" s="64">
        <f t="shared" si="51"/>
        <v>3099.9999999998809</v>
      </c>
      <c r="G26" s="58">
        <v>4.3785999999999996</v>
      </c>
      <c r="H26" s="64">
        <f t="shared" si="52"/>
        <v>2999.9999999992256</v>
      </c>
      <c r="I26" s="58">
        <v>2.1993</v>
      </c>
      <c r="J26" s="64">
        <f t="shared" si="53"/>
        <v>1500.0000000000568</v>
      </c>
      <c r="K26" s="58">
        <v>3.4209000000000001</v>
      </c>
      <c r="L26" s="64">
        <f t="shared" si="54"/>
        <v>2000.0000000002237</v>
      </c>
      <c r="M26" s="58">
        <v>1.9886999999999999</v>
      </c>
      <c r="N26" s="64">
        <f t="shared" si="55"/>
        <v>1299.9999999998568</v>
      </c>
      <c r="O26" s="58">
        <v>21806</v>
      </c>
      <c r="P26" s="67">
        <f t="shared" si="56"/>
        <v>24</v>
      </c>
      <c r="Q26" s="58">
        <v>2696</v>
      </c>
      <c r="R26" s="67">
        <f t="shared" si="57"/>
        <v>3</v>
      </c>
      <c r="S26" s="58">
        <v>1383.2</v>
      </c>
      <c r="T26" s="67">
        <f t="shared" si="58"/>
        <v>1</v>
      </c>
      <c r="U26" s="58">
        <v>564170</v>
      </c>
      <c r="V26" s="67">
        <f t="shared" si="59"/>
        <v>309.69999999995343</v>
      </c>
      <c r="W26" s="58">
        <v>521.30999999999995</v>
      </c>
      <c r="X26" s="65">
        <f t="shared" si="60"/>
        <v>319.99999999993634</v>
      </c>
      <c r="Y26" s="58">
        <v>3.8852000000000002</v>
      </c>
      <c r="Z26" s="65">
        <f t="shared" si="61"/>
        <v>2900.0000000003465</v>
      </c>
      <c r="AA26" s="58">
        <v>525.72</v>
      </c>
      <c r="AB26" s="65">
        <f t="shared" si="62"/>
        <v>220.00000000002728</v>
      </c>
      <c r="AC26" s="58">
        <v>519.91</v>
      </c>
      <c r="AD26" s="65">
        <f t="shared" si="63"/>
        <v>289.99999999996362</v>
      </c>
      <c r="AE26" s="58">
        <v>781.13</v>
      </c>
      <c r="AF26" s="65">
        <f t="shared" si="64"/>
        <v>700.00000000004547</v>
      </c>
      <c r="AG26" s="58">
        <v>18426</v>
      </c>
      <c r="AH26" s="67">
        <f t="shared" si="65"/>
        <v>37</v>
      </c>
      <c r="AI26" s="58">
        <v>879.3</v>
      </c>
      <c r="AJ26" s="65">
        <f t="shared" si="66"/>
        <v>799.99999999995453</v>
      </c>
      <c r="AK26" s="58">
        <v>293.58999999999997</v>
      </c>
      <c r="AL26" s="65">
        <f t="shared" si="67"/>
        <v>199.99999999998863</v>
      </c>
      <c r="AM26" s="58">
        <v>273.13</v>
      </c>
      <c r="AN26" s="65">
        <f t="shared" si="68"/>
        <v>180.00000000000682</v>
      </c>
      <c r="AO26" s="58">
        <v>263.61</v>
      </c>
      <c r="AP26" s="65">
        <f t="shared" si="69"/>
        <v>180.00000000000682</v>
      </c>
      <c r="AQ26" s="58">
        <v>318.35000000000002</v>
      </c>
      <c r="AR26" s="65">
        <f t="shared" si="70"/>
        <v>270.00000000003865</v>
      </c>
      <c r="AS26" s="58">
        <v>444.05</v>
      </c>
      <c r="AT26" s="65">
        <f t="shared" si="71"/>
        <v>139.99999999998636</v>
      </c>
      <c r="AU26" s="58">
        <v>352.78</v>
      </c>
      <c r="AV26" s="65">
        <f t="shared" si="72"/>
        <v>179.99999999994998</v>
      </c>
      <c r="AW26" s="58">
        <v>381.61</v>
      </c>
      <c r="AX26" s="65">
        <f t="shared" si="73"/>
        <v>90.000000000031832</v>
      </c>
      <c r="AY26" s="58">
        <v>414.98</v>
      </c>
      <c r="AZ26" s="65">
        <f t="shared" si="80"/>
        <v>120.00000000000455</v>
      </c>
      <c r="BA26" s="58">
        <v>434.69</v>
      </c>
      <c r="BB26" s="65">
        <f t="shared" si="81"/>
        <v>100.00000000002274</v>
      </c>
      <c r="BC26" s="58">
        <v>279.94</v>
      </c>
      <c r="BD26" s="65">
        <f t="shared" si="82"/>
        <v>50.000000000011369</v>
      </c>
      <c r="BE26" s="59">
        <v>52203</v>
      </c>
      <c r="BF26" s="67">
        <f t="shared" si="83"/>
        <v>17</v>
      </c>
      <c r="BG26" s="60">
        <v>249.59</v>
      </c>
      <c r="BH26" s="65">
        <v>249.59</v>
      </c>
      <c r="BI26" s="60">
        <v>304.25</v>
      </c>
      <c r="BJ26" s="65">
        <f t="shared" si="85"/>
        <v>29.999999999972715</v>
      </c>
      <c r="BK26" s="60">
        <v>253.36</v>
      </c>
      <c r="BL26" s="65">
        <f t="shared" si="86"/>
        <v>40.000000000020464</v>
      </c>
      <c r="BM26" s="60">
        <v>239.39</v>
      </c>
      <c r="BN26" s="65">
        <f t="shared" si="87"/>
        <v>29.999999999972715</v>
      </c>
      <c r="BO26" s="60">
        <v>307.52999999999997</v>
      </c>
      <c r="BP26" s="65">
        <f t="shared" si="88"/>
        <v>29.999999999972715</v>
      </c>
      <c r="BQ26" s="60">
        <v>57671</v>
      </c>
      <c r="BR26" s="65">
        <f t="shared" si="89"/>
        <v>28</v>
      </c>
      <c r="BS26" s="60">
        <v>217.11</v>
      </c>
      <c r="BT26" s="65">
        <f t="shared" si="90"/>
        <v>40.000000000020464</v>
      </c>
      <c r="BU26" s="60">
        <v>55456</v>
      </c>
      <c r="BV26" s="65">
        <f t="shared" si="91"/>
        <v>37</v>
      </c>
      <c r="BW26" s="60">
        <v>245.27</v>
      </c>
      <c r="BX26" s="65">
        <f t="shared" si="92"/>
        <v>40.000000000020464</v>
      </c>
      <c r="BY26" s="60">
        <v>75342</v>
      </c>
      <c r="BZ26" s="67">
        <f t="shared" si="93"/>
        <v>43</v>
      </c>
      <c r="CA26" s="60">
        <v>49908.3</v>
      </c>
      <c r="CB26" s="67">
        <f t="shared" si="94"/>
        <v>51.200000000004366</v>
      </c>
      <c r="CC26" s="60">
        <v>16047.7</v>
      </c>
      <c r="CD26" s="67">
        <f t="shared" si="95"/>
        <v>10</v>
      </c>
      <c r="CE26" s="60">
        <v>8260.2999999999993</v>
      </c>
      <c r="CF26" s="67">
        <f t="shared" si="96"/>
        <v>4.7999999999992724</v>
      </c>
      <c r="CG26" s="60">
        <v>76007</v>
      </c>
      <c r="CH26" s="67">
        <f t="shared" si="97"/>
        <v>48.30000000000291</v>
      </c>
      <c r="CI26" s="60">
        <v>1055974</v>
      </c>
      <c r="CJ26" s="67">
        <f t="shared" si="98"/>
        <v>264</v>
      </c>
      <c r="CK26" s="60">
        <v>1022.2</v>
      </c>
      <c r="CL26" s="64">
        <f t="shared" si="74"/>
        <v>1000</v>
      </c>
      <c r="CM26" s="65">
        <f t="shared" si="75"/>
        <v>97</v>
      </c>
      <c r="CN26" s="62">
        <v>20</v>
      </c>
      <c r="CO26" s="62">
        <v>45</v>
      </c>
      <c r="CP26" s="68">
        <v>33025</v>
      </c>
      <c r="CQ26" s="67">
        <f t="shared" si="99"/>
        <v>75</v>
      </c>
      <c r="CR26" s="68">
        <v>22169</v>
      </c>
      <c r="CS26" s="67">
        <f t="shared" si="76"/>
        <v>22</v>
      </c>
      <c r="CT26" s="75">
        <v>10614</v>
      </c>
      <c r="CU26" s="67">
        <f t="shared" si="77"/>
        <v>9</v>
      </c>
      <c r="CV26" s="68">
        <v>25113</v>
      </c>
      <c r="CW26" s="67">
        <f t="shared" si="78"/>
        <v>22</v>
      </c>
      <c r="CX26" s="58">
        <v>3371.3</v>
      </c>
      <c r="CY26" s="67">
        <f t="shared" si="79"/>
        <v>10.900000000000091</v>
      </c>
    </row>
    <row r="27" spans="1:103" ht="25.5" customHeight="1" thickBot="1" x14ac:dyDescent="0.45">
      <c r="A27" s="63">
        <v>44736</v>
      </c>
      <c r="B27" s="44"/>
      <c r="C27" s="58">
        <v>3.3071000000000002</v>
      </c>
      <c r="D27" s="64">
        <f t="shared" si="50"/>
        <v>2200.0000000002019</v>
      </c>
      <c r="E27" s="58">
        <v>4.42</v>
      </c>
      <c r="F27" s="64">
        <f t="shared" si="51"/>
        <v>2799.9999999996917</v>
      </c>
      <c r="G27" s="58">
        <v>4.3817000000000004</v>
      </c>
      <c r="H27" s="64">
        <f t="shared" si="52"/>
        <v>3100.000000000769</v>
      </c>
      <c r="I27" s="58">
        <v>2.2006999999999999</v>
      </c>
      <c r="J27" s="64">
        <f t="shared" si="53"/>
        <v>1399.9999999998458</v>
      </c>
      <c r="K27" s="58">
        <v>3.4228000000000001</v>
      </c>
      <c r="L27" s="64">
        <f t="shared" si="54"/>
        <v>1900.0000000000127</v>
      </c>
      <c r="M27" s="58">
        <v>1.9901</v>
      </c>
      <c r="N27" s="64">
        <f t="shared" si="55"/>
        <v>1400.0000000000678</v>
      </c>
      <c r="O27" s="58">
        <v>21827</v>
      </c>
      <c r="P27" s="67">
        <f t="shared" si="56"/>
        <v>21</v>
      </c>
      <c r="Q27" s="58">
        <v>2698</v>
      </c>
      <c r="R27" s="67">
        <f t="shared" si="57"/>
        <v>2</v>
      </c>
      <c r="S27" s="58">
        <v>1384.4</v>
      </c>
      <c r="T27" s="67">
        <f t="shared" si="58"/>
        <v>1.2000000000000455</v>
      </c>
      <c r="U27" s="58">
        <v>564550.1</v>
      </c>
      <c r="V27" s="67">
        <f t="shared" si="59"/>
        <v>380.09999999997672</v>
      </c>
      <c r="W27" s="58">
        <v>521.61</v>
      </c>
      <c r="X27" s="65">
        <f t="shared" si="60"/>
        <v>300.00000000006821</v>
      </c>
      <c r="Y27" s="58">
        <v>3.8877000000000002</v>
      </c>
      <c r="Z27" s="65">
        <f t="shared" si="61"/>
        <v>2499.9999999999468</v>
      </c>
      <c r="AA27" s="58">
        <v>526.08000000000004</v>
      </c>
      <c r="AB27" s="65">
        <f t="shared" si="62"/>
        <v>360.00000000001364</v>
      </c>
      <c r="AC27" s="58">
        <v>520.17999999999995</v>
      </c>
      <c r="AD27" s="65">
        <f t="shared" si="63"/>
        <v>269.99999999998181</v>
      </c>
      <c r="AE27" s="58">
        <v>781.78</v>
      </c>
      <c r="AF27" s="65">
        <f t="shared" si="64"/>
        <v>649.99999999997726</v>
      </c>
      <c r="AG27" s="58">
        <v>18460</v>
      </c>
      <c r="AH27" s="67">
        <f t="shared" si="65"/>
        <v>34</v>
      </c>
      <c r="AI27" s="58">
        <v>879.8</v>
      </c>
      <c r="AJ27" s="65">
        <f t="shared" si="66"/>
        <v>500</v>
      </c>
      <c r="AK27" s="58">
        <v>293.87</v>
      </c>
      <c r="AL27" s="65">
        <f t="shared" si="67"/>
        <v>280.00000000002956</v>
      </c>
      <c r="AM27" s="58">
        <v>273.3</v>
      </c>
      <c r="AN27" s="65">
        <f t="shared" si="68"/>
        <v>170.00000000001592</v>
      </c>
      <c r="AO27" s="58">
        <v>263.8</v>
      </c>
      <c r="AP27" s="65">
        <f t="shared" si="69"/>
        <v>189.99999999999773</v>
      </c>
      <c r="AQ27" s="58">
        <v>318.62</v>
      </c>
      <c r="AR27" s="65">
        <f t="shared" si="70"/>
        <v>269.99999999998181</v>
      </c>
      <c r="AS27" s="58">
        <v>444.23</v>
      </c>
      <c r="AT27" s="65">
        <f t="shared" si="71"/>
        <v>180.00000000000682</v>
      </c>
      <c r="AU27" s="58">
        <v>352.9</v>
      </c>
      <c r="AV27" s="65">
        <f t="shared" si="72"/>
        <v>120.00000000000455</v>
      </c>
      <c r="AW27" s="58">
        <v>381.7</v>
      </c>
      <c r="AX27" s="65">
        <f t="shared" si="73"/>
        <v>89.999999999974989</v>
      </c>
      <c r="AY27" s="58">
        <v>415.1</v>
      </c>
      <c r="AZ27" s="65">
        <f t="shared" si="80"/>
        <v>120.00000000000455</v>
      </c>
      <c r="BA27" s="58">
        <v>434.77</v>
      </c>
      <c r="BB27" s="65">
        <f t="shared" si="81"/>
        <v>79.999999999984084</v>
      </c>
      <c r="BC27" s="58">
        <v>280</v>
      </c>
      <c r="BD27" s="65">
        <f t="shared" si="82"/>
        <v>60.000000000002274</v>
      </c>
      <c r="BE27" s="59">
        <v>52227</v>
      </c>
      <c r="BF27" s="67">
        <f t="shared" si="83"/>
        <v>24</v>
      </c>
      <c r="BG27" s="60">
        <v>249.63</v>
      </c>
      <c r="BH27" s="65">
        <f t="shared" si="84"/>
        <v>39.999999999992042</v>
      </c>
      <c r="BI27" s="60">
        <v>304.27999999999997</v>
      </c>
      <c r="BJ27" s="65">
        <f t="shared" si="85"/>
        <v>29.999999999972715</v>
      </c>
      <c r="BK27" s="60">
        <v>253.4</v>
      </c>
      <c r="BL27" s="65">
        <f t="shared" si="86"/>
        <v>39.999999999992042</v>
      </c>
      <c r="BM27" s="60">
        <v>239.42</v>
      </c>
      <c r="BN27" s="65">
        <f t="shared" si="87"/>
        <v>30.000000000001137</v>
      </c>
      <c r="BO27" s="60">
        <v>307.57</v>
      </c>
      <c r="BP27" s="65">
        <f t="shared" si="88"/>
        <v>40.000000000020464</v>
      </c>
      <c r="BQ27" s="60">
        <v>57699</v>
      </c>
      <c r="BR27" s="65">
        <f t="shared" si="89"/>
        <v>28</v>
      </c>
      <c r="BS27" s="60">
        <v>217.15</v>
      </c>
      <c r="BT27" s="65">
        <f t="shared" si="90"/>
        <v>39.999999999992042</v>
      </c>
      <c r="BU27" s="60">
        <v>55488</v>
      </c>
      <c r="BV27" s="65">
        <f t="shared" si="91"/>
        <v>32</v>
      </c>
      <c r="BW27" s="60">
        <v>245.31</v>
      </c>
      <c r="BX27" s="65">
        <f t="shared" si="92"/>
        <v>39.999999999992042</v>
      </c>
      <c r="BY27" s="60">
        <v>75386</v>
      </c>
      <c r="BZ27" s="67">
        <f t="shared" si="93"/>
        <v>44</v>
      </c>
      <c r="CA27" s="60">
        <v>49960.800000000003</v>
      </c>
      <c r="CB27" s="67">
        <f t="shared" si="94"/>
        <v>52.5</v>
      </c>
      <c r="CC27" s="60">
        <v>16057.9</v>
      </c>
      <c r="CD27" s="67">
        <f t="shared" si="95"/>
        <v>10.199999999998909</v>
      </c>
      <c r="CE27" s="60">
        <v>8260.2999999999993</v>
      </c>
      <c r="CF27" s="67">
        <f t="shared" si="96"/>
        <v>0</v>
      </c>
      <c r="CG27" s="60">
        <v>76058.100000000006</v>
      </c>
      <c r="CH27" s="67">
        <f t="shared" si="97"/>
        <v>51.100000000005821</v>
      </c>
      <c r="CI27" s="60">
        <v>1056273</v>
      </c>
      <c r="CJ27" s="67">
        <f t="shared" si="98"/>
        <v>299</v>
      </c>
      <c r="CK27" s="60">
        <v>1023.1</v>
      </c>
      <c r="CL27" s="64">
        <f t="shared" si="74"/>
        <v>899.99999999997726</v>
      </c>
      <c r="CM27" s="65">
        <f t="shared" si="75"/>
        <v>96</v>
      </c>
      <c r="CN27" s="62">
        <v>17</v>
      </c>
      <c r="CO27" s="62">
        <v>33</v>
      </c>
      <c r="CP27" s="68">
        <v>33093</v>
      </c>
      <c r="CQ27" s="67">
        <f t="shared" si="99"/>
        <v>68</v>
      </c>
      <c r="CR27" s="68">
        <v>22197</v>
      </c>
      <c r="CS27" s="67">
        <f t="shared" si="76"/>
        <v>28</v>
      </c>
      <c r="CT27" s="75">
        <v>10622</v>
      </c>
      <c r="CU27" s="67">
        <f t="shared" si="77"/>
        <v>8</v>
      </c>
      <c r="CV27" s="68">
        <v>25138</v>
      </c>
      <c r="CW27" s="67">
        <f t="shared" si="78"/>
        <v>25</v>
      </c>
      <c r="CX27" s="58">
        <v>3382.2</v>
      </c>
      <c r="CY27" s="67">
        <f t="shared" si="79"/>
        <v>10.899999999999636</v>
      </c>
    </row>
    <row r="28" spans="1:103" ht="25.5" customHeight="1" thickBot="1" x14ac:dyDescent="0.45">
      <c r="A28" s="63">
        <v>44737</v>
      </c>
      <c r="B28" s="44"/>
      <c r="C28" s="58">
        <v>3.3089</v>
      </c>
      <c r="D28" s="64">
        <f t="shared" si="50"/>
        <v>1799.9999999998017</v>
      </c>
      <c r="E28" s="58">
        <v>4.4223999999999997</v>
      </c>
      <c r="F28" s="64">
        <f t="shared" si="51"/>
        <v>2399.9999999997358</v>
      </c>
      <c r="G28" s="58">
        <v>4.3845999999999998</v>
      </c>
      <c r="H28" s="64">
        <f t="shared" si="52"/>
        <v>2899.9999999994584</v>
      </c>
      <c r="I28" s="58">
        <v>2.2021000000000002</v>
      </c>
      <c r="J28" s="64">
        <f t="shared" si="53"/>
        <v>1400.0000000002899</v>
      </c>
      <c r="K28" s="58">
        <v>3.4247000000000001</v>
      </c>
      <c r="L28" s="64">
        <f t="shared" si="54"/>
        <v>1900.0000000000127</v>
      </c>
      <c r="M28" s="58">
        <v>1.9912000000000001</v>
      </c>
      <c r="N28" s="64">
        <f t="shared" si="55"/>
        <v>1100.000000000101</v>
      </c>
      <c r="O28" s="58">
        <v>21841</v>
      </c>
      <c r="P28" s="67">
        <f t="shared" si="56"/>
        <v>14</v>
      </c>
      <c r="Q28" s="58">
        <v>2701</v>
      </c>
      <c r="R28" s="67">
        <f t="shared" si="57"/>
        <v>3</v>
      </c>
      <c r="S28" s="58">
        <v>1385.6</v>
      </c>
      <c r="T28" s="67">
        <f t="shared" si="58"/>
        <v>1.1999999999998181</v>
      </c>
      <c r="U28" s="58">
        <v>564894.6</v>
      </c>
      <c r="V28" s="67">
        <f t="shared" si="59"/>
        <v>344.5</v>
      </c>
      <c r="W28" s="58">
        <v>521.86</v>
      </c>
      <c r="X28" s="65">
        <f t="shared" si="60"/>
        <v>250</v>
      </c>
      <c r="Y28" s="58">
        <v>3.89</v>
      </c>
      <c r="Z28" s="65">
        <f t="shared" si="61"/>
        <v>2299.9999999999686</v>
      </c>
      <c r="AA28" s="58">
        <v>526.29</v>
      </c>
      <c r="AB28" s="65">
        <f t="shared" si="62"/>
        <v>209.99999999992269</v>
      </c>
      <c r="AC28" s="58">
        <v>520.42999999999995</v>
      </c>
      <c r="AD28" s="65">
        <f t="shared" si="63"/>
        <v>250</v>
      </c>
      <c r="AE28" s="58">
        <v>782.46</v>
      </c>
      <c r="AF28" s="65">
        <f t="shared" si="64"/>
        <v>680.00000000006366</v>
      </c>
      <c r="AG28" s="58">
        <v>18493</v>
      </c>
      <c r="AH28" s="67">
        <f t="shared" si="65"/>
        <v>33</v>
      </c>
      <c r="AI28" s="58">
        <v>880.49</v>
      </c>
      <c r="AJ28" s="65">
        <f t="shared" si="66"/>
        <v>690.00000000005457</v>
      </c>
      <c r="AK28" s="58">
        <v>293.91000000000003</v>
      </c>
      <c r="AL28" s="65">
        <f t="shared" si="67"/>
        <v>40.000000000020464</v>
      </c>
      <c r="AM28" s="58">
        <v>273.45</v>
      </c>
      <c r="AN28" s="65">
        <f t="shared" si="68"/>
        <v>149.99999999997726</v>
      </c>
      <c r="AO28" s="58">
        <v>263.99</v>
      </c>
      <c r="AP28" s="65">
        <f t="shared" si="69"/>
        <v>189.99999999999773</v>
      </c>
      <c r="AQ28" s="58">
        <v>318.83999999999997</v>
      </c>
      <c r="AR28" s="65">
        <f t="shared" si="70"/>
        <v>219.99999999997044</v>
      </c>
      <c r="AS28" s="58">
        <v>444.33</v>
      </c>
      <c r="AT28" s="65">
        <f t="shared" si="71"/>
        <v>99.999999999965894</v>
      </c>
      <c r="AU28" s="58">
        <v>353</v>
      </c>
      <c r="AV28" s="65">
        <f t="shared" si="72"/>
        <v>100.00000000002274</v>
      </c>
      <c r="AW28" s="58">
        <v>381.78</v>
      </c>
      <c r="AX28" s="65">
        <f t="shared" si="73"/>
        <v>79.999999999984084</v>
      </c>
      <c r="AY28" s="58">
        <v>415.2</v>
      </c>
      <c r="AZ28" s="65">
        <f t="shared" si="80"/>
        <v>99.999999999965894</v>
      </c>
      <c r="BA28" s="58">
        <v>434.85</v>
      </c>
      <c r="BB28" s="65">
        <f t="shared" si="81"/>
        <v>80.000000000040927</v>
      </c>
      <c r="BC28" s="58">
        <v>280.04000000000002</v>
      </c>
      <c r="BD28" s="65">
        <f t="shared" si="82"/>
        <v>40.000000000020464</v>
      </c>
      <c r="BE28" s="59">
        <v>52238</v>
      </c>
      <c r="BF28" s="67">
        <f t="shared" si="83"/>
        <v>11</v>
      </c>
      <c r="BG28" s="60">
        <v>249.65</v>
      </c>
      <c r="BH28" s="65">
        <f t="shared" si="84"/>
        <v>20.000000000010232</v>
      </c>
      <c r="BI28" s="60">
        <v>304.3</v>
      </c>
      <c r="BJ28" s="65">
        <f t="shared" si="85"/>
        <v>20.000000000038654</v>
      </c>
      <c r="BK28" s="60">
        <v>253.44</v>
      </c>
      <c r="BL28" s="65">
        <f t="shared" si="86"/>
        <v>39.999999999992042</v>
      </c>
      <c r="BM28" s="60">
        <v>239.44</v>
      </c>
      <c r="BN28" s="65">
        <f t="shared" si="87"/>
        <v>20.000000000010232</v>
      </c>
      <c r="BO28" s="60">
        <v>307.7</v>
      </c>
      <c r="BP28" s="65">
        <f t="shared" si="88"/>
        <v>129.99999999999545</v>
      </c>
      <c r="BQ28" s="60">
        <v>57724</v>
      </c>
      <c r="BR28" s="65">
        <f t="shared" si="89"/>
        <v>25</v>
      </c>
      <c r="BS28" s="60">
        <v>217.19</v>
      </c>
      <c r="BT28" s="65">
        <f t="shared" si="90"/>
        <v>39.999999999992042</v>
      </c>
      <c r="BU28" s="60">
        <v>55518</v>
      </c>
      <c r="BV28" s="65">
        <f t="shared" si="91"/>
        <v>30</v>
      </c>
      <c r="BW28" s="60">
        <v>245.34</v>
      </c>
      <c r="BX28" s="65">
        <f t="shared" si="92"/>
        <v>30.000000000001137</v>
      </c>
      <c r="BY28" s="60">
        <v>75417</v>
      </c>
      <c r="BZ28" s="67">
        <f t="shared" si="93"/>
        <v>31</v>
      </c>
      <c r="CA28" s="60">
        <v>50019.199999999997</v>
      </c>
      <c r="CB28" s="67">
        <f t="shared" si="94"/>
        <v>58.399999999994179</v>
      </c>
      <c r="CC28" s="60">
        <v>16070.5</v>
      </c>
      <c r="CD28" s="67">
        <f t="shared" si="95"/>
        <v>12.600000000000364</v>
      </c>
      <c r="CE28" s="60">
        <v>8267.2000000000007</v>
      </c>
      <c r="CF28" s="67">
        <f t="shared" si="96"/>
        <v>6.9000000000014552</v>
      </c>
      <c r="CG28" s="60">
        <v>76097.5</v>
      </c>
      <c r="CH28" s="67">
        <f t="shared" si="97"/>
        <v>39.399999999994179</v>
      </c>
      <c r="CI28" s="60">
        <v>1056532</v>
      </c>
      <c r="CJ28" s="67">
        <f t="shared" si="98"/>
        <v>259</v>
      </c>
      <c r="CK28" s="60">
        <v>1023.9</v>
      </c>
      <c r="CL28" s="64">
        <f t="shared" si="74"/>
        <v>799.99999999995453</v>
      </c>
      <c r="CM28" s="65">
        <f t="shared" si="75"/>
        <v>93</v>
      </c>
      <c r="CN28" s="62">
        <v>11</v>
      </c>
      <c r="CO28" s="62">
        <v>22</v>
      </c>
      <c r="CP28" s="68">
        <v>33161</v>
      </c>
      <c r="CQ28" s="67">
        <f t="shared" si="99"/>
        <v>68</v>
      </c>
      <c r="CR28" s="68">
        <v>22222</v>
      </c>
      <c r="CS28" s="67">
        <f t="shared" si="76"/>
        <v>25</v>
      </c>
      <c r="CT28" s="75">
        <v>10631</v>
      </c>
      <c r="CU28" s="67">
        <f t="shared" si="77"/>
        <v>9</v>
      </c>
      <c r="CV28" s="68">
        <v>25160</v>
      </c>
      <c r="CW28" s="67">
        <f t="shared" si="78"/>
        <v>22</v>
      </c>
      <c r="CX28" s="58">
        <v>3392.2</v>
      </c>
      <c r="CY28" s="67">
        <f t="shared" si="79"/>
        <v>10</v>
      </c>
    </row>
    <row r="29" spans="1:103" ht="25.5" customHeight="1" thickBot="1" x14ac:dyDescent="0.45">
      <c r="A29" s="63">
        <v>44738</v>
      </c>
      <c r="B29" s="44"/>
      <c r="C29" s="58">
        <v>3.3102</v>
      </c>
      <c r="D29" s="64">
        <f t="shared" si="50"/>
        <v>1300.0000000000789</v>
      </c>
      <c r="E29" s="58">
        <v>4.4249000000000001</v>
      </c>
      <c r="F29" s="64">
        <f t="shared" si="51"/>
        <v>2500.0000000003906</v>
      </c>
      <c r="G29" s="58">
        <v>4.3871000000000002</v>
      </c>
      <c r="H29" s="64">
        <f t="shared" si="52"/>
        <v>2500.0000000003906</v>
      </c>
      <c r="I29" s="58">
        <v>2.2033</v>
      </c>
      <c r="J29" s="64">
        <f t="shared" si="53"/>
        <v>1199.9999999998679</v>
      </c>
      <c r="K29" s="58">
        <v>3.4264999999999999</v>
      </c>
      <c r="L29" s="64">
        <f t="shared" si="54"/>
        <v>1799.9999999998017</v>
      </c>
      <c r="M29" s="58">
        <v>1.9924999999999999</v>
      </c>
      <c r="N29" s="64">
        <f t="shared" si="55"/>
        <v>1299.9999999998568</v>
      </c>
      <c r="O29" s="58">
        <v>21865</v>
      </c>
      <c r="P29" s="67">
        <f t="shared" si="56"/>
        <v>24</v>
      </c>
      <c r="Q29" s="58">
        <v>2705</v>
      </c>
      <c r="R29" s="67">
        <f t="shared" si="57"/>
        <v>4</v>
      </c>
      <c r="S29" s="58">
        <v>1386.3</v>
      </c>
      <c r="T29" s="67">
        <f t="shared" si="58"/>
        <v>0.70000000000004547</v>
      </c>
      <c r="U29" s="58">
        <v>565099.30000000005</v>
      </c>
      <c r="V29" s="67">
        <f t="shared" si="59"/>
        <v>204.70000000006985</v>
      </c>
      <c r="W29" s="58">
        <v>522.15</v>
      </c>
      <c r="X29" s="65">
        <f t="shared" si="60"/>
        <v>289.99999999996362</v>
      </c>
      <c r="Y29" s="58">
        <v>3.8921000000000001</v>
      </c>
      <c r="Z29" s="65">
        <f t="shared" si="61"/>
        <v>2099.9999999999909</v>
      </c>
      <c r="AA29" s="58">
        <v>526.62</v>
      </c>
      <c r="AB29" s="65">
        <f t="shared" si="62"/>
        <v>330.00000000004093</v>
      </c>
      <c r="AC29" s="58">
        <v>520.66</v>
      </c>
      <c r="AD29" s="65">
        <f t="shared" si="63"/>
        <v>230.00000000001819</v>
      </c>
      <c r="AE29" s="58">
        <v>783</v>
      </c>
      <c r="AF29" s="65">
        <f t="shared" si="64"/>
        <v>539.99999999996362</v>
      </c>
      <c r="AG29" s="58">
        <v>18525</v>
      </c>
      <c r="AH29" s="67">
        <f t="shared" si="65"/>
        <v>32</v>
      </c>
      <c r="AI29" s="58">
        <v>880.98</v>
      </c>
      <c r="AJ29" s="65">
        <f t="shared" si="66"/>
        <v>490.00000000000909</v>
      </c>
      <c r="AK29" s="58">
        <v>294.02999999999997</v>
      </c>
      <c r="AL29" s="65">
        <f t="shared" si="67"/>
        <v>119.9999999999477</v>
      </c>
      <c r="AM29" s="58">
        <v>273.57</v>
      </c>
      <c r="AN29" s="65">
        <f t="shared" si="68"/>
        <v>120.00000000000455</v>
      </c>
      <c r="AO29" s="58">
        <v>264.13</v>
      </c>
      <c r="AP29" s="65">
        <f t="shared" si="69"/>
        <v>139.99999999998636</v>
      </c>
      <c r="AQ29" s="58">
        <v>318.92</v>
      </c>
      <c r="AR29" s="65">
        <f t="shared" si="70"/>
        <v>80.000000000040927</v>
      </c>
      <c r="AS29" s="58">
        <v>444.4</v>
      </c>
      <c r="AT29" s="65">
        <f t="shared" si="71"/>
        <v>69.999999999993179</v>
      </c>
      <c r="AU29" s="58">
        <v>353.09</v>
      </c>
      <c r="AV29" s="65">
        <f t="shared" si="72"/>
        <v>89.999999999974989</v>
      </c>
      <c r="AW29" s="58">
        <v>381.84</v>
      </c>
      <c r="AX29" s="65">
        <f t="shared" si="73"/>
        <v>60.000000000002274</v>
      </c>
      <c r="AY29" s="58">
        <v>415.28</v>
      </c>
      <c r="AZ29" s="65">
        <f t="shared" si="80"/>
        <v>79.999999999984084</v>
      </c>
      <c r="BA29" s="58">
        <v>434.9</v>
      </c>
      <c r="BB29" s="65">
        <f t="shared" si="81"/>
        <v>49.999999999954525</v>
      </c>
      <c r="BC29" s="58">
        <v>280.08</v>
      </c>
      <c r="BD29" s="65">
        <f t="shared" si="82"/>
        <v>39.99999999996362</v>
      </c>
      <c r="BE29" s="59"/>
      <c r="BF29" s="67" t="str">
        <f t="shared" si="83"/>
        <v/>
      </c>
      <c r="BG29" s="60">
        <v>249.68</v>
      </c>
      <c r="BH29" s="65">
        <f t="shared" si="84"/>
        <v>30.000000000001137</v>
      </c>
      <c r="BI29" s="60">
        <v>304.33</v>
      </c>
      <c r="BJ29" s="65">
        <f t="shared" si="85"/>
        <v>29.999999999972715</v>
      </c>
      <c r="BK29" s="60">
        <v>253.48</v>
      </c>
      <c r="BL29" s="65">
        <f t="shared" si="86"/>
        <v>39.999999999992042</v>
      </c>
      <c r="BM29" s="60">
        <v>239.47</v>
      </c>
      <c r="BN29" s="65">
        <f t="shared" si="87"/>
        <v>30.000000000001137</v>
      </c>
      <c r="BO29" s="60">
        <v>307.73</v>
      </c>
      <c r="BP29" s="65">
        <f t="shared" si="88"/>
        <v>30.000000000029559</v>
      </c>
      <c r="BQ29" s="60">
        <v>57746</v>
      </c>
      <c r="BR29" s="65">
        <f t="shared" si="89"/>
        <v>22</v>
      </c>
      <c r="BS29" s="60">
        <v>217.22</v>
      </c>
      <c r="BT29" s="65">
        <f t="shared" si="90"/>
        <v>30.000000000001137</v>
      </c>
      <c r="BU29" s="60">
        <v>55539</v>
      </c>
      <c r="BV29" s="65">
        <f t="shared" si="91"/>
        <v>21</v>
      </c>
      <c r="BW29" s="60">
        <v>245.37</v>
      </c>
      <c r="BX29" s="65">
        <f t="shared" si="92"/>
        <v>30.000000000001137</v>
      </c>
      <c r="BY29" s="60">
        <v>75437</v>
      </c>
      <c r="BZ29" s="67">
        <f t="shared" si="93"/>
        <v>20</v>
      </c>
      <c r="CA29" s="60">
        <v>50070.400000000001</v>
      </c>
      <c r="CB29" s="67">
        <f t="shared" si="94"/>
        <v>51.200000000004366</v>
      </c>
      <c r="CC29" s="60">
        <v>16079.7</v>
      </c>
      <c r="CD29" s="67">
        <f t="shared" si="95"/>
        <v>9.2000000000007276</v>
      </c>
      <c r="CE29" s="60">
        <v>8271.5</v>
      </c>
      <c r="CF29" s="67">
        <f t="shared" si="96"/>
        <v>4.2999999999992724</v>
      </c>
      <c r="CG29" s="60">
        <v>76147.3</v>
      </c>
      <c r="CH29" s="67">
        <f t="shared" si="97"/>
        <v>49.80000000000291</v>
      </c>
      <c r="CI29" s="60">
        <v>1056785</v>
      </c>
      <c r="CJ29" s="67">
        <f t="shared" si="98"/>
        <v>253</v>
      </c>
      <c r="CK29" s="60">
        <v>1024.4000000000001</v>
      </c>
      <c r="CL29" s="64">
        <f t="shared" si="74"/>
        <v>500.00000000011369</v>
      </c>
      <c r="CM29" s="65">
        <f t="shared" si="75"/>
        <v>85</v>
      </c>
      <c r="CN29" s="62">
        <v>11</v>
      </c>
      <c r="CO29" s="62">
        <v>22</v>
      </c>
      <c r="CP29" s="68">
        <v>33220</v>
      </c>
      <c r="CQ29" s="67">
        <f t="shared" si="99"/>
        <v>59</v>
      </c>
      <c r="CR29" s="68">
        <v>22248</v>
      </c>
      <c r="CS29" s="67">
        <f t="shared" si="76"/>
        <v>26</v>
      </c>
      <c r="CT29" s="75">
        <v>10639</v>
      </c>
      <c r="CU29" s="67">
        <f t="shared" si="77"/>
        <v>8</v>
      </c>
      <c r="CV29" s="68">
        <v>25180</v>
      </c>
      <c r="CW29" s="67">
        <f t="shared" si="78"/>
        <v>20</v>
      </c>
      <c r="CX29" s="58">
        <v>3398.1</v>
      </c>
      <c r="CY29" s="67">
        <f t="shared" si="79"/>
        <v>5.9000000000000909</v>
      </c>
    </row>
    <row r="30" spans="1:103" ht="25.5" customHeight="1" thickBot="1" x14ac:dyDescent="0.45">
      <c r="A30" s="63">
        <v>44739</v>
      </c>
      <c r="B30" s="44"/>
      <c r="C30" s="58"/>
      <c r="D30" s="64" t="str">
        <f t="shared" si="50"/>
        <v>0</v>
      </c>
      <c r="E30" s="58"/>
      <c r="F30" s="64" t="str">
        <f t="shared" si="51"/>
        <v>0</v>
      </c>
      <c r="G30" s="58"/>
      <c r="H30" s="64" t="str">
        <f t="shared" si="52"/>
        <v>0</v>
      </c>
      <c r="I30" s="58"/>
      <c r="J30" s="64" t="str">
        <f t="shared" si="53"/>
        <v>0</v>
      </c>
      <c r="K30" s="58"/>
      <c r="L30" s="64" t="str">
        <f t="shared" si="54"/>
        <v>0</v>
      </c>
      <c r="M30" s="58"/>
      <c r="N30" s="64" t="str">
        <f t="shared" si="55"/>
        <v/>
      </c>
      <c r="O30" s="58"/>
      <c r="P30" s="67" t="str">
        <f t="shared" si="56"/>
        <v/>
      </c>
      <c r="Q30" s="58"/>
      <c r="R30" s="67" t="str">
        <f t="shared" si="57"/>
        <v/>
      </c>
      <c r="S30" s="58"/>
      <c r="T30" s="67" t="str">
        <f t="shared" si="58"/>
        <v/>
      </c>
      <c r="U30" s="58"/>
      <c r="V30" s="67" t="str">
        <f t="shared" si="59"/>
        <v/>
      </c>
      <c r="W30" s="58"/>
      <c r="X30" s="65" t="str">
        <f t="shared" si="60"/>
        <v/>
      </c>
      <c r="Y30" s="58"/>
      <c r="Z30" s="65" t="str">
        <f t="shared" si="61"/>
        <v/>
      </c>
      <c r="AA30" s="58"/>
      <c r="AB30" s="65" t="str">
        <f t="shared" si="62"/>
        <v/>
      </c>
      <c r="AC30" s="58"/>
      <c r="AD30" s="65" t="str">
        <f t="shared" si="63"/>
        <v/>
      </c>
      <c r="AE30" s="58"/>
      <c r="AF30" s="65" t="str">
        <f t="shared" si="64"/>
        <v/>
      </c>
      <c r="AG30" s="58"/>
      <c r="AH30" s="67" t="str">
        <f t="shared" si="65"/>
        <v/>
      </c>
      <c r="AI30" s="58"/>
      <c r="AJ30" s="65" t="str">
        <f t="shared" si="66"/>
        <v/>
      </c>
      <c r="AK30" s="58"/>
      <c r="AL30" s="65" t="str">
        <f t="shared" si="67"/>
        <v/>
      </c>
      <c r="AM30" s="58"/>
      <c r="AN30" s="65" t="str">
        <f t="shared" si="68"/>
        <v/>
      </c>
      <c r="AO30" s="58"/>
      <c r="AP30" s="65" t="str">
        <f t="shared" si="69"/>
        <v/>
      </c>
      <c r="AQ30" s="58"/>
      <c r="AR30" s="65" t="str">
        <f t="shared" si="70"/>
        <v/>
      </c>
      <c r="AS30" s="58"/>
      <c r="AT30" s="65" t="str">
        <f t="shared" si="71"/>
        <v/>
      </c>
      <c r="AU30" s="58"/>
      <c r="AV30" s="65" t="str">
        <f t="shared" si="72"/>
        <v/>
      </c>
      <c r="AW30" s="58"/>
      <c r="AX30" s="65" t="str">
        <f t="shared" si="73"/>
        <v/>
      </c>
      <c r="AY30" s="58"/>
      <c r="AZ30" s="65" t="str">
        <f t="shared" si="80"/>
        <v/>
      </c>
      <c r="BA30" s="58"/>
      <c r="BB30" s="65" t="str">
        <f t="shared" si="81"/>
        <v/>
      </c>
      <c r="BC30" s="58"/>
      <c r="BD30" s="65" t="str">
        <f t="shared" si="82"/>
        <v/>
      </c>
      <c r="BE30" s="59"/>
      <c r="BF30" s="67">
        <f t="shared" si="83"/>
        <v>0</v>
      </c>
      <c r="BG30" s="60"/>
      <c r="BH30" s="65" t="str">
        <f t="shared" si="84"/>
        <v/>
      </c>
      <c r="BI30" s="60"/>
      <c r="BJ30" s="65" t="str">
        <f t="shared" si="85"/>
        <v/>
      </c>
      <c r="BK30" s="60"/>
      <c r="BL30" s="65" t="str">
        <f t="shared" si="86"/>
        <v/>
      </c>
      <c r="BM30" s="60"/>
      <c r="BN30" s="65" t="str">
        <f t="shared" si="87"/>
        <v/>
      </c>
      <c r="BO30" s="60"/>
      <c r="BP30" s="65" t="str">
        <f t="shared" si="88"/>
        <v/>
      </c>
      <c r="BQ30" s="60"/>
      <c r="BR30" s="65" t="str">
        <f t="shared" si="89"/>
        <v/>
      </c>
      <c r="BS30" s="60"/>
      <c r="BT30" s="65" t="str">
        <f t="shared" si="90"/>
        <v/>
      </c>
      <c r="BU30" s="60"/>
      <c r="BV30" s="65" t="str">
        <f t="shared" si="91"/>
        <v/>
      </c>
      <c r="BW30" s="60"/>
      <c r="BX30" s="65" t="str">
        <f t="shared" si="92"/>
        <v/>
      </c>
      <c r="BY30" s="60"/>
      <c r="BZ30" s="67" t="str">
        <f t="shared" si="93"/>
        <v/>
      </c>
      <c r="CA30" s="60"/>
      <c r="CB30" s="67" t="str">
        <f t="shared" si="94"/>
        <v/>
      </c>
      <c r="CC30" s="60"/>
      <c r="CD30" s="67" t="str">
        <f t="shared" si="95"/>
        <v/>
      </c>
      <c r="CE30" s="60"/>
      <c r="CF30" s="67" t="str">
        <f t="shared" si="96"/>
        <v/>
      </c>
      <c r="CG30" s="60"/>
      <c r="CH30" s="67" t="str">
        <f t="shared" si="97"/>
        <v/>
      </c>
      <c r="CI30" s="60"/>
      <c r="CJ30" s="67" t="str">
        <f t="shared" si="98"/>
        <v/>
      </c>
      <c r="CK30" s="60"/>
      <c r="CL30" s="64" t="str">
        <f t="shared" si="74"/>
        <v/>
      </c>
      <c r="CM30" s="65" t="e">
        <f t="shared" si="75"/>
        <v>#VALUE!</v>
      </c>
      <c r="CN30" s="62"/>
      <c r="CO30" s="62"/>
      <c r="CP30" s="68"/>
      <c r="CQ30" s="67" t="str">
        <f t="shared" si="99"/>
        <v/>
      </c>
      <c r="CR30" s="68"/>
      <c r="CS30" s="67" t="str">
        <f t="shared" si="76"/>
        <v/>
      </c>
      <c r="CT30" s="75"/>
      <c r="CU30" s="67" t="str">
        <f t="shared" si="77"/>
        <v/>
      </c>
      <c r="CV30" s="68"/>
      <c r="CW30" s="67" t="str">
        <f t="shared" si="78"/>
        <v/>
      </c>
      <c r="CX30" s="58"/>
      <c r="CY30" s="67" t="str">
        <f t="shared" si="79"/>
        <v/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71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Z33" sqref="Z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>
        <v>0</v>
      </c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>
        <v>0</v>
      </c>
      <c r="C20" s="40">
        <v>22</v>
      </c>
      <c r="D20" s="40">
        <v>45</v>
      </c>
      <c r="E20" s="41">
        <v>9</v>
      </c>
      <c r="F20" s="41">
        <v>6834</v>
      </c>
      <c r="G20" s="41">
        <v>0</v>
      </c>
      <c r="H20" s="41">
        <v>2212</v>
      </c>
      <c r="I20" s="41">
        <v>85</v>
      </c>
      <c r="J20" s="41">
        <v>705</v>
      </c>
      <c r="K20" s="42">
        <v>65</v>
      </c>
      <c r="L20" s="42">
        <v>85</v>
      </c>
      <c r="M20" s="42">
        <v>1804</v>
      </c>
      <c r="N20" s="39">
        <v>85</v>
      </c>
      <c r="O20" s="39">
        <v>25</v>
      </c>
      <c r="P20" s="39">
        <v>85</v>
      </c>
      <c r="Q20" s="39">
        <v>5100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44726</v>
      </c>
      <c r="B21" s="40">
        <v>0</v>
      </c>
      <c r="C21" s="40">
        <v>22</v>
      </c>
      <c r="D21" s="40">
        <v>45</v>
      </c>
      <c r="E21" s="41">
        <v>0</v>
      </c>
      <c r="F21" s="41">
        <v>6834</v>
      </c>
      <c r="G21" s="41">
        <v>0</v>
      </c>
      <c r="H21" s="41">
        <v>2212</v>
      </c>
      <c r="I21" s="41">
        <v>85</v>
      </c>
      <c r="J21" s="41">
        <v>708</v>
      </c>
      <c r="K21" s="42">
        <v>65</v>
      </c>
      <c r="L21" s="42">
        <v>85</v>
      </c>
      <c r="M21" s="42">
        <v>1804</v>
      </c>
      <c r="N21" s="39">
        <v>85</v>
      </c>
      <c r="O21" s="39">
        <v>20</v>
      </c>
      <c r="P21" s="39">
        <v>85</v>
      </c>
      <c r="Q21" s="39">
        <v>5105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44727</v>
      </c>
      <c r="B22" s="40">
        <v>0</v>
      </c>
      <c r="C22" s="40">
        <v>22</v>
      </c>
      <c r="D22" s="40">
        <v>45</v>
      </c>
      <c r="E22" s="41">
        <v>0</v>
      </c>
      <c r="F22" s="41">
        <v>6834</v>
      </c>
      <c r="G22" s="41">
        <v>0</v>
      </c>
      <c r="H22" s="41">
        <v>2212</v>
      </c>
      <c r="I22" s="41">
        <v>79</v>
      </c>
      <c r="J22" s="41">
        <v>711</v>
      </c>
      <c r="K22" s="42">
        <v>62</v>
      </c>
      <c r="L22" s="42">
        <v>85</v>
      </c>
      <c r="M22" s="42">
        <v>1805</v>
      </c>
      <c r="N22" s="39">
        <v>85</v>
      </c>
      <c r="O22" s="39">
        <v>15</v>
      </c>
      <c r="P22" s="39">
        <v>85</v>
      </c>
      <c r="Q22" s="39">
        <v>5108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44728</v>
      </c>
      <c r="B23" s="40">
        <v>0</v>
      </c>
      <c r="C23" s="40">
        <v>24</v>
      </c>
      <c r="D23" s="40">
        <v>50</v>
      </c>
      <c r="E23" s="41">
        <v>0</v>
      </c>
      <c r="F23" s="41">
        <v>6834</v>
      </c>
      <c r="G23" s="41">
        <v>0</v>
      </c>
      <c r="H23" s="41">
        <v>2212</v>
      </c>
      <c r="I23" s="41">
        <v>65</v>
      </c>
      <c r="J23" s="41">
        <v>713</v>
      </c>
      <c r="K23" s="42">
        <v>62</v>
      </c>
      <c r="L23" s="42">
        <v>85</v>
      </c>
      <c r="M23" s="42">
        <v>1805</v>
      </c>
      <c r="N23" s="39">
        <v>85</v>
      </c>
      <c r="O23" s="39">
        <v>15</v>
      </c>
      <c r="P23" s="39">
        <v>85</v>
      </c>
      <c r="Q23" s="39">
        <v>5111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44729</v>
      </c>
      <c r="B24" s="40">
        <v>0</v>
      </c>
      <c r="C24" s="40">
        <v>20</v>
      </c>
      <c r="D24" s="40">
        <v>37</v>
      </c>
      <c r="E24" s="41">
        <v>0</v>
      </c>
      <c r="F24" s="41">
        <v>6834</v>
      </c>
      <c r="G24" s="41">
        <v>0</v>
      </c>
      <c r="H24" s="41">
        <v>2212</v>
      </c>
      <c r="I24" s="41">
        <v>55</v>
      </c>
      <c r="J24" s="41">
        <v>716</v>
      </c>
      <c r="K24" s="42">
        <v>62</v>
      </c>
      <c r="L24" s="42">
        <v>85</v>
      </c>
      <c r="M24" s="42">
        <v>1807</v>
      </c>
      <c r="N24" s="39">
        <v>85</v>
      </c>
      <c r="O24" s="39">
        <v>12</v>
      </c>
      <c r="P24" s="39">
        <v>85</v>
      </c>
      <c r="Q24" s="39">
        <v>5113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44730</v>
      </c>
      <c r="B25" s="40">
        <v>0</v>
      </c>
      <c r="C25" s="40">
        <v>14</v>
      </c>
      <c r="D25" s="40">
        <v>26</v>
      </c>
      <c r="E25" s="41">
        <v>0</v>
      </c>
      <c r="F25" s="41">
        <v>6834</v>
      </c>
      <c r="G25" s="41">
        <v>0</v>
      </c>
      <c r="H25" s="41">
        <v>2212</v>
      </c>
      <c r="I25" s="41">
        <v>40</v>
      </c>
      <c r="J25" s="41">
        <v>719</v>
      </c>
      <c r="K25" s="42">
        <v>60</v>
      </c>
      <c r="L25" s="42">
        <v>85</v>
      </c>
      <c r="M25" s="42">
        <v>1807</v>
      </c>
      <c r="N25" s="39">
        <v>85</v>
      </c>
      <c r="O25" s="39">
        <v>10</v>
      </c>
      <c r="P25" s="39">
        <v>85</v>
      </c>
      <c r="Q25" s="39">
        <v>5118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44731</v>
      </c>
      <c r="B26" s="40">
        <v>0</v>
      </c>
      <c r="C26" s="40">
        <v>26</v>
      </c>
      <c r="D26" s="40">
        <v>5</v>
      </c>
      <c r="E26" s="41">
        <v>0</v>
      </c>
      <c r="F26" s="41">
        <v>6834</v>
      </c>
      <c r="G26" s="41">
        <v>0</v>
      </c>
      <c r="H26" s="41">
        <v>2212</v>
      </c>
      <c r="I26" s="41">
        <v>30</v>
      </c>
      <c r="J26" s="41">
        <v>721</v>
      </c>
      <c r="K26" s="42">
        <v>55</v>
      </c>
      <c r="L26" s="42">
        <v>85</v>
      </c>
      <c r="M26" s="42">
        <v>1808</v>
      </c>
      <c r="N26" s="39">
        <v>85</v>
      </c>
      <c r="O26" s="39">
        <v>8</v>
      </c>
      <c r="P26" s="39">
        <v>85</v>
      </c>
      <c r="Q26" s="39">
        <v>5120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44732</v>
      </c>
      <c r="B27" s="40">
        <v>0</v>
      </c>
      <c r="C27" s="40">
        <v>26</v>
      </c>
      <c r="D27" s="40">
        <v>5</v>
      </c>
      <c r="E27" s="41">
        <v>0</v>
      </c>
      <c r="F27" s="41">
        <v>6834</v>
      </c>
      <c r="G27" s="41">
        <v>0</v>
      </c>
      <c r="H27" s="41">
        <v>2212</v>
      </c>
      <c r="I27" s="41">
        <v>25</v>
      </c>
      <c r="J27" s="41">
        <v>722</v>
      </c>
      <c r="K27" s="42">
        <v>55</v>
      </c>
      <c r="L27" s="42">
        <v>85</v>
      </c>
      <c r="M27" s="42">
        <v>1808.9</v>
      </c>
      <c r="N27" s="39">
        <v>85</v>
      </c>
      <c r="O27" s="39">
        <v>5</v>
      </c>
      <c r="P27" s="39">
        <v>85</v>
      </c>
      <c r="Q27" s="39">
        <v>5122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44733</v>
      </c>
      <c r="B28" s="40">
        <v>0</v>
      </c>
      <c r="C28" s="40">
        <v>26</v>
      </c>
      <c r="D28" s="40">
        <v>54</v>
      </c>
      <c r="E28" s="41">
        <v>0</v>
      </c>
      <c r="F28" s="41">
        <v>6834</v>
      </c>
      <c r="G28" s="41">
        <v>0</v>
      </c>
      <c r="H28" s="41">
        <v>2212</v>
      </c>
      <c r="I28" s="41">
        <v>20</v>
      </c>
      <c r="J28" s="41">
        <v>723</v>
      </c>
      <c r="K28" s="42">
        <v>55</v>
      </c>
      <c r="L28" s="42">
        <v>85</v>
      </c>
      <c r="M28" s="42">
        <v>1809</v>
      </c>
      <c r="N28" s="39">
        <v>85</v>
      </c>
      <c r="O28" s="39">
        <v>5</v>
      </c>
      <c r="P28" s="39">
        <v>85</v>
      </c>
      <c r="Q28" s="39">
        <v>5123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44734</v>
      </c>
      <c r="B29" s="40">
        <v>0</v>
      </c>
      <c r="C29" s="40">
        <v>26</v>
      </c>
      <c r="D29" s="40">
        <v>54</v>
      </c>
      <c r="E29" s="41">
        <v>85</v>
      </c>
      <c r="F29" s="41">
        <v>6834</v>
      </c>
      <c r="G29" s="41">
        <v>80</v>
      </c>
      <c r="H29" s="41">
        <v>2212</v>
      </c>
      <c r="I29" s="41">
        <v>85</v>
      </c>
      <c r="J29" s="41">
        <v>726</v>
      </c>
      <c r="K29" s="42">
        <v>55</v>
      </c>
      <c r="L29" s="42">
        <v>85</v>
      </c>
      <c r="M29" s="42">
        <v>1809</v>
      </c>
      <c r="N29" s="39">
        <v>85</v>
      </c>
      <c r="O29" s="39">
        <v>0</v>
      </c>
      <c r="P29" s="39">
        <v>85</v>
      </c>
      <c r="Q29" s="39">
        <v>5126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44735</v>
      </c>
      <c r="B30" s="40">
        <v>0</v>
      </c>
      <c r="C30" s="40">
        <v>20</v>
      </c>
      <c r="D30" s="40">
        <v>45</v>
      </c>
      <c r="E30" s="41">
        <v>85</v>
      </c>
      <c r="F30" s="41">
        <v>6834</v>
      </c>
      <c r="G30" s="41">
        <v>52</v>
      </c>
      <c r="H30" s="41">
        <v>2212</v>
      </c>
      <c r="I30" s="41">
        <v>85</v>
      </c>
      <c r="J30" s="41">
        <v>732</v>
      </c>
      <c r="K30" s="42">
        <v>55</v>
      </c>
      <c r="L30" s="42">
        <v>85</v>
      </c>
      <c r="M30" s="42">
        <v>1811</v>
      </c>
      <c r="N30" s="39">
        <v>85</v>
      </c>
      <c r="O30" s="39">
        <v>0</v>
      </c>
      <c r="P30" s="39">
        <v>82</v>
      </c>
      <c r="Q30" s="39">
        <v>5131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44736</v>
      </c>
      <c r="B31" s="40">
        <v>0</v>
      </c>
      <c r="C31" s="40">
        <v>17</v>
      </c>
      <c r="D31" s="40">
        <v>36</v>
      </c>
      <c r="E31" s="41">
        <v>85</v>
      </c>
      <c r="F31" s="41">
        <v>6834</v>
      </c>
      <c r="G31" s="41">
        <v>45</v>
      </c>
      <c r="H31" s="41">
        <v>2212</v>
      </c>
      <c r="I31" s="41">
        <v>85</v>
      </c>
      <c r="J31" s="41">
        <v>735</v>
      </c>
      <c r="K31" s="42">
        <v>55</v>
      </c>
      <c r="L31" s="42">
        <v>85</v>
      </c>
      <c r="M31" s="42">
        <v>1811</v>
      </c>
      <c r="N31" s="39">
        <v>85</v>
      </c>
      <c r="O31" s="39">
        <v>0</v>
      </c>
      <c r="P31" s="39">
        <v>82</v>
      </c>
      <c r="Q31" s="39">
        <v>5136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44737</v>
      </c>
      <c r="B32" s="40">
        <v>0</v>
      </c>
      <c r="C32" s="40">
        <v>11</v>
      </c>
      <c r="D32" s="40">
        <v>22</v>
      </c>
      <c r="E32" s="41">
        <v>85</v>
      </c>
      <c r="F32" s="41">
        <v>6834</v>
      </c>
      <c r="G32" s="41">
        <v>25</v>
      </c>
      <c r="H32" s="41">
        <v>2212</v>
      </c>
      <c r="I32" s="41">
        <v>85</v>
      </c>
      <c r="J32" s="41">
        <v>738</v>
      </c>
      <c r="K32" s="42">
        <v>50</v>
      </c>
      <c r="L32" s="42">
        <v>85</v>
      </c>
      <c r="M32" s="42">
        <v>1813</v>
      </c>
      <c r="N32" s="39">
        <v>85</v>
      </c>
      <c r="O32" s="39">
        <v>0</v>
      </c>
      <c r="P32" s="39">
        <v>82</v>
      </c>
      <c r="Q32" s="39">
        <v>5138</v>
      </c>
      <c r="R32" s="77">
        <v>70</v>
      </c>
      <c r="S32" s="77">
        <v>227</v>
      </c>
      <c r="T32">
        <f t="shared" si="1"/>
        <v>0</v>
      </c>
    </row>
    <row r="33" spans="1:20" x14ac:dyDescent="0.25">
      <c r="A33" s="73">
        <v>44738</v>
      </c>
      <c r="B33" s="40">
        <v>0</v>
      </c>
      <c r="C33" s="40">
        <v>11</v>
      </c>
      <c r="D33" s="40">
        <v>22</v>
      </c>
      <c r="E33" s="41">
        <v>85</v>
      </c>
      <c r="F33" s="41">
        <v>6834</v>
      </c>
      <c r="G33" s="41">
        <v>20</v>
      </c>
      <c r="H33" s="41">
        <v>2212</v>
      </c>
      <c r="I33" s="41">
        <v>85</v>
      </c>
      <c r="J33" s="41">
        <v>739</v>
      </c>
      <c r="K33" s="42">
        <v>45</v>
      </c>
      <c r="L33" s="42">
        <v>85</v>
      </c>
      <c r="M33" s="42">
        <v>1814</v>
      </c>
      <c r="N33" s="39">
        <v>85</v>
      </c>
      <c r="O33" s="39">
        <v>0</v>
      </c>
      <c r="P33" s="39">
        <v>80</v>
      </c>
      <c r="Q33" s="39">
        <v>5142</v>
      </c>
      <c r="R33" s="77">
        <v>70</v>
      </c>
      <c r="S33" s="77">
        <v>227</v>
      </c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-227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Umesh Lohar</cp:lastModifiedBy>
  <dcterms:created xsi:type="dcterms:W3CDTF">2019-08-14T08:16:24Z</dcterms:created>
  <dcterms:modified xsi:type="dcterms:W3CDTF">2022-06-27T16:48:24Z</dcterms:modified>
</cp:coreProperties>
</file>