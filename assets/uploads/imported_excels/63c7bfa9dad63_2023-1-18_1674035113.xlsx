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rico.tondina\OneDrive - Four Seasons Hotels Limited\Desktop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Print_Area" localSheetId="0">Sheet1!$B$1:$P$13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3" i="1" l="1"/>
  <c r="G13" i="1"/>
  <c r="F13" i="1"/>
  <c r="O12" i="1"/>
  <c r="I12" i="1"/>
  <c r="P11" i="1"/>
  <c r="I11" i="1"/>
  <c r="H11" i="1"/>
  <c r="M10" i="1"/>
  <c r="L10" i="1"/>
  <c r="J10" i="1"/>
  <c r="H10" i="1"/>
  <c r="I10" i="1"/>
  <c r="M9" i="1"/>
  <c r="O9" i="1"/>
  <c r="L9" i="1"/>
  <c r="F9" i="1"/>
  <c r="I9" i="1"/>
  <c r="O8" i="1"/>
  <c r="H8" i="1"/>
  <c r="I8" i="1"/>
  <c r="O7" i="1"/>
  <c r="H7" i="1"/>
  <c r="I7" i="1"/>
  <c r="L6" i="1"/>
  <c r="M6" i="1"/>
  <c r="O6" i="1"/>
  <c r="G6" i="1"/>
  <c r="K6" i="1"/>
  <c r="J6" i="1"/>
  <c r="I6" i="1"/>
  <c r="O5" i="1"/>
  <c r="H5" i="1"/>
  <c r="I5" i="1"/>
  <c r="O4" i="1"/>
  <c r="H4" i="1"/>
  <c r="I4" i="1"/>
  <c r="I3" i="1"/>
  <c r="O3" i="1"/>
  <c r="G3" i="1"/>
  <c r="P3" i="1"/>
  <c r="P4" i="1"/>
  <c r="P5" i="1"/>
  <c r="P6" i="1"/>
  <c r="P7" i="1"/>
  <c r="P8" i="1"/>
  <c r="P9" i="1"/>
  <c r="P10" i="1"/>
  <c r="P12" i="1"/>
  <c r="P13" i="1"/>
  <c r="O2" i="1"/>
  <c r="K2" i="1"/>
  <c r="I2" i="1"/>
  <c r="P2" i="1"/>
  <c r="J2" i="1"/>
  <c r="F3" i="1"/>
</calcChain>
</file>

<file path=xl/sharedStrings.xml><?xml version="1.0" encoding="utf-8"?>
<sst xmlns="http://schemas.openxmlformats.org/spreadsheetml/2006/main" count="27" uniqueCount="16">
  <si>
    <t>Site Name</t>
  </si>
  <si>
    <t>Month</t>
  </si>
  <si>
    <t>Year</t>
  </si>
  <si>
    <t>Total (per Unit) liquid hazardous waste</t>
  </si>
  <si>
    <t>Total cost liquid hazardous waste</t>
  </si>
  <si>
    <t>Milan</t>
  </si>
  <si>
    <t>Spese trasporto e manodopera</t>
  </si>
  <si>
    <t>TOTALE</t>
  </si>
  <si>
    <t>Total (per Unit) e waste</t>
  </si>
  <si>
    <t>Total cost e waste</t>
  </si>
  <si>
    <t>Total (per Unit) durable goods</t>
  </si>
  <si>
    <t>Total cost durable goods</t>
  </si>
  <si>
    <t>Total (per Unit) kitchen grease</t>
  </si>
  <si>
    <t>Total cost kitchen grease</t>
  </si>
  <si>
    <t>Total (per Unit) universal waste</t>
  </si>
  <si>
    <t>Total cost universal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</si>
</sst>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O13" sqref="O13"/>
    </sheetView>
  </sheetViews>
  <sheetFormatPr defaultRowHeight="15" x14ac:dyDescent="0.25"/>
  <cols>
    <col min="1" max="1" width="12.140625" customWidth="1"/>
    <col min="2" max="3" width="8.42578125" customWidth="1"/>
    <col min="4" max="4" width="13.7109375" customWidth="1"/>
    <col min="5" max="13" width="18.85546875" customWidth="1"/>
    <col min="14" max="14" width="2.42578125" customWidth="1"/>
    <col min="15" max="15" width="12.7109375" customWidth="1"/>
    <col min="16" max="16" width="11" customWidth="1"/>
  </cols>
  <sheetData>
    <row r="1" spans="1:16" ht="56.25" customHeight="1" x14ac:dyDescent="0.25">
      <c r="A1" s="1" t="s">
        <v>0</v>
      </c>
      <c r="B1" s="1" t="s">
        <v>1</v>
      </c>
      <c r="C1" s="1" t="s">
        <v>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3</v>
      </c>
      <c r="K1" s="2" t="s">
        <v>4</v>
      </c>
      <c r="L1" s="7" t="s">
        <v>14</v>
      </c>
      <c r="M1" s="7" t="s">
        <v>15</v>
      </c>
      <c r="N1" s="1"/>
      <c r="O1" s="1" t="s">
        <v>6</v>
      </c>
      <c r="P1" s="1" t="s">
        <v>7</v>
      </c>
    </row>
    <row r="2" spans="1:16" x14ac:dyDescent="0.25">
      <c r="A2" s="3" t="s">
        <v>5</v>
      </c>
      <c r="B2" s="4">
        <v>1</v>
      </c>
      <c r="C2" s="4">
        <v>2022</v>
      </c>
      <c r="D2" s="5"/>
      <c r="E2" s="12"/>
      <c r="F2" s="5"/>
      <c r="G2" s="11"/>
      <c r="H2" s="5">
        <v>315</v>
      </c>
      <c r="I2" s="11">
        <f t="shared" ref="I2:I9" si="0">+H2*0.033</f>
        <v>10.395000000000001</v>
      </c>
      <c r="J2" s="5">
        <f>50+110</f>
        <v>160</v>
      </c>
      <c r="K2" s="11">
        <f>209+95</f>
        <v>304</v>
      </c>
      <c r="L2" s="5">
        <v>60</v>
      </c>
      <c r="M2" s="11">
        <v>150</v>
      </c>
      <c r="N2" s="6"/>
      <c r="O2" s="8">
        <f>25+200</f>
        <v>225</v>
      </c>
      <c r="P2" s="9">
        <f>+O2+M2+K2+I2+G2+E2</f>
        <v>689.39499999999998</v>
      </c>
    </row>
    <row r="3" spans="1:16" x14ac:dyDescent="0.25">
      <c r="A3" s="3" t="s">
        <v>5</v>
      </c>
      <c r="B3" s="4">
        <v>2</v>
      </c>
      <c r="C3" s="4">
        <v>2022</v>
      </c>
      <c r="D3" s="5"/>
      <c r="E3" s="12"/>
      <c r="F3" s="5">
        <f>600+460+320</f>
        <v>1380</v>
      </c>
      <c r="G3" s="11">
        <f>83.2+156+120</f>
        <v>359.2</v>
      </c>
      <c r="H3" s="5">
        <v>380</v>
      </c>
      <c r="I3" s="11">
        <f t="shared" si="0"/>
        <v>12.540000000000001</v>
      </c>
      <c r="J3" s="5"/>
      <c r="K3" s="11"/>
      <c r="L3" s="5"/>
      <c r="M3" s="11"/>
      <c r="N3" s="6"/>
      <c r="O3" s="8">
        <f>50+50+150+50+100</f>
        <v>400</v>
      </c>
      <c r="P3" s="9">
        <f t="shared" ref="P3:P13" si="1">+O3+M3+K3+I3+G3+E3</f>
        <v>771.74</v>
      </c>
    </row>
    <row r="4" spans="1:16" x14ac:dyDescent="0.25">
      <c r="A4" s="3" t="s">
        <v>5</v>
      </c>
      <c r="B4" s="4">
        <v>3</v>
      </c>
      <c r="C4" s="4">
        <v>2022</v>
      </c>
      <c r="D4" s="5"/>
      <c r="E4" s="12"/>
      <c r="F4" s="5"/>
      <c r="G4" s="11"/>
      <c r="H4" s="5">
        <f>360+320</f>
        <v>680</v>
      </c>
      <c r="I4" s="11">
        <f t="shared" si="0"/>
        <v>22.44</v>
      </c>
      <c r="J4" s="5"/>
      <c r="K4" s="11"/>
      <c r="L4" s="5"/>
      <c r="M4" s="11"/>
      <c r="N4" s="6"/>
      <c r="O4" s="8">
        <f>50+50+37.5+50</f>
        <v>187.5</v>
      </c>
      <c r="P4" s="9">
        <f t="shared" si="1"/>
        <v>209.94</v>
      </c>
    </row>
    <row r="5" spans="1:16" x14ac:dyDescent="0.25">
      <c r="A5" s="3" t="s">
        <v>5</v>
      </c>
      <c r="B5" s="4">
        <v>4</v>
      </c>
      <c r="C5" s="4">
        <v>2022</v>
      </c>
      <c r="D5" s="5"/>
      <c r="E5" s="12"/>
      <c r="F5" s="5"/>
      <c r="G5" s="11"/>
      <c r="H5" s="5">
        <f>200+280</f>
        <v>480</v>
      </c>
      <c r="I5" s="11">
        <f t="shared" si="0"/>
        <v>15.84</v>
      </c>
      <c r="J5" s="5"/>
      <c r="K5" s="11"/>
      <c r="L5" s="5"/>
      <c r="M5" s="11"/>
      <c r="N5" s="6"/>
      <c r="O5" s="8">
        <f>100+75</f>
        <v>175</v>
      </c>
      <c r="P5" s="9">
        <f t="shared" si="1"/>
        <v>190.84</v>
      </c>
    </row>
    <row r="6" spans="1:16" x14ac:dyDescent="0.25">
      <c r="A6" s="3" t="s">
        <v>5</v>
      </c>
      <c r="B6" s="4">
        <v>5</v>
      </c>
      <c r="C6" s="4">
        <v>2022</v>
      </c>
      <c r="D6" s="5"/>
      <c r="E6" s="12"/>
      <c r="F6" s="5">
        <v>860</v>
      </c>
      <c r="G6" s="11">
        <f>+F6*0.26</f>
        <v>223.6</v>
      </c>
      <c r="H6" s="5">
        <v>380</v>
      </c>
      <c r="I6" s="11">
        <f t="shared" si="0"/>
        <v>12.540000000000001</v>
      </c>
      <c r="J6" s="5">
        <f>90+40</f>
        <v>130</v>
      </c>
      <c r="K6" s="11">
        <f>100+75</f>
        <v>175</v>
      </c>
      <c r="L6" s="5">
        <f>50+580</f>
        <v>630</v>
      </c>
      <c r="M6" s="11">
        <f>+L6*0.4</f>
        <v>252</v>
      </c>
      <c r="N6" s="6"/>
      <c r="O6" s="8">
        <f>50+37.5+250+50</f>
        <v>387.5</v>
      </c>
      <c r="P6" s="9">
        <f t="shared" si="1"/>
        <v>1050.6399999999999</v>
      </c>
    </row>
    <row r="7" spans="1:16" x14ac:dyDescent="0.25">
      <c r="A7" s="3" t="s">
        <v>5</v>
      </c>
      <c r="B7" s="4">
        <v>6</v>
      </c>
      <c r="C7" s="4">
        <v>2022</v>
      </c>
      <c r="D7" s="5"/>
      <c r="E7" s="12"/>
      <c r="F7" s="5"/>
      <c r="G7" s="11"/>
      <c r="H7" s="5">
        <f>340+340</f>
        <v>680</v>
      </c>
      <c r="I7" s="11">
        <f t="shared" si="0"/>
        <v>22.44</v>
      </c>
      <c r="J7" s="5"/>
      <c r="K7" s="11"/>
      <c r="L7" s="10">
        <v>240</v>
      </c>
      <c r="M7" s="11">
        <v>70</v>
      </c>
      <c r="N7" s="6"/>
      <c r="O7" s="8">
        <f>50+37.5+50+37.5+50</f>
        <v>225</v>
      </c>
      <c r="P7" s="9">
        <f t="shared" si="1"/>
        <v>317.44</v>
      </c>
    </row>
    <row r="8" spans="1:16" x14ac:dyDescent="0.25">
      <c r="A8" s="3" t="s">
        <v>5</v>
      </c>
      <c r="B8" s="4">
        <v>7</v>
      </c>
      <c r="C8" s="4">
        <v>2022</v>
      </c>
      <c r="D8" s="5"/>
      <c r="E8" s="12"/>
      <c r="F8" s="5"/>
      <c r="G8" s="11"/>
      <c r="H8" s="5">
        <f>260+220</f>
        <v>480</v>
      </c>
      <c r="I8" s="11">
        <f t="shared" si="0"/>
        <v>15.84</v>
      </c>
      <c r="J8" s="5"/>
      <c r="K8" s="11"/>
      <c r="L8" s="5"/>
      <c r="M8" s="11"/>
      <c r="N8" s="6"/>
      <c r="O8" s="8">
        <f>100+37.5+37.5</f>
        <v>175</v>
      </c>
      <c r="P8" s="9">
        <f t="shared" si="1"/>
        <v>190.84</v>
      </c>
    </row>
    <row r="9" spans="1:16" ht="14.25" customHeight="1" x14ac:dyDescent="0.25">
      <c r="A9" s="3" t="s">
        <v>5</v>
      </c>
      <c r="B9" s="4">
        <v>8</v>
      </c>
      <c r="C9" s="4">
        <v>2022</v>
      </c>
      <c r="D9" s="5"/>
      <c r="E9" s="12"/>
      <c r="F9" s="5">
        <f>70+140</f>
        <v>210</v>
      </c>
      <c r="G9" s="12">
        <v>140</v>
      </c>
      <c r="H9" s="5">
        <v>260</v>
      </c>
      <c r="I9" s="11">
        <f t="shared" si="0"/>
        <v>8.58</v>
      </c>
      <c r="J9" s="5"/>
      <c r="K9" s="11"/>
      <c r="L9" s="5">
        <f>1160+840+1220+600</f>
        <v>3820</v>
      </c>
      <c r="M9" s="11">
        <f>218.4+82.8+48</f>
        <v>349.2</v>
      </c>
      <c r="N9" s="6"/>
      <c r="O9" s="8">
        <f>50+50+250+50+50+300+50+37.5+100+75</f>
        <v>1012.5</v>
      </c>
      <c r="P9" s="9">
        <f t="shared" si="1"/>
        <v>1510.28</v>
      </c>
    </row>
    <row r="10" spans="1:16" x14ac:dyDescent="0.25">
      <c r="A10" s="3" t="s">
        <v>5</v>
      </c>
      <c r="B10" s="4">
        <v>9</v>
      </c>
      <c r="C10" s="4">
        <v>2022</v>
      </c>
      <c r="D10" s="5"/>
      <c r="E10" s="12"/>
      <c r="F10" s="5"/>
      <c r="G10" s="11"/>
      <c r="H10" s="5">
        <f>300+260</f>
        <v>560</v>
      </c>
      <c r="I10" s="11">
        <f>H10*0.033</f>
        <v>18.48</v>
      </c>
      <c r="J10" s="5">
        <f>70+40+320</f>
        <v>430</v>
      </c>
      <c r="K10" s="11">
        <v>378.5</v>
      </c>
      <c r="L10" s="5">
        <f>280+40+220+780+660</f>
        <v>1980</v>
      </c>
      <c r="M10" s="11">
        <f>203+88+70</f>
        <v>361</v>
      </c>
      <c r="N10" s="6"/>
      <c r="O10" s="8">
        <v>937.5</v>
      </c>
      <c r="P10" s="9">
        <f t="shared" si="1"/>
        <v>1695.48</v>
      </c>
    </row>
    <row r="11" spans="1:16" x14ac:dyDescent="0.25">
      <c r="A11" s="3" t="s">
        <v>5</v>
      </c>
      <c r="B11" s="4">
        <v>10</v>
      </c>
      <c r="C11" s="4">
        <v>2022</v>
      </c>
      <c r="D11" s="5"/>
      <c r="E11" s="12"/>
      <c r="F11" s="5"/>
      <c r="G11" s="11"/>
      <c r="H11" s="5">
        <f>310+260</f>
        <v>570</v>
      </c>
      <c r="I11" s="11">
        <f>10.23+8.58</f>
        <v>18.810000000000002</v>
      </c>
      <c r="J11" s="5"/>
      <c r="K11" s="11"/>
      <c r="L11" s="5"/>
      <c r="M11" s="11"/>
      <c r="N11" s="6"/>
      <c r="O11" s="8">
        <v>175</v>
      </c>
      <c r="P11" s="9">
        <f t="shared" si="1"/>
        <v>193.81</v>
      </c>
    </row>
    <row r="12" spans="1:16" x14ac:dyDescent="0.25">
      <c r="A12" s="3" t="s">
        <v>5</v>
      </c>
      <c r="B12" s="4">
        <v>11</v>
      </c>
      <c r="C12" s="4">
        <v>2022</v>
      </c>
      <c r="D12" s="5"/>
      <c r="E12" s="12"/>
      <c r="F12" s="5"/>
      <c r="G12" s="11"/>
      <c r="H12" s="5">
        <v>480</v>
      </c>
      <c r="I12" s="11">
        <f>9+7</f>
        <v>16</v>
      </c>
      <c r="J12" s="5"/>
      <c r="K12" s="11"/>
      <c r="L12" s="5"/>
      <c r="M12" s="11"/>
      <c r="N12" s="6"/>
      <c r="O12" s="8">
        <f>50+50+37.5+37.5</f>
        <v>175</v>
      </c>
      <c r="P12" s="9">
        <f t="shared" si="1"/>
        <v>191</v>
      </c>
    </row>
    <row r="13" spans="1:16" x14ac:dyDescent="0.25">
      <c r="A13" s="3" t="s">
        <v>5</v>
      </c>
      <c r="B13" s="4">
        <v>12</v>
      </c>
      <c r="C13" s="4">
        <v>2022</v>
      </c>
      <c r="D13" s="5"/>
      <c r="E13" s="12"/>
      <c r="F13" s="5">
        <f>10+860+720</f>
        <v>1590</v>
      </c>
      <c r="G13" s="11">
        <f>241+202+70</f>
        <v>513</v>
      </c>
      <c r="H13" s="5">
        <v>440</v>
      </c>
      <c r="I13" s="11">
        <v>15</v>
      </c>
      <c r="J13" s="5"/>
      <c r="K13" s="11"/>
      <c r="L13" s="5"/>
      <c r="M13" s="11"/>
      <c r="N13" s="6"/>
      <c r="O13" s="8">
        <f>75+250+50+50+50</f>
        <v>475</v>
      </c>
      <c r="P13" s="9">
        <f t="shared" si="1"/>
        <v>1003</v>
      </c>
    </row>
  </sheetData>
  <pageMargins left="0.7" right="0.7" top="0.75" bottom="0.75" header="0.3" footer="0.3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CC3AAFBC856844821FEBCD738451E6" ma:contentTypeVersion="10" ma:contentTypeDescription="Create a new document." ma:contentTypeScope="" ma:versionID="a51044fce230e5d166cd65c77ac7b262">
  <xsd:schema xmlns:xsd="http://www.w3.org/2001/XMLSchema" xmlns:xs="http://www.w3.org/2001/XMLSchema" xmlns:p="http://schemas.microsoft.com/office/2006/metadata/properties" xmlns:ns2="5a824955-9b36-486b-9c3a-e151e92d64a8" xmlns:ns3="e1723315-f561-4654-ad5e-b0e2e3fa3eca" targetNamespace="http://schemas.microsoft.com/office/2006/metadata/properties" ma:root="true" ma:fieldsID="bc8804ea7a0c6030667eb182e4cb7700" ns2:_="" ns3:_="">
    <xsd:import namespace="5a824955-9b36-486b-9c3a-e151e92d64a8"/>
    <xsd:import namespace="e1723315-f561-4654-ad5e-b0e2e3fa3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24955-9b36-486b-9c3a-e151e92d6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23315-f561-4654-ad5e-b0e2e3fa3ec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824955-9b36-486b-9c3a-e151e92d64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27DB83-DCF1-4AE1-9572-D928C7D79984}"/>
</file>

<file path=customXml/itemProps2.xml><?xml version="1.0" encoding="utf-8"?>
<ds:datastoreItem xmlns:ds="http://schemas.openxmlformats.org/officeDocument/2006/customXml" ds:itemID="{2CCB2709-7583-4A02-AEE0-45B204420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742856-7480-4664-BBE3-ADB3A274EED1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bda53bc3-938a-4cf0-ac0b-62f808177120"/>
    <ds:schemaRef ds:uri="http://schemas.microsoft.com/office/infopath/2007/PartnerControls"/>
    <ds:schemaRef ds:uri="http://schemas.openxmlformats.org/package/2006/metadata/core-properties"/>
    <ds:schemaRef ds:uri="b3745c00-4a7a-445c-b286-7de946601c43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Enrico Tondina</cp:lastModifiedBy>
  <dcterms:created xsi:type="dcterms:W3CDTF">2022-01-28T13:49:17Z</dcterms:created>
  <dcterms:modified xsi:type="dcterms:W3CDTF">2023-01-09T11:50:38Z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0x01010067CE81CA3073A34EAD998226A4686CED</vt:lpwstr>
  </property>
</Properties>
</file>