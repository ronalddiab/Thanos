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2"/>
  <workbookPr/>
  <mc:AlternateContent xmlns:mc="http://schemas.openxmlformats.org/markup-compatibility/2006">
    <mc:Choice Requires="x15">
      <x15ac:absPath xmlns:x15ac="http://schemas.microsoft.com/office/spreadsheetml/2010/11/ac" url="K:\3. ENG UBU\4. Energy\4.5 Hotel Energy Portal (HEP)\2022\Monthly Spread Sheet HEP\"/>
    </mc:Choice>
  </mc:AlternateContent>
  <xr:revisionPtr revIDLastSave="58" documentId="11_E8DC4BBE08BD953D00326E634A0908356D67DDB5" xr6:coauthVersionLast="47" xr6:coauthVersionMax="47" xr10:uidLastSave="{9C402CB2-EEBC-4398-89EB-6A52D9D8F6CC}"/>
  <bookViews>
    <workbookView xWindow="0" yWindow="0" windowWidth="25200" windowHeight="11985" firstSheet="2" xr2:uid="{00000000-000D-0000-FFFF-FFFF00000000}"/>
  </bookViews>
  <sheets>
    <sheet name="TOTAL" sheetId="1" r:id="rId1"/>
    <sheet name="Electricity" sheetId="2" r:id="rId2"/>
    <sheet name="Gas" sheetId="3" r:id="rId3"/>
    <sheet name="Fuel Diesel" sheetId="4" r:id="rId4"/>
    <sheet name="Water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1" i="3" l="1"/>
  <c r="I40" i="3"/>
  <c r="G2" i="1"/>
  <c r="G33" i="1"/>
  <c r="F40" i="3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J25" i="1" l="1"/>
  <c r="H32" i="4" l="1"/>
  <c r="F37" i="2"/>
  <c r="G37" i="2" s="1"/>
  <c r="F38" i="2"/>
  <c r="G38" i="2"/>
  <c r="F26" i="4"/>
  <c r="I19" i="1" s="1"/>
  <c r="F25" i="4"/>
  <c r="I18" i="1" s="1"/>
  <c r="F24" i="4"/>
  <c r="I17" i="1" s="1"/>
  <c r="F23" i="4"/>
  <c r="F22" i="4"/>
  <c r="G22" i="4" s="1"/>
  <c r="F21" i="4"/>
  <c r="I14" i="1" s="1"/>
  <c r="F20" i="4"/>
  <c r="I13" i="1"/>
  <c r="F19" i="4"/>
  <c r="G19" i="4" s="1"/>
  <c r="J12" i="1" s="1"/>
  <c r="F18" i="4"/>
  <c r="I11" i="1" s="1"/>
  <c r="F17" i="4"/>
  <c r="F16" i="4"/>
  <c r="I9" i="1" s="1"/>
  <c r="F15" i="4"/>
  <c r="F14" i="4"/>
  <c r="F13" i="4"/>
  <c r="I6" i="1"/>
  <c r="F12" i="4"/>
  <c r="I5" i="1"/>
  <c r="F11" i="4"/>
  <c r="F10" i="4"/>
  <c r="G10" i="4" s="1"/>
  <c r="D10" i="3"/>
  <c r="D10" i="4" s="1"/>
  <c r="D10" i="5" s="1"/>
  <c r="D11" i="3"/>
  <c r="D11" i="4" s="1"/>
  <c r="D11" i="5" s="1"/>
  <c r="D12" i="3"/>
  <c r="D12" i="4" s="1"/>
  <c r="D12" i="5" s="1"/>
  <c r="D13" i="3"/>
  <c r="D13" i="4" s="1"/>
  <c r="D13" i="5" s="1"/>
  <c r="D14" i="3"/>
  <c r="D15" i="3"/>
  <c r="D15" i="4"/>
  <c r="D15" i="5" s="1"/>
  <c r="D16" i="3"/>
  <c r="D16" i="4" s="1"/>
  <c r="D16" i="5" s="1"/>
  <c r="D17" i="3"/>
  <c r="D17" i="4" s="1"/>
  <c r="D17" i="5" s="1"/>
  <c r="D18" i="3"/>
  <c r="D18" i="4" s="1"/>
  <c r="D18" i="5" s="1"/>
  <c r="D19" i="3"/>
  <c r="D19" i="4" s="1"/>
  <c r="D19" i="5" s="1"/>
  <c r="D20" i="3"/>
  <c r="D20" i="4" s="1"/>
  <c r="D20" i="5" s="1"/>
  <c r="D21" i="3"/>
  <c r="D21" i="4"/>
  <c r="D21" i="5" s="1"/>
  <c r="D22" i="3"/>
  <c r="D22" i="4"/>
  <c r="D22" i="5" s="1"/>
  <c r="D23" i="3"/>
  <c r="D23" i="4" s="1"/>
  <c r="D23" i="5" s="1"/>
  <c r="D24" i="3"/>
  <c r="D24" i="4" s="1"/>
  <c r="D24" i="5" s="1"/>
  <c r="D25" i="3"/>
  <c r="D25" i="4" s="1"/>
  <c r="D25" i="5" s="1"/>
  <c r="D26" i="3"/>
  <c r="D26" i="4" s="1"/>
  <c r="D26" i="5" s="1"/>
  <c r="D27" i="3"/>
  <c r="D27" i="4" s="1"/>
  <c r="D27" i="5" s="1"/>
  <c r="D28" i="3"/>
  <c r="D28" i="4" s="1"/>
  <c r="D28" i="5" s="1"/>
  <c r="D29" i="3"/>
  <c r="D29" i="4" s="1"/>
  <c r="D29" i="5" s="1"/>
  <c r="D30" i="3"/>
  <c r="D30" i="4" s="1"/>
  <c r="D30" i="5" s="1"/>
  <c r="D31" i="3"/>
  <c r="D31" i="4" s="1"/>
  <c r="D31" i="5" s="1"/>
  <c r="D32" i="3"/>
  <c r="D32" i="4"/>
  <c r="D32" i="5" s="1"/>
  <c r="D33" i="3"/>
  <c r="D33" i="4" s="1"/>
  <c r="D33" i="5" s="1"/>
  <c r="D34" i="3"/>
  <c r="D34" i="4" s="1"/>
  <c r="D34" i="5" s="1"/>
  <c r="D35" i="3"/>
  <c r="D35" i="4"/>
  <c r="D35" i="5" s="1"/>
  <c r="D36" i="3"/>
  <c r="D36" i="4" s="1"/>
  <c r="D36" i="5" s="1"/>
  <c r="D37" i="3"/>
  <c r="D37" i="4" s="1"/>
  <c r="D37" i="5" s="1"/>
  <c r="D38" i="3"/>
  <c r="D38" i="4" s="1"/>
  <c r="D38" i="5" s="1"/>
  <c r="D39" i="3"/>
  <c r="D39" i="4" s="1"/>
  <c r="D39" i="5" s="1"/>
  <c r="D9" i="3"/>
  <c r="D9" i="4" s="1"/>
  <c r="C10" i="3"/>
  <c r="C11" i="3"/>
  <c r="C11" i="4" s="1"/>
  <c r="C11" i="5" s="1"/>
  <c r="C12" i="3"/>
  <c r="C12" i="4"/>
  <c r="C12" i="5" s="1"/>
  <c r="C13" i="3"/>
  <c r="C13" i="4" s="1"/>
  <c r="C13" i="5" s="1"/>
  <c r="C14" i="3"/>
  <c r="C14" i="4" s="1"/>
  <c r="C14" i="5" s="1"/>
  <c r="C15" i="3"/>
  <c r="C15" i="4" s="1"/>
  <c r="C15" i="5" s="1"/>
  <c r="C16" i="3"/>
  <c r="C16" i="4"/>
  <c r="C16" i="5" s="1"/>
  <c r="C17" i="3"/>
  <c r="C17" i="4" s="1"/>
  <c r="C17" i="5" s="1"/>
  <c r="C18" i="3"/>
  <c r="C18" i="4" s="1"/>
  <c r="C18" i="5" s="1"/>
  <c r="C19" i="3"/>
  <c r="C19" i="4" s="1"/>
  <c r="C19" i="5" s="1"/>
  <c r="C20" i="3"/>
  <c r="C20" i="4" s="1"/>
  <c r="C20" i="5" s="1"/>
  <c r="C21" i="3"/>
  <c r="C21" i="4" s="1"/>
  <c r="C21" i="5" s="1"/>
  <c r="C22" i="3"/>
  <c r="C22" i="4" s="1"/>
  <c r="C22" i="5" s="1"/>
  <c r="C23" i="3"/>
  <c r="C23" i="4" s="1"/>
  <c r="C23" i="5" s="1"/>
  <c r="C24" i="3"/>
  <c r="C24" i="4" s="1"/>
  <c r="C24" i="5" s="1"/>
  <c r="C25" i="3"/>
  <c r="C25" i="4" s="1"/>
  <c r="C25" i="5" s="1"/>
  <c r="C26" i="3"/>
  <c r="C26" i="4" s="1"/>
  <c r="C26" i="5" s="1"/>
  <c r="C27" i="3"/>
  <c r="C27" i="4" s="1"/>
  <c r="C27" i="5" s="1"/>
  <c r="C28" i="3"/>
  <c r="C28" i="4" s="1"/>
  <c r="C28" i="5" s="1"/>
  <c r="C29" i="3"/>
  <c r="C29" i="4" s="1"/>
  <c r="C29" i="5" s="1"/>
  <c r="C30" i="3"/>
  <c r="C30" i="4"/>
  <c r="C30" i="5" s="1"/>
  <c r="C31" i="3"/>
  <c r="C31" i="4"/>
  <c r="C31" i="5" s="1"/>
  <c r="C32" i="3"/>
  <c r="C32" i="4" s="1"/>
  <c r="C32" i="5" s="1"/>
  <c r="C33" i="3"/>
  <c r="C33" i="4" s="1"/>
  <c r="C33" i="5" s="1"/>
  <c r="C34" i="3"/>
  <c r="C34" i="4" s="1"/>
  <c r="C34" i="5" s="1"/>
  <c r="C35" i="3"/>
  <c r="C35" i="4" s="1"/>
  <c r="C35" i="5" s="1"/>
  <c r="C36" i="3"/>
  <c r="C36" i="4"/>
  <c r="C36" i="5" s="1"/>
  <c r="C37" i="3"/>
  <c r="C37" i="4"/>
  <c r="C37" i="5" s="1"/>
  <c r="C38" i="3"/>
  <c r="C38" i="4" s="1"/>
  <c r="C38" i="5" s="1"/>
  <c r="C39" i="3"/>
  <c r="C39" i="4" s="1"/>
  <c r="C39" i="5" s="1"/>
  <c r="C9" i="3"/>
  <c r="C9" i="4" s="1"/>
  <c r="C9" i="5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G34" i="4"/>
  <c r="J27" i="1" s="1"/>
  <c r="I4" i="1"/>
  <c r="I7" i="1"/>
  <c r="I8" i="1"/>
  <c r="I10" i="1"/>
  <c r="I16" i="1"/>
  <c r="I20" i="1"/>
  <c r="I21" i="1"/>
  <c r="I23" i="1"/>
  <c r="I24" i="1"/>
  <c r="I25" i="1"/>
  <c r="I26" i="1"/>
  <c r="I27" i="1"/>
  <c r="I28" i="1"/>
  <c r="I29" i="1"/>
  <c r="I30" i="1"/>
  <c r="I31" i="1"/>
  <c r="I3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N2" i="1"/>
  <c r="M2" i="1"/>
  <c r="K2" i="1"/>
  <c r="I2" i="1"/>
  <c r="I40" i="5"/>
  <c r="G40" i="5"/>
  <c r="J39" i="5"/>
  <c r="H39" i="5"/>
  <c r="F39" i="5"/>
  <c r="J38" i="5"/>
  <c r="H38" i="5"/>
  <c r="F38" i="5"/>
  <c r="J37" i="5"/>
  <c r="H37" i="5"/>
  <c r="F37" i="5"/>
  <c r="J36" i="5"/>
  <c r="H36" i="5"/>
  <c r="F36" i="5"/>
  <c r="J35" i="5"/>
  <c r="H35" i="5"/>
  <c r="F35" i="5"/>
  <c r="J34" i="5"/>
  <c r="H34" i="5"/>
  <c r="F34" i="5"/>
  <c r="J33" i="5"/>
  <c r="H33" i="5"/>
  <c r="F33" i="5"/>
  <c r="J32" i="5"/>
  <c r="H32" i="5"/>
  <c r="F32" i="5"/>
  <c r="J31" i="5"/>
  <c r="H31" i="5"/>
  <c r="F31" i="5"/>
  <c r="J30" i="5"/>
  <c r="H30" i="5"/>
  <c r="F30" i="5"/>
  <c r="J29" i="5"/>
  <c r="H29" i="5"/>
  <c r="F29" i="5"/>
  <c r="J28" i="5"/>
  <c r="H28" i="5"/>
  <c r="F28" i="5"/>
  <c r="J27" i="5"/>
  <c r="H27" i="5"/>
  <c r="F27" i="5"/>
  <c r="J26" i="5"/>
  <c r="H26" i="5"/>
  <c r="F26" i="5"/>
  <c r="J25" i="5"/>
  <c r="H25" i="5"/>
  <c r="F25" i="5"/>
  <c r="J24" i="5"/>
  <c r="H24" i="5"/>
  <c r="F24" i="5"/>
  <c r="J23" i="5"/>
  <c r="H23" i="5"/>
  <c r="F23" i="5"/>
  <c r="J22" i="5"/>
  <c r="H22" i="5"/>
  <c r="F22" i="5"/>
  <c r="J21" i="5"/>
  <c r="H21" i="5"/>
  <c r="F21" i="5"/>
  <c r="J20" i="5"/>
  <c r="H20" i="5"/>
  <c r="F20" i="5"/>
  <c r="J19" i="5"/>
  <c r="H19" i="5"/>
  <c r="F19" i="5"/>
  <c r="J18" i="5"/>
  <c r="H18" i="5"/>
  <c r="F18" i="5"/>
  <c r="J17" i="5"/>
  <c r="H17" i="5"/>
  <c r="F17" i="5"/>
  <c r="J16" i="5"/>
  <c r="H16" i="5"/>
  <c r="F16" i="5"/>
  <c r="J15" i="5"/>
  <c r="H15" i="5"/>
  <c r="F15" i="5"/>
  <c r="J14" i="5"/>
  <c r="H14" i="5"/>
  <c r="F14" i="5"/>
  <c r="J13" i="5"/>
  <c r="H13" i="5"/>
  <c r="F13" i="5"/>
  <c r="J12" i="5"/>
  <c r="H12" i="5"/>
  <c r="F12" i="5"/>
  <c r="J11" i="5"/>
  <c r="H11" i="5"/>
  <c r="F11" i="5"/>
  <c r="J10" i="5"/>
  <c r="H10" i="5"/>
  <c r="F10" i="5"/>
  <c r="J9" i="5"/>
  <c r="H9" i="5"/>
  <c r="F9" i="5"/>
  <c r="G39" i="4"/>
  <c r="J32" i="1" s="1"/>
  <c r="G38" i="4"/>
  <c r="J31" i="1" s="1"/>
  <c r="G37" i="4"/>
  <c r="J30" i="1" s="1"/>
  <c r="G36" i="4"/>
  <c r="J29" i="1" s="1"/>
  <c r="G35" i="4"/>
  <c r="J28" i="1" s="1"/>
  <c r="G33" i="4"/>
  <c r="J26" i="1" s="1"/>
  <c r="J33" i="1" s="1"/>
  <c r="G31" i="4"/>
  <c r="J24" i="1" s="1"/>
  <c r="G30" i="4"/>
  <c r="J23" i="1" s="1"/>
  <c r="I22" i="1"/>
  <c r="G28" i="4"/>
  <c r="J21" i="1" s="1"/>
  <c r="G26" i="4"/>
  <c r="J19" i="1" s="1"/>
  <c r="G25" i="4"/>
  <c r="J18" i="1" s="1"/>
  <c r="G23" i="4"/>
  <c r="J16" i="1" s="1"/>
  <c r="G17" i="4"/>
  <c r="J10" i="1" s="1"/>
  <c r="G15" i="4"/>
  <c r="J8" i="1" s="1"/>
  <c r="G14" i="4"/>
  <c r="H14" i="4" s="1"/>
  <c r="G11" i="4"/>
  <c r="H11" i="4" s="1"/>
  <c r="G9" i="4"/>
  <c r="O40" i="3"/>
  <c r="G39" i="3"/>
  <c r="J8" i="3"/>
  <c r="J38" i="3"/>
  <c r="G38" i="3"/>
  <c r="G37" i="3"/>
  <c r="J36" i="3"/>
  <c r="G36" i="3"/>
  <c r="J35" i="3"/>
  <c r="G35" i="3"/>
  <c r="G34" i="3"/>
  <c r="G33" i="3"/>
  <c r="J32" i="3"/>
  <c r="G32" i="3"/>
  <c r="G31" i="3"/>
  <c r="J30" i="3"/>
  <c r="G30" i="3"/>
  <c r="J29" i="3"/>
  <c r="G29" i="3"/>
  <c r="J28" i="3"/>
  <c r="G28" i="3"/>
  <c r="J27" i="3"/>
  <c r="G27" i="3"/>
  <c r="G26" i="3"/>
  <c r="G25" i="3"/>
  <c r="J24" i="3"/>
  <c r="G24" i="3"/>
  <c r="G23" i="3"/>
  <c r="J22" i="3"/>
  <c r="G22" i="3"/>
  <c r="J21" i="3"/>
  <c r="G21" i="3"/>
  <c r="J20" i="3"/>
  <c r="G20" i="3"/>
  <c r="J19" i="3"/>
  <c r="G19" i="3"/>
  <c r="G18" i="3"/>
  <c r="G17" i="3"/>
  <c r="G16" i="3"/>
  <c r="G15" i="3"/>
  <c r="G14" i="3"/>
  <c r="G13" i="3"/>
  <c r="G12" i="3"/>
  <c r="G11" i="3"/>
  <c r="G10" i="3"/>
  <c r="G9" i="3"/>
  <c r="U8" i="3"/>
  <c r="J33" i="3"/>
  <c r="D39" i="2"/>
  <c r="C39" i="2"/>
  <c r="I38" i="2"/>
  <c r="J38" i="2"/>
  <c r="I37" i="2"/>
  <c r="E31" i="1" s="1"/>
  <c r="I36" i="2"/>
  <c r="J36" i="2" s="1"/>
  <c r="F36" i="2"/>
  <c r="G36" i="2" s="1"/>
  <c r="I35" i="2"/>
  <c r="J35" i="2" s="1"/>
  <c r="F35" i="2"/>
  <c r="G35" i="2" s="1"/>
  <c r="I34" i="2"/>
  <c r="J34" i="2" s="1"/>
  <c r="F34" i="2"/>
  <c r="G34" i="2" s="1"/>
  <c r="I33" i="2"/>
  <c r="J33" i="2" s="1"/>
  <c r="F33" i="2"/>
  <c r="G33" i="2" s="1"/>
  <c r="I32" i="2"/>
  <c r="J32" i="2" s="1"/>
  <c r="F32" i="2"/>
  <c r="G32" i="2" s="1"/>
  <c r="I31" i="2"/>
  <c r="J31" i="2"/>
  <c r="F31" i="2"/>
  <c r="G31" i="2" s="1"/>
  <c r="I30" i="2"/>
  <c r="J30" i="2" s="1"/>
  <c r="F30" i="2"/>
  <c r="G30" i="2" s="1"/>
  <c r="I29" i="2"/>
  <c r="J29" i="2" s="1"/>
  <c r="F29" i="2"/>
  <c r="G29" i="2" s="1"/>
  <c r="I28" i="2"/>
  <c r="J28" i="2" s="1"/>
  <c r="F28" i="2"/>
  <c r="G28" i="2"/>
  <c r="I27" i="2"/>
  <c r="J27" i="2"/>
  <c r="F27" i="2"/>
  <c r="G27" i="2" s="1"/>
  <c r="I26" i="2"/>
  <c r="J26" i="2" s="1"/>
  <c r="F26" i="2"/>
  <c r="G26" i="2" s="1"/>
  <c r="I25" i="2"/>
  <c r="J25" i="2"/>
  <c r="F25" i="2"/>
  <c r="G25" i="2" s="1"/>
  <c r="I24" i="2"/>
  <c r="J24" i="2" s="1"/>
  <c r="F24" i="2"/>
  <c r="E18" i="1" s="1"/>
  <c r="I23" i="2"/>
  <c r="J23" i="2" s="1"/>
  <c r="F23" i="2"/>
  <c r="I22" i="2"/>
  <c r="J22" i="2" s="1"/>
  <c r="F22" i="2"/>
  <c r="E16" i="1" s="1"/>
  <c r="G22" i="2"/>
  <c r="I21" i="2"/>
  <c r="J21" i="2"/>
  <c r="F21" i="2"/>
  <c r="G21" i="2"/>
  <c r="I20" i="2"/>
  <c r="J20" i="2" s="1"/>
  <c r="F20" i="2"/>
  <c r="G20" i="2" s="1"/>
  <c r="I19" i="2"/>
  <c r="J19" i="2"/>
  <c r="F19" i="2"/>
  <c r="G19" i="2" s="1"/>
  <c r="I18" i="2"/>
  <c r="J18" i="2" s="1"/>
  <c r="F18" i="2"/>
  <c r="G18" i="2" s="1"/>
  <c r="I17" i="2"/>
  <c r="J17" i="2" s="1"/>
  <c r="F17" i="2"/>
  <c r="G17" i="2" s="1"/>
  <c r="I16" i="2"/>
  <c r="J16" i="2"/>
  <c r="F16" i="2"/>
  <c r="E10" i="1" s="1"/>
  <c r="I15" i="2"/>
  <c r="J15" i="2" s="1"/>
  <c r="F15" i="2"/>
  <c r="G15" i="2" s="1"/>
  <c r="I14" i="2"/>
  <c r="J14" i="2" s="1"/>
  <c r="F14" i="2"/>
  <c r="G14" i="2" s="1"/>
  <c r="I13" i="2"/>
  <c r="J13" i="2" s="1"/>
  <c r="F13" i="2"/>
  <c r="G13" i="2" s="1"/>
  <c r="I12" i="2"/>
  <c r="J12" i="2" s="1"/>
  <c r="F12" i="2"/>
  <c r="I11" i="2"/>
  <c r="J11" i="2" s="1"/>
  <c r="F11" i="2"/>
  <c r="G11" i="2" s="1"/>
  <c r="I10" i="2"/>
  <c r="J10" i="2" s="1"/>
  <c r="F10" i="2"/>
  <c r="G10" i="2" s="1"/>
  <c r="I9" i="2"/>
  <c r="J9" i="2"/>
  <c r="F9" i="2"/>
  <c r="G9" i="2"/>
  <c r="I8" i="2"/>
  <c r="F8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G12" i="4"/>
  <c r="J5" i="1" s="1"/>
  <c r="G20" i="4"/>
  <c r="J13" i="1" s="1"/>
  <c r="G13" i="4"/>
  <c r="J6" i="1" s="1"/>
  <c r="G21" i="4"/>
  <c r="J14" i="1" s="1"/>
  <c r="K25" i="5"/>
  <c r="L25" i="5" s="1"/>
  <c r="K10" i="5"/>
  <c r="L10" i="5" s="1"/>
  <c r="K18" i="5"/>
  <c r="L18" i="5" s="1"/>
  <c r="K26" i="5"/>
  <c r="L26" i="5" s="1"/>
  <c r="K24" i="5"/>
  <c r="L24" i="5" s="1"/>
  <c r="K15" i="5"/>
  <c r="L8" i="1" s="1"/>
  <c r="K38" i="5"/>
  <c r="L38" i="5" s="1"/>
  <c r="K9" i="5"/>
  <c r="L9" i="5" s="1"/>
  <c r="J7" i="1"/>
  <c r="G29" i="4"/>
  <c r="J22" i="1" s="1"/>
  <c r="E11" i="1"/>
  <c r="G16" i="2"/>
  <c r="E25" i="1"/>
  <c r="E8" i="1"/>
  <c r="E15" i="1"/>
  <c r="E29" i="1"/>
  <c r="G27" i="4"/>
  <c r="J20" i="1" s="1"/>
  <c r="J34" i="3"/>
  <c r="P8" i="3"/>
  <c r="J18" i="3"/>
  <c r="M8" i="3"/>
  <c r="J31" i="3"/>
  <c r="J39" i="3"/>
  <c r="J23" i="3"/>
  <c r="J26" i="3"/>
  <c r="J9" i="3"/>
  <c r="J10" i="3"/>
  <c r="J11" i="3"/>
  <c r="J12" i="3"/>
  <c r="J13" i="3"/>
  <c r="J14" i="3"/>
  <c r="J15" i="3"/>
  <c r="J16" i="3"/>
  <c r="J17" i="3"/>
  <c r="J25" i="3"/>
  <c r="M17" i="3"/>
  <c r="P17" i="3"/>
  <c r="M39" i="3"/>
  <c r="P39" i="3"/>
  <c r="M32" i="3"/>
  <c r="M24" i="3"/>
  <c r="M14" i="3"/>
  <c r="P14" i="3"/>
  <c r="M31" i="3"/>
  <c r="P31" i="3"/>
  <c r="M23" i="3"/>
  <c r="P23" i="3"/>
  <c r="Q23" i="3"/>
  <c r="M33" i="3"/>
  <c r="M15" i="3"/>
  <c r="M38" i="3"/>
  <c r="P38" i="3"/>
  <c r="Q38" i="3"/>
  <c r="R38" i="3" s="1"/>
  <c r="M30" i="3"/>
  <c r="M22" i="3"/>
  <c r="P22" i="3"/>
  <c r="Q22" i="3"/>
  <c r="R22" i="3" s="1"/>
  <c r="M10" i="3"/>
  <c r="M37" i="3"/>
  <c r="P37" i="3"/>
  <c r="M29" i="3"/>
  <c r="P29" i="3"/>
  <c r="Q29" i="3"/>
  <c r="R29" i="3" s="1"/>
  <c r="M21" i="3"/>
  <c r="M18" i="3"/>
  <c r="M11" i="3"/>
  <c r="P11" i="3"/>
  <c r="Q11" i="3"/>
  <c r="R11" i="3" s="1"/>
  <c r="M36" i="3"/>
  <c r="M28" i="3"/>
  <c r="P28" i="3"/>
  <c r="Q28" i="3"/>
  <c r="R28" i="3" s="1"/>
  <c r="M20" i="3"/>
  <c r="P20" i="3"/>
  <c r="M34" i="3"/>
  <c r="P34" i="3"/>
  <c r="Q34" i="3"/>
  <c r="R34" i="3" s="1"/>
  <c r="M26" i="3"/>
  <c r="M25" i="3"/>
  <c r="M13" i="3"/>
  <c r="P13" i="3"/>
  <c r="Q13" i="3"/>
  <c r="R13" i="3" s="1"/>
  <c r="M35" i="3"/>
  <c r="M27" i="3"/>
  <c r="P27" i="3"/>
  <c r="M19" i="3"/>
  <c r="P19" i="3"/>
  <c r="M16" i="3"/>
  <c r="P16" i="3"/>
  <c r="M12" i="3"/>
  <c r="P12" i="3"/>
  <c r="M9" i="3"/>
  <c r="P25" i="3"/>
  <c r="P10" i="3"/>
  <c r="P30" i="3"/>
  <c r="P21" i="3"/>
  <c r="P36" i="3"/>
  <c r="P33" i="3"/>
  <c r="P15" i="3"/>
  <c r="Q15" i="3"/>
  <c r="R15" i="3" s="1"/>
  <c r="P24" i="3"/>
  <c r="P35" i="3"/>
  <c r="P26" i="3"/>
  <c r="Q26" i="3"/>
  <c r="P18" i="3"/>
  <c r="P9" i="3"/>
  <c r="Q9" i="3"/>
  <c r="R9" i="3" s="1"/>
  <c r="P32" i="3"/>
  <c r="Q24" i="3"/>
  <c r="R24" i="3" s="1"/>
  <c r="Q32" i="3"/>
  <c r="R32" i="3" s="1"/>
  <c r="Q36" i="3"/>
  <c r="R36" i="3" s="1"/>
  <c r="Q17" i="3" l="1"/>
  <c r="H10" i="1" s="1"/>
  <c r="Q12" i="3"/>
  <c r="R12" i="3" s="1"/>
  <c r="Q10" i="3"/>
  <c r="R10" i="3" s="1"/>
  <c r="Q18" i="3"/>
  <c r="R18" i="3" s="1"/>
  <c r="Q33" i="3"/>
  <c r="R33" i="3" s="1"/>
  <c r="Q19" i="3"/>
  <c r="Q20" i="3"/>
  <c r="R20" i="3" s="1"/>
  <c r="Q21" i="3"/>
  <c r="R21" i="3" s="1"/>
  <c r="Q35" i="3"/>
  <c r="H28" i="1" s="1"/>
  <c r="J2" i="1"/>
  <c r="H9" i="4"/>
  <c r="K11" i="5"/>
  <c r="K14" i="5"/>
  <c r="L14" i="5" s="1"/>
  <c r="K22" i="5"/>
  <c r="K27" i="5"/>
  <c r="L27" i="5" s="1"/>
  <c r="K28" i="5"/>
  <c r="K30" i="5"/>
  <c r="L30" i="5" s="1"/>
  <c r="K31" i="5"/>
  <c r="K33" i="5"/>
  <c r="L33" i="5" s="1"/>
  <c r="K34" i="5"/>
  <c r="K35" i="5"/>
  <c r="L35" i="5" s="1"/>
  <c r="K36" i="5"/>
  <c r="D40" i="3"/>
  <c r="L11" i="5"/>
  <c r="L4" i="1"/>
  <c r="L2" i="1"/>
  <c r="K17" i="5"/>
  <c r="L10" i="1" s="1"/>
  <c r="K13" i="5"/>
  <c r="K32" i="5"/>
  <c r="L25" i="1" s="1"/>
  <c r="K19" i="5"/>
  <c r="L22" i="5"/>
  <c r="L15" i="1"/>
  <c r="L31" i="5"/>
  <c r="L24" i="1"/>
  <c r="L28" i="1"/>
  <c r="L31" i="1"/>
  <c r="L23" i="1"/>
  <c r="K20" i="5"/>
  <c r="L20" i="5" s="1"/>
  <c r="L11" i="1"/>
  <c r="K21" i="5"/>
  <c r="L14" i="1" s="1"/>
  <c r="K29" i="5"/>
  <c r="K37" i="5"/>
  <c r="L37" i="5" s="1"/>
  <c r="K16" i="5"/>
  <c r="L9" i="1" s="1"/>
  <c r="I12" i="1"/>
  <c r="H26" i="4"/>
  <c r="Q16" i="3"/>
  <c r="R16" i="3" s="1"/>
  <c r="Q27" i="3"/>
  <c r="H20" i="1" s="1"/>
  <c r="Q39" i="3"/>
  <c r="R39" i="3" s="1"/>
  <c r="H2" i="1"/>
  <c r="Q14" i="3"/>
  <c r="Q25" i="3"/>
  <c r="R25" i="3" s="1"/>
  <c r="Q30" i="3"/>
  <c r="R30" i="3" s="1"/>
  <c r="Q31" i="3"/>
  <c r="H19" i="1"/>
  <c r="J37" i="3"/>
  <c r="Q37" i="3" s="1"/>
  <c r="R14" i="3"/>
  <c r="H7" i="1"/>
  <c r="H5" i="1"/>
  <c r="R35" i="3"/>
  <c r="H16" i="1"/>
  <c r="H14" i="1"/>
  <c r="H26" i="1"/>
  <c r="H6" i="1"/>
  <c r="H29" i="1"/>
  <c r="H25" i="1"/>
  <c r="H21" i="1"/>
  <c r="H13" i="1"/>
  <c r="H8" i="1"/>
  <c r="I39" i="2"/>
  <c r="K38" i="2"/>
  <c r="L38" i="2" s="1"/>
  <c r="E6" i="1"/>
  <c r="E32" i="1"/>
  <c r="E17" i="1"/>
  <c r="K32" i="2"/>
  <c r="L32" i="2" s="1"/>
  <c r="M32" i="2" s="1"/>
  <c r="K35" i="2"/>
  <c r="L35" i="2" s="1"/>
  <c r="M35" i="2" s="1"/>
  <c r="E2" i="1"/>
  <c r="K28" i="2"/>
  <c r="L28" i="2" s="1"/>
  <c r="M28" i="2" s="1"/>
  <c r="G24" i="2"/>
  <c r="E23" i="1"/>
  <c r="G12" i="2"/>
  <c r="K12" i="2" s="1"/>
  <c r="L12" i="2" s="1"/>
  <c r="M12" i="2" s="1"/>
  <c r="E3" i="1"/>
  <c r="K22" i="2"/>
  <c r="L22" i="2" s="1"/>
  <c r="M22" i="2" s="1"/>
  <c r="G23" i="2"/>
  <c r="K23" i="2" s="1"/>
  <c r="L23" i="2" s="1"/>
  <c r="E13" i="1"/>
  <c r="K11" i="2"/>
  <c r="L11" i="2" s="1"/>
  <c r="M11" i="2" s="1"/>
  <c r="E21" i="1"/>
  <c r="E27" i="1"/>
  <c r="K9" i="2"/>
  <c r="L9" i="2" s="1"/>
  <c r="M9" i="2" s="1"/>
  <c r="K17" i="2"/>
  <c r="L17" i="2" s="1"/>
  <c r="M17" i="2" s="1"/>
  <c r="K16" i="2"/>
  <c r="L16" i="2" s="1"/>
  <c r="F10" i="1" s="1"/>
  <c r="G8" i="2"/>
  <c r="K26" i="2"/>
  <c r="L26" i="2" s="1"/>
  <c r="M26" i="2" s="1"/>
  <c r="K20" i="2"/>
  <c r="L20" i="2" s="1"/>
  <c r="M20" i="2" s="1"/>
  <c r="E19" i="1"/>
  <c r="F39" i="2"/>
  <c r="L21" i="5"/>
  <c r="L29" i="5"/>
  <c r="L22" i="1"/>
  <c r="L7" i="1"/>
  <c r="L19" i="1"/>
  <c r="K12" i="5"/>
  <c r="L12" i="5" s="1"/>
  <c r="K23" i="5"/>
  <c r="L23" i="5" s="1"/>
  <c r="K39" i="5"/>
  <c r="L32" i="1" s="1"/>
  <c r="L26" i="1"/>
  <c r="L18" i="1"/>
  <c r="L20" i="1"/>
  <c r="I41" i="5"/>
  <c r="L19" i="5"/>
  <c r="L12" i="1"/>
  <c r="L32" i="5"/>
  <c r="L17" i="5"/>
  <c r="L28" i="5"/>
  <c r="L21" i="1"/>
  <c r="L29" i="1"/>
  <c r="L36" i="5"/>
  <c r="L5" i="1"/>
  <c r="L34" i="5"/>
  <c r="L27" i="1"/>
  <c r="L6" i="1"/>
  <c r="L13" i="5"/>
  <c r="L17" i="1"/>
  <c r="J40" i="5"/>
  <c r="L15" i="5"/>
  <c r="L30" i="1"/>
  <c r="L3" i="1"/>
  <c r="K33" i="1"/>
  <c r="H34" i="4"/>
  <c r="H31" i="4"/>
  <c r="H39" i="4"/>
  <c r="H30" i="4"/>
  <c r="H38" i="4"/>
  <c r="H29" i="4"/>
  <c r="H35" i="4"/>
  <c r="H37" i="4"/>
  <c r="H28" i="4"/>
  <c r="H36" i="4"/>
  <c r="H27" i="4"/>
  <c r="H33" i="4"/>
  <c r="J15" i="1"/>
  <c r="H22" i="4"/>
  <c r="J3" i="1"/>
  <c r="H10" i="4"/>
  <c r="G24" i="4"/>
  <c r="H25" i="4"/>
  <c r="H17" i="4"/>
  <c r="G16" i="4"/>
  <c r="I15" i="1"/>
  <c r="I3" i="1"/>
  <c r="H23" i="4"/>
  <c r="H15" i="4"/>
  <c r="F40" i="4"/>
  <c r="G18" i="4"/>
  <c r="H21" i="4"/>
  <c r="H13" i="4"/>
  <c r="J4" i="1"/>
  <c r="H20" i="4"/>
  <c r="H12" i="4"/>
  <c r="H19" i="4"/>
  <c r="H12" i="1"/>
  <c r="R19" i="3"/>
  <c r="H32" i="1"/>
  <c r="H24" i="1"/>
  <c r="R31" i="3"/>
  <c r="R26" i="3"/>
  <c r="H17" i="1"/>
  <c r="R17" i="3"/>
  <c r="H31" i="1"/>
  <c r="H27" i="1"/>
  <c r="H23" i="1"/>
  <c r="H15" i="1"/>
  <c r="H11" i="1"/>
  <c r="H4" i="1"/>
  <c r="R23" i="3"/>
  <c r="R27" i="3"/>
  <c r="H22" i="1"/>
  <c r="H3" i="1"/>
  <c r="K34" i="2"/>
  <c r="L34" i="2" s="1"/>
  <c r="M34" i="2" s="1"/>
  <c r="E5" i="1"/>
  <c r="E12" i="1"/>
  <c r="E4" i="1"/>
  <c r="K14" i="2"/>
  <c r="L14" i="2" s="1"/>
  <c r="M14" i="2" s="1"/>
  <c r="K19" i="2"/>
  <c r="L19" i="2" s="1"/>
  <c r="M19" i="2" s="1"/>
  <c r="K21" i="2"/>
  <c r="L21" i="2" s="1"/>
  <c r="M21" i="2" s="1"/>
  <c r="K25" i="2"/>
  <c r="L25" i="2" s="1"/>
  <c r="F19" i="1" s="1"/>
  <c r="K27" i="2"/>
  <c r="L27" i="2" s="1"/>
  <c r="M27" i="2" s="1"/>
  <c r="K29" i="2"/>
  <c r="L29" i="2" s="1"/>
  <c r="J37" i="2"/>
  <c r="K37" i="2" s="1"/>
  <c r="L37" i="2" s="1"/>
  <c r="E7" i="1"/>
  <c r="J8" i="2"/>
  <c r="K10" i="2"/>
  <c r="L10" i="2" s="1"/>
  <c r="M10" i="2" s="1"/>
  <c r="K15" i="2"/>
  <c r="L15" i="2" s="1"/>
  <c r="M15" i="2" s="1"/>
  <c r="K30" i="2"/>
  <c r="L30" i="2" s="1"/>
  <c r="E14" i="1"/>
  <c r="K24" i="2"/>
  <c r="L24" i="2" s="1"/>
  <c r="F18" i="1" s="1"/>
  <c r="K33" i="2"/>
  <c r="L33" i="2" s="1"/>
  <c r="M33" i="2" s="1"/>
  <c r="E22" i="1"/>
  <c r="F22" i="1" s="1"/>
  <c r="K13" i="2"/>
  <c r="L13" i="2" s="1"/>
  <c r="M13" i="2" s="1"/>
  <c r="K18" i="2"/>
  <c r="L18" i="2" s="1"/>
  <c r="M18" i="2" s="1"/>
  <c r="K36" i="2"/>
  <c r="L36" i="2" s="1"/>
  <c r="E30" i="1"/>
  <c r="E20" i="1"/>
  <c r="K31" i="2"/>
  <c r="L31" i="2" s="1"/>
  <c r="M31" i="2" s="1"/>
  <c r="M29" i="2"/>
  <c r="M16" i="2"/>
  <c r="M38" i="2"/>
  <c r="F32" i="1"/>
  <c r="M30" i="2"/>
  <c r="E9" i="1"/>
  <c r="E26" i="1"/>
  <c r="F29" i="1"/>
  <c r="E28" i="1"/>
  <c r="E24" i="1"/>
  <c r="N33" i="1"/>
  <c r="D14" i="4"/>
  <c r="D14" i="5" s="1"/>
  <c r="C40" i="3"/>
  <c r="M33" i="1"/>
  <c r="D40" i="4"/>
  <c r="C10" i="4"/>
  <c r="C10" i="5" s="1"/>
  <c r="C40" i="5" s="1"/>
  <c r="D9" i="5"/>
  <c r="D40" i="5" s="1"/>
  <c r="F30" i="1" l="1"/>
  <c r="L16" i="5"/>
  <c r="L16" i="1"/>
  <c r="L13" i="1"/>
  <c r="L33" i="1"/>
  <c r="H18" i="1"/>
  <c r="H9" i="1"/>
  <c r="R37" i="3"/>
  <c r="R40" i="3" s="1"/>
  <c r="H30" i="1"/>
  <c r="F26" i="1"/>
  <c r="F11" i="1"/>
  <c r="F17" i="1"/>
  <c r="F9" i="1"/>
  <c r="M36" i="2"/>
  <c r="F23" i="1"/>
  <c r="F14" i="1"/>
  <c r="I41" i="2"/>
  <c r="F28" i="1"/>
  <c r="F13" i="1"/>
  <c r="F21" i="1"/>
  <c r="F16" i="1"/>
  <c r="F24" i="1"/>
  <c r="M25" i="2"/>
  <c r="F12" i="1"/>
  <c r="F3" i="1"/>
  <c r="F20" i="1"/>
  <c r="F25" i="1"/>
  <c r="F8" i="1"/>
  <c r="F27" i="1"/>
  <c r="F5" i="1"/>
  <c r="F6" i="1"/>
  <c r="M24" i="2"/>
  <c r="K8" i="2"/>
  <c r="L8" i="2" s="1"/>
  <c r="L39" i="2" s="1"/>
  <c r="L39" i="5"/>
  <c r="L40" i="5"/>
  <c r="J9" i="1"/>
  <c r="H16" i="4"/>
  <c r="J17" i="1"/>
  <c r="H24" i="4"/>
  <c r="J11" i="1"/>
  <c r="H18" i="4"/>
  <c r="I33" i="1"/>
  <c r="M37" i="2"/>
  <c r="F31" i="1"/>
  <c r="F4" i="1"/>
  <c r="F7" i="1"/>
  <c r="F15" i="1"/>
  <c r="M23" i="2"/>
  <c r="E33" i="1"/>
  <c r="C40" i="4"/>
  <c r="H33" i="1" l="1"/>
  <c r="H40" i="4"/>
  <c r="M8" i="2"/>
  <c r="M39" i="2" s="1"/>
  <c r="F2" i="1"/>
  <c r="F33" i="1" s="1"/>
</calcChain>
</file>

<file path=xl/sharedStrings.xml><?xml version="1.0" encoding="utf-8"?>
<sst xmlns="http://schemas.openxmlformats.org/spreadsheetml/2006/main" count="114" uniqueCount="60">
  <si>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</si>
  <si>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</si>
  <si>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</si>
  <si>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</si>
  <si>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</si>
  <si>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</si>
  <si>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</si>
  <si>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</si>
  <si>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</si>
  <si>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</si>
  <si>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</si>
  <si>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</si>
  <si>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</si>
  <si>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</si>
  <si>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</si>
  <si>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</si>
  <si>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</si>
  <si>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</si>
  <si>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</si>
  <si>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</si>
  <si>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</si>
  <si>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</si>
  <si>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</si>
  <si>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</si>
  <si>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</si>
  <si>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</si>
  <si>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</si>
  <si>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</si>
  <si>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</si>
  <si>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</si>
  <si>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</si>
  <si>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</si>
  <si>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</si>
  <si>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</si>
  <si>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</si>
  <si>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</si>
  <si>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</si>
  <si>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</si>
  <si>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</si>
  <si>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</si>
  <si>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</si>
  <si>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</si>
  <si>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</si>
  <si>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Closure</t>
  </si>
  <si>
    <t>Total kg</t>
  </si>
  <si>
    <t xml:space="preserve">Daily Fuel Consumption </t>
  </si>
  <si>
    <t>,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</si>
  <si>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</si>
  <si>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</si>
  <si>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</si>
  <si>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</si>
  <si>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</si>
  <si>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</si>
  <si>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</si>
  <si>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</si>
  <si>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</si>
  <si>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</si>
  <si>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</si>
  <si>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</si>
  <si>
    <t>TOTAL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</si>
</sst>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_(* #,##0_);_(* \(#,##0\);_(* &quot;-&quot;??_);_(@_)"/>
    <numFmt numFmtId="168" formatCode="[$$-409]#,##0.00"/>
    <numFmt numFmtId="169" formatCode="[$IDR]\ #,##0_);\([$IDR]\ #,##0\)"/>
    <numFmt numFmtId="170" formatCode="_(* #,##0.00_);_(* \(#,##0.00\);_(* &quot;-&quot;_);_(@_)"/>
    <numFmt numFmtId="171" formatCode="&quot;$&quot;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Arial"/>
      <family val="2"/>
    </font>
    <font>
      <sz val="9"/>
      <color theme="1"/>
      <name val="Arial"/>
    </font>
    <font>
      <b/>
      <sz val="9"/>
      <name val="Calibri"/>
      <family val="2"/>
      <scheme val="minor"/>
    </font>
    <font>
      <b/>
      <sz val="9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0" xfId="0" applyFill="1"/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0" fillId="2" borderId="1" xfId="0" applyFont="1" applyFill="1" applyBorder="1" applyAlignment="1">
      <alignment horizontal="center" vertical="center" shrinkToFit="1"/>
    </xf>
    <xf numFmtId="167" fontId="1" fillId="0" borderId="1" xfId="4" applyNumberFormat="1" applyFont="1" applyBorder="1"/>
    <xf numFmtId="166" fontId="11" fillId="0" borderId="1" xfId="1" applyFont="1" applyFill="1" applyBorder="1" applyAlignment="1">
      <alignment horizontal="center" shrinkToFit="1"/>
    </xf>
    <xf numFmtId="167" fontId="11" fillId="0" borderId="1" xfId="1" applyNumberFormat="1" applyFont="1" applyFill="1" applyBorder="1" applyAlignment="1">
      <alignment horizontal="center" shrinkToFit="1"/>
    </xf>
    <xf numFmtId="166" fontId="10" fillId="0" borderId="1" xfId="1" applyFont="1" applyFill="1" applyBorder="1" applyAlignment="1">
      <alignment horizontal="center" shrinkToFit="1"/>
    </xf>
    <xf numFmtId="166" fontId="10" fillId="0" borderId="1" xfId="0" applyNumberFormat="1" applyFont="1" applyBorder="1" applyAlignment="1">
      <alignment shrinkToFit="1"/>
    </xf>
    <xf numFmtId="168" fontId="0" fillId="0" borderId="1" xfId="0" applyNumberFormat="1" applyBorder="1"/>
    <xf numFmtId="168" fontId="0" fillId="0" borderId="3" xfId="0" applyNumberFormat="1" applyBorder="1"/>
    <xf numFmtId="164" fontId="9" fillId="0" borderId="0" xfId="2" applyFont="1" applyFill="1" applyBorder="1" applyAlignment="1">
      <alignment shrinkToFit="1"/>
    </xf>
    <xf numFmtId="0" fontId="0" fillId="0" borderId="0" xfId="0" applyAlignment="1">
      <alignment horizontal="center"/>
    </xf>
    <xf numFmtId="169" fontId="9" fillId="0" borderId="0" xfId="2" applyNumberFormat="1" applyFont="1" applyFill="1" applyBorder="1" applyAlignment="1">
      <alignment shrinkToFit="1"/>
    </xf>
    <xf numFmtId="168" fontId="12" fillId="0" borderId="0" xfId="2" applyNumberFormat="1" applyFont="1" applyFill="1" applyBorder="1" applyAlignment="1">
      <alignment shrinkToFit="1"/>
    </xf>
    <xf numFmtId="168" fontId="0" fillId="0" borderId="0" xfId="0" applyNumberFormat="1"/>
    <xf numFmtId="165" fontId="0" fillId="0" borderId="0" xfId="3" applyFont="1"/>
    <xf numFmtId="41" fontId="0" fillId="0" borderId="0" xfId="0" applyNumberFormat="1"/>
    <xf numFmtId="44" fontId="0" fillId="0" borderId="0" xfId="0" applyNumberFormat="1"/>
    <xf numFmtId="43" fontId="0" fillId="0" borderId="0" xfId="0" applyNumberFormat="1"/>
    <xf numFmtId="0" fontId="11" fillId="0" borderId="0" xfId="0" applyFont="1" applyAlignment="1">
      <alignment horizontal="center" shrinkToFit="1"/>
    </xf>
    <xf numFmtId="166" fontId="10" fillId="0" borderId="0" xfId="1" applyFont="1" applyFill="1" applyBorder="1" applyAlignment="1">
      <alignment horizontal="center" shrinkToFit="1"/>
    </xf>
    <xf numFmtId="167" fontId="10" fillId="0" borderId="0" xfId="1" applyNumberFormat="1" applyFont="1" applyFill="1" applyBorder="1" applyAlignment="1">
      <alignment horizontal="center" shrinkToFit="1"/>
    </xf>
    <xf numFmtId="166" fontId="10" fillId="0" borderId="0" xfId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shrinkToFit="1"/>
    </xf>
    <xf numFmtId="167" fontId="10" fillId="0" borderId="1" xfId="1" applyNumberFormat="1" applyFont="1" applyFill="1" applyBorder="1" applyAlignment="1">
      <alignment horizontal="center" shrinkToFit="1"/>
    </xf>
    <xf numFmtId="43" fontId="11" fillId="0" borderId="1" xfId="1" applyNumberFormat="1" applyFont="1" applyFill="1" applyBorder="1" applyAlignment="1">
      <alignment horizontal="center" shrinkToFit="1"/>
    </xf>
    <xf numFmtId="164" fontId="11" fillId="0" borderId="1" xfId="2" applyFont="1" applyFill="1" applyBorder="1" applyAlignment="1">
      <alignment horizontal="center" vertical="center" shrinkToFit="1"/>
    </xf>
    <xf numFmtId="44" fontId="11" fillId="0" borderId="1" xfId="1" applyNumberFormat="1" applyFont="1" applyFill="1" applyBorder="1" applyAlignment="1">
      <alignment horizontal="center" shrinkToFit="1"/>
    </xf>
    <xf numFmtId="164" fontId="9" fillId="0" borderId="0" xfId="2" applyFont="1" applyFill="1" applyBorder="1" applyAlignment="1">
      <alignment horizontal="center" shrinkToFit="1"/>
    </xf>
    <xf numFmtId="2" fontId="11" fillId="0" borderId="0" xfId="0" applyNumberFormat="1" applyFont="1" applyAlignment="1">
      <alignment horizontal="center" shrinkToFit="1"/>
    </xf>
    <xf numFmtId="166" fontId="11" fillId="0" borderId="0" xfId="1" applyFont="1" applyFill="1" applyBorder="1" applyAlignment="1">
      <alignment horizontal="center" shrinkToFit="1"/>
    </xf>
    <xf numFmtId="167" fontId="11" fillId="0" borderId="0" xfId="1" applyNumberFormat="1" applyFont="1" applyFill="1" applyBorder="1" applyAlignment="1">
      <alignment horizontal="center" shrinkToFit="1"/>
    </xf>
    <xf numFmtId="0" fontId="7" fillId="0" borderId="0" xfId="0" applyFont="1"/>
    <xf numFmtId="41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167" fontId="7" fillId="0" borderId="0" xfId="1" applyNumberFormat="1" applyFont="1" applyAlignment="1">
      <alignment vertical="center"/>
    </xf>
    <xf numFmtId="43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67" fontId="10" fillId="0" borderId="0" xfId="1" applyNumberFormat="1" applyFont="1" applyFill="1" applyBorder="1" applyAlignment="1">
      <alignment horizontal="center" vertical="center" shrinkToFit="1"/>
    </xf>
    <xf numFmtId="166" fontId="7" fillId="2" borderId="0" xfId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6" fontId="9" fillId="4" borderId="1" xfId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vertical="center" wrapText="1"/>
    </xf>
    <xf numFmtId="0" fontId="0" fillId="0" borderId="1" xfId="0" applyBorder="1"/>
    <xf numFmtId="0" fontId="13" fillId="0" borderId="1" xfId="0" applyFont="1" applyBorder="1"/>
    <xf numFmtId="166" fontId="13" fillId="0" borderId="1" xfId="1" applyFont="1" applyBorder="1"/>
    <xf numFmtId="0" fontId="14" fillId="0" borderId="1" xfId="0" applyFont="1" applyBorder="1"/>
    <xf numFmtId="171" fontId="9" fillId="0" borderId="0" xfId="2" applyNumberFormat="1" applyFont="1" applyFill="1" applyBorder="1" applyAlignment="1">
      <alignment shrinkToFit="1"/>
    </xf>
    <xf numFmtId="166" fontId="9" fillId="0" borderId="0" xfId="1" applyFont="1" applyFill="1" applyBorder="1" applyAlignment="1">
      <alignment shrinkToFit="1"/>
    </xf>
    <xf numFmtId="166" fontId="7" fillId="0" borderId="0" xfId="1" applyFont="1" applyAlignment="1">
      <alignment vertical="center"/>
    </xf>
    <xf numFmtId="166" fontId="0" fillId="0" borderId="0" xfId="1" applyFont="1" applyAlignment="1">
      <alignment horizontal="center" vertical="center"/>
    </xf>
    <xf numFmtId="171" fontId="0" fillId="0" borderId="1" xfId="0" applyNumberFormat="1" applyBorder="1"/>
    <xf numFmtId="167" fontId="9" fillId="0" borderId="0" xfId="1" applyNumberFormat="1" applyFont="1" applyAlignment="1">
      <alignment horizontal="center"/>
    </xf>
    <xf numFmtId="0" fontId="7" fillId="0" borderId="0" xfId="0" applyFont="1" applyAlignment="1">
      <alignment horizontal="left" vertical="center"/>
    </xf>
    <xf numFmtId="170" fontId="11" fillId="3" borderId="6" xfId="2" applyNumberFormat="1" applyFont="1" applyFill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shrinkToFit="1"/>
    </xf>
    <xf numFmtId="2" fontId="11" fillId="0" borderId="1" xfId="0" applyNumberFormat="1" applyFont="1" applyBorder="1" applyAlignment="1">
      <alignment horizontal="center" vertical="center" shrinkToFit="1"/>
    </xf>
    <xf numFmtId="1" fontId="0" fillId="0" borderId="0" xfId="0" applyNumberFormat="1"/>
    <xf numFmtId="7" fontId="11" fillId="0" borderId="1" xfId="1" applyNumberFormat="1" applyFont="1" applyFill="1" applyBorder="1" applyAlignment="1">
      <alignment horizontal="center" shrinkToFit="1"/>
    </xf>
    <xf numFmtId="171" fontId="8" fillId="0" borderId="0" xfId="2" applyNumberFormat="1" applyFont="1" applyFill="1" applyBorder="1" applyAlignment="1">
      <alignment shrinkToFit="1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41" fontId="15" fillId="0" borderId="0" xfId="0" applyNumberFormat="1" applyFont="1"/>
    <xf numFmtId="41" fontId="15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7" fontId="16" fillId="0" borderId="0" xfId="1" applyNumberFormat="1" applyFont="1" applyFill="1" applyBorder="1" applyAlignment="1">
      <alignment horizontal="center" shrinkToFit="1"/>
    </xf>
    <xf numFmtId="44" fontId="8" fillId="0" borderId="0" xfId="2" applyNumberFormat="1" applyFont="1" applyFill="1" applyBorder="1" applyAlignment="1">
      <alignment shrinkToFit="1"/>
    </xf>
    <xf numFmtId="0" fontId="0" fillId="0" borderId="0" xfId="1" applyNumberFormat="1" applyFont="1"/>
    <xf numFmtId="4" fontId="11" fillId="0" borderId="1" xfId="0" applyNumberFormat="1" applyFont="1" applyBorder="1" applyAlignment="1">
      <alignment horizontal="center" vertical="center" shrinkToFit="1"/>
    </xf>
    <xf numFmtId="43" fontId="10" fillId="0" borderId="1" xfId="1" applyNumberFormat="1" applyFont="1" applyFill="1" applyBorder="1" applyAlignment="1">
      <alignment horizontal="center" shrinkToFit="1"/>
    </xf>
    <xf numFmtId="1" fontId="18" fillId="2" borderId="7" xfId="0" applyNumberFormat="1" applyFont="1" applyFill="1" applyBorder="1" applyAlignment="1">
      <alignment horizontal="center" shrinkToFit="1"/>
    </xf>
    <xf numFmtId="1" fontId="18" fillId="2" borderId="8" xfId="0" applyNumberFormat="1" applyFont="1" applyFill="1" applyBorder="1" applyAlignment="1">
      <alignment horizontal="center" shrinkToFit="1"/>
    </xf>
    <xf numFmtId="1" fontId="18" fillId="3" borderId="7" xfId="0" applyNumberFormat="1" applyFont="1" applyFill="1" applyBorder="1" applyAlignment="1">
      <alignment horizontal="center" shrinkToFit="1"/>
    </xf>
    <xf numFmtId="1" fontId="18" fillId="3" borderId="8" xfId="0" applyNumberFormat="1" applyFont="1" applyFill="1" applyBorder="1" applyAlignment="1">
      <alignment horizontal="center" shrinkToFit="1"/>
    </xf>
    <xf numFmtId="167" fontId="17" fillId="0" borderId="1" xfId="4" applyNumberFormat="1" applyFont="1" applyBorder="1" applyAlignment="1">
      <alignment horizontal="center" vertical="center"/>
    </xf>
    <xf numFmtId="0" fontId="19" fillId="11" borderId="1" xfId="0" applyFont="1" applyFill="1" applyBorder="1"/>
    <xf numFmtId="0" fontId="19" fillId="11" borderId="5" xfId="0" applyFont="1" applyFill="1" applyBorder="1"/>
    <xf numFmtId="0" fontId="9" fillId="4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17" fontId="8" fillId="2" borderId="0" xfId="0" applyNumberFormat="1" applyFont="1" applyFill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7" fontId="8" fillId="2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166" fontId="9" fillId="4" borderId="1" xfId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</cellXfs>
  <cellStyles count="5">
    <cellStyle name="Comma" xfId="1" builtinId="3"/>
    <cellStyle name="Comma [0]" xfId="2" builtinId="6"/>
    <cellStyle name="Comma 4" xfId="4" xr:uid="{00000000-0005-0000-0000-000002000000}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7764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pane xSplit="1" ySplit="1" topLeftCell="B2" activePane="bottomRight" state="frozen"/>
      <selection pane="bottomRight" activeCell="J2" sqref="J2"/>
      <selection pane="bottomLeft" activeCell="A2" sqref="A2"/>
      <selection pane="topRight" activeCell="B1" sqref="B1"/>
    </sheetView>
  </sheetViews>
  <sheetFormatPr defaultRowHeight="15"/>
  <cols>
    <col min="1" max="1" width="12.7109375" bestFit="1" customWidth="1"/>
    <col min="2" max="2" width="4.28515625" bestFit="1" customWidth="1"/>
    <col min="3" max="3" width="7" bestFit="1" customWidth="1"/>
    <col min="4" max="4" width="5" bestFit="1" customWidth="1"/>
    <col min="5" max="5" width="10.7109375" customWidth="1"/>
    <col min="6" max="6" width="12.140625" customWidth="1"/>
    <col min="7" max="7" width="8.42578125" bestFit="1" customWidth="1"/>
    <col min="8" max="8" width="11.5703125" bestFit="1" customWidth="1"/>
    <col min="11" max="11" width="10.85546875" customWidth="1"/>
    <col min="12" max="12" width="11.28515625" customWidth="1"/>
    <col min="13" max="13" width="6.7109375" bestFit="1" customWidth="1"/>
    <col min="14" max="14" width="7" bestFit="1" customWidth="1"/>
  </cols>
  <sheetData>
    <row r="1" spans="1:14" ht="60.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>
      <c r="A2" s="6" t="s">
        <v>14</v>
      </c>
      <c r="B2" s="7">
        <v>1</v>
      </c>
      <c r="C2" s="8">
        <v>5</v>
      </c>
      <c r="D2" s="7">
        <v>2022</v>
      </c>
      <c r="E2" s="9">
        <f>Electricity!F8+Electricity!I8</f>
        <v>10460</v>
      </c>
      <c r="F2" s="10">
        <f>Electricity!L8/TOTAL!E2</f>
        <v>1239.2341300191206</v>
      </c>
      <c r="G2" s="9">
        <f>Gas!F9+Gas!I9+Gas!L9+Gas!O9</f>
        <v>47.93</v>
      </c>
      <c r="H2" s="10">
        <f>Gas!Q9/TOTAL!G2</f>
        <v>15840</v>
      </c>
      <c r="I2" s="9">
        <f>'Fuel Diesel'!F9</f>
        <v>0</v>
      </c>
      <c r="J2" s="11" t="e">
        <f>'Fuel Diesel'!G9/'Fuel Diesel'!F9</f>
        <v>#DIV/0!</v>
      </c>
      <c r="K2" s="9">
        <f>Water!E9+Water!G9+Water!I9</f>
        <v>256</v>
      </c>
      <c r="L2" s="10">
        <f>Water!K9/TOTAL!K2</f>
        <v>4000</v>
      </c>
      <c r="M2" s="9">
        <f>Electricity!C8</f>
        <v>54</v>
      </c>
      <c r="N2" s="9">
        <f>Electricity!D8</f>
        <v>231</v>
      </c>
    </row>
    <row r="3" spans="1:14">
      <c r="A3" s="6" t="s">
        <v>14</v>
      </c>
      <c r="B3" s="7">
        <f>B2+1</f>
        <v>2</v>
      </c>
      <c r="C3" s="8">
        <v>5</v>
      </c>
      <c r="D3" s="7">
        <v>2022</v>
      </c>
      <c r="E3" s="9">
        <f>Electricity!F9+Electricity!I9</f>
        <v>10840</v>
      </c>
      <c r="F3" s="10">
        <f>Electricity!L9/TOTAL!E3</f>
        <v>1242.0268450184503</v>
      </c>
      <c r="G3" s="9">
        <f>Gas!F10+Gas!I10+Gas!L10+Gas!O10</f>
        <v>62.34</v>
      </c>
      <c r="H3" s="10">
        <f>Gas!Q10/TOTAL!G3</f>
        <v>15839.999999999998</v>
      </c>
      <c r="I3" s="9">
        <f>'Fuel Diesel'!F10</f>
        <v>0</v>
      </c>
      <c r="J3" s="11" t="e">
        <f>'Fuel Diesel'!G10/'Fuel Diesel'!F10</f>
        <v>#DIV/0!</v>
      </c>
      <c r="K3" s="9">
        <f>Water!E10+Water!G10+Water!I10</f>
        <v>251</v>
      </c>
      <c r="L3" s="10">
        <f>Water!K10/TOTAL!K3</f>
        <v>4000</v>
      </c>
      <c r="M3" s="9">
        <f>Electricity!C9</f>
        <v>54</v>
      </c>
      <c r="N3" s="9">
        <f>Electricity!D9</f>
        <v>281</v>
      </c>
    </row>
    <row r="4" spans="1:14">
      <c r="A4" s="6" t="s">
        <v>14</v>
      </c>
      <c r="B4" s="7">
        <f t="shared" ref="B4:B30" si="0">B3+1</f>
        <v>3</v>
      </c>
      <c r="C4" s="8">
        <v>5</v>
      </c>
      <c r="D4" s="7">
        <v>2022</v>
      </c>
      <c r="E4" s="9">
        <f>Electricity!F10+Electricity!I10</f>
        <v>10660</v>
      </c>
      <c r="F4" s="10">
        <f>Electricity!L10/TOTAL!E4</f>
        <v>1238.4230300187619</v>
      </c>
      <c r="G4" s="9">
        <f>Gas!F11+Gas!I11+Gas!L11+Gas!O11</f>
        <v>49.2</v>
      </c>
      <c r="H4" s="10">
        <f>Gas!Q11/TOTAL!G4</f>
        <v>15839.999999999996</v>
      </c>
      <c r="I4" s="9">
        <f>'Fuel Diesel'!F11</f>
        <v>0</v>
      </c>
      <c r="J4" s="11" t="e">
        <f>'Fuel Diesel'!G11/'Fuel Diesel'!F11</f>
        <v>#DIV/0!</v>
      </c>
      <c r="K4" s="9">
        <f>Water!E11+Water!G11+Water!I11</f>
        <v>214</v>
      </c>
      <c r="L4" s="10">
        <f>Water!K11/TOTAL!K4</f>
        <v>4000</v>
      </c>
      <c r="M4" s="9">
        <f>Electricity!C10</f>
        <v>44</v>
      </c>
      <c r="N4" s="9">
        <f>Electricity!D10</f>
        <v>242</v>
      </c>
    </row>
    <row r="5" spans="1:14">
      <c r="A5" s="6" t="s">
        <v>14</v>
      </c>
      <c r="B5" s="7">
        <f t="shared" si="0"/>
        <v>4</v>
      </c>
      <c r="C5" s="8">
        <v>5</v>
      </c>
      <c r="D5" s="7">
        <v>2022</v>
      </c>
      <c r="E5" s="9">
        <f>Electricity!F11+Electricity!I11</f>
        <v>10640</v>
      </c>
      <c r="F5" s="10">
        <f>Electricity!L11/TOTAL!E5</f>
        <v>1238.6098214285716</v>
      </c>
      <c r="G5" s="9">
        <f>Gas!F12+Gas!I12+Gas!L12+Gas!O12</f>
        <v>49.75</v>
      </c>
      <c r="H5" s="10">
        <f>Gas!Q12/TOTAL!G5</f>
        <v>15839.999999999998</v>
      </c>
      <c r="I5" s="9">
        <f>'Fuel Diesel'!F12</f>
        <v>52</v>
      </c>
      <c r="J5" s="11">
        <f>'Fuel Diesel'!G12/'Fuel Diesel'!F12</f>
        <v>10700</v>
      </c>
      <c r="K5" s="9">
        <f>Water!E12+Water!G12+Water!I12</f>
        <v>202</v>
      </c>
      <c r="L5" s="10">
        <f>Water!K12/TOTAL!K5</f>
        <v>4000</v>
      </c>
      <c r="M5" s="9">
        <f>Electricity!C11</f>
        <v>55</v>
      </c>
      <c r="N5" s="9">
        <f>Electricity!D11</f>
        <v>219</v>
      </c>
    </row>
    <row r="6" spans="1:14">
      <c r="A6" s="6" t="s">
        <v>14</v>
      </c>
      <c r="B6" s="7">
        <f t="shared" si="0"/>
        <v>5</v>
      </c>
      <c r="C6" s="8">
        <v>5</v>
      </c>
      <c r="D6" s="7">
        <v>2022</v>
      </c>
      <c r="E6" s="9">
        <f>Electricity!F12+Electricity!I12</f>
        <v>10820</v>
      </c>
      <c r="F6" s="10">
        <f>Electricity!L12/TOTAL!E6</f>
        <v>1234.8481053604437</v>
      </c>
      <c r="G6" s="9">
        <f>Gas!F13+Gas!I13+Gas!L13+Gas!O13</f>
        <v>50.400000000000006</v>
      </c>
      <c r="H6" s="10">
        <f>Gas!Q13/TOTAL!G6</f>
        <v>15839.999999999998</v>
      </c>
      <c r="I6" s="9">
        <f>'Fuel Diesel'!F13</f>
        <v>7</v>
      </c>
      <c r="J6" s="11">
        <f>'Fuel Diesel'!G13/'Fuel Diesel'!F13</f>
        <v>10700</v>
      </c>
      <c r="K6" s="9">
        <f>Water!E13+Water!G13+Water!I13</f>
        <v>198</v>
      </c>
      <c r="L6" s="10">
        <f>Water!K13/TOTAL!K6</f>
        <v>4000</v>
      </c>
      <c r="M6" s="9">
        <f>Electricity!C12</f>
        <v>54</v>
      </c>
      <c r="N6" s="9">
        <f>Electricity!D12</f>
        <v>254</v>
      </c>
    </row>
    <row r="7" spans="1:14">
      <c r="A7" s="6" t="s">
        <v>14</v>
      </c>
      <c r="B7" s="7">
        <f t="shared" si="0"/>
        <v>6</v>
      </c>
      <c r="C7" s="8">
        <v>5</v>
      </c>
      <c r="D7" s="7">
        <v>2022</v>
      </c>
      <c r="E7" s="9">
        <f>Electricity!F13+Electricity!I13</f>
        <v>10620</v>
      </c>
      <c r="F7" s="10">
        <f>Electricity!L13/TOTAL!E7</f>
        <v>1237.7247645951038</v>
      </c>
      <c r="G7" s="9">
        <f>Gas!F14+Gas!I14+Gas!L14+Gas!O14</f>
        <v>51.28</v>
      </c>
      <c r="H7" s="10">
        <f>Gas!Q14/TOTAL!G7</f>
        <v>15840.000000000002</v>
      </c>
      <c r="I7" s="9">
        <f>'Fuel Diesel'!F14</f>
        <v>0</v>
      </c>
      <c r="J7" s="11" t="e">
        <f>'Fuel Diesel'!G14/'Fuel Diesel'!F14</f>
        <v>#DIV/0!</v>
      </c>
      <c r="K7" s="9">
        <f>Water!E14+Water!G14+Water!I14</f>
        <v>217</v>
      </c>
      <c r="L7" s="10">
        <f>Water!K14/TOTAL!K7</f>
        <v>4000</v>
      </c>
      <c r="M7" s="9">
        <f>Electricity!C13</f>
        <v>48</v>
      </c>
      <c r="N7" s="9">
        <f>Electricity!D13</f>
        <v>215</v>
      </c>
    </row>
    <row r="8" spans="1:14">
      <c r="A8" s="6" t="s">
        <v>14</v>
      </c>
      <c r="B8" s="7">
        <f t="shared" si="0"/>
        <v>7</v>
      </c>
      <c r="C8" s="8">
        <v>5</v>
      </c>
      <c r="D8" s="7">
        <v>2022</v>
      </c>
      <c r="E8" s="9">
        <f>Electricity!F14+Electricity!I14</f>
        <v>10960</v>
      </c>
      <c r="F8" s="10">
        <f>Electricity!L14/TOTAL!E8</f>
        <v>1238.8208029197083</v>
      </c>
      <c r="G8" s="9">
        <f>Gas!F15+Gas!I15+Gas!L15+Gas!O15</f>
        <v>49.68</v>
      </c>
      <c r="H8" s="10">
        <f>Gas!Q15/TOTAL!G8</f>
        <v>15840</v>
      </c>
      <c r="I8" s="9">
        <f>'Fuel Diesel'!F15</f>
        <v>0</v>
      </c>
      <c r="J8" s="11" t="e">
        <f>'Fuel Diesel'!G15/'Fuel Diesel'!F15</f>
        <v>#DIV/0!</v>
      </c>
      <c r="K8" s="9">
        <f>Water!E15+Water!G15+Water!I15</f>
        <v>246</v>
      </c>
      <c r="L8" s="10">
        <f>Water!K15/TOTAL!K8</f>
        <v>4000</v>
      </c>
      <c r="M8" s="9">
        <f>Electricity!C14</f>
        <v>33</v>
      </c>
      <c r="N8" s="9">
        <f>Electricity!D14</f>
        <v>209</v>
      </c>
    </row>
    <row r="9" spans="1:14">
      <c r="A9" s="6" t="s">
        <v>14</v>
      </c>
      <c r="B9" s="7">
        <f t="shared" si="0"/>
        <v>8</v>
      </c>
      <c r="C9" s="8">
        <v>5</v>
      </c>
      <c r="D9" s="7">
        <v>2022</v>
      </c>
      <c r="E9" s="9">
        <f>Electricity!F15+Electricity!I15</f>
        <v>10540</v>
      </c>
      <c r="F9" s="10">
        <f>Electricity!L15/TOTAL!E9</f>
        <v>1234.1509487666035</v>
      </c>
      <c r="G9" s="9">
        <f>Gas!F16+Gas!I16+Gas!L16+Gas!O16</f>
        <v>48.85</v>
      </c>
      <c r="H9" s="10">
        <f>Gas!Q16/TOTAL!G9</f>
        <v>15840</v>
      </c>
      <c r="I9" s="9">
        <f>'Fuel Diesel'!F16</f>
        <v>0</v>
      </c>
      <c r="J9" s="11" t="e">
        <f>'Fuel Diesel'!G16/'Fuel Diesel'!F16</f>
        <v>#DIV/0!</v>
      </c>
      <c r="K9" s="9">
        <f>Water!E16+Water!G16+Water!I16</f>
        <v>204</v>
      </c>
      <c r="L9" s="10">
        <f>Water!K16/TOTAL!K9</f>
        <v>4000</v>
      </c>
      <c r="M9" s="9">
        <f>Electricity!C15</f>
        <v>31</v>
      </c>
      <c r="N9" s="9">
        <f>Electricity!D15</f>
        <v>160</v>
      </c>
    </row>
    <row r="10" spans="1:14">
      <c r="A10" s="6" t="s">
        <v>14</v>
      </c>
      <c r="B10" s="7">
        <f t="shared" si="0"/>
        <v>9</v>
      </c>
      <c r="C10" s="8">
        <v>5</v>
      </c>
      <c r="D10" s="7">
        <v>2022</v>
      </c>
      <c r="E10" s="9">
        <f>Electricity!F16+Electricity!I16</f>
        <v>10620</v>
      </c>
      <c r="F10" s="10">
        <f>Electricity!L16/TOTAL!E10</f>
        <v>1237.7247645951038</v>
      </c>
      <c r="G10" s="9">
        <f>Gas!F17+Gas!I17+Gas!L17+Gas!O17</f>
        <v>50.81</v>
      </c>
      <c r="H10" s="10">
        <f>Gas!Q17/TOTAL!G10</f>
        <v>15840</v>
      </c>
      <c r="I10" s="9">
        <f>'Fuel Diesel'!F17</f>
        <v>0</v>
      </c>
      <c r="J10" s="11" t="e">
        <f>'Fuel Diesel'!G17/'Fuel Diesel'!F17</f>
        <v>#DIV/0!</v>
      </c>
      <c r="K10" s="9">
        <f>Water!E17+Water!G17+Water!I17</f>
        <v>205</v>
      </c>
      <c r="L10" s="10">
        <f>Water!K17/TOTAL!K10</f>
        <v>4000</v>
      </c>
      <c r="M10" s="9">
        <f>Electricity!C16</f>
        <v>26</v>
      </c>
      <c r="N10" s="9">
        <f>Electricity!D16</f>
        <v>164</v>
      </c>
    </row>
    <row r="11" spans="1:14">
      <c r="A11" s="6" t="s">
        <v>14</v>
      </c>
      <c r="B11" s="7">
        <f t="shared" si="0"/>
        <v>10</v>
      </c>
      <c r="C11" s="8">
        <v>5</v>
      </c>
      <c r="D11" s="7">
        <v>2022</v>
      </c>
      <c r="E11" s="9">
        <f>Electricity!F17+Electricity!I17</f>
        <v>10620</v>
      </c>
      <c r="F11" s="10">
        <f>Electricity!L17/TOTAL!E11</f>
        <v>1231.2894538606404</v>
      </c>
      <c r="G11" s="9">
        <f>Gas!F18+Gas!I18+Gas!L18+Gas!O18</f>
        <v>50.68</v>
      </c>
      <c r="H11" s="10">
        <f>Gas!Q18/TOTAL!G11</f>
        <v>15840</v>
      </c>
      <c r="I11" s="9">
        <f>'Fuel Diesel'!F18</f>
        <v>0</v>
      </c>
      <c r="J11" s="11" t="e">
        <f>'Fuel Diesel'!G18/'Fuel Diesel'!F18</f>
        <v>#DIV/0!</v>
      </c>
      <c r="K11" s="9">
        <f>Water!E18+Water!G18+Water!I18</f>
        <v>212</v>
      </c>
      <c r="L11" s="10">
        <f>Water!K18/TOTAL!K11</f>
        <v>4000</v>
      </c>
      <c r="M11" s="9">
        <f>Electricity!C17</f>
        <v>17</v>
      </c>
      <c r="N11" s="9">
        <f>Electricity!D17</f>
        <v>119</v>
      </c>
    </row>
    <row r="12" spans="1:14">
      <c r="A12" s="6" t="s">
        <v>14</v>
      </c>
      <c r="B12" s="7">
        <f t="shared" si="0"/>
        <v>11</v>
      </c>
      <c r="C12" s="8">
        <v>5</v>
      </c>
      <c r="D12" s="7">
        <v>2022</v>
      </c>
      <c r="E12" s="9">
        <f>Electricity!F18+Electricity!I18</f>
        <v>10220</v>
      </c>
      <c r="F12" s="10">
        <f>Electricity!L18/TOTAL!E12</f>
        <v>1224.8688356164384</v>
      </c>
      <c r="G12" s="9">
        <f>Gas!F19+Gas!I19+Gas!L19+Gas!O19</f>
        <v>67.13</v>
      </c>
      <c r="H12" s="10">
        <f>Gas!Q19/TOTAL!G12</f>
        <v>15840</v>
      </c>
      <c r="I12" s="9">
        <f>'Fuel Diesel'!F19</f>
        <v>0</v>
      </c>
      <c r="J12" s="11" t="e">
        <f>'Fuel Diesel'!G19/'Fuel Diesel'!F19</f>
        <v>#DIV/0!</v>
      </c>
      <c r="K12" s="9">
        <f>Water!E19+Water!G19+Water!I19</f>
        <v>227</v>
      </c>
      <c r="L12" s="10">
        <f>Water!K19/TOTAL!K12</f>
        <v>4000</v>
      </c>
      <c r="M12" s="9">
        <f>Electricity!C18</f>
        <v>16</v>
      </c>
      <c r="N12" s="9">
        <f>Electricity!D18</f>
        <v>87</v>
      </c>
    </row>
    <row r="13" spans="1:14">
      <c r="A13" s="6" t="s">
        <v>14</v>
      </c>
      <c r="B13" s="7">
        <f t="shared" si="0"/>
        <v>12</v>
      </c>
      <c r="C13" s="8">
        <v>5</v>
      </c>
      <c r="D13" s="7">
        <v>2022</v>
      </c>
      <c r="E13" s="9">
        <f>Electricity!F19+Electricity!I19</f>
        <v>9440</v>
      </c>
      <c r="F13" s="10">
        <f>Electricity!L19/TOTAL!E13</f>
        <v>1235.5796610169493</v>
      </c>
      <c r="G13" s="9">
        <f>Gas!F20+Gas!I20+Gas!L20+Gas!O20</f>
        <v>25.21</v>
      </c>
      <c r="H13" s="10">
        <f>Gas!Q20/TOTAL!G13</f>
        <v>15840</v>
      </c>
      <c r="I13" s="9">
        <f>'Fuel Diesel'!F20</f>
        <v>0</v>
      </c>
      <c r="J13" s="11" t="e">
        <f>'Fuel Diesel'!G20/'Fuel Diesel'!F20</f>
        <v>#DIV/0!</v>
      </c>
      <c r="K13" s="9">
        <f>Water!E20+Water!G20+Water!I20</f>
        <v>197</v>
      </c>
      <c r="L13" s="10">
        <f>Water!K20/TOTAL!K13</f>
        <v>4000</v>
      </c>
      <c r="M13" s="9">
        <f>Electricity!C19</f>
        <v>17</v>
      </c>
      <c r="N13" s="9">
        <f>Electricity!D19</f>
        <v>66</v>
      </c>
    </row>
    <row r="14" spans="1:14">
      <c r="A14" s="6" t="s">
        <v>14</v>
      </c>
      <c r="B14" s="7">
        <f t="shared" si="0"/>
        <v>13</v>
      </c>
      <c r="C14" s="8">
        <v>5</v>
      </c>
      <c r="D14" s="7">
        <v>2022</v>
      </c>
      <c r="E14" s="9">
        <f>Electricity!F20+Electricity!I20</f>
        <v>9880</v>
      </c>
      <c r="F14" s="10">
        <f>Electricity!L20/TOTAL!E14</f>
        <v>1235.8923076923079</v>
      </c>
      <c r="G14" s="9">
        <f>Gas!F21+Gas!I21+Gas!L21+Gas!O21</f>
        <v>37.909999999999997</v>
      </c>
      <c r="H14" s="10">
        <f>Gas!Q21/TOTAL!G14</f>
        <v>15840.000000000002</v>
      </c>
      <c r="I14" s="9">
        <f>'Fuel Diesel'!F21</f>
        <v>0</v>
      </c>
      <c r="J14" s="11" t="e">
        <f>'Fuel Diesel'!G21/'Fuel Diesel'!F21</f>
        <v>#DIV/0!</v>
      </c>
      <c r="K14" s="9">
        <f>Water!E21+Water!G21+Water!I21</f>
        <v>228</v>
      </c>
      <c r="L14" s="10">
        <f>Water!K21/TOTAL!K14</f>
        <v>4000</v>
      </c>
      <c r="M14" s="9">
        <f>Electricity!C20</f>
        <v>17</v>
      </c>
      <c r="N14" s="9">
        <f>Electricity!D20</f>
        <v>78</v>
      </c>
    </row>
    <row r="15" spans="1:14">
      <c r="A15" s="6" t="s">
        <v>14</v>
      </c>
      <c r="B15" s="7">
        <f t="shared" si="0"/>
        <v>14</v>
      </c>
      <c r="C15" s="8">
        <v>5</v>
      </c>
      <c r="D15" s="7">
        <v>2022</v>
      </c>
      <c r="E15" s="9">
        <f>Electricity!F21+Electricity!I21</f>
        <v>9540</v>
      </c>
      <c r="F15" s="10">
        <f>Electricity!L21/TOTAL!E15</f>
        <v>1235.7617924528304</v>
      </c>
      <c r="G15" s="9">
        <f>Gas!F22+Gas!I22+Gas!L22+Gas!O22</f>
        <v>47.400000000000006</v>
      </c>
      <c r="H15" s="10">
        <f>Gas!Q22/TOTAL!G15</f>
        <v>15839.999999999998</v>
      </c>
      <c r="I15" s="9">
        <f>'Fuel Diesel'!F22</f>
        <v>0</v>
      </c>
      <c r="J15" s="11" t="e">
        <f>'Fuel Diesel'!G22/'Fuel Diesel'!F22</f>
        <v>#DIV/0!</v>
      </c>
      <c r="K15" s="9">
        <f>Water!E22+Water!G22+Water!I22</f>
        <v>190</v>
      </c>
      <c r="L15" s="10">
        <f>Water!K22/TOTAL!K15</f>
        <v>4000</v>
      </c>
      <c r="M15" s="9">
        <f>Electricity!C21</f>
        <v>17</v>
      </c>
      <c r="N15" s="9">
        <f>Electricity!D21</f>
        <v>93</v>
      </c>
    </row>
    <row r="16" spans="1:14">
      <c r="A16" s="6" t="s">
        <v>14</v>
      </c>
      <c r="B16" s="7">
        <f t="shared" si="0"/>
        <v>15</v>
      </c>
      <c r="C16" s="8">
        <v>5</v>
      </c>
      <c r="D16" s="7">
        <v>2022</v>
      </c>
      <c r="E16" s="9">
        <f>Electricity!F22+Electricity!I22</f>
        <v>9440</v>
      </c>
      <c r="F16" s="10">
        <f>Electricity!L22/TOTAL!E16</f>
        <v>1237.992902542373</v>
      </c>
      <c r="G16" s="9">
        <f>Gas!F23+Gas!I23+Gas!L23+Gas!O23</f>
        <v>46.510000000000005</v>
      </c>
      <c r="H16" s="10">
        <f>Gas!Q23/TOTAL!G16</f>
        <v>15839.999999999998</v>
      </c>
      <c r="I16" s="9">
        <f>'Fuel Diesel'!F23</f>
        <v>0</v>
      </c>
      <c r="J16" s="11" t="e">
        <f>'Fuel Diesel'!G23/'Fuel Diesel'!F23</f>
        <v>#DIV/0!</v>
      </c>
      <c r="K16" s="9">
        <f>Water!E23+Water!G23+Water!I23</f>
        <v>192</v>
      </c>
      <c r="L16" s="10">
        <f>Water!K23/TOTAL!K16</f>
        <v>4000</v>
      </c>
      <c r="M16" s="9">
        <f>Electricity!C22</f>
        <v>26</v>
      </c>
      <c r="N16" s="9">
        <f>Electricity!D22</f>
        <v>112</v>
      </c>
    </row>
    <row r="17" spans="1:14">
      <c r="A17" s="6" t="s">
        <v>14</v>
      </c>
      <c r="B17" s="7">
        <f t="shared" si="0"/>
        <v>16</v>
      </c>
      <c r="C17" s="8">
        <v>5</v>
      </c>
      <c r="D17" s="7">
        <v>2022</v>
      </c>
      <c r="E17" s="9">
        <f>Electricity!F23+Electricity!I23</f>
        <v>9980</v>
      </c>
      <c r="F17" s="10">
        <f>Electricity!L23/TOTAL!E17</f>
        <v>1236.0632765531063</v>
      </c>
      <c r="G17" s="9">
        <f>Gas!F24+Gas!I24+Gas!L24+Gas!O24</f>
        <v>51.33</v>
      </c>
      <c r="H17" s="10">
        <f>Gas!Q24/TOTAL!G17</f>
        <v>15840.000000000002</v>
      </c>
      <c r="I17" s="9">
        <f>'Fuel Diesel'!F24</f>
        <v>0</v>
      </c>
      <c r="J17" s="11" t="e">
        <f>'Fuel Diesel'!G24/'Fuel Diesel'!F24</f>
        <v>#DIV/0!</v>
      </c>
      <c r="K17" s="9">
        <f>Water!E24+Water!G24+Water!I24</f>
        <v>219</v>
      </c>
      <c r="L17" s="10">
        <f>Water!K24/TOTAL!K17</f>
        <v>4000</v>
      </c>
      <c r="M17" s="9">
        <f>Electricity!C23</f>
        <v>21</v>
      </c>
      <c r="N17" s="9">
        <f>Electricity!D23</f>
        <v>112</v>
      </c>
    </row>
    <row r="18" spans="1:14">
      <c r="A18" s="6" t="s">
        <v>14</v>
      </c>
      <c r="B18" s="7">
        <f t="shared" si="0"/>
        <v>17</v>
      </c>
      <c r="C18" s="8">
        <v>5</v>
      </c>
      <c r="D18" s="7">
        <v>2022</v>
      </c>
      <c r="E18" s="9">
        <f>Electricity!F24+Electricity!I24</f>
        <v>9560</v>
      </c>
      <c r="F18" s="10">
        <f>Electricity!L24/TOTAL!E18</f>
        <v>1234.3679916317994</v>
      </c>
      <c r="G18" s="9">
        <f>Gas!F25+Gas!I25+Gas!L25+Gas!O25</f>
        <v>47.89</v>
      </c>
      <c r="H18" s="10">
        <f>Gas!Q25/TOTAL!G18</f>
        <v>15840</v>
      </c>
      <c r="I18" s="9">
        <f>'Fuel Diesel'!F25</f>
        <v>18</v>
      </c>
      <c r="J18" s="11">
        <f>'Fuel Diesel'!G25/'Fuel Diesel'!F25</f>
        <v>10700</v>
      </c>
      <c r="K18" s="9">
        <f>Water!E25+Water!G25+Water!I25</f>
        <v>209</v>
      </c>
      <c r="L18" s="10">
        <f>Water!K25/TOTAL!K18</f>
        <v>4000</v>
      </c>
      <c r="M18" s="9">
        <f>Electricity!C24</f>
        <v>22</v>
      </c>
      <c r="N18" s="9">
        <f>Electricity!D24</f>
        <v>119</v>
      </c>
    </row>
    <row r="19" spans="1:14">
      <c r="A19" s="6" t="s">
        <v>14</v>
      </c>
      <c r="B19" s="7">
        <f t="shared" si="0"/>
        <v>18</v>
      </c>
      <c r="C19" s="8">
        <v>5</v>
      </c>
      <c r="D19" s="7">
        <v>2022</v>
      </c>
      <c r="E19" s="9">
        <f>Electricity!F25+Electricity!I25</f>
        <v>9320</v>
      </c>
      <c r="F19" s="10">
        <f>Electricity!L25/TOTAL!E19</f>
        <v>1235.6003755364807</v>
      </c>
      <c r="G19" s="9">
        <f>Gas!F26+Gas!I26+Gas!L26+Gas!O26</f>
        <v>44.66</v>
      </c>
      <c r="H19" s="10">
        <f>Gas!Q26/TOTAL!G19</f>
        <v>15840.000000000002</v>
      </c>
      <c r="I19" s="9">
        <f>'Fuel Diesel'!F26</f>
        <v>0</v>
      </c>
      <c r="J19" s="11" t="e">
        <f>'Fuel Diesel'!G26/'Fuel Diesel'!F26</f>
        <v>#DIV/0!</v>
      </c>
      <c r="K19" s="9">
        <f>Water!E26+Water!G26+Water!I26</f>
        <v>161</v>
      </c>
      <c r="L19" s="10">
        <f>Water!K26/TOTAL!K19</f>
        <v>4000</v>
      </c>
      <c r="M19" s="9">
        <f>Electricity!C25</f>
        <v>19</v>
      </c>
      <c r="N19" s="9">
        <f>Electricity!D25</f>
        <v>125</v>
      </c>
    </row>
    <row r="20" spans="1:14">
      <c r="A20" s="6" t="s">
        <v>14</v>
      </c>
      <c r="B20" s="7">
        <f t="shared" si="0"/>
        <v>19</v>
      </c>
      <c r="C20" s="8">
        <v>5</v>
      </c>
      <c r="D20" s="7">
        <v>2022</v>
      </c>
      <c r="E20" s="9">
        <f>Electricity!F26+Electricity!I26</f>
        <v>9199.9999999998181</v>
      </c>
      <c r="F20" s="10">
        <f>Electricity!L26/TOTAL!E20</f>
        <v>1233.1454347826095</v>
      </c>
      <c r="G20" s="9">
        <f>Gas!F27+Gas!I27+Gas!L27+Gas!O27</f>
        <v>44.84</v>
      </c>
      <c r="H20" s="10">
        <f>Gas!Q27/TOTAL!G20</f>
        <v>15839.999999999998</v>
      </c>
      <c r="I20" s="9">
        <f>'Fuel Diesel'!F27</f>
        <v>0</v>
      </c>
      <c r="J20" s="11" t="e">
        <f>'Fuel Diesel'!G27/'Fuel Diesel'!F27</f>
        <v>#DIV/0!</v>
      </c>
      <c r="K20" s="9">
        <f>Water!E27+Water!G27+Water!I27</f>
        <v>195</v>
      </c>
      <c r="L20" s="10">
        <f>Water!K27/TOTAL!K20</f>
        <v>4000</v>
      </c>
      <c r="M20" s="9">
        <f>Electricity!C26</f>
        <v>18</v>
      </c>
      <c r="N20" s="9">
        <f>Electricity!D26</f>
        <v>82</v>
      </c>
    </row>
    <row r="21" spans="1:14">
      <c r="A21" s="6" t="s">
        <v>14</v>
      </c>
      <c r="B21" s="7">
        <f t="shared" si="0"/>
        <v>20</v>
      </c>
      <c r="C21" s="8">
        <v>5</v>
      </c>
      <c r="D21" s="7">
        <v>2022</v>
      </c>
      <c r="E21" s="9">
        <f>Electricity!F27+Electricity!I27</f>
        <v>9199.9999999999309</v>
      </c>
      <c r="F21" s="10">
        <f>Electricity!L27/TOTAL!E21</f>
        <v>1239.3359239130448</v>
      </c>
      <c r="G21" s="9">
        <f>Gas!F28+Gas!I28+Gas!L28+Gas!O28</f>
        <v>48.05</v>
      </c>
      <c r="H21" s="10">
        <f>Gas!Q28/TOTAL!G21</f>
        <v>15840.000000000002</v>
      </c>
      <c r="I21" s="9">
        <f>'Fuel Diesel'!F28</f>
        <v>0</v>
      </c>
      <c r="J21" s="11" t="e">
        <f>'Fuel Diesel'!G28/'Fuel Diesel'!F28</f>
        <v>#DIV/0!</v>
      </c>
      <c r="K21" s="9">
        <f>Water!E28+Water!G28+Water!I28</f>
        <v>139</v>
      </c>
      <c r="L21" s="10">
        <f>Water!K28/TOTAL!K21</f>
        <v>4000</v>
      </c>
      <c r="M21" s="9">
        <f>Electricity!C27</f>
        <v>22</v>
      </c>
      <c r="N21" s="9">
        <f>Electricity!D27</f>
        <v>121</v>
      </c>
    </row>
    <row r="22" spans="1:14">
      <c r="A22" s="6" t="s">
        <v>14</v>
      </c>
      <c r="B22" s="7">
        <f t="shared" si="0"/>
        <v>21</v>
      </c>
      <c r="C22" s="8">
        <v>5</v>
      </c>
      <c r="D22" s="7">
        <v>2022</v>
      </c>
      <c r="E22" s="9">
        <f>Electricity!F28+Electricity!I28</f>
        <v>9480.000000000131</v>
      </c>
      <c r="F22" s="10">
        <f>Electricity!L28/TOTAL!E22</f>
        <v>1235.1723628691987</v>
      </c>
      <c r="G22" s="9">
        <f>Gas!F29+Gas!I29+Gas!L29+Gas!O29</f>
        <v>46.8</v>
      </c>
      <c r="H22" s="10">
        <f>Gas!Q29/TOTAL!G22</f>
        <v>15840.000000000002</v>
      </c>
      <c r="I22" s="9">
        <f>'Fuel Diesel'!F29</f>
        <v>0</v>
      </c>
      <c r="J22" s="11" t="e">
        <f>'Fuel Diesel'!G29/'Fuel Diesel'!F29</f>
        <v>#DIV/0!</v>
      </c>
      <c r="K22" s="9">
        <f>Water!E29+Water!G29+Water!I29</f>
        <v>166</v>
      </c>
      <c r="L22" s="10">
        <f>Water!K29/TOTAL!K22</f>
        <v>4000</v>
      </c>
      <c r="M22" s="9">
        <f>Electricity!C28</f>
        <v>19</v>
      </c>
      <c r="N22" s="9">
        <f>Electricity!D28</f>
        <v>100</v>
      </c>
    </row>
    <row r="23" spans="1:14">
      <c r="A23" s="6" t="s">
        <v>14</v>
      </c>
      <c r="B23" s="7">
        <f t="shared" si="0"/>
        <v>22</v>
      </c>
      <c r="C23" s="8">
        <v>5</v>
      </c>
      <c r="D23" s="7">
        <v>2022</v>
      </c>
      <c r="E23" s="9">
        <f>Electricity!F29+Electricity!I29</f>
        <v>9060.0000000000582</v>
      </c>
      <c r="F23" s="10">
        <f>Electricity!L29/TOTAL!E23</f>
        <v>1242.1428256070626</v>
      </c>
      <c r="G23" s="9">
        <f>Gas!F30+Gas!I30+Gas!L30+Gas!O30</f>
        <v>46.36</v>
      </c>
      <c r="H23" s="10">
        <f>Gas!Q30/TOTAL!G23</f>
        <v>15840</v>
      </c>
      <c r="I23" s="9">
        <f>'Fuel Diesel'!F30</f>
        <v>0</v>
      </c>
      <c r="J23" s="11" t="e">
        <f>'Fuel Diesel'!G30/'Fuel Diesel'!F30</f>
        <v>#DIV/0!</v>
      </c>
      <c r="K23" s="9">
        <f>Water!E30+Water!G30+Water!I30</f>
        <v>238</v>
      </c>
      <c r="L23" s="10">
        <f>Water!K30/TOTAL!K23</f>
        <v>4000</v>
      </c>
      <c r="M23" s="9">
        <f>Electricity!C29</f>
        <v>25</v>
      </c>
      <c r="N23" s="9">
        <f>Electricity!D29</f>
        <v>107</v>
      </c>
    </row>
    <row r="24" spans="1:14">
      <c r="A24" s="6" t="s">
        <v>14</v>
      </c>
      <c r="B24" s="7">
        <f t="shared" si="0"/>
        <v>23</v>
      </c>
      <c r="C24" s="8">
        <v>5</v>
      </c>
      <c r="D24" s="7">
        <v>2022</v>
      </c>
      <c r="E24" s="9">
        <f>Electricity!F30+Electricity!I30</f>
        <v>9740.0000000000091</v>
      </c>
      <c r="F24" s="10">
        <f>Electricity!L30/TOTAL!E24</f>
        <v>1239.6232032854227</v>
      </c>
      <c r="G24" s="9">
        <f>Gas!F31+Gas!I31+Gas!L31+Gas!O31</f>
        <v>51.17</v>
      </c>
      <c r="H24" s="10">
        <f>Gas!Q31/TOTAL!G24</f>
        <v>15839.999999999998</v>
      </c>
      <c r="I24" s="9">
        <f>'Fuel Diesel'!F31</f>
        <v>15</v>
      </c>
      <c r="J24" s="11">
        <f>'Fuel Diesel'!G31/'Fuel Diesel'!F31</f>
        <v>10700</v>
      </c>
      <c r="K24" s="9">
        <f>Water!E31+Water!G31+Water!I31</f>
        <v>233</v>
      </c>
      <c r="L24" s="10">
        <f>Water!K31/TOTAL!K24</f>
        <v>4000</v>
      </c>
      <c r="M24" s="9">
        <f>Electricity!C30</f>
        <v>28</v>
      </c>
      <c r="N24" s="9">
        <f>Electricity!D30</f>
        <v>142</v>
      </c>
    </row>
    <row r="25" spans="1:14">
      <c r="A25" s="6" t="s">
        <v>14</v>
      </c>
      <c r="B25" s="7">
        <f t="shared" si="0"/>
        <v>24</v>
      </c>
      <c r="C25" s="8">
        <v>5</v>
      </c>
      <c r="D25" s="7">
        <v>2022</v>
      </c>
      <c r="E25" s="9">
        <f>Electricity!F31+Electricity!I31</f>
        <v>9759.9999999998763</v>
      </c>
      <c r="F25" s="10">
        <f>Electricity!L31/TOTAL!E25</f>
        <v>1237.0829918032771</v>
      </c>
      <c r="G25" s="9">
        <f>Gas!F32+Gas!I32+Gas!L32+Gas!O32</f>
        <v>48.400000000000006</v>
      </c>
      <c r="H25" s="10">
        <f>Gas!Q32/TOTAL!G25</f>
        <v>15839.999999999998</v>
      </c>
      <c r="I25" s="9">
        <f>'Fuel Diesel'!F32</f>
        <v>0</v>
      </c>
      <c r="J25" s="11" t="e">
        <f>'Fuel Diesel'!G32/'Fuel Diesel'!F32</f>
        <v>#DIV/0!</v>
      </c>
      <c r="K25" s="9">
        <f>Water!E32+Water!G32+Water!I32</f>
        <v>283</v>
      </c>
      <c r="L25" s="10">
        <f>Water!K32/TOTAL!K25</f>
        <v>4000</v>
      </c>
      <c r="M25" s="9">
        <f>Electricity!C31</f>
        <v>26</v>
      </c>
      <c r="N25" s="9">
        <f>Electricity!D31</f>
        <v>116</v>
      </c>
    </row>
    <row r="26" spans="1:14">
      <c r="A26" s="6" t="s">
        <v>14</v>
      </c>
      <c r="B26" s="7">
        <f>B25+1</f>
        <v>25</v>
      </c>
      <c r="C26" s="8">
        <v>5</v>
      </c>
      <c r="D26" s="7">
        <v>2022</v>
      </c>
      <c r="E26" s="9">
        <f>Electricity!F32+Electricity!I32</f>
        <v>9800.0000000002947</v>
      </c>
      <c r="F26" s="10">
        <f>Electricity!L32/TOTAL!E26</f>
        <v>1234.3582653061189</v>
      </c>
      <c r="G26" s="9">
        <f>Gas!F33+Gas!I33+Gas!L33+Gas!O33</f>
        <v>50.33</v>
      </c>
      <c r="H26" s="10">
        <f>Gas!Q33/TOTAL!G26</f>
        <v>15840.000000000002</v>
      </c>
      <c r="I26" s="9">
        <f>'Fuel Diesel'!F33</f>
        <v>0</v>
      </c>
      <c r="J26" s="11" t="e">
        <f>'Fuel Diesel'!G33/'Fuel Diesel'!F33</f>
        <v>#DIV/0!</v>
      </c>
      <c r="K26" s="9">
        <f>Water!E33+Water!G33+Water!I33</f>
        <v>186</v>
      </c>
      <c r="L26" s="10">
        <f>Water!K33/TOTAL!K26</f>
        <v>4000</v>
      </c>
      <c r="M26" s="9">
        <f>Electricity!C32</f>
        <v>24</v>
      </c>
      <c r="N26" s="9">
        <f>Electricity!D32</f>
        <v>138</v>
      </c>
    </row>
    <row r="27" spans="1:14">
      <c r="A27" s="6" t="s">
        <v>14</v>
      </c>
      <c r="B27" s="7">
        <f t="shared" si="0"/>
        <v>26</v>
      </c>
      <c r="C27" s="8">
        <v>5</v>
      </c>
      <c r="D27" s="7">
        <v>2022</v>
      </c>
      <c r="E27" s="9">
        <f>Electricity!F33+Electricity!I33</f>
        <v>9080.00000000004</v>
      </c>
      <c r="F27" s="10">
        <f>Electricity!L33/TOTAL!E27</f>
        <v>1234.3889867841467</v>
      </c>
      <c r="G27" s="9">
        <f>Gas!F34+Gas!I34+Gas!L34+Gas!O34</f>
        <v>48.1</v>
      </c>
      <c r="H27" s="10">
        <f>Gas!Q34/TOTAL!G27</f>
        <v>15840</v>
      </c>
      <c r="I27" s="9">
        <f>'Fuel Diesel'!F34</f>
        <v>0</v>
      </c>
      <c r="J27" s="11" t="e">
        <f>'Fuel Diesel'!G34/'Fuel Diesel'!F34</f>
        <v>#DIV/0!</v>
      </c>
      <c r="K27" s="9">
        <f>Water!E34+Water!G34+Water!I34</f>
        <v>185</v>
      </c>
      <c r="L27" s="10">
        <f>Water!K34/TOTAL!K27</f>
        <v>4000</v>
      </c>
      <c r="M27" s="9">
        <f>Electricity!C33</f>
        <v>29</v>
      </c>
      <c r="N27" s="9">
        <f>Electricity!D33</f>
        <v>115</v>
      </c>
    </row>
    <row r="28" spans="1:14">
      <c r="A28" s="6" t="s">
        <v>14</v>
      </c>
      <c r="B28" s="7">
        <f t="shared" si="0"/>
        <v>27</v>
      </c>
      <c r="C28" s="8">
        <v>5</v>
      </c>
      <c r="D28" s="7">
        <v>2022</v>
      </c>
      <c r="E28" s="9">
        <f>Electricity!F34+Electricity!I34</f>
        <v>9499.999999999658</v>
      </c>
      <c r="F28" s="10">
        <f>Electricity!L34/TOTAL!E28</f>
        <v>1238.5670000000021</v>
      </c>
      <c r="G28" s="9">
        <f>Gas!F35+Gas!I35+Gas!L35+Gas!O35</f>
        <v>48.519999999999996</v>
      </c>
      <c r="H28" s="10">
        <f>Gas!Q35/TOTAL!G28</f>
        <v>15840</v>
      </c>
      <c r="I28" s="9">
        <f>'Fuel Diesel'!F35</f>
        <v>0</v>
      </c>
      <c r="J28" s="11" t="e">
        <f>'Fuel Diesel'!G35/'Fuel Diesel'!F35</f>
        <v>#DIV/0!</v>
      </c>
      <c r="K28" s="9">
        <f>Water!E35+Water!G35+Water!I35</f>
        <v>172</v>
      </c>
      <c r="L28" s="10">
        <f>Water!K35/TOTAL!K28</f>
        <v>4000</v>
      </c>
      <c r="M28" s="9">
        <f>Electricity!C34</f>
        <v>26</v>
      </c>
      <c r="N28" s="9">
        <f>Electricity!D34</f>
        <v>117</v>
      </c>
    </row>
    <row r="29" spans="1:14">
      <c r="A29" s="6" t="s">
        <v>14</v>
      </c>
      <c r="B29" s="7">
        <f t="shared" si="0"/>
        <v>28</v>
      </c>
      <c r="C29" s="8">
        <v>5</v>
      </c>
      <c r="D29" s="7">
        <v>2022</v>
      </c>
      <c r="E29" s="9">
        <f>Electricity!F35+Electricity!I35</f>
        <v>9580.00000000004</v>
      </c>
      <c r="F29" s="10">
        <f>Electricity!L35/TOTAL!E29</f>
        <v>1240.1139352818329</v>
      </c>
      <c r="G29" s="9">
        <f>Gas!F36+Gas!I36+Gas!L36+Gas!O36</f>
        <v>47.870000000000005</v>
      </c>
      <c r="H29" s="10">
        <f>Gas!Q36/TOTAL!G29</f>
        <v>15839.999999999996</v>
      </c>
      <c r="I29" s="9">
        <f>'Fuel Diesel'!F36</f>
        <v>0</v>
      </c>
      <c r="J29" s="11" t="e">
        <f>'Fuel Diesel'!G36/'Fuel Diesel'!F36</f>
        <v>#DIV/0!</v>
      </c>
      <c r="K29" s="9">
        <f>Water!E36+Water!G36+Water!I36</f>
        <v>182</v>
      </c>
      <c r="L29" s="10">
        <f>Water!K36/TOTAL!K29</f>
        <v>4000</v>
      </c>
      <c r="M29" s="9">
        <f>Electricity!C35</f>
        <v>33</v>
      </c>
      <c r="N29" s="9">
        <f>Electricity!D35</f>
        <v>147</v>
      </c>
    </row>
    <row r="30" spans="1:14">
      <c r="A30" s="6" t="s">
        <v>14</v>
      </c>
      <c r="B30" s="7">
        <f t="shared" si="0"/>
        <v>29</v>
      </c>
      <c r="C30" s="8">
        <v>5</v>
      </c>
      <c r="D30" s="7">
        <v>2022</v>
      </c>
      <c r="E30" s="9">
        <f>Electricity!F36+Electricity!I36</f>
        <v>9620.0000000001182</v>
      </c>
      <c r="F30" s="10">
        <f>Electricity!L36/TOTAL!E30</f>
        <v>1237.3256237006274</v>
      </c>
      <c r="G30" s="9">
        <f>Gas!F37+Gas!I37+Gas!L37+Gas!O37</f>
        <v>46.81</v>
      </c>
      <c r="H30" s="10">
        <f>Gas!Q37/TOTAL!G30</f>
        <v>15840</v>
      </c>
      <c r="I30" s="9">
        <f>'Fuel Diesel'!F37</f>
        <v>0</v>
      </c>
      <c r="J30" s="11" t="e">
        <f>'Fuel Diesel'!G37/'Fuel Diesel'!F37</f>
        <v>#DIV/0!</v>
      </c>
      <c r="K30" s="9">
        <f>Water!E37+Water!G37+Water!I37</f>
        <v>158</v>
      </c>
      <c r="L30" s="10">
        <f>Water!K37/TOTAL!K30</f>
        <v>4000</v>
      </c>
      <c r="M30" s="9">
        <f>Electricity!C36</f>
        <v>22</v>
      </c>
      <c r="N30" s="9">
        <f>Electricity!D36</f>
        <v>150</v>
      </c>
    </row>
    <row r="31" spans="1:14">
      <c r="A31" s="6" t="s">
        <v>14</v>
      </c>
      <c r="B31" s="7">
        <v>30</v>
      </c>
      <c r="C31" s="8">
        <v>5</v>
      </c>
      <c r="D31" s="7">
        <v>2022</v>
      </c>
      <c r="E31" s="9">
        <f>Electricity!F37+Electricity!I37</f>
        <v>9500.0000000001128</v>
      </c>
      <c r="F31" s="10">
        <f>Electricity!L37/TOTAL!E31</f>
        <v>1236.1689999999992</v>
      </c>
      <c r="G31" s="9">
        <f>Gas!F38+Gas!I38+Gas!L38+Gas!O38</f>
        <v>37.74</v>
      </c>
      <c r="H31" s="10">
        <f>Gas!Q38/TOTAL!G31</f>
        <v>15839.999999999998</v>
      </c>
      <c r="I31" s="9">
        <f>'Fuel Diesel'!F38</f>
        <v>0</v>
      </c>
      <c r="J31" s="11" t="e">
        <f>'Fuel Diesel'!G38/'Fuel Diesel'!F38</f>
        <v>#DIV/0!</v>
      </c>
      <c r="K31" s="9">
        <f>Water!E38+Water!G38+Water!I38</f>
        <v>187</v>
      </c>
      <c r="L31" s="10">
        <f>Water!K38/TOTAL!K31</f>
        <v>4000</v>
      </c>
      <c r="M31" s="9">
        <f>Electricity!C37</f>
        <v>17</v>
      </c>
      <c r="N31" s="9">
        <f>Electricity!D37</f>
        <v>103</v>
      </c>
    </row>
    <row r="32" spans="1:14">
      <c r="A32" s="6" t="s">
        <v>14</v>
      </c>
      <c r="B32" s="7">
        <v>31</v>
      </c>
      <c r="C32" s="8">
        <v>5</v>
      </c>
      <c r="D32" s="7">
        <v>2022</v>
      </c>
      <c r="E32" s="9">
        <f>Electricity!F38+Electricity!I38</f>
        <v>9520.0000000000946</v>
      </c>
      <c r="F32" s="10">
        <f>Electricity!L38/TOTAL!E32</f>
        <v>1235.9649684873943</v>
      </c>
      <c r="G32" s="9">
        <f>Gas!F39+Gas!I39+Gas!L39+Gas!O39</f>
        <v>51.43</v>
      </c>
      <c r="H32" s="10">
        <f>Gas!Q39/TOTAL!G32</f>
        <v>15840</v>
      </c>
      <c r="I32" s="9">
        <f>'Fuel Diesel'!F39</f>
        <v>21</v>
      </c>
      <c r="J32" s="11">
        <f>'Fuel Diesel'!G39/'Fuel Diesel'!F39</f>
        <v>10700</v>
      </c>
      <c r="K32" s="9">
        <f>Water!E39+Water!G39+Water!I39</f>
        <v>177</v>
      </c>
      <c r="L32" s="10">
        <f>Water!K39/TOTAL!K32</f>
        <v>4000</v>
      </c>
      <c r="M32" s="9">
        <f>Electricity!C38</f>
        <v>15</v>
      </c>
      <c r="N32" s="9">
        <f>Electricity!D38</f>
        <v>70</v>
      </c>
    </row>
    <row r="33" spans="5:14">
      <c r="E33" s="83">
        <f>SUM(E2:E32)</f>
        <v>307200.00000000023</v>
      </c>
      <c r="F33" s="83">
        <f>SUM(F2:F32)/31</f>
        <v>1236.5280752079204</v>
      </c>
      <c r="G33" s="83">
        <f>SUM(G2:G32)</f>
        <v>1495.3799999999997</v>
      </c>
      <c r="H33" s="93">
        <f>SUM(H2:H32)/31</f>
        <v>15840</v>
      </c>
      <c r="I33" s="83">
        <f>SUM(I2:I32)</f>
        <v>113</v>
      </c>
      <c r="J33" s="93" t="e">
        <f>J26</f>
        <v>#DIV/0!</v>
      </c>
      <c r="K33" s="83">
        <f>SUM(K2:K32)</f>
        <v>6329</v>
      </c>
      <c r="L33" s="93">
        <f>SUM(L2:L32)/31</f>
        <v>4000</v>
      </c>
      <c r="M33" s="83">
        <f t="shared" ref="M33:N33" si="1">SUM(M2:M32)</f>
        <v>875</v>
      </c>
      <c r="N33" s="83">
        <f t="shared" si="1"/>
        <v>4394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2"/>
  <sheetViews>
    <sheetView workbookViewId="0">
      <selection activeCell="U40" sqref="U40"/>
    </sheetView>
  </sheetViews>
  <sheetFormatPr defaultRowHeight="15"/>
  <cols>
    <col min="1" max="1" width="2.5703125" customWidth="1"/>
    <col min="2" max="2" width="5.85546875" customWidth="1"/>
    <col min="3" max="3" width="6.5703125" customWidth="1"/>
    <col min="4" max="4" width="7.5703125" style="19" customWidth="1"/>
    <col min="5" max="5" width="9.42578125" style="31" customWidth="1"/>
    <col min="6" max="6" width="11.28515625" style="31" customWidth="1"/>
    <col min="7" max="7" width="16.5703125" style="31" customWidth="1"/>
    <col min="8" max="8" width="10.28515625" style="31" customWidth="1"/>
    <col min="9" max="9" width="11.140625" style="31" customWidth="1"/>
    <col min="10" max="10" width="16.7109375" style="31" customWidth="1"/>
    <col min="11" max="11" width="16.28515625" style="31" customWidth="1"/>
    <col min="12" max="12" width="18" customWidth="1"/>
    <col min="13" max="13" width="16.7109375" customWidth="1"/>
    <col min="14" max="14" width="2.5703125" customWidth="1"/>
    <col min="16" max="16" width="16.7109375" customWidth="1"/>
  </cols>
  <sheetData>
    <row r="1" spans="1:14" ht="15.75">
      <c r="B1" s="104" t="s">
        <v>15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2"/>
      <c r="N1" s="12"/>
    </row>
    <row r="2" spans="1:14" ht="15.75">
      <c r="B2" s="104" t="s">
        <v>16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2"/>
      <c r="N2" s="12"/>
    </row>
    <row r="3" spans="1:14">
      <c r="B3" s="13"/>
      <c r="C3" s="14"/>
      <c r="D3" s="15"/>
      <c r="E3" s="14"/>
      <c r="F3" s="14"/>
      <c r="G3" s="14"/>
      <c r="H3" s="14"/>
      <c r="I3" s="14"/>
      <c r="J3" s="14"/>
      <c r="K3" s="14"/>
      <c r="L3" s="14"/>
      <c r="M3" s="12"/>
      <c r="N3" s="12"/>
    </row>
    <row r="4" spans="1:14">
      <c r="A4" s="16"/>
      <c r="B4" s="105">
        <v>44682</v>
      </c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6"/>
    </row>
    <row r="5" spans="1:14">
      <c r="A5" s="17"/>
      <c r="B5" s="103" t="s">
        <v>17</v>
      </c>
      <c r="C5" s="103" t="s">
        <v>18</v>
      </c>
      <c r="D5" s="103" t="s">
        <v>13</v>
      </c>
      <c r="E5" s="106" t="s">
        <v>19</v>
      </c>
      <c r="F5" s="106"/>
      <c r="G5" s="106"/>
      <c r="H5" s="107" t="s">
        <v>20</v>
      </c>
      <c r="I5" s="107"/>
      <c r="J5" s="107"/>
      <c r="K5" s="103" t="s">
        <v>21</v>
      </c>
      <c r="L5" s="103" t="s">
        <v>22</v>
      </c>
      <c r="M5" s="103" t="s">
        <v>23</v>
      </c>
      <c r="N5" s="18"/>
    </row>
    <row r="6" spans="1:14" s="19" customFormat="1">
      <c r="A6" s="17"/>
      <c r="B6" s="103"/>
      <c r="C6" s="103"/>
      <c r="D6" s="103"/>
      <c r="E6" s="103" t="s">
        <v>24</v>
      </c>
      <c r="F6" s="103" t="s">
        <v>25</v>
      </c>
      <c r="G6" s="103" t="s">
        <v>26</v>
      </c>
      <c r="H6" s="103" t="s">
        <v>24</v>
      </c>
      <c r="I6" s="103" t="s">
        <v>25</v>
      </c>
      <c r="J6" s="103" t="s">
        <v>27</v>
      </c>
      <c r="K6" s="103"/>
      <c r="L6" s="103"/>
      <c r="M6" s="103"/>
      <c r="N6" s="18"/>
    </row>
    <row r="7" spans="1:14">
      <c r="A7" s="20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21"/>
    </row>
    <row r="8" spans="1:14">
      <c r="A8" s="20"/>
      <c r="B8" s="22">
        <v>1</v>
      </c>
      <c r="C8" s="96">
        <v>54</v>
      </c>
      <c r="D8" s="100">
        <v>231</v>
      </c>
      <c r="E8" s="24">
        <v>4.3099999999999996</v>
      </c>
      <c r="F8" s="25">
        <f t="shared" ref="F8:F38" si="0">E8*2000</f>
        <v>8620</v>
      </c>
      <c r="G8" s="26">
        <f t="shared" ref="G8:G38" si="1">F8*1035.5</f>
        <v>8926010</v>
      </c>
      <c r="H8" s="24">
        <v>0.92</v>
      </c>
      <c r="I8" s="25">
        <f t="shared" ref="I8:I38" si="2">H8*2000</f>
        <v>1840</v>
      </c>
      <c r="J8" s="26">
        <f t="shared" ref="J8:J38" si="3">I8*1553.25</f>
        <v>2857980</v>
      </c>
      <c r="K8" s="24">
        <f t="shared" ref="K8:K38" si="4">G8+J8</f>
        <v>11783990</v>
      </c>
      <c r="L8" s="27">
        <f t="shared" ref="L8:L38" si="5">K8*1.1</f>
        <v>12962389.000000002</v>
      </c>
      <c r="M8" s="28">
        <f>L8/14381</f>
        <v>901.35519087685157</v>
      </c>
      <c r="N8" s="29"/>
    </row>
    <row r="9" spans="1:14">
      <c r="A9" s="20"/>
      <c r="B9" s="22">
        <v>2</v>
      </c>
      <c r="C9" s="97">
        <v>54</v>
      </c>
      <c r="D9" s="100">
        <v>281</v>
      </c>
      <c r="E9" s="24">
        <v>4.4400000000000004</v>
      </c>
      <c r="F9" s="25">
        <f t="shared" si="0"/>
        <v>8880</v>
      </c>
      <c r="G9" s="26">
        <f t="shared" si="1"/>
        <v>9195240</v>
      </c>
      <c r="H9" s="24">
        <v>0.98</v>
      </c>
      <c r="I9" s="25">
        <f t="shared" si="2"/>
        <v>1960</v>
      </c>
      <c r="J9" s="26">
        <f t="shared" si="3"/>
        <v>3044370</v>
      </c>
      <c r="K9" s="24">
        <f t="shared" si="4"/>
        <v>12239610</v>
      </c>
      <c r="L9" s="27">
        <f t="shared" si="5"/>
        <v>13463571.000000002</v>
      </c>
      <c r="M9" s="28">
        <f t="shared" ref="M9:M38" si="6">L9/14381</f>
        <v>936.20547945205487</v>
      </c>
      <c r="N9" s="29"/>
    </row>
    <row r="10" spans="1:14">
      <c r="A10" s="20"/>
      <c r="B10" s="22">
        <v>3</v>
      </c>
      <c r="C10" s="96">
        <v>44</v>
      </c>
      <c r="D10" s="100">
        <v>242</v>
      </c>
      <c r="E10" s="24">
        <v>4.4000000000000004</v>
      </c>
      <c r="F10" s="25">
        <f t="shared" si="0"/>
        <v>8800</v>
      </c>
      <c r="G10" s="26">
        <f t="shared" si="1"/>
        <v>9112400</v>
      </c>
      <c r="H10" s="24">
        <v>0.93</v>
      </c>
      <c r="I10" s="25">
        <f t="shared" si="2"/>
        <v>1860</v>
      </c>
      <c r="J10" s="26">
        <f t="shared" si="3"/>
        <v>2889045</v>
      </c>
      <c r="K10" s="24">
        <f t="shared" si="4"/>
        <v>12001445</v>
      </c>
      <c r="L10" s="27">
        <f t="shared" si="5"/>
        <v>13201589.500000002</v>
      </c>
      <c r="M10" s="28">
        <f t="shared" si="6"/>
        <v>917.98828315138041</v>
      </c>
      <c r="N10" s="29"/>
    </row>
    <row r="11" spans="1:14">
      <c r="A11" s="20"/>
      <c r="B11" s="22">
        <v>4</v>
      </c>
      <c r="C11" s="96">
        <v>55</v>
      </c>
      <c r="D11" s="100">
        <v>219</v>
      </c>
      <c r="E11" s="24">
        <v>4.3899999999999997</v>
      </c>
      <c r="F11" s="25">
        <f t="shared" si="0"/>
        <v>8780</v>
      </c>
      <c r="G11" s="26">
        <f t="shared" si="1"/>
        <v>9091690</v>
      </c>
      <c r="H11" s="24">
        <v>0.93</v>
      </c>
      <c r="I11" s="25">
        <f t="shared" si="2"/>
        <v>1860</v>
      </c>
      <c r="J11" s="26">
        <f t="shared" si="3"/>
        <v>2889045</v>
      </c>
      <c r="K11" s="24">
        <f t="shared" si="4"/>
        <v>11980735</v>
      </c>
      <c r="L11" s="27">
        <f t="shared" si="5"/>
        <v>13178808.500000002</v>
      </c>
      <c r="M11" s="28">
        <f t="shared" si="6"/>
        <v>916.4041791252348</v>
      </c>
      <c r="N11" s="29"/>
    </row>
    <row r="12" spans="1:14">
      <c r="A12" s="20"/>
      <c r="B12" s="22">
        <v>5</v>
      </c>
      <c r="C12" s="97">
        <v>54</v>
      </c>
      <c r="D12" s="100">
        <v>254</v>
      </c>
      <c r="E12" s="24">
        <v>4.5</v>
      </c>
      <c r="F12" s="25">
        <f t="shared" si="0"/>
        <v>9000</v>
      </c>
      <c r="G12" s="26">
        <f t="shared" si="1"/>
        <v>9319500</v>
      </c>
      <c r="H12" s="24">
        <v>0.91</v>
      </c>
      <c r="I12" s="25">
        <f t="shared" si="2"/>
        <v>1820</v>
      </c>
      <c r="J12" s="26">
        <f t="shared" si="3"/>
        <v>2826915</v>
      </c>
      <c r="K12" s="24">
        <f t="shared" si="4"/>
        <v>12146415</v>
      </c>
      <c r="L12" s="27">
        <f t="shared" si="5"/>
        <v>13361056.500000002</v>
      </c>
      <c r="M12" s="28">
        <f t="shared" si="6"/>
        <v>929.07701133439969</v>
      </c>
      <c r="N12" s="29"/>
    </row>
    <row r="13" spans="1:14">
      <c r="A13" s="20"/>
      <c r="B13" s="22">
        <v>6</v>
      </c>
      <c r="C13" s="96">
        <v>48</v>
      </c>
      <c r="D13" s="100">
        <v>215</v>
      </c>
      <c r="E13" s="24">
        <v>4.3899999999999997</v>
      </c>
      <c r="F13" s="25">
        <f t="shared" si="0"/>
        <v>8780</v>
      </c>
      <c r="G13" s="26">
        <f t="shared" si="1"/>
        <v>9091690</v>
      </c>
      <c r="H13" s="24">
        <v>0.92</v>
      </c>
      <c r="I13" s="25">
        <f t="shared" si="2"/>
        <v>1840</v>
      </c>
      <c r="J13" s="26">
        <f t="shared" si="3"/>
        <v>2857980</v>
      </c>
      <c r="K13" s="24">
        <f t="shared" si="4"/>
        <v>11949670</v>
      </c>
      <c r="L13" s="27">
        <f t="shared" si="5"/>
        <v>13144637.000000002</v>
      </c>
      <c r="M13" s="28">
        <f t="shared" si="6"/>
        <v>914.02802308601645</v>
      </c>
      <c r="N13" s="29"/>
    </row>
    <row r="14" spans="1:14">
      <c r="A14" s="20"/>
      <c r="B14" s="22">
        <v>7</v>
      </c>
      <c r="C14" s="97">
        <v>33</v>
      </c>
      <c r="D14" s="100">
        <v>209</v>
      </c>
      <c r="E14" s="24">
        <v>4.5199999999999996</v>
      </c>
      <c r="F14" s="25">
        <f t="shared" si="0"/>
        <v>9040</v>
      </c>
      <c r="G14" s="26">
        <f t="shared" si="1"/>
        <v>9360920</v>
      </c>
      <c r="H14" s="24">
        <v>0.96</v>
      </c>
      <c r="I14" s="25">
        <f t="shared" si="2"/>
        <v>1920</v>
      </c>
      <c r="J14" s="26">
        <f t="shared" si="3"/>
        <v>2982240</v>
      </c>
      <c r="K14" s="24">
        <f t="shared" si="4"/>
        <v>12343160</v>
      </c>
      <c r="L14" s="27">
        <f t="shared" si="5"/>
        <v>13577476.000000002</v>
      </c>
      <c r="M14" s="28">
        <f t="shared" si="6"/>
        <v>944.12599958278292</v>
      </c>
      <c r="N14" s="29"/>
    </row>
    <row r="15" spans="1:14">
      <c r="A15" s="20"/>
      <c r="B15" s="22">
        <v>8</v>
      </c>
      <c r="C15" s="96">
        <v>31</v>
      </c>
      <c r="D15" s="100">
        <v>160</v>
      </c>
      <c r="E15" s="24">
        <v>4.3899999999999997</v>
      </c>
      <c r="F15" s="25">
        <f t="shared" si="0"/>
        <v>8780</v>
      </c>
      <c r="G15" s="26">
        <f t="shared" si="1"/>
        <v>9091690</v>
      </c>
      <c r="H15" s="24">
        <v>0.88</v>
      </c>
      <c r="I15" s="25">
        <f t="shared" si="2"/>
        <v>1760</v>
      </c>
      <c r="J15" s="26">
        <f t="shared" si="3"/>
        <v>2733720</v>
      </c>
      <c r="K15" s="24">
        <f t="shared" si="4"/>
        <v>11825410</v>
      </c>
      <c r="L15" s="27">
        <f t="shared" si="5"/>
        <v>13007951.000000002</v>
      </c>
      <c r="M15" s="28">
        <f t="shared" si="6"/>
        <v>904.52339892914279</v>
      </c>
      <c r="N15" s="29"/>
    </row>
    <row r="16" spans="1:14">
      <c r="A16" s="20"/>
      <c r="B16" s="22">
        <v>9</v>
      </c>
      <c r="C16" s="97">
        <v>26</v>
      </c>
      <c r="D16" s="100">
        <v>164</v>
      </c>
      <c r="E16" s="24">
        <v>4.3899999999999997</v>
      </c>
      <c r="F16" s="25">
        <f t="shared" si="0"/>
        <v>8780</v>
      </c>
      <c r="G16" s="26">
        <f t="shared" si="1"/>
        <v>9091690</v>
      </c>
      <c r="H16" s="24">
        <v>0.92</v>
      </c>
      <c r="I16" s="25">
        <f t="shared" si="2"/>
        <v>1840</v>
      </c>
      <c r="J16" s="26">
        <f t="shared" si="3"/>
        <v>2857980</v>
      </c>
      <c r="K16" s="24">
        <f t="shared" si="4"/>
        <v>11949670</v>
      </c>
      <c r="L16" s="27">
        <f t="shared" si="5"/>
        <v>13144637.000000002</v>
      </c>
      <c r="M16" s="28">
        <f t="shared" si="6"/>
        <v>914.02802308601645</v>
      </c>
      <c r="N16" s="29"/>
    </row>
    <row r="17" spans="1:14">
      <c r="A17" s="20"/>
      <c r="B17" s="22">
        <v>10</v>
      </c>
      <c r="C17" s="96">
        <v>17</v>
      </c>
      <c r="D17" s="100">
        <v>119</v>
      </c>
      <c r="E17" s="24">
        <v>4.45</v>
      </c>
      <c r="F17" s="25">
        <f t="shared" si="0"/>
        <v>8900</v>
      </c>
      <c r="G17" s="26">
        <f t="shared" si="1"/>
        <v>9215950</v>
      </c>
      <c r="H17" s="24">
        <v>0.86</v>
      </c>
      <c r="I17" s="25">
        <f t="shared" si="2"/>
        <v>1720</v>
      </c>
      <c r="J17" s="26">
        <f t="shared" si="3"/>
        <v>2671590</v>
      </c>
      <c r="K17" s="24">
        <f t="shared" si="4"/>
        <v>11887540</v>
      </c>
      <c r="L17" s="27">
        <f t="shared" si="5"/>
        <v>13076294.000000002</v>
      </c>
      <c r="M17" s="28">
        <f t="shared" si="6"/>
        <v>909.27571100757962</v>
      </c>
      <c r="N17" s="29"/>
    </row>
    <row r="18" spans="1:14">
      <c r="A18" s="20"/>
      <c r="B18" s="22">
        <v>11</v>
      </c>
      <c r="C18" s="97">
        <v>16</v>
      </c>
      <c r="D18" s="100">
        <v>87</v>
      </c>
      <c r="E18" s="24">
        <v>4.34</v>
      </c>
      <c r="F18" s="25">
        <f t="shared" si="0"/>
        <v>8680</v>
      </c>
      <c r="G18" s="26">
        <f t="shared" si="1"/>
        <v>8988140</v>
      </c>
      <c r="H18" s="24">
        <v>0.77</v>
      </c>
      <c r="I18" s="25">
        <f t="shared" si="2"/>
        <v>1540</v>
      </c>
      <c r="J18" s="26">
        <f t="shared" si="3"/>
        <v>2392005</v>
      </c>
      <c r="K18" s="24">
        <f t="shared" si="4"/>
        <v>11380145</v>
      </c>
      <c r="L18" s="27">
        <f t="shared" si="5"/>
        <v>12518159.500000002</v>
      </c>
      <c r="M18" s="28">
        <f t="shared" si="6"/>
        <v>870.46516236701211</v>
      </c>
      <c r="N18" s="29"/>
    </row>
    <row r="19" spans="1:14">
      <c r="A19" s="20"/>
      <c r="B19" s="22">
        <v>12</v>
      </c>
      <c r="C19" s="98">
        <v>17</v>
      </c>
      <c r="D19" s="100">
        <v>66</v>
      </c>
      <c r="E19" s="24">
        <v>3.92</v>
      </c>
      <c r="F19" s="25">
        <f t="shared" si="0"/>
        <v>7840</v>
      </c>
      <c r="G19" s="26">
        <f t="shared" si="1"/>
        <v>8118320</v>
      </c>
      <c r="H19" s="24">
        <v>0.8</v>
      </c>
      <c r="I19" s="25">
        <f t="shared" si="2"/>
        <v>1600</v>
      </c>
      <c r="J19" s="26">
        <f t="shared" si="3"/>
        <v>2485200</v>
      </c>
      <c r="K19" s="24">
        <f t="shared" si="4"/>
        <v>10603520</v>
      </c>
      <c r="L19" s="27">
        <f t="shared" si="5"/>
        <v>11663872.000000002</v>
      </c>
      <c r="M19" s="28">
        <f t="shared" si="6"/>
        <v>811.06126138655179</v>
      </c>
      <c r="N19" s="29"/>
    </row>
    <row r="20" spans="1:14">
      <c r="A20" s="20"/>
      <c r="B20" s="22">
        <v>13</v>
      </c>
      <c r="C20" s="99">
        <v>17</v>
      </c>
      <c r="D20" s="100">
        <v>78</v>
      </c>
      <c r="E20" s="24">
        <v>4.0999999999999996</v>
      </c>
      <c r="F20" s="25">
        <f t="shared" si="0"/>
        <v>8200</v>
      </c>
      <c r="G20" s="26">
        <f t="shared" si="1"/>
        <v>8491100</v>
      </c>
      <c r="H20" s="24">
        <v>0.84</v>
      </c>
      <c r="I20" s="25">
        <f t="shared" si="2"/>
        <v>1680</v>
      </c>
      <c r="J20" s="26">
        <f t="shared" si="3"/>
        <v>2609460</v>
      </c>
      <c r="K20" s="24">
        <f t="shared" si="4"/>
        <v>11100560</v>
      </c>
      <c r="L20" s="27">
        <f t="shared" si="5"/>
        <v>12210616.000000002</v>
      </c>
      <c r="M20" s="28">
        <f t="shared" si="6"/>
        <v>849.07975801404643</v>
      </c>
      <c r="N20" s="29"/>
    </row>
    <row r="21" spans="1:14">
      <c r="A21" s="20"/>
      <c r="B21" s="22">
        <v>14</v>
      </c>
      <c r="C21" s="99">
        <v>17</v>
      </c>
      <c r="D21" s="100">
        <v>93</v>
      </c>
      <c r="E21" s="24">
        <v>3.96</v>
      </c>
      <c r="F21" s="25">
        <f t="shared" si="0"/>
        <v>7920</v>
      </c>
      <c r="G21" s="26">
        <f t="shared" si="1"/>
        <v>8201160</v>
      </c>
      <c r="H21" s="24">
        <v>0.81</v>
      </c>
      <c r="I21" s="25">
        <f t="shared" si="2"/>
        <v>1620</v>
      </c>
      <c r="J21" s="26">
        <f t="shared" si="3"/>
        <v>2516265</v>
      </c>
      <c r="K21" s="24">
        <f t="shared" si="4"/>
        <v>10717425</v>
      </c>
      <c r="L21" s="27">
        <f t="shared" si="5"/>
        <v>11789167.500000002</v>
      </c>
      <c r="M21" s="28">
        <f t="shared" si="6"/>
        <v>819.7738335303527</v>
      </c>
      <c r="N21" s="29"/>
    </row>
    <row r="22" spans="1:14">
      <c r="A22" s="20"/>
      <c r="B22" s="22">
        <v>15</v>
      </c>
      <c r="C22" s="96">
        <v>26</v>
      </c>
      <c r="D22" s="100">
        <v>112</v>
      </c>
      <c r="E22" s="24">
        <v>3.9</v>
      </c>
      <c r="F22" s="25">
        <f t="shared" si="0"/>
        <v>7800</v>
      </c>
      <c r="G22" s="26">
        <f t="shared" si="1"/>
        <v>8076900</v>
      </c>
      <c r="H22" s="24">
        <v>0.82</v>
      </c>
      <c r="I22" s="25">
        <f t="shared" si="2"/>
        <v>1640</v>
      </c>
      <c r="J22" s="26">
        <f t="shared" si="3"/>
        <v>2547330</v>
      </c>
      <c r="K22" s="24">
        <f t="shared" si="4"/>
        <v>10624230</v>
      </c>
      <c r="L22" s="27">
        <f t="shared" si="5"/>
        <v>11686653.000000002</v>
      </c>
      <c r="M22" s="28">
        <f t="shared" si="6"/>
        <v>812.6453654126974</v>
      </c>
      <c r="N22" s="29"/>
    </row>
    <row r="23" spans="1:14">
      <c r="A23" s="20"/>
      <c r="B23" s="22">
        <v>16</v>
      </c>
      <c r="C23" s="96">
        <v>21</v>
      </c>
      <c r="D23" s="100">
        <v>112</v>
      </c>
      <c r="E23" s="24">
        <v>4.1399999999999997</v>
      </c>
      <c r="F23" s="25">
        <f t="shared" si="0"/>
        <v>8280</v>
      </c>
      <c r="G23" s="26">
        <f t="shared" si="1"/>
        <v>8573940</v>
      </c>
      <c r="H23" s="24">
        <v>0.85</v>
      </c>
      <c r="I23" s="25">
        <f t="shared" si="2"/>
        <v>1700</v>
      </c>
      <c r="J23" s="26">
        <f t="shared" si="3"/>
        <v>2640525</v>
      </c>
      <c r="K23" s="24">
        <f t="shared" si="4"/>
        <v>11214465</v>
      </c>
      <c r="L23" s="27">
        <f t="shared" si="5"/>
        <v>12335911.500000002</v>
      </c>
      <c r="M23" s="28">
        <f t="shared" si="6"/>
        <v>857.79233015784735</v>
      </c>
      <c r="N23" s="29"/>
    </row>
    <row r="24" spans="1:14">
      <c r="A24" s="20"/>
      <c r="B24" s="22">
        <v>17</v>
      </c>
      <c r="C24" s="96">
        <v>22</v>
      </c>
      <c r="D24" s="100">
        <v>119</v>
      </c>
      <c r="E24" s="24">
        <v>3.98</v>
      </c>
      <c r="F24" s="25">
        <f t="shared" si="0"/>
        <v>7960</v>
      </c>
      <c r="G24" s="26">
        <f t="shared" si="1"/>
        <v>8242580</v>
      </c>
      <c r="H24" s="24">
        <v>0.8</v>
      </c>
      <c r="I24" s="25">
        <f t="shared" si="2"/>
        <v>1600</v>
      </c>
      <c r="J24" s="26">
        <f t="shared" si="3"/>
        <v>2485200</v>
      </c>
      <c r="K24" s="24">
        <f t="shared" si="4"/>
        <v>10727780</v>
      </c>
      <c r="L24" s="27">
        <f t="shared" si="5"/>
        <v>11800558.000000002</v>
      </c>
      <c r="M24" s="28">
        <f t="shared" si="6"/>
        <v>820.56588554342545</v>
      </c>
      <c r="N24" s="29"/>
    </row>
    <row r="25" spans="1:14">
      <c r="A25" s="20"/>
      <c r="B25" s="22">
        <v>18</v>
      </c>
      <c r="C25" s="97">
        <v>19</v>
      </c>
      <c r="D25" s="100">
        <v>125</v>
      </c>
      <c r="E25" s="24">
        <v>3.87</v>
      </c>
      <c r="F25" s="25">
        <f t="shared" si="0"/>
        <v>7740</v>
      </c>
      <c r="G25" s="26">
        <f t="shared" si="1"/>
        <v>8014770</v>
      </c>
      <c r="H25" s="24">
        <v>0.79</v>
      </c>
      <c r="I25" s="25">
        <f t="shared" si="2"/>
        <v>1580</v>
      </c>
      <c r="J25" s="26">
        <f t="shared" si="3"/>
        <v>2454135</v>
      </c>
      <c r="K25" s="24">
        <f t="shared" si="4"/>
        <v>10468905</v>
      </c>
      <c r="L25" s="27">
        <f t="shared" si="5"/>
        <v>11515795.5</v>
      </c>
      <c r="M25" s="28">
        <f t="shared" si="6"/>
        <v>800.76458521660527</v>
      </c>
      <c r="N25" s="29"/>
    </row>
    <row r="26" spans="1:14">
      <c r="A26" s="20"/>
      <c r="B26" s="22">
        <v>19</v>
      </c>
      <c r="C26" s="96">
        <v>18</v>
      </c>
      <c r="D26" s="100">
        <v>82</v>
      </c>
      <c r="E26" s="24">
        <v>3.8399999999999181</v>
      </c>
      <c r="F26" s="25">
        <f t="shared" si="0"/>
        <v>7679.9999999998363</v>
      </c>
      <c r="G26" s="26">
        <f t="shared" si="1"/>
        <v>7952639.9999998305</v>
      </c>
      <c r="H26" s="24">
        <v>0.75999999999999091</v>
      </c>
      <c r="I26" s="25">
        <f t="shared" si="2"/>
        <v>1519.9999999999818</v>
      </c>
      <c r="J26" s="26">
        <f t="shared" si="3"/>
        <v>2360939.9999999716</v>
      </c>
      <c r="K26" s="24">
        <f t="shared" si="4"/>
        <v>10313579.999999803</v>
      </c>
      <c r="L26" s="27">
        <f t="shared" si="5"/>
        <v>11344937.999999784</v>
      </c>
      <c r="M26" s="28">
        <f t="shared" si="6"/>
        <v>788.88380502049813</v>
      </c>
      <c r="N26" s="29"/>
    </row>
    <row r="27" spans="1:14">
      <c r="A27" s="20"/>
      <c r="B27" s="22">
        <v>20</v>
      </c>
      <c r="C27" s="97">
        <v>22</v>
      </c>
      <c r="D27" s="100">
        <v>121</v>
      </c>
      <c r="E27" s="24">
        <v>3.7899999999999636</v>
      </c>
      <c r="F27" s="25">
        <f t="shared" si="0"/>
        <v>7579.9999999999272</v>
      </c>
      <c r="G27" s="26">
        <f t="shared" si="1"/>
        <v>7849089.9999999246</v>
      </c>
      <c r="H27" s="24">
        <v>0.81000000000000227</v>
      </c>
      <c r="I27" s="25">
        <f t="shared" si="2"/>
        <v>1620.0000000000045</v>
      </c>
      <c r="J27" s="26">
        <f t="shared" si="3"/>
        <v>2516265.000000007</v>
      </c>
      <c r="K27" s="24">
        <f t="shared" si="4"/>
        <v>10365354.999999931</v>
      </c>
      <c r="L27" s="27">
        <f t="shared" si="5"/>
        <v>11401890.499999925</v>
      </c>
      <c r="M27" s="28">
        <f t="shared" si="6"/>
        <v>792.84406508587199</v>
      </c>
      <c r="N27" s="29"/>
    </row>
    <row r="28" spans="1:14">
      <c r="A28" s="20"/>
      <c r="B28" s="22">
        <v>21</v>
      </c>
      <c r="C28" s="96">
        <v>19</v>
      </c>
      <c r="D28" s="100">
        <v>100</v>
      </c>
      <c r="E28" s="24">
        <v>3.9400000000000546</v>
      </c>
      <c r="F28" s="25">
        <f t="shared" si="0"/>
        <v>7880.0000000001091</v>
      </c>
      <c r="G28" s="26">
        <f t="shared" si="1"/>
        <v>8159740.0000001127</v>
      </c>
      <c r="H28" s="24">
        <v>0.80000000000001137</v>
      </c>
      <c r="I28" s="25">
        <f t="shared" si="2"/>
        <v>1600.0000000000227</v>
      </c>
      <c r="J28" s="26">
        <f t="shared" si="3"/>
        <v>2485200.0000000354</v>
      </c>
      <c r="K28" s="24">
        <f t="shared" si="4"/>
        <v>10644940.000000149</v>
      </c>
      <c r="L28" s="27">
        <f t="shared" si="5"/>
        <v>11709434.000000166</v>
      </c>
      <c r="M28" s="28">
        <f t="shared" si="6"/>
        <v>814.22946943885449</v>
      </c>
      <c r="N28" s="29"/>
    </row>
    <row r="29" spans="1:14">
      <c r="A29" s="20"/>
      <c r="B29" s="22">
        <v>22</v>
      </c>
      <c r="C29" s="97">
        <v>25</v>
      </c>
      <c r="D29" s="100">
        <v>107</v>
      </c>
      <c r="E29" s="24">
        <v>3.7100000000000364</v>
      </c>
      <c r="F29" s="25">
        <f t="shared" si="0"/>
        <v>7420.0000000000728</v>
      </c>
      <c r="G29" s="26">
        <f t="shared" si="1"/>
        <v>7683410.0000000754</v>
      </c>
      <c r="H29" s="24">
        <v>0.81999999999999318</v>
      </c>
      <c r="I29" s="25">
        <f t="shared" si="2"/>
        <v>1639.9999999999864</v>
      </c>
      <c r="J29" s="26">
        <f t="shared" si="3"/>
        <v>2547329.9999999786</v>
      </c>
      <c r="K29" s="24">
        <f t="shared" si="4"/>
        <v>10230740.000000054</v>
      </c>
      <c r="L29" s="27">
        <f t="shared" si="5"/>
        <v>11253814.00000006</v>
      </c>
      <c r="M29" s="28">
        <f t="shared" si="6"/>
        <v>782.5473889159349</v>
      </c>
      <c r="N29" s="29"/>
    </row>
    <row r="30" spans="1:14">
      <c r="A30" s="20"/>
      <c r="B30" s="22">
        <v>23</v>
      </c>
      <c r="C30" s="96">
        <v>28</v>
      </c>
      <c r="D30" s="100">
        <v>142</v>
      </c>
      <c r="E30" s="24">
        <v>4.0099999999999909</v>
      </c>
      <c r="F30" s="25">
        <f t="shared" si="0"/>
        <v>8019.9999999999818</v>
      </c>
      <c r="G30" s="26">
        <f t="shared" si="1"/>
        <v>8304709.9999999814</v>
      </c>
      <c r="H30" s="24">
        <v>0.86000000000001364</v>
      </c>
      <c r="I30" s="25">
        <f t="shared" si="2"/>
        <v>1720.0000000000273</v>
      </c>
      <c r="J30" s="26">
        <f t="shared" si="3"/>
        <v>2671590.0000000424</v>
      </c>
      <c r="K30" s="24">
        <f t="shared" si="4"/>
        <v>10976300.000000024</v>
      </c>
      <c r="L30" s="27">
        <f t="shared" si="5"/>
        <v>12073930.000000028</v>
      </c>
      <c r="M30" s="28">
        <f t="shared" si="6"/>
        <v>839.57513385717459</v>
      </c>
      <c r="N30" s="29"/>
    </row>
    <row r="31" spans="1:14">
      <c r="A31" s="20"/>
      <c r="B31" s="22">
        <v>24</v>
      </c>
      <c r="C31" s="97">
        <v>26</v>
      </c>
      <c r="D31" s="100">
        <v>116</v>
      </c>
      <c r="E31" s="24">
        <v>4.0399999999999636</v>
      </c>
      <c r="F31" s="25">
        <f t="shared" si="0"/>
        <v>8079.9999999999272</v>
      </c>
      <c r="G31" s="26">
        <f t="shared" si="1"/>
        <v>8366839.9999999246</v>
      </c>
      <c r="H31" s="24">
        <v>0.83999999999997499</v>
      </c>
      <c r="I31" s="25">
        <f t="shared" si="2"/>
        <v>1679.99999999995</v>
      </c>
      <c r="J31" s="26">
        <f t="shared" si="3"/>
        <v>2609459.9999999222</v>
      </c>
      <c r="K31" s="24">
        <f t="shared" si="4"/>
        <v>10976299.999999847</v>
      </c>
      <c r="L31" s="27">
        <f t="shared" si="5"/>
        <v>12073929.999999832</v>
      </c>
      <c r="M31" s="28">
        <f t="shared" si="6"/>
        <v>839.57513385716095</v>
      </c>
      <c r="N31" s="29"/>
    </row>
    <row r="32" spans="1:14">
      <c r="A32" s="20"/>
      <c r="B32" s="22">
        <v>25</v>
      </c>
      <c r="C32" s="96">
        <v>24</v>
      </c>
      <c r="D32" s="100">
        <v>138</v>
      </c>
      <c r="E32" s="24">
        <v>4.0800000000001546</v>
      </c>
      <c r="F32" s="25">
        <f t="shared" si="0"/>
        <v>8160.0000000003092</v>
      </c>
      <c r="G32" s="26">
        <f t="shared" si="1"/>
        <v>8449680.0000003204</v>
      </c>
      <c r="H32" s="24">
        <v>0.81999999999999318</v>
      </c>
      <c r="I32" s="25">
        <f t="shared" si="2"/>
        <v>1639.9999999999864</v>
      </c>
      <c r="J32" s="26">
        <f t="shared" si="3"/>
        <v>2547329.9999999786</v>
      </c>
      <c r="K32" s="24">
        <f t="shared" si="4"/>
        <v>10997010.000000298</v>
      </c>
      <c r="L32" s="27">
        <f t="shared" si="5"/>
        <v>12096711.00000033</v>
      </c>
      <c r="M32" s="28">
        <f t="shared" si="6"/>
        <v>841.15923788334123</v>
      </c>
      <c r="N32" s="29"/>
    </row>
    <row r="33" spans="1:16">
      <c r="A33" s="20"/>
      <c r="B33" s="22">
        <v>26</v>
      </c>
      <c r="C33" s="96">
        <v>29</v>
      </c>
      <c r="D33" s="100">
        <v>115</v>
      </c>
      <c r="E33" s="24">
        <v>3.7799999999999727</v>
      </c>
      <c r="F33" s="25">
        <f t="shared" si="0"/>
        <v>7559.9999999999454</v>
      </c>
      <c r="G33" s="26">
        <f t="shared" si="1"/>
        <v>7828379.9999999432</v>
      </c>
      <c r="H33" s="24">
        <v>0.76000000000004775</v>
      </c>
      <c r="I33" s="25">
        <f t="shared" si="2"/>
        <v>1520.0000000000955</v>
      </c>
      <c r="J33" s="26">
        <f t="shared" si="3"/>
        <v>2360940.0000001485</v>
      </c>
      <c r="K33" s="24">
        <f t="shared" si="4"/>
        <v>10189320.000000091</v>
      </c>
      <c r="L33" s="27">
        <f t="shared" si="5"/>
        <v>11208252.000000101</v>
      </c>
      <c r="M33" s="28">
        <f t="shared" si="6"/>
        <v>779.37918086364652</v>
      </c>
      <c r="N33" s="29"/>
    </row>
    <row r="34" spans="1:16">
      <c r="A34" s="20"/>
      <c r="B34" s="22">
        <v>27</v>
      </c>
      <c r="C34" s="96">
        <v>26</v>
      </c>
      <c r="D34" s="100">
        <v>117</v>
      </c>
      <c r="E34" s="24">
        <v>3.9199999999998454</v>
      </c>
      <c r="F34" s="25">
        <f t="shared" si="0"/>
        <v>7839.9999999996908</v>
      </c>
      <c r="G34" s="26">
        <f t="shared" si="1"/>
        <v>8118319.9999996796</v>
      </c>
      <c r="H34" s="24">
        <v>0.82999999999998408</v>
      </c>
      <c r="I34" s="25">
        <f t="shared" si="2"/>
        <v>1659.9999999999682</v>
      </c>
      <c r="J34" s="26">
        <f t="shared" si="3"/>
        <v>2578394.9999999506</v>
      </c>
      <c r="K34" s="24">
        <f t="shared" si="4"/>
        <v>10696714.999999631</v>
      </c>
      <c r="L34" s="27">
        <f t="shared" si="5"/>
        <v>11766386.499999596</v>
      </c>
      <c r="M34" s="28">
        <f t="shared" si="6"/>
        <v>818.18972950417879</v>
      </c>
      <c r="N34" s="29"/>
    </row>
    <row r="35" spans="1:16">
      <c r="A35" s="20"/>
      <c r="B35" s="22">
        <v>28</v>
      </c>
      <c r="C35" s="96">
        <v>33</v>
      </c>
      <c r="D35" s="100">
        <v>147</v>
      </c>
      <c r="E35" s="24">
        <v>3.9400000000000546</v>
      </c>
      <c r="F35" s="25">
        <f t="shared" si="0"/>
        <v>7880.0000000001091</v>
      </c>
      <c r="G35" s="26">
        <f t="shared" si="1"/>
        <v>8159740.0000001127</v>
      </c>
      <c r="H35" s="24">
        <v>0.84999999999996589</v>
      </c>
      <c r="I35" s="25">
        <f t="shared" si="2"/>
        <v>1699.9999999999318</v>
      </c>
      <c r="J35" s="26">
        <f t="shared" si="3"/>
        <v>2640524.9999998938</v>
      </c>
      <c r="K35" s="24">
        <f t="shared" si="4"/>
        <v>10800265.000000007</v>
      </c>
      <c r="L35" s="27">
        <f t="shared" si="5"/>
        <v>11880291.500000009</v>
      </c>
      <c r="M35" s="28">
        <f t="shared" si="6"/>
        <v>826.1102496349356</v>
      </c>
      <c r="N35" s="29"/>
    </row>
    <row r="36" spans="1:16">
      <c r="A36" s="20"/>
      <c r="B36" s="22">
        <v>29</v>
      </c>
      <c r="C36" s="96">
        <v>22</v>
      </c>
      <c r="D36" s="100">
        <v>150</v>
      </c>
      <c r="E36" s="24">
        <v>3.9800000000000182</v>
      </c>
      <c r="F36" s="25">
        <f t="shared" si="0"/>
        <v>7960.0000000000364</v>
      </c>
      <c r="G36" s="26">
        <f t="shared" si="1"/>
        <v>8242580.0000000373</v>
      </c>
      <c r="H36" s="24">
        <v>0.83000000000004093</v>
      </c>
      <c r="I36" s="25">
        <f t="shared" si="2"/>
        <v>1660.0000000000819</v>
      </c>
      <c r="J36" s="26">
        <f t="shared" si="3"/>
        <v>2578395.0000001271</v>
      </c>
      <c r="K36" s="24">
        <f t="shared" si="4"/>
        <v>10820975.000000164</v>
      </c>
      <c r="L36" s="27">
        <f t="shared" si="5"/>
        <v>11903072.500000181</v>
      </c>
      <c r="M36" s="28">
        <f t="shared" si="6"/>
        <v>827.69435366109315</v>
      </c>
      <c r="N36" s="29"/>
    </row>
    <row r="37" spans="1:16">
      <c r="A37" s="20"/>
      <c r="B37" s="22">
        <v>30</v>
      </c>
      <c r="C37" s="96">
        <v>17</v>
      </c>
      <c r="D37" s="100">
        <v>103</v>
      </c>
      <c r="E37" s="24">
        <v>3.9400000000000546</v>
      </c>
      <c r="F37" s="25">
        <f t="shared" si="0"/>
        <v>7880.0000000001091</v>
      </c>
      <c r="G37" s="26">
        <f>F37*1035.5</f>
        <v>8159740.0000001127</v>
      </c>
      <c r="H37" s="24">
        <v>0.81000000000000227</v>
      </c>
      <c r="I37" s="25">
        <f t="shared" si="2"/>
        <v>1620.0000000000045</v>
      </c>
      <c r="J37" s="26">
        <f t="shared" si="3"/>
        <v>2516265.000000007</v>
      </c>
      <c r="K37" s="24">
        <f t="shared" si="4"/>
        <v>10676005.000000119</v>
      </c>
      <c r="L37" s="27">
        <f t="shared" si="5"/>
        <v>11743605.500000132</v>
      </c>
      <c r="M37" s="28">
        <f t="shared" si="6"/>
        <v>816.60562547807058</v>
      </c>
      <c r="N37" s="29"/>
    </row>
    <row r="38" spans="1:16">
      <c r="A38" s="20"/>
      <c r="B38" s="22">
        <v>31</v>
      </c>
      <c r="C38" s="96">
        <v>15</v>
      </c>
      <c r="D38" s="100">
        <v>70</v>
      </c>
      <c r="E38" s="24">
        <v>3.9500000000000455</v>
      </c>
      <c r="F38" s="25">
        <f t="shared" si="0"/>
        <v>7900.0000000000909</v>
      </c>
      <c r="G38" s="26">
        <f t="shared" si="1"/>
        <v>8180450.0000000941</v>
      </c>
      <c r="H38" s="24">
        <v>0.81000000000000227</v>
      </c>
      <c r="I38" s="25">
        <f t="shared" si="2"/>
        <v>1620.0000000000045</v>
      </c>
      <c r="J38" s="26">
        <f t="shared" si="3"/>
        <v>2516265.000000007</v>
      </c>
      <c r="K38" s="24">
        <f t="shared" si="4"/>
        <v>10696715.000000101</v>
      </c>
      <c r="L38" s="27">
        <f t="shared" si="5"/>
        <v>11766386.500000112</v>
      </c>
      <c r="M38" s="28">
        <f t="shared" si="6"/>
        <v>818.18972950421471</v>
      </c>
      <c r="N38" s="29"/>
    </row>
    <row r="39" spans="1:16">
      <c r="C39" s="30">
        <f>SUM(C8:C38)</f>
        <v>875</v>
      </c>
      <c r="D39" s="30">
        <f>SUM(D8:D38)</f>
        <v>4394</v>
      </c>
      <c r="E39" s="31">
        <v>3.2799999999999727</v>
      </c>
      <c r="F39" s="30">
        <f>SUM(F8:F38)</f>
        <v>254620.00000000012</v>
      </c>
      <c r="I39" s="30">
        <f>SUM(I8:I38)</f>
        <v>52580.000000000058</v>
      </c>
      <c r="L39" s="32">
        <f>SUM(L8:L38)</f>
        <v>379861784.5000003</v>
      </c>
      <c r="M39" s="33">
        <f>SUM(M8:M38)</f>
        <v>26414.142583964975</v>
      </c>
      <c r="N39" s="34"/>
      <c r="P39" s="35"/>
    </row>
    <row r="41" spans="1:16">
      <c r="G41" s="86" t="s">
        <v>28</v>
      </c>
      <c r="H41" s="87"/>
      <c r="I41" s="88">
        <f>F39+I39</f>
        <v>307200.00000000017</v>
      </c>
      <c r="M41" s="36"/>
      <c r="P41" s="37"/>
    </row>
    <row r="42" spans="1:16">
      <c r="M42" s="38"/>
    </row>
  </sheetData>
  <mergeCells count="17">
    <mergeCell ref="H6:H7"/>
    <mergeCell ref="I6:I7"/>
    <mergeCell ref="J6:J7"/>
    <mergeCell ref="B1:L1"/>
    <mergeCell ref="B2:L2"/>
    <mergeCell ref="B4:M4"/>
    <mergeCell ref="B5:B7"/>
    <mergeCell ref="C5:C7"/>
    <mergeCell ref="D5:D7"/>
    <mergeCell ref="E5:G5"/>
    <mergeCell ref="H5:J5"/>
    <mergeCell ref="K5:K7"/>
    <mergeCell ref="L5:L7"/>
    <mergeCell ref="M5:M7"/>
    <mergeCell ref="E6:E7"/>
    <mergeCell ref="F6:F7"/>
    <mergeCell ref="G6:G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4"/>
  <sheetViews>
    <sheetView topLeftCell="A11" workbookViewId="0">
      <selection activeCell="N43" sqref="N43"/>
    </sheetView>
  </sheetViews>
  <sheetFormatPr defaultRowHeight="15"/>
  <cols>
    <col min="1" max="1" width="2.5703125" customWidth="1"/>
    <col min="2" max="2" width="5.42578125" customWidth="1"/>
    <col min="3" max="3" width="6.42578125" style="31" customWidth="1"/>
    <col min="4" max="4" width="8.42578125" style="19" customWidth="1"/>
    <col min="5" max="5" width="11" style="31" customWidth="1"/>
    <col min="6" max="6" width="9.5703125" style="31" customWidth="1"/>
    <col min="7" max="7" width="11.140625" style="31" customWidth="1"/>
    <col min="8" max="8" width="9.42578125" style="31" customWidth="1"/>
    <col min="9" max="9" width="7.140625" style="31" customWidth="1"/>
    <col min="10" max="10" width="13.7109375" style="31" customWidth="1"/>
    <col min="11" max="11" width="11.140625" style="31" customWidth="1"/>
    <col min="12" max="12" width="6.7109375" style="31" customWidth="1"/>
    <col min="13" max="13" width="13.7109375" style="62" customWidth="1"/>
    <col min="14" max="14" width="8.7109375" style="31" customWidth="1"/>
    <col min="15" max="15" width="6.42578125" style="31" customWidth="1"/>
    <col min="16" max="16" width="11.140625" style="31" customWidth="1"/>
    <col min="17" max="17" width="15" style="19" customWidth="1"/>
    <col min="18" max="18" width="16.28515625" style="31" customWidth="1"/>
    <col min="19" max="19" width="2.5703125" customWidth="1"/>
    <col min="21" max="21" width="21.5703125" customWidth="1"/>
  </cols>
  <sheetData>
    <row r="1" spans="1:21" ht="15.75">
      <c r="B1" s="104" t="s">
        <v>29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</row>
    <row r="2" spans="1:21" ht="15.75">
      <c r="B2" s="104" t="s">
        <v>16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</row>
    <row r="3" spans="1:21">
      <c r="E3" s="39"/>
      <c r="F3" s="40"/>
      <c r="G3" s="40"/>
      <c r="H3" s="40"/>
      <c r="I3" s="40"/>
      <c r="J3" s="40"/>
      <c r="K3" s="40"/>
      <c r="L3" s="40"/>
      <c r="M3" s="41"/>
      <c r="N3" s="39"/>
      <c r="O3" s="40"/>
      <c r="P3" s="40"/>
      <c r="Q3" s="42"/>
    </row>
    <row r="4" spans="1:21">
      <c r="A4" s="16"/>
      <c r="B4" s="108">
        <v>44682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6"/>
    </row>
    <row r="5" spans="1:21">
      <c r="A5" s="17"/>
      <c r="B5" s="103" t="s">
        <v>17</v>
      </c>
      <c r="C5" s="103" t="s">
        <v>18</v>
      </c>
      <c r="D5" s="103" t="s">
        <v>13</v>
      </c>
      <c r="E5" s="109" t="s">
        <v>30</v>
      </c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10" t="s">
        <v>31</v>
      </c>
      <c r="R5" s="110"/>
      <c r="S5" s="18"/>
    </row>
    <row r="6" spans="1:21" s="19" customFormat="1">
      <c r="A6" s="17"/>
      <c r="B6" s="103"/>
      <c r="C6" s="103"/>
      <c r="D6" s="103"/>
      <c r="E6" s="109" t="s">
        <v>32</v>
      </c>
      <c r="F6" s="109"/>
      <c r="G6" s="109"/>
      <c r="H6" s="109" t="s">
        <v>33</v>
      </c>
      <c r="I6" s="109"/>
      <c r="J6" s="109"/>
      <c r="K6" s="109" t="s">
        <v>34</v>
      </c>
      <c r="L6" s="109"/>
      <c r="M6" s="109"/>
      <c r="N6" s="111" t="s">
        <v>35</v>
      </c>
      <c r="O6" s="111"/>
      <c r="P6" s="111"/>
      <c r="Q6" s="110"/>
      <c r="R6" s="110"/>
      <c r="S6" s="18"/>
    </row>
    <row r="7" spans="1:21" ht="22.5">
      <c r="A7" s="20"/>
      <c r="B7" s="103"/>
      <c r="C7" s="103"/>
      <c r="D7" s="103"/>
      <c r="E7" s="103" t="s">
        <v>36</v>
      </c>
      <c r="F7" s="112" t="s">
        <v>37</v>
      </c>
      <c r="G7" s="43" t="s">
        <v>38</v>
      </c>
      <c r="H7" s="103" t="s">
        <v>39</v>
      </c>
      <c r="I7" s="103" t="s">
        <v>37</v>
      </c>
      <c r="J7" s="43" t="s">
        <v>38</v>
      </c>
      <c r="K7" s="103" t="s">
        <v>36</v>
      </c>
      <c r="L7" s="103" t="s">
        <v>37</v>
      </c>
      <c r="M7" s="43" t="s">
        <v>40</v>
      </c>
      <c r="N7" s="103" t="s">
        <v>41</v>
      </c>
      <c r="O7" s="103" t="s">
        <v>37</v>
      </c>
      <c r="P7" s="43" t="s">
        <v>40</v>
      </c>
      <c r="Q7" s="110"/>
      <c r="R7" s="110"/>
      <c r="S7" s="21"/>
    </row>
    <row r="8" spans="1:21">
      <c r="A8" s="20"/>
      <c r="B8" s="103"/>
      <c r="C8" s="103"/>
      <c r="D8" s="103"/>
      <c r="E8" s="103"/>
      <c r="F8" s="113"/>
      <c r="G8" s="44">
        <v>15840</v>
      </c>
      <c r="H8" s="103"/>
      <c r="I8" s="103"/>
      <c r="J8" s="44">
        <f>G8</f>
        <v>15840</v>
      </c>
      <c r="K8" s="103"/>
      <c r="L8" s="103"/>
      <c r="M8" s="44">
        <f>J8</f>
        <v>15840</v>
      </c>
      <c r="N8" s="103"/>
      <c r="O8" s="103"/>
      <c r="P8" s="44">
        <f>J8</f>
        <v>15840</v>
      </c>
      <c r="Q8" s="45" t="s">
        <v>42</v>
      </c>
      <c r="R8" s="43" t="s">
        <v>23</v>
      </c>
      <c r="S8" s="21"/>
      <c r="U8">
        <f>792000/50</f>
        <v>15840</v>
      </c>
    </row>
    <row r="9" spans="1:21">
      <c r="A9" s="20"/>
      <c r="B9" s="22">
        <v>1</v>
      </c>
      <c r="C9" s="46">
        <f>Electricity!C8</f>
        <v>54</v>
      </c>
      <c r="D9" s="47">
        <f>Electricity!D8</f>
        <v>231</v>
      </c>
      <c r="E9" s="94">
        <v>9550.2000000000007</v>
      </c>
      <c r="F9" s="101">
        <v>19.79</v>
      </c>
      <c r="G9" s="49">
        <f>F9*$G$8</f>
        <v>313473.59999999998</v>
      </c>
      <c r="H9" s="48">
        <v>680.15</v>
      </c>
      <c r="I9" s="95">
        <v>21</v>
      </c>
      <c r="J9" s="49">
        <f>I9*$J$8</f>
        <v>332640</v>
      </c>
      <c r="K9" s="48"/>
      <c r="L9" s="24">
        <v>0</v>
      </c>
      <c r="M9" s="25">
        <f>L9*$M$8</f>
        <v>0</v>
      </c>
      <c r="N9" s="48"/>
      <c r="O9" s="24">
        <v>7.14</v>
      </c>
      <c r="P9" s="50">
        <f>O9*$P$8</f>
        <v>113097.59999999999</v>
      </c>
      <c r="Q9" s="51">
        <f>P9+G9+J9+M9</f>
        <v>759211.2</v>
      </c>
      <c r="R9" s="52">
        <f>Q9/14381</f>
        <v>52.792656977957023</v>
      </c>
      <c r="S9" s="21"/>
    </row>
    <row r="10" spans="1:21">
      <c r="A10" s="20"/>
      <c r="B10" s="22">
        <v>2</v>
      </c>
      <c r="C10" s="46">
        <f>Electricity!C9</f>
        <v>54</v>
      </c>
      <c r="D10" s="47">
        <f>Electricity!D9</f>
        <v>281</v>
      </c>
      <c r="E10" s="94">
        <v>9569.4</v>
      </c>
      <c r="F10" s="102">
        <v>19.2</v>
      </c>
      <c r="G10" s="49">
        <f>F10*$G$8</f>
        <v>304128</v>
      </c>
      <c r="H10" s="48">
        <v>689.16</v>
      </c>
      <c r="I10" s="95">
        <v>36</v>
      </c>
      <c r="J10" s="49">
        <f>I10*$J$8</f>
        <v>570240</v>
      </c>
      <c r="K10" s="48"/>
      <c r="L10" s="24">
        <v>0</v>
      </c>
      <c r="M10" s="25">
        <f t="shared" ref="M10:M39" si="0">L10*$M$8</f>
        <v>0</v>
      </c>
      <c r="N10" s="48"/>
      <c r="O10" s="24">
        <v>7.14</v>
      </c>
      <c r="P10" s="50">
        <f>O10*$P$8</f>
        <v>113097.59999999999</v>
      </c>
      <c r="Q10" s="51">
        <f>J10+M10+G10+P10</f>
        <v>987465.6</v>
      </c>
      <c r="R10" s="52">
        <f t="shared" ref="R10:R39" si="1">Q10/14381</f>
        <v>68.664599123843956</v>
      </c>
      <c r="S10" s="21"/>
    </row>
    <row r="11" spans="1:21">
      <c r="A11" s="20"/>
      <c r="B11" s="22">
        <v>3</v>
      </c>
      <c r="C11" s="46">
        <f>Electricity!C10</f>
        <v>44</v>
      </c>
      <c r="D11" s="47">
        <f>Electricity!D10</f>
        <v>242</v>
      </c>
      <c r="E11" s="94">
        <v>9586.4599999999991</v>
      </c>
      <c r="F11" s="102">
        <v>17.059999999999999</v>
      </c>
      <c r="G11" s="49">
        <f t="shared" ref="G11:G39" si="2">F11*$G$8</f>
        <v>270230.39999999997</v>
      </c>
      <c r="H11" s="48">
        <v>695.35</v>
      </c>
      <c r="I11" s="95">
        <v>25</v>
      </c>
      <c r="J11" s="49">
        <f t="shared" ref="J11:J39" si="3">I11*$J$8</f>
        <v>396000</v>
      </c>
      <c r="K11" s="48"/>
      <c r="L11" s="24">
        <v>0</v>
      </c>
      <c r="M11" s="25">
        <f t="shared" si="0"/>
        <v>0</v>
      </c>
      <c r="N11" s="48"/>
      <c r="O11" s="24">
        <v>7.14</v>
      </c>
      <c r="P11" s="50">
        <f t="shared" ref="P11:P39" si="4">O11*$P$8</f>
        <v>113097.59999999999</v>
      </c>
      <c r="Q11" s="51">
        <f t="shared" ref="Q11:Q39" si="5">J11+M11+G11+P11</f>
        <v>779327.99999999988</v>
      </c>
      <c r="R11" s="52">
        <f t="shared" si="1"/>
        <v>54.191502677143447</v>
      </c>
      <c r="S11" s="21"/>
    </row>
    <row r="12" spans="1:21">
      <c r="A12" s="20"/>
      <c r="B12" s="22">
        <v>4</v>
      </c>
      <c r="C12" s="46">
        <f>Electricity!C11</f>
        <v>55</v>
      </c>
      <c r="D12" s="47">
        <f>Electricity!D11</f>
        <v>219</v>
      </c>
      <c r="E12" s="94">
        <v>9605.07</v>
      </c>
      <c r="F12" s="102">
        <v>18.61</v>
      </c>
      <c r="G12" s="49">
        <f t="shared" si="2"/>
        <v>294782.39999999997</v>
      </c>
      <c r="H12" s="48">
        <v>701.29</v>
      </c>
      <c r="I12" s="95">
        <v>24</v>
      </c>
      <c r="J12" s="49">
        <f t="shared" si="3"/>
        <v>380160</v>
      </c>
      <c r="K12" s="48"/>
      <c r="L12" s="24">
        <v>0</v>
      </c>
      <c r="M12" s="25">
        <f t="shared" si="0"/>
        <v>0</v>
      </c>
      <c r="N12" s="48"/>
      <c r="O12" s="24">
        <v>7.14</v>
      </c>
      <c r="P12" s="50">
        <f t="shared" si="4"/>
        <v>113097.59999999999</v>
      </c>
      <c r="Q12" s="51">
        <f t="shared" si="5"/>
        <v>788039.99999999988</v>
      </c>
      <c r="R12" s="52">
        <f t="shared" si="1"/>
        <v>54.797301995688748</v>
      </c>
      <c r="S12" s="21"/>
    </row>
    <row r="13" spans="1:21">
      <c r="A13" s="20"/>
      <c r="B13" s="22">
        <v>5</v>
      </c>
      <c r="C13" s="46">
        <f>Electricity!C12</f>
        <v>54</v>
      </c>
      <c r="D13" s="47">
        <f>Electricity!D12</f>
        <v>254</v>
      </c>
      <c r="E13" s="94">
        <v>9624.33</v>
      </c>
      <c r="F13" s="102">
        <v>19.260000000000002</v>
      </c>
      <c r="G13" s="49">
        <f t="shared" si="2"/>
        <v>305078.40000000002</v>
      </c>
      <c r="H13" s="48">
        <v>707.3</v>
      </c>
      <c r="I13" s="95">
        <v>24</v>
      </c>
      <c r="J13" s="49">
        <f t="shared" si="3"/>
        <v>380160</v>
      </c>
      <c r="K13" s="48"/>
      <c r="L13" s="24">
        <v>0</v>
      </c>
      <c r="M13" s="25">
        <f t="shared" si="0"/>
        <v>0</v>
      </c>
      <c r="N13" s="48"/>
      <c r="O13" s="24">
        <v>7.14</v>
      </c>
      <c r="P13" s="50">
        <f t="shared" si="4"/>
        <v>113097.59999999999</v>
      </c>
      <c r="Q13" s="51">
        <f t="shared" si="5"/>
        <v>798336</v>
      </c>
      <c r="R13" s="52">
        <f t="shared" si="1"/>
        <v>55.513246644878656</v>
      </c>
      <c r="S13" s="21"/>
    </row>
    <row r="14" spans="1:21">
      <c r="A14" s="20"/>
      <c r="B14" s="22">
        <v>6</v>
      </c>
      <c r="C14" s="46">
        <f>Electricity!C13</f>
        <v>48</v>
      </c>
      <c r="D14" s="47">
        <f>Electricity!D13</f>
        <v>215</v>
      </c>
      <c r="E14" s="94">
        <v>9641.4699999999993</v>
      </c>
      <c r="F14" s="102">
        <v>17.14</v>
      </c>
      <c r="G14" s="49">
        <f t="shared" si="2"/>
        <v>271497.60000000003</v>
      </c>
      <c r="H14" s="48">
        <v>714.06</v>
      </c>
      <c r="I14" s="95">
        <v>27</v>
      </c>
      <c r="J14" s="49">
        <f t="shared" si="3"/>
        <v>427680</v>
      </c>
      <c r="K14" s="48"/>
      <c r="L14" s="24">
        <v>0</v>
      </c>
      <c r="M14" s="25">
        <f t="shared" si="0"/>
        <v>0</v>
      </c>
      <c r="N14" s="48"/>
      <c r="O14" s="24">
        <v>7.14</v>
      </c>
      <c r="P14" s="50">
        <f t="shared" si="4"/>
        <v>113097.59999999999</v>
      </c>
      <c r="Q14" s="51">
        <f t="shared" si="5"/>
        <v>812275.20000000007</v>
      </c>
      <c r="R14" s="52">
        <f t="shared" si="1"/>
        <v>56.482525554551145</v>
      </c>
      <c r="S14" s="21"/>
    </row>
    <row r="15" spans="1:21">
      <c r="A15" s="20"/>
      <c r="B15" s="22">
        <v>7</v>
      </c>
      <c r="C15" s="46">
        <f>Electricity!C14</f>
        <v>33</v>
      </c>
      <c r="D15" s="47">
        <f>Electricity!D14</f>
        <v>209</v>
      </c>
      <c r="E15" s="94">
        <v>9659.01</v>
      </c>
      <c r="F15" s="102">
        <v>17.54</v>
      </c>
      <c r="G15" s="49">
        <f t="shared" si="2"/>
        <v>277833.59999999998</v>
      </c>
      <c r="H15" s="48">
        <v>720.35</v>
      </c>
      <c r="I15" s="95">
        <v>25</v>
      </c>
      <c r="J15" s="49">
        <f t="shared" si="3"/>
        <v>396000</v>
      </c>
      <c r="K15" s="48"/>
      <c r="L15" s="24">
        <v>0</v>
      </c>
      <c r="M15" s="25">
        <f t="shared" si="0"/>
        <v>0</v>
      </c>
      <c r="N15" s="48"/>
      <c r="O15" s="24">
        <v>7.14</v>
      </c>
      <c r="P15" s="50">
        <f t="shared" si="4"/>
        <v>113097.59999999999</v>
      </c>
      <c r="Q15" s="51">
        <f t="shared" si="5"/>
        <v>786931.19999999995</v>
      </c>
      <c r="R15" s="52">
        <f t="shared" si="1"/>
        <v>54.720200264237533</v>
      </c>
      <c r="S15" s="21"/>
    </row>
    <row r="16" spans="1:21">
      <c r="A16" s="20"/>
      <c r="B16" s="22">
        <v>8</v>
      </c>
      <c r="C16" s="46">
        <f>Electricity!C15</f>
        <v>31</v>
      </c>
      <c r="D16" s="47">
        <f>Electricity!D15</f>
        <v>160</v>
      </c>
      <c r="E16" s="94">
        <v>9675.7199999999993</v>
      </c>
      <c r="F16" s="102">
        <v>16.71</v>
      </c>
      <c r="G16" s="49">
        <f t="shared" si="2"/>
        <v>264686.40000000002</v>
      </c>
      <c r="H16" s="48">
        <v>726.45</v>
      </c>
      <c r="I16" s="95">
        <v>25</v>
      </c>
      <c r="J16" s="49">
        <f t="shared" si="3"/>
        <v>396000</v>
      </c>
      <c r="K16" s="48"/>
      <c r="L16" s="24">
        <v>0</v>
      </c>
      <c r="M16" s="25">
        <f t="shared" si="0"/>
        <v>0</v>
      </c>
      <c r="N16" s="48"/>
      <c r="O16" s="24">
        <v>7.14</v>
      </c>
      <c r="P16" s="50">
        <f t="shared" si="4"/>
        <v>113097.59999999999</v>
      </c>
      <c r="Q16" s="51">
        <f t="shared" si="5"/>
        <v>773784</v>
      </c>
      <c r="R16" s="52">
        <f t="shared" si="1"/>
        <v>53.805994019887351</v>
      </c>
      <c r="S16" s="21"/>
    </row>
    <row r="17" spans="1:19">
      <c r="A17" s="20"/>
      <c r="B17" s="22">
        <v>9</v>
      </c>
      <c r="C17" s="46">
        <f>Electricity!C16</f>
        <v>26</v>
      </c>
      <c r="D17" s="47">
        <f>Electricity!D16</f>
        <v>164</v>
      </c>
      <c r="E17" s="82">
        <v>9694.39</v>
      </c>
      <c r="F17" s="102">
        <v>18.670000000000002</v>
      </c>
      <c r="G17" s="49">
        <f t="shared" si="2"/>
        <v>295732.80000000005</v>
      </c>
      <c r="H17" s="48">
        <v>732.59</v>
      </c>
      <c r="I17" s="95">
        <v>25</v>
      </c>
      <c r="J17" s="49">
        <f t="shared" si="3"/>
        <v>396000</v>
      </c>
      <c r="K17" s="48"/>
      <c r="L17" s="24">
        <v>0</v>
      </c>
      <c r="M17" s="25">
        <f t="shared" si="0"/>
        <v>0</v>
      </c>
      <c r="N17" s="48"/>
      <c r="O17" s="24">
        <v>7.14</v>
      </c>
      <c r="P17" s="50">
        <f t="shared" si="4"/>
        <v>113097.59999999999</v>
      </c>
      <c r="Q17" s="51">
        <f t="shared" si="5"/>
        <v>804830.4</v>
      </c>
      <c r="R17" s="52">
        <f t="shared" si="1"/>
        <v>55.96484250052152</v>
      </c>
      <c r="S17" s="21"/>
    </row>
    <row r="18" spans="1:19">
      <c r="A18" s="20"/>
      <c r="B18" s="22">
        <v>10</v>
      </c>
      <c r="C18" s="46">
        <f>Electricity!C17</f>
        <v>17</v>
      </c>
      <c r="D18" s="47">
        <f>Electricity!D17</f>
        <v>119</v>
      </c>
      <c r="E18" s="94">
        <v>9712.93</v>
      </c>
      <c r="F18" s="102">
        <v>18.54</v>
      </c>
      <c r="G18" s="49">
        <f t="shared" si="2"/>
        <v>293673.59999999998</v>
      </c>
      <c r="H18" s="48">
        <v>738.7</v>
      </c>
      <c r="I18" s="95">
        <v>25</v>
      </c>
      <c r="J18" s="49">
        <f t="shared" si="3"/>
        <v>396000</v>
      </c>
      <c r="K18" s="48"/>
      <c r="L18" s="24">
        <v>0</v>
      </c>
      <c r="M18" s="25">
        <f t="shared" si="0"/>
        <v>0</v>
      </c>
      <c r="N18" s="48"/>
      <c r="O18" s="24">
        <v>7.14</v>
      </c>
      <c r="P18" s="50">
        <f t="shared" si="4"/>
        <v>113097.59999999999</v>
      </c>
      <c r="Q18" s="51">
        <f t="shared" si="5"/>
        <v>802771.2</v>
      </c>
      <c r="R18" s="52">
        <f t="shared" si="1"/>
        <v>55.821653570683537</v>
      </c>
      <c r="S18" s="21"/>
    </row>
    <row r="19" spans="1:19">
      <c r="A19" s="20"/>
      <c r="B19" s="22">
        <v>11</v>
      </c>
      <c r="C19" s="46">
        <f>Electricity!C18</f>
        <v>16</v>
      </c>
      <c r="D19" s="47">
        <f>Electricity!D18</f>
        <v>87</v>
      </c>
      <c r="E19" s="94">
        <v>9727.92</v>
      </c>
      <c r="F19" s="102">
        <v>14.99</v>
      </c>
      <c r="G19" s="49">
        <f t="shared" si="2"/>
        <v>237441.6</v>
      </c>
      <c r="H19" s="48">
        <v>749.8</v>
      </c>
      <c r="I19" s="95">
        <v>45</v>
      </c>
      <c r="J19" s="49">
        <f t="shared" si="3"/>
        <v>712800</v>
      </c>
      <c r="K19" s="48"/>
      <c r="L19" s="24">
        <v>0</v>
      </c>
      <c r="M19" s="25">
        <f t="shared" si="0"/>
        <v>0</v>
      </c>
      <c r="N19" s="48"/>
      <c r="O19" s="24">
        <v>7.14</v>
      </c>
      <c r="P19" s="50">
        <f t="shared" si="4"/>
        <v>113097.59999999999</v>
      </c>
      <c r="Q19" s="51">
        <f t="shared" si="5"/>
        <v>1063339.2</v>
      </c>
      <c r="R19" s="52">
        <f t="shared" si="1"/>
        <v>73.940560461720324</v>
      </c>
      <c r="S19" s="21"/>
    </row>
    <row r="20" spans="1:19">
      <c r="A20" s="20"/>
      <c r="B20" s="22">
        <v>12</v>
      </c>
      <c r="C20" s="46">
        <f>Electricity!C19</f>
        <v>17</v>
      </c>
      <c r="D20" s="47">
        <f>Electricity!D19</f>
        <v>66</v>
      </c>
      <c r="E20" s="94">
        <v>9742.99</v>
      </c>
      <c r="F20" s="102">
        <v>15.07</v>
      </c>
      <c r="G20" s="49">
        <f t="shared" si="2"/>
        <v>238708.80000000002</v>
      </c>
      <c r="H20" s="48">
        <v>750.5</v>
      </c>
      <c r="I20" s="95">
        <v>3</v>
      </c>
      <c r="J20" s="49">
        <f t="shared" si="3"/>
        <v>47520</v>
      </c>
      <c r="K20" s="48"/>
      <c r="L20" s="24">
        <v>0</v>
      </c>
      <c r="M20" s="25">
        <f t="shared" si="0"/>
        <v>0</v>
      </c>
      <c r="N20" s="48"/>
      <c r="O20" s="24">
        <v>7.14</v>
      </c>
      <c r="P20" s="50">
        <f t="shared" si="4"/>
        <v>113097.59999999999</v>
      </c>
      <c r="Q20" s="51">
        <f t="shared" si="5"/>
        <v>399326.4</v>
      </c>
      <c r="R20" s="52">
        <f t="shared" si="1"/>
        <v>27.767637855503793</v>
      </c>
      <c r="S20" s="21"/>
    </row>
    <row r="21" spans="1:19">
      <c r="A21" s="20"/>
      <c r="B21" s="22">
        <v>13</v>
      </c>
      <c r="C21" s="46">
        <f>Electricity!C20</f>
        <v>17</v>
      </c>
      <c r="D21" s="47">
        <f>Electricity!D20</f>
        <v>78</v>
      </c>
      <c r="E21" s="94">
        <v>9758.76</v>
      </c>
      <c r="F21" s="102">
        <v>15.77</v>
      </c>
      <c r="G21" s="49">
        <f t="shared" si="2"/>
        <v>249796.8</v>
      </c>
      <c r="H21" s="48">
        <v>754.14</v>
      </c>
      <c r="I21" s="95">
        <v>15</v>
      </c>
      <c r="J21" s="49">
        <f t="shared" si="3"/>
        <v>237600</v>
      </c>
      <c r="K21" s="48"/>
      <c r="L21" s="24">
        <v>0</v>
      </c>
      <c r="M21" s="25">
        <f t="shared" si="0"/>
        <v>0</v>
      </c>
      <c r="N21" s="48"/>
      <c r="O21" s="24">
        <v>7.14</v>
      </c>
      <c r="P21" s="50">
        <f t="shared" si="4"/>
        <v>113097.59999999999</v>
      </c>
      <c r="Q21" s="51">
        <f t="shared" si="5"/>
        <v>600494.4</v>
      </c>
      <c r="R21" s="52">
        <f t="shared" si="1"/>
        <v>41.756094847368054</v>
      </c>
      <c r="S21" s="21"/>
    </row>
    <row r="22" spans="1:19">
      <c r="A22" s="20"/>
      <c r="B22" s="22">
        <v>14</v>
      </c>
      <c r="C22" s="46">
        <f>Electricity!C21</f>
        <v>17</v>
      </c>
      <c r="D22" s="47">
        <f>Electricity!D21</f>
        <v>93</v>
      </c>
      <c r="E22" s="94">
        <v>9775.02</v>
      </c>
      <c r="F22" s="102">
        <v>16.260000000000002</v>
      </c>
      <c r="G22" s="49">
        <f t="shared" si="2"/>
        <v>257558.40000000002</v>
      </c>
      <c r="H22" s="48">
        <v>760.09</v>
      </c>
      <c r="I22" s="95">
        <v>24</v>
      </c>
      <c r="J22" s="49">
        <f t="shared" si="3"/>
        <v>380160</v>
      </c>
      <c r="K22" s="48"/>
      <c r="L22" s="24">
        <v>0</v>
      </c>
      <c r="M22" s="25">
        <f t="shared" si="0"/>
        <v>0</v>
      </c>
      <c r="N22" s="48"/>
      <c r="O22" s="24">
        <v>7.14</v>
      </c>
      <c r="P22" s="50">
        <f t="shared" si="4"/>
        <v>113097.59999999999</v>
      </c>
      <c r="Q22" s="51">
        <f t="shared" si="5"/>
        <v>750816</v>
      </c>
      <c r="R22" s="52">
        <f t="shared" si="1"/>
        <v>52.208886725540644</v>
      </c>
      <c r="S22" s="21"/>
    </row>
    <row r="23" spans="1:19">
      <c r="A23" s="20"/>
      <c r="B23" s="22">
        <v>15</v>
      </c>
      <c r="C23" s="46">
        <f>Electricity!C22</f>
        <v>26</v>
      </c>
      <c r="D23" s="47">
        <f>Electricity!D22</f>
        <v>112</v>
      </c>
      <c r="E23" s="94">
        <v>9791.39</v>
      </c>
      <c r="F23" s="102">
        <v>16.37</v>
      </c>
      <c r="G23" s="49">
        <f t="shared" si="2"/>
        <v>259300.80000000002</v>
      </c>
      <c r="H23" s="48">
        <v>765.87</v>
      </c>
      <c r="I23" s="95">
        <v>23</v>
      </c>
      <c r="J23" s="49">
        <f t="shared" si="3"/>
        <v>364320</v>
      </c>
      <c r="K23" s="48"/>
      <c r="L23" s="24">
        <v>0</v>
      </c>
      <c r="M23" s="25">
        <f t="shared" si="0"/>
        <v>0</v>
      </c>
      <c r="N23" s="48"/>
      <c r="O23" s="24">
        <v>7.14</v>
      </c>
      <c r="P23" s="50">
        <f t="shared" si="4"/>
        <v>113097.59999999999</v>
      </c>
      <c r="Q23" s="51">
        <f t="shared" si="5"/>
        <v>736718.4</v>
      </c>
      <c r="R23" s="52">
        <f t="shared" si="1"/>
        <v>51.228593282803701</v>
      </c>
      <c r="S23" s="21"/>
    </row>
    <row r="24" spans="1:19">
      <c r="A24" s="20"/>
      <c r="B24" s="22">
        <v>16</v>
      </c>
      <c r="C24" s="46">
        <f>Electricity!C23</f>
        <v>21</v>
      </c>
      <c r="D24" s="47">
        <f>Electricity!D23</f>
        <v>112</v>
      </c>
      <c r="E24" s="94">
        <v>9809.58</v>
      </c>
      <c r="F24" s="102">
        <v>18.190000000000001</v>
      </c>
      <c r="G24" s="49">
        <f t="shared" si="2"/>
        <v>288129.60000000003</v>
      </c>
      <c r="H24" s="48">
        <v>772.31</v>
      </c>
      <c r="I24" s="95">
        <v>26</v>
      </c>
      <c r="J24" s="49">
        <f t="shared" si="3"/>
        <v>411840</v>
      </c>
      <c r="K24" s="48"/>
      <c r="L24" s="24">
        <v>0</v>
      </c>
      <c r="M24" s="25">
        <f t="shared" si="0"/>
        <v>0</v>
      </c>
      <c r="N24" s="48"/>
      <c r="O24" s="24">
        <v>7.14</v>
      </c>
      <c r="P24" s="50">
        <f t="shared" si="4"/>
        <v>113097.59999999999</v>
      </c>
      <c r="Q24" s="51">
        <f t="shared" si="5"/>
        <v>813067.20000000007</v>
      </c>
      <c r="R24" s="52">
        <f t="shared" si="1"/>
        <v>56.537598219873452</v>
      </c>
      <c r="S24" s="21"/>
    </row>
    <row r="25" spans="1:19">
      <c r="A25" s="20"/>
      <c r="B25" s="22">
        <v>17</v>
      </c>
      <c r="C25" s="46">
        <f>Electricity!C24</f>
        <v>22</v>
      </c>
      <c r="D25" s="47">
        <f>Electricity!D24</f>
        <v>119</v>
      </c>
      <c r="E25" s="94">
        <v>9825.33</v>
      </c>
      <c r="F25" s="102">
        <v>15.75</v>
      </c>
      <c r="G25" s="49">
        <f t="shared" si="2"/>
        <v>249480</v>
      </c>
      <c r="H25" s="48">
        <v>778.51</v>
      </c>
      <c r="I25" s="95">
        <v>25</v>
      </c>
      <c r="J25" s="49">
        <f t="shared" si="3"/>
        <v>396000</v>
      </c>
      <c r="K25" s="48"/>
      <c r="L25" s="24">
        <v>0</v>
      </c>
      <c r="M25" s="25">
        <f t="shared" si="0"/>
        <v>0</v>
      </c>
      <c r="N25" s="48"/>
      <c r="O25" s="24">
        <v>7.14</v>
      </c>
      <c r="P25" s="50">
        <f t="shared" si="4"/>
        <v>113097.59999999999</v>
      </c>
      <c r="Q25" s="51">
        <f t="shared" si="5"/>
        <v>758577.6</v>
      </c>
      <c r="R25" s="52">
        <f t="shared" si="1"/>
        <v>52.748598845699185</v>
      </c>
      <c r="S25" s="21"/>
    </row>
    <row r="26" spans="1:19">
      <c r="A26" s="20"/>
      <c r="B26" s="22">
        <v>18</v>
      </c>
      <c r="C26" s="46">
        <f>Electricity!C25</f>
        <v>19</v>
      </c>
      <c r="D26" s="47">
        <f>Electricity!D25</f>
        <v>125</v>
      </c>
      <c r="E26" s="94">
        <v>9839.85</v>
      </c>
      <c r="F26" s="102">
        <v>14.52</v>
      </c>
      <c r="G26" s="49">
        <f t="shared" si="2"/>
        <v>229996.79999999999</v>
      </c>
      <c r="H26" s="48">
        <v>784.3</v>
      </c>
      <c r="I26" s="95">
        <v>23</v>
      </c>
      <c r="J26" s="49">
        <f t="shared" si="3"/>
        <v>364320</v>
      </c>
      <c r="K26" s="48"/>
      <c r="L26" s="24">
        <v>0</v>
      </c>
      <c r="M26" s="25">
        <f t="shared" si="0"/>
        <v>0</v>
      </c>
      <c r="N26" s="48"/>
      <c r="O26" s="24">
        <v>7.14</v>
      </c>
      <c r="P26" s="50">
        <f t="shared" si="4"/>
        <v>113097.59999999999</v>
      </c>
      <c r="Q26" s="51">
        <f t="shared" si="5"/>
        <v>707414.4</v>
      </c>
      <c r="R26" s="52">
        <f t="shared" si="1"/>
        <v>49.190904665878591</v>
      </c>
      <c r="S26" s="21"/>
    </row>
    <row r="27" spans="1:19">
      <c r="A27" s="20"/>
      <c r="B27" s="22">
        <v>19</v>
      </c>
      <c r="C27" s="46">
        <f>Electricity!C26</f>
        <v>18</v>
      </c>
      <c r="D27" s="47">
        <f>Electricity!D26</f>
        <v>82</v>
      </c>
      <c r="E27" s="81">
        <v>9856.5499999999993</v>
      </c>
      <c r="F27" s="102">
        <v>16.7</v>
      </c>
      <c r="G27" s="49">
        <f t="shared" si="2"/>
        <v>264528</v>
      </c>
      <c r="H27" s="48">
        <v>789.6</v>
      </c>
      <c r="I27" s="49">
        <v>21</v>
      </c>
      <c r="J27" s="49">
        <f t="shared" si="3"/>
        <v>332640</v>
      </c>
      <c r="K27" s="48"/>
      <c r="L27" s="24">
        <v>0</v>
      </c>
      <c r="M27" s="25">
        <f t="shared" si="0"/>
        <v>0</v>
      </c>
      <c r="N27" s="48"/>
      <c r="O27" s="24">
        <v>7.14</v>
      </c>
      <c r="P27" s="50">
        <f t="shared" si="4"/>
        <v>113097.59999999999</v>
      </c>
      <c r="Q27" s="51">
        <f t="shared" si="5"/>
        <v>710265.6</v>
      </c>
      <c r="R27" s="52">
        <f t="shared" si="1"/>
        <v>49.389166261038866</v>
      </c>
      <c r="S27" s="21"/>
    </row>
    <row r="28" spans="1:19">
      <c r="A28" s="20"/>
      <c r="B28" s="22">
        <v>20</v>
      </c>
      <c r="C28" s="46">
        <f>Electricity!C27</f>
        <v>22</v>
      </c>
      <c r="D28" s="47">
        <f>Electricity!D27</f>
        <v>121</v>
      </c>
      <c r="E28" s="81">
        <v>9872.4599999999991</v>
      </c>
      <c r="F28" s="102">
        <v>15.91</v>
      </c>
      <c r="G28" s="49">
        <f t="shared" si="2"/>
        <v>252014.4</v>
      </c>
      <c r="H28" s="48">
        <v>795.7</v>
      </c>
      <c r="I28" s="49">
        <v>25</v>
      </c>
      <c r="J28" s="49">
        <f t="shared" si="3"/>
        <v>396000</v>
      </c>
      <c r="K28" s="48"/>
      <c r="L28" s="24">
        <v>0</v>
      </c>
      <c r="M28" s="25">
        <f t="shared" si="0"/>
        <v>0</v>
      </c>
      <c r="N28" s="48"/>
      <c r="O28" s="24">
        <v>7.14</v>
      </c>
      <c r="P28" s="50">
        <f t="shared" si="4"/>
        <v>113097.59999999999</v>
      </c>
      <c r="Q28" s="51">
        <f t="shared" si="5"/>
        <v>761112</v>
      </c>
      <c r="R28" s="52">
        <f t="shared" si="1"/>
        <v>52.924831374730545</v>
      </c>
      <c r="S28" s="21"/>
    </row>
    <row r="29" spans="1:19">
      <c r="A29" s="20"/>
      <c r="B29" s="22">
        <v>21</v>
      </c>
      <c r="C29" s="46">
        <f>Electricity!C28</f>
        <v>19</v>
      </c>
      <c r="D29" s="47">
        <f>Electricity!D28</f>
        <v>100</v>
      </c>
      <c r="E29" s="81">
        <v>9888.1200000000008</v>
      </c>
      <c r="F29" s="102">
        <v>15.66</v>
      </c>
      <c r="G29" s="49">
        <f t="shared" si="2"/>
        <v>248054.39999999999</v>
      </c>
      <c r="H29" s="48">
        <v>801.7</v>
      </c>
      <c r="I29" s="49">
        <v>24</v>
      </c>
      <c r="J29" s="49">
        <f t="shared" si="3"/>
        <v>380160</v>
      </c>
      <c r="K29" s="48"/>
      <c r="L29" s="24">
        <v>0</v>
      </c>
      <c r="M29" s="25">
        <f t="shared" si="0"/>
        <v>0</v>
      </c>
      <c r="N29" s="48"/>
      <c r="O29" s="24">
        <v>7.14</v>
      </c>
      <c r="P29" s="50">
        <f t="shared" si="4"/>
        <v>113097.59999999999</v>
      </c>
      <c r="Q29" s="51">
        <f t="shared" si="5"/>
        <v>741312</v>
      </c>
      <c r="R29" s="52">
        <f t="shared" si="1"/>
        <v>51.548014741673043</v>
      </c>
      <c r="S29" s="21"/>
    </row>
    <row r="30" spans="1:19">
      <c r="A30" s="20"/>
      <c r="B30" s="22">
        <v>22</v>
      </c>
      <c r="C30" s="46">
        <f>Electricity!C29</f>
        <v>25</v>
      </c>
      <c r="D30" s="47">
        <f>Electricity!D29</f>
        <v>107</v>
      </c>
      <c r="E30" s="81">
        <v>9903.34</v>
      </c>
      <c r="F30" s="102">
        <v>15.22</v>
      </c>
      <c r="G30" s="49">
        <f t="shared" si="2"/>
        <v>241084.80000000002</v>
      </c>
      <c r="H30" s="48">
        <v>807.6</v>
      </c>
      <c r="I30" s="49">
        <v>24</v>
      </c>
      <c r="J30" s="49">
        <f t="shared" si="3"/>
        <v>380160</v>
      </c>
      <c r="K30" s="48"/>
      <c r="L30" s="24">
        <v>0</v>
      </c>
      <c r="M30" s="25">
        <f t="shared" si="0"/>
        <v>0</v>
      </c>
      <c r="N30" s="48"/>
      <c r="O30" s="24">
        <v>7.14</v>
      </c>
      <c r="P30" s="50">
        <f t="shared" si="4"/>
        <v>113097.59999999999</v>
      </c>
      <c r="Q30" s="51">
        <f t="shared" si="5"/>
        <v>734342.4</v>
      </c>
      <c r="R30" s="52">
        <f t="shared" si="1"/>
        <v>51.063375286836802</v>
      </c>
      <c r="S30" s="21"/>
    </row>
    <row r="31" spans="1:19">
      <c r="A31" s="20"/>
      <c r="B31" s="22">
        <v>23</v>
      </c>
      <c r="C31" s="46">
        <f>Electricity!C30</f>
        <v>28</v>
      </c>
      <c r="D31" s="47">
        <f>Electricity!D30</f>
        <v>142</v>
      </c>
      <c r="E31" s="81">
        <v>9920.3700000000008</v>
      </c>
      <c r="F31" s="102">
        <v>17.03</v>
      </c>
      <c r="G31" s="49">
        <f t="shared" si="2"/>
        <v>269755.2</v>
      </c>
      <c r="H31" s="48">
        <v>814.4</v>
      </c>
      <c r="I31" s="49">
        <v>27</v>
      </c>
      <c r="J31" s="49">
        <f t="shared" si="3"/>
        <v>427680</v>
      </c>
      <c r="K31" s="48"/>
      <c r="L31" s="24">
        <v>0</v>
      </c>
      <c r="M31" s="25">
        <f t="shared" si="0"/>
        <v>0</v>
      </c>
      <c r="N31" s="48"/>
      <c r="O31" s="24">
        <v>7.14</v>
      </c>
      <c r="P31" s="50">
        <f t="shared" si="4"/>
        <v>113097.59999999999</v>
      </c>
      <c r="Q31" s="51">
        <f t="shared" si="5"/>
        <v>810532.79999999993</v>
      </c>
      <c r="R31" s="52">
        <f t="shared" si="1"/>
        <v>56.361365690842078</v>
      </c>
      <c r="S31" s="21"/>
    </row>
    <row r="32" spans="1:19">
      <c r="A32" s="20"/>
      <c r="B32" s="22">
        <v>24</v>
      </c>
      <c r="C32" s="46">
        <f>Electricity!C31</f>
        <v>26</v>
      </c>
      <c r="D32" s="47">
        <f>Electricity!D31</f>
        <v>116</v>
      </c>
      <c r="E32" s="81">
        <v>9936.6299999999992</v>
      </c>
      <c r="F32" s="102">
        <v>16.260000000000002</v>
      </c>
      <c r="G32" s="49">
        <f t="shared" si="2"/>
        <v>257558.40000000002</v>
      </c>
      <c r="H32" s="48">
        <v>820.57</v>
      </c>
      <c r="I32" s="49">
        <v>25</v>
      </c>
      <c r="J32" s="49">
        <f t="shared" si="3"/>
        <v>396000</v>
      </c>
      <c r="K32" s="48"/>
      <c r="L32" s="24">
        <v>0</v>
      </c>
      <c r="M32" s="25">
        <f t="shared" si="0"/>
        <v>0</v>
      </c>
      <c r="N32" s="48"/>
      <c r="O32" s="24">
        <v>7.14</v>
      </c>
      <c r="P32" s="50">
        <f t="shared" si="4"/>
        <v>113097.59999999999</v>
      </c>
      <c r="Q32" s="51">
        <f t="shared" si="5"/>
        <v>766656</v>
      </c>
      <c r="R32" s="52">
        <f t="shared" si="1"/>
        <v>53.310340031986648</v>
      </c>
      <c r="S32" s="21"/>
    </row>
    <row r="33" spans="1:21">
      <c r="A33" s="20"/>
      <c r="B33" s="22">
        <v>25</v>
      </c>
      <c r="C33" s="46">
        <f>Electricity!C32</f>
        <v>24</v>
      </c>
      <c r="D33" s="47">
        <f>Electricity!D32</f>
        <v>138</v>
      </c>
      <c r="E33" s="81">
        <v>9953.82</v>
      </c>
      <c r="F33" s="102">
        <v>17.190000000000001</v>
      </c>
      <c r="G33" s="49">
        <f t="shared" si="2"/>
        <v>272289.60000000003</v>
      </c>
      <c r="H33" s="48">
        <v>827.14</v>
      </c>
      <c r="I33" s="49">
        <v>26</v>
      </c>
      <c r="J33" s="49">
        <f t="shared" si="3"/>
        <v>411840</v>
      </c>
      <c r="K33" s="48"/>
      <c r="L33" s="24">
        <v>0</v>
      </c>
      <c r="M33" s="25">
        <f t="shared" si="0"/>
        <v>0</v>
      </c>
      <c r="N33" s="48"/>
      <c r="O33" s="24">
        <v>7.14</v>
      </c>
      <c r="P33" s="50">
        <f t="shared" si="4"/>
        <v>113097.59999999999</v>
      </c>
      <c r="Q33" s="51">
        <f t="shared" si="5"/>
        <v>797227.20000000007</v>
      </c>
      <c r="R33" s="52">
        <f t="shared" si="1"/>
        <v>55.436144913427441</v>
      </c>
      <c r="S33" s="21"/>
    </row>
    <row r="34" spans="1:21">
      <c r="A34" s="20"/>
      <c r="B34" s="22">
        <v>26</v>
      </c>
      <c r="C34" s="46">
        <f>Electricity!C33</f>
        <v>29</v>
      </c>
      <c r="D34" s="47">
        <f>Electricity!D33</f>
        <v>115</v>
      </c>
      <c r="E34" s="81">
        <v>9970.7800000000007</v>
      </c>
      <c r="F34" s="102">
        <v>16.96</v>
      </c>
      <c r="G34" s="49">
        <f t="shared" si="2"/>
        <v>268646.40000000002</v>
      </c>
      <c r="H34" s="48">
        <v>833.09</v>
      </c>
      <c r="I34" s="49">
        <v>24</v>
      </c>
      <c r="J34" s="49">
        <f t="shared" si="3"/>
        <v>380160</v>
      </c>
      <c r="K34" s="48"/>
      <c r="L34" s="24">
        <v>0</v>
      </c>
      <c r="M34" s="25">
        <f t="shared" si="0"/>
        <v>0</v>
      </c>
      <c r="N34" s="48"/>
      <c r="O34" s="24">
        <v>7.14</v>
      </c>
      <c r="P34" s="50">
        <f t="shared" si="4"/>
        <v>113097.59999999999</v>
      </c>
      <c r="Q34" s="51">
        <f t="shared" si="5"/>
        <v>761904</v>
      </c>
      <c r="R34" s="52">
        <f t="shared" si="1"/>
        <v>52.979904040052844</v>
      </c>
      <c r="S34" s="21"/>
    </row>
    <row r="35" spans="1:21">
      <c r="A35" s="20"/>
      <c r="B35" s="22">
        <v>27</v>
      </c>
      <c r="C35" s="46">
        <f>Electricity!C34</f>
        <v>26</v>
      </c>
      <c r="D35" s="47">
        <f>Electricity!D34</f>
        <v>117</v>
      </c>
      <c r="E35" s="81">
        <v>9987.16</v>
      </c>
      <c r="F35" s="102">
        <v>16.38</v>
      </c>
      <c r="G35" s="49">
        <f t="shared" si="2"/>
        <v>259459.19999999998</v>
      </c>
      <c r="H35" s="48">
        <v>839.25</v>
      </c>
      <c r="I35" s="49">
        <v>25</v>
      </c>
      <c r="J35" s="49">
        <f t="shared" si="3"/>
        <v>396000</v>
      </c>
      <c r="K35" s="48"/>
      <c r="L35" s="24">
        <v>0</v>
      </c>
      <c r="M35" s="25">
        <f t="shared" si="0"/>
        <v>0</v>
      </c>
      <c r="N35" s="48"/>
      <c r="O35" s="24">
        <v>7.14</v>
      </c>
      <c r="P35" s="50">
        <f t="shared" si="4"/>
        <v>113097.59999999999</v>
      </c>
      <c r="Q35" s="51">
        <f t="shared" si="5"/>
        <v>768556.79999999993</v>
      </c>
      <c r="R35" s="52">
        <f t="shared" si="1"/>
        <v>53.442514428760163</v>
      </c>
      <c r="S35" s="21"/>
    </row>
    <row r="36" spans="1:21">
      <c r="A36" s="20"/>
      <c r="B36" s="22">
        <v>28</v>
      </c>
      <c r="C36" s="46">
        <f>Electricity!C35</f>
        <v>33</v>
      </c>
      <c r="D36" s="47">
        <f>Electricity!D35</f>
        <v>147</v>
      </c>
      <c r="E36" s="81">
        <v>10000.89</v>
      </c>
      <c r="F36" s="102">
        <v>13.73</v>
      </c>
      <c r="G36" s="49">
        <f t="shared" si="2"/>
        <v>217483.2</v>
      </c>
      <c r="H36" s="48">
        <v>845.83</v>
      </c>
      <c r="I36" s="49">
        <v>27</v>
      </c>
      <c r="J36" s="49">
        <f t="shared" si="3"/>
        <v>427680</v>
      </c>
      <c r="K36" s="48"/>
      <c r="L36" s="24">
        <v>0</v>
      </c>
      <c r="M36" s="25">
        <f t="shared" si="0"/>
        <v>0</v>
      </c>
      <c r="N36" s="48"/>
      <c r="O36" s="24">
        <v>7.14</v>
      </c>
      <c r="P36" s="50">
        <f t="shared" si="4"/>
        <v>113097.59999999999</v>
      </c>
      <c r="Q36" s="51">
        <f t="shared" si="5"/>
        <v>758260.79999999993</v>
      </c>
      <c r="R36" s="52">
        <f t="shared" si="1"/>
        <v>52.726569779570262</v>
      </c>
      <c r="S36" s="21"/>
    </row>
    <row r="37" spans="1:21">
      <c r="A37" s="20"/>
      <c r="B37" s="22">
        <v>29</v>
      </c>
      <c r="C37" s="46">
        <f>Electricity!C36</f>
        <v>22</v>
      </c>
      <c r="D37" s="47">
        <f>Electricity!D36</f>
        <v>150</v>
      </c>
      <c r="E37" s="80">
        <v>10018.56</v>
      </c>
      <c r="F37" s="102">
        <v>17.670000000000002</v>
      </c>
      <c r="G37" s="49">
        <f t="shared" si="2"/>
        <v>279892.80000000005</v>
      </c>
      <c r="H37" s="48">
        <v>851.31</v>
      </c>
      <c r="I37" s="49">
        <v>22</v>
      </c>
      <c r="J37" s="49">
        <f t="shared" si="3"/>
        <v>348480</v>
      </c>
      <c r="K37" s="48"/>
      <c r="L37" s="24">
        <v>0</v>
      </c>
      <c r="M37" s="25">
        <f t="shared" si="0"/>
        <v>0</v>
      </c>
      <c r="N37" s="48"/>
      <c r="O37" s="24">
        <v>7.14</v>
      </c>
      <c r="P37" s="50">
        <f t="shared" si="4"/>
        <v>113097.59999999999</v>
      </c>
      <c r="Q37" s="51">
        <f t="shared" si="5"/>
        <v>741470.4</v>
      </c>
      <c r="R37" s="52">
        <f t="shared" si="1"/>
        <v>51.559029274737505</v>
      </c>
      <c r="S37" s="21"/>
    </row>
    <row r="38" spans="1:21">
      <c r="A38" s="20"/>
      <c r="B38" s="22">
        <v>30</v>
      </c>
      <c r="C38" s="46">
        <f>Electricity!C37</f>
        <v>17</v>
      </c>
      <c r="D38" s="47">
        <f>Electricity!D37</f>
        <v>103</v>
      </c>
      <c r="E38" s="80">
        <v>10036.16</v>
      </c>
      <c r="F38" s="102">
        <v>17.600000000000001</v>
      </c>
      <c r="G38" s="49">
        <f t="shared" si="2"/>
        <v>278784</v>
      </c>
      <c r="H38" s="48">
        <v>854.64</v>
      </c>
      <c r="I38" s="49">
        <v>13</v>
      </c>
      <c r="J38" s="49">
        <f t="shared" si="3"/>
        <v>205920</v>
      </c>
      <c r="K38" s="48"/>
      <c r="L38" s="24">
        <v>0</v>
      </c>
      <c r="M38" s="25">
        <f t="shared" si="0"/>
        <v>0</v>
      </c>
      <c r="N38" s="48"/>
      <c r="O38" s="24">
        <v>7.14</v>
      </c>
      <c r="P38" s="50">
        <f t="shared" si="4"/>
        <v>113097.59999999999</v>
      </c>
      <c r="Q38" s="51">
        <f t="shared" si="5"/>
        <v>597801.6</v>
      </c>
      <c r="R38" s="52">
        <f t="shared" si="1"/>
        <v>41.568847785272233</v>
      </c>
      <c r="S38" s="21"/>
    </row>
    <row r="39" spans="1:21">
      <c r="A39" s="20"/>
      <c r="B39" s="22">
        <v>31</v>
      </c>
      <c r="C39" s="46">
        <f>Electricity!C38</f>
        <v>15</v>
      </c>
      <c r="D39" s="47">
        <f>Electricity!D38</f>
        <v>70</v>
      </c>
      <c r="E39" s="80">
        <v>10052.450000000001</v>
      </c>
      <c r="F39" s="102">
        <v>16.29</v>
      </c>
      <c r="G39" s="49">
        <f t="shared" si="2"/>
        <v>258033.59999999998</v>
      </c>
      <c r="H39" s="48">
        <v>861.51</v>
      </c>
      <c r="I39" s="49">
        <v>28</v>
      </c>
      <c r="J39" s="49">
        <f t="shared" si="3"/>
        <v>443520</v>
      </c>
      <c r="K39" s="48"/>
      <c r="L39" s="24">
        <v>0</v>
      </c>
      <c r="M39" s="25">
        <f t="shared" si="0"/>
        <v>0</v>
      </c>
      <c r="N39" s="48"/>
      <c r="O39" s="24">
        <v>7.14</v>
      </c>
      <c r="P39" s="50">
        <f t="shared" si="4"/>
        <v>113097.59999999999</v>
      </c>
      <c r="Q39" s="51">
        <f t="shared" si="5"/>
        <v>814651.2</v>
      </c>
      <c r="R39" s="52">
        <f t="shared" si="1"/>
        <v>56.647743550518044</v>
      </c>
      <c r="S39" s="21"/>
    </row>
    <row r="40" spans="1:21">
      <c r="C40" s="53">
        <f>SUM(C9:C39)</f>
        <v>875</v>
      </c>
      <c r="D40" s="53">
        <f>SUM(D9:D39)</f>
        <v>4394</v>
      </c>
      <c r="E40" s="30"/>
      <c r="F40" s="30">
        <f>SUM(F9:F39)</f>
        <v>522.04000000000008</v>
      </c>
      <c r="G40" s="40"/>
      <c r="H40" s="40"/>
      <c r="I40" s="30">
        <f>SUM(I9:I39)</f>
        <v>752</v>
      </c>
      <c r="J40" s="40"/>
      <c r="K40" s="40"/>
      <c r="L40" s="30" t="s">
        <v>43</v>
      </c>
      <c r="M40" s="40"/>
      <c r="N40" s="39"/>
      <c r="O40" s="30">
        <f>SUM(O9:O39)</f>
        <v>221.3399999999998</v>
      </c>
      <c r="P40" s="40"/>
      <c r="Q40"/>
      <c r="R40" s="92">
        <f>SUM(R9:R39)</f>
        <v>1647.0912453932276</v>
      </c>
      <c r="U40" s="35"/>
    </row>
    <row r="41" spans="1:21">
      <c r="E41" s="54"/>
      <c r="F41" s="55"/>
      <c r="G41" s="41"/>
      <c r="H41" s="41"/>
      <c r="I41" s="41"/>
      <c r="J41" s="41"/>
      <c r="K41" s="41"/>
      <c r="L41" s="41"/>
      <c r="M41" s="41"/>
      <c r="N41" s="59" t="s">
        <v>44</v>
      </c>
      <c r="O41" s="63">
        <f>F40+I40+O40</f>
        <v>1495.3799999999997</v>
      </c>
      <c r="P41" s="56"/>
      <c r="Q41" s="30"/>
      <c r="R41" s="41"/>
      <c r="U41" s="37"/>
    </row>
    <row r="42" spans="1:21">
      <c r="B42" s="57"/>
      <c r="E42" s="39"/>
      <c r="F42" s="40"/>
      <c r="G42" s="40"/>
      <c r="H42" s="40"/>
      <c r="I42" s="40"/>
      <c r="J42" s="40"/>
      <c r="K42" s="40"/>
      <c r="L42" s="40"/>
      <c r="M42" s="41"/>
      <c r="N42" s="39"/>
      <c r="O42" s="40"/>
      <c r="P42" s="40"/>
      <c r="Q42" s="42"/>
      <c r="R42" s="58"/>
    </row>
    <row r="43" spans="1:21">
      <c r="E43" s="59"/>
      <c r="F43" s="59"/>
      <c r="G43" s="59"/>
      <c r="H43" s="59"/>
      <c r="I43" s="59"/>
      <c r="J43" s="59"/>
      <c r="K43" s="59"/>
      <c r="L43" s="59"/>
      <c r="M43" s="60"/>
      <c r="N43" s="59"/>
      <c r="O43" s="59"/>
      <c r="Q43" s="59"/>
      <c r="R43" s="61"/>
    </row>
    <row r="44" spans="1:21">
      <c r="R44" s="61"/>
    </row>
  </sheetData>
  <mergeCells count="20">
    <mergeCell ref="H7:H8"/>
    <mergeCell ref="I7:I8"/>
    <mergeCell ref="K7:K8"/>
    <mergeCell ref="L7:L8"/>
    <mergeCell ref="N7:N8"/>
    <mergeCell ref="O7:O8"/>
    <mergeCell ref="B1:R1"/>
    <mergeCell ref="B2:R2"/>
    <mergeCell ref="B4:R4"/>
    <mergeCell ref="B5:B8"/>
    <mergeCell ref="C5:C8"/>
    <mergeCell ref="D5:D8"/>
    <mergeCell ref="E5:P5"/>
    <mergeCell ref="Q5:R7"/>
    <mergeCell ref="E6:G6"/>
    <mergeCell ref="H6:J6"/>
    <mergeCell ref="K6:M6"/>
    <mergeCell ref="N6:P6"/>
    <mergeCell ref="E7:E8"/>
    <mergeCell ref="F7:F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3"/>
  <sheetViews>
    <sheetView topLeftCell="A28" workbookViewId="0">
      <selection activeCell="E36" sqref="E36:E39"/>
    </sheetView>
  </sheetViews>
  <sheetFormatPr defaultRowHeight="15"/>
  <cols>
    <col min="1" max="1" width="2.5703125" customWidth="1"/>
    <col min="2" max="2" width="5.42578125" customWidth="1"/>
    <col min="3" max="3" width="6.42578125" customWidth="1"/>
    <col min="4" max="4" width="8.42578125" style="19" customWidth="1"/>
    <col min="5" max="5" width="9.85546875" style="19" customWidth="1"/>
    <col min="6" max="6" width="8" style="76" bestFit="1" customWidth="1"/>
    <col min="7" max="7" width="14" style="76" customWidth="1"/>
    <col min="8" max="8" width="16.28515625" style="31" customWidth="1"/>
    <col min="9" max="9" width="2.5703125" customWidth="1"/>
    <col min="11" max="11" width="21.5703125" customWidth="1"/>
  </cols>
  <sheetData>
    <row r="1" spans="1:9" ht="15.75">
      <c r="B1" s="104" t="s">
        <v>45</v>
      </c>
      <c r="C1" s="104"/>
      <c r="D1" s="104"/>
      <c r="E1" s="104"/>
      <c r="F1" s="104"/>
      <c r="G1" s="104"/>
      <c r="H1" s="104"/>
    </row>
    <row r="2" spans="1:9" ht="15.75">
      <c r="B2" s="104" t="s">
        <v>16</v>
      </c>
      <c r="C2" s="104"/>
      <c r="D2" s="104"/>
      <c r="E2" s="104"/>
      <c r="F2" s="104"/>
      <c r="G2" s="104"/>
      <c r="H2" s="104"/>
    </row>
    <row r="3" spans="1:9">
      <c r="B3" s="13"/>
      <c r="C3" s="14"/>
      <c r="D3" s="15"/>
      <c r="E3" s="15"/>
      <c r="F3" s="64"/>
      <c r="G3" s="64"/>
      <c r="H3" s="14"/>
    </row>
    <row r="4" spans="1:9">
      <c r="A4" s="65"/>
      <c r="B4" s="108">
        <v>44682</v>
      </c>
      <c r="C4" s="108"/>
      <c r="D4" s="108"/>
      <c r="E4" s="108"/>
      <c r="F4" s="108"/>
      <c r="G4" s="108"/>
      <c r="H4" s="108"/>
      <c r="I4" s="16"/>
    </row>
    <row r="5" spans="1:9">
      <c r="A5" s="66"/>
      <c r="B5" s="103" t="s">
        <v>46</v>
      </c>
      <c r="C5" s="103" t="s">
        <v>18</v>
      </c>
      <c r="D5" s="103" t="s">
        <v>13</v>
      </c>
      <c r="E5" s="103" t="s">
        <v>47</v>
      </c>
      <c r="F5" s="103"/>
      <c r="G5" s="103"/>
      <c r="H5" s="103" t="s">
        <v>23</v>
      </c>
      <c r="I5" s="18"/>
    </row>
    <row r="6" spans="1:9">
      <c r="A6" s="66"/>
      <c r="B6" s="103"/>
      <c r="C6" s="103"/>
      <c r="D6" s="103"/>
      <c r="E6" s="103"/>
      <c r="F6" s="103"/>
      <c r="G6" s="103"/>
      <c r="H6" s="103"/>
      <c r="I6" s="18"/>
    </row>
    <row r="7" spans="1:9" s="19" customFormat="1" ht="22.5">
      <c r="A7" s="66"/>
      <c r="B7" s="103"/>
      <c r="C7" s="103"/>
      <c r="D7" s="103"/>
      <c r="E7" s="43" t="s">
        <v>36</v>
      </c>
      <c r="F7" s="114" t="s">
        <v>48</v>
      </c>
      <c r="G7" s="67" t="s">
        <v>40</v>
      </c>
      <c r="H7" s="103"/>
      <c r="I7" s="18"/>
    </row>
    <row r="8" spans="1:9" s="19" customFormat="1">
      <c r="A8" s="66"/>
      <c r="B8" s="103"/>
      <c r="C8" s="103"/>
      <c r="D8" s="103"/>
      <c r="E8" s="68"/>
      <c r="F8" s="114"/>
      <c r="G8" s="67">
        <v>10700</v>
      </c>
      <c r="H8" s="103"/>
      <c r="I8" s="18"/>
    </row>
    <row r="9" spans="1:9">
      <c r="A9" s="69"/>
      <c r="B9" s="22">
        <v>1</v>
      </c>
      <c r="C9" s="23">
        <f>Gas!C9</f>
        <v>54</v>
      </c>
      <c r="D9" s="23">
        <f>Gas!D9</f>
        <v>231</v>
      </c>
      <c r="E9" s="70">
        <v>4442</v>
      </c>
      <c r="F9" s="71">
        <v>0</v>
      </c>
      <c r="G9" s="71">
        <f t="shared" ref="G9:G39" si="0">F9*$G$8</f>
        <v>0</v>
      </c>
      <c r="H9" s="84">
        <f>G9/14381</f>
        <v>0</v>
      </c>
      <c r="I9" s="21"/>
    </row>
    <row r="10" spans="1:9">
      <c r="A10" s="69"/>
      <c r="B10" s="22">
        <v>2</v>
      </c>
      <c r="C10" s="23">
        <f>Gas!C10</f>
        <v>54</v>
      </c>
      <c r="D10" s="23">
        <f>Gas!D10</f>
        <v>281</v>
      </c>
      <c r="E10" s="70">
        <v>4442</v>
      </c>
      <c r="F10" s="72">
        <f t="shared" ref="F10:F39" si="1">E10-E9</f>
        <v>0</v>
      </c>
      <c r="G10" s="71">
        <f>F10*$G$8</f>
        <v>0</v>
      </c>
      <c r="H10" s="84">
        <f t="shared" ref="H10:H39" si="2">G10/14381</f>
        <v>0</v>
      </c>
      <c r="I10" s="21"/>
    </row>
    <row r="11" spans="1:9">
      <c r="A11" s="69"/>
      <c r="B11" s="22">
        <v>3</v>
      </c>
      <c r="C11" s="23">
        <f>Gas!C11</f>
        <v>44</v>
      </c>
      <c r="D11" s="23">
        <f>Gas!D11</f>
        <v>242</v>
      </c>
      <c r="E11" s="70">
        <v>4442</v>
      </c>
      <c r="F11" s="72">
        <f t="shared" si="1"/>
        <v>0</v>
      </c>
      <c r="G11" s="71">
        <f t="shared" si="0"/>
        <v>0</v>
      </c>
      <c r="H11" s="84">
        <f t="shared" si="2"/>
        <v>0</v>
      </c>
      <c r="I11" s="21"/>
    </row>
    <row r="12" spans="1:9">
      <c r="A12" s="69"/>
      <c r="B12" s="22">
        <v>4</v>
      </c>
      <c r="C12" s="23">
        <f>Gas!C12</f>
        <v>55</v>
      </c>
      <c r="D12" s="23">
        <f>Gas!D12</f>
        <v>219</v>
      </c>
      <c r="E12" s="70">
        <v>4494</v>
      </c>
      <c r="F12" s="72">
        <f t="shared" si="1"/>
        <v>52</v>
      </c>
      <c r="G12" s="71">
        <f t="shared" si="0"/>
        <v>556400</v>
      </c>
      <c r="H12" s="84">
        <f t="shared" si="2"/>
        <v>38.689938112787708</v>
      </c>
      <c r="I12" s="21"/>
    </row>
    <row r="13" spans="1:9">
      <c r="A13" s="69"/>
      <c r="B13" s="22">
        <v>5</v>
      </c>
      <c r="C13" s="23">
        <f>Gas!C13</f>
        <v>54</v>
      </c>
      <c r="D13" s="23">
        <f>Gas!D13</f>
        <v>254</v>
      </c>
      <c r="E13" s="70">
        <v>4501</v>
      </c>
      <c r="F13" s="72">
        <f t="shared" si="1"/>
        <v>7</v>
      </c>
      <c r="G13" s="71">
        <f t="shared" si="0"/>
        <v>74900</v>
      </c>
      <c r="H13" s="84">
        <f t="shared" si="2"/>
        <v>5.2082608997983453</v>
      </c>
      <c r="I13" s="21"/>
    </row>
    <row r="14" spans="1:9">
      <c r="A14" s="69"/>
      <c r="B14" s="22">
        <v>6</v>
      </c>
      <c r="C14" s="23">
        <f>Gas!C14</f>
        <v>48</v>
      </c>
      <c r="D14" s="23">
        <f>Gas!D14</f>
        <v>215</v>
      </c>
      <c r="E14" s="70">
        <v>4501</v>
      </c>
      <c r="F14" s="72">
        <f t="shared" si="1"/>
        <v>0</v>
      </c>
      <c r="G14" s="71">
        <f t="shared" si="0"/>
        <v>0</v>
      </c>
      <c r="H14" s="84">
        <f t="shared" si="2"/>
        <v>0</v>
      </c>
      <c r="I14" s="21"/>
    </row>
    <row r="15" spans="1:9">
      <c r="A15" s="69"/>
      <c r="B15" s="22">
        <v>7</v>
      </c>
      <c r="C15" s="23">
        <f>Gas!C15</f>
        <v>33</v>
      </c>
      <c r="D15" s="23">
        <f>Gas!D15</f>
        <v>209</v>
      </c>
      <c r="E15" s="70">
        <v>4501</v>
      </c>
      <c r="F15" s="72">
        <f t="shared" si="1"/>
        <v>0</v>
      </c>
      <c r="G15" s="71">
        <f t="shared" si="0"/>
        <v>0</v>
      </c>
      <c r="H15" s="84">
        <f t="shared" si="2"/>
        <v>0</v>
      </c>
      <c r="I15" s="21"/>
    </row>
    <row r="16" spans="1:9">
      <c r="A16" s="69"/>
      <c r="B16" s="22">
        <v>8</v>
      </c>
      <c r="C16" s="23">
        <f>Gas!C16</f>
        <v>31</v>
      </c>
      <c r="D16" s="23">
        <f>Gas!D16</f>
        <v>160</v>
      </c>
      <c r="E16" s="70">
        <v>4501</v>
      </c>
      <c r="F16" s="72">
        <f t="shared" si="1"/>
        <v>0</v>
      </c>
      <c r="G16" s="71">
        <f t="shared" si="0"/>
        <v>0</v>
      </c>
      <c r="H16" s="84">
        <f t="shared" si="2"/>
        <v>0</v>
      </c>
      <c r="I16" s="21"/>
    </row>
    <row r="17" spans="1:9">
      <c r="A17" s="69"/>
      <c r="B17" s="22">
        <v>9</v>
      </c>
      <c r="C17" s="23">
        <f>Gas!C17</f>
        <v>26</v>
      </c>
      <c r="D17" s="23">
        <f>Gas!D17</f>
        <v>164</v>
      </c>
      <c r="E17" s="70">
        <v>4501</v>
      </c>
      <c r="F17" s="72">
        <f t="shared" si="1"/>
        <v>0</v>
      </c>
      <c r="G17" s="71">
        <f t="shared" si="0"/>
        <v>0</v>
      </c>
      <c r="H17" s="84">
        <f t="shared" si="2"/>
        <v>0</v>
      </c>
      <c r="I17" s="21"/>
    </row>
    <row r="18" spans="1:9">
      <c r="A18" s="69"/>
      <c r="B18" s="22">
        <v>10</v>
      </c>
      <c r="C18" s="23">
        <f>Gas!C18</f>
        <v>17</v>
      </c>
      <c r="D18" s="23">
        <f>Gas!D18</f>
        <v>119</v>
      </c>
      <c r="E18" s="70">
        <v>4501</v>
      </c>
      <c r="F18" s="72">
        <f t="shared" si="1"/>
        <v>0</v>
      </c>
      <c r="G18" s="71">
        <f t="shared" si="0"/>
        <v>0</v>
      </c>
      <c r="H18" s="84">
        <f t="shared" si="2"/>
        <v>0</v>
      </c>
      <c r="I18" s="21"/>
    </row>
    <row r="19" spans="1:9">
      <c r="A19" s="69"/>
      <c r="B19" s="22">
        <v>11</v>
      </c>
      <c r="C19" s="23">
        <f>Gas!C19</f>
        <v>16</v>
      </c>
      <c r="D19" s="23">
        <f>Gas!D19</f>
        <v>87</v>
      </c>
      <c r="E19" s="70">
        <v>4501</v>
      </c>
      <c r="F19" s="72">
        <f t="shared" si="1"/>
        <v>0</v>
      </c>
      <c r="G19" s="71">
        <f t="shared" si="0"/>
        <v>0</v>
      </c>
      <c r="H19" s="84">
        <f t="shared" si="2"/>
        <v>0</v>
      </c>
      <c r="I19" s="21"/>
    </row>
    <row r="20" spans="1:9">
      <c r="A20" s="69"/>
      <c r="B20" s="22">
        <v>12</v>
      </c>
      <c r="C20" s="23">
        <f>Gas!C20</f>
        <v>17</v>
      </c>
      <c r="D20" s="23">
        <f>Gas!D20</f>
        <v>66</v>
      </c>
      <c r="E20" s="70">
        <v>4501</v>
      </c>
      <c r="F20" s="72">
        <f t="shared" si="1"/>
        <v>0</v>
      </c>
      <c r="G20" s="71">
        <f t="shared" si="0"/>
        <v>0</v>
      </c>
      <c r="H20" s="84">
        <f t="shared" si="2"/>
        <v>0</v>
      </c>
      <c r="I20" s="21"/>
    </row>
    <row r="21" spans="1:9">
      <c r="A21" s="69"/>
      <c r="B21" s="22">
        <v>13</v>
      </c>
      <c r="C21" s="23">
        <f>Gas!C21</f>
        <v>17</v>
      </c>
      <c r="D21" s="23">
        <f>Gas!D21</f>
        <v>78</v>
      </c>
      <c r="E21" s="70">
        <v>4501</v>
      </c>
      <c r="F21" s="72">
        <f t="shared" si="1"/>
        <v>0</v>
      </c>
      <c r="G21" s="71">
        <f t="shared" si="0"/>
        <v>0</v>
      </c>
      <c r="H21" s="84">
        <f t="shared" si="2"/>
        <v>0</v>
      </c>
      <c r="I21" s="21"/>
    </row>
    <row r="22" spans="1:9">
      <c r="A22" s="69"/>
      <c r="B22" s="22">
        <v>14</v>
      </c>
      <c r="C22" s="23">
        <f>Gas!C22</f>
        <v>17</v>
      </c>
      <c r="D22" s="23">
        <f>Gas!D22</f>
        <v>93</v>
      </c>
      <c r="E22" s="70">
        <v>4501</v>
      </c>
      <c r="F22" s="72">
        <f t="shared" si="1"/>
        <v>0</v>
      </c>
      <c r="G22" s="71">
        <f t="shared" si="0"/>
        <v>0</v>
      </c>
      <c r="H22" s="84">
        <f t="shared" si="2"/>
        <v>0</v>
      </c>
      <c r="I22" s="21"/>
    </row>
    <row r="23" spans="1:9">
      <c r="A23" s="69"/>
      <c r="B23" s="22">
        <v>15</v>
      </c>
      <c r="C23" s="23">
        <f>Gas!C23</f>
        <v>26</v>
      </c>
      <c r="D23" s="23">
        <f>Gas!D23</f>
        <v>112</v>
      </c>
      <c r="E23" s="70">
        <v>4501</v>
      </c>
      <c r="F23" s="72">
        <f t="shared" si="1"/>
        <v>0</v>
      </c>
      <c r="G23" s="71">
        <f t="shared" si="0"/>
        <v>0</v>
      </c>
      <c r="H23" s="84">
        <f t="shared" si="2"/>
        <v>0</v>
      </c>
      <c r="I23" s="21"/>
    </row>
    <row r="24" spans="1:9">
      <c r="A24" s="69"/>
      <c r="B24" s="22">
        <v>16</v>
      </c>
      <c r="C24" s="23">
        <f>Gas!C24</f>
        <v>21</v>
      </c>
      <c r="D24" s="23">
        <f>Gas!D24</f>
        <v>112</v>
      </c>
      <c r="E24" s="70">
        <v>4501</v>
      </c>
      <c r="F24" s="72">
        <f t="shared" si="1"/>
        <v>0</v>
      </c>
      <c r="G24" s="71">
        <f t="shared" si="0"/>
        <v>0</v>
      </c>
      <c r="H24" s="84">
        <f t="shared" si="2"/>
        <v>0</v>
      </c>
      <c r="I24" s="21"/>
    </row>
    <row r="25" spans="1:9">
      <c r="A25" s="69"/>
      <c r="B25" s="22">
        <v>17</v>
      </c>
      <c r="C25" s="23">
        <f>Gas!C25</f>
        <v>22</v>
      </c>
      <c r="D25" s="23">
        <f>Gas!D25</f>
        <v>119</v>
      </c>
      <c r="E25" s="70">
        <v>4519</v>
      </c>
      <c r="F25" s="72">
        <f t="shared" si="1"/>
        <v>18</v>
      </c>
      <c r="G25" s="71">
        <f t="shared" si="0"/>
        <v>192600</v>
      </c>
      <c r="H25" s="84">
        <f t="shared" si="2"/>
        <v>13.392670885195745</v>
      </c>
      <c r="I25" s="21"/>
    </row>
    <row r="26" spans="1:9">
      <c r="A26" s="69"/>
      <c r="B26" s="22">
        <v>18</v>
      </c>
      <c r="C26" s="23">
        <f>Gas!C26</f>
        <v>19</v>
      </c>
      <c r="D26" s="23">
        <f>Gas!D26</f>
        <v>125</v>
      </c>
      <c r="E26" s="70">
        <v>4519</v>
      </c>
      <c r="F26" s="72">
        <f t="shared" si="1"/>
        <v>0</v>
      </c>
      <c r="G26" s="71">
        <f t="shared" si="0"/>
        <v>0</v>
      </c>
      <c r="H26" s="84">
        <f t="shared" si="2"/>
        <v>0</v>
      </c>
      <c r="I26" s="21"/>
    </row>
    <row r="27" spans="1:9">
      <c r="A27" s="69"/>
      <c r="B27" s="22">
        <v>19</v>
      </c>
      <c r="C27" s="23">
        <f>Gas!C27</f>
        <v>18</v>
      </c>
      <c r="D27" s="23">
        <f>Gas!D27</f>
        <v>82</v>
      </c>
      <c r="E27" s="70">
        <v>4519</v>
      </c>
      <c r="F27" s="72">
        <f t="shared" si="1"/>
        <v>0</v>
      </c>
      <c r="G27" s="71">
        <f t="shared" si="0"/>
        <v>0</v>
      </c>
      <c r="H27" s="84">
        <f t="shared" si="2"/>
        <v>0</v>
      </c>
      <c r="I27" s="21"/>
    </row>
    <row r="28" spans="1:9">
      <c r="A28" s="69"/>
      <c r="B28" s="22">
        <v>20</v>
      </c>
      <c r="C28" s="23">
        <f>Gas!C28</f>
        <v>22</v>
      </c>
      <c r="D28" s="23">
        <f>Gas!D28</f>
        <v>121</v>
      </c>
      <c r="E28" s="70">
        <v>4519</v>
      </c>
      <c r="F28" s="72">
        <f t="shared" si="1"/>
        <v>0</v>
      </c>
      <c r="G28" s="71">
        <f t="shared" si="0"/>
        <v>0</v>
      </c>
      <c r="H28" s="84">
        <f t="shared" si="2"/>
        <v>0</v>
      </c>
      <c r="I28" s="21"/>
    </row>
    <row r="29" spans="1:9">
      <c r="A29" s="69"/>
      <c r="B29" s="22">
        <v>21</v>
      </c>
      <c r="C29" s="23">
        <f>Gas!C29</f>
        <v>19</v>
      </c>
      <c r="D29" s="23">
        <f>Gas!D29</f>
        <v>100</v>
      </c>
      <c r="E29" s="70">
        <v>4519</v>
      </c>
      <c r="F29" s="72">
        <f t="shared" si="1"/>
        <v>0</v>
      </c>
      <c r="G29" s="71">
        <f t="shared" si="0"/>
        <v>0</v>
      </c>
      <c r="H29" s="84">
        <f t="shared" si="2"/>
        <v>0</v>
      </c>
      <c r="I29" s="21"/>
    </row>
    <row r="30" spans="1:9">
      <c r="A30" s="69"/>
      <c r="B30" s="22">
        <v>22</v>
      </c>
      <c r="C30" s="23">
        <f>Gas!C30</f>
        <v>25</v>
      </c>
      <c r="D30" s="23">
        <f>Gas!D30</f>
        <v>107</v>
      </c>
      <c r="E30" s="70">
        <v>4519</v>
      </c>
      <c r="F30" s="72">
        <f t="shared" si="1"/>
        <v>0</v>
      </c>
      <c r="G30" s="71">
        <f t="shared" si="0"/>
        <v>0</v>
      </c>
      <c r="H30" s="84">
        <f t="shared" si="2"/>
        <v>0</v>
      </c>
      <c r="I30" s="21"/>
    </row>
    <row r="31" spans="1:9">
      <c r="A31" s="69"/>
      <c r="B31" s="22">
        <v>23</v>
      </c>
      <c r="C31" s="23">
        <f>Gas!C31</f>
        <v>28</v>
      </c>
      <c r="D31" s="23">
        <f>Gas!D31</f>
        <v>142</v>
      </c>
      <c r="E31" s="70">
        <v>4534</v>
      </c>
      <c r="F31" s="72">
        <f t="shared" si="1"/>
        <v>15</v>
      </c>
      <c r="G31" s="71">
        <f t="shared" si="0"/>
        <v>160500</v>
      </c>
      <c r="H31" s="84">
        <f t="shared" si="2"/>
        <v>11.160559070996454</v>
      </c>
      <c r="I31" s="21"/>
    </row>
    <row r="32" spans="1:9">
      <c r="A32" s="69"/>
      <c r="B32" s="22">
        <v>24</v>
      </c>
      <c r="C32" s="23">
        <f>Gas!C32</f>
        <v>26</v>
      </c>
      <c r="D32" s="23">
        <f>Gas!D32</f>
        <v>116</v>
      </c>
      <c r="E32" s="70">
        <v>4534</v>
      </c>
      <c r="F32" s="72">
        <f t="shared" si="1"/>
        <v>0</v>
      </c>
      <c r="G32" s="71"/>
      <c r="H32" s="84">
        <f t="shared" si="2"/>
        <v>0</v>
      </c>
      <c r="I32" s="21"/>
    </row>
    <row r="33" spans="1:11">
      <c r="A33" s="69"/>
      <c r="B33" s="22">
        <v>25</v>
      </c>
      <c r="C33" s="23">
        <f>Gas!C33</f>
        <v>24</v>
      </c>
      <c r="D33" s="23">
        <f>Gas!D33</f>
        <v>138</v>
      </c>
      <c r="E33" s="70">
        <v>4534</v>
      </c>
      <c r="F33" s="72">
        <f t="shared" si="1"/>
        <v>0</v>
      </c>
      <c r="G33" s="71">
        <f t="shared" si="0"/>
        <v>0</v>
      </c>
      <c r="H33" s="84">
        <f t="shared" si="2"/>
        <v>0</v>
      </c>
      <c r="I33" s="21"/>
    </row>
    <row r="34" spans="1:11">
      <c r="A34" s="69"/>
      <c r="B34" s="22">
        <v>26</v>
      </c>
      <c r="C34" s="23">
        <f>Gas!C34</f>
        <v>29</v>
      </c>
      <c r="D34" s="23">
        <f>Gas!D34</f>
        <v>115</v>
      </c>
      <c r="E34" s="70">
        <v>4534</v>
      </c>
      <c r="F34" s="72">
        <f t="shared" si="1"/>
        <v>0</v>
      </c>
      <c r="G34" s="71">
        <f t="shared" si="0"/>
        <v>0</v>
      </c>
      <c r="H34" s="84">
        <f t="shared" si="2"/>
        <v>0</v>
      </c>
      <c r="I34" s="21"/>
    </row>
    <row r="35" spans="1:11">
      <c r="A35" s="69"/>
      <c r="B35" s="22">
        <v>27</v>
      </c>
      <c r="C35" s="23">
        <f>Gas!C35</f>
        <v>26</v>
      </c>
      <c r="D35" s="23">
        <f>Gas!D35</f>
        <v>117</v>
      </c>
      <c r="E35" s="70">
        <v>4534</v>
      </c>
      <c r="F35" s="72">
        <f t="shared" si="1"/>
        <v>0</v>
      </c>
      <c r="G35" s="71">
        <f t="shared" si="0"/>
        <v>0</v>
      </c>
      <c r="H35" s="84">
        <f t="shared" si="2"/>
        <v>0</v>
      </c>
      <c r="I35" s="21"/>
    </row>
    <row r="36" spans="1:11">
      <c r="A36" s="69"/>
      <c r="B36" s="22">
        <v>28</v>
      </c>
      <c r="C36" s="23">
        <f>Gas!C36</f>
        <v>33</v>
      </c>
      <c r="D36" s="23">
        <f>Gas!D36</f>
        <v>147</v>
      </c>
      <c r="E36" s="70">
        <v>4534</v>
      </c>
      <c r="F36" s="72">
        <f t="shared" si="1"/>
        <v>0</v>
      </c>
      <c r="G36" s="71">
        <f t="shared" si="0"/>
        <v>0</v>
      </c>
      <c r="H36" s="84">
        <f t="shared" si="2"/>
        <v>0</v>
      </c>
      <c r="I36" s="21"/>
    </row>
    <row r="37" spans="1:11">
      <c r="A37" s="69"/>
      <c r="B37" s="22">
        <v>29</v>
      </c>
      <c r="C37" s="23">
        <f>Gas!C37</f>
        <v>22</v>
      </c>
      <c r="D37" s="23">
        <f>Gas!D37</f>
        <v>150</v>
      </c>
      <c r="E37" s="70">
        <v>4534</v>
      </c>
      <c r="F37" s="72">
        <f t="shared" si="1"/>
        <v>0</v>
      </c>
      <c r="G37" s="71">
        <f t="shared" si="0"/>
        <v>0</v>
      </c>
      <c r="H37" s="84">
        <f t="shared" si="2"/>
        <v>0</v>
      </c>
      <c r="I37" s="21"/>
    </row>
    <row r="38" spans="1:11">
      <c r="A38" s="69"/>
      <c r="B38" s="22">
        <v>30</v>
      </c>
      <c r="C38" s="23">
        <f>Gas!C38</f>
        <v>17</v>
      </c>
      <c r="D38" s="23">
        <f>Gas!D38</f>
        <v>103</v>
      </c>
      <c r="E38" s="70">
        <v>4534</v>
      </c>
      <c r="F38" s="72">
        <f t="shared" si="1"/>
        <v>0</v>
      </c>
      <c r="G38" s="71">
        <f t="shared" si="0"/>
        <v>0</v>
      </c>
      <c r="H38" s="84">
        <f t="shared" si="2"/>
        <v>0</v>
      </c>
      <c r="I38" s="21"/>
    </row>
    <row r="39" spans="1:11">
      <c r="A39" s="69"/>
      <c r="B39" s="22">
        <v>31</v>
      </c>
      <c r="C39" s="23">
        <f>Gas!C39</f>
        <v>15</v>
      </c>
      <c r="D39" s="23">
        <f>Gas!D39</f>
        <v>70</v>
      </c>
      <c r="E39" s="70">
        <v>4555</v>
      </c>
      <c r="F39" s="72">
        <f t="shared" si="1"/>
        <v>21</v>
      </c>
      <c r="G39" s="71">
        <f t="shared" si="0"/>
        <v>224700</v>
      </c>
      <c r="H39" s="84">
        <f t="shared" si="2"/>
        <v>15.624782699395036</v>
      </c>
      <c r="I39" s="21"/>
    </row>
    <row r="40" spans="1:11">
      <c r="C40" s="30">
        <f>SUM(C9:C39)</f>
        <v>875</v>
      </c>
      <c r="D40" s="30">
        <f>SUM(D9:D39)</f>
        <v>4394</v>
      </c>
      <c r="E40" s="30"/>
      <c r="F40" s="30">
        <f>SUM(F9:F39)</f>
        <v>113</v>
      </c>
      <c r="G40" s="30"/>
      <c r="H40" s="73">
        <f>SUM(H9:H39)</f>
        <v>84.0762116681733</v>
      </c>
      <c r="K40" s="35"/>
    </row>
    <row r="41" spans="1:11">
      <c r="E41" s="30"/>
      <c r="F41" s="74"/>
      <c r="G41" s="74"/>
      <c r="H41" s="41"/>
    </row>
    <row r="42" spans="1:11">
      <c r="E42" s="59"/>
      <c r="F42" s="75"/>
      <c r="G42" s="75"/>
    </row>
    <row r="43" spans="1:11">
      <c r="E43" s="59"/>
      <c r="F43" s="75"/>
      <c r="G43" s="75"/>
    </row>
  </sheetData>
  <mergeCells count="9">
    <mergeCell ref="B1:H1"/>
    <mergeCell ref="B2:H2"/>
    <mergeCell ref="B4:H4"/>
    <mergeCell ref="B5:B8"/>
    <mergeCell ref="C5:C8"/>
    <mergeCell ref="D5:D8"/>
    <mergeCell ref="E5:G6"/>
    <mergeCell ref="H5:H8"/>
    <mergeCell ref="F7:F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43"/>
  <sheetViews>
    <sheetView topLeftCell="A23" workbookViewId="0">
      <selection activeCell="I37" sqref="I37:I39"/>
    </sheetView>
  </sheetViews>
  <sheetFormatPr defaultRowHeight="15"/>
  <cols>
    <col min="1" max="1" width="2.5703125" customWidth="1"/>
    <col min="2" max="2" width="4.7109375" customWidth="1"/>
    <col min="3" max="3" width="6.42578125" customWidth="1"/>
    <col min="4" max="4" width="6.42578125" style="19" customWidth="1"/>
    <col min="5" max="5" width="9.42578125" style="31" customWidth="1"/>
    <col min="6" max="6" width="16.5703125" style="31" customWidth="1"/>
    <col min="7" max="7" width="10.28515625" style="31" customWidth="1"/>
    <col min="8" max="8" width="16.7109375" style="31" customWidth="1"/>
    <col min="9" max="9" width="10.28515625" style="31" customWidth="1"/>
    <col min="10" max="10" width="16.7109375" style="31" customWidth="1"/>
    <col min="11" max="11" width="16.28515625" style="31" customWidth="1"/>
    <col min="12" max="12" width="19.7109375" customWidth="1"/>
    <col min="13" max="13" width="2.5703125" customWidth="1"/>
    <col min="15" max="15" width="20.5703125" customWidth="1"/>
  </cols>
  <sheetData>
    <row r="2" spans="1:13" ht="15.75">
      <c r="B2" s="104" t="s">
        <v>49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</row>
    <row r="3" spans="1:13" ht="15.75">
      <c r="B3" s="104" t="s">
        <v>16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</row>
    <row r="4" spans="1:13" ht="8.25" customHeight="1">
      <c r="B4" s="13"/>
      <c r="C4" s="14"/>
      <c r="D4" s="15"/>
      <c r="E4" s="14"/>
      <c r="F4" s="14"/>
      <c r="G4" s="14"/>
      <c r="H4" s="14"/>
      <c r="I4" s="14"/>
      <c r="J4" s="14"/>
      <c r="K4" s="14"/>
    </row>
    <row r="5" spans="1:13">
      <c r="A5" s="16"/>
      <c r="B5" s="105">
        <v>44682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6"/>
    </row>
    <row r="6" spans="1:13">
      <c r="A6" s="17"/>
      <c r="B6" s="103">
        <v>3</v>
      </c>
      <c r="C6" s="103" t="s">
        <v>50</v>
      </c>
      <c r="D6" s="103" t="s">
        <v>13</v>
      </c>
      <c r="E6" s="109" t="s">
        <v>51</v>
      </c>
      <c r="F6" s="109"/>
      <c r="G6" s="111" t="s">
        <v>52</v>
      </c>
      <c r="H6" s="111"/>
      <c r="I6" s="111"/>
      <c r="J6" s="111"/>
      <c r="K6" s="103" t="s">
        <v>53</v>
      </c>
      <c r="L6" s="103" t="s">
        <v>54</v>
      </c>
      <c r="M6" s="18"/>
    </row>
    <row r="7" spans="1:13" s="19" customFormat="1">
      <c r="A7" s="17"/>
      <c r="B7" s="103"/>
      <c r="C7" s="103"/>
      <c r="D7" s="103"/>
      <c r="E7" s="103" t="s">
        <v>55</v>
      </c>
      <c r="F7" s="103" t="s">
        <v>56</v>
      </c>
      <c r="G7" s="103" t="s">
        <v>55</v>
      </c>
      <c r="H7" s="103" t="s">
        <v>57</v>
      </c>
      <c r="I7" s="103" t="s">
        <v>55</v>
      </c>
      <c r="J7" s="103" t="s">
        <v>58</v>
      </c>
      <c r="K7" s="103"/>
      <c r="L7" s="103"/>
      <c r="M7" s="18"/>
    </row>
    <row r="8" spans="1:13">
      <c r="A8" s="20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21"/>
    </row>
    <row r="9" spans="1:13">
      <c r="A9" s="20"/>
      <c r="B9" s="22">
        <v>1</v>
      </c>
      <c r="C9" s="23">
        <f>'Fuel Diesel'!C9</f>
        <v>54</v>
      </c>
      <c r="D9" s="23">
        <f>'Fuel Diesel'!D9</f>
        <v>231</v>
      </c>
      <c r="E9" s="24">
        <v>0</v>
      </c>
      <c r="F9" s="26">
        <f>E9*13582</f>
        <v>0</v>
      </c>
      <c r="G9" s="24">
        <v>97</v>
      </c>
      <c r="H9" s="26">
        <f>G9*4000</f>
        <v>388000</v>
      </c>
      <c r="I9" s="24">
        <v>159</v>
      </c>
      <c r="J9" s="26">
        <f>I9*4000</f>
        <v>636000</v>
      </c>
      <c r="K9" s="24">
        <f t="shared" ref="K9:K39" si="0">F9+H9+J9</f>
        <v>1024000</v>
      </c>
      <c r="L9" s="77">
        <f>K9/14381</f>
        <v>71.205062234893262</v>
      </c>
      <c r="M9" s="21"/>
    </row>
    <row r="10" spans="1:13">
      <c r="A10" s="20"/>
      <c r="B10" s="22">
        <v>2</v>
      </c>
      <c r="C10" s="23">
        <f>'Fuel Diesel'!C10</f>
        <v>54</v>
      </c>
      <c r="D10" s="23">
        <f>'Fuel Diesel'!D10</f>
        <v>281</v>
      </c>
      <c r="E10" s="24">
        <v>0</v>
      </c>
      <c r="F10" s="26">
        <f>E10*13582</f>
        <v>0</v>
      </c>
      <c r="G10" s="24">
        <v>97</v>
      </c>
      <c r="H10" s="26">
        <f>G10*4000</f>
        <v>388000</v>
      </c>
      <c r="I10" s="24">
        <v>154</v>
      </c>
      <c r="J10" s="26">
        <f>I10*4000</f>
        <v>616000</v>
      </c>
      <c r="K10" s="24">
        <f t="shared" si="0"/>
        <v>1004000</v>
      </c>
      <c r="L10" s="77">
        <f t="shared" ref="L10:L39" si="1">K10/14381</f>
        <v>69.814338363117997</v>
      </c>
      <c r="M10" s="21"/>
    </row>
    <row r="11" spans="1:13">
      <c r="A11" s="20"/>
      <c r="B11" s="22">
        <v>3</v>
      </c>
      <c r="C11" s="23">
        <f>'Fuel Diesel'!C11</f>
        <v>44</v>
      </c>
      <c r="D11" s="23">
        <f>'Fuel Diesel'!D11</f>
        <v>242</v>
      </c>
      <c r="E11" s="24">
        <v>0</v>
      </c>
      <c r="F11" s="26">
        <f t="shared" ref="F11:F39" si="2">E11*13582</f>
        <v>0</v>
      </c>
      <c r="G11" s="24">
        <v>81</v>
      </c>
      <c r="H11" s="26">
        <f t="shared" ref="H11:H39" si="3">G11*4000</f>
        <v>324000</v>
      </c>
      <c r="I11" s="24">
        <v>133</v>
      </c>
      <c r="J11" s="26">
        <f t="shared" ref="J11:J39" si="4">I11*4000</f>
        <v>532000</v>
      </c>
      <c r="K11" s="24">
        <f t="shared" si="0"/>
        <v>856000</v>
      </c>
      <c r="L11" s="77">
        <f t="shared" si="1"/>
        <v>59.522981711981089</v>
      </c>
      <c r="M11" s="21"/>
    </row>
    <row r="12" spans="1:13">
      <c r="A12" s="20"/>
      <c r="B12" s="22">
        <v>4</v>
      </c>
      <c r="C12" s="23">
        <f>'Fuel Diesel'!C12</f>
        <v>55</v>
      </c>
      <c r="D12" s="23">
        <f>'Fuel Diesel'!D12</f>
        <v>219</v>
      </c>
      <c r="E12" s="24">
        <v>0</v>
      </c>
      <c r="F12" s="26">
        <f t="shared" si="2"/>
        <v>0</v>
      </c>
      <c r="G12" s="24">
        <v>75</v>
      </c>
      <c r="H12" s="26">
        <f t="shared" si="3"/>
        <v>300000</v>
      </c>
      <c r="I12" s="24">
        <v>127</v>
      </c>
      <c r="J12" s="26">
        <f t="shared" si="4"/>
        <v>508000</v>
      </c>
      <c r="K12" s="24">
        <f t="shared" si="0"/>
        <v>808000</v>
      </c>
      <c r="L12" s="77">
        <f t="shared" si="1"/>
        <v>56.185244419720462</v>
      </c>
      <c r="M12" s="21"/>
    </row>
    <row r="13" spans="1:13">
      <c r="A13" s="20"/>
      <c r="B13" s="22">
        <v>5</v>
      </c>
      <c r="C13" s="23">
        <f>'Fuel Diesel'!C13</f>
        <v>54</v>
      </c>
      <c r="D13" s="23">
        <f>'Fuel Diesel'!D13</f>
        <v>254</v>
      </c>
      <c r="E13" s="24">
        <v>0</v>
      </c>
      <c r="F13" s="26">
        <f t="shared" si="2"/>
        <v>0</v>
      </c>
      <c r="G13" s="24">
        <v>75</v>
      </c>
      <c r="H13" s="26">
        <f t="shared" si="3"/>
        <v>300000</v>
      </c>
      <c r="I13" s="24">
        <v>123</v>
      </c>
      <c r="J13" s="26">
        <f t="shared" si="4"/>
        <v>492000</v>
      </c>
      <c r="K13" s="24">
        <f t="shared" si="0"/>
        <v>792000</v>
      </c>
      <c r="L13" s="77">
        <f t="shared" si="1"/>
        <v>55.07266532230026</v>
      </c>
      <c r="M13" s="21"/>
    </row>
    <row r="14" spans="1:13">
      <c r="A14" s="20"/>
      <c r="B14" s="22">
        <v>6</v>
      </c>
      <c r="C14" s="23">
        <f>'Fuel Diesel'!C14</f>
        <v>48</v>
      </c>
      <c r="D14" s="23">
        <f>'Fuel Diesel'!D14</f>
        <v>215</v>
      </c>
      <c r="E14" s="24">
        <v>0</v>
      </c>
      <c r="F14" s="26">
        <f t="shared" si="2"/>
        <v>0</v>
      </c>
      <c r="G14" s="24">
        <v>82</v>
      </c>
      <c r="H14" s="26">
        <f t="shared" si="3"/>
        <v>328000</v>
      </c>
      <c r="I14" s="24">
        <v>135</v>
      </c>
      <c r="J14" s="26">
        <f t="shared" si="4"/>
        <v>540000</v>
      </c>
      <c r="K14" s="24">
        <f t="shared" si="0"/>
        <v>868000</v>
      </c>
      <c r="L14" s="77">
        <f t="shared" si="1"/>
        <v>60.357416035046242</v>
      </c>
      <c r="M14" s="21"/>
    </row>
    <row r="15" spans="1:13">
      <c r="A15" s="20"/>
      <c r="B15" s="22">
        <v>7</v>
      </c>
      <c r="C15" s="23">
        <f>'Fuel Diesel'!C15</f>
        <v>33</v>
      </c>
      <c r="D15" s="23">
        <f>'Fuel Diesel'!D15</f>
        <v>209</v>
      </c>
      <c r="E15" s="24">
        <v>0</v>
      </c>
      <c r="F15" s="26">
        <f t="shared" si="2"/>
        <v>0</v>
      </c>
      <c r="G15" s="24">
        <v>94</v>
      </c>
      <c r="H15" s="26">
        <f t="shared" si="3"/>
        <v>376000</v>
      </c>
      <c r="I15" s="24">
        <v>152</v>
      </c>
      <c r="J15" s="26">
        <f t="shared" si="4"/>
        <v>608000</v>
      </c>
      <c r="K15" s="24">
        <f t="shared" si="0"/>
        <v>984000</v>
      </c>
      <c r="L15" s="77">
        <f t="shared" si="1"/>
        <v>68.423614491342747</v>
      </c>
      <c r="M15" s="21"/>
    </row>
    <row r="16" spans="1:13">
      <c r="A16" s="20"/>
      <c r="B16" s="22">
        <v>8</v>
      </c>
      <c r="C16" s="23">
        <f>'Fuel Diesel'!C16</f>
        <v>31</v>
      </c>
      <c r="D16" s="23">
        <f>'Fuel Diesel'!D16</f>
        <v>160</v>
      </c>
      <c r="E16" s="24">
        <v>0</v>
      </c>
      <c r="F16" s="26">
        <f t="shared" si="2"/>
        <v>0</v>
      </c>
      <c r="G16" s="24">
        <v>77</v>
      </c>
      <c r="H16" s="26">
        <f t="shared" si="3"/>
        <v>308000</v>
      </c>
      <c r="I16" s="24">
        <v>127</v>
      </c>
      <c r="J16" s="26">
        <f t="shared" si="4"/>
        <v>508000</v>
      </c>
      <c r="K16" s="24">
        <f t="shared" si="0"/>
        <v>816000</v>
      </c>
      <c r="L16" s="77">
        <f t="shared" si="1"/>
        <v>56.741533968430566</v>
      </c>
      <c r="M16" s="21"/>
    </row>
    <row r="17" spans="1:13">
      <c r="A17" s="20"/>
      <c r="B17" s="22">
        <v>9</v>
      </c>
      <c r="C17" s="23">
        <f>'Fuel Diesel'!C17</f>
        <v>26</v>
      </c>
      <c r="D17" s="23">
        <f>'Fuel Diesel'!D17</f>
        <v>164</v>
      </c>
      <c r="E17" s="24">
        <v>0</v>
      </c>
      <c r="F17" s="26">
        <f t="shared" si="2"/>
        <v>0</v>
      </c>
      <c r="G17" s="24">
        <v>79</v>
      </c>
      <c r="H17" s="26">
        <f t="shared" si="3"/>
        <v>316000</v>
      </c>
      <c r="I17" s="24">
        <v>126</v>
      </c>
      <c r="J17" s="26">
        <f t="shared" si="4"/>
        <v>504000</v>
      </c>
      <c r="K17" s="24">
        <f t="shared" si="0"/>
        <v>820000</v>
      </c>
      <c r="L17" s="77">
        <f t="shared" si="1"/>
        <v>57.019678742785622</v>
      </c>
      <c r="M17" s="21"/>
    </row>
    <row r="18" spans="1:13">
      <c r="A18" s="20"/>
      <c r="B18" s="22">
        <v>10</v>
      </c>
      <c r="C18" s="23">
        <f>'Fuel Diesel'!C18</f>
        <v>17</v>
      </c>
      <c r="D18" s="23">
        <f>'Fuel Diesel'!D18</f>
        <v>119</v>
      </c>
      <c r="E18" s="24">
        <v>0</v>
      </c>
      <c r="F18" s="26">
        <f t="shared" si="2"/>
        <v>0</v>
      </c>
      <c r="G18" s="24">
        <v>80</v>
      </c>
      <c r="H18" s="26">
        <f t="shared" si="3"/>
        <v>320000</v>
      </c>
      <c r="I18" s="24">
        <v>132</v>
      </c>
      <c r="J18" s="26">
        <f t="shared" si="4"/>
        <v>528000</v>
      </c>
      <c r="K18" s="24">
        <f t="shared" si="0"/>
        <v>848000</v>
      </c>
      <c r="L18" s="77">
        <f t="shared" si="1"/>
        <v>58.966692163270984</v>
      </c>
      <c r="M18" s="21"/>
    </row>
    <row r="19" spans="1:13">
      <c r="A19" s="20"/>
      <c r="B19" s="22">
        <v>11</v>
      </c>
      <c r="C19" s="23">
        <f>'Fuel Diesel'!C19</f>
        <v>16</v>
      </c>
      <c r="D19" s="23">
        <f>'Fuel Diesel'!D19</f>
        <v>87</v>
      </c>
      <c r="E19" s="24">
        <v>0</v>
      </c>
      <c r="F19" s="26">
        <f t="shared" si="2"/>
        <v>0</v>
      </c>
      <c r="G19" s="24">
        <v>85</v>
      </c>
      <c r="H19" s="26">
        <f t="shared" si="3"/>
        <v>340000</v>
      </c>
      <c r="I19" s="24">
        <v>142</v>
      </c>
      <c r="J19" s="26">
        <f t="shared" si="4"/>
        <v>568000</v>
      </c>
      <c r="K19" s="24">
        <f t="shared" si="0"/>
        <v>908000</v>
      </c>
      <c r="L19" s="77">
        <f t="shared" si="1"/>
        <v>63.138863778596757</v>
      </c>
      <c r="M19" s="21"/>
    </row>
    <row r="20" spans="1:13">
      <c r="A20" s="20"/>
      <c r="B20" s="22">
        <v>12</v>
      </c>
      <c r="C20" s="23">
        <f>'Fuel Diesel'!C20</f>
        <v>17</v>
      </c>
      <c r="D20" s="23">
        <f>'Fuel Diesel'!D20</f>
        <v>66</v>
      </c>
      <c r="E20" s="24">
        <v>0</v>
      </c>
      <c r="F20" s="26">
        <f t="shared" si="2"/>
        <v>0</v>
      </c>
      <c r="G20" s="24">
        <v>75</v>
      </c>
      <c r="H20" s="26">
        <f>G20*4000</f>
        <v>300000</v>
      </c>
      <c r="I20" s="24">
        <v>122</v>
      </c>
      <c r="J20" s="26">
        <f t="shared" si="4"/>
        <v>488000</v>
      </c>
      <c r="K20" s="24">
        <f t="shared" si="0"/>
        <v>788000</v>
      </c>
      <c r="L20" s="77">
        <f t="shared" si="1"/>
        <v>54.794520547945204</v>
      </c>
      <c r="M20" s="21"/>
    </row>
    <row r="21" spans="1:13">
      <c r="A21" s="20"/>
      <c r="B21" s="22">
        <v>13</v>
      </c>
      <c r="C21" s="23">
        <f>'Fuel Diesel'!C21</f>
        <v>17</v>
      </c>
      <c r="D21" s="23">
        <f>'Fuel Diesel'!D21</f>
        <v>78</v>
      </c>
      <c r="E21" s="24">
        <v>0</v>
      </c>
      <c r="F21" s="26">
        <f t="shared" si="2"/>
        <v>0</v>
      </c>
      <c r="G21" s="24">
        <v>85</v>
      </c>
      <c r="H21" s="26">
        <f t="shared" si="3"/>
        <v>340000</v>
      </c>
      <c r="I21" s="24">
        <v>143</v>
      </c>
      <c r="J21" s="26">
        <f t="shared" si="4"/>
        <v>572000</v>
      </c>
      <c r="K21" s="24">
        <f t="shared" si="0"/>
        <v>912000</v>
      </c>
      <c r="L21" s="77">
        <f t="shared" si="1"/>
        <v>63.417008552951813</v>
      </c>
      <c r="M21" s="21"/>
    </row>
    <row r="22" spans="1:13">
      <c r="A22" s="20"/>
      <c r="B22" s="22">
        <v>14</v>
      </c>
      <c r="C22" s="23">
        <f>'Fuel Diesel'!C22</f>
        <v>17</v>
      </c>
      <c r="D22" s="23">
        <f>'Fuel Diesel'!D22</f>
        <v>93</v>
      </c>
      <c r="E22" s="24">
        <v>0</v>
      </c>
      <c r="F22" s="26">
        <f t="shared" si="2"/>
        <v>0</v>
      </c>
      <c r="G22" s="24">
        <v>73</v>
      </c>
      <c r="H22" s="26">
        <f t="shared" si="3"/>
        <v>292000</v>
      </c>
      <c r="I22" s="24">
        <v>117</v>
      </c>
      <c r="J22" s="26">
        <f t="shared" si="4"/>
        <v>468000</v>
      </c>
      <c r="K22" s="24">
        <f t="shared" si="0"/>
        <v>760000</v>
      </c>
      <c r="L22" s="77">
        <f t="shared" si="1"/>
        <v>52.847507127459842</v>
      </c>
      <c r="M22" s="21"/>
    </row>
    <row r="23" spans="1:13">
      <c r="A23" s="20"/>
      <c r="B23" s="22">
        <v>15</v>
      </c>
      <c r="C23" s="23">
        <f>'Fuel Diesel'!C23</f>
        <v>26</v>
      </c>
      <c r="D23" s="23">
        <f>'Fuel Diesel'!D23</f>
        <v>112</v>
      </c>
      <c r="E23" s="24">
        <v>0</v>
      </c>
      <c r="F23" s="26">
        <f t="shared" si="2"/>
        <v>0</v>
      </c>
      <c r="G23" s="24">
        <v>72</v>
      </c>
      <c r="H23" s="26">
        <f t="shared" si="3"/>
        <v>288000</v>
      </c>
      <c r="I23" s="24">
        <v>120</v>
      </c>
      <c r="J23" s="26">
        <f t="shared" si="4"/>
        <v>480000</v>
      </c>
      <c r="K23" s="24">
        <f t="shared" si="0"/>
        <v>768000</v>
      </c>
      <c r="L23" s="77">
        <f t="shared" si="1"/>
        <v>53.403796676169947</v>
      </c>
      <c r="M23" s="21"/>
    </row>
    <row r="24" spans="1:13">
      <c r="A24" s="20"/>
      <c r="B24" s="22">
        <v>16</v>
      </c>
      <c r="C24" s="23">
        <f>'Fuel Diesel'!C24</f>
        <v>21</v>
      </c>
      <c r="D24" s="23">
        <f>'Fuel Diesel'!D24</f>
        <v>112</v>
      </c>
      <c r="E24" s="24">
        <v>0</v>
      </c>
      <c r="F24" s="26">
        <f t="shared" si="2"/>
        <v>0</v>
      </c>
      <c r="G24" s="24">
        <v>84</v>
      </c>
      <c r="H24" s="26">
        <f t="shared" si="3"/>
        <v>336000</v>
      </c>
      <c r="I24" s="24">
        <v>135</v>
      </c>
      <c r="J24" s="26">
        <f t="shared" si="4"/>
        <v>540000</v>
      </c>
      <c r="K24" s="24">
        <f t="shared" si="0"/>
        <v>876000</v>
      </c>
      <c r="L24" s="77">
        <f t="shared" si="1"/>
        <v>60.913705583756347</v>
      </c>
      <c r="M24" s="21"/>
    </row>
    <row r="25" spans="1:13">
      <c r="A25" s="20"/>
      <c r="B25" s="22">
        <v>17</v>
      </c>
      <c r="C25" s="23">
        <f>'Fuel Diesel'!C25</f>
        <v>22</v>
      </c>
      <c r="D25" s="23">
        <f>'Fuel Diesel'!D25</f>
        <v>119</v>
      </c>
      <c r="E25" s="24">
        <v>0</v>
      </c>
      <c r="F25" s="26">
        <f t="shared" si="2"/>
        <v>0</v>
      </c>
      <c r="G25" s="24">
        <v>80</v>
      </c>
      <c r="H25" s="26">
        <f t="shared" si="3"/>
        <v>320000</v>
      </c>
      <c r="I25" s="24">
        <v>129</v>
      </c>
      <c r="J25" s="26">
        <f t="shared" si="4"/>
        <v>516000</v>
      </c>
      <c r="K25" s="24">
        <f t="shared" si="0"/>
        <v>836000</v>
      </c>
      <c r="L25" s="77">
        <f t="shared" si="1"/>
        <v>58.132257840205824</v>
      </c>
      <c r="M25" s="21"/>
    </row>
    <row r="26" spans="1:13">
      <c r="A26" s="20"/>
      <c r="B26" s="22">
        <v>18</v>
      </c>
      <c r="C26" s="23">
        <f>'Fuel Diesel'!C26</f>
        <v>19</v>
      </c>
      <c r="D26" s="23">
        <f>'Fuel Diesel'!D26</f>
        <v>125</v>
      </c>
      <c r="E26" s="24">
        <v>0</v>
      </c>
      <c r="F26" s="26">
        <f t="shared" si="2"/>
        <v>0</v>
      </c>
      <c r="G26" s="24">
        <v>63</v>
      </c>
      <c r="H26" s="26">
        <f t="shared" si="3"/>
        <v>252000</v>
      </c>
      <c r="I26" s="24">
        <v>98</v>
      </c>
      <c r="J26" s="26">
        <f t="shared" si="4"/>
        <v>392000</v>
      </c>
      <c r="K26" s="24">
        <f t="shared" si="0"/>
        <v>644000</v>
      </c>
      <c r="L26" s="77">
        <f t="shared" si="1"/>
        <v>44.781308671163337</v>
      </c>
      <c r="M26" s="21"/>
    </row>
    <row r="27" spans="1:13">
      <c r="A27" s="20"/>
      <c r="B27" s="22">
        <v>19</v>
      </c>
      <c r="C27" s="23">
        <f>'Fuel Diesel'!C27</f>
        <v>18</v>
      </c>
      <c r="D27" s="23">
        <f>'Fuel Diesel'!D27</f>
        <v>82</v>
      </c>
      <c r="E27" s="24">
        <v>0</v>
      </c>
      <c r="F27" s="26">
        <f t="shared" si="2"/>
        <v>0</v>
      </c>
      <c r="G27" s="24">
        <v>72</v>
      </c>
      <c r="H27" s="26">
        <f t="shared" si="3"/>
        <v>288000</v>
      </c>
      <c r="I27" s="24">
        <v>123</v>
      </c>
      <c r="J27" s="26">
        <f t="shared" si="4"/>
        <v>492000</v>
      </c>
      <c r="K27" s="24">
        <f t="shared" si="0"/>
        <v>780000</v>
      </c>
      <c r="L27" s="77">
        <f t="shared" si="1"/>
        <v>54.2382309992351</v>
      </c>
      <c r="M27" s="21"/>
    </row>
    <row r="28" spans="1:13">
      <c r="A28" s="20"/>
      <c r="B28" s="22">
        <v>20</v>
      </c>
      <c r="C28" s="23">
        <f>'Fuel Diesel'!C28</f>
        <v>22</v>
      </c>
      <c r="D28" s="23">
        <f>'Fuel Diesel'!D28</f>
        <v>121</v>
      </c>
      <c r="E28" s="24">
        <v>0</v>
      </c>
      <c r="F28" s="26">
        <f t="shared" si="2"/>
        <v>0</v>
      </c>
      <c r="G28" s="24">
        <v>53</v>
      </c>
      <c r="H28" s="26">
        <f t="shared" si="3"/>
        <v>212000</v>
      </c>
      <c r="I28" s="24">
        <v>86</v>
      </c>
      <c r="J28" s="26">
        <f t="shared" si="4"/>
        <v>344000</v>
      </c>
      <c r="K28" s="24">
        <f t="shared" si="0"/>
        <v>556000</v>
      </c>
      <c r="L28" s="77">
        <f t="shared" si="1"/>
        <v>38.662123635352202</v>
      </c>
      <c r="M28" s="21"/>
    </row>
    <row r="29" spans="1:13">
      <c r="A29" s="20"/>
      <c r="B29" s="22">
        <v>21</v>
      </c>
      <c r="C29" s="23">
        <f>'Fuel Diesel'!C29</f>
        <v>19</v>
      </c>
      <c r="D29" s="23">
        <f>'Fuel Diesel'!D29</f>
        <v>100</v>
      </c>
      <c r="E29" s="24">
        <v>0</v>
      </c>
      <c r="F29" s="26">
        <f t="shared" si="2"/>
        <v>0</v>
      </c>
      <c r="G29" s="24">
        <v>62</v>
      </c>
      <c r="H29" s="26">
        <f t="shared" si="3"/>
        <v>248000</v>
      </c>
      <c r="I29" s="24">
        <v>104</v>
      </c>
      <c r="J29" s="26">
        <f t="shared" si="4"/>
        <v>416000</v>
      </c>
      <c r="K29" s="24">
        <f t="shared" si="0"/>
        <v>664000</v>
      </c>
      <c r="L29" s="77">
        <f t="shared" si="1"/>
        <v>46.172032542938602</v>
      </c>
      <c r="M29" s="21"/>
    </row>
    <row r="30" spans="1:13">
      <c r="A30" s="20"/>
      <c r="B30" s="22">
        <v>22</v>
      </c>
      <c r="C30" s="23">
        <f>'Fuel Diesel'!C30</f>
        <v>25</v>
      </c>
      <c r="D30" s="23">
        <f>'Fuel Diesel'!D30</f>
        <v>107</v>
      </c>
      <c r="E30" s="24">
        <v>0</v>
      </c>
      <c r="F30" s="26">
        <f t="shared" si="2"/>
        <v>0</v>
      </c>
      <c r="G30" s="24">
        <v>90</v>
      </c>
      <c r="H30" s="26">
        <f t="shared" si="3"/>
        <v>360000</v>
      </c>
      <c r="I30" s="24">
        <v>148</v>
      </c>
      <c r="J30" s="26">
        <f t="shared" si="4"/>
        <v>592000</v>
      </c>
      <c r="K30" s="24">
        <f t="shared" si="0"/>
        <v>952000</v>
      </c>
      <c r="L30" s="77">
        <f t="shared" si="1"/>
        <v>66.198456296502329</v>
      </c>
      <c r="M30" s="21"/>
    </row>
    <row r="31" spans="1:13">
      <c r="A31" s="20"/>
      <c r="B31" s="22">
        <v>23</v>
      </c>
      <c r="C31" s="23">
        <f>'Fuel Diesel'!C31</f>
        <v>28</v>
      </c>
      <c r="D31" s="23">
        <f>'Fuel Diesel'!D31</f>
        <v>142</v>
      </c>
      <c r="E31" s="24">
        <v>0</v>
      </c>
      <c r="F31" s="26">
        <f t="shared" si="2"/>
        <v>0</v>
      </c>
      <c r="G31" s="24">
        <v>90</v>
      </c>
      <c r="H31" s="26">
        <f t="shared" si="3"/>
        <v>360000</v>
      </c>
      <c r="I31" s="24">
        <v>143</v>
      </c>
      <c r="J31" s="26">
        <f t="shared" si="4"/>
        <v>572000</v>
      </c>
      <c r="K31" s="24">
        <f t="shared" si="0"/>
        <v>932000</v>
      </c>
      <c r="L31" s="77">
        <f t="shared" si="1"/>
        <v>64.807732424727064</v>
      </c>
      <c r="M31" s="21"/>
    </row>
    <row r="32" spans="1:13">
      <c r="A32" s="20"/>
      <c r="B32" s="22">
        <v>24</v>
      </c>
      <c r="C32" s="23">
        <f>'Fuel Diesel'!C32</f>
        <v>26</v>
      </c>
      <c r="D32" s="23">
        <f>'Fuel Diesel'!D32</f>
        <v>116</v>
      </c>
      <c r="E32" s="24">
        <v>0</v>
      </c>
      <c r="F32" s="26">
        <f t="shared" si="2"/>
        <v>0</v>
      </c>
      <c r="G32" s="24">
        <v>108</v>
      </c>
      <c r="H32" s="26">
        <f t="shared" si="3"/>
        <v>432000</v>
      </c>
      <c r="I32" s="24">
        <v>175</v>
      </c>
      <c r="J32" s="26">
        <f t="shared" si="4"/>
        <v>700000</v>
      </c>
      <c r="K32" s="24">
        <f t="shared" si="0"/>
        <v>1132000</v>
      </c>
      <c r="L32" s="77">
        <f t="shared" si="1"/>
        <v>78.714971142479655</v>
      </c>
      <c r="M32" s="21"/>
    </row>
    <row r="33" spans="1:15">
      <c r="A33" s="20"/>
      <c r="B33" s="22">
        <v>25</v>
      </c>
      <c r="C33" s="23">
        <f>'Fuel Diesel'!C33</f>
        <v>24</v>
      </c>
      <c r="D33" s="23">
        <f>'Fuel Diesel'!D33</f>
        <v>138</v>
      </c>
      <c r="E33" s="24">
        <v>0</v>
      </c>
      <c r="F33" s="26">
        <f t="shared" si="2"/>
        <v>0</v>
      </c>
      <c r="G33" s="24">
        <v>70</v>
      </c>
      <c r="H33" s="26">
        <f t="shared" si="3"/>
        <v>280000</v>
      </c>
      <c r="I33" s="24">
        <v>116</v>
      </c>
      <c r="J33" s="26">
        <f t="shared" si="4"/>
        <v>464000</v>
      </c>
      <c r="K33" s="24">
        <f t="shared" si="0"/>
        <v>744000</v>
      </c>
      <c r="L33" s="77">
        <f t="shared" si="1"/>
        <v>51.734928030039633</v>
      </c>
      <c r="M33" s="21"/>
    </row>
    <row r="34" spans="1:15">
      <c r="A34" s="20"/>
      <c r="B34" s="22">
        <v>26</v>
      </c>
      <c r="C34" s="23">
        <f>'Fuel Diesel'!C34</f>
        <v>29</v>
      </c>
      <c r="D34" s="23">
        <f>'Fuel Diesel'!D34</f>
        <v>115</v>
      </c>
      <c r="E34" s="24">
        <v>0</v>
      </c>
      <c r="F34" s="26">
        <f t="shared" si="2"/>
        <v>0</v>
      </c>
      <c r="G34" s="24">
        <v>68</v>
      </c>
      <c r="H34" s="26">
        <f t="shared" si="3"/>
        <v>272000</v>
      </c>
      <c r="I34" s="24">
        <v>117</v>
      </c>
      <c r="J34" s="26">
        <f t="shared" si="4"/>
        <v>468000</v>
      </c>
      <c r="K34" s="24">
        <f t="shared" si="0"/>
        <v>740000</v>
      </c>
      <c r="L34" s="77">
        <f t="shared" si="1"/>
        <v>51.456783255684584</v>
      </c>
      <c r="M34" s="21"/>
    </row>
    <row r="35" spans="1:15">
      <c r="A35" s="20"/>
      <c r="B35" s="22">
        <v>27</v>
      </c>
      <c r="C35" s="23">
        <f>'Fuel Diesel'!C35</f>
        <v>26</v>
      </c>
      <c r="D35" s="23">
        <f>'Fuel Diesel'!D35</f>
        <v>117</v>
      </c>
      <c r="E35" s="24">
        <v>0</v>
      </c>
      <c r="F35" s="26">
        <f t="shared" si="2"/>
        <v>0</v>
      </c>
      <c r="G35" s="24">
        <v>68</v>
      </c>
      <c r="H35" s="26">
        <f t="shared" si="3"/>
        <v>272000</v>
      </c>
      <c r="I35" s="24">
        <v>104</v>
      </c>
      <c r="J35" s="26">
        <f t="shared" si="4"/>
        <v>416000</v>
      </c>
      <c r="K35" s="24">
        <f t="shared" si="0"/>
        <v>688000</v>
      </c>
      <c r="L35" s="77">
        <f t="shared" si="1"/>
        <v>47.840901189068909</v>
      </c>
      <c r="M35" s="21"/>
    </row>
    <row r="36" spans="1:15">
      <c r="A36" s="20"/>
      <c r="B36" s="22">
        <v>28</v>
      </c>
      <c r="C36" s="23">
        <f>'Fuel Diesel'!C36</f>
        <v>33</v>
      </c>
      <c r="D36" s="23">
        <f>'Fuel Diesel'!D36</f>
        <v>147</v>
      </c>
      <c r="E36" s="24">
        <v>0</v>
      </c>
      <c r="F36" s="26">
        <f t="shared" si="2"/>
        <v>0</v>
      </c>
      <c r="G36" s="24">
        <v>70</v>
      </c>
      <c r="H36" s="26">
        <f t="shared" si="3"/>
        <v>280000</v>
      </c>
      <c r="I36" s="24">
        <v>112</v>
      </c>
      <c r="J36" s="26">
        <f t="shared" si="4"/>
        <v>448000</v>
      </c>
      <c r="K36" s="24">
        <f t="shared" si="0"/>
        <v>728000</v>
      </c>
      <c r="L36" s="77">
        <f t="shared" si="1"/>
        <v>50.622348932619431</v>
      </c>
      <c r="M36" s="21"/>
    </row>
    <row r="37" spans="1:15">
      <c r="A37" s="20"/>
      <c r="B37" s="22">
        <v>29</v>
      </c>
      <c r="C37" s="23">
        <f>'Fuel Diesel'!C37</f>
        <v>22</v>
      </c>
      <c r="D37" s="23">
        <f>'Fuel Diesel'!D37</f>
        <v>150</v>
      </c>
      <c r="E37" s="24">
        <v>0</v>
      </c>
      <c r="F37" s="26">
        <f t="shared" si="2"/>
        <v>0</v>
      </c>
      <c r="G37" s="24">
        <v>59</v>
      </c>
      <c r="H37" s="26">
        <f t="shared" si="3"/>
        <v>236000</v>
      </c>
      <c r="I37" s="24">
        <v>99</v>
      </c>
      <c r="J37" s="26">
        <f t="shared" si="4"/>
        <v>396000</v>
      </c>
      <c r="K37" s="24">
        <f t="shared" si="0"/>
        <v>632000</v>
      </c>
      <c r="L37" s="77">
        <f t="shared" si="1"/>
        <v>43.946874348098184</v>
      </c>
      <c r="M37" s="21"/>
    </row>
    <row r="38" spans="1:15">
      <c r="A38" s="20"/>
      <c r="B38" s="22">
        <v>30</v>
      </c>
      <c r="C38" s="23">
        <f>'Fuel Diesel'!C38</f>
        <v>17</v>
      </c>
      <c r="D38" s="23">
        <f>'Fuel Diesel'!D38</f>
        <v>103</v>
      </c>
      <c r="E38" s="24">
        <v>0</v>
      </c>
      <c r="F38" s="26">
        <f t="shared" si="2"/>
        <v>0</v>
      </c>
      <c r="G38" s="24">
        <v>71</v>
      </c>
      <c r="H38" s="26">
        <f t="shared" si="3"/>
        <v>284000</v>
      </c>
      <c r="I38" s="24">
        <v>116</v>
      </c>
      <c r="J38" s="26">
        <f t="shared" si="4"/>
        <v>464000</v>
      </c>
      <c r="K38" s="24">
        <f t="shared" si="0"/>
        <v>748000</v>
      </c>
      <c r="L38" s="77">
        <f t="shared" si="1"/>
        <v>52.013072804394689</v>
      </c>
      <c r="M38" s="21"/>
    </row>
    <row r="39" spans="1:15">
      <c r="A39" s="20"/>
      <c r="B39" s="22">
        <v>31</v>
      </c>
      <c r="C39" s="23">
        <f>'Fuel Diesel'!C39</f>
        <v>15</v>
      </c>
      <c r="D39" s="23">
        <f>'Fuel Diesel'!D39</f>
        <v>70</v>
      </c>
      <c r="E39" s="24">
        <v>0</v>
      </c>
      <c r="F39" s="26">
        <f t="shared" si="2"/>
        <v>0</v>
      </c>
      <c r="G39" s="24">
        <v>67</v>
      </c>
      <c r="H39" s="26">
        <f t="shared" si="3"/>
        <v>268000</v>
      </c>
      <c r="I39" s="24">
        <v>110</v>
      </c>
      <c r="J39" s="26">
        <f t="shared" si="4"/>
        <v>440000</v>
      </c>
      <c r="K39" s="24">
        <f t="shared" si="0"/>
        <v>708000</v>
      </c>
      <c r="L39" s="77">
        <f t="shared" si="1"/>
        <v>49.231625060844166</v>
      </c>
      <c r="M39" s="21"/>
    </row>
    <row r="40" spans="1:15">
      <c r="C40" s="30">
        <f>SUM(C9:C39)</f>
        <v>875</v>
      </c>
      <c r="D40" s="30">
        <f>SUM(D9:D39)</f>
        <v>4394</v>
      </c>
      <c r="E40" s="30">
        <v>0</v>
      </c>
      <c r="G40" s="30">
        <f>SUM(G9:G39)</f>
        <v>2402</v>
      </c>
      <c r="I40" s="30">
        <f>SUM(I9:I39)</f>
        <v>3927</v>
      </c>
      <c r="J40" s="91">
        <f>G40+I40</f>
        <v>6329</v>
      </c>
      <c r="K40" s="78"/>
      <c r="L40" s="85">
        <f>SUM(L9:L39)</f>
        <v>1760.3782768931226</v>
      </c>
      <c r="O40" s="35"/>
    </row>
    <row r="41" spans="1:15">
      <c r="H41" s="90" t="s">
        <v>59</v>
      </c>
      <c r="I41" s="89">
        <f>G40+I40</f>
        <v>6329</v>
      </c>
      <c r="L41" s="36"/>
    </row>
    <row r="42" spans="1:15">
      <c r="E42" s="19"/>
      <c r="F42" s="19"/>
      <c r="G42" s="19"/>
      <c r="H42" s="19"/>
      <c r="I42" s="79"/>
      <c r="J42" s="79"/>
      <c r="L42" s="38"/>
    </row>
    <row r="43" spans="1:15">
      <c r="E43" s="19"/>
      <c r="F43" s="19"/>
      <c r="G43" s="19"/>
      <c r="H43" s="19"/>
      <c r="I43" s="79"/>
      <c r="J43" s="79"/>
    </row>
  </sheetData>
  <mergeCells count="16">
    <mergeCell ref="J7:J8"/>
    <mergeCell ref="B2:L2"/>
    <mergeCell ref="B3:L3"/>
    <mergeCell ref="B5:L5"/>
    <mergeCell ref="B6:B8"/>
    <mergeCell ref="C6:C8"/>
    <mergeCell ref="D6:D8"/>
    <mergeCell ref="E6:F6"/>
    <mergeCell ref="G6:J6"/>
    <mergeCell ref="K6:K8"/>
    <mergeCell ref="L6:L8"/>
    <mergeCell ref="E7:E8"/>
    <mergeCell ref="F7:F8"/>
    <mergeCell ref="G7:G8"/>
    <mergeCell ref="H7:H8"/>
    <mergeCell ref="I7:I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F59F86-2A63-47CA-80BE-C2B91424620F}"/>
</file>

<file path=customXml/itemProps2.xml><?xml version="1.0" encoding="utf-8"?>
<ds:datastoreItem xmlns:ds="http://schemas.openxmlformats.org/officeDocument/2006/customXml" ds:itemID="{4010D56E-76D4-4A07-ADB0-326CB9B396F7}"/>
</file>

<file path=customXml/itemProps3.xml><?xml version="1.0" encoding="utf-8"?>
<ds:datastoreItem xmlns:ds="http://schemas.openxmlformats.org/officeDocument/2006/customXml" ds:itemID="{38AAAFBA-24AE-41D5-B538-7FF216155B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Siget Pamungkas</dc:creator>
  <cp:keywords/>
  <dc:description/>
  <cp:lastModifiedBy>Dinna Wiji Safitri</cp:lastModifiedBy>
  <cp:revision/>
  <dcterms:created xsi:type="dcterms:W3CDTF">2022-01-19T02:48:06Z</dcterms:created>
  <dcterms:modified xsi:type="dcterms:W3CDTF">2023-02-18T05:00:09Z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