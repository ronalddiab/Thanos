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<sst xmlns="http://schemas.openxmlformats.org/spreadsheetml/2006/main" count="128" uniqueCount="49">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</sst>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29670</v>
      </c>
      <c r="F2" s="11">
        <v>5.0000000000000001E-3</v>
      </c>
      <c r="G2" s="12">
        <f>Submetering!R2</f>
        <v>572.35399199999995</v>
      </c>
      <c r="H2" s="11">
        <v>0.52800000000000002</v>
      </c>
      <c r="I2" s="12">
        <f>Hotel!B7</f>
        <v>15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0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7</v>
      </c>
      <c r="D2" s="2">
        <v>2020</v>
      </c>
      <c r="E2" s="4">
        <f>Hotel!Q7</f>
        <v>560</v>
      </c>
      <c r="F2" s="4">
        <f>Hotel!R7</f>
        <v>1890</v>
      </c>
      <c r="G2" s="4">
        <f>Hotel!S7</f>
        <v>3630</v>
      </c>
      <c r="H2" s="4">
        <f>Hotel!T7</f>
        <v>1340</v>
      </c>
      <c r="I2" s="4">
        <f>Hotel!U7</f>
        <v>2780</v>
      </c>
      <c r="J2" s="4">
        <f>Hotel!V7</f>
        <v>1830</v>
      </c>
      <c r="K2" s="4">
        <f>Hotel!W7</f>
        <v>2000</v>
      </c>
      <c r="L2" s="4">
        <f>Hotel!X7</f>
        <v>1200</v>
      </c>
      <c r="M2" s="4">
        <f>Hotel!Y7</f>
        <v>1690</v>
      </c>
      <c r="N2" s="4">
        <f>Hotel!Z7</f>
        <v>2170</v>
      </c>
      <c r="O2" s="4">
        <f>Hotel!AA7</f>
        <v>1140</v>
      </c>
      <c r="P2" s="4">
        <f>Hotel!AB7</f>
        <v>3990</v>
      </c>
      <c r="Q2" s="4">
        <f>Hotel!AC7</f>
        <v>5450</v>
      </c>
      <c r="R2" s="4">
        <f>Hotel!AV7*0.00378541*100</f>
        <v>572.35399199999995</v>
      </c>
      <c r="S2" s="4">
        <f>Hotel!B7</f>
        <v>15</v>
      </c>
    </row>
    <row r="3" spans="1:19" x14ac:dyDescent="0.25">
      <c r="A3" s="21" t="s">
        <v>31</v>
      </c>
      <c r="B3" s="2">
        <f>B2+1</f>
        <v>2</v>
      </c>
      <c r="C3" s="10">
        <v>7</v>
      </c>
      <c r="D3" s="2">
        <v>2020</v>
      </c>
      <c r="E3" s="4" t="str">
        <f>Hotel!Q8</f>
        <v>0</v>
      </c>
      <c r="F3" s="4" t="str">
        <f>Hotel!R8</f>
        <v>0</v>
      </c>
      <c r="G3" s="4" t="str">
        <f>Hotel!S8</f>
        <v>0</v>
      </c>
      <c r="H3" s="4" t="str">
        <f>Hotel!T8</f>
        <v>0</v>
      </c>
      <c r="I3" s="4" t="str">
        <f>Hotel!U8</f>
        <v>0</v>
      </c>
      <c r="J3" s="4" t="str">
        <f>Hotel!V8</f>
        <v>0</v>
      </c>
      <c r="K3" s="4" t="str">
        <f>Hotel!W8</f>
        <v>0</v>
      </c>
      <c r="L3" s="4" t="str">
        <f>Hotel!X8</f>
        <v>0</v>
      </c>
      <c r="M3" s="4" t="str">
        <f>Hotel!Y8</f>
        <v>0</v>
      </c>
      <c r="N3" s="4" t="str">
        <f>Hotel!Z8</f>
        <v>0</v>
      </c>
      <c r="O3" s="4" t="str">
        <f>Hotel!AA8</f>
        <v>0</v>
      </c>
      <c r="P3" s="4" t="str">
        <f>Hotel!AB8</f>
        <v>0</v>
      </c>
      <c r="Q3" s="4" t="str">
        <f>Hotel!AC8</f>
        <v>0</v>
      </c>
      <c r="R3" s="4">
        <f>Hotel!AV8*0.00378541*100</f>
        <v>0</v>
      </c>
      <c r="S3" s="4">
        <f>Hotel!B8</f>
        <v>0</v>
      </c>
    </row>
    <row r="4" spans="1:19" x14ac:dyDescent="0.25">
      <c r="A4" s="21" t="s">
        <v>31</v>
      </c>
      <c r="B4" s="2">
        <f t="shared" ref="B4:B29" si="0">B3+1</f>
        <v>3</v>
      </c>
      <c r="C4" s="10">
        <v>7</v>
      </c>
      <c r="D4" s="2">
        <v>2020</v>
      </c>
      <c r="E4" s="4">
        <f>Hotel!Q9</f>
        <v>0</v>
      </c>
      <c r="F4" s="4">
        <f>Hotel!R9</f>
        <v>0</v>
      </c>
      <c r="G4" s="4">
        <f>Hotel!S9</f>
        <v>0</v>
      </c>
      <c r="H4" s="4">
        <f>Hotel!T9</f>
        <v>0</v>
      </c>
      <c r="I4" s="4">
        <f>Hotel!U9</f>
        <v>0</v>
      </c>
      <c r="J4" s="4">
        <f>Hotel!V9</f>
        <v>0</v>
      </c>
      <c r="K4" s="4">
        <f>Hotel!W9</f>
        <v>0</v>
      </c>
      <c r="L4" s="4">
        <f>Hotel!X9</f>
        <v>0</v>
      </c>
      <c r="M4" s="4">
        <f>Hotel!Y9</f>
        <v>0</v>
      </c>
      <c r="N4" s="4">
        <f>Hotel!Z9</f>
        <v>0</v>
      </c>
      <c r="O4" s="4">
        <f>Hotel!AA9</f>
        <v>0</v>
      </c>
      <c r="P4" s="4">
        <f>Hotel!AB9</f>
        <v>0</v>
      </c>
      <c r="Q4" s="4">
        <f>Hotel!AC9</f>
        <v>0</v>
      </c>
      <c r="R4" s="4">
        <f>Hotel!AV9*0.00378541*100</f>
        <v>0</v>
      </c>
      <c r="S4" s="4">
        <f>Hotel!B9</f>
        <v>0</v>
      </c>
    </row>
    <row r="5" spans="1:19" x14ac:dyDescent="0.25">
      <c r="A5" s="21" t="s">
        <v>31</v>
      </c>
      <c r="B5" s="2">
        <f t="shared" si="0"/>
        <v>4</v>
      </c>
      <c r="C5" s="10">
        <v>7</v>
      </c>
      <c r="D5" s="2">
        <v>2020</v>
      </c>
      <c r="E5" s="4">
        <f>Hotel!Q10</f>
        <v>0</v>
      </c>
      <c r="F5" s="4">
        <f>Hotel!R10</f>
        <v>0</v>
      </c>
      <c r="G5" s="4">
        <f>Hotel!S10</f>
        <v>0</v>
      </c>
      <c r="H5" s="4">
        <f>Hotel!T10</f>
        <v>0</v>
      </c>
      <c r="I5" s="4">
        <f>Hotel!U10</f>
        <v>0</v>
      </c>
      <c r="J5" s="4">
        <f>Hotel!V10</f>
        <v>0</v>
      </c>
      <c r="K5" s="4">
        <f>Hotel!W10</f>
        <v>0</v>
      </c>
      <c r="L5" s="4">
        <f>Hotel!X10</f>
        <v>0</v>
      </c>
      <c r="M5" s="4">
        <f>Hotel!Y10</f>
        <v>0</v>
      </c>
      <c r="N5" s="4">
        <f>Hotel!Z10</f>
        <v>0</v>
      </c>
      <c r="O5" s="4">
        <f>Hotel!AA10</f>
        <v>0</v>
      </c>
      <c r="P5" s="4">
        <f>Hotel!AB10</f>
        <v>0</v>
      </c>
      <c r="Q5" s="4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10">
        <v>7</v>
      </c>
      <c r="D6" s="2">
        <v>2020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10">
        <v>7</v>
      </c>
      <c r="D7" s="2">
        <v>2020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10">
        <v>7</v>
      </c>
      <c r="D8" s="2">
        <v>2020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7</v>
      </c>
      <c r="D9" s="2">
        <v>2020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7</v>
      </c>
      <c r="D10" s="2">
        <v>2020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7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7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7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7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7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7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7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7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7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7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7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7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7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7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7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7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7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7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7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7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7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7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L2" sqref="L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44012</v>
      </c>
      <c r="B2" s="40">
        <v>15</v>
      </c>
      <c r="C2" s="24">
        <v>6135810</v>
      </c>
      <c r="D2" s="24">
        <v>13129100</v>
      </c>
      <c r="E2" s="24">
        <v>1834970</v>
      </c>
      <c r="F2" s="24">
        <v>2903260</v>
      </c>
      <c r="G2" s="24">
        <v>8870940</v>
      </c>
      <c r="H2" s="24">
        <v>4448690</v>
      </c>
      <c r="I2" s="24">
        <v>4284090</v>
      </c>
      <c r="J2" s="53">
        <v>4812420</v>
      </c>
      <c r="K2" s="24">
        <v>7574020</v>
      </c>
      <c r="L2" s="24">
        <v>2963250</v>
      </c>
      <c r="M2" s="24">
        <v>6821110</v>
      </c>
      <c r="N2" s="24">
        <v>9763210</v>
      </c>
      <c r="O2" s="24">
        <v>13238400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997989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997989</v>
      </c>
    </row>
    <row r="7" spans="1:49" x14ac:dyDescent="0.25">
      <c r="A7" s="23">
        <v>44013</v>
      </c>
      <c r="B7" s="40">
        <v>15</v>
      </c>
      <c r="C7" s="24">
        <v>6136370</v>
      </c>
      <c r="D7" s="24">
        <v>13130990</v>
      </c>
      <c r="E7" s="24">
        <v>1838600</v>
      </c>
      <c r="F7" s="24">
        <v>2904600</v>
      </c>
      <c r="G7" s="24">
        <v>8873720</v>
      </c>
      <c r="H7" s="24">
        <v>4450520</v>
      </c>
      <c r="I7" s="24">
        <v>4286090</v>
      </c>
      <c r="J7" s="24">
        <v>4813620</v>
      </c>
      <c r="K7" s="24">
        <v>7575710</v>
      </c>
      <c r="L7" s="24">
        <v>2965420</v>
      </c>
      <c r="M7" s="24">
        <v>6822250</v>
      </c>
      <c r="N7" s="24">
        <v>9767200</v>
      </c>
      <c r="O7" s="24">
        <v>13243850</v>
      </c>
      <c r="Q7" s="37">
        <f>IF((C7-C2&lt;0), "0",C7-C2)</f>
        <v>560</v>
      </c>
      <c r="R7" s="37">
        <f t="shared" ref="R7:AC7" si="0">IF((D7-D2&lt;0), "0",D7-D2)</f>
        <v>1890</v>
      </c>
      <c r="S7" s="37">
        <f>IF((E7-E2&lt;0), "0",E7-E2)</f>
        <v>3630</v>
      </c>
      <c r="T7" s="37">
        <f t="shared" si="0"/>
        <v>1340</v>
      </c>
      <c r="U7" s="37">
        <f t="shared" si="0"/>
        <v>2780</v>
      </c>
      <c r="V7" s="37">
        <f t="shared" si="0"/>
        <v>1830</v>
      </c>
      <c r="W7" s="37">
        <f t="shared" si="0"/>
        <v>2000</v>
      </c>
      <c r="X7" s="37">
        <f t="shared" si="0"/>
        <v>1200</v>
      </c>
      <c r="Y7" s="37">
        <f t="shared" si="0"/>
        <v>1690</v>
      </c>
      <c r="Z7" s="37">
        <f t="shared" si="0"/>
        <v>2170</v>
      </c>
      <c r="AA7" s="37">
        <f t="shared" si="0"/>
        <v>1140</v>
      </c>
      <c r="AB7" s="37">
        <f t="shared" si="0"/>
        <v>3990</v>
      </c>
      <c r="AC7" s="37">
        <f t="shared" si="0"/>
        <v>5450</v>
      </c>
      <c r="AD7" s="34">
        <f>SUM(Q7:AC7)</f>
        <v>29670</v>
      </c>
      <c r="AF7" s="20">
        <f t="shared" ref="AF7:AF36" si="1">Q7*$D$39</f>
        <v>2.8000000000000003</v>
      </c>
      <c r="AG7" s="20">
        <f t="shared" ref="AG7:AG36" si="2">R7*$D$39</f>
        <v>9.4500000000000011</v>
      </c>
      <c r="AH7" s="20">
        <f t="shared" ref="AH7:AH36" si="3">S7*$D$39</f>
        <v>18.150000000000002</v>
      </c>
      <c r="AI7" s="20">
        <f t="shared" ref="AI7:AI36" si="4">T7*$D$39</f>
        <v>6.7</v>
      </c>
      <c r="AJ7" s="20">
        <f t="shared" ref="AJ7:AJ36" si="5">U7*$D$39</f>
        <v>13.9</v>
      </c>
      <c r="AK7" s="20">
        <f t="shared" ref="AK7:AK36" si="6">V7*$D$39</f>
        <v>9.15</v>
      </c>
      <c r="AL7" s="20">
        <f t="shared" ref="AL7:AL36" si="7">W7*$D$39</f>
        <v>10</v>
      </c>
      <c r="AM7" s="20">
        <f t="shared" ref="AM7:AM36" si="8">X7*$D$39</f>
        <v>6</v>
      </c>
      <c r="AN7" s="20">
        <f t="shared" ref="AN7:AN36" si="9">Y7*$D$39</f>
        <v>8.4499999999999993</v>
      </c>
      <c r="AO7" s="20">
        <f t="shared" ref="AO7:AO36" si="10">Z7*$D$39</f>
        <v>10.85</v>
      </c>
      <c r="AP7" s="20">
        <f t="shared" ref="AP7:AP36" si="11">AA7*$D$39</f>
        <v>5.7</v>
      </c>
      <c r="AQ7" s="20">
        <f t="shared" ref="AQ7:AQ36" si="12">AB7*$D$39</f>
        <v>19.95</v>
      </c>
      <c r="AR7" s="20">
        <f t="shared" ref="AR7:AR36" si="13">AC7*$D$39</f>
        <v>27.25</v>
      </c>
      <c r="AS7" s="35">
        <f>SUM(AF7:AR7)</f>
        <v>148.35000000000002</v>
      </c>
      <c r="AU7" s="47">
        <v>999501</v>
      </c>
      <c r="AV7" s="37">
        <f>IF((AU7-AU6&lt;0),"0",AU7-AU6)</f>
        <v>1512</v>
      </c>
      <c r="AW7" s="50">
        <v>0</v>
      </c>
    </row>
    <row r="8" spans="1:49" x14ac:dyDescent="0.25">
      <c r="A8" s="23">
        <v>44014</v>
      </c>
      <c r="B8" s="40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Q8" s="37" t="str">
        <f>IF((C8-C7&lt;0), "0",C8-C7)</f>
        <v>0</v>
      </c>
      <c r="R8" s="37" t="str">
        <f t="shared" ref="R8:AC8" si="14">IF((D8-D7&lt;0), "0",D8-D7)</f>
        <v>0</v>
      </c>
      <c r="S8" s="37" t="str">
        <f t="shared" ref="S8:S35" si="15">IF((E8-E7&lt;0), "0",E8-E7)</f>
        <v>0</v>
      </c>
      <c r="T8" s="37" t="str">
        <f t="shared" si="14"/>
        <v>0</v>
      </c>
      <c r="U8" s="37" t="str">
        <f t="shared" si="14"/>
        <v>0</v>
      </c>
      <c r="V8" s="37" t="str">
        <f t="shared" si="14"/>
        <v>0</v>
      </c>
      <c r="W8" s="37" t="str">
        <f t="shared" si="14"/>
        <v>0</v>
      </c>
      <c r="X8" s="37" t="str">
        <f t="shared" si="14"/>
        <v>0</v>
      </c>
      <c r="Y8" s="37" t="str">
        <f t="shared" si="14"/>
        <v>0</v>
      </c>
      <c r="Z8" s="37" t="str">
        <f t="shared" si="14"/>
        <v>0</v>
      </c>
      <c r="AA8" s="37" t="str">
        <f t="shared" si="14"/>
        <v>0</v>
      </c>
      <c r="AB8" s="37" t="str">
        <f t="shared" si="14"/>
        <v>0</v>
      </c>
      <c r="AC8" s="37" t="str">
        <f t="shared" si="14"/>
        <v>0</v>
      </c>
      <c r="AD8" s="35">
        <f>SUM(Q8:AC8)</f>
        <v>0</v>
      </c>
      <c r="AF8" s="20">
        <f t="shared" si="1"/>
        <v>0</v>
      </c>
      <c r="AG8" s="20">
        <f t="shared" si="2"/>
        <v>0</v>
      </c>
      <c r="AH8" s="20">
        <f t="shared" si="3"/>
        <v>0</v>
      </c>
      <c r="AI8" s="20">
        <f t="shared" si="4"/>
        <v>0</v>
      </c>
      <c r="AJ8" s="20">
        <f t="shared" si="5"/>
        <v>0</v>
      </c>
      <c r="AK8" s="20">
        <f t="shared" si="6"/>
        <v>0</v>
      </c>
      <c r="AL8" s="20">
        <f t="shared" si="7"/>
        <v>0</v>
      </c>
      <c r="AM8" s="20">
        <f t="shared" si="8"/>
        <v>0</v>
      </c>
      <c r="AN8" s="20">
        <f t="shared" si="9"/>
        <v>0</v>
      </c>
      <c r="AO8" s="20">
        <f t="shared" si="10"/>
        <v>0</v>
      </c>
      <c r="AP8" s="20">
        <f t="shared" si="11"/>
        <v>0</v>
      </c>
      <c r="AQ8" s="20">
        <f t="shared" si="12"/>
        <v>0</v>
      </c>
      <c r="AR8" s="20">
        <f t="shared" si="13"/>
        <v>0</v>
      </c>
      <c r="AS8" s="35">
        <f>SUM(AF8:AR8)</f>
        <v>0</v>
      </c>
      <c r="AU8" s="47"/>
      <c r="AV8" s="37" t="str">
        <f>IF((AU8-AU7&lt;0),"0",AU8-AU7)</f>
        <v>0</v>
      </c>
      <c r="AW8" s="35">
        <v>0</v>
      </c>
    </row>
    <row r="9" spans="1:49" x14ac:dyDescent="0.25">
      <c r="A9" s="23">
        <v>44015</v>
      </c>
      <c r="B9" s="40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Q9" s="37">
        <f t="shared" ref="Q9:Q30" si="16">IF((C9-C8&lt;0), "0",C9-C8)</f>
        <v>0</v>
      </c>
      <c r="R9" s="37">
        <f t="shared" ref="R9:R35" si="17">IF((D9-D8&lt;0), "0",D9-D8)</f>
        <v>0</v>
      </c>
      <c r="S9" s="37">
        <f t="shared" si="15"/>
        <v>0</v>
      </c>
      <c r="T9" s="37">
        <f t="shared" ref="T9:T35" si="18">IF((F9-F8&lt;0), "0",F9-F8)</f>
        <v>0</v>
      </c>
      <c r="U9" s="37">
        <f t="shared" ref="U9:U35" si="19">IF((G9-G8&lt;0), "0",G9-G8)</f>
        <v>0</v>
      </c>
      <c r="V9" s="37">
        <f t="shared" ref="V9:V35" si="20">IF((H9-H8&lt;0), "0",H9-H8)</f>
        <v>0</v>
      </c>
      <c r="W9" s="37">
        <f t="shared" ref="W9:W35" si="21">IF((I9-I8&lt;0), "0",I9-I8)</f>
        <v>0</v>
      </c>
      <c r="X9" s="37">
        <f t="shared" ref="X9:X35" si="22">IF((J9-J8&lt;0), "0",J9-J8)</f>
        <v>0</v>
      </c>
      <c r="Y9" s="37">
        <f t="shared" ref="Y9:Y35" si="23">IF((K9-K8&lt;0), "0",K9-K8)</f>
        <v>0</v>
      </c>
      <c r="Z9" s="37">
        <f t="shared" ref="Z9:Z35" si="24">IF((L9-L8&lt;0), "0",L9-L8)</f>
        <v>0</v>
      </c>
      <c r="AA9" s="37">
        <f t="shared" ref="AA9:AA35" si="25">IF((M9-M8&lt;0), "0",M9-M8)</f>
        <v>0</v>
      </c>
      <c r="AB9" s="37">
        <f t="shared" ref="AB9:AB37" si="26">IF((N9-N8&lt;0), "0",N9-N8)</f>
        <v>0</v>
      </c>
      <c r="AC9" s="37">
        <f t="shared" ref="AC9:AC37" si="27">IF((O9-O8&lt;0), "0",O9-O8)</f>
        <v>0</v>
      </c>
      <c r="AD9" s="35">
        <f t="shared" ref="AD9:AD37" si="28">SUM(Q9:AC9)</f>
        <v>0</v>
      </c>
      <c r="AF9" s="20">
        <f t="shared" si="1"/>
        <v>0</v>
      </c>
      <c r="AG9" s="20">
        <f t="shared" si="2"/>
        <v>0</v>
      </c>
      <c r="AH9" s="20">
        <f t="shared" si="3"/>
        <v>0</v>
      </c>
      <c r="AI9" s="20">
        <f t="shared" si="4"/>
        <v>0</v>
      </c>
      <c r="AJ9" s="20">
        <f t="shared" si="5"/>
        <v>0</v>
      </c>
      <c r="AK9" s="20">
        <f t="shared" si="6"/>
        <v>0</v>
      </c>
      <c r="AL9" s="20">
        <f t="shared" si="7"/>
        <v>0</v>
      </c>
      <c r="AM9" s="20">
        <f t="shared" si="8"/>
        <v>0</v>
      </c>
      <c r="AN9" s="20">
        <f t="shared" si="9"/>
        <v>0</v>
      </c>
      <c r="AO9" s="20">
        <f t="shared" si="10"/>
        <v>0</v>
      </c>
      <c r="AP9" s="20">
        <f t="shared" si="11"/>
        <v>0</v>
      </c>
      <c r="AQ9" s="20">
        <f t="shared" si="12"/>
        <v>0</v>
      </c>
      <c r="AR9" s="20">
        <f t="shared" si="13"/>
        <v>0</v>
      </c>
      <c r="AS9" s="35">
        <f t="shared" ref="AS9:AS33" si="29">SUM(AF9:AR9)</f>
        <v>0</v>
      </c>
      <c r="AU9" s="47"/>
      <c r="AV9" s="37">
        <f>IF((AU9-AU8&lt;0),"0",AU9-AU8)</f>
        <v>0</v>
      </c>
      <c r="AW9" s="35">
        <f t="shared" ref="AW9:AW35" si="30">AV9*$D$40</f>
        <v>0</v>
      </c>
    </row>
    <row r="10" spans="1:49" x14ac:dyDescent="0.25">
      <c r="A10" s="23">
        <v>44016</v>
      </c>
      <c r="B10" s="4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Q10" s="37">
        <f t="shared" si="16"/>
        <v>0</v>
      </c>
      <c r="R10" s="37">
        <f t="shared" si="17"/>
        <v>0</v>
      </c>
      <c r="S10" s="37">
        <f t="shared" si="15"/>
        <v>0</v>
      </c>
      <c r="T10" s="37">
        <f t="shared" si="18"/>
        <v>0</v>
      </c>
      <c r="U10" s="37">
        <f t="shared" si="19"/>
        <v>0</v>
      </c>
      <c r="V10" s="37">
        <f t="shared" si="20"/>
        <v>0</v>
      </c>
      <c r="W10" s="37">
        <f t="shared" si="21"/>
        <v>0</v>
      </c>
      <c r="X10" s="37">
        <f t="shared" si="22"/>
        <v>0</v>
      </c>
      <c r="Y10" s="37">
        <f t="shared" si="23"/>
        <v>0</v>
      </c>
      <c r="Z10" s="37">
        <f t="shared" si="24"/>
        <v>0</v>
      </c>
      <c r="AA10" s="37">
        <f t="shared" si="25"/>
        <v>0</v>
      </c>
      <c r="AB10" s="37">
        <f t="shared" si="26"/>
        <v>0</v>
      </c>
      <c r="AC10" s="37">
        <f t="shared" si="27"/>
        <v>0</v>
      </c>
      <c r="AD10" s="35">
        <f t="shared" si="28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29"/>
        <v>0</v>
      </c>
      <c r="AU10" s="47"/>
      <c r="AV10" s="37">
        <f t="shared" ref="AV10:AV26" si="31">IF((AU10-AU9&lt;0),"0",AU10-AU9)</f>
        <v>0</v>
      </c>
      <c r="AW10" s="35">
        <f t="shared" si="30"/>
        <v>0</v>
      </c>
    </row>
    <row r="11" spans="1:49" x14ac:dyDescent="0.25">
      <c r="A11" s="23">
        <v>44017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>
        <f t="shared" si="16"/>
        <v>0</v>
      </c>
      <c r="R11" s="37">
        <f t="shared" si="17"/>
        <v>0</v>
      </c>
      <c r="S11" s="37">
        <f t="shared" si="15"/>
        <v>0</v>
      </c>
      <c r="T11" s="37">
        <f t="shared" si="18"/>
        <v>0</v>
      </c>
      <c r="U11" s="37">
        <f t="shared" si="19"/>
        <v>0</v>
      </c>
      <c r="V11" s="37">
        <f t="shared" si="20"/>
        <v>0</v>
      </c>
      <c r="W11" s="37">
        <f t="shared" si="21"/>
        <v>0</v>
      </c>
      <c r="X11" s="37">
        <f t="shared" si="22"/>
        <v>0</v>
      </c>
      <c r="Y11" s="37">
        <f t="shared" si="23"/>
        <v>0</v>
      </c>
      <c r="Z11" s="37">
        <f t="shared" si="24"/>
        <v>0</v>
      </c>
      <c r="AA11" s="37">
        <f t="shared" si="25"/>
        <v>0</v>
      </c>
      <c r="AB11" s="37">
        <f t="shared" si="26"/>
        <v>0</v>
      </c>
      <c r="AC11" s="37">
        <f t="shared" si="27"/>
        <v>0</v>
      </c>
      <c r="AD11" s="35">
        <f t="shared" si="28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29"/>
        <v>0</v>
      </c>
      <c r="AU11" s="47"/>
      <c r="AV11" s="37">
        <f t="shared" si="31"/>
        <v>0</v>
      </c>
      <c r="AW11" s="35">
        <f t="shared" si="30"/>
        <v>0</v>
      </c>
    </row>
    <row r="12" spans="1:49" x14ac:dyDescent="0.25">
      <c r="A12" s="23">
        <v>44018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6"/>
        <v>0</v>
      </c>
      <c r="R12" s="37">
        <f t="shared" si="17"/>
        <v>0</v>
      </c>
      <c r="S12" s="37">
        <f t="shared" si="15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2"/>
        <v>0</v>
      </c>
      <c r="Y12" s="37">
        <f t="shared" si="23"/>
        <v>0</v>
      </c>
      <c r="Z12" s="37">
        <f>IF((L12-L11&lt;0), "0",L12-L11)</f>
        <v>0</v>
      </c>
      <c r="AA12" s="37">
        <f t="shared" si="25"/>
        <v>0</v>
      </c>
      <c r="AB12" s="37">
        <f t="shared" si="26"/>
        <v>0</v>
      </c>
      <c r="AC12" s="37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>
        <f t="shared" si="31"/>
        <v>0</v>
      </c>
      <c r="AW12" s="35">
        <f t="shared" si="30"/>
        <v>0</v>
      </c>
    </row>
    <row r="13" spans="1:49" x14ac:dyDescent="0.25">
      <c r="A13" s="23">
        <v>44019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44020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44021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44022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44023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44024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44025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44026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44027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44028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44029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44030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44031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44032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44033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44034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44035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44036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44037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44038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44039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44040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44041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44042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44043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560</v>
      </c>
      <c r="R38" s="30">
        <f t="shared" si="62"/>
        <v>1890</v>
      </c>
      <c r="S38" s="30">
        <f t="shared" si="62"/>
        <v>3630</v>
      </c>
      <c r="T38" s="30">
        <f t="shared" si="62"/>
        <v>1340</v>
      </c>
      <c r="U38" s="30">
        <f t="shared" si="62"/>
        <v>2780</v>
      </c>
      <c r="V38" s="30">
        <f t="shared" si="62"/>
        <v>1830</v>
      </c>
      <c r="W38" s="30">
        <f t="shared" si="62"/>
        <v>2000</v>
      </c>
      <c r="X38" s="30">
        <f t="shared" si="62"/>
        <v>1200</v>
      </c>
      <c r="Y38" s="30">
        <f t="shared" si="62"/>
        <v>1690</v>
      </c>
      <c r="Z38" s="30">
        <f t="shared" si="62"/>
        <v>2170</v>
      </c>
      <c r="AA38" s="30">
        <f t="shared" si="62"/>
        <v>1140</v>
      </c>
      <c r="AB38" s="30">
        <f t="shared" si="62"/>
        <v>3990</v>
      </c>
      <c r="AC38" s="30">
        <f t="shared" si="62"/>
        <v>5450</v>
      </c>
      <c r="AD38" s="35">
        <f t="shared" si="62"/>
        <v>29670</v>
      </c>
      <c r="AF38" s="35">
        <f t="shared" ref="AF38:AS38" si="63">SUM(AF7:AF34)</f>
        <v>2.8000000000000003</v>
      </c>
      <c r="AG38" s="35">
        <f t="shared" si="63"/>
        <v>9.4500000000000011</v>
      </c>
      <c r="AH38" s="35">
        <f t="shared" si="63"/>
        <v>18.150000000000002</v>
      </c>
      <c r="AI38" s="35">
        <f t="shared" si="63"/>
        <v>6.7</v>
      </c>
      <c r="AJ38" s="35">
        <f t="shared" si="63"/>
        <v>13.9</v>
      </c>
      <c r="AK38" s="35">
        <f t="shared" si="63"/>
        <v>9.15</v>
      </c>
      <c r="AL38" s="35">
        <f t="shared" si="63"/>
        <v>10</v>
      </c>
      <c r="AM38" s="35">
        <f t="shared" si="63"/>
        <v>6</v>
      </c>
      <c r="AN38" s="35">
        <f t="shared" si="63"/>
        <v>8.4499999999999993</v>
      </c>
      <c r="AO38" s="35">
        <f t="shared" si="63"/>
        <v>10.85</v>
      </c>
      <c r="AP38" s="35">
        <f t="shared" si="63"/>
        <v>5.7</v>
      </c>
      <c r="AQ38" s="35">
        <f t="shared" si="63"/>
        <v>19.95</v>
      </c>
      <c r="AR38" s="35">
        <f t="shared" si="63"/>
        <v>27.25</v>
      </c>
      <c r="AS38" s="35">
        <f t="shared" si="63"/>
        <v>148.35000000000002</v>
      </c>
      <c r="AU38" s="48"/>
      <c r="AV38" s="35">
        <f>SUM(AV7:AV34)</f>
        <v>1512</v>
      </c>
      <c r="AW38" s="35">
        <f>SUM(AW7:AW34)</f>
        <v>0</v>
      </c>
    </row>
    <row r="39" spans="1:49" x14ac:dyDescent="0.25">
      <c r="D39">
        <v>5.0000000000000001E-3</v>
      </c>
      <c r="AV39" s="36">
        <f>AV38*0.00378541*1000</f>
        <v>5723.5399199999993</v>
      </c>
    </row>
    <row r="40" spans="1:49" x14ac:dyDescent="0.25">
      <c r="D40">
        <v>2E-3</v>
      </c>
      <c r="AV40">
        <f>AV39/31</f>
        <v>184.63031999999998</v>
      </c>
    </row>
    <row r="41" spans="1:49" x14ac:dyDescent="0.25">
      <c r="AV41">
        <f>AV38*0.00378541</f>
        <v>5.7235399199999994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2020-07-02T05:44:59Z</dcterms:modified>
</cp:coreProperties>
</file>