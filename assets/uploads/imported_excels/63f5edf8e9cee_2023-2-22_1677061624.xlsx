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19\April,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9" l="1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D2" i="9"/>
  <c r="C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T20" i="7"/>
  <c r="H15" i="9" s="1"/>
  <c r="T21" i="7"/>
  <c r="Q16" i="9" l="1"/>
  <c r="O22" i="7"/>
  <c r="L15" i="9"/>
  <c r="J22" i="7"/>
  <c r="AN36" i="7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E2" i="9"/>
  <c r="Q38" i="7"/>
  <c r="M2" i="9"/>
  <c r="Y38" i="7"/>
  <c r="P2" i="9"/>
  <c r="AB38" i="7"/>
  <c r="AM7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O23" i="7"/>
  <c r="AL23" i="7"/>
  <c r="AP22" i="7"/>
  <c r="AP21" i="7"/>
  <c r="AJ21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X23" i="7" l="1"/>
  <c r="X22" i="7"/>
  <c r="AC23" i="7"/>
  <c r="AC22" i="7"/>
  <c r="AH38" i="7"/>
  <c r="AJ38" i="7"/>
  <c r="AQ38" i="7"/>
  <c r="AK38" i="7"/>
  <c r="AI38" i="7"/>
  <c r="AP38" i="7"/>
  <c r="AO38" i="7"/>
  <c r="AN38" i="7"/>
  <c r="AL38" i="7"/>
  <c r="AG38" i="7"/>
  <c r="AF38" i="7"/>
  <c r="AS34" i="7"/>
  <c r="E9" i="5"/>
  <c r="AS10" i="7"/>
  <c r="AS21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Q17" i="9" l="1"/>
  <c r="AC38" i="7"/>
  <c r="AR22" i="7"/>
  <c r="Q18" i="9"/>
  <c r="AR23" i="7"/>
  <c r="L17" i="9"/>
  <c r="E17" i="5" s="1"/>
  <c r="AM22" i="7"/>
  <c r="X38" i="7"/>
  <c r="AD22" i="7"/>
  <c r="AM23" i="7"/>
  <c r="AS23" i="7" s="1"/>
  <c r="L18" i="9"/>
  <c r="E18" i="5" s="1"/>
  <c r="AD23" i="7"/>
  <c r="AM38" i="7" l="1"/>
  <c r="AS22" i="7"/>
  <c r="AS38" i="7" s="1"/>
  <c r="AR38" i="7"/>
  <c r="AD38" i="7"/>
</calcChain>
</file>

<file path=xl/sharedStrings.xml><?xml version="1.0" encoding="utf-8"?>
<sst xmlns="http://schemas.openxmlformats.org/spreadsheetml/2006/main" count="140" uniqueCount="59">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</sst>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0" fillId="3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0" fontId="19" fillId="3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4" borderId="2" xfId="0" quotePrefix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4" fontId="0" fillId="2" borderId="2" xfId="0" applyNumberFormat="1" applyFill="1" applyBorder="1"/>
    <xf numFmtId="0" fontId="7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4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67180</v>
      </c>
      <c r="F2" s="11">
        <v>5.0000000000000001E-3</v>
      </c>
      <c r="G2" s="12">
        <f>Submetering!S2</f>
        <v>479.11500000000001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113</v>
      </c>
    </row>
    <row r="3" spans="1:11" s="15" customFormat="1" x14ac:dyDescent="0.25">
      <c r="A3" s="21" t="s">
        <v>31</v>
      </c>
      <c r="B3" s="14">
        <f>B2+1</f>
        <v>2</v>
      </c>
      <c r="C3" s="3">
        <v>4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63730</v>
      </c>
      <c r="F3" s="11">
        <v>5.0000000000000001E-3</v>
      </c>
      <c r="G3" s="12">
        <f>Submetering!S3</f>
        <v>697.24200000000008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142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71180</v>
      </c>
      <c r="F4" s="11">
        <v>5.0000000000000001E-3</v>
      </c>
      <c r="G4" s="12">
        <f>Submetering!S4</f>
        <v>529.62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154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59270</v>
      </c>
      <c r="F5" s="11">
        <v>5.0000000000000001E-3</v>
      </c>
      <c r="G5" s="12">
        <f>Submetering!S5</f>
        <v>555.28200000000004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185</v>
      </c>
    </row>
    <row r="6" spans="1:11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67890</v>
      </c>
      <c r="F6" s="11">
        <v>5.0000000000000001E-3</v>
      </c>
      <c r="G6" s="12">
        <f>Submetering!S6</f>
        <v>647.82900000000006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268</v>
      </c>
    </row>
    <row r="7" spans="1:11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71250</v>
      </c>
      <c r="F7" s="11">
        <v>5.0000000000000001E-3</v>
      </c>
      <c r="G7" s="12">
        <f>Submetering!S7</f>
        <v>573.29999999999995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175</v>
      </c>
    </row>
    <row r="8" spans="1:11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70890</v>
      </c>
      <c r="F8" s="11">
        <v>5.0000000000000001E-3</v>
      </c>
      <c r="G8" s="12">
        <f>Submetering!S8</f>
        <v>679.49700000000007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210</v>
      </c>
    </row>
    <row r="9" spans="1:11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73190</v>
      </c>
      <c r="F9" s="11">
        <v>5.0000000000000001E-3</v>
      </c>
      <c r="G9" s="12">
        <f>Submetering!S9</f>
        <v>577.12199999999996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278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73390</v>
      </c>
      <c r="F10" s="11">
        <v>5.0000000000000001E-3</v>
      </c>
      <c r="G10" s="12">
        <f>Submetering!S10</f>
        <v>702.42900000000009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279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69420</v>
      </c>
      <c r="F11" s="11">
        <v>5.0000000000000001E-3</v>
      </c>
      <c r="G11" s="12">
        <f>Submetering!S11</f>
        <v>579.85199999999998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282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82010</v>
      </c>
      <c r="F12" s="11">
        <v>5.0000000000000001E-3</v>
      </c>
      <c r="G12" s="12">
        <f>Submetering!S12</f>
        <v>423.15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271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60250</v>
      </c>
      <c r="F13" s="11">
        <v>5.0000000000000001E-3</v>
      </c>
      <c r="G13" s="12">
        <f>Submetering!S13</f>
        <v>840.02100000000007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236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69380</v>
      </c>
      <c r="F14" s="11">
        <v>5.0000000000000001E-3</v>
      </c>
      <c r="G14" s="12">
        <f>Submetering!S14</f>
        <v>701.33699999999999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145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75040</v>
      </c>
      <c r="F15" s="11">
        <v>5.0000000000000001E-3</v>
      </c>
      <c r="G15" s="12">
        <f>Submetering!S15</f>
        <v>625.16999999999996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170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73990</v>
      </c>
      <c r="F16" s="11">
        <v>5.0000000000000001E-3</v>
      </c>
      <c r="G16" s="12">
        <f>Submetering!S16</f>
        <v>777.77700000000004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180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75180</v>
      </c>
      <c r="F17" s="11">
        <v>5.0000000000000001E-3</v>
      </c>
      <c r="G17" s="12">
        <f>Submetering!S17</f>
        <v>618.89100000000008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222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71080</v>
      </c>
      <c r="F18" s="11">
        <v>5.0000000000000001E-3</v>
      </c>
      <c r="G18" s="12">
        <f>Submetering!S18</f>
        <v>806.98799999999994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221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69290</v>
      </c>
      <c r="F19" s="11">
        <v>5.0000000000000001E-3</v>
      </c>
      <c r="G19" s="12">
        <f>Submetering!S19</f>
        <v>679.49700000000007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271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69840</v>
      </c>
      <c r="F20" s="11">
        <v>5.0000000000000001E-3</v>
      </c>
      <c r="G20" s="12">
        <f>Submetering!S20</f>
        <v>709.25400000000002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272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81076</v>
      </c>
      <c r="F21" s="11">
        <v>5.0000000000000001E-3</v>
      </c>
      <c r="G21" s="12">
        <f>Submetering!S21</f>
        <v>816.27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154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60036</v>
      </c>
      <c r="F22" s="11">
        <v>5.0000000000000001E-3</v>
      </c>
      <c r="G22" s="12">
        <f>Submetering!S22</f>
        <v>511.05599999999998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165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65148</v>
      </c>
      <c r="F23" s="11">
        <v>5.0000000000000001E-3</v>
      </c>
      <c r="G23" s="12">
        <f>Submetering!S23</f>
        <v>599.23500000000001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176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65990</v>
      </c>
      <c r="F24" s="11">
        <v>5.0000000000000001E-3</v>
      </c>
      <c r="G24" s="12">
        <f>Submetering!S24</f>
        <v>700.245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233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67360</v>
      </c>
      <c r="F25" s="11">
        <v>5.0000000000000001E-3</v>
      </c>
      <c r="G25" s="12">
        <f>Submetering!S25</f>
        <v>718.80900000000008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240</v>
      </c>
    </row>
    <row r="26" spans="1:11" s="15" customFormat="1" x14ac:dyDescent="0.25">
      <c r="A26" s="21" t="s">
        <v>31</v>
      </c>
      <c r="B26" s="14">
        <f>B25+1</f>
        <v>25</v>
      </c>
      <c r="C26" s="3">
        <v>4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67880</v>
      </c>
      <c r="F26" s="11">
        <v>5.0000000000000001E-3</v>
      </c>
      <c r="G26" s="12">
        <f>Submetering!S26</f>
        <v>625.71600000000001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280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67050</v>
      </c>
      <c r="F27" s="11">
        <v>5.0000000000000001E-3</v>
      </c>
      <c r="G27" s="12">
        <f>Submetering!S27</f>
        <v>610.97400000000005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272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70510</v>
      </c>
      <c r="F28" s="11">
        <v>5.0000000000000001E-3</v>
      </c>
      <c r="G28" s="12">
        <f>Submetering!S28</f>
        <v>616.16099999999994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168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64200</v>
      </c>
      <c r="F29" s="11">
        <v>5.0000000000000001E-3</v>
      </c>
      <c r="G29" s="12">
        <f>Submetering!S29</f>
        <v>494.94900000000001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195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69130</v>
      </c>
      <c r="F30" s="11">
        <v>5.0000000000000001E-3</v>
      </c>
      <c r="G30" s="12">
        <f>Submetering!S30</f>
        <v>610.70100000000002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240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71280</v>
      </c>
      <c r="F31" s="11">
        <v>5.0000000000000001E-3</v>
      </c>
      <c r="G31" s="12">
        <f>Submetering!S31</f>
        <v>645.64499999999998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267</v>
      </c>
    </row>
    <row r="32" spans="1:11" x14ac:dyDescent="0.25">
      <c r="A32" s="21" t="s">
        <v>31</v>
      </c>
      <c r="B32" s="14">
        <f t="shared" si="0"/>
        <v>31</v>
      </c>
      <c r="C32" s="3">
        <v>4</v>
      </c>
      <c r="D32" s="11">
        <v>2019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4</v>
      </c>
      <c r="D2" s="11">
        <f>TOTAL!D2</f>
        <v>2019</v>
      </c>
      <c r="E2" s="4">
        <f>Hotel!Q7</f>
        <v>530</v>
      </c>
      <c r="F2" s="4">
        <f>Hotel!R7</f>
        <v>12070</v>
      </c>
      <c r="G2" s="4">
        <f>Hotel!S7</f>
        <v>0</v>
      </c>
      <c r="H2" s="4">
        <f>Hotel!T7</f>
        <v>1440</v>
      </c>
      <c r="I2" s="4">
        <f>Hotel!U7</f>
        <v>5140</v>
      </c>
      <c r="J2" s="4">
        <f>Hotel!V7</f>
        <v>4530</v>
      </c>
      <c r="K2" s="4">
        <f>Hotel!W7</f>
        <v>3880</v>
      </c>
      <c r="L2" s="4">
        <f>Hotel!X7</f>
        <v>5360</v>
      </c>
      <c r="M2" s="4">
        <f>Hotel!Y7</f>
        <v>5410</v>
      </c>
      <c r="N2" s="4">
        <f>Hotel!Z7</f>
        <v>2550</v>
      </c>
      <c r="O2" s="4">
        <f>Hotel!AA7</f>
        <v>3370</v>
      </c>
      <c r="P2" s="4">
        <f>Hotel!AB7</f>
        <v>6810</v>
      </c>
      <c r="Q2" s="4">
        <f>Hotel!AC7</f>
        <v>16090</v>
      </c>
      <c r="R2" s="4">
        <f>Hotel!AT7</f>
        <v>0</v>
      </c>
      <c r="S2" s="4">
        <f>Hotel!BA7</f>
        <v>479.11500000000001</v>
      </c>
      <c r="T2" s="4">
        <f>Hotel!AX7</f>
        <v>0</v>
      </c>
      <c r="U2" s="4">
        <f>Hotel!B7</f>
        <v>113</v>
      </c>
    </row>
    <row r="3" spans="1:21" x14ac:dyDescent="0.25">
      <c r="A3" s="21" t="s">
        <v>31</v>
      </c>
      <c r="B3" s="2">
        <f>B2+1</f>
        <v>2</v>
      </c>
      <c r="C3" s="3">
        <f>TOTAL!C3</f>
        <v>4</v>
      </c>
      <c r="D3" s="11">
        <f>TOTAL!D3</f>
        <v>2019</v>
      </c>
      <c r="E3" s="4">
        <f>Hotel!Q8</f>
        <v>550</v>
      </c>
      <c r="F3" s="4">
        <f>Hotel!R8</f>
        <v>11780</v>
      </c>
      <c r="G3" s="4">
        <f>Hotel!S8</f>
        <v>0</v>
      </c>
      <c r="H3" s="4">
        <f>Hotel!T8</f>
        <v>1450</v>
      </c>
      <c r="I3" s="4">
        <f>Hotel!U8</f>
        <v>5100</v>
      </c>
      <c r="J3" s="4">
        <f>Hotel!V8</f>
        <v>4640</v>
      </c>
      <c r="K3" s="4">
        <f>Hotel!W8</f>
        <v>3150</v>
      </c>
      <c r="L3" s="4">
        <f>Hotel!X8</f>
        <v>5550</v>
      </c>
      <c r="M3" s="4">
        <f>Hotel!Y8</f>
        <v>5490</v>
      </c>
      <c r="N3" s="4">
        <f>Hotel!Z8</f>
        <v>2710</v>
      </c>
      <c r="O3" s="4">
        <f>Hotel!AA8</f>
        <v>3460</v>
      </c>
      <c r="P3" s="4">
        <f>Hotel!AB8</f>
        <v>7030</v>
      </c>
      <c r="Q3" s="4">
        <f>Hotel!AC8</f>
        <v>12820</v>
      </c>
      <c r="R3" s="4">
        <f>Hotel!AT8</f>
        <v>0</v>
      </c>
      <c r="S3" s="4">
        <f>Hotel!BA8</f>
        <v>697.24200000000008</v>
      </c>
      <c r="T3" s="4">
        <f>Hotel!AX8</f>
        <v>0</v>
      </c>
      <c r="U3" s="4">
        <f>Hotel!B8</f>
        <v>142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4</v>
      </c>
      <c r="D4" s="11">
        <f>TOTAL!D4</f>
        <v>2019</v>
      </c>
      <c r="E4" s="4">
        <f>Hotel!Q9</f>
        <v>510</v>
      </c>
      <c r="F4" s="4">
        <f>Hotel!R9</f>
        <v>12320</v>
      </c>
      <c r="G4" s="4">
        <f>Hotel!S9</f>
        <v>0</v>
      </c>
      <c r="H4" s="4">
        <f>Hotel!T9</f>
        <v>1420</v>
      </c>
      <c r="I4" s="4">
        <f>Hotel!U9</f>
        <v>6080</v>
      </c>
      <c r="J4" s="4">
        <f>Hotel!V9</f>
        <v>4460</v>
      </c>
      <c r="K4" s="4">
        <f>Hotel!W9</f>
        <v>3560</v>
      </c>
      <c r="L4" s="4">
        <f>Hotel!X9</f>
        <v>5480</v>
      </c>
      <c r="M4" s="4">
        <f>Hotel!Y9</f>
        <v>5510</v>
      </c>
      <c r="N4" s="4">
        <f>Hotel!Z9</f>
        <v>2550</v>
      </c>
      <c r="O4" s="4">
        <f>Hotel!AA9</f>
        <v>3560</v>
      </c>
      <c r="P4" s="4">
        <f>Hotel!AB9</f>
        <v>12950</v>
      </c>
      <c r="Q4" s="4">
        <f>Hotel!AC9</f>
        <v>12780</v>
      </c>
      <c r="R4" s="4">
        <f>Hotel!AT9</f>
        <v>0</v>
      </c>
      <c r="S4" s="4">
        <f>Hotel!BA9</f>
        <v>529.62</v>
      </c>
      <c r="T4" s="4">
        <f>Hotel!AX9</f>
        <v>0</v>
      </c>
      <c r="U4" s="4">
        <f>Hotel!B9</f>
        <v>154</v>
      </c>
    </row>
    <row r="5" spans="1:21" x14ac:dyDescent="0.25">
      <c r="A5" s="21" t="s">
        <v>31</v>
      </c>
      <c r="B5" s="2">
        <f t="shared" si="0"/>
        <v>4</v>
      </c>
      <c r="C5" s="3">
        <f>TOTAL!C5</f>
        <v>4</v>
      </c>
      <c r="D5" s="11">
        <f>TOTAL!D5</f>
        <v>2019</v>
      </c>
      <c r="E5" s="4">
        <f>Hotel!Q10</f>
        <v>520</v>
      </c>
      <c r="F5" s="4">
        <f>Hotel!R10</f>
        <v>13870</v>
      </c>
      <c r="G5" s="4">
        <f>Hotel!S10</f>
        <v>0</v>
      </c>
      <c r="H5" s="4">
        <f>Hotel!T10</f>
        <v>1470</v>
      </c>
      <c r="I5" s="4">
        <f>Hotel!U10</f>
        <v>4870</v>
      </c>
      <c r="J5" s="4">
        <f>Hotel!V10</f>
        <v>4500</v>
      </c>
      <c r="K5" s="4">
        <f>Hotel!W10</f>
        <v>3340</v>
      </c>
      <c r="L5" s="4">
        <f>Hotel!X10</f>
        <v>5550</v>
      </c>
      <c r="M5" s="4">
        <f>Hotel!Y10</f>
        <v>5740</v>
      </c>
      <c r="N5" s="4">
        <f>Hotel!Z10</f>
        <v>3220</v>
      </c>
      <c r="O5" s="4">
        <f>Hotel!AA10</f>
        <v>3880</v>
      </c>
      <c r="P5" s="4">
        <f>Hotel!AB10</f>
        <v>1100</v>
      </c>
      <c r="Q5" s="4">
        <f>Hotel!AC10</f>
        <v>11210</v>
      </c>
      <c r="R5" s="4">
        <f>Hotel!AT10</f>
        <v>0</v>
      </c>
      <c r="S5" s="4">
        <f>Hotel!BA10</f>
        <v>555.28200000000004</v>
      </c>
      <c r="T5" s="4">
        <f>Hotel!AX10</f>
        <v>0</v>
      </c>
      <c r="U5" s="4">
        <f>Hotel!B10</f>
        <v>185</v>
      </c>
    </row>
    <row r="6" spans="1:21" x14ac:dyDescent="0.25">
      <c r="A6" s="21" t="s">
        <v>31</v>
      </c>
      <c r="B6" s="2">
        <f t="shared" si="0"/>
        <v>5</v>
      </c>
      <c r="C6" s="3">
        <f>TOTAL!C6</f>
        <v>4</v>
      </c>
      <c r="D6" s="11">
        <f>TOTAL!D6</f>
        <v>2019</v>
      </c>
      <c r="E6" s="4">
        <f>Hotel!Q11</f>
        <v>570</v>
      </c>
      <c r="F6" s="4">
        <f>Hotel!R11</f>
        <v>14050</v>
      </c>
      <c r="G6" s="4">
        <f>Hotel!S11</f>
        <v>0</v>
      </c>
      <c r="H6" s="4">
        <f>Hotel!T11</f>
        <v>1480</v>
      </c>
      <c r="I6" s="4">
        <f>Hotel!U11</f>
        <v>5620</v>
      </c>
      <c r="J6" s="4">
        <f>Hotel!V11</f>
        <v>4480</v>
      </c>
      <c r="K6" s="4">
        <f>Hotel!W11</f>
        <v>3450</v>
      </c>
      <c r="L6" s="4">
        <f>Hotel!X11</f>
        <v>5510</v>
      </c>
      <c r="M6" s="4">
        <f>Hotel!Y11</f>
        <v>5690</v>
      </c>
      <c r="N6" s="4">
        <f>Hotel!Z11</f>
        <v>3130</v>
      </c>
      <c r="O6" s="4">
        <f>Hotel!AA11</f>
        <v>3880</v>
      </c>
      <c r="P6" s="4">
        <f>Hotel!AB11</f>
        <v>7040</v>
      </c>
      <c r="Q6" s="4">
        <f>Hotel!AC11</f>
        <v>12990</v>
      </c>
      <c r="R6" s="4">
        <f>Hotel!AT11</f>
        <v>0</v>
      </c>
      <c r="S6" s="4">
        <f>Hotel!BA11</f>
        <v>647.82900000000006</v>
      </c>
      <c r="T6" s="4">
        <f>Hotel!AX11</f>
        <v>0</v>
      </c>
      <c r="U6" s="4">
        <f>Hotel!B11</f>
        <v>268</v>
      </c>
    </row>
    <row r="7" spans="1:21" x14ac:dyDescent="0.25">
      <c r="A7" s="21" t="s">
        <v>31</v>
      </c>
      <c r="B7" s="2">
        <f t="shared" si="0"/>
        <v>6</v>
      </c>
      <c r="C7" s="3">
        <f>TOTAL!C7</f>
        <v>4</v>
      </c>
      <c r="D7" s="11">
        <f>TOTAL!D7</f>
        <v>2019</v>
      </c>
      <c r="E7" s="4">
        <f>Hotel!Q12</f>
        <v>520</v>
      </c>
      <c r="F7" s="4">
        <f>Hotel!R12</f>
        <v>15370</v>
      </c>
      <c r="G7" s="4">
        <f>Hotel!S12</f>
        <v>0</v>
      </c>
      <c r="H7" s="4">
        <f>Hotel!T12</f>
        <v>1510</v>
      </c>
      <c r="I7" s="4">
        <f>Hotel!U12</f>
        <v>5900</v>
      </c>
      <c r="J7" s="4">
        <f>Hotel!V12</f>
        <v>4580</v>
      </c>
      <c r="K7" s="4">
        <f>Hotel!W12</f>
        <v>3560</v>
      </c>
      <c r="L7" s="4">
        <f>Hotel!X12</f>
        <v>5640</v>
      </c>
      <c r="M7" s="4">
        <f>Hotel!Y12</f>
        <v>5860</v>
      </c>
      <c r="N7" s="4">
        <f>Hotel!Z12</f>
        <v>3140</v>
      </c>
      <c r="O7" s="4">
        <f>Hotel!AA12</f>
        <v>3920</v>
      </c>
      <c r="P7" s="4">
        <f>Hotel!AB12</f>
        <v>6960</v>
      </c>
      <c r="Q7" s="4">
        <f>Hotel!AC12</f>
        <v>14290</v>
      </c>
      <c r="R7" s="4">
        <f>Hotel!AT12</f>
        <v>0</v>
      </c>
      <c r="S7" s="4">
        <f>Hotel!BA12</f>
        <v>573.29999999999995</v>
      </c>
      <c r="T7" s="4">
        <f>Hotel!AX12</f>
        <v>0</v>
      </c>
      <c r="U7" s="4">
        <f>Hotel!B12</f>
        <v>175</v>
      </c>
    </row>
    <row r="8" spans="1:21" x14ac:dyDescent="0.25">
      <c r="A8" s="21" t="s">
        <v>31</v>
      </c>
      <c r="B8" s="2">
        <f t="shared" si="0"/>
        <v>7</v>
      </c>
      <c r="C8" s="3">
        <f>TOTAL!C8</f>
        <v>4</v>
      </c>
      <c r="D8" s="11">
        <f>TOTAL!D8</f>
        <v>2019</v>
      </c>
      <c r="E8" s="4">
        <f>Hotel!Q13</f>
        <v>820</v>
      </c>
      <c r="F8" s="4">
        <f>Hotel!R13</f>
        <v>13340</v>
      </c>
      <c r="G8" s="4">
        <f>Hotel!S13</f>
        <v>1700</v>
      </c>
      <c r="H8" s="4">
        <f>Hotel!T13</f>
        <v>1530</v>
      </c>
      <c r="I8" s="4">
        <f>Hotel!U13</f>
        <v>5750</v>
      </c>
      <c r="J8" s="4">
        <f>Hotel!V13</f>
        <v>4870</v>
      </c>
      <c r="K8" s="4">
        <f>Hotel!W13</f>
        <v>3390</v>
      </c>
      <c r="L8" s="4">
        <f>Hotel!X13</f>
        <v>5490</v>
      </c>
      <c r="M8" s="4">
        <f>Hotel!Y13</f>
        <v>5590</v>
      </c>
      <c r="N8" s="4">
        <f>Hotel!Z13</f>
        <v>2950</v>
      </c>
      <c r="O8" s="4">
        <f>Hotel!AA13</f>
        <v>3730</v>
      </c>
      <c r="P8" s="4">
        <f>Hotel!AB13</f>
        <v>7000</v>
      </c>
      <c r="Q8" s="4">
        <f>Hotel!AC13</f>
        <v>14730</v>
      </c>
      <c r="R8" s="4">
        <f>Hotel!AT13</f>
        <v>0</v>
      </c>
      <c r="S8" s="4">
        <f>Hotel!BA13</f>
        <v>679.49700000000007</v>
      </c>
      <c r="T8" s="4">
        <f>Hotel!AX13</f>
        <v>0</v>
      </c>
      <c r="U8" s="4">
        <f>Hotel!B13</f>
        <v>210</v>
      </c>
    </row>
    <row r="9" spans="1:21" x14ac:dyDescent="0.25">
      <c r="A9" s="21" t="s">
        <v>31</v>
      </c>
      <c r="B9" s="2">
        <f t="shared" si="0"/>
        <v>8</v>
      </c>
      <c r="C9" s="3">
        <f>TOTAL!C9</f>
        <v>4</v>
      </c>
      <c r="D9" s="11">
        <f>TOTAL!D9</f>
        <v>2019</v>
      </c>
      <c r="E9" s="4">
        <f>Hotel!Q14</f>
        <v>1050</v>
      </c>
      <c r="F9" s="4">
        <f>Hotel!R14</f>
        <v>11950</v>
      </c>
      <c r="G9" s="4">
        <f>Hotel!S14</f>
        <v>2810</v>
      </c>
      <c r="H9" s="4">
        <f>Hotel!T14</f>
        <v>4360</v>
      </c>
      <c r="I9" s="4">
        <f>Hotel!U14</f>
        <v>5680</v>
      </c>
      <c r="J9" s="4">
        <f>Hotel!V14</f>
        <v>4290</v>
      </c>
      <c r="K9" s="4">
        <f>Hotel!W14</f>
        <v>3560</v>
      </c>
      <c r="L9" s="4">
        <f>Hotel!X14</f>
        <v>5640</v>
      </c>
      <c r="M9" s="4">
        <f>Hotel!Y14</f>
        <v>5670</v>
      </c>
      <c r="N9" s="4">
        <f>Hotel!Z14</f>
        <v>3130</v>
      </c>
      <c r="O9" s="4">
        <f>Hotel!AA14</f>
        <v>3810</v>
      </c>
      <c r="P9" s="4">
        <f>Hotel!AB14</f>
        <v>6870</v>
      </c>
      <c r="Q9" s="4">
        <f>Hotel!AC14</f>
        <v>14370</v>
      </c>
      <c r="R9" s="4">
        <f>Hotel!AT14</f>
        <v>0</v>
      </c>
      <c r="S9" s="4">
        <f>Hotel!BA14</f>
        <v>577.12199999999996</v>
      </c>
      <c r="T9" s="4">
        <f>Hotel!AX14</f>
        <v>0</v>
      </c>
      <c r="U9" s="4">
        <f>Hotel!B14</f>
        <v>278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4</v>
      </c>
      <c r="D10" s="11">
        <f>TOTAL!D10</f>
        <v>2019</v>
      </c>
      <c r="E10" s="4">
        <f>Hotel!Q15</f>
        <v>1070</v>
      </c>
      <c r="F10" s="4">
        <f>Hotel!R15</f>
        <v>11960</v>
      </c>
      <c r="G10" s="4">
        <f>Hotel!S15</f>
        <v>2810</v>
      </c>
      <c r="H10" s="4">
        <f>Hotel!T15</f>
        <v>2360</v>
      </c>
      <c r="I10" s="4">
        <f>Hotel!U15</f>
        <v>5990</v>
      </c>
      <c r="J10" s="4">
        <f>Hotel!V15</f>
        <v>4660</v>
      </c>
      <c r="K10" s="4">
        <f>Hotel!W15</f>
        <v>3910</v>
      </c>
      <c r="L10" s="4">
        <f>Hotel!X15</f>
        <v>5610</v>
      </c>
      <c r="M10" s="4">
        <f>Hotel!Y15</f>
        <v>5810</v>
      </c>
      <c r="N10" s="4">
        <f>Hotel!Z15</f>
        <v>3180</v>
      </c>
      <c r="O10" s="4">
        <f>Hotel!AA15</f>
        <v>3900</v>
      </c>
      <c r="P10" s="4">
        <f>Hotel!AB15</f>
        <v>6870</v>
      </c>
      <c r="Q10" s="4">
        <f>Hotel!AC15</f>
        <v>15260</v>
      </c>
      <c r="R10" s="4">
        <f>Hotel!AT15</f>
        <v>0</v>
      </c>
      <c r="S10" s="4">
        <f>Hotel!BA15</f>
        <v>702.42900000000009</v>
      </c>
      <c r="T10" s="4">
        <f>Hotel!AX15</f>
        <v>0</v>
      </c>
      <c r="U10" s="4">
        <f>Hotel!B15</f>
        <v>279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4</v>
      </c>
      <c r="D11" s="11">
        <f>TOTAL!D11</f>
        <v>2019</v>
      </c>
      <c r="E11" s="4">
        <f>Hotel!Q16</f>
        <v>1030</v>
      </c>
      <c r="F11" s="4">
        <f>Hotel!R16</f>
        <v>11500</v>
      </c>
      <c r="G11" s="4">
        <f>Hotel!S16</f>
        <v>2740</v>
      </c>
      <c r="H11" s="4">
        <f>Hotel!T16</f>
        <v>1520</v>
      </c>
      <c r="I11" s="4">
        <f>Hotel!U16</f>
        <v>5820</v>
      </c>
      <c r="J11" s="4">
        <f>Hotel!V16</f>
        <v>4470</v>
      </c>
      <c r="K11" s="4">
        <f>Hotel!W16</f>
        <v>3480</v>
      </c>
      <c r="L11" s="4">
        <f>Hotel!X16</f>
        <v>5370</v>
      </c>
      <c r="M11" s="4">
        <f>Hotel!Y16</f>
        <v>5580</v>
      </c>
      <c r="N11" s="4">
        <f>Hotel!Z16</f>
        <v>3100</v>
      </c>
      <c r="O11" s="4">
        <f>Hotel!AA16</f>
        <v>3720</v>
      </c>
      <c r="P11" s="4">
        <f>Hotel!AB16</f>
        <v>6650</v>
      </c>
      <c r="Q11" s="4">
        <f>Hotel!AC16</f>
        <v>14440</v>
      </c>
      <c r="R11" s="4">
        <f>Hotel!AT16</f>
        <v>0</v>
      </c>
      <c r="S11" s="4">
        <f>Hotel!BA16</f>
        <v>579.85199999999998</v>
      </c>
      <c r="T11" s="4">
        <f>Hotel!AX16</f>
        <v>0</v>
      </c>
      <c r="U11" s="4">
        <f>Hotel!B16</f>
        <v>282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4</v>
      </c>
      <c r="D12" s="11">
        <f>TOTAL!D12</f>
        <v>2019</v>
      </c>
      <c r="E12" s="4">
        <f>Hotel!Q17</f>
        <v>1190</v>
      </c>
      <c r="F12" s="4">
        <f>Hotel!R17</f>
        <v>13820</v>
      </c>
      <c r="G12" s="4">
        <f>Hotel!S17</f>
        <v>3340</v>
      </c>
      <c r="H12" s="4">
        <f>Hotel!T17</f>
        <v>1770</v>
      </c>
      <c r="I12" s="4">
        <f>Hotel!U17</f>
        <v>6060</v>
      </c>
      <c r="J12" s="4">
        <f>Hotel!V17</f>
        <v>5210</v>
      </c>
      <c r="K12" s="4">
        <f>Hotel!W17</f>
        <v>6460</v>
      </c>
      <c r="L12" s="4">
        <f>Hotel!X17</f>
        <v>5970</v>
      </c>
      <c r="M12" s="4">
        <f>Hotel!Y17</f>
        <v>6460</v>
      </c>
      <c r="N12" s="4">
        <f>Hotel!Z17</f>
        <v>3450</v>
      </c>
      <c r="O12" s="4">
        <f>Hotel!AA17</f>
        <v>4220</v>
      </c>
      <c r="P12" s="4">
        <f>Hotel!AB17</f>
        <v>7660</v>
      </c>
      <c r="Q12" s="4">
        <f>Hotel!AC17</f>
        <v>16400</v>
      </c>
      <c r="R12" s="4">
        <f>Hotel!AT17</f>
        <v>0</v>
      </c>
      <c r="S12" s="4">
        <f>Hotel!BA17</f>
        <v>423.15</v>
      </c>
      <c r="T12" s="4">
        <f>Hotel!AX17</f>
        <v>0</v>
      </c>
      <c r="U12" s="4">
        <f>Hotel!B17</f>
        <v>271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4</v>
      </c>
      <c r="D13" s="11">
        <f>TOTAL!D13</f>
        <v>2019</v>
      </c>
      <c r="E13" s="4">
        <f>Hotel!Q18</f>
        <v>910</v>
      </c>
      <c r="F13" s="4">
        <f>Hotel!R18</f>
        <v>10490</v>
      </c>
      <c r="G13" s="4">
        <f>Hotel!S18</f>
        <v>2570</v>
      </c>
      <c r="H13" s="4">
        <f>Hotel!T18</f>
        <v>1350</v>
      </c>
      <c r="I13" s="4">
        <f>Hotel!U18</f>
        <v>4960</v>
      </c>
      <c r="J13" s="4">
        <f>Hotel!V18</f>
        <v>4040</v>
      </c>
      <c r="K13" s="4">
        <f>Hotel!W18</f>
        <v>970</v>
      </c>
      <c r="L13" s="4">
        <f>Hotel!X18</f>
        <v>4920</v>
      </c>
      <c r="M13" s="4">
        <f>Hotel!Y18</f>
        <v>5210</v>
      </c>
      <c r="N13" s="4">
        <f>Hotel!Z18</f>
        <v>2640</v>
      </c>
      <c r="O13" s="4">
        <f>Hotel!AA18</f>
        <v>3390</v>
      </c>
      <c r="P13" s="4">
        <f>Hotel!AB18</f>
        <v>6110</v>
      </c>
      <c r="Q13" s="4">
        <f>Hotel!AC18</f>
        <v>12690</v>
      </c>
      <c r="R13" s="4">
        <f>Hotel!AT18</f>
        <v>0</v>
      </c>
      <c r="S13" s="4">
        <f>Hotel!BA18</f>
        <v>840.02100000000007</v>
      </c>
      <c r="T13" s="4">
        <f>Hotel!AX18</f>
        <v>0</v>
      </c>
      <c r="U13" s="4">
        <f>Hotel!B18</f>
        <v>236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4</v>
      </c>
      <c r="D14" s="11">
        <f>TOTAL!D14</f>
        <v>2019</v>
      </c>
      <c r="E14" s="4">
        <f>Hotel!Q19</f>
        <v>5150</v>
      </c>
      <c r="F14" s="4">
        <f>Hotel!R19</f>
        <v>7300</v>
      </c>
      <c r="G14" s="4">
        <f>Hotel!S19</f>
        <v>2870</v>
      </c>
      <c r="H14" s="4">
        <f>Hotel!T19</f>
        <v>1540</v>
      </c>
      <c r="I14" s="4">
        <f>Hotel!U19</f>
        <v>5590</v>
      </c>
      <c r="J14" s="4">
        <f>Hotel!V19</f>
        <v>4650</v>
      </c>
      <c r="K14" s="4">
        <f>Hotel!W19</f>
        <v>2050</v>
      </c>
      <c r="L14" s="4">
        <f>Hotel!X19</f>
        <v>5610</v>
      </c>
      <c r="M14" s="4">
        <f>Hotel!Y19</f>
        <v>5740</v>
      </c>
      <c r="N14" s="4">
        <f>Hotel!Z19</f>
        <v>3110</v>
      </c>
      <c r="O14" s="4">
        <f>Hotel!AA19</f>
        <v>3700</v>
      </c>
      <c r="P14" s="4">
        <f>Hotel!AB19</f>
        <v>7080</v>
      </c>
      <c r="Q14" s="4">
        <f>Hotel!AC19</f>
        <v>14990</v>
      </c>
      <c r="R14" s="4">
        <f>Hotel!AT19</f>
        <v>0</v>
      </c>
      <c r="S14" s="4">
        <f>Hotel!BA19</f>
        <v>701.33699999999999</v>
      </c>
      <c r="T14" s="4">
        <f>Hotel!AX19</f>
        <v>0</v>
      </c>
      <c r="U14" s="4">
        <f>Hotel!B19</f>
        <v>145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4</v>
      </c>
      <c r="D15" s="11">
        <f>TOTAL!D15</f>
        <v>2019</v>
      </c>
      <c r="E15" s="4">
        <f>Hotel!Q20</f>
        <v>7710</v>
      </c>
      <c r="F15" s="4">
        <f>Hotel!R20</f>
        <v>12680</v>
      </c>
      <c r="G15" s="4">
        <f>Hotel!S20</f>
        <v>2600</v>
      </c>
      <c r="H15" s="4">
        <f>Hotel!T20</f>
        <v>1450</v>
      </c>
      <c r="I15" s="4">
        <f>Hotel!U20</f>
        <v>5150</v>
      </c>
      <c r="J15" s="4">
        <f>Hotel!V20</f>
        <v>4470</v>
      </c>
      <c r="K15" s="4">
        <f>Hotel!W20</f>
        <v>3300</v>
      </c>
      <c r="L15" s="4">
        <f>Hotel!X20</f>
        <v>5470</v>
      </c>
      <c r="M15" s="4">
        <f>Hotel!Y20</f>
        <v>5350</v>
      </c>
      <c r="N15" s="4">
        <f>Hotel!Z20</f>
        <v>2600</v>
      </c>
      <c r="O15" s="4">
        <f>Hotel!AA20</f>
        <v>3520</v>
      </c>
      <c r="P15" s="4">
        <f>Hotel!AB20</f>
        <v>6650</v>
      </c>
      <c r="Q15" s="4">
        <f>Hotel!AC20</f>
        <v>14090</v>
      </c>
      <c r="R15" s="4">
        <f>Hotel!AT20</f>
        <v>0</v>
      </c>
      <c r="S15" s="4">
        <f>Hotel!BA20</f>
        <v>625.16999999999996</v>
      </c>
      <c r="T15" s="4">
        <f>Hotel!AX20</f>
        <v>0</v>
      </c>
      <c r="U15" s="4">
        <f>Hotel!B20</f>
        <v>170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4</v>
      </c>
      <c r="D16" s="11">
        <f>TOTAL!D16</f>
        <v>2019</v>
      </c>
      <c r="E16" s="4">
        <f>Hotel!Q21</f>
        <v>8330</v>
      </c>
      <c r="F16" s="4">
        <f>Hotel!R21</f>
        <v>8480</v>
      </c>
      <c r="G16" s="4">
        <f>Hotel!S21</f>
        <v>2780</v>
      </c>
      <c r="H16" s="4">
        <f>Hotel!T21</f>
        <v>1540</v>
      </c>
      <c r="I16" s="4">
        <f>Hotel!U21</f>
        <v>5730</v>
      </c>
      <c r="J16" s="4">
        <f>Hotel!V21</f>
        <v>4710</v>
      </c>
      <c r="K16" s="4">
        <f>Hotel!W21</f>
        <v>3910</v>
      </c>
      <c r="L16" s="4">
        <f>Hotel!X21</f>
        <v>5650</v>
      </c>
      <c r="M16" s="4">
        <f>Hotel!Y21</f>
        <v>5540</v>
      </c>
      <c r="N16" s="4">
        <f>Hotel!Z21</f>
        <v>2700</v>
      </c>
      <c r="O16" s="4">
        <f>Hotel!AA21</f>
        <v>3600</v>
      </c>
      <c r="P16" s="4">
        <f>Hotel!AB21</f>
        <v>6910</v>
      </c>
      <c r="Q16" s="4">
        <f>Hotel!AC21</f>
        <v>14110</v>
      </c>
      <c r="R16" s="4">
        <f>Hotel!AT21</f>
        <v>0</v>
      </c>
      <c r="S16" s="4">
        <f>Hotel!BA21</f>
        <v>777.77700000000004</v>
      </c>
      <c r="T16" s="4">
        <f>Hotel!AX21</f>
        <v>0</v>
      </c>
      <c r="U16" s="4">
        <f>Hotel!B21</f>
        <v>180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4</v>
      </c>
      <c r="D17" s="11">
        <f>TOTAL!D17</f>
        <v>2019</v>
      </c>
      <c r="E17" s="4">
        <f>Hotel!Q22</f>
        <v>8400</v>
      </c>
      <c r="F17" s="4">
        <f>Hotel!R22</f>
        <v>10010</v>
      </c>
      <c r="G17" s="4">
        <f>Hotel!S22</f>
        <v>2810</v>
      </c>
      <c r="H17" s="4">
        <f>Hotel!T22</f>
        <v>1500</v>
      </c>
      <c r="I17" s="4">
        <f>Hotel!U22</f>
        <v>5940</v>
      </c>
      <c r="J17" s="4">
        <f>Hotel!V22</f>
        <v>4480</v>
      </c>
      <c r="K17" s="4">
        <f>Hotel!W22</f>
        <v>3720</v>
      </c>
      <c r="L17" s="4">
        <f>Hotel!X22</f>
        <v>5470</v>
      </c>
      <c r="M17" s="4">
        <f>Hotel!Y22</f>
        <v>5290</v>
      </c>
      <c r="N17" s="4">
        <f>Hotel!Z22</f>
        <v>2750</v>
      </c>
      <c r="O17" s="4">
        <f>Hotel!AA22</f>
        <v>4000</v>
      </c>
      <c r="P17" s="4">
        <f>Hotel!AB22</f>
        <v>6700</v>
      </c>
      <c r="Q17" s="4">
        <f>Hotel!AC22</f>
        <v>14110</v>
      </c>
      <c r="R17" s="4">
        <f>Hotel!AT22</f>
        <v>0</v>
      </c>
      <c r="S17" s="4">
        <f>Hotel!BA22</f>
        <v>618.89100000000008</v>
      </c>
      <c r="T17" s="4">
        <f>Hotel!AX22</f>
        <v>0</v>
      </c>
      <c r="U17" s="4">
        <f>Hotel!B22</f>
        <v>222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4</v>
      </c>
      <c r="D18" s="11">
        <f>TOTAL!D18</f>
        <v>2019</v>
      </c>
      <c r="E18" s="4">
        <f>Hotel!Q23</f>
        <v>9070</v>
      </c>
      <c r="F18" s="4">
        <f>Hotel!R23</f>
        <v>3900</v>
      </c>
      <c r="G18" s="4">
        <f>Hotel!S23</f>
        <v>3040</v>
      </c>
      <c r="H18" s="4">
        <f>Hotel!T23</f>
        <v>1580</v>
      </c>
      <c r="I18" s="4">
        <f>Hotel!U23</f>
        <v>5730</v>
      </c>
      <c r="J18" s="4">
        <f>Hotel!V23</f>
        <v>4720</v>
      </c>
      <c r="K18" s="4">
        <f>Hotel!W23</f>
        <v>3760</v>
      </c>
      <c r="L18" s="4">
        <f>Hotel!X23</f>
        <v>5560</v>
      </c>
      <c r="M18" s="4">
        <f>Hotel!Y23</f>
        <v>5640</v>
      </c>
      <c r="N18" s="4">
        <f>Hotel!Z23</f>
        <v>3020</v>
      </c>
      <c r="O18" s="4">
        <f>Hotel!AA23</f>
        <v>3320</v>
      </c>
      <c r="P18" s="4">
        <f>Hotel!AB23</f>
        <v>7080</v>
      </c>
      <c r="Q18" s="4">
        <f>Hotel!AC23</f>
        <v>14660</v>
      </c>
      <c r="R18" s="4">
        <f>Hotel!AT23</f>
        <v>0</v>
      </c>
      <c r="S18" s="4">
        <f>Hotel!BA23</f>
        <v>806.98799999999994</v>
      </c>
      <c r="T18" s="4">
        <f>Hotel!AX23</f>
        <v>0</v>
      </c>
      <c r="U18" s="4">
        <f>Hotel!B23</f>
        <v>221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4</v>
      </c>
      <c r="D19" s="11">
        <f>TOTAL!D19</f>
        <v>2019</v>
      </c>
      <c r="E19" s="4">
        <f>Hotel!Q24</f>
        <v>9010</v>
      </c>
      <c r="F19" s="4">
        <f>Hotel!R24</f>
        <v>3720</v>
      </c>
      <c r="G19" s="4">
        <f>Hotel!S24</f>
        <v>3020</v>
      </c>
      <c r="H19" s="4">
        <f>Hotel!T24</f>
        <v>1500</v>
      </c>
      <c r="I19" s="4">
        <f>Hotel!U24</f>
        <v>5210</v>
      </c>
      <c r="J19" s="4">
        <f>Hotel!V24</f>
        <v>4550</v>
      </c>
      <c r="K19" s="4">
        <f>Hotel!W24</f>
        <v>3390</v>
      </c>
      <c r="L19" s="4">
        <f>Hotel!X24</f>
        <v>5300</v>
      </c>
      <c r="M19" s="4">
        <f>Hotel!Y24</f>
        <v>5580</v>
      </c>
      <c r="N19" s="4">
        <f>Hotel!Z24</f>
        <v>2990</v>
      </c>
      <c r="O19" s="4">
        <f>Hotel!AA24</f>
        <v>3740</v>
      </c>
      <c r="P19" s="4">
        <f>Hotel!AB24</f>
        <v>6930</v>
      </c>
      <c r="Q19" s="4">
        <f>Hotel!AC24</f>
        <v>14350</v>
      </c>
      <c r="R19" s="4">
        <f>Hotel!AT24</f>
        <v>0</v>
      </c>
      <c r="S19" s="4">
        <f>Hotel!BA24</f>
        <v>679.49700000000007</v>
      </c>
      <c r="T19" s="4">
        <f>Hotel!AX24</f>
        <v>0</v>
      </c>
      <c r="U19" s="4">
        <f>Hotel!B24</f>
        <v>271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4</v>
      </c>
      <c r="D20" s="11">
        <f>TOTAL!D20</f>
        <v>2019</v>
      </c>
      <c r="E20" s="4">
        <f>Hotel!Q25</f>
        <v>9200</v>
      </c>
      <c r="F20" s="4">
        <f>Hotel!R25</f>
        <v>3790</v>
      </c>
      <c r="G20" s="4">
        <f>Hotel!S25</f>
        <v>3070</v>
      </c>
      <c r="H20" s="4">
        <f>Hotel!T25</f>
        <v>1540</v>
      </c>
      <c r="I20" s="4">
        <f>Hotel!U25</f>
        <v>5060</v>
      </c>
      <c r="J20" s="4">
        <f>Hotel!V25</f>
        <v>4610</v>
      </c>
      <c r="K20" s="4">
        <f>Hotel!W25</f>
        <v>3280</v>
      </c>
      <c r="L20" s="4">
        <f>Hotel!X25</f>
        <v>5440</v>
      </c>
      <c r="M20" s="4">
        <f>Hotel!Y25</f>
        <v>5740</v>
      </c>
      <c r="N20" s="4">
        <f>Hotel!Z25</f>
        <v>3070</v>
      </c>
      <c r="O20" s="4">
        <f>Hotel!AA25</f>
        <v>3780</v>
      </c>
      <c r="P20" s="4">
        <f>Hotel!AB25</f>
        <v>6980</v>
      </c>
      <c r="Q20" s="4">
        <f>Hotel!AC25</f>
        <v>14280</v>
      </c>
      <c r="R20" s="4">
        <f>Hotel!AT25</f>
        <v>0</v>
      </c>
      <c r="S20" s="4">
        <f>Hotel!BA25</f>
        <v>709.25400000000002</v>
      </c>
      <c r="T20" s="4">
        <f>Hotel!AX25</f>
        <v>0</v>
      </c>
      <c r="U20" s="4">
        <f>Hotel!B25</f>
        <v>272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4</v>
      </c>
      <c r="D21" s="11">
        <f>TOTAL!D21</f>
        <v>2019</v>
      </c>
      <c r="E21" s="4">
        <f>Hotel!Q26</f>
        <v>9720</v>
      </c>
      <c r="F21" s="4">
        <f>Hotel!R26</f>
        <v>4420</v>
      </c>
      <c r="G21" s="4">
        <f>Hotel!S26</f>
        <v>3400</v>
      </c>
      <c r="H21" s="4">
        <f>Hotel!T26</f>
        <v>1760</v>
      </c>
      <c r="I21" s="4">
        <f>Hotel!U26</f>
        <v>5860</v>
      </c>
      <c r="J21" s="4">
        <f>Hotel!V26</f>
        <v>5770</v>
      </c>
      <c r="K21" s="4">
        <f>Hotel!W26</f>
        <v>4090</v>
      </c>
      <c r="L21" s="4">
        <f>Hotel!X26</f>
        <v>6010</v>
      </c>
      <c r="M21" s="4">
        <f>Hotel!Y26</f>
        <v>6600</v>
      </c>
      <c r="N21" s="4">
        <f>Hotel!Z26</f>
        <v>3420</v>
      </c>
      <c r="O21" s="4">
        <f>Hotel!AA26</f>
        <v>4356</v>
      </c>
      <c r="P21" s="4">
        <f>Hotel!AB26</f>
        <v>8120</v>
      </c>
      <c r="Q21" s="4">
        <f>Hotel!AC26</f>
        <v>17550</v>
      </c>
      <c r="R21" s="4">
        <f>Hotel!AT26</f>
        <v>0</v>
      </c>
      <c r="S21" s="4">
        <f>Hotel!BA26</f>
        <v>816.27</v>
      </c>
      <c r="T21" s="4">
        <f>Hotel!AX26</f>
        <v>0</v>
      </c>
      <c r="U21" s="4">
        <f>Hotel!B26</f>
        <v>154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4</v>
      </c>
      <c r="D22" s="11">
        <f>TOTAL!D22</f>
        <v>2019</v>
      </c>
      <c r="E22" s="4">
        <f>Hotel!Q27</f>
        <v>7550</v>
      </c>
      <c r="F22" s="4">
        <f>Hotel!R27</f>
        <v>3190</v>
      </c>
      <c r="G22" s="4">
        <f>Hotel!S27</f>
        <v>2350</v>
      </c>
      <c r="H22" s="4">
        <f>Hotel!T27</f>
        <v>1270</v>
      </c>
      <c r="I22" s="4">
        <f>Hotel!U27</f>
        <v>5512</v>
      </c>
      <c r="J22" s="4">
        <f>Hotel!V27</f>
        <v>4000</v>
      </c>
      <c r="K22" s="4">
        <f>Hotel!W27</f>
        <v>3110</v>
      </c>
      <c r="L22" s="4">
        <f>Hotel!X27</f>
        <v>4570</v>
      </c>
      <c r="M22" s="4">
        <f>Hotel!Y27</f>
        <v>4780</v>
      </c>
      <c r="N22" s="4">
        <f>Hotel!Z27</f>
        <v>2550</v>
      </c>
      <c r="O22" s="4">
        <f>Hotel!AA27</f>
        <v>3284</v>
      </c>
      <c r="P22" s="4">
        <f>Hotel!AB27</f>
        <v>5670</v>
      </c>
      <c r="Q22" s="4">
        <f>Hotel!AC27</f>
        <v>12200</v>
      </c>
      <c r="R22" s="4">
        <f>Hotel!AT27</f>
        <v>0</v>
      </c>
      <c r="S22" s="4">
        <f>Hotel!BA27</f>
        <v>511.05599999999998</v>
      </c>
      <c r="T22" s="4">
        <f>Hotel!AX27</f>
        <v>0</v>
      </c>
      <c r="U22" s="4">
        <f>Hotel!B27</f>
        <v>165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4</v>
      </c>
      <c r="D23" s="11">
        <f>TOTAL!D23</f>
        <v>2019</v>
      </c>
      <c r="E23" s="4">
        <f>Hotel!Q28</f>
        <v>8710</v>
      </c>
      <c r="F23" s="4">
        <f>Hotel!R28</f>
        <v>3080</v>
      </c>
      <c r="G23" s="4">
        <f>Hotel!S28</f>
        <v>1530</v>
      </c>
      <c r="H23" s="4">
        <f>Hotel!T28</f>
        <v>1430</v>
      </c>
      <c r="I23" s="4">
        <f>Hotel!U28</f>
        <v>4098</v>
      </c>
      <c r="J23" s="4">
        <f>Hotel!V28</f>
        <v>5070</v>
      </c>
      <c r="K23" s="4">
        <f>Hotel!W28</f>
        <v>3100</v>
      </c>
      <c r="L23" s="4">
        <f>Hotel!X28</f>
        <v>5240</v>
      </c>
      <c r="M23" s="4">
        <f>Hotel!Y28</f>
        <v>5590</v>
      </c>
      <c r="N23" s="4">
        <f>Hotel!Z28</f>
        <v>2970</v>
      </c>
      <c r="O23" s="4">
        <f>Hotel!AA28</f>
        <v>3620</v>
      </c>
      <c r="P23" s="4">
        <f>Hotel!AB28</f>
        <v>6750</v>
      </c>
      <c r="Q23" s="4">
        <f>Hotel!AC28</f>
        <v>13960</v>
      </c>
      <c r="R23" s="4">
        <f>Hotel!AT28</f>
        <v>0</v>
      </c>
      <c r="S23" s="4">
        <f>Hotel!BA28</f>
        <v>599.23500000000001</v>
      </c>
      <c r="T23" s="4">
        <f>Hotel!AX28</f>
        <v>0</v>
      </c>
      <c r="U23" s="4">
        <f>Hotel!B28</f>
        <v>176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4</v>
      </c>
      <c r="D24" s="11">
        <f>TOTAL!D24</f>
        <v>2019</v>
      </c>
      <c r="E24" s="4">
        <f>Hotel!Q29</f>
        <v>10850</v>
      </c>
      <c r="F24" s="4">
        <f>Hotel!R29</f>
        <v>1880</v>
      </c>
      <c r="G24" s="4">
        <f>Hotel!S29</f>
        <v>30</v>
      </c>
      <c r="H24" s="4">
        <f>Hotel!T29</f>
        <v>1350</v>
      </c>
      <c r="I24" s="4">
        <f>Hotel!U29</f>
        <v>5000</v>
      </c>
      <c r="J24" s="4">
        <f>Hotel!V29</f>
        <v>4940</v>
      </c>
      <c r="K24" s="4">
        <f>Hotel!W29</f>
        <v>3570</v>
      </c>
      <c r="L24" s="4">
        <f>Hotel!X29</f>
        <v>5160</v>
      </c>
      <c r="M24" s="4">
        <f>Hotel!Y29</f>
        <v>5500</v>
      </c>
      <c r="N24" s="4">
        <f>Hotel!Z29</f>
        <v>2890</v>
      </c>
      <c r="O24" s="4">
        <f>Hotel!AA29</f>
        <v>3460</v>
      </c>
      <c r="P24" s="4">
        <f>Hotel!AB29</f>
        <v>6800</v>
      </c>
      <c r="Q24" s="4">
        <f>Hotel!AC29</f>
        <v>14560</v>
      </c>
      <c r="R24" s="4">
        <f>Hotel!AT29</f>
        <v>0</v>
      </c>
      <c r="S24" s="4">
        <f>Hotel!BA29</f>
        <v>700.245</v>
      </c>
      <c r="T24" s="4">
        <f>Hotel!AX29</f>
        <v>0</v>
      </c>
      <c r="U24" s="4">
        <f>Hotel!B29</f>
        <v>233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4</v>
      </c>
      <c r="D25" s="11">
        <f>TOTAL!D25</f>
        <v>2019</v>
      </c>
      <c r="E25" s="4">
        <f>Hotel!Q30</f>
        <v>11600</v>
      </c>
      <c r="F25" s="4">
        <f>Hotel!R30</f>
        <v>1940</v>
      </c>
      <c r="G25" s="4">
        <f>Hotel!S30</f>
        <v>0</v>
      </c>
      <c r="H25" s="4">
        <f>Hotel!T30</f>
        <v>1400</v>
      </c>
      <c r="I25" s="4">
        <f>Hotel!U30</f>
        <v>5310</v>
      </c>
      <c r="J25" s="4">
        <f>Hotel!V30</f>
        <v>4730</v>
      </c>
      <c r="K25" s="4">
        <f>Hotel!W30</f>
        <v>3520</v>
      </c>
      <c r="L25" s="4">
        <f>Hotel!X30</f>
        <v>5390</v>
      </c>
      <c r="M25" s="4">
        <f>Hotel!Y30</f>
        <v>6050</v>
      </c>
      <c r="N25" s="4">
        <f>Hotel!Z30</f>
        <v>2060</v>
      </c>
      <c r="O25" s="4">
        <f>Hotel!AA30</f>
        <v>3620</v>
      </c>
      <c r="P25" s="4">
        <f>Hotel!AB30</f>
        <v>6960</v>
      </c>
      <c r="Q25" s="4">
        <f>Hotel!AC30</f>
        <v>14780</v>
      </c>
      <c r="R25" s="4">
        <f>Hotel!AT30</f>
        <v>0</v>
      </c>
      <c r="S25" s="4">
        <f>Hotel!BA30</f>
        <v>718.80900000000008</v>
      </c>
      <c r="T25" s="4">
        <f>Hotel!AX30</f>
        <v>0</v>
      </c>
      <c r="U25" s="4">
        <f>Hotel!B30</f>
        <v>240</v>
      </c>
    </row>
    <row r="26" spans="1:21" x14ac:dyDescent="0.25">
      <c r="A26" s="21" t="s">
        <v>31</v>
      </c>
      <c r="B26" s="2">
        <f>B25+1</f>
        <v>25</v>
      </c>
      <c r="C26" s="3">
        <f>TOTAL!C26</f>
        <v>4</v>
      </c>
      <c r="D26" s="11">
        <f>TOTAL!D26</f>
        <v>2019</v>
      </c>
      <c r="E26" s="4">
        <f>Hotel!Q31</f>
        <v>11160</v>
      </c>
      <c r="F26" s="4">
        <f>Hotel!R31</f>
        <v>1870</v>
      </c>
      <c r="G26" s="4">
        <f>Hotel!S31</f>
        <v>0</v>
      </c>
      <c r="H26" s="4">
        <f>Hotel!T31</f>
        <v>1350</v>
      </c>
      <c r="I26" s="4">
        <f>Hotel!U31</f>
        <v>5390</v>
      </c>
      <c r="J26" s="4">
        <f>Hotel!V31</f>
        <v>4600</v>
      </c>
      <c r="K26" s="4">
        <f>Hotel!W31</f>
        <v>3040</v>
      </c>
      <c r="L26" s="4">
        <f>Hotel!X31</f>
        <v>5310</v>
      </c>
      <c r="M26" s="4">
        <f>Hotel!Y31</f>
        <v>5950</v>
      </c>
      <c r="N26" s="4">
        <f>Hotel!Z31</f>
        <v>4020</v>
      </c>
      <c r="O26" s="4">
        <f>Hotel!AA31</f>
        <v>3710</v>
      </c>
      <c r="P26" s="4">
        <f>Hotel!AB31</f>
        <v>6970</v>
      </c>
      <c r="Q26" s="4">
        <f>Hotel!AC31</f>
        <v>14510</v>
      </c>
      <c r="R26" s="4">
        <f>Hotel!AT31</f>
        <v>0</v>
      </c>
      <c r="S26" s="4">
        <f>Hotel!BA31</f>
        <v>625.71600000000001</v>
      </c>
      <c r="T26" s="4">
        <f>Hotel!AX31</f>
        <v>0</v>
      </c>
      <c r="U26" s="4">
        <f>Hotel!B31</f>
        <v>280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4</v>
      </c>
      <c r="D27" s="11">
        <f>TOTAL!D27</f>
        <v>2019</v>
      </c>
      <c r="E27" s="4">
        <f>Hotel!Q32</f>
        <v>11500</v>
      </c>
      <c r="F27" s="4">
        <f>Hotel!R32</f>
        <v>1900</v>
      </c>
      <c r="G27" s="4">
        <f>Hotel!S32</f>
        <v>0</v>
      </c>
      <c r="H27" s="4">
        <f>Hotel!T32</f>
        <v>1370</v>
      </c>
      <c r="I27" s="4">
        <f>Hotel!U32</f>
        <v>5360</v>
      </c>
      <c r="J27" s="4">
        <f>Hotel!V32</f>
        <v>4520</v>
      </c>
      <c r="K27" s="4">
        <f>Hotel!W32</f>
        <v>3020</v>
      </c>
      <c r="L27" s="4">
        <f>Hotel!X32</f>
        <v>5360</v>
      </c>
      <c r="M27" s="4">
        <f>Hotel!Y32</f>
        <v>5890</v>
      </c>
      <c r="N27" s="4">
        <f>Hotel!Z32</f>
        <v>3070</v>
      </c>
      <c r="O27" s="4">
        <f>Hotel!AA32</f>
        <v>3760</v>
      </c>
      <c r="P27" s="4">
        <f>Hotel!AB32</f>
        <v>6720</v>
      </c>
      <c r="Q27" s="4">
        <f>Hotel!AC32</f>
        <v>14580</v>
      </c>
      <c r="R27" s="4">
        <f>Hotel!AT32</f>
        <v>0</v>
      </c>
      <c r="S27" s="4">
        <f>Hotel!BA32</f>
        <v>610.97400000000005</v>
      </c>
      <c r="T27" s="4">
        <f>Hotel!AX32</f>
        <v>0</v>
      </c>
      <c r="U27" s="4">
        <f>Hotel!B32</f>
        <v>272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4</v>
      </c>
      <c r="D28" s="11">
        <f>TOTAL!D28</f>
        <v>2019</v>
      </c>
      <c r="E28" s="4">
        <f>Hotel!Q33</f>
        <v>12990</v>
      </c>
      <c r="F28" s="4">
        <f>Hotel!R33</f>
        <v>2080</v>
      </c>
      <c r="G28" s="4">
        <f>Hotel!S33</f>
        <v>0</v>
      </c>
      <c r="H28" s="4">
        <f>Hotel!T33</f>
        <v>1510</v>
      </c>
      <c r="I28" s="4">
        <f>Hotel!U33</f>
        <v>6260</v>
      </c>
      <c r="J28" s="4">
        <f>Hotel!V33</f>
        <v>4610</v>
      </c>
      <c r="K28" s="4">
        <f>Hotel!W33</f>
        <v>3350</v>
      </c>
      <c r="L28" s="4">
        <f>Hotel!X33</f>
        <v>5220</v>
      </c>
      <c r="M28" s="4">
        <f>Hotel!Y33</f>
        <v>5860</v>
      </c>
      <c r="N28" s="4">
        <f>Hotel!Z33</f>
        <v>3100</v>
      </c>
      <c r="O28" s="4">
        <f>Hotel!AA33</f>
        <v>3780</v>
      </c>
      <c r="P28" s="4">
        <f>Hotel!AB33</f>
        <v>6910</v>
      </c>
      <c r="Q28" s="4">
        <f>Hotel!AC33</f>
        <v>14840</v>
      </c>
      <c r="R28" s="4">
        <f>Hotel!AT33</f>
        <v>0</v>
      </c>
      <c r="S28" s="4">
        <f>Hotel!BA33</f>
        <v>616.16099999999994</v>
      </c>
      <c r="T28" s="4">
        <f>Hotel!AX33</f>
        <v>0</v>
      </c>
      <c r="U28" s="4">
        <f>Hotel!B33</f>
        <v>168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4</v>
      </c>
      <c r="D29" s="11">
        <f>TOTAL!D29</f>
        <v>2019</v>
      </c>
      <c r="E29" s="4">
        <f>Hotel!Q34</f>
        <v>10580</v>
      </c>
      <c r="F29" s="4">
        <f>Hotel!R34</f>
        <v>1700</v>
      </c>
      <c r="G29" s="4">
        <f>Hotel!S34</f>
        <v>0</v>
      </c>
      <c r="H29" s="4">
        <f>Hotel!T34</f>
        <v>1220</v>
      </c>
      <c r="I29" s="4">
        <f>Hotel!U34</f>
        <v>5230</v>
      </c>
      <c r="J29" s="4">
        <f>Hotel!V34</f>
        <v>4300</v>
      </c>
      <c r="K29" s="4">
        <f>Hotel!W34</f>
        <v>3640</v>
      </c>
      <c r="L29" s="4">
        <f>Hotel!X34</f>
        <v>5000</v>
      </c>
      <c r="M29" s="4">
        <f>Hotel!Y34</f>
        <v>5290</v>
      </c>
      <c r="N29" s="4">
        <f>Hotel!Z34</f>
        <v>2790</v>
      </c>
      <c r="O29" s="4">
        <f>Hotel!AA34</f>
        <v>3590</v>
      </c>
      <c r="P29" s="4">
        <f>Hotel!AB34</f>
        <v>6640</v>
      </c>
      <c r="Q29" s="4">
        <f>Hotel!AC34</f>
        <v>14220</v>
      </c>
      <c r="R29" s="4">
        <f>Hotel!AT34</f>
        <v>0</v>
      </c>
      <c r="S29" s="4">
        <f>Hotel!BA34</f>
        <v>494.94900000000001</v>
      </c>
      <c r="T29" s="4">
        <f>Hotel!AX34</f>
        <v>0</v>
      </c>
      <c r="U29" s="4">
        <f>Hotel!B34</f>
        <v>195</v>
      </c>
    </row>
    <row r="30" spans="1:21" x14ac:dyDescent="0.25">
      <c r="A30" s="21" t="s">
        <v>31</v>
      </c>
      <c r="B30" s="2">
        <f>B29+1</f>
        <v>29</v>
      </c>
      <c r="C30" s="3">
        <f>TOTAL!C30</f>
        <v>4</v>
      </c>
      <c r="D30" s="11">
        <f>TOTAL!D30</f>
        <v>2019</v>
      </c>
      <c r="E30" s="4">
        <f>Hotel!Q35</f>
        <v>12880</v>
      </c>
      <c r="F30" s="4">
        <f>Hotel!R35</f>
        <v>1950</v>
      </c>
      <c r="G30" s="4">
        <f>Hotel!S35</f>
        <v>0</v>
      </c>
      <c r="H30" s="4">
        <f>Hotel!T35</f>
        <v>1430</v>
      </c>
      <c r="I30" s="4">
        <f>Hotel!U35</f>
        <v>6050</v>
      </c>
      <c r="J30" s="4">
        <f>Hotel!V35</f>
        <v>4650</v>
      </c>
      <c r="K30" s="4">
        <f>Hotel!W35</f>
        <v>3420</v>
      </c>
      <c r="L30" s="4">
        <f>Hotel!X35</f>
        <v>5250</v>
      </c>
      <c r="M30" s="4">
        <f>Hotel!Y35</f>
        <v>5810</v>
      </c>
      <c r="N30" s="4">
        <f>Hotel!Z35</f>
        <v>3150</v>
      </c>
      <c r="O30" s="4">
        <f>Hotel!AA35</f>
        <v>3850</v>
      </c>
      <c r="P30" s="4">
        <f>Hotel!AB35</f>
        <v>6960</v>
      </c>
      <c r="Q30" s="4">
        <f>Hotel!AC35</f>
        <v>13730</v>
      </c>
      <c r="R30" s="4">
        <f>Hotel!AT35</f>
        <v>0</v>
      </c>
      <c r="S30" s="4">
        <f>Hotel!BA35</f>
        <v>610.70100000000002</v>
      </c>
      <c r="T30" s="4">
        <f>Hotel!AX35</f>
        <v>0</v>
      </c>
      <c r="U30" s="4">
        <f>Hotel!B35</f>
        <v>240</v>
      </c>
    </row>
    <row r="31" spans="1:21" x14ac:dyDescent="0.25">
      <c r="A31" s="21" t="s">
        <v>31</v>
      </c>
      <c r="B31" s="2">
        <f>B30+1</f>
        <v>30</v>
      </c>
      <c r="C31" s="3">
        <f>TOTAL!C31</f>
        <v>4</v>
      </c>
      <c r="D31" s="11">
        <f>TOTAL!D31</f>
        <v>2019</v>
      </c>
      <c r="E31" s="4">
        <f>Hotel!Q36</f>
        <v>10490</v>
      </c>
      <c r="F31" s="4">
        <f>Hotel!R36</f>
        <v>8310</v>
      </c>
      <c r="G31" s="4">
        <f>Hotel!S36</f>
        <v>70</v>
      </c>
      <c r="H31" s="4">
        <f>Hotel!T36</f>
        <v>1460</v>
      </c>
      <c r="I31" s="4">
        <f>Hotel!U36</f>
        <v>6110</v>
      </c>
      <c r="J31" s="4">
        <f>Hotel!V36</f>
        <v>4440</v>
      </c>
      <c r="K31" s="4">
        <f>Hotel!W36</f>
        <v>3250</v>
      </c>
      <c r="L31" s="4">
        <f>Hotel!X36</f>
        <v>5280</v>
      </c>
      <c r="M31" s="4">
        <f>Hotel!Y36</f>
        <v>5430</v>
      </c>
      <c r="N31" s="4">
        <f>Hotel!Z36</f>
        <v>3000</v>
      </c>
      <c r="O31" s="4">
        <f>Hotel!AA36</f>
        <v>3810</v>
      </c>
      <c r="P31" s="4">
        <f>Hotel!AB36</f>
        <v>6590</v>
      </c>
      <c r="Q31" s="4">
        <f>Hotel!AC36</f>
        <v>13040</v>
      </c>
      <c r="R31" s="4">
        <f>Hotel!AT36</f>
        <v>0</v>
      </c>
      <c r="S31" s="4">
        <f>Hotel!BA36</f>
        <v>645.64499999999998</v>
      </c>
      <c r="T31" s="4">
        <f>Hotel!AX36</f>
        <v>0</v>
      </c>
      <c r="U31" s="4">
        <f>Hotel!B36</f>
        <v>267</v>
      </c>
    </row>
    <row r="32" spans="1:21" x14ac:dyDescent="0.25">
      <c r="A32" s="21" t="s">
        <v>31</v>
      </c>
      <c r="B32" s="2">
        <f>B31+1</f>
        <v>31</v>
      </c>
      <c r="C32" s="3">
        <f>TOTAL!C32</f>
        <v>4</v>
      </c>
      <c r="D32" s="11">
        <f>TOTAL!D32</f>
        <v>2019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Hotel!AT37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B10" zoomScale="93" zoomScaleNormal="93" workbookViewId="0">
      <selection activeCell="AY40" sqref="AY4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7" customWidth="1"/>
    <col min="47" max="47" width="7.28515625" customWidth="1"/>
    <col min="48" max="50" width="11.85546875" style="50" customWidth="1"/>
    <col min="51" max="51" width="11.85546875" style="54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43555</v>
      </c>
      <c r="B2" s="40" t="s">
        <v>46</v>
      </c>
      <c r="C2" s="24">
        <v>4437010</v>
      </c>
      <c r="D2" s="24">
        <v>9272370</v>
      </c>
      <c r="E2" s="24">
        <v>971120</v>
      </c>
      <c r="F2" s="24">
        <v>1991970</v>
      </c>
      <c r="G2" s="24">
        <v>6602580</v>
      </c>
      <c r="H2" s="24">
        <v>2673100</v>
      </c>
      <c r="I2" s="24">
        <v>2915410</v>
      </c>
      <c r="J2" s="24">
        <v>3091420</v>
      </c>
      <c r="K2" s="24">
        <v>5432310</v>
      </c>
      <c r="L2" s="24">
        <v>1722210</v>
      </c>
      <c r="M2" s="24">
        <v>5475200</v>
      </c>
      <c r="N2" s="24">
        <v>6819310</v>
      </c>
      <c r="O2" s="24">
        <v>8033240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1"/>
      <c r="AW2" s="51"/>
      <c r="AX2" s="51"/>
      <c r="AY2" s="55">
        <v>46411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T4" s="70" t="s">
        <v>51</v>
      </c>
      <c r="AV4" s="71" t="s">
        <v>53</v>
      </c>
      <c r="AW4" s="71" t="s">
        <v>55</v>
      </c>
      <c r="AX4" s="71" t="s">
        <v>56</v>
      </c>
      <c r="AY4" s="60" t="s">
        <v>28</v>
      </c>
      <c r="AZ4" s="61" t="s">
        <v>29</v>
      </c>
      <c r="BA4" s="61" t="s">
        <v>48</v>
      </c>
      <c r="BB4" s="63" t="s">
        <v>30</v>
      </c>
    </row>
    <row r="5" spans="1:54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0"/>
      <c r="AV5" s="71"/>
      <c r="AW5" s="71"/>
      <c r="AX5" s="71"/>
      <c r="AY5" s="60"/>
      <c r="AZ5" s="62"/>
      <c r="BA5" s="62"/>
      <c r="BB5" s="63"/>
    </row>
    <row r="6" spans="1:54" x14ac:dyDescent="0.25"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1">
        <v>298912</v>
      </c>
      <c r="AW6" s="51"/>
      <c r="AX6" s="51" t="s">
        <v>57</v>
      </c>
      <c r="AY6" s="55">
        <v>46411</v>
      </c>
    </row>
    <row r="7" spans="1:54" x14ac:dyDescent="0.25">
      <c r="A7" s="23">
        <v>43556</v>
      </c>
      <c r="B7" s="40">
        <v>113</v>
      </c>
      <c r="C7" s="24">
        <v>4437540</v>
      </c>
      <c r="D7" s="24">
        <v>9284440</v>
      </c>
      <c r="E7" s="24">
        <v>971120</v>
      </c>
      <c r="F7" s="24">
        <v>1993410</v>
      </c>
      <c r="G7" s="24">
        <v>6607720</v>
      </c>
      <c r="H7" s="24">
        <v>2677630</v>
      </c>
      <c r="I7" s="24">
        <v>2919290</v>
      </c>
      <c r="J7" s="24">
        <v>3096780</v>
      </c>
      <c r="K7" s="24">
        <v>5437720</v>
      </c>
      <c r="L7" s="24">
        <v>1724760</v>
      </c>
      <c r="M7" s="24">
        <v>5478570</v>
      </c>
      <c r="N7" s="24">
        <v>6826120</v>
      </c>
      <c r="O7" s="24">
        <v>8049330</v>
      </c>
      <c r="Q7" s="37">
        <f t="shared" ref="Q7:AC7" si="0">IF((C7-C2&lt;0), "0",C7-C2)</f>
        <v>530</v>
      </c>
      <c r="R7" s="37">
        <f t="shared" si="0"/>
        <v>12070</v>
      </c>
      <c r="S7" s="37">
        <f t="shared" si="0"/>
        <v>0</v>
      </c>
      <c r="T7" s="37">
        <f t="shared" si="0"/>
        <v>1440</v>
      </c>
      <c r="U7" s="37">
        <f t="shared" si="0"/>
        <v>5140</v>
      </c>
      <c r="V7" s="37">
        <f t="shared" si="0"/>
        <v>4530</v>
      </c>
      <c r="W7" s="37">
        <f t="shared" si="0"/>
        <v>3880</v>
      </c>
      <c r="X7" s="37">
        <f t="shared" si="0"/>
        <v>5360</v>
      </c>
      <c r="Y7" s="37">
        <f t="shared" si="0"/>
        <v>5410</v>
      </c>
      <c r="Z7" s="37">
        <f t="shared" si="0"/>
        <v>2550</v>
      </c>
      <c r="AA7" s="37">
        <f t="shared" si="0"/>
        <v>3370</v>
      </c>
      <c r="AB7" s="37">
        <f t="shared" si="0"/>
        <v>6810</v>
      </c>
      <c r="AC7" s="37">
        <f t="shared" si="0"/>
        <v>16090</v>
      </c>
      <c r="AD7" s="34">
        <f>SUM(Q7:AC7)</f>
        <v>67180</v>
      </c>
      <c r="AF7" s="20">
        <f t="shared" ref="AF7:AF36" si="1">Q7*$D$39</f>
        <v>2.65</v>
      </c>
      <c r="AG7" s="20">
        <f t="shared" ref="AG7:AG36" si="2">R7*$D$39</f>
        <v>60.35</v>
      </c>
      <c r="AH7" s="20">
        <f t="shared" ref="AH7:AH36" si="3">S7*$D$39</f>
        <v>0</v>
      </c>
      <c r="AI7" s="20">
        <f t="shared" ref="AI7:AI36" si="4">T7*$D$39</f>
        <v>7.2</v>
      </c>
      <c r="AJ7" s="20">
        <f t="shared" ref="AJ7:AJ36" si="5">U7*$D$39</f>
        <v>25.7</v>
      </c>
      <c r="AK7" s="20">
        <f t="shared" ref="AK7:AK36" si="6">V7*$D$39</f>
        <v>22.650000000000002</v>
      </c>
      <c r="AL7" s="20">
        <f t="shared" ref="AL7:AL36" si="7">W7*$D$39</f>
        <v>19.400000000000002</v>
      </c>
      <c r="AM7" s="20">
        <f t="shared" ref="AM7:AM36" si="8">X7*$D$39</f>
        <v>26.8</v>
      </c>
      <c r="AN7" s="20">
        <f t="shared" ref="AN7:AN36" si="9">Y7*$D$39</f>
        <v>27.05</v>
      </c>
      <c r="AO7" s="20">
        <f t="shared" ref="AO7:AO36" si="10">Z7*$D$39</f>
        <v>12.75</v>
      </c>
      <c r="AP7" s="20">
        <f t="shared" ref="AP7:AP36" si="11">AA7*$D$39</f>
        <v>16.850000000000001</v>
      </c>
      <c r="AQ7" s="20">
        <f t="shared" ref="AQ7:AQ36" si="12">AB7*$D$39</f>
        <v>34.049999999999997</v>
      </c>
      <c r="AR7" s="20">
        <f t="shared" ref="AR7:AR36" si="13">AC7*$D$39</f>
        <v>80.45</v>
      </c>
      <c r="AS7" s="35">
        <f>SUM(AF7:AR7)</f>
        <v>335.90000000000003</v>
      </c>
      <c r="AT7" s="48"/>
      <c r="AV7" s="52">
        <v>0</v>
      </c>
      <c r="AW7" s="51">
        <f t="shared" ref="AW7:AW39" si="14">(AV8-AV7)*1000</f>
        <v>0</v>
      </c>
      <c r="AX7" s="53">
        <f>AW7*$AX$44</f>
        <v>0</v>
      </c>
      <c r="AY7" s="59">
        <v>48166</v>
      </c>
      <c r="AZ7" s="37">
        <f>(IF((AY7-AY6&lt;0),"0",AY7-AY6))*100</f>
        <v>175500</v>
      </c>
      <c r="BA7" s="37">
        <f>AZ7*$AZ$44*60%</f>
        <v>479.11500000000001</v>
      </c>
      <c r="BB7" s="46">
        <f>BA7*0.4444</f>
        <v>212.91870600000001</v>
      </c>
    </row>
    <row r="8" spans="1:54" x14ac:dyDescent="0.25">
      <c r="A8" s="23">
        <v>43557</v>
      </c>
      <c r="B8" s="40">
        <v>142</v>
      </c>
      <c r="C8" s="24">
        <v>4438090</v>
      </c>
      <c r="D8" s="24">
        <v>9296220</v>
      </c>
      <c r="E8" s="24">
        <v>971120</v>
      </c>
      <c r="F8" s="24">
        <v>1994860</v>
      </c>
      <c r="G8" s="24">
        <v>6612820</v>
      </c>
      <c r="H8" s="24">
        <v>2682270</v>
      </c>
      <c r="I8" s="24">
        <v>2922440</v>
      </c>
      <c r="J8" s="24">
        <v>3102330</v>
      </c>
      <c r="K8" s="24">
        <v>5443210</v>
      </c>
      <c r="L8" s="24">
        <v>1727470</v>
      </c>
      <c r="M8" s="24">
        <v>5482030</v>
      </c>
      <c r="N8" s="24">
        <v>6833150</v>
      </c>
      <c r="O8" s="24">
        <v>8062150</v>
      </c>
      <c r="Q8" s="37">
        <f>IF((C8-C7&lt;0), "0",C8-C7)</f>
        <v>550</v>
      </c>
      <c r="R8" s="37">
        <f t="shared" ref="R8:AC8" si="15">IF((D8-D7&lt;0), "0",D8-D7)</f>
        <v>11780</v>
      </c>
      <c r="S8" s="37">
        <f t="shared" ref="S8:S35" si="16">IF((E8-E7&lt;0), "0",E8-E7)</f>
        <v>0</v>
      </c>
      <c r="T8" s="37">
        <f t="shared" si="15"/>
        <v>1450</v>
      </c>
      <c r="U8" s="37">
        <f t="shared" si="15"/>
        <v>5100</v>
      </c>
      <c r="V8" s="37">
        <f t="shared" si="15"/>
        <v>4640</v>
      </c>
      <c r="W8" s="37">
        <f t="shared" si="15"/>
        <v>3150</v>
      </c>
      <c r="X8" s="37">
        <f t="shared" si="15"/>
        <v>5550</v>
      </c>
      <c r="Y8" s="37">
        <f t="shared" si="15"/>
        <v>5490</v>
      </c>
      <c r="Z8" s="37">
        <f t="shared" si="15"/>
        <v>2710</v>
      </c>
      <c r="AA8" s="37">
        <f t="shared" si="15"/>
        <v>3460</v>
      </c>
      <c r="AB8" s="37">
        <f t="shared" si="15"/>
        <v>7030</v>
      </c>
      <c r="AC8" s="37">
        <f t="shared" si="15"/>
        <v>12820</v>
      </c>
      <c r="AD8" s="35">
        <f>SUM(Q8:AC8)</f>
        <v>63730</v>
      </c>
      <c r="AF8" s="20">
        <f t="shared" si="1"/>
        <v>2.75</v>
      </c>
      <c r="AG8" s="20">
        <f t="shared" si="2"/>
        <v>58.9</v>
      </c>
      <c r="AH8" s="20">
        <f t="shared" si="3"/>
        <v>0</v>
      </c>
      <c r="AI8" s="20">
        <f t="shared" si="4"/>
        <v>7.25</v>
      </c>
      <c r="AJ8" s="20">
        <f t="shared" si="5"/>
        <v>25.5</v>
      </c>
      <c r="AK8" s="20">
        <f t="shared" si="6"/>
        <v>23.2</v>
      </c>
      <c r="AL8" s="20">
        <f t="shared" si="7"/>
        <v>15.75</v>
      </c>
      <c r="AM8" s="20">
        <f t="shared" si="8"/>
        <v>27.75</v>
      </c>
      <c r="AN8" s="20">
        <f t="shared" si="9"/>
        <v>27.45</v>
      </c>
      <c r="AO8" s="20">
        <f t="shared" si="10"/>
        <v>13.55</v>
      </c>
      <c r="AP8" s="20">
        <f t="shared" si="11"/>
        <v>17.3</v>
      </c>
      <c r="AQ8" s="20">
        <f t="shared" si="12"/>
        <v>35.15</v>
      </c>
      <c r="AR8" s="20">
        <f t="shared" si="13"/>
        <v>64.099999999999994</v>
      </c>
      <c r="AS8" s="35">
        <f>SUM(AF8:AR8)</f>
        <v>318.65000000000003</v>
      </c>
      <c r="AT8" s="48"/>
      <c r="AV8" s="52">
        <v>0</v>
      </c>
      <c r="AW8" s="51">
        <f t="shared" si="14"/>
        <v>0</v>
      </c>
      <c r="AX8" s="53">
        <f t="shared" ref="AX8:AX39" si="17">AW8*$AX$44</f>
        <v>0</v>
      </c>
      <c r="AY8" s="59">
        <v>50720</v>
      </c>
      <c r="AZ8" s="37">
        <f t="shared" ref="AZ8:AZ38" si="18">(IF((AY8-AY7&lt;0),"0",AY8-AY7))*100</f>
        <v>255400</v>
      </c>
      <c r="BA8" s="37">
        <f t="shared" ref="BA8:BA39" si="19">AZ8*$AZ$44*60%</f>
        <v>697.24200000000008</v>
      </c>
      <c r="BB8" s="46">
        <f t="shared" ref="BB8:BB38" si="20">BA8*0.4444</f>
        <v>309.85434480000004</v>
      </c>
    </row>
    <row r="9" spans="1:54" x14ac:dyDescent="0.25">
      <c r="A9" s="23">
        <v>43558</v>
      </c>
      <c r="B9" s="40">
        <v>154</v>
      </c>
      <c r="C9" s="24">
        <v>4438600</v>
      </c>
      <c r="D9" s="24">
        <v>9308540</v>
      </c>
      <c r="E9" s="24">
        <v>971120</v>
      </c>
      <c r="F9" s="24">
        <v>1996280</v>
      </c>
      <c r="G9" s="24">
        <v>6618900</v>
      </c>
      <c r="H9" s="24">
        <v>2686730</v>
      </c>
      <c r="I9" s="24">
        <v>2926000</v>
      </c>
      <c r="J9" s="24">
        <v>3107810</v>
      </c>
      <c r="K9" s="24">
        <v>5448720</v>
      </c>
      <c r="L9" s="24">
        <v>1730020</v>
      </c>
      <c r="M9" s="24">
        <v>5485590</v>
      </c>
      <c r="N9" s="24">
        <v>6846100</v>
      </c>
      <c r="O9" s="24">
        <v>8074930</v>
      </c>
      <c r="Q9" s="37">
        <f t="shared" ref="Q9:Q30" si="21">IF((C9-C8&lt;0), "0",C9-C8)</f>
        <v>510</v>
      </c>
      <c r="R9" s="37">
        <f t="shared" ref="R9:R37" si="22">IF((D9-D8&lt;0), "0",D9-D8)</f>
        <v>12320</v>
      </c>
      <c r="S9" s="37">
        <f t="shared" si="16"/>
        <v>0</v>
      </c>
      <c r="T9" s="37">
        <f t="shared" ref="T9:T35" si="23">IF((F9-F8&lt;0), "0",F9-F8)</f>
        <v>1420</v>
      </c>
      <c r="U9" s="37">
        <f t="shared" ref="U9:U35" si="24">IF((G9-G8&lt;0), "0",G9-G8)</f>
        <v>6080</v>
      </c>
      <c r="V9" s="37">
        <f t="shared" ref="V9:V35" si="25">IF((H9-H8&lt;0), "0",H9-H8)</f>
        <v>4460</v>
      </c>
      <c r="W9" s="37">
        <f t="shared" ref="W9:W35" si="26">IF((I9-I8&lt;0), "0",I9-I8)</f>
        <v>3560</v>
      </c>
      <c r="X9" s="37">
        <f t="shared" ref="X9:X37" si="27">IF((J9-J8&lt;0), "0",J9-J8)</f>
        <v>5480</v>
      </c>
      <c r="Y9" s="37">
        <f t="shared" ref="Y9:Y35" si="28">IF((K9-K8&lt;0), "0",K9-K8)</f>
        <v>5510</v>
      </c>
      <c r="Z9" s="37">
        <f t="shared" ref="Z9:Z35" si="29">IF((L9-L8&lt;0), "0",L9-L8)</f>
        <v>2550</v>
      </c>
      <c r="AA9" s="37">
        <f t="shared" ref="AA9:AA35" si="30">IF((M9-M8&lt;0), "0",M9-M8)</f>
        <v>3560</v>
      </c>
      <c r="AB9" s="37">
        <f t="shared" ref="AB9:AB37" si="31">IF((N9-N8&lt;0), "0",N9-N8)</f>
        <v>12950</v>
      </c>
      <c r="AC9" s="37">
        <f t="shared" ref="AC9:AC37" si="32">IF((O9-O8&lt;0), "0",O9-O8)</f>
        <v>12780</v>
      </c>
      <c r="AD9" s="35">
        <f t="shared" ref="AD9:AD37" si="33">SUM(Q9:AC9)</f>
        <v>71180</v>
      </c>
      <c r="AF9" s="20">
        <f t="shared" si="1"/>
        <v>2.5500000000000003</v>
      </c>
      <c r="AG9" s="20">
        <f t="shared" si="2"/>
        <v>61.6</v>
      </c>
      <c r="AH9" s="20">
        <f t="shared" si="3"/>
        <v>0</v>
      </c>
      <c r="AI9" s="20">
        <f t="shared" si="4"/>
        <v>7.1000000000000005</v>
      </c>
      <c r="AJ9" s="20">
        <f t="shared" si="5"/>
        <v>30.400000000000002</v>
      </c>
      <c r="AK9" s="20">
        <f t="shared" si="6"/>
        <v>22.3</v>
      </c>
      <c r="AL9" s="20">
        <f t="shared" si="7"/>
        <v>17.8</v>
      </c>
      <c r="AM9" s="20">
        <f t="shared" si="8"/>
        <v>27.400000000000002</v>
      </c>
      <c r="AN9" s="20">
        <f t="shared" si="9"/>
        <v>27.55</v>
      </c>
      <c r="AO9" s="20">
        <f t="shared" si="10"/>
        <v>12.75</v>
      </c>
      <c r="AP9" s="20">
        <f t="shared" si="11"/>
        <v>17.8</v>
      </c>
      <c r="AQ9" s="20">
        <f t="shared" si="12"/>
        <v>64.75</v>
      </c>
      <c r="AR9" s="20">
        <f t="shared" si="13"/>
        <v>63.9</v>
      </c>
      <c r="AS9" s="35">
        <f t="shared" ref="AS9:AS33" si="34">SUM(AF9:AR9)</f>
        <v>355.9</v>
      </c>
      <c r="AT9" s="48"/>
      <c r="AV9" s="52">
        <v>0</v>
      </c>
      <c r="AW9" s="51">
        <f t="shared" si="14"/>
        <v>0</v>
      </c>
      <c r="AX9" s="53">
        <f t="shared" si="17"/>
        <v>0</v>
      </c>
      <c r="AY9" s="59">
        <v>52660</v>
      </c>
      <c r="AZ9" s="37">
        <f t="shared" si="18"/>
        <v>194000</v>
      </c>
      <c r="BA9" s="37">
        <f t="shared" si="19"/>
        <v>529.62</v>
      </c>
      <c r="BB9" s="46">
        <f t="shared" si="20"/>
        <v>235.36312800000002</v>
      </c>
    </row>
    <row r="10" spans="1:54" x14ac:dyDescent="0.25">
      <c r="A10" s="23">
        <v>43559</v>
      </c>
      <c r="B10" s="40">
        <v>185</v>
      </c>
      <c r="C10" s="24">
        <v>4439120</v>
      </c>
      <c r="D10" s="24">
        <v>9322410</v>
      </c>
      <c r="E10" s="24">
        <v>971120</v>
      </c>
      <c r="F10" s="24">
        <v>1997750</v>
      </c>
      <c r="G10" s="24">
        <v>6623770</v>
      </c>
      <c r="H10" s="24">
        <v>2691230</v>
      </c>
      <c r="I10" s="24">
        <v>2929340</v>
      </c>
      <c r="J10" s="24">
        <v>3113360</v>
      </c>
      <c r="K10" s="24">
        <v>5454460</v>
      </c>
      <c r="L10" s="24">
        <v>1733240</v>
      </c>
      <c r="M10" s="24">
        <v>5489470</v>
      </c>
      <c r="N10" s="24">
        <v>6847200</v>
      </c>
      <c r="O10" s="24">
        <v>8086140</v>
      </c>
      <c r="Q10" s="37">
        <f t="shared" si="21"/>
        <v>520</v>
      </c>
      <c r="R10" s="37">
        <f t="shared" si="22"/>
        <v>13870</v>
      </c>
      <c r="S10" s="37">
        <f t="shared" si="16"/>
        <v>0</v>
      </c>
      <c r="T10" s="37">
        <f t="shared" si="23"/>
        <v>1470</v>
      </c>
      <c r="U10" s="37">
        <f t="shared" si="24"/>
        <v>4870</v>
      </c>
      <c r="V10" s="37">
        <f t="shared" si="25"/>
        <v>4500</v>
      </c>
      <c r="W10" s="37">
        <f t="shared" si="26"/>
        <v>3340</v>
      </c>
      <c r="X10" s="37">
        <f t="shared" si="27"/>
        <v>5550</v>
      </c>
      <c r="Y10" s="37">
        <f t="shared" si="28"/>
        <v>5740</v>
      </c>
      <c r="Z10" s="37">
        <f t="shared" si="29"/>
        <v>3220</v>
      </c>
      <c r="AA10" s="37">
        <f t="shared" si="30"/>
        <v>3880</v>
      </c>
      <c r="AB10" s="37">
        <f t="shared" si="31"/>
        <v>1100</v>
      </c>
      <c r="AC10" s="37">
        <f t="shared" si="32"/>
        <v>11210</v>
      </c>
      <c r="AD10" s="35">
        <f t="shared" si="33"/>
        <v>59270</v>
      </c>
      <c r="AF10" s="20">
        <f t="shared" si="1"/>
        <v>2.6</v>
      </c>
      <c r="AG10" s="20">
        <f t="shared" si="2"/>
        <v>69.350000000000009</v>
      </c>
      <c r="AH10" s="20">
        <f t="shared" si="3"/>
        <v>0</v>
      </c>
      <c r="AI10" s="20">
        <f t="shared" si="4"/>
        <v>7.3500000000000005</v>
      </c>
      <c r="AJ10" s="20">
        <f t="shared" si="5"/>
        <v>24.35</v>
      </c>
      <c r="AK10" s="20">
        <f t="shared" si="6"/>
        <v>22.5</v>
      </c>
      <c r="AL10" s="20">
        <f t="shared" si="7"/>
        <v>16.7</v>
      </c>
      <c r="AM10" s="20">
        <f t="shared" si="8"/>
        <v>27.75</v>
      </c>
      <c r="AN10" s="20">
        <f t="shared" si="9"/>
        <v>28.7</v>
      </c>
      <c r="AO10" s="20">
        <f t="shared" si="10"/>
        <v>16.100000000000001</v>
      </c>
      <c r="AP10" s="20">
        <f t="shared" si="11"/>
        <v>19.400000000000002</v>
      </c>
      <c r="AQ10" s="20">
        <f t="shared" si="12"/>
        <v>5.5</v>
      </c>
      <c r="AR10" s="20">
        <f t="shared" si="13"/>
        <v>56.050000000000004</v>
      </c>
      <c r="AS10" s="35">
        <f t="shared" si="34"/>
        <v>296.34999999999997</v>
      </c>
      <c r="AT10" s="48"/>
      <c r="AV10" s="52">
        <v>0</v>
      </c>
      <c r="AW10" s="51">
        <f t="shared" si="14"/>
        <v>0</v>
      </c>
      <c r="AX10" s="53">
        <f t="shared" si="17"/>
        <v>0</v>
      </c>
      <c r="AY10" s="59">
        <v>54694</v>
      </c>
      <c r="AZ10" s="37">
        <f t="shared" si="18"/>
        <v>203400</v>
      </c>
      <c r="BA10" s="37">
        <f t="shared" si="19"/>
        <v>555.28200000000004</v>
      </c>
      <c r="BB10" s="46">
        <f t="shared" si="20"/>
        <v>246.76732080000002</v>
      </c>
    </row>
    <row r="11" spans="1:54" x14ac:dyDescent="0.25">
      <c r="A11" s="23">
        <v>43560</v>
      </c>
      <c r="B11" s="40">
        <v>268</v>
      </c>
      <c r="C11" s="24">
        <v>4439690</v>
      </c>
      <c r="D11" s="24">
        <v>9336460</v>
      </c>
      <c r="E11" s="24">
        <v>971120</v>
      </c>
      <c r="F11" s="24">
        <v>1999230</v>
      </c>
      <c r="G11" s="24">
        <v>6629390</v>
      </c>
      <c r="H11" s="24">
        <v>2695710</v>
      </c>
      <c r="I11" s="24">
        <v>2932790</v>
      </c>
      <c r="J11" s="24">
        <v>3118870</v>
      </c>
      <c r="K11" s="24">
        <v>5460150</v>
      </c>
      <c r="L11" s="24">
        <v>1736370</v>
      </c>
      <c r="M11" s="24">
        <v>5493350</v>
      </c>
      <c r="N11" s="24">
        <v>6854240</v>
      </c>
      <c r="O11" s="24">
        <v>8099130</v>
      </c>
      <c r="Q11" s="37">
        <f t="shared" si="21"/>
        <v>570</v>
      </c>
      <c r="R11" s="37">
        <f t="shared" si="22"/>
        <v>14050</v>
      </c>
      <c r="S11" s="37">
        <f t="shared" si="16"/>
        <v>0</v>
      </c>
      <c r="T11" s="37">
        <f t="shared" si="23"/>
        <v>1480</v>
      </c>
      <c r="U11" s="37">
        <f t="shared" si="24"/>
        <v>5620</v>
      </c>
      <c r="V11" s="37">
        <f t="shared" si="25"/>
        <v>4480</v>
      </c>
      <c r="W11" s="37">
        <f t="shared" si="26"/>
        <v>3450</v>
      </c>
      <c r="X11" s="37">
        <f t="shared" si="27"/>
        <v>5510</v>
      </c>
      <c r="Y11" s="37">
        <f t="shared" si="28"/>
        <v>5690</v>
      </c>
      <c r="Z11" s="37">
        <f t="shared" si="29"/>
        <v>3130</v>
      </c>
      <c r="AA11" s="37">
        <f t="shared" si="30"/>
        <v>3880</v>
      </c>
      <c r="AB11" s="37">
        <f t="shared" si="31"/>
        <v>7040</v>
      </c>
      <c r="AC11" s="37">
        <f t="shared" si="32"/>
        <v>12990</v>
      </c>
      <c r="AD11" s="35">
        <f t="shared" si="33"/>
        <v>67890</v>
      </c>
      <c r="AF11" s="20">
        <f t="shared" si="1"/>
        <v>2.85</v>
      </c>
      <c r="AG11" s="20">
        <f t="shared" si="2"/>
        <v>70.25</v>
      </c>
      <c r="AH11" s="20">
        <f t="shared" si="3"/>
        <v>0</v>
      </c>
      <c r="AI11" s="20">
        <f t="shared" si="4"/>
        <v>7.4</v>
      </c>
      <c r="AJ11" s="20">
        <f t="shared" si="5"/>
        <v>28.1</v>
      </c>
      <c r="AK11" s="20">
        <f t="shared" si="6"/>
        <v>22.400000000000002</v>
      </c>
      <c r="AL11" s="20">
        <f t="shared" si="7"/>
        <v>17.25</v>
      </c>
      <c r="AM11" s="20">
        <f t="shared" si="8"/>
        <v>27.55</v>
      </c>
      <c r="AN11" s="20">
        <f t="shared" si="9"/>
        <v>28.45</v>
      </c>
      <c r="AO11" s="20">
        <f t="shared" si="10"/>
        <v>15.65</v>
      </c>
      <c r="AP11" s="20">
        <f t="shared" si="11"/>
        <v>19.400000000000002</v>
      </c>
      <c r="AQ11" s="20">
        <f t="shared" si="12"/>
        <v>35.200000000000003</v>
      </c>
      <c r="AR11" s="20">
        <f t="shared" si="13"/>
        <v>64.95</v>
      </c>
      <c r="AS11" s="35">
        <f t="shared" si="34"/>
        <v>339.45</v>
      </c>
      <c r="AT11" s="48"/>
      <c r="AV11" s="52">
        <v>0</v>
      </c>
      <c r="AW11" s="51">
        <f t="shared" si="14"/>
        <v>0</v>
      </c>
      <c r="AX11" s="53">
        <f t="shared" si="17"/>
        <v>0</v>
      </c>
      <c r="AY11" s="59">
        <v>57067</v>
      </c>
      <c r="AZ11" s="37">
        <f t="shared" si="18"/>
        <v>237300</v>
      </c>
      <c r="BA11" s="37">
        <f t="shared" si="19"/>
        <v>647.82900000000006</v>
      </c>
      <c r="BB11" s="46">
        <f t="shared" si="20"/>
        <v>287.89520760000005</v>
      </c>
    </row>
    <row r="12" spans="1:54" x14ac:dyDescent="0.25">
      <c r="A12" s="23">
        <v>43561</v>
      </c>
      <c r="B12" s="40">
        <v>175</v>
      </c>
      <c r="C12" s="24">
        <v>4440210</v>
      </c>
      <c r="D12" s="24">
        <v>9351830</v>
      </c>
      <c r="E12" s="24">
        <v>971120</v>
      </c>
      <c r="F12" s="24">
        <v>2000740</v>
      </c>
      <c r="G12" s="24">
        <v>6635290</v>
      </c>
      <c r="H12" s="24">
        <v>2700290</v>
      </c>
      <c r="I12" s="24">
        <v>2936350</v>
      </c>
      <c r="J12" s="24">
        <v>3124510</v>
      </c>
      <c r="K12" s="24">
        <v>5466010</v>
      </c>
      <c r="L12" s="24">
        <v>1739510</v>
      </c>
      <c r="M12" s="24">
        <v>5497270</v>
      </c>
      <c r="N12" s="24">
        <v>6861200</v>
      </c>
      <c r="O12" s="24">
        <v>8113420</v>
      </c>
      <c r="Q12" s="37">
        <f t="shared" si="21"/>
        <v>520</v>
      </c>
      <c r="R12" s="37">
        <f t="shared" si="22"/>
        <v>15370</v>
      </c>
      <c r="S12" s="37">
        <f t="shared" si="16"/>
        <v>0</v>
      </c>
      <c r="T12" s="37">
        <f t="shared" ref="T12:W14" si="35">IF((F12-F11&lt;0), "0",F12-F11)</f>
        <v>1510</v>
      </c>
      <c r="U12" s="37">
        <f t="shared" si="35"/>
        <v>5900</v>
      </c>
      <c r="V12" s="37">
        <f t="shared" si="35"/>
        <v>4580</v>
      </c>
      <c r="W12" s="37">
        <f t="shared" si="35"/>
        <v>3560</v>
      </c>
      <c r="X12" s="37">
        <f t="shared" si="27"/>
        <v>5640</v>
      </c>
      <c r="Y12" s="37">
        <f t="shared" si="28"/>
        <v>5860</v>
      </c>
      <c r="Z12" s="37">
        <f>IF((L12-L11&lt;0), "0",L12-L11)</f>
        <v>3140</v>
      </c>
      <c r="AA12" s="37">
        <f t="shared" si="30"/>
        <v>3920</v>
      </c>
      <c r="AB12" s="37">
        <f t="shared" si="31"/>
        <v>6960</v>
      </c>
      <c r="AC12" s="37">
        <f t="shared" si="32"/>
        <v>14290</v>
      </c>
      <c r="AD12" s="35">
        <f t="shared" si="33"/>
        <v>71250</v>
      </c>
      <c r="AF12" s="20">
        <f t="shared" si="1"/>
        <v>2.6</v>
      </c>
      <c r="AG12" s="20">
        <f t="shared" si="2"/>
        <v>76.850000000000009</v>
      </c>
      <c r="AH12" s="20">
        <f t="shared" si="3"/>
        <v>0</v>
      </c>
      <c r="AI12" s="20">
        <f t="shared" si="4"/>
        <v>7.55</v>
      </c>
      <c r="AJ12" s="20">
        <f t="shared" si="5"/>
        <v>29.5</v>
      </c>
      <c r="AK12" s="20">
        <f t="shared" si="6"/>
        <v>22.900000000000002</v>
      </c>
      <c r="AL12" s="20">
        <f t="shared" si="7"/>
        <v>17.8</v>
      </c>
      <c r="AM12" s="20">
        <f t="shared" si="8"/>
        <v>28.2</v>
      </c>
      <c r="AN12" s="20">
        <f t="shared" si="9"/>
        <v>29.3</v>
      </c>
      <c r="AO12" s="20">
        <f t="shared" si="10"/>
        <v>15.700000000000001</v>
      </c>
      <c r="AP12" s="20">
        <f t="shared" si="11"/>
        <v>19.600000000000001</v>
      </c>
      <c r="AQ12" s="20">
        <f t="shared" si="12"/>
        <v>34.800000000000004</v>
      </c>
      <c r="AR12" s="20">
        <f t="shared" si="13"/>
        <v>71.45</v>
      </c>
      <c r="AS12" s="35">
        <f t="shared" si="34"/>
        <v>356.25</v>
      </c>
      <c r="AT12" s="48"/>
      <c r="AV12" s="52">
        <v>0</v>
      </c>
      <c r="AW12" s="51">
        <f t="shared" si="14"/>
        <v>0</v>
      </c>
      <c r="AX12" s="53">
        <f t="shared" si="17"/>
        <v>0</v>
      </c>
      <c r="AY12" s="59">
        <v>59167</v>
      </c>
      <c r="AZ12" s="37">
        <f t="shared" si="18"/>
        <v>210000</v>
      </c>
      <c r="BA12" s="37">
        <f t="shared" si="19"/>
        <v>573.29999999999995</v>
      </c>
      <c r="BB12" s="46">
        <f t="shared" si="20"/>
        <v>254.77452</v>
      </c>
    </row>
    <row r="13" spans="1:54" x14ac:dyDescent="0.25">
      <c r="A13" s="23">
        <v>43562</v>
      </c>
      <c r="B13" s="40">
        <v>210</v>
      </c>
      <c r="C13" s="24">
        <v>4441030</v>
      </c>
      <c r="D13" s="24">
        <v>9365170</v>
      </c>
      <c r="E13" s="24">
        <v>972820</v>
      </c>
      <c r="F13" s="24">
        <v>2002270</v>
      </c>
      <c r="G13" s="24">
        <v>6641040</v>
      </c>
      <c r="H13" s="24">
        <v>2705160</v>
      </c>
      <c r="I13" s="24">
        <v>2939740</v>
      </c>
      <c r="J13" s="24">
        <v>3130000</v>
      </c>
      <c r="K13" s="24">
        <v>5471600</v>
      </c>
      <c r="L13" s="24">
        <v>1742460</v>
      </c>
      <c r="M13" s="24">
        <v>5501000</v>
      </c>
      <c r="N13" s="24">
        <v>6868200</v>
      </c>
      <c r="O13" s="24">
        <v>8128150</v>
      </c>
      <c r="Q13" s="37">
        <f t="shared" si="21"/>
        <v>820</v>
      </c>
      <c r="R13" s="37">
        <f t="shared" si="22"/>
        <v>13340</v>
      </c>
      <c r="S13" s="37">
        <f t="shared" si="16"/>
        <v>1700</v>
      </c>
      <c r="T13" s="37">
        <f t="shared" si="35"/>
        <v>1530</v>
      </c>
      <c r="U13" s="37">
        <f t="shared" si="35"/>
        <v>5750</v>
      </c>
      <c r="V13" s="37">
        <f t="shared" si="35"/>
        <v>4870</v>
      </c>
      <c r="W13" s="37">
        <f t="shared" si="35"/>
        <v>3390</v>
      </c>
      <c r="X13" s="37">
        <f t="shared" si="27"/>
        <v>5490</v>
      </c>
      <c r="Y13" s="37">
        <f t="shared" si="28"/>
        <v>5590</v>
      </c>
      <c r="Z13" s="37">
        <f>IF((L13-L12&lt;0), "0",L13-L12)</f>
        <v>2950</v>
      </c>
      <c r="AA13" s="37">
        <f t="shared" si="30"/>
        <v>3730</v>
      </c>
      <c r="AB13" s="37">
        <f t="shared" si="31"/>
        <v>7000</v>
      </c>
      <c r="AC13" s="37">
        <f t="shared" si="32"/>
        <v>14730</v>
      </c>
      <c r="AD13" s="35">
        <f t="shared" si="33"/>
        <v>70890</v>
      </c>
      <c r="AF13" s="20">
        <f t="shared" si="1"/>
        <v>4.0999999999999996</v>
      </c>
      <c r="AG13" s="20">
        <f t="shared" si="2"/>
        <v>66.7</v>
      </c>
      <c r="AH13" s="20">
        <f t="shared" si="3"/>
        <v>8.5</v>
      </c>
      <c r="AI13" s="20">
        <f t="shared" si="4"/>
        <v>7.65</v>
      </c>
      <c r="AJ13" s="20">
        <f t="shared" si="5"/>
        <v>28.75</v>
      </c>
      <c r="AK13" s="20">
        <f t="shared" si="6"/>
        <v>24.35</v>
      </c>
      <c r="AL13" s="20">
        <f t="shared" si="7"/>
        <v>16.95</v>
      </c>
      <c r="AM13" s="20">
        <f t="shared" si="8"/>
        <v>27.45</v>
      </c>
      <c r="AN13" s="20">
        <f t="shared" si="9"/>
        <v>27.95</v>
      </c>
      <c r="AO13" s="20">
        <f t="shared" si="10"/>
        <v>14.75</v>
      </c>
      <c r="AP13" s="20">
        <f t="shared" si="11"/>
        <v>18.650000000000002</v>
      </c>
      <c r="AQ13" s="20">
        <f t="shared" si="12"/>
        <v>35</v>
      </c>
      <c r="AR13" s="20">
        <f t="shared" si="13"/>
        <v>73.650000000000006</v>
      </c>
      <c r="AS13" s="35">
        <f t="shared" si="34"/>
        <v>354.44999999999993</v>
      </c>
      <c r="AT13" s="48"/>
      <c r="AV13" s="52">
        <v>0</v>
      </c>
      <c r="AW13" s="51">
        <f t="shared" si="14"/>
        <v>0</v>
      </c>
      <c r="AX13" s="53">
        <f t="shared" si="17"/>
        <v>0</v>
      </c>
      <c r="AY13" s="59">
        <v>61656</v>
      </c>
      <c r="AZ13" s="37">
        <f t="shared" si="18"/>
        <v>248900</v>
      </c>
      <c r="BA13" s="37">
        <f t="shared" si="19"/>
        <v>679.49700000000007</v>
      </c>
      <c r="BB13" s="46">
        <f t="shared" si="20"/>
        <v>301.96846680000004</v>
      </c>
    </row>
    <row r="14" spans="1:54" x14ac:dyDescent="0.25">
      <c r="A14" s="23">
        <v>43563</v>
      </c>
      <c r="B14" s="40">
        <v>278</v>
      </c>
      <c r="C14" s="24">
        <v>4442080</v>
      </c>
      <c r="D14" s="24">
        <v>9377120</v>
      </c>
      <c r="E14" s="24">
        <v>975630</v>
      </c>
      <c r="F14" s="24">
        <v>2006630</v>
      </c>
      <c r="G14" s="24">
        <v>6646720</v>
      </c>
      <c r="H14" s="24">
        <v>2709450</v>
      </c>
      <c r="I14" s="24">
        <v>2943300</v>
      </c>
      <c r="J14" s="24">
        <v>3135640</v>
      </c>
      <c r="K14" s="24">
        <v>5477270</v>
      </c>
      <c r="L14" s="24">
        <v>1745590</v>
      </c>
      <c r="M14" s="24">
        <v>5504810</v>
      </c>
      <c r="N14" s="24">
        <v>6875070</v>
      </c>
      <c r="O14" s="24">
        <v>8142520</v>
      </c>
      <c r="P14" s="45"/>
      <c r="Q14" s="37">
        <f t="shared" si="21"/>
        <v>1050</v>
      </c>
      <c r="R14" s="37">
        <f t="shared" si="22"/>
        <v>11950</v>
      </c>
      <c r="S14" s="37">
        <f t="shared" si="16"/>
        <v>2810</v>
      </c>
      <c r="T14" s="37">
        <f t="shared" si="35"/>
        <v>4360</v>
      </c>
      <c r="U14" s="37">
        <f t="shared" si="35"/>
        <v>5680</v>
      </c>
      <c r="V14" s="37">
        <f t="shared" si="35"/>
        <v>4290</v>
      </c>
      <c r="W14" s="37">
        <f t="shared" si="35"/>
        <v>3560</v>
      </c>
      <c r="X14" s="37">
        <f t="shared" si="27"/>
        <v>5640</v>
      </c>
      <c r="Y14" s="37">
        <f t="shared" si="28"/>
        <v>5670</v>
      </c>
      <c r="Z14" s="37">
        <f>IF((L14-L13&lt;0), "0",L14-L13)</f>
        <v>3130</v>
      </c>
      <c r="AA14" s="37">
        <f t="shared" si="30"/>
        <v>3810</v>
      </c>
      <c r="AB14" s="37">
        <f t="shared" si="31"/>
        <v>6870</v>
      </c>
      <c r="AC14" s="37">
        <f t="shared" si="32"/>
        <v>14370</v>
      </c>
      <c r="AD14" s="35">
        <f t="shared" si="33"/>
        <v>73190</v>
      </c>
      <c r="AF14" s="20">
        <f t="shared" si="1"/>
        <v>5.25</v>
      </c>
      <c r="AG14" s="20">
        <f t="shared" si="2"/>
        <v>59.75</v>
      </c>
      <c r="AH14" s="20">
        <f t="shared" si="3"/>
        <v>14.05</v>
      </c>
      <c r="AI14" s="20">
        <f t="shared" si="4"/>
        <v>21.8</v>
      </c>
      <c r="AJ14" s="20">
        <f t="shared" si="5"/>
        <v>28.400000000000002</v>
      </c>
      <c r="AK14" s="20">
        <f t="shared" si="6"/>
        <v>21.45</v>
      </c>
      <c r="AL14" s="20">
        <f t="shared" si="7"/>
        <v>17.8</v>
      </c>
      <c r="AM14" s="20">
        <f t="shared" si="8"/>
        <v>28.2</v>
      </c>
      <c r="AN14" s="20">
        <f t="shared" si="9"/>
        <v>28.35</v>
      </c>
      <c r="AO14" s="20">
        <f t="shared" si="10"/>
        <v>15.65</v>
      </c>
      <c r="AP14" s="20">
        <f t="shared" si="11"/>
        <v>19.05</v>
      </c>
      <c r="AQ14" s="20">
        <f t="shared" si="12"/>
        <v>34.35</v>
      </c>
      <c r="AR14" s="20">
        <f t="shared" si="13"/>
        <v>71.850000000000009</v>
      </c>
      <c r="AS14" s="35">
        <f t="shared" si="34"/>
        <v>365.95000000000005</v>
      </c>
      <c r="AT14" s="48"/>
      <c r="AV14" s="52">
        <v>0</v>
      </c>
      <c r="AW14" s="51">
        <f t="shared" si="14"/>
        <v>0</v>
      </c>
      <c r="AX14" s="53">
        <f t="shared" si="17"/>
        <v>0</v>
      </c>
      <c r="AY14" s="59">
        <v>63770</v>
      </c>
      <c r="AZ14" s="37">
        <f t="shared" si="18"/>
        <v>211400</v>
      </c>
      <c r="BA14" s="37">
        <f t="shared" si="19"/>
        <v>577.12199999999996</v>
      </c>
      <c r="BB14" s="46">
        <f t="shared" si="20"/>
        <v>256.47301679999998</v>
      </c>
    </row>
    <row r="15" spans="1:54" x14ac:dyDescent="0.25">
      <c r="A15" s="23">
        <v>43564</v>
      </c>
      <c r="B15" s="40">
        <v>279</v>
      </c>
      <c r="C15" s="24">
        <v>4443150</v>
      </c>
      <c r="D15" s="24">
        <v>9389080</v>
      </c>
      <c r="E15" s="24">
        <v>978440</v>
      </c>
      <c r="F15" s="24">
        <v>2008990</v>
      </c>
      <c r="G15" s="24">
        <v>6652710</v>
      </c>
      <c r="H15" s="24">
        <v>2714110</v>
      </c>
      <c r="I15" s="24">
        <v>2947210</v>
      </c>
      <c r="J15" s="24">
        <v>3141250</v>
      </c>
      <c r="K15" s="24">
        <v>5483080</v>
      </c>
      <c r="L15" s="24">
        <v>1748770</v>
      </c>
      <c r="M15" s="24">
        <v>5508710</v>
      </c>
      <c r="N15" s="24">
        <v>6881940</v>
      </c>
      <c r="O15" s="24">
        <v>8157780</v>
      </c>
      <c r="Q15" s="37">
        <f t="shared" si="21"/>
        <v>1070</v>
      </c>
      <c r="R15" s="37">
        <f t="shared" si="22"/>
        <v>11960</v>
      </c>
      <c r="S15" s="37">
        <f t="shared" si="16"/>
        <v>2810</v>
      </c>
      <c r="T15" s="37">
        <f t="shared" si="23"/>
        <v>2360</v>
      </c>
      <c r="U15" s="37">
        <f t="shared" si="24"/>
        <v>5990</v>
      </c>
      <c r="V15" s="37">
        <f t="shared" si="25"/>
        <v>4660</v>
      </c>
      <c r="W15" s="37">
        <f t="shared" si="26"/>
        <v>3910</v>
      </c>
      <c r="X15" s="37">
        <f t="shared" si="27"/>
        <v>5610</v>
      </c>
      <c r="Y15" s="37">
        <f t="shared" si="28"/>
        <v>5810</v>
      </c>
      <c r="Z15" s="37">
        <f t="shared" si="29"/>
        <v>3180</v>
      </c>
      <c r="AA15" s="37">
        <f t="shared" si="30"/>
        <v>3900</v>
      </c>
      <c r="AB15" s="37">
        <f t="shared" si="31"/>
        <v>6870</v>
      </c>
      <c r="AC15" s="37">
        <f t="shared" si="32"/>
        <v>15260</v>
      </c>
      <c r="AD15" s="35">
        <f t="shared" si="33"/>
        <v>73390</v>
      </c>
      <c r="AF15" s="20">
        <f t="shared" si="1"/>
        <v>5.3500000000000005</v>
      </c>
      <c r="AG15" s="20">
        <f t="shared" si="2"/>
        <v>59.800000000000004</v>
      </c>
      <c r="AH15" s="20">
        <f t="shared" si="3"/>
        <v>14.05</v>
      </c>
      <c r="AI15" s="20">
        <f t="shared" si="4"/>
        <v>11.8</v>
      </c>
      <c r="AJ15" s="20">
        <f t="shared" si="5"/>
        <v>29.95</v>
      </c>
      <c r="AK15" s="20">
        <f t="shared" si="6"/>
        <v>23.3</v>
      </c>
      <c r="AL15" s="20">
        <f t="shared" si="7"/>
        <v>19.55</v>
      </c>
      <c r="AM15" s="20">
        <f t="shared" si="8"/>
        <v>28.05</v>
      </c>
      <c r="AN15" s="20">
        <f t="shared" si="9"/>
        <v>29.05</v>
      </c>
      <c r="AO15" s="20">
        <f t="shared" si="10"/>
        <v>15.9</v>
      </c>
      <c r="AP15" s="20">
        <f t="shared" si="11"/>
        <v>19.5</v>
      </c>
      <c r="AQ15" s="20">
        <f t="shared" si="12"/>
        <v>34.35</v>
      </c>
      <c r="AR15" s="20">
        <f t="shared" si="13"/>
        <v>76.3</v>
      </c>
      <c r="AS15" s="35">
        <f t="shared" si="34"/>
        <v>366.9500000000001</v>
      </c>
      <c r="AT15" s="48"/>
      <c r="AV15" s="52">
        <v>0</v>
      </c>
      <c r="AW15" s="51">
        <f t="shared" si="14"/>
        <v>0</v>
      </c>
      <c r="AX15" s="53">
        <f t="shared" si="17"/>
        <v>0</v>
      </c>
      <c r="AY15" s="59">
        <v>66343</v>
      </c>
      <c r="AZ15" s="37">
        <f t="shared" si="18"/>
        <v>257300</v>
      </c>
      <c r="BA15" s="37">
        <f t="shared" si="19"/>
        <v>702.42900000000009</v>
      </c>
      <c r="BB15" s="46">
        <f t="shared" si="20"/>
        <v>312.15944760000008</v>
      </c>
    </row>
    <row r="16" spans="1:54" x14ac:dyDescent="0.25">
      <c r="A16" s="23">
        <v>43565</v>
      </c>
      <c r="B16" s="40">
        <v>282</v>
      </c>
      <c r="C16" s="24">
        <v>4444180</v>
      </c>
      <c r="D16" s="24">
        <v>9400580</v>
      </c>
      <c r="E16" s="24">
        <v>981180</v>
      </c>
      <c r="F16" s="24">
        <v>2010510</v>
      </c>
      <c r="G16" s="24">
        <v>6658530</v>
      </c>
      <c r="H16" s="24">
        <v>2718580</v>
      </c>
      <c r="I16" s="24">
        <v>2950690</v>
      </c>
      <c r="J16" s="24">
        <v>3146620</v>
      </c>
      <c r="K16" s="24">
        <v>5488660</v>
      </c>
      <c r="L16" s="24">
        <v>1751870</v>
      </c>
      <c r="M16" s="24">
        <v>5512430</v>
      </c>
      <c r="N16" s="24">
        <v>6888590</v>
      </c>
      <c r="O16" s="24">
        <v>8172220</v>
      </c>
      <c r="Q16" s="37">
        <f t="shared" si="21"/>
        <v>1030</v>
      </c>
      <c r="R16" s="37">
        <f t="shared" si="22"/>
        <v>11500</v>
      </c>
      <c r="S16" s="37">
        <f t="shared" si="16"/>
        <v>2740</v>
      </c>
      <c r="T16" s="37">
        <f t="shared" si="23"/>
        <v>1520</v>
      </c>
      <c r="U16" s="37">
        <f>IF((G16-G15&lt;0), "0",G16-G15)</f>
        <v>5820</v>
      </c>
      <c r="V16" s="37">
        <f>IF((H16-H15&lt;0), "0",H16-H15)</f>
        <v>4470</v>
      </c>
      <c r="W16" s="37">
        <f t="shared" si="26"/>
        <v>3480</v>
      </c>
      <c r="X16" s="37">
        <f t="shared" si="27"/>
        <v>5370</v>
      </c>
      <c r="Y16" s="37">
        <f t="shared" si="28"/>
        <v>5580</v>
      </c>
      <c r="Z16" s="37">
        <f t="shared" si="29"/>
        <v>3100</v>
      </c>
      <c r="AA16" s="37">
        <f t="shared" si="30"/>
        <v>3720</v>
      </c>
      <c r="AB16" s="37">
        <f t="shared" si="31"/>
        <v>6650</v>
      </c>
      <c r="AC16" s="37">
        <f t="shared" si="32"/>
        <v>14440</v>
      </c>
      <c r="AD16" s="35">
        <f t="shared" si="33"/>
        <v>69420</v>
      </c>
      <c r="AF16" s="20">
        <f t="shared" si="1"/>
        <v>5.15</v>
      </c>
      <c r="AG16" s="20">
        <f t="shared" si="2"/>
        <v>57.5</v>
      </c>
      <c r="AH16" s="20">
        <f t="shared" si="3"/>
        <v>13.700000000000001</v>
      </c>
      <c r="AI16" s="20">
        <f t="shared" si="4"/>
        <v>7.6000000000000005</v>
      </c>
      <c r="AJ16" s="20">
        <f t="shared" si="5"/>
        <v>29.1</v>
      </c>
      <c r="AK16" s="20">
        <f t="shared" si="6"/>
        <v>22.35</v>
      </c>
      <c r="AL16" s="20">
        <f t="shared" si="7"/>
        <v>17.400000000000002</v>
      </c>
      <c r="AM16" s="20">
        <f t="shared" si="8"/>
        <v>26.85</v>
      </c>
      <c r="AN16" s="20">
        <f t="shared" si="9"/>
        <v>27.900000000000002</v>
      </c>
      <c r="AO16" s="20">
        <f t="shared" si="10"/>
        <v>15.5</v>
      </c>
      <c r="AP16" s="20">
        <f t="shared" si="11"/>
        <v>18.600000000000001</v>
      </c>
      <c r="AQ16" s="20">
        <f t="shared" si="12"/>
        <v>33.25</v>
      </c>
      <c r="AR16" s="20">
        <f t="shared" si="13"/>
        <v>72.2</v>
      </c>
      <c r="AS16" s="35">
        <f t="shared" si="34"/>
        <v>347.09999999999997</v>
      </c>
      <c r="AT16" s="48"/>
      <c r="AV16" s="52">
        <v>0</v>
      </c>
      <c r="AW16" s="51">
        <f t="shared" si="14"/>
        <v>0</v>
      </c>
      <c r="AX16" s="53">
        <f t="shared" si="17"/>
        <v>0</v>
      </c>
      <c r="AY16" s="59">
        <v>68467</v>
      </c>
      <c r="AZ16" s="37">
        <f t="shared" si="18"/>
        <v>212400</v>
      </c>
      <c r="BA16" s="37">
        <f t="shared" si="19"/>
        <v>579.85199999999998</v>
      </c>
      <c r="BB16" s="46">
        <f t="shared" si="20"/>
        <v>257.68622879999998</v>
      </c>
    </row>
    <row r="17" spans="1:54" x14ac:dyDescent="0.25">
      <c r="A17" s="23">
        <v>43566</v>
      </c>
      <c r="B17" s="40">
        <v>271</v>
      </c>
      <c r="C17" s="24">
        <v>4445370</v>
      </c>
      <c r="D17" s="24">
        <v>9414400</v>
      </c>
      <c r="E17" s="24">
        <v>984520</v>
      </c>
      <c r="F17" s="24">
        <v>2012280</v>
      </c>
      <c r="G17" s="24">
        <v>6664590</v>
      </c>
      <c r="H17" s="24">
        <v>2723790</v>
      </c>
      <c r="I17" s="24">
        <v>2957150</v>
      </c>
      <c r="J17" s="24">
        <v>3152590</v>
      </c>
      <c r="K17" s="24">
        <v>5495120</v>
      </c>
      <c r="L17" s="24">
        <v>1755320</v>
      </c>
      <c r="M17" s="24">
        <v>5516650</v>
      </c>
      <c r="N17" s="24">
        <v>6896250</v>
      </c>
      <c r="O17" s="24">
        <v>8188620</v>
      </c>
      <c r="Q17" s="37">
        <f t="shared" si="21"/>
        <v>1190</v>
      </c>
      <c r="R17" s="37">
        <f t="shared" si="22"/>
        <v>13820</v>
      </c>
      <c r="S17" s="37">
        <f t="shared" si="16"/>
        <v>3340</v>
      </c>
      <c r="T17" s="37">
        <f t="shared" si="23"/>
        <v>1770</v>
      </c>
      <c r="U17" s="37">
        <f>IF((G17-G16&lt;0), "0",G17-G16)</f>
        <v>6060</v>
      </c>
      <c r="V17" s="37">
        <f>IF((H17-H16&lt;0), "0",H17-H16)</f>
        <v>5210</v>
      </c>
      <c r="W17" s="37">
        <f t="shared" si="26"/>
        <v>6460</v>
      </c>
      <c r="X17" s="37">
        <f t="shared" si="27"/>
        <v>5970</v>
      </c>
      <c r="Y17" s="37">
        <f t="shared" si="28"/>
        <v>6460</v>
      </c>
      <c r="Z17" s="37">
        <f t="shared" si="29"/>
        <v>3450</v>
      </c>
      <c r="AA17" s="37">
        <f t="shared" si="30"/>
        <v>4220</v>
      </c>
      <c r="AB17" s="37">
        <f t="shared" si="31"/>
        <v>7660</v>
      </c>
      <c r="AC17" s="37">
        <f t="shared" si="32"/>
        <v>16400</v>
      </c>
      <c r="AD17" s="35">
        <f t="shared" si="33"/>
        <v>82010</v>
      </c>
      <c r="AF17" s="20">
        <f t="shared" si="1"/>
        <v>5.95</v>
      </c>
      <c r="AG17" s="20">
        <f t="shared" si="2"/>
        <v>69.100000000000009</v>
      </c>
      <c r="AH17" s="20">
        <f t="shared" si="3"/>
        <v>16.7</v>
      </c>
      <c r="AI17" s="20">
        <f t="shared" si="4"/>
        <v>8.85</v>
      </c>
      <c r="AJ17" s="20">
        <f t="shared" si="5"/>
        <v>30.3</v>
      </c>
      <c r="AK17" s="20">
        <f t="shared" si="6"/>
        <v>26.05</v>
      </c>
      <c r="AL17" s="20">
        <f t="shared" si="7"/>
        <v>32.299999999999997</v>
      </c>
      <c r="AM17" s="20">
        <f t="shared" si="8"/>
        <v>29.85</v>
      </c>
      <c r="AN17" s="20">
        <f t="shared" si="9"/>
        <v>32.299999999999997</v>
      </c>
      <c r="AO17" s="20">
        <f t="shared" si="10"/>
        <v>17.25</v>
      </c>
      <c r="AP17" s="20">
        <f t="shared" si="11"/>
        <v>21.1</v>
      </c>
      <c r="AQ17" s="20">
        <f t="shared" si="12"/>
        <v>38.300000000000004</v>
      </c>
      <c r="AR17" s="20">
        <f t="shared" si="13"/>
        <v>82</v>
      </c>
      <c r="AS17" s="35">
        <f t="shared" si="34"/>
        <v>410.05</v>
      </c>
      <c r="AT17" s="48"/>
      <c r="AV17" s="52">
        <v>0</v>
      </c>
      <c r="AW17" s="51">
        <f t="shared" si="14"/>
        <v>0</v>
      </c>
      <c r="AX17" s="53">
        <f t="shared" si="17"/>
        <v>0</v>
      </c>
      <c r="AY17" s="59">
        <v>70017</v>
      </c>
      <c r="AZ17" s="37">
        <f t="shared" si="18"/>
        <v>155000</v>
      </c>
      <c r="BA17" s="37">
        <f t="shared" si="19"/>
        <v>423.15</v>
      </c>
      <c r="BB17" s="46">
        <f t="shared" si="20"/>
        <v>188.04785999999999</v>
      </c>
    </row>
    <row r="18" spans="1:54" x14ac:dyDescent="0.25">
      <c r="A18" s="23">
        <v>43567</v>
      </c>
      <c r="B18" s="40">
        <v>236</v>
      </c>
      <c r="C18" s="24">
        <v>4446280</v>
      </c>
      <c r="D18" s="24">
        <v>9424890</v>
      </c>
      <c r="E18" s="24">
        <v>987090</v>
      </c>
      <c r="F18" s="24">
        <v>2013630</v>
      </c>
      <c r="G18" s="24">
        <v>6669550</v>
      </c>
      <c r="H18" s="24">
        <v>2727830</v>
      </c>
      <c r="I18" s="24">
        <v>2958120</v>
      </c>
      <c r="J18" s="24">
        <v>3157510</v>
      </c>
      <c r="K18" s="24">
        <v>5500330</v>
      </c>
      <c r="L18" s="24">
        <v>1757960</v>
      </c>
      <c r="M18" s="24">
        <v>5520040</v>
      </c>
      <c r="N18" s="24">
        <v>6902360</v>
      </c>
      <c r="O18" s="24">
        <v>8201310</v>
      </c>
      <c r="Q18" s="37">
        <f t="shared" si="21"/>
        <v>910</v>
      </c>
      <c r="R18" s="37">
        <f t="shared" si="22"/>
        <v>10490</v>
      </c>
      <c r="S18" s="37">
        <f t="shared" si="16"/>
        <v>2570</v>
      </c>
      <c r="T18" s="37">
        <f t="shared" si="23"/>
        <v>1350</v>
      </c>
      <c r="U18" s="37">
        <f t="shared" si="24"/>
        <v>4960</v>
      </c>
      <c r="V18" s="37">
        <f t="shared" si="25"/>
        <v>4040</v>
      </c>
      <c r="W18" s="37">
        <f t="shared" si="26"/>
        <v>970</v>
      </c>
      <c r="X18" s="37">
        <f t="shared" si="27"/>
        <v>4920</v>
      </c>
      <c r="Y18" s="37">
        <f t="shared" si="28"/>
        <v>5210</v>
      </c>
      <c r="Z18" s="37">
        <f t="shared" si="29"/>
        <v>2640</v>
      </c>
      <c r="AA18" s="37">
        <f t="shared" si="30"/>
        <v>3390</v>
      </c>
      <c r="AB18" s="37">
        <f t="shared" si="31"/>
        <v>6110</v>
      </c>
      <c r="AC18" s="37">
        <f t="shared" si="32"/>
        <v>12690</v>
      </c>
      <c r="AD18" s="35">
        <f t="shared" si="33"/>
        <v>60250</v>
      </c>
      <c r="AF18" s="20">
        <f t="shared" si="1"/>
        <v>4.55</v>
      </c>
      <c r="AG18" s="20">
        <f t="shared" si="2"/>
        <v>52.45</v>
      </c>
      <c r="AH18" s="20">
        <f t="shared" si="3"/>
        <v>12.85</v>
      </c>
      <c r="AI18" s="20">
        <f t="shared" si="4"/>
        <v>6.75</v>
      </c>
      <c r="AJ18" s="20">
        <f t="shared" si="5"/>
        <v>24.8</v>
      </c>
      <c r="AK18" s="20">
        <f t="shared" si="6"/>
        <v>20.2</v>
      </c>
      <c r="AL18" s="20">
        <f t="shared" si="7"/>
        <v>4.8500000000000005</v>
      </c>
      <c r="AM18" s="20">
        <f t="shared" si="8"/>
        <v>24.6</v>
      </c>
      <c r="AN18" s="20">
        <f t="shared" si="9"/>
        <v>26.05</v>
      </c>
      <c r="AO18" s="20">
        <f t="shared" si="10"/>
        <v>13.200000000000001</v>
      </c>
      <c r="AP18" s="20">
        <f t="shared" si="11"/>
        <v>16.95</v>
      </c>
      <c r="AQ18" s="20">
        <f t="shared" si="12"/>
        <v>30.55</v>
      </c>
      <c r="AR18" s="20">
        <f t="shared" si="13"/>
        <v>63.45</v>
      </c>
      <c r="AS18" s="35">
        <f t="shared" si="34"/>
        <v>301.25</v>
      </c>
      <c r="AT18" s="48"/>
      <c r="AV18" s="52">
        <v>0</v>
      </c>
      <c r="AW18" s="51">
        <f t="shared" si="14"/>
        <v>0</v>
      </c>
      <c r="AX18" s="53">
        <f t="shared" si="17"/>
        <v>0</v>
      </c>
      <c r="AY18" s="59">
        <v>73094</v>
      </c>
      <c r="AZ18" s="37">
        <f t="shared" si="18"/>
        <v>307700</v>
      </c>
      <c r="BA18" s="37">
        <f t="shared" si="19"/>
        <v>840.02100000000007</v>
      </c>
      <c r="BB18" s="46">
        <f t="shared" si="20"/>
        <v>373.30533240000005</v>
      </c>
    </row>
    <row r="19" spans="1:54" x14ac:dyDescent="0.25">
      <c r="A19" s="23">
        <v>43568</v>
      </c>
      <c r="B19" s="40">
        <v>145</v>
      </c>
      <c r="C19" s="24">
        <v>4451430</v>
      </c>
      <c r="D19" s="24">
        <v>9432190</v>
      </c>
      <c r="E19" s="24">
        <v>989960</v>
      </c>
      <c r="F19" s="24">
        <v>2015170</v>
      </c>
      <c r="G19" s="24">
        <v>6675140</v>
      </c>
      <c r="H19" s="24">
        <v>2732480</v>
      </c>
      <c r="I19" s="24">
        <v>2960170</v>
      </c>
      <c r="J19" s="24">
        <v>3163120</v>
      </c>
      <c r="K19" s="24">
        <v>5506070</v>
      </c>
      <c r="L19" s="24">
        <v>1761070</v>
      </c>
      <c r="M19" s="24">
        <v>5523740</v>
      </c>
      <c r="N19" s="24">
        <v>6909440</v>
      </c>
      <c r="O19" s="24">
        <v>8216300</v>
      </c>
      <c r="Q19" s="37">
        <f t="shared" si="21"/>
        <v>5150</v>
      </c>
      <c r="R19" s="37">
        <f t="shared" si="22"/>
        <v>7300</v>
      </c>
      <c r="S19" s="37">
        <f t="shared" si="16"/>
        <v>2870</v>
      </c>
      <c r="T19" s="37">
        <f t="shared" si="23"/>
        <v>1540</v>
      </c>
      <c r="U19" s="37">
        <f t="shared" si="24"/>
        <v>5590</v>
      </c>
      <c r="V19" s="37">
        <f t="shared" si="25"/>
        <v>4650</v>
      </c>
      <c r="W19" s="37">
        <f t="shared" si="26"/>
        <v>2050</v>
      </c>
      <c r="X19" s="37">
        <f t="shared" si="27"/>
        <v>5610</v>
      </c>
      <c r="Y19" s="37">
        <f t="shared" si="28"/>
        <v>5740</v>
      </c>
      <c r="Z19" s="37">
        <f t="shared" si="29"/>
        <v>3110</v>
      </c>
      <c r="AA19" s="37">
        <f t="shared" si="30"/>
        <v>3700</v>
      </c>
      <c r="AB19" s="37">
        <f t="shared" si="31"/>
        <v>7080</v>
      </c>
      <c r="AC19" s="37">
        <f t="shared" si="32"/>
        <v>14990</v>
      </c>
      <c r="AD19" s="35">
        <f t="shared" si="33"/>
        <v>69380</v>
      </c>
      <c r="AF19" s="20">
        <f t="shared" si="1"/>
        <v>25.75</v>
      </c>
      <c r="AG19" s="20">
        <f t="shared" si="2"/>
        <v>36.5</v>
      </c>
      <c r="AH19" s="20">
        <f t="shared" si="3"/>
        <v>14.35</v>
      </c>
      <c r="AI19" s="20">
        <f t="shared" si="4"/>
        <v>7.7</v>
      </c>
      <c r="AJ19" s="20">
        <f t="shared" si="5"/>
        <v>27.95</v>
      </c>
      <c r="AK19" s="20">
        <f t="shared" si="6"/>
        <v>23.25</v>
      </c>
      <c r="AL19" s="20">
        <f t="shared" si="7"/>
        <v>10.25</v>
      </c>
      <c r="AM19" s="20">
        <f t="shared" si="8"/>
        <v>28.05</v>
      </c>
      <c r="AN19" s="20">
        <f t="shared" si="9"/>
        <v>28.7</v>
      </c>
      <c r="AO19" s="20">
        <f t="shared" si="10"/>
        <v>15.55</v>
      </c>
      <c r="AP19" s="20">
        <f t="shared" si="11"/>
        <v>18.5</v>
      </c>
      <c r="AQ19" s="20">
        <f t="shared" si="12"/>
        <v>35.4</v>
      </c>
      <c r="AR19" s="20">
        <f t="shared" si="13"/>
        <v>74.95</v>
      </c>
      <c r="AS19" s="35">
        <f t="shared" si="34"/>
        <v>346.9</v>
      </c>
      <c r="AT19" s="48"/>
      <c r="AV19" s="52">
        <v>0</v>
      </c>
      <c r="AW19" s="51">
        <f t="shared" si="14"/>
        <v>0</v>
      </c>
      <c r="AX19" s="53">
        <f t="shared" si="17"/>
        <v>0</v>
      </c>
      <c r="AY19" s="59">
        <v>75663</v>
      </c>
      <c r="AZ19" s="37">
        <f t="shared" si="18"/>
        <v>256900</v>
      </c>
      <c r="BA19" s="37">
        <f t="shared" si="19"/>
        <v>701.33699999999999</v>
      </c>
      <c r="BB19" s="46">
        <f t="shared" si="20"/>
        <v>311.67416280000003</v>
      </c>
    </row>
    <row r="20" spans="1:54" x14ac:dyDescent="0.25">
      <c r="A20" s="23">
        <v>43569</v>
      </c>
      <c r="B20" s="40">
        <v>170</v>
      </c>
      <c r="C20" s="24">
        <v>4459140</v>
      </c>
      <c r="D20" s="24">
        <v>9444870</v>
      </c>
      <c r="E20" s="24">
        <v>992560</v>
      </c>
      <c r="F20" s="24">
        <v>2016620</v>
      </c>
      <c r="G20" s="24">
        <v>6680290</v>
      </c>
      <c r="H20" s="24">
        <v>2736950</v>
      </c>
      <c r="I20" s="24">
        <v>2963470</v>
      </c>
      <c r="J20" s="24">
        <v>3168590</v>
      </c>
      <c r="K20" s="24">
        <v>5511420</v>
      </c>
      <c r="L20" s="24">
        <v>1763670</v>
      </c>
      <c r="M20" s="24">
        <v>5527260</v>
      </c>
      <c r="N20" s="24">
        <v>6916090</v>
      </c>
      <c r="O20" s="24">
        <v>8230390</v>
      </c>
      <c r="Q20" s="37">
        <f t="shared" si="21"/>
        <v>7710</v>
      </c>
      <c r="R20" s="37">
        <f t="shared" si="22"/>
        <v>12680</v>
      </c>
      <c r="S20" s="37">
        <f t="shared" si="16"/>
        <v>2600</v>
      </c>
      <c r="T20" s="37">
        <f t="shared" si="23"/>
        <v>1450</v>
      </c>
      <c r="U20" s="37">
        <f t="shared" si="24"/>
        <v>5150</v>
      </c>
      <c r="V20" s="37">
        <f t="shared" si="25"/>
        <v>4470</v>
      </c>
      <c r="W20" s="37">
        <f t="shared" si="26"/>
        <v>3300</v>
      </c>
      <c r="X20" s="37">
        <f t="shared" si="27"/>
        <v>5470</v>
      </c>
      <c r="Y20" s="37">
        <f t="shared" si="28"/>
        <v>5350</v>
      </c>
      <c r="Z20" s="37">
        <f t="shared" si="29"/>
        <v>2600</v>
      </c>
      <c r="AA20" s="37">
        <f t="shared" si="30"/>
        <v>3520</v>
      </c>
      <c r="AB20" s="37">
        <f t="shared" si="31"/>
        <v>6650</v>
      </c>
      <c r="AC20" s="37">
        <f t="shared" si="32"/>
        <v>14090</v>
      </c>
      <c r="AD20" s="35">
        <f t="shared" si="33"/>
        <v>75040</v>
      </c>
      <c r="AF20" s="20">
        <f t="shared" si="1"/>
        <v>38.550000000000004</v>
      </c>
      <c r="AG20" s="20">
        <f t="shared" si="2"/>
        <v>63.4</v>
      </c>
      <c r="AH20" s="20">
        <f t="shared" si="3"/>
        <v>13</v>
      </c>
      <c r="AI20" s="20">
        <f t="shared" si="4"/>
        <v>7.25</v>
      </c>
      <c r="AJ20" s="20">
        <f t="shared" si="5"/>
        <v>25.75</v>
      </c>
      <c r="AK20" s="20">
        <f t="shared" si="6"/>
        <v>22.35</v>
      </c>
      <c r="AL20" s="20">
        <f t="shared" si="7"/>
        <v>16.5</v>
      </c>
      <c r="AM20" s="20">
        <f t="shared" si="8"/>
        <v>27.35</v>
      </c>
      <c r="AN20" s="20">
        <f t="shared" si="9"/>
        <v>26.75</v>
      </c>
      <c r="AO20" s="20">
        <f t="shared" si="10"/>
        <v>13</v>
      </c>
      <c r="AP20" s="20">
        <f t="shared" si="11"/>
        <v>17.600000000000001</v>
      </c>
      <c r="AQ20" s="20">
        <f t="shared" si="12"/>
        <v>33.25</v>
      </c>
      <c r="AR20" s="20">
        <f t="shared" si="13"/>
        <v>70.45</v>
      </c>
      <c r="AS20" s="35">
        <f t="shared" si="34"/>
        <v>375.2</v>
      </c>
      <c r="AT20" s="48"/>
      <c r="AV20" s="52">
        <v>0</v>
      </c>
      <c r="AW20" s="51">
        <f t="shared" si="14"/>
        <v>0</v>
      </c>
      <c r="AX20" s="53">
        <f t="shared" si="17"/>
        <v>0</v>
      </c>
      <c r="AY20" s="59">
        <v>77953</v>
      </c>
      <c r="AZ20" s="37">
        <f t="shared" si="18"/>
        <v>229000</v>
      </c>
      <c r="BA20" s="37">
        <f t="shared" si="19"/>
        <v>625.16999999999996</v>
      </c>
      <c r="BB20" s="46">
        <f t="shared" si="20"/>
        <v>277.82554799999997</v>
      </c>
    </row>
    <row r="21" spans="1:54" x14ac:dyDescent="0.25">
      <c r="A21" s="23">
        <v>43570</v>
      </c>
      <c r="B21" s="40">
        <v>180</v>
      </c>
      <c r="C21" s="24">
        <v>4467470</v>
      </c>
      <c r="D21" s="24">
        <v>9453350</v>
      </c>
      <c r="E21" s="24">
        <v>995340</v>
      </c>
      <c r="F21" s="24">
        <v>2018160</v>
      </c>
      <c r="G21" s="24">
        <v>6686020</v>
      </c>
      <c r="H21" s="24">
        <v>2741660</v>
      </c>
      <c r="I21" s="24">
        <v>2967380</v>
      </c>
      <c r="J21" s="24">
        <v>3174240</v>
      </c>
      <c r="K21" s="24">
        <v>5516960</v>
      </c>
      <c r="L21" s="24">
        <v>1766370</v>
      </c>
      <c r="M21" s="24">
        <v>5530860</v>
      </c>
      <c r="N21" s="24">
        <v>6923000</v>
      </c>
      <c r="O21" s="24">
        <v>8244500</v>
      </c>
      <c r="Q21" s="37">
        <f t="shared" si="21"/>
        <v>8330</v>
      </c>
      <c r="R21" s="37">
        <f t="shared" si="22"/>
        <v>8480</v>
      </c>
      <c r="S21" s="37">
        <f t="shared" si="16"/>
        <v>2780</v>
      </c>
      <c r="T21" s="37">
        <f t="shared" si="23"/>
        <v>1540</v>
      </c>
      <c r="U21" s="37">
        <f t="shared" si="24"/>
        <v>5730</v>
      </c>
      <c r="V21" s="37">
        <f t="shared" si="25"/>
        <v>4710</v>
      </c>
      <c r="W21" s="37">
        <f t="shared" si="26"/>
        <v>3910</v>
      </c>
      <c r="X21" s="37">
        <f t="shared" si="27"/>
        <v>5650</v>
      </c>
      <c r="Y21" s="37">
        <f t="shared" si="28"/>
        <v>5540</v>
      </c>
      <c r="Z21" s="37">
        <f t="shared" si="29"/>
        <v>2700</v>
      </c>
      <c r="AA21" s="37">
        <f t="shared" si="30"/>
        <v>3600</v>
      </c>
      <c r="AB21" s="37">
        <f t="shared" si="31"/>
        <v>6910</v>
      </c>
      <c r="AC21" s="37">
        <f t="shared" si="32"/>
        <v>14110</v>
      </c>
      <c r="AD21" s="35">
        <f t="shared" si="33"/>
        <v>73990</v>
      </c>
      <c r="AF21" s="20">
        <f t="shared" si="1"/>
        <v>41.65</v>
      </c>
      <c r="AG21" s="20">
        <f t="shared" si="2"/>
        <v>42.4</v>
      </c>
      <c r="AH21" s="20">
        <f t="shared" si="3"/>
        <v>13.9</v>
      </c>
      <c r="AI21" s="20">
        <f t="shared" si="4"/>
        <v>7.7</v>
      </c>
      <c r="AJ21" s="20">
        <f t="shared" si="5"/>
        <v>28.650000000000002</v>
      </c>
      <c r="AK21" s="20">
        <f t="shared" si="6"/>
        <v>23.55</v>
      </c>
      <c r="AL21" s="20">
        <f t="shared" si="7"/>
        <v>19.55</v>
      </c>
      <c r="AM21" s="20">
        <f t="shared" si="8"/>
        <v>28.25</v>
      </c>
      <c r="AN21" s="20">
        <f t="shared" si="9"/>
        <v>27.7</v>
      </c>
      <c r="AO21" s="20">
        <f t="shared" si="10"/>
        <v>13.5</v>
      </c>
      <c r="AP21" s="20">
        <f t="shared" si="11"/>
        <v>18</v>
      </c>
      <c r="AQ21" s="20">
        <f t="shared" si="12"/>
        <v>34.550000000000004</v>
      </c>
      <c r="AR21" s="20">
        <f t="shared" si="13"/>
        <v>70.55</v>
      </c>
      <c r="AS21" s="35">
        <f t="shared" si="34"/>
        <v>369.95000000000005</v>
      </c>
      <c r="AT21" s="48"/>
      <c r="AV21" s="52">
        <v>0</v>
      </c>
      <c r="AW21" s="51">
        <f t="shared" si="14"/>
        <v>0</v>
      </c>
      <c r="AX21" s="53">
        <f t="shared" si="17"/>
        <v>0</v>
      </c>
      <c r="AY21" s="59">
        <v>80802</v>
      </c>
      <c r="AZ21" s="37">
        <f t="shared" si="18"/>
        <v>284900</v>
      </c>
      <c r="BA21" s="37">
        <f t="shared" si="19"/>
        <v>777.77700000000004</v>
      </c>
      <c r="BB21" s="46">
        <f t="shared" si="20"/>
        <v>345.64409880000005</v>
      </c>
    </row>
    <row r="22" spans="1:54" x14ac:dyDescent="0.25">
      <c r="A22" s="23">
        <v>43571</v>
      </c>
      <c r="B22" s="40">
        <v>222</v>
      </c>
      <c r="C22" s="24">
        <v>4475870</v>
      </c>
      <c r="D22" s="24">
        <v>9463360</v>
      </c>
      <c r="E22" s="24">
        <v>998150</v>
      </c>
      <c r="F22" s="24">
        <v>2019660</v>
      </c>
      <c r="G22" s="24">
        <v>6691960</v>
      </c>
      <c r="H22" s="24">
        <v>2746140</v>
      </c>
      <c r="I22" s="24">
        <v>2971100</v>
      </c>
      <c r="J22" s="58">
        <f>J21+X20</f>
        <v>3179710</v>
      </c>
      <c r="K22" s="24">
        <v>5522250</v>
      </c>
      <c r="L22" s="24">
        <v>1769120</v>
      </c>
      <c r="M22" s="24">
        <v>5534860</v>
      </c>
      <c r="N22" s="24">
        <v>6929700</v>
      </c>
      <c r="O22" s="58">
        <f>O21+AC21</f>
        <v>8258610</v>
      </c>
      <c r="Q22" s="37">
        <f t="shared" si="21"/>
        <v>8400</v>
      </c>
      <c r="R22" s="37">
        <f t="shared" si="22"/>
        <v>10010</v>
      </c>
      <c r="S22" s="37">
        <f t="shared" si="16"/>
        <v>2810</v>
      </c>
      <c r="T22" s="37">
        <f t="shared" si="23"/>
        <v>1500</v>
      </c>
      <c r="U22" s="37">
        <f t="shared" si="24"/>
        <v>5940</v>
      </c>
      <c r="V22" s="37">
        <f t="shared" si="25"/>
        <v>4480</v>
      </c>
      <c r="W22" s="37">
        <f t="shared" si="26"/>
        <v>3720</v>
      </c>
      <c r="X22" s="37">
        <f t="shared" si="27"/>
        <v>5470</v>
      </c>
      <c r="Y22" s="37">
        <f t="shared" si="28"/>
        <v>5290</v>
      </c>
      <c r="Z22" s="37">
        <f t="shared" si="29"/>
        <v>2750</v>
      </c>
      <c r="AA22" s="37">
        <f t="shared" si="30"/>
        <v>4000</v>
      </c>
      <c r="AB22" s="37">
        <f t="shared" si="31"/>
        <v>6700</v>
      </c>
      <c r="AC22" s="37">
        <f t="shared" si="32"/>
        <v>14110</v>
      </c>
      <c r="AD22" s="35">
        <f t="shared" si="33"/>
        <v>75180</v>
      </c>
      <c r="AF22" s="20">
        <f t="shared" si="1"/>
        <v>42</v>
      </c>
      <c r="AG22" s="20">
        <f t="shared" si="2"/>
        <v>50.050000000000004</v>
      </c>
      <c r="AH22" s="20">
        <f t="shared" si="3"/>
        <v>14.05</v>
      </c>
      <c r="AI22" s="20">
        <f t="shared" si="4"/>
        <v>7.5</v>
      </c>
      <c r="AJ22" s="20">
        <f t="shared" si="5"/>
        <v>29.7</v>
      </c>
      <c r="AK22" s="20">
        <f t="shared" si="6"/>
        <v>22.400000000000002</v>
      </c>
      <c r="AL22" s="20">
        <f t="shared" si="7"/>
        <v>18.600000000000001</v>
      </c>
      <c r="AM22" s="20">
        <f t="shared" si="8"/>
        <v>27.35</v>
      </c>
      <c r="AN22" s="20">
        <f t="shared" si="9"/>
        <v>26.45</v>
      </c>
      <c r="AO22" s="20">
        <f t="shared" si="10"/>
        <v>13.75</v>
      </c>
      <c r="AP22" s="20">
        <f t="shared" si="11"/>
        <v>20</v>
      </c>
      <c r="AQ22" s="20">
        <f t="shared" si="12"/>
        <v>33.5</v>
      </c>
      <c r="AR22" s="20">
        <f t="shared" si="13"/>
        <v>70.55</v>
      </c>
      <c r="AS22" s="35">
        <f t="shared" si="34"/>
        <v>375.90000000000003</v>
      </c>
      <c r="AT22" s="48"/>
      <c r="AV22" s="52">
        <v>0</v>
      </c>
      <c r="AW22" s="51">
        <f t="shared" si="14"/>
        <v>0</v>
      </c>
      <c r="AX22" s="53">
        <f t="shared" si="17"/>
        <v>0</v>
      </c>
      <c r="AY22" s="59">
        <v>83069</v>
      </c>
      <c r="AZ22" s="37">
        <f t="shared" si="18"/>
        <v>226700</v>
      </c>
      <c r="BA22" s="37">
        <f t="shared" si="19"/>
        <v>618.89100000000008</v>
      </c>
      <c r="BB22" s="46">
        <f t="shared" si="20"/>
        <v>275.03516040000005</v>
      </c>
    </row>
    <row r="23" spans="1:54" x14ac:dyDescent="0.25">
      <c r="A23" s="23">
        <v>43572</v>
      </c>
      <c r="B23" s="40">
        <v>221</v>
      </c>
      <c r="C23" s="24">
        <v>4484940</v>
      </c>
      <c r="D23" s="24">
        <v>9467260</v>
      </c>
      <c r="E23" s="24">
        <v>1001190</v>
      </c>
      <c r="F23" s="24">
        <v>2021240</v>
      </c>
      <c r="G23" s="24">
        <v>6697690</v>
      </c>
      <c r="H23" s="24">
        <v>2750860</v>
      </c>
      <c r="I23" s="24">
        <v>2974860</v>
      </c>
      <c r="J23" s="24">
        <v>3185270</v>
      </c>
      <c r="K23" s="24">
        <v>5527890</v>
      </c>
      <c r="L23" s="24">
        <v>1772140</v>
      </c>
      <c r="M23" s="24">
        <v>5538180</v>
      </c>
      <c r="N23" s="24">
        <v>6936780</v>
      </c>
      <c r="O23" s="24">
        <v>8273270</v>
      </c>
      <c r="Q23" s="37">
        <f t="shared" si="21"/>
        <v>9070</v>
      </c>
      <c r="R23" s="37">
        <f t="shared" si="22"/>
        <v>3900</v>
      </c>
      <c r="S23" s="37">
        <f t="shared" si="16"/>
        <v>3040</v>
      </c>
      <c r="T23" s="37">
        <f t="shared" si="23"/>
        <v>1580</v>
      </c>
      <c r="U23" s="37">
        <f t="shared" si="24"/>
        <v>5730</v>
      </c>
      <c r="V23" s="37">
        <f t="shared" si="25"/>
        <v>4720</v>
      </c>
      <c r="W23" s="37">
        <f t="shared" si="26"/>
        <v>3760</v>
      </c>
      <c r="X23" s="37">
        <f t="shared" si="27"/>
        <v>5560</v>
      </c>
      <c r="Y23" s="37">
        <f t="shared" si="28"/>
        <v>5640</v>
      </c>
      <c r="Z23" s="37">
        <f t="shared" si="29"/>
        <v>3020</v>
      </c>
      <c r="AA23" s="37">
        <f t="shared" si="30"/>
        <v>3320</v>
      </c>
      <c r="AB23" s="37">
        <f t="shared" si="31"/>
        <v>7080</v>
      </c>
      <c r="AC23" s="37">
        <f t="shared" si="32"/>
        <v>14660</v>
      </c>
      <c r="AD23" s="35">
        <f t="shared" si="33"/>
        <v>71080</v>
      </c>
      <c r="AF23" s="20">
        <f t="shared" si="1"/>
        <v>45.35</v>
      </c>
      <c r="AG23" s="20">
        <f t="shared" si="2"/>
        <v>19.5</v>
      </c>
      <c r="AH23" s="20">
        <f t="shared" si="3"/>
        <v>15.200000000000001</v>
      </c>
      <c r="AI23" s="20">
        <f t="shared" si="4"/>
        <v>7.9</v>
      </c>
      <c r="AJ23" s="20">
        <f t="shared" si="5"/>
        <v>28.650000000000002</v>
      </c>
      <c r="AK23" s="20">
        <f t="shared" si="6"/>
        <v>23.6</v>
      </c>
      <c r="AL23" s="20">
        <f t="shared" si="7"/>
        <v>18.8</v>
      </c>
      <c r="AM23" s="20">
        <f t="shared" si="8"/>
        <v>27.8</v>
      </c>
      <c r="AN23" s="20">
        <f t="shared" si="9"/>
        <v>28.2</v>
      </c>
      <c r="AO23" s="20">
        <f t="shared" si="10"/>
        <v>15.1</v>
      </c>
      <c r="AP23" s="20">
        <f t="shared" si="11"/>
        <v>16.600000000000001</v>
      </c>
      <c r="AQ23" s="20">
        <f t="shared" si="12"/>
        <v>35.4</v>
      </c>
      <c r="AR23" s="20">
        <f t="shared" si="13"/>
        <v>73.3</v>
      </c>
      <c r="AS23" s="35">
        <f t="shared" si="34"/>
        <v>355.40000000000003</v>
      </c>
      <c r="AT23" s="48"/>
      <c r="AV23" s="52">
        <v>0</v>
      </c>
      <c r="AW23" s="51">
        <f t="shared" si="14"/>
        <v>0</v>
      </c>
      <c r="AX23" s="53">
        <f t="shared" si="17"/>
        <v>0</v>
      </c>
      <c r="AY23" s="59">
        <v>86025</v>
      </c>
      <c r="AZ23" s="37">
        <f t="shared" si="18"/>
        <v>295600</v>
      </c>
      <c r="BA23" s="37">
        <f t="shared" si="19"/>
        <v>806.98799999999994</v>
      </c>
      <c r="BB23" s="46">
        <f t="shared" si="20"/>
        <v>358.6254672</v>
      </c>
    </row>
    <row r="24" spans="1:54" x14ac:dyDescent="0.25">
      <c r="A24" s="23">
        <v>43573</v>
      </c>
      <c r="B24" s="40">
        <v>271</v>
      </c>
      <c r="C24" s="24">
        <v>4493950</v>
      </c>
      <c r="D24" s="24">
        <v>9470980</v>
      </c>
      <c r="E24" s="24">
        <v>1004210</v>
      </c>
      <c r="F24" s="24">
        <v>2022740</v>
      </c>
      <c r="G24" s="24">
        <v>6702900</v>
      </c>
      <c r="H24" s="24">
        <v>2755410</v>
      </c>
      <c r="I24" s="24">
        <v>2978250</v>
      </c>
      <c r="J24" s="24">
        <v>3190570</v>
      </c>
      <c r="K24" s="24">
        <v>5533470</v>
      </c>
      <c r="L24" s="24">
        <v>1775130</v>
      </c>
      <c r="M24" s="24">
        <v>5541920</v>
      </c>
      <c r="N24" s="24">
        <v>6943710</v>
      </c>
      <c r="O24" s="24">
        <v>8287620</v>
      </c>
      <c r="Q24" s="37">
        <f t="shared" si="21"/>
        <v>9010</v>
      </c>
      <c r="R24" s="37">
        <f t="shared" si="22"/>
        <v>3720</v>
      </c>
      <c r="S24" s="37">
        <f t="shared" si="16"/>
        <v>3020</v>
      </c>
      <c r="T24" s="37">
        <f t="shared" si="23"/>
        <v>1500</v>
      </c>
      <c r="U24" s="37">
        <f t="shared" si="24"/>
        <v>5210</v>
      </c>
      <c r="V24" s="37">
        <f t="shared" si="25"/>
        <v>4550</v>
      </c>
      <c r="W24" s="37">
        <f t="shared" si="26"/>
        <v>3390</v>
      </c>
      <c r="X24" s="37">
        <f t="shared" si="27"/>
        <v>5300</v>
      </c>
      <c r="Y24" s="37">
        <f t="shared" si="28"/>
        <v>5580</v>
      </c>
      <c r="Z24" s="37">
        <f t="shared" si="29"/>
        <v>2990</v>
      </c>
      <c r="AA24" s="37">
        <f t="shared" si="30"/>
        <v>3740</v>
      </c>
      <c r="AB24" s="37">
        <f t="shared" si="31"/>
        <v>6930</v>
      </c>
      <c r="AC24" s="37">
        <f t="shared" si="32"/>
        <v>14350</v>
      </c>
      <c r="AD24" s="35">
        <f t="shared" si="33"/>
        <v>69290</v>
      </c>
      <c r="AF24" s="20">
        <f t="shared" si="1"/>
        <v>45.050000000000004</v>
      </c>
      <c r="AG24" s="20">
        <f t="shared" si="2"/>
        <v>18.600000000000001</v>
      </c>
      <c r="AH24" s="20">
        <f t="shared" si="3"/>
        <v>15.1</v>
      </c>
      <c r="AI24" s="20">
        <f t="shared" si="4"/>
        <v>7.5</v>
      </c>
      <c r="AJ24" s="20">
        <f t="shared" si="5"/>
        <v>26.05</v>
      </c>
      <c r="AK24" s="20">
        <f t="shared" si="6"/>
        <v>22.75</v>
      </c>
      <c r="AL24" s="20">
        <f t="shared" si="7"/>
        <v>16.95</v>
      </c>
      <c r="AM24" s="20">
        <f t="shared" si="8"/>
        <v>26.5</v>
      </c>
      <c r="AN24" s="20">
        <f t="shared" si="9"/>
        <v>27.900000000000002</v>
      </c>
      <c r="AO24" s="20">
        <f t="shared" si="10"/>
        <v>14.950000000000001</v>
      </c>
      <c r="AP24" s="20">
        <f t="shared" si="11"/>
        <v>18.7</v>
      </c>
      <c r="AQ24" s="20">
        <f t="shared" si="12"/>
        <v>34.65</v>
      </c>
      <c r="AR24" s="20">
        <f t="shared" si="13"/>
        <v>71.75</v>
      </c>
      <c r="AS24" s="35">
        <f t="shared" si="34"/>
        <v>346.45</v>
      </c>
      <c r="AT24" s="48"/>
      <c r="AV24" s="52">
        <v>0</v>
      </c>
      <c r="AW24" s="51">
        <f t="shared" si="14"/>
        <v>0</v>
      </c>
      <c r="AX24" s="53">
        <f t="shared" si="17"/>
        <v>0</v>
      </c>
      <c r="AY24" s="59">
        <v>88514</v>
      </c>
      <c r="AZ24" s="37">
        <f t="shared" si="18"/>
        <v>248900</v>
      </c>
      <c r="BA24" s="37">
        <f t="shared" si="19"/>
        <v>679.49700000000007</v>
      </c>
      <c r="BB24" s="46">
        <f t="shared" si="20"/>
        <v>301.96846680000004</v>
      </c>
    </row>
    <row r="25" spans="1:54" x14ac:dyDescent="0.25">
      <c r="A25" s="23">
        <v>43574</v>
      </c>
      <c r="B25" s="40">
        <v>272</v>
      </c>
      <c r="C25" s="24">
        <v>4503150</v>
      </c>
      <c r="D25" s="24">
        <v>9474770</v>
      </c>
      <c r="E25" s="24">
        <v>1007280</v>
      </c>
      <c r="F25" s="24">
        <v>2024280</v>
      </c>
      <c r="G25" s="24">
        <v>6707960</v>
      </c>
      <c r="H25" s="24">
        <v>2760020</v>
      </c>
      <c r="I25" s="24">
        <v>2981530</v>
      </c>
      <c r="J25" s="24">
        <v>3196010</v>
      </c>
      <c r="K25" s="24">
        <v>5539210</v>
      </c>
      <c r="L25" s="24">
        <v>1778200</v>
      </c>
      <c r="M25" s="24">
        <v>5545700</v>
      </c>
      <c r="N25" s="24">
        <v>6950690</v>
      </c>
      <c r="O25" s="24">
        <v>8301900</v>
      </c>
      <c r="Q25" s="37">
        <f t="shared" ref="Q25:AC27" si="36">IF((C25-C24&lt;0), "0",C25-C24)</f>
        <v>9200</v>
      </c>
      <c r="R25" s="37">
        <f t="shared" si="22"/>
        <v>3790</v>
      </c>
      <c r="S25" s="37">
        <f t="shared" si="36"/>
        <v>3070</v>
      </c>
      <c r="T25" s="37">
        <f t="shared" si="36"/>
        <v>1540</v>
      </c>
      <c r="U25" s="37">
        <f t="shared" si="36"/>
        <v>5060</v>
      </c>
      <c r="V25" s="37">
        <f t="shared" si="36"/>
        <v>4610</v>
      </c>
      <c r="W25" s="37">
        <f t="shared" si="36"/>
        <v>3280</v>
      </c>
      <c r="X25" s="37">
        <f t="shared" si="36"/>
        <v>5440</v>
      </c>
      <c r="Y25" s="37">
        <f t="shared" si="36"/>
        <v>5740</v>
      </c>
      <c r="Z25" s="37">
        <f t="shared" si="36"/>
        <v>3070</v>
      </c>
      <c r="AA25" s="37">
        <f t="shared" si="36"/>
        <v>3780</v>
      </c>
      <c r="AB25" s="37">
        <f t="shared" si="36"/>
        <v>6980</v>
      </c>
      <c r="AC25" s="37">
        <f t="shared" si="36"/>
        <v>14280</v>
      </c>
      <c r="AD25" s="35">
        <f t="shared" si="33"/>
        <v>69840</v>
      </c>
      <c r="AF25" s="20">
        <f t="shared" si="1"/>
        <v>46</v>
      </c>
      <c r="AG25" s="20">
        <f t="shared" si="2"/>
        <v>18.95</v>
      </c>
      <c r="AH25" s="20">
        <f t="shared" si="3"/>
        <v>15.35</v>
      </c>
      <c r="AI25" s="20">
        <f t="shared" si="4"/>
        <v>7.7</v>
      </c>
      <c r="AJ25" s="20">
        <f t="shared" si="5"/>
        <v>25.3</v>
      </c>
      <c r="AK25" s="20">
        <f t="shared" si="6"/>
        <v>23.05</v>
      </c>
      <c r="AL25" s="20">
        <f t="shared" si="7"/>
        <v>16.399999999999999</v>
      </c>
      <c r="AM25" s="20">
        <f t="shared" si="8"/>
        <v>27.2</v>
      </c>
      <c r="AN25" s="20">
        <f t="shared" si="9"/>
        <v>28.7</v>
      </c>
      <c r="AO25" s="20">
        <f t="shared" si="10"/>
        <v>15.35</v>
      </c>
      <c r="AP25" s="20">
        <f t="shared" si="11"/>
        <v>18.900000000000002</v>
      </c>
      <c r="AQ25" s="20">
        <f t="shared" si="12"/>
        <v>34.9</v>
      </c>
      <c r="AR25" s="20">
        <f t="shared" si="13"/>
        <v>71.400000000000006</v>
      </c>
      <c r="AS25" s="35">
        <f t="shared" si="34"/>
        <v>349.19999999999993</v>
      </c>
      <c r="AT25" s="48"/>
      <c r="AV25" s="52">
        <v>0</v>
      </c>
      <c r="AW25" s="51">
        <f t="shared" si="14"/>
        <v>0</v>
      </c>
      <c r="AX25" s="53">
        <f t="shared" si="17"/>
        <v>0</v>
      </c>
      <c r="AY25" s="59">
        <v>91112</v>
      </c>
      <c r="AZ25" s="37">
        <f t="shared" si="18"/>
        <v>259800</v>
      </c>
      <c r="BA25" s="37">
        <f t="shared" si="19"/>
        <v>709.25400000000002</v>
      </c>
      <c r="BB25" s="46">
        <f t="shared" si="20"/>
        <v>315.19247760000002</v>
      </c>
    </row>
    <row r="26" spans="1:54" x14ac:dyDescent="0.25">
      <c r="A26" s="23">
        <v>43575</v>
      </c>
      <c r="B26" s="40">
        <v>154</v>
      </c>
      <c r="C26" s="24">
        <v>4512870</v>
      </c>
      <c r="D26" s="24">
        <v>9479190</v>
      </c>
      <c r="E26" s="24">
        <v>1010680</v>
      </c>
      <c r="F26" s="24">
        <v>2026040</v>
      </c>
      <c r="G26" s="24">
        <v>6713820</v>
      </c>
      <c r="H26" s="24">
        <v>2765790</v>
      </c>
      <c r="I26" s="24">
        <v>2985620</v>
      </c>
      <c r="J26" s="24">
        <v>3202020</v>
      </c>
      <c r="K26" s="24">
        <v>5545810</v>
      </c>
      <c r="L26" s="24">
        <v>1781620</v>
      </c>
      <c r="M26" s="24">
        <v>5550056</v>
      </c>
      <c r="N26" s="24">
        <v>6958810</v>
      </c>
      <c r="O26" s="24">
        <v>8319450</v>
      </c>
      <c r="Q26" s="37">
        <f t="shared" si="36"/>
        <v>9720</v>
      </c>
      <c r="R26" s="37">
        <f t="shared" si="22"/>
        <v>4420</v>
      </c>
      <c r="S26" s="37">
        <f t="shared" si="36"/>
        <v>3400</v>
      </c>
      <c r="T26" s="37">
        <f t="shared" si="36"/>
        <v>1760</v>
      </c>
      <c r="U26" s="37">
        <f t="shared" si="36"/>
        <v>5860</v>
      </c>
      <c r="V26" s="37">
        <f t="shared" si="36"/>
        <v>5770</v>
      </c>
      <c r="W26" s="37">
        <f t="shared" si="36"/>
        <v>4090</v>
      </c>
      <c r="X26" s="37">
        <f t="shared" si="36"/>
        <v>6010</v>
      </c>
      <c r="Y26" s="37">
        <f t="shared" si="36"/>
        <v>6600</v>
      </c>
      <c r="Z26" s="37">
        <f t="shared" si="36"/>
        <v>3420</v>
      </c>
      <c r="AA26" s="37">
        <f t="shared" si="36"/>
        <v>4356</v>
      </c>
      <c r="AB26" s="37">
        <f t="shared" si="36"/>
        <v>8120</v>
      </c>
      <c r="AC26" s="37">
        <f t="shared" si="36"/>
        <v>17550</v>
      </c>
      <c r="AD26" s="35">
        <f t="shared" si="33"/>
        <v>81076</v>
      </c>
      <c r="AF26" s="20">
        <f t="shared" si="1"/>
        <v>48.6</v>
      </c>
      <c r="AG26" s="20">
        <f t="shared" si="2"/>
        <v>22.1</v>
      </c>
      <c r="AH26" s="20">
        <f t="shared" si="3"/>
        <v>17</v>
      </c>
      <c r="AI26" s="20">
        <f t="shared" si="4"/>
        <v>8.8000000000000007</v>
      </c>
      <c r="AJ26" s="20">
        <f t="shared" si="5"/>
        <v>29.3</v>
      </c>
      <c r="AK26" s="20">
        <f t="shared" si="6"/>
        <v>28.85</v>
      </c>
      <c r="AL26" s="20">
        <f t="shared" si="7"/>
        <v>20.45</v>
      </c>
      <c r="AM26" s="20">
        <f t="shared" si="8"/>
        <v>30.05</v>
      </c>
      <c r="AN26" s="20">
        <f t="shared" si="9"/>
        <v>33</v>
      </c>
      <c r="AO26" s="20">
        <f t="shared" si="10"/>
        <v>17.100000000000001</v>
      </c>
      <c r="AP26" s="20">
        <f t="shared" si="11"/>
        <v>21.78</v>
      </c>
      <c r="AQ26" s="20">
        <f t="shared" si="12"/>
        <v>40.6</v>
      </c>
      <c r="AR26" s="20">
        <f t="shared" si="13"/>
        <v>87.75</v>
      </c>
      <c r="AS26" s="35">
        <f t="shared" si="34"/>
        <v>405.38</v>
      </c>
      <c r="AT26" s="48"/>
      <c r="AV26" s="52">
        <v>0</v>
      </c>
      <c r="AW26" s="51">
        <f t="shared" si="14"/>
        <v>0</v>
      </c>
      <c r="AX26" s="53">
        <f t="shared" si="17"/>
        <v>0</v>
      </c>
      <c r="AY26" s="59">
        <v>94102</v>
      </c>
      <c r="AZ26" s="37">
        <f t="shared" si="18"/>
        <v>299000</v>
      </c>
      <c r="BA26" s="37">
        <f t="shared" si="19"/>
        <v>816.27</v>
      </c>
      <c r="BB26" s="46">
        <f t="shared" si="20"/>
        <v>362.75038799999999</v>
      </c>
    </row>
    <row r="27" spans="1:54" x14ac:dyDescent="0.25">
      <c r="A27" s="23">
        <v>43576</v>
      </c>
      <c r="B27" s="40">
        <v>165</v>
      </c>
      <c r="C27" s="24">
        <v>4520420</v>
      </c>
      <c r="D27" s="24">
        <v>9482380</v>
      </c>
      <c r="E27" s="24">
        <v>1013030</v>
      </c>
      <c r="F27" s="24">
        <v>2027310</v>
      </c>
      <c r="G27" s="24">
        <v>6719332</v>
      </c>
      <c r="H27" s="24">
        <v>2769790</v>
      </c>
      <c r="I27" s="24">
        <v>2988730</v>
      </c>
      <c r="J27" s="24">
        <v>3206590</v>
      </c>
      <c r="K27" s="24">
        <v>5550590</v>
      </c>
      <c r="L27" s="24">
        <v>1784170</v>
      </c>
      <c r="M27" s="24">
        <v>5553340</v>
      </c>
      <c r="N27" s="24">
        <v>6964480</v>
      </c>
      <c r="O27" s="24">
        <v>8331650</v>
      </c>
      <c r="Q27" s="37">
        <f t="shared" si="36"/>
        <v>7550</v>
      </c>
      <c r="R27" s="37">
        <f t="shared" si="22"/>
        <v>3190</v>
      </c>
      <c r="S27" s="37">
        <f t="shared" si="36"/>
        <v>2350</v>
      </c>
      <c r="T27" s="37">
        <f t="shared" si="36"/>
        <v>1270</v>
      </c>
      <c r="U27" s="37">
        <f t="shared" si="36"/>
        <v>5512</v>
      </c>
      <c r="V27" s="37">
        <f t="shared" si="36"/>
        <v>4000</v>
      </c>
      <c r="W27" s="37">
        <f t="shared" si="36"/>
        <v>3110</v>
      </c>
      <c r="X27" s="37">
        <f t="shared" si="36"/>
        <v>4570</v>
      </c>
      <c r="Y27" s="37">
        <f t="shared" si="36"/>
        <v>4780</v>
      </c>
      <c r="Z27" s="37">
        <f t="shared" si="36"/>
        <v>2550</v>
      </c>
      <c r="AA27" s="37">
        <f t="shared" si="36"/>
        <v>3284</v>
      </c>
      <c r="AB27" s="37">
        <f t="shared" si="36"/>
        <v>5670</v>
      </c>
      <c r="AC27" s="37">
        <f t="shared" si="36"/>
        <v>12200</v>
      </c>
      <c r="AD27" s="35">
        <f t="shared" si="33"/>
        <v>60036</v>
      </c>
      <c r="AF27" s="20">
        <f t="shared" si="1"/>
        <v>37.75</v>
      </c>
      <c r="AG27" s="20">
        <f t="shared" si="2"/>
        <v>15.950000000000001</v>
      </c>
      <c r="AH27" s="20">
        <f t="shared" si="3"/>
        <v>11.75</v>
      </c>
      <c r="AI27" s="20">
        <f t="shared" si="4"/>
        <v>6.3500000000000005</v>
      </c>
      <c r="AJ27" s="20">
        <f t="shared" si="5"/>
        <v>27.560000000000002</v>
      </c>
      <c r="AK27" s="20">
        <f t="shared" si="6"/>
        <v>20</v>
      </c>
      <c r="AL27" s="20">
        <f t="shared" si="7"/>
        <v>15.55</v>
      </c>
      <c r="AM27" s="20">
        <f t="shared" si="8"/>
        <v>22.85</v>
      </c>
      <c r="AN27" s="20">
        <f t="shared" si="9"/>
        <v>23.900000000000002</v>
      </c>
      <c r="AO27" s="20">
        <f t="shared" si="10"/>
        <v>12.75</v>
      </c>
      <c r="AP27" s="20">
        <f t="shared" si="11"/>
        <v>16.420000000000002</v>
      </c>
      <c r="AQ27" s="20">
        <f t="shared" si="12"/>
        <v>28.35</v>
      </c>
      <c r="AR27" s="20">
        <f t="shared" si="13"/>
        <v>61</v>
      </c>
      <c r="AS27" s="35">
        <f t="shared" si="34"/>
        <v>300.17999999999995</v>
      </c>
      <c r="AT27" s="48"/>
      <c r="AV27" s="52">
        <v>0</v>
      </c>
      <c r="AW27" s="51">
        <f t="shared" si="14"/>
        <v>0</v>
      </c>
      <c r="AX27" s="53">
        <f t="shared" si="17"/>
        <v>0</v>
      </c>
      <c r="AY27" s="59">
        <v>95974</v>
      </c>
      <c r="AZ27" s="37">
        <f t="shared" si="18"/>
        <v>187200</v>
      </c>
      <c r="BA27" s="37">
        <f t="shared" si="19"/>
        <v>511.05599999999998</v>
      </c>
      <c r="BB27" s="46">
        <f t="shared" si="20"/>
        <v>227.11328639999999</v>
      </c>
    </row>
    <row r="28" spans="1:54" x14ac:dyDescent="0.25">
      <c r="A28" s="23">
        <v>43577</v>
      </c>
      <c r="B28" s="40">
        <v>176</v>
      </c>
      <c r="C28" s="24">
        <v>4529130</v>
      </c>
      <c r="D28" s="24">
        <v>9485460</v>
      </c>
      <c r="E28" s="24">
        <v>1014560</v>
      </c>
      <c r="F28" s="24">
        <v>2028740</v>
      </c>
      <c r="G28" s="24">
        <v>6723430</v>
      </c>
      <c r="H28" s="24">
        <v>2774860</v>
      </c>
      <c r="I28" s="24">
        <v>2991830</v>
      </c>
      <c r="J28" s="24">
        <v>3211830</v>
      </c>
      <c r="K28" s="24">
        <v>5556180</v>
      </c>
      <c r="L28" s="24">
        <v>1787140</v>
      </c>
      <c r="M28" s="24">
        <v>5556960</v>
      </c>
      <c r="N28" s="24">
        <v>6971230</v>
      </c>
      <c r="O28" s="24">
        <v>8345610</v>
      </c>
      <c r="Q28" s="37">
        <f t="shared" si="21"/>
        <v>8710</v>
      </c>
      <c r="R28" s="37">
        <f t="shared" si="22"/>
        <v>3080</v>
      </c>
      <c r="S28" s="37">
        <f t="shared" si="16"/>
        <v>1530</v>
      </c>
      <c r="T28" s="37">
        <f t="shared" si="23"/>
        <v>1430</v>
      </c>
      <c r="U28" s="37">
        <f t="shared" si="24"/>
        <v>4098</v>
      </c>
      <c r="V28" s="37">
        <f t="shared" si="25"/>
        <v>5070</v>
      </c>
      <c r="W28" s="37">
        <f t="shared" si="26"/>
        <v>3100</v>
      </c>
      <c r="X28" s="37">
        <f t="shared" si="27"/>
        <v>5240</v>
      </c>
      <c r="Y28" s="37">
        <f t="shared" si="28"/>
        <v>5590</v>
      </c>
      <c r="Z28" s="37">
        <f t="shared" si="29"/>
        <v>2970</v>
      </c>
      <c r="AA28" s="37">
        <f t="shared" si="30"/>
        <v>3620</v>
      </c>
      <c r="AB28" s="37">
        <f t="shared" si="31"/>
        <v>6750</v>
      </c>
      <c r="AC28" s="37">
        <f t="shared" si="32"/>
        <v>13960</v>
      </c>
      <c r="AD28" s="35">
        <f t="shared" si="33"/>
        <v>65148</v>
      </c>
      <c r="AF28" s="20">
        <f t="shared" si="1"/>
        <v>43.550000000000004</v>
      </c>
      <c r="AG28" s="20">
        <f t="shared" si="2"/>
        <v>15.4</v>
      </c>
      <c r="AH28" s="20">
        <f t="shared" si="3"/>
        <v>7.65</v>
      </c>
      <c r="AI28" s="20">
        <f t="shared" si="4"/>
        <v>7.15</v>
      </c>
      <c r="AJ28" s="20">
        <f t="shared" si="5"/>
        <v>20.490000000000002</v>
      </c>
      <c r="AK28" s="20">
        <f t="shared" si="6"/>
        <v>25.35</v>
      </c>
      <c r="AL28" s="20">
        <f t="shared" si="7"/>
        <v>15.5</v>
      </c>
      <c r="AM28" s="20">
        <f t="shared" si="8"/>
        <v>26.2</v>
      </c>
      <c r="AN28" s="20">
        <f t="shared" si="9"/>
        <v>27.95</v>
      </c>
      <c r="AO28" s="20">
        <f t="shared" si="10"/>
        <v>14.85</v>
      </c>
      <c r="AP28" s="20">
        <f t="shared" si="11"/>
        <v>18.100000000000001</v>
      </c>
      <c r="AQ28" s="20">
        <f t="shared" si="12"/>
        <v>33.75</v>
      </c>
      <c r="AR28" s="20">
        <f t="shared" si="13"/>
        <v>69.8</v>
      </c>
      <c r="AS28" s="35">
        <f t="shared" si="34"/>
        <v>325.73999999999995</v>
      </c>
      <c r="AT28" s="48"/>
      <c r="AV28" s="52">
        <v>0</v>
      </c>
      <c r="AW28" s="51">
        <f t="shared" si="14"/>
        <v>0</v>
      </c>
      <c r="AX28" s="53">
        <f t="shared" si="17"/>
        <v>0</v>
      </c>
      <c r="AY28" s="59">
        <v>98169</v>
      </c>
      <c r="AZ28" s="37">
        <f t="shared" si="18"/>
        <v>219500</v>
      </c>
      <c r="BA28" s="37">
        <f t="shared" si="19"/>
        <v>599.23500000000001</v>
      </c>
      <c r="BB28" s="46">
        <f t="shared" si="20"/>
        <v>266.30003400000004</v>
      </c>
    </row>
    <row r="29" spans="1:54" x14ac:dyDescent="0.25">
      <c r="A29" s="23">
        <v>43578</v>
      </c>
      <c r="B29" s="40">
        <v>233</v>
      </c>
      <c r="C29" s="24">
        <v>4539980</v>
      </c>
      <c r="D29" s="24">
        <v>9487340</v>
      </c>
      <c r="E29" s="24">
        <v>1014590</v>
      </c>
      <c r="F29" s="24">
        <v>2030090</v>
      </c>
      <c r="G29" s="24">
        <v>6728430</v>
      </c>
      <c r="H29" s="24">
        <v>2779800</v>
      </c>
      <c r="I29" s="24">
        <v>2995400</v>
      </c>
      <c r="J29" s="24">
        <v>3216990</v>
      </c>
      <c r="K29" s="24">
        <v>5561680</v>
      </c>
      <c r="L29" s="24">
        <v>1790030</v>
      </c>
      <c r="M29" s="24">
        <v>5560420</v>
      </c>
      <c r="N29" s="24">
        <v>6978030</v>
      </c>
      <c r="O29" s="24">
        <v>8360170</v>
      </c>
      <c r="Q29" s="37">
        <f t="shared" si="21"/>
        <v>10850</v>
      </c>
      <c r="R29" s="37">
        <f t="shared" si="22"/>
        <v>1880</v>
      </c>
      <c r="S29" s="37">
        <f t="shared" si="16"/>
        <v>30</v>
      </c>
      <c r="T29" s="37">
        <f t="shared" si="23"/>
        <v>1350</v>
      </c>
      <c r="U29" s="37">
        <f t="shared" si="24"/>
        <v>5000</v>
      </c>
      <c r="V29" s="37">
        <f t="shared" si="25"/>
        <v>4940</v>
      </c>
      <c r="W29" s="37">
        <f t="shared" si="26"/>
        <v>3570</v>
      </c>
      <c r="X29" s="37">
        <f t="shared" si="27"/>
        <v>5160</v>
      </c>
      <c r="Y29" s="37">
        <f t="shared" si="28"/>
        <v>5500</v>
      </c>
      <c r="Z29" s="37">
        <f t="shared" si="29"/>
        <v>2890</v>
      </c>
      <c r="AA29" s="37">
        <f t="shared" si="30"/>
        <v>3460</v>
      </c>
      <c r="AB29" s="37">
        <f t="shared" si="31"/>
        <v>6800</v>
      </c>
      <c r="AC29" s="37">
        <f t="shared" si="32"/>
        <v>14560</v>
      </c>
      <c r="AD29" s="35">
        <f t="shared" si="33"/>
        <v>65990</v>
      </c>
      <c r="AF29" s="20">
        <f t="shared" si="1"/>
        <v>54.25</v>
      </c>
      <c r="AG29" s="20">
        <f t="shared" si="2"/>
        <v>9.4</v>
      </c>
      <c r="AH29" s="20">
        <f t="shared" si="3"/>
        <v>0.15</v>
      </c>
      <c r="AI29" s="20">
        <f t="shared" si="4"/>
        <v>6.75</v>
      </c>
      <c r="AJ29" s="20">
        <f t="shared" si="5"/>
        <v>25</v>
      </c>
      <c r="AK29" s="20">
        <f t="shared" si="6"/>
        <v>24.7</v>
      </c>
      <c r="AL29" s="20">
        <f t="shared" si="7"/>
        <v>17.850000000000001</v>
      </c>
      <c r="AM29" s="20">
        <f t="shared" si="8"/>
        <v>25.8</v>
      </c>
      <c r="AN29" s="20">
        <f t="shared" si="9"/>
        <v>27.5</v>
      </c>
      <c r="AO29" s="20">
        <f t="shared" si="10"/>
        <v>14.450000000000001</v>
      </c>
      <c r="AP29" s="20">
        <f t="shared" si="11"/>
        <v>17.3</v>
      </c>
      <c r="AQ29" s="20">
        <f t="shared" si="12"/>
        <v>34</v>
      </c>
      <c r="AR29" s="20">
        <f t="shared" si="13"/>
        <v>72.8</v>
      </c>
      <c r="AS29" s="35">
        <f t="shared" si="34"/>
        <v>329.95</v>
      </c>
      <c r="AT29" s="48"/>
      <c r="AV29" s="52">
        <v>0</v>
      </c>
      <c r="AW29" s="51">
        <f t="shared" si="14"/>
        <v>0</v>
      </c>
      <c r="AX29" s="53">
        <f t="shared" si="17"/>
        <v>0</v>
      </c>
      <c r="AY29" s="59">
        <v>100734</v>
      </c>
      <c r="AZ29" s="37">
        <f t="shared" si="18"/>
        <v>256500</v>
      </c>
      <c r="BA29" s="37">
        <f t="shared" si="19"/>
        <v>700.245</v>
      </c>
      <c r="BB29" s="46">
        <f t="shared" si="20"/>
        <v>311.18887799999999</v>
      </c>
    </row>
    <row r="30" spans="1:54" x14ac:dyDescent="0.25">
      <c r="A30" s="23">
        <v>43579</v>
      </c>
      <c r="B30" s="40">
        <v>240</v>
      </c>
      <c r="C30" s="24">
        <v>4551580</v>
      </c>
      <c r="D30" s="24">
        <v>9489280</v>
      </c>
      <c r="E30" s="24">
        <v>1014590</v>
      </c>
      <c r="F30" s="24">
        <v>2031490</v>
      </c>
      <c r="G30" s="24">
        <v>6733740</v>
      </c>
      <c r="H30" s="24">
        <v>2784530</v>
      </c>
      <c r="I30" s="24">
        <v>2998920</v>
      </c>
      <c r="J30" s="24">
        <v>3222380</v>
      </c>
      <c r="K30" s="24">
        <v>5567730</v>
      </c>
      <c r="L30" s="24">
        <v>1792090</v>
      </c>
      <c r="M30" s="24">
        <v>5564040</v>
      </c>
      <c r="N30" s="24">
        <v>6984990</v>
      </c>
      <c r="O30" s="24">
        <v>8374950</v>
      </c>
      <c r="Q30" s="37">
        <f t="shared" si="21"/>
        <v>11600</v>
      </c>
      <c r="R30" s="37">
        <f t="shared" si="22"/>
        <v>1940</v>
      </c>
      <c r="S30" s="37">
        <f t="shared" si="16"/>
        <v>0</v>
      </c>
      <c r="T30" s="37">
        <f t="shared" si="23"/>
        <v>1400</v>
      </c>
      <c r="U30" s="37">
        <f t="shared" si="24"/>
        <v>5310</v>
      </c>
      <c r="V30" s="37">
        <f t="shared" si="25"/>
        <v>4730</v>
      </c>
      <c r="W30" s="37">
        <f t="shared" si="26"/>
        <v>3520</v>
      </c>
      <c r="X30" s="37">
        <f t="shared" si="27"/>
        <v>5390</v>
      </c>
      <c r="Y30" s="37">
        <f t="shared" si="28"/>
        <v>6050</v>
      </c>
      <c r="Z30" s="37">
        <f t="shared" si="29"/>
        <v>2060</v>
      </c>
      <c r="AA30" s="37">
        <f t="shared" si="30"/>
        <v>3620</v>
      </c>
      <c r="AB30" s="37">
        <f t="shared" si="31"/>
        <v>6960</v>
      </c>
      <c r="AC30" s="37">
        <f t="shared" si="32"/>
        <v>14780</v>
      </c>
      <c r="AD30" s="35">
        <f t="shared" si="33"/>
        <v>67360</v>
      </c>
      <c r="AF30" s="20">
        <f t="shared" si="1"/>
        <v>58</v>
      </c>
      <c r="AG30" s="20">
        <f t="shared" si="2"/>
        <v>9.7000000000000011</v>
      </c>
      <c r="AH30" s="20">
        <f t="shared" si="3"/>
        <v>0</v>
      </c>
      <c r="AI30" s="20">
        <f t="shared" si="4"/>
        <v>7</v>
      </c>
      <c r="AJ30" s="20">
        <f t="shared" si="5"/>
        <v>26.55</v>
      </c>
      <c r="AK30" s="20">
        <f t="shared" si="6"/>
        <v>23.650000000000002</v>
      </c>
      <c r="AL30" s="20">
        <f t="shared" si="7"/>
        <v>17.600000000000001</v>
      </c>
      <c r="AM30" s="20">
        <f t="shared" si="8"/>
        <v>26.95</v>
      </c>
      <c r="AN30" s="20">
        <f t="shared" si="9"/>
        <v>30.25</v>
      </c>
      <c r="AO30" s="20">
        <f t="shared" si="10"/>
        <v>10.3</v>
      </c>
      <c r="AP30" s="20">
        <f t="shared" si="11"/>
        <v>18.100000000000001</v>
      </c>
      <c r="AQ30" s="20">
        <f t="shared" si="12"/>
        <v>34.800000000000004</v>
      </c>
      <c r="AR30" s="20">
        <f t="shared" si="13"/>
        <v>73.900000000000006</v>
      </c>
      <c r="AS30" s="35">
        <f t="shared" si="34"/>
        <v>336.79999999999995</v>
      </c>
      <c r="AT30" s="48"/>
      <c r="AV30" s="52">
        <v>0</v>
      </c>
      <c r="AW30" s="51">
        <f t="shared" si="14"/>
        <v>0</v>
      </c>
      <c r="AX30" s="53">
        <f t="shared" si="17"/>
        <v>0</v>
      </c>
      <c r="AY30" s="59">
        <v>103367</v>
      </c>
      <c r="AZ30" s="37">
        <f t="shared" si="18"/>
        <v>263300</v>
      </c>
      <c r="BA30" s="37">
        <f t="shared" si="19"/>
        <v>718.80900000000008</v>
      </c>
      <c r="BB30" s="46">
        <f t="shared" si="20"/>
        <v>319.43871960000007</v>
      </c>
    </row>
    <row r="31" spans="1:54" x14ac:dyDescent="0.25">
      <c r="A31" s="23">
        <v>43580</v>
      </c>
      <c r="B31" s="40">
        <v>280</v>
      </c>
      <c r="C31" s="24">
        <v>4562740</v>
      </c>
      <c r="D31" s="24">
        <v>9491150</v>
      </c>
      <c r="E31" s="24">
        <v>1014590</v>
      </c>
      <c r="F31" s="24">
        <v>2032840</v>
      </c>
      <c r="G31" s="24">
        <v>6739130</v>
      </c>
      <c r="H31" s="24">
        <v>2789130</v>
      </c>
      <c r="I31" s="24">
        <v>3001960</v>
      </c>
      <c r="J31" s="24">
        <v>3227690</v>
      </c>
      <c r="K31" s="24">
        <v>5573680</v>
      </c>
      <c r="L31" s="24">
        <v>1796110</v>
      </c>
      <c r="M31" s="24">
        <v>5567750</v>
      </c>
      <c r="N31" s="24">
        <v>6991960</v>
      </c>
      <c r="O31" s="24">
        <v>8389460</v>
      </c>
      <c r="Q31" s="37">
        <f>IF((C31-C30&lt;0), "0",C31-C30)</f>
        <v>11160</v>
      </c>
      <c r="R31" s="37">
        <f t="shared" si="22"/>
        <v>1870</v>
      </c>
      <c r="S31" s="37">
        <f t="shared" si="16"/>
        <v>0</v>
      </c>
      <c r="T31" s="37">
        <f t="shared" si="23"/>
        <v>1350</v>
      </c>
      <c r="U31" s="37">
        <f t="shared" si="24"/>
        <v>5390</v>
      </c>
      <c r="V31" s="37">
        <f t="shared" si="25"/>
        <v>4600</v>
      </c>
      <c r="W31" s="37">
        <f t="shared" si="26"/>
        <v>3040</v>
      </c>
      <c r="X31" s="37">
        <f t="shared" si="27"/>
        <v>5310</v>
      </c>
      <c r="Y31" s="37">
        <f t="shared" si="28"/>
        <v>5950</v>
      </c>
      <c r="Z31" s="37">
        <f t="shared" si="29"/>
        <v>4020</v>
      </c>
      <c r="AA31" s="37">
        <f t="shared" si="30"/>
        <v>3710</v>
      </c>
      <c r="AB31" s="37">
        <f t="shared" si="31"/>
        <v>6970</v>
      </c>
      <c r="AC31" s="37">
        <f t="shared" si="32"/>
        <v>14510</v>
      </c>
      <c r="AD31" s="35">
        <f t="shared" si="33"/>
        <v>67880</v>
      </c>
      <c r="AF31" s="20">
        <f t="shared" si="1"/>
        <v>55.800000000000004</v>
      </c>
      <c r="AG31" s="20">
        <f t="shared" si="2"/>
        <v>9.35</v>
      </c>
      <c r="AH31" s="20">
        <f t="shared" si="3"/>
        <v>0</v>
      </c>
      <c r="AI31" s="20">
        <f t="shared" si="4"/>
        <v>6.75</v>
      </c>
      <c r="AJ31" s="20">
        <f t="shared" si="5"/>
        <v>26.95</v>
      </c>
      <c r="AK31" s="20">
        <f t="shared" si="6"/>
        <v>23</v>
      </c>
      <c r="AL31" s="20">
        <f t="shared" si="7"/>
        <v>15.200000000000001</v>
      </c>
      <c r="AM31" s="20">
        <f t="shared" si="8"/>
        <v>26.55</v>
      </c>
      <c r="AN31" s="20">
        <f t="shared" si="9"/>
        <v>29.75</v>
      </c>
      <c r="AO31" s="20">
        <f t="shared" si="10"/>
        <v>20.100000000000001</v>
      </c>
      <c r="AP31" s="20">
        <f t="shared" si="11"/>
        <v>18.55</v>
      </c>
      <c r="AQ31" s="20">
        <f t="shared" si="12"/>
        <v>34.85</v>
      </c>
      <c r="AR31" s="20">
        <f t="shared" si="13"/>
        <v>72.55</v>
      </c>
      <c r="AS31" s="35">
        <f t="shared" si="34"/>
        <v>339.40000000000003</v>
      </c>
      <c r="AT31" s="48"/>
      <c r="AV31" s="52">
        <v>0</v>
      </c>
      <c r="AW31" s="51">
        <f t="shared" si="14"/>
        <v>0</v>
      </c>
      <c r="AX31" s="53">
        <f t="shared" si="17"/>
        <v>0</v>
      </c>
      <c r="AY31" s="59">
        <v>105659</v>
      </c>
      <c r="AZ31" s="37">
        <f t="shared" si="18"/>
        <v>229200</v>
      </c>
      <c r="BA31" s="37">
        <f t="shared" si="19"/>
        <v>625.71600000000001</v>
      </c>
      <c r="BB31" s="46">
        <f t="shared" si="20"/>
        <v>278.06819039999999</v>
      </c>
    </row>
    <row r="32" spans="1:54" x14ac:dyDescent="0.25">
      <c r="A32" s="23">
        <v>43581</v>
      </c>
      <c r="B32" s="40">
        <v>272</v>
      </c>
      <c r="C32" s="24">
        <v>4574240</v>
      </c>
      <c r="D32" s="24">
        <v>9493050</v>
      </c>
      <c r="E32" s="24">
        <v>1014590</v>
      </c>
      <c r="F32" s="24">
        <v>2034210</v>
      </c>
      <c r="G32" s="24">
        <v>6744490</v>
      </c>
      <c r="H32" s="24">
        <v>2793650</v>
      </c>
      <c r="I32" s="24">
        <v>3004980</v>
      </c>
      <c r="J32" s="24">
        <v>3233050</v>
      </c>
      <c r="K32" s="24">
        <v>5579570</v>
      </c>
      <c r="L32" s="24">
        <v>1799180</v>
      </c>
      <c r="M32" s="24">
        <v>5571510</v>
      </c>
      <c r="N32" s="24">
        <v>6998680</v>
      </c>
      <c r="O32" s="24">
        <v>8404040</v>
      </c>
      <c r="Q32" s="37">
        <f>IF((C32-C31&lt;0), "0",C32-C31)</f>
        <v>11500</v>
      </c>
      <c r="R32" s="37">
        <f t="shared" si="22"/>
        <v>1900</v>
      </c>
      <c r="S32" s="37">
        <f t="shared" si="16"/>
        <v>0</v>
      </c>
      <c r="T32" s="37">
        <f t="shared" si="23"/>
        <v>1370</v>
      </c>
      <c r="U32" s="37">
        <f t="shared" si="24"/>
        <v>5360</v>
      </c>
      <c r="V32" s="37">
        <f t="shared" si="25"/>
        <v>4520</v>
      </c>
      <c r="W32" s="37">
        <f t="shared" si="26"/>
        <v>3020</v>
      </c>
      <c r="X32" s="37">
        <f t="shared" si="27"/>
        <v>5360</v>
      </c>
      <c r="Y32" s="37">
        <f t="shared" si="28"/>
        <v>5890</v>
      </c>
      <c r="Z32" s="37">
        <f t="shared" si="29"/>
        <v>3070</v>
      </c>
      <c r="AA32" s="37">
        <f t="shared" si="30"/>
        <v>3760</v>
      </c>
      <c r="AB32" s="37">
        <f t="shared" si="31"/>
        <v>6720</v>
      </c>
      <c r="AC32" s="37">
        <f t="shared" si="32"/>
        <v>14580</v>
      </c>
      <c r="AD32" s="35">
        <f t="shared" si="33"/>
        <v>67050</v>
      </c>
      <c r="AF32" s="20">
        <f t="shared" si="1"/>
        <v>57.5</v>
      </c>
      <c r="AG32" s="20">
        <f t="shared" si="2"/>
        <v>9.5</v>
      </c>
      <c r="AH32" s="20">
        <f t="shared" si="3"/>
        <v>0</v>
      </c>
      <c r="AI32" s="20">
        <f t="shared" si="4"/>
        <v>6.8500000000000005</v>
      </c>
      <c r="AJ32" s="20">
        <f t="shared" si="5"/>
        <v>26.8</v>
      </c>
      <c r="AK32" s="20">
        <f t="shared" si="6"/>
        <v>22.6</v>
      </c>
      <c r="AL32" s="20">
        <f t="shared" si="7"/>
        <v>15.1</v>
      </c>
      <c r="AM32" s="20">
        <f t="shared" si="8"/>
        <v>26.8</v>
      </c>
      <c r="AN32" s="20">
        <f t="shared" si="9"/>
        <v>29.45</v>
      </c>
      <c r="AO32" s="20">
        <f t="shared" si="10"/>
        <v>15.35</v>
      </c>
      <c r="AP32" s="20">
        <f t="shared" si="11"/>
        <v>18.8</v>
      </c>
      <c r="AQ32" s="20">
        <f t="shared" si="12"/>
        <v>33.6</v>
      </c>
      <c r="AR32" s="20">
        <f t="shared" si="13"/>
        <v>72.900000000000006</v>
      </c>
      <c r="AS32" s="35">
        <f t="shared" si="34"/>
        <v>335.25</v>
      </c>
      <c r="AT32" s="48"/>
      <c r="AV32" s="52">
        <v>0</v>
      </c>
      <c r="AW32" s="51">
        <f t="shared" si="14"/>
        <v>0</v>
      </c>
      <c r="AX32" s="53">
        <f t="shared" si="17"/>
        <v>0</v>
      </c>
      <c r="AY32" s="59">
        <v>107897</v>
      </c>
      <c r="AZ32" s="37">
        <f t="shared" si="18"/>
        <v>223800</v>
      </c>
      <c r="BA32" s="37">
        <f t="shared" si="19"/>
        <v>610.97400000000005</v>
      </c>
      <c r="BB32" s="46">
        <f t="shared" si="20"/>
        <v>271.51684560000001</v>
      </c>
    </row>
    <row r="33" spans="1:54" x14ac:dyDescent="0.25">
      <c r="A33" s="23">
        <v>43582</v>
      </c>
      <c r="B33" s="40">
        <v>168</v>
      </c>
      <c r="C33" s="24">
        <v>4587230</v>
      </c>
      <c r="D33" s="24">
        <v>9495130</v>
      </c>
      <c r="E33" s="24">
        <v>1014590</v>
      </c>
      <c r="F33" s="24">
        <v>2035720</v>
      </c>
      <c r="G33" s="24">
        <v>6750750</v>
      </c>
      <c r="H33" s="24">
        <v>2798260</v>
      </c>
      <c r="I33" s="24">
        <v>3008330</v>
      </c>
      <c r="J33" s="24">
        <v>3238270</v>
      </c>
      <c r="K33" s="24">
        <v>5585430</v>
      </c>
      <c r="L33" s="24">
        <v>1802280</v>
      </c>
      <c r="M33" s="24">
        <v>5575290</v>
      </c>
      <c r="N33" s="24">
        <v>7005590</v>
      </c>
      <c r="O33" s="24">
        <v>8418880</v>
      </c>
      <c r="Q33" s="37">
        <f>IF((C33-C32&lt;0), "0",C33-C32)</f>
        <v>12990</v>
      </c>
      <c r="R33" s="37">
        <f t="shared" si="22"/>
        <v>2080</v>
      </c>
      <c r="S33" s="37">
        <f t="shared" si="16"/>
        <v>0</v>
      </c>
      <c r="T33" s="37">
        <f t="shared" si="23"/>
        <v>1510</v>
      </c>
      <c r="U33" s="37">
        <f t="shared" si="24"/>
        <v>6260</v>
      </c>
      <c r="V33" s="37">
        <f t="shared" si="25"/>
        <v>4610</v>
      </c>
      <c r="W33" s="37">
        <f t="shared" si="26"/>
        <v>3350</v>
      </c>
      <c r="X33" s="37">
        <f t="shared" si="27"/>
        <v>5220</v>
      </c>
      <c r="Y33" s="37">
        <f t="shared" si="28"/>
        <v>5860</v>
      </c>
      <c r="Z33" s="37">
        <f t="shared" si="29"/>
        <v>3100</v>
      </c>
      <c r="AA33" s="37">
        <f t="shared" si="30"/>
        <v>3780</v>
      </c>
      <c r="AB33" s="37">
        <f t="shared" si="31"/>
        <v>6910</v>
      </c>
      <c r="AC33" s="37">
        <f t="shared" si="32"/>
        <v>14840</v>
      </c>
      <c r="AD33" s="35">
        <f t="shared" si="33"/>
        <v>70510</v>
      </c>
      <c r="AF33" s="20">
        <f t="shared" si="1"/>
        <v>64.95</v>
      </c>
      <c r="AG33" s="20">
        <f t="shared" si="2"/>
        <v>10.4</v>
      </c>
      <c r="AH33" s="20">
        <f t="shared" si="3"/>
        <v>0</v>
      </c>
      <c r="AI33" s="20">
        <f t="shared" si="4"/>
        <v>7.55</v>
      </c>
      <c r="AJ33" s="20">
        <f t="shared" si="5"/>
        <v>31.3</v>
      </c>
      <c r="AK33" s="20">
        <f t="shared" si="6"/>
        <v>23.05</v>
      </c>
      <c r="AL33" s="20">
        <f t="shared" si="7"/>
        <v>16.75</v>
      </c>
      <c r="AM33" s="20">
        <f t="shared" si="8"/>
        <v>26.1</v>
      </c>
      <c r="AN33" s="20">
        <f t="shared" si="9"/>
        <v>29.3</v>
      </c>
      <c r="AO33" s="20">
        <f t="shared" si="10"/>
        <v>15.5</v>
      </c>
      <c r="AP33" s="20">
        <f t="shared" si="11"/>
        <v>18.900000000000002</v>
      </c>
      <c r="AQ33" s="20">
        <f t="shared" si="12"/>
        <v>34.550000000000004</v>
      </c>
      <c r="AR33" s="20">
        <f t="shared" si="13"/>
        <v>74.2</v>
      </c>
      <c r="AS33" s="35">
        <f t="shared" si="34"/>
        <v>352.55</v>
      </c>
      <c r="AT33" s="48"/>
      <c r="AV33" s="52">
        <v>0</v>
      </c>
      <c r="AW33" s="51">
        <f t="shared" si="14"/>
        <v>0</v>
      </c>
      <c r="AX33" s="53">
        <f t="shared" si="17"/>
        <v>0</v>
      </c>
      <c r="AY33" s="59">
        <v>110154</v>
      </c>
      <c r="AZ33" s="37">
        <f t="shared" si="18"/>
        <v>225700</v>
      </c>
      <c r="BA33" s="37">
        <f t="shared" si="19"/>
        <v>616.16099999999994</v>
      </c>
      <c r="BB33" s="46">
        <f t="shared" si="20"/>
        <v>273.8219484</v>
      </c>
    </row>
    <row r="34" spans="1:54" x14ac:dyDescent="0.25">
      <c r="A34" s="23">
        <v>43583</v>
      </c>
      <c r="B34" s="40">
        <v>195</v>
      </c>
      <c r="C34" s="24">
        <v>4597810</v>
      </c>
      <c r="D34" s="24">
        <v>9496830</v>
      </c>
      <c r="E34" s="24">
        <v>1014590</v>
      </c>
      <c r="F34" s="24">
        <v>2036940</v>
      </c>
      <c r="G34" s="24">
        <v>6755980</v>
      </c>
      <c r="H34" s="24">
        <v>2802560</v>
      </c>
      <c r="I34" s="24">
        <v>3011970</v>
      </c>
      <c r="J34" s="24">
        <v>3243270</v>
      </c>
      <c r="K34" s="24">
        <v>5590720</v>
      </c>
      <c r="L34" s="24">
        <v>1805070</v>
      </c>
      <c r="M34" s="24">
        <v>5578880</v>
      </c>
      <c r="N34" s="24">
        <v>7012230</v>
      </c>
      <c r="O34" s="24">
        <v>8433100</v>
      </c>
      <c r="Q34" s="37">
        <f>IF((C34-C33&lt;0), "0",C34-C33)</f>
        <v>10580</v>
      </c>
      <c r="R34" s="37">
        <f t="shared" si="22"/>
        <v>1700</v>
      </c>
      <c r="S34" s="37">
        <f t="shared" si="16"/>
        <v>0</v>
      </c>
      <c r="T34" s="37">
        <f t="shared" si="23"/>
        <v>1220</v>
      </c>
      <c r="U34" s="37">
        <f t="shared" si="24"/>
        <v>5230</v>
      </c>
      <c r="V34" s="37">
        <f t="shared" si="25"/>
        <v>4300</v>
      </c>
      <c r="W34" s="37">
        <f t="shared" si="26"/>
        <v>3640</v>
      </c>
      <c r="X34" s="37">
        <f t="shared" si="27"/>
        <v>5000</v>
      </c>
      <c r="Y34" s="37">
        <f t="shared" si="28"/>
        <v>5290</v>
      </c>
      <c r="Z34" s="37">
        <f t="shared" si="29"/>
        <v>2790</v>
      </c>
      <c r="AA34" s="37">
        <f t="shared" si="30"/>
        <v>3590</v>
      </c>
      <c r="AB34" s="37">
        <f t="shared" si="31"/>
        <v>6640</v>
      </c>
      <c r="AC34" s="37">
        <f t="shared" si="32"/>
        <v>14220</v>
      </c>
      <c r="AD34" s="35">
        <f t="shared" si="33"/>
        <v>64200</v>
      </c>
      <c r="AF34" s="20">
        <f>Q34*$D$39</f>
        <v>52.9</v>
      </c>
      <c r="AG34" s="20">
        <f t="shared" si="2"/>
        <v>8.5</v>
      </c>
      <c r="AH34" s="20">
        <f t="shared" si="3"/>
        <v>0</v>
      </c>
      <c r="AI34" s="20">
        <f t="shared" si="4"/>
        <v>6.1000000000000005</v>
      </c>
      <c r="AJ34" s="20">
        <f t="shared" si="5"/>
        <v>26.150000000000002</v>
      </c>
      <c r="AK34" s="20">
        <f t="shared" si="6"/>
        <v>21.5</v>
      </c>
      <c r="AL34" s="20">
        <f t="shared" si="7"/>
        <v>18.2</v>
      </c>
      <c r="AM34" s="20">
        <f t="shared" si="8"/>
        <v>25</v>
      </c>
      <c r="AN34" s="20">
        <f t="shared" si="9"/>
        <v>26.45</v>
      </c>
      <c r="AO34" s="20">
        <f t="shared" si="10"/>
        <v>13.950000000000001</v>
      </c>
      <c r="AP34" s="20">
        <f t="shared" si="11"/>
        <v>17.95</v>
      </c>
      <c r="AQ34" s="20">
        <f t="shared" si="12"/>
        <v>33.200000000000003</v>
      </c>
      <c r="AR34" s="20">
        <f t="shared" si="13"/>
        <v>71.100000000000009</v>
      </c>
      <c r="AS34" s="35">
        <f>SUM(AF34:AR34)</f>
        <v>321</v>
      </c>
      <c r="AT34" s="48"/>
      <c r="AV34" s="52">
        <v>0</v>
      </c>
      <c r="AW34" s="51">
        <f t="shared" si="14"/>
        <v>0</v>
      </c>
      <c r="AX34" s="53">
        <f t="shared" si="17"/>
        <v>0</v>
      </c>
      <c r="AY34" s="59">
        <v>111967</v>
      </c>
      <c r="AZ34" s="37">
        <f t="shared" si="18"/>
        <v>181300</v>
      </c>
      <c r="BA34" s="37">
        <f t="shared" si="19"/>
        <v>494.94900000000001</v>
      </c>
      <c r="BB34" s="46">
        <f t="shared" si="20"/>
        <v>219.95533560000001</v>
      </c>
    </row>
    <row r="35" spans="1:54" x14ac:dyDescent="0.25">
      <c r="A35" s="23">
        <v>43584</v>
      </c>
      <c r="B35" s="40">
        <v>240</v>
      </c>
      <c r="C35" s="24">
        <v>4610690</v>
      </c>
      <c r="D35" s="24">
        <v>9498780</v>
      </c>
      <c r="E35" s="24">
        <v>1014590</v>
      </c>
      <c r="F35" s="24">
        <v>2038370</v>
      </c>
      <c r="G35" s="24">
        <v>6762030</v>
      </c>
      <c r="H35" s="24">
        <v>2807210</v>
      </c>
      <c r="I35" s="24">
        <v>3015390</v>
      </c>
      <c r="J35" s="24">
        <v>3248520</v>
      </c>
      <c r="K35" s="24">
        <v>5596530</v>
      </c>
      <c r="L35" s="24">
        <v>1808220</v>
      </c>
      <c r="M35" s="24">
        <v>5582730</v>
      </c>
      <c r="N35" s="24">
        <v>7019190</v>
      </c>
      <c r="O35" s="24">
        <v>8446830</v>
      </c>
      <c r="Q35" s="37">
        <f>IF((C35-C34&lt;0), "0",C35-C34)</f>
        <v>12880</v>
      </c>
      <c r="R35" s="37">
        <f t="shared" si="22"/>
        <v>1950</v>
      </c>
      <c r="S35" s="37">
        <f t="shared" si="16"/>
        <v>0</v>
      </c>
      <c r="T35" s="37">
        <f t="shared" si="23"/>
        <v>1430</v>
      </c>
      <c r="U35" s="37">
        <f t="shared" si="24"/>
        <v>6050</v>
      </c>
      <c r="V35" s="37">
        <f t="shared" si="25"/>
        <v>4650</v>
      </c>
      <c r="W35" s="37">
        <f t="shared" si="26"/>
        <v>3420</v>
      </c>
      <c r="X35" s="37">
        <f t="shared" si="27"/>
        <v>5250</v>
      </c>
      <c r="Y35" s="37">
        <f t="shared" si="28"/>
        <v>5810</v>
      </c>
      <c r="Z35" s="37">
        <f t="shared" si="29"/>
        <v>3150</v>
      </c>
      <c r="AA35" s="37">
        <f t="shared" si="30"/>
        <v>3850</v>
      </c>
      <c r="AB35" s="37">
        <f t="shared" si="31"/>
        <v>6960</v>
      </c>
      <c r="AC35" s="37">
        <f t="shared" si="32"/>
        <v>13730</v>
      </c>
      <c r="AD35" s="35">
        <f t="shared" si="33"/>
        <v>69130</v>
      </c>
      <c r="AF35" s="20">
        <f t="shared" si="1"/>
        <v>64.400000000000006</v>
      </c>
      <c r="AG35" s="20">
        <f t="shared" si="2"/>
        <v>9.75</v>
      </c>
      <c r="AH35" s="20">
        <f t="shared" si="3"/>
        <v>0</v>
      </c>
      <c r="AI35" s="20">
        <f t="shared" si="4"/>
        <v>7.15</v>
      </c>
      <c r="AJ35" s="20">
        <f t="shared" si="5"/>
        <v>30.25</v>
      </c>
      <c r="AK35" s="20">
        <f t="shared" si="6"/>
        <v>23.25</v>
      </c>
      <c r="AL35" s="20">
        <f t="shared" si="7"/>
        <v>17.100000000000001</v>
      </c>
      <c r="AM35" s="20">
        <f t="shared" si="8"/>
        <v>26.25</v>
      </c>
      <c r="AN35" s="20">
        <f t="shared" si="9"/>
        <v>29.05</v>
      </c>
      <c r="AO35" s="20">
        <f t="shared" si="10"/>
        <v>15.75</v>
      </c>
      <c r="AP35" s="20">
        <f t="shared" si="11"/>
        <v>19.25</v>
      </c>
      <c r="AQ35" s="20">
        <f t="shared" si="12"/>
        <v>34.800000000000004</v>
      </c>
      <c r="AR35" s="20">
        <f t="shared" si="13"/>
        <v>68.650000000000006</v>
      </c>
      <c r="AS35" s="35">
        <f>SUM(AF35:AR35)</f>
        <v>345.65</v>
      </c>
      <c r="AT35" s="48"/>
      <c r="AV35" s="52">
        <v>0</v>
      </c>
      <c r="AW35" s="51">
        <f t="shared" si="14"/>
        <v>0</v>
      </c>
      <c r="AX35" s="53">
        <f t="shared" si="17"/>
        <v>0</v>
      </c>
      <c r="AY35" s="59">
        <v>114204</v>
      </c>
      <c r="AZ35" s="37">
        <f t="shared" si="18"/>
        <v>223700</v>
      </c>
      <c r="BA35" s="37">
        <f t="shared" si="19"/>
        <v>610.70100000000002</v>
      </c>
      <c r="BB35" s="46">
        <f t="shared" si="20"/>
        <v>271.3955244</v>
      </c>
    </row>
    <row r="36" spans="1:54" x14ac:dyDescent="0.25">
      <c r="A36" s="23">
        <v>43585</v>
      </c>
      <c r="B36" s="40">
        <v>267</v>
      </c>
      <c r="C36" s="24">
        <v>4621180</v>
      </c>
      <c r="D36" s="24">
        <v>9507090</v>
      </c>
      <c r="E36" s="24">
        <v>1014660</v>
      </c>
      <c r="F36" s="24">
        <v>2039830</v>
      </c>
      <c r="G36" s="24">
        <v>6768140</v>
      </c>
      <c r="H36" s="24">
        <v>2811650</v>
      </c>
      <c r="I36" s="24">
        <v>3018640</v>
      </c>
      <c r="J36" s="24">
        <v>3253800</v>
      </c>
      <c r="K36" s="24">
        <v>5601960</v>
      </c>
      <c r="L36" s="24">
        <v>1811220</v>
      </c>
      <c r="M36" s="24">
        <v>5586540</v>
      </c>
      <c r="N36" s="24">
        <v>7025780</v>
      </c>
      <c r="O36" s="24">
        <v>8459870</v>
      </c>
      <c r="Q36" s="37">
        <f t="shared" ref="Q36:AA36" si="37">IF((C36-C35&lt;0), "0",C36-C35)</f>
        <v>10490</v>
      </c>
      <c r="R36" s="37">
        <f t="shared" si="22"/>
        <v>8310</v>
      </c>
      <c r="S36" s="37">
        <f t="shared" si="37"/>
        <v>70</v>
      </c>
      <c r="T36" s="37">
        <f t="shared" si="37"/>
        <v>1460</v>
      </c>
      <c r="U36" s="37">
        <f t="shared" si="37"/>
        <v>6110</v>
      </c>
      <c r="V36" s="37">
        <f t="shared" si="37"/>
        <v>4440</v>
      </c>
      <c r="W36" s="37">
        <f t="shared" si="37"/>
        <v>3250</v>
      </c>
      <c r="X36" s="37">
        <f t="shared" si="27"/>
        <v>5280</v>
      </c>
      <c r="Y36" s="37">
        <f t="shared" si="37"/>
        <v>5430</v>
      </c>
      <c r="Z36" s="37">
        <f t="shared" si="37"/>
        <v>3000</v>
      </c>
      <c r="AA36" s="37">
        <f t="shared" si="37"/>
        <v>3810</v>
      </c>
      <c r="AB36" s="37">
        <f t="shared" si="31"/>
        <v>6590</v>
      </c>
      <c r="AC36" s="37">
        <f t="shared" si="32"/>
        <v>13040</v>
      </c>
      <c r="AD36" s="35">
        <f t="shared" si="33"/>
        <v>71280</v>
      </c>
      <c r="AF36" s="20">
        <f t="shared" si="1"/>
        <v>52.45</v>
      </c>
      <c r="AG36" s="20">
        <f t="shared" si="2"/>
        <v>41.550000000000004</v>
      </c>
      <c r="AH36" s="20">
        <f t="shared" si="3"/>
        <v>0.35000000000000003</v>
      </c>
      <c r="AI36" s="20">
        <f t="shared" si="4"/>
        <v>7.3</v>
      </c>
      <c r="AJ36" s="20">
        <f t="shared" si="5"/>
        <v>30.55</v>
      </c>
      <c r="AK36" s="20">
        <f t="shared" si="6"/>
        <v>22.2</v>
      </c>
      <c r="AL36" s="20">
        <f t="shared" si="7"/>
        <v>16.25</v>
      </c>
      <c r="AM36" s="20">
        <f t="shared" si="8"/>
        <v>26.400000000000002</v>
      </c>
      <c r="AN36" s="20">
        <f t="shared" si="9"/>
        <v>27.150000000000002</v>
      </c>
      <c r="AO36" s="20">
        <f t="shared" si="10"/>
        <v>15</v>
      </c>
      <c r="AP36" s="20">
        <f t="shared" si="11"/>
        <v>19.05</v>
      </c>
      <c r="AQ36" s="20">
        <f t="shared" si="12"/>
        <v>32.950000000000003</v>
      </c>
      <c r="AR36" s="20">
        <f t="shared" si="13"/>
        <v>65.2</v>
      </c>
      <c r="AS36" s="35">
        <f>SUM(AF36:AR36)</f>
        <v>356.4</v>
      </c>
      <c r="AT36" s="48"/>
      <c r="AV36" s="52">
        <v>0</v>
      </c>
      <c r="AW36" s="51">
        <f t="shared" si="14"/>
        <v>0</v>
      </c>
      <c r="AX36" s="53">
        <f t="shared" si="17"/>
        <v>0</v>
      </c>
      <c r="AY36" s="59">
        <v>116569</v>
      </c>
      <c r="AZ36" s="37">
        <f t="shared" si="18"/>
        <v>236500</v>
      </c>
      <c r="BA36" s="37">
        <f t="shared" si="19"/>
        <v>645.64499999999998</v>
      </c>
      <c r="BB36" s="46">
        <f t="shared" si="20"/>
        <v>286.92463800000002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si="22"/>
        <v>0</v>
      </c>
      <c r="S37" s="37" t="str">
        <f t="shared" ref="S37" si="39">IF((E37-E36&lt;0), "0",E37-E36)</f>
        <v>0</v>
      </c>
      <c r="T37" s="37" t="str">
        <f t="shared" ref="T37" si="40">IF((F37-F36&lt;0), "0",F37-F36)</f>
        <v>0</v>
      </c>
      <c r="U37" s="37" t="str">
        <f t="shared" ref="U37" si="41">IF((G37-G36&lt;0), "0",G37-G36)</f>
        <v>0</v>
      </c>
      <c r="V37" s="37" t="str">
        <f t="shared" ref="V37" si="42">IF((H37-H36&lt;0), "0",H37-H36)</f>
        <v>0</v>
      </c>
      <c r="W37" s="37" t="str">
        <f t="shared" ref="W37" si="43">IF((I37-I36&lt;0), "0",I37-I36)</f>
        <v>0</v>
      </c>
      <c r="X37" s="37" t="str">
        <f t="shared" si="27"/>
        <v>0</v>
      </c>
      <c r="Y37" s="37" t="str">
        <f t="shared" ref="Y37" si="44">IF((K37-K36&lt;0), "0",K37-K36)</f>
        <v>0</v>
      </c>
      <c r="Z37" s="37" t="str">
        <f t="shared" ref="Z37" si="45">IF((L37-L36&lt;0), "0",L37-L36)</f>
        <v>0</v>
      </c>
      <c r="AA37" s="37" t="str">
        <f t="shared" ref="AA37" si="46">IF((M37-M36&lt;0), "0",M37-M36)</f>
        <v>0</v>
      </c>
      <c r="AB37" s="37" t="str">
        <f t="shared" si="31"/>
        <v>0</v>
      </c>
      <c r="AC37" s="37" t="str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48"/>
      <c r="AV37" s="52">
        <v>0</v>
      </c>
      <c r="AW37" s="51">
        <f t="shared" si="14"/>
        <v>0</v>
      </c>
      <c r="AX37" s="53">
        <f t="shared" si="17"/>
        <v>0</v>
      </c>
      <c r="AY37" s="56"/>
      <c r="AZ37" s="37">
        <f t="shared" si="18"/>
        <v>0</v>
      </c>
      <c r="BA37" s="37">
        <f t="shared" si="19"/>
        <v>0</v>
      </c>
      <c r="BB37" s="46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184170</v>
      </c>
      <c r="R38" s="38">
        <f t="shared" ref="R38:AD38" si="60">SUM(R7:R37)</f>
        <v>234720</v>
      </c>
      <c r="S38" s="38">
        <f t="shared" si="60"/>
        <v>43540</v>
      </c>
      <c r="T38" s="38">
        <f t="shared" si="60"/>
        <v>47860</v>
      </c>
      <c r="U38" s="38">
        <f t="shared" si="60"/>
        <v>165560</v>
      </c>
      <c r="V38" s="38">
        <f t="shared" si="60"/>
        <v>138550</v>
      </c>
      <c r="W38" s="38">
        <f t="shared" si="60"/>
        <v>103230</v>
      </c>
      <c r="X38" s="38">
        <f t="shared" si="60"/>
        <v>162380</v>
      </c>
      <c r="Y38" s="38">
        <f t="shared" si="60"/>
        <v>169650</v>
      </c>
      <c r="Z38" s="38">
        <f t="shared" si="60"/>
        <v>89010</v>
      </c>
      <c r="AA38" s="38">
        <f t="shared" si="60"/>
        <v>111340</v>
      </c>
      <c r="AB38" s="38">
        <f t="shared" si="60"/>
        <v>206470</v>
      </c>
      <c r="AC38" s="38">
        <f t="shared" si="60"/>
        <v>426630</v>
      </c>
      <c r="AD38" s="38">
        <f t="shared" si="60"/>
        <v>2083110</v>
      </c>
      <c r="AF38" s="35">
        <f>SUM(AF7:AF37)</f>
        <v>920.85</v>
      </c>
      <c r="AG38" s="35">
        <f t="shared" ref="AG38:AT38" si="61">SUM(AG7:AG37)</f>
        <v>1173.6000000000001</v>
      </c>
      <c r="AH38" s="35">
        <f t="shared" si="61"/>
        <v>217.7</v>
      </c>
      <c r="AI38" s="35">
        <f t="shared" si="61"/>
        <v>239.3</v>
      </c>
      <c r="AJ38" s="35">
        <f t="shared" si="61"/>
        <v>827.79999999999984</v>
      </c>
      <c r="AK38" s="35">
        <f t="shared" si="61"/>
        <v>692.75000000000011</v>
      </c>
      <c r="AL38" s="35">
        <f t="shared" si="61"/>
        <v>516.15000000000009</v>
      </c>
      <c r="AM38" s="35">
        <f t="shared" si="61"/>
        <v>811.90000000000009</v>
      </c>
      <c r="AN38" s="35">
        <f t="shared" si="61"/>
        <v>848.25</v>
      </c>
      <c r="AO38" s="35">
        <f t="shared" si="61"/>
        <v>445.05000000000013</v>
      </c>
      <c r="AP38" s="35">
        <f t="shared" si="61"/>
        <v>556.70000000000005</v>
      </c>
      <c r="AQ38" s="35">
        <f t="shared" si="61"/>
        <v>1032.3499999999999</v>
      </c>
      <c r="AR38" s="35">
        <f t="shared" si="61"/>
        <v>2133.15</v>
      </c>
      <c r="AS38" s="35">
        <f t="shared" si="61"/>
        <v>10415.549999999996</v>
      </c>
      <c r="AT38" s="49">
        <f t="shared" si="61"/>
        <v>0</v>
      </c>
      <c r="AV38" s="52">
        <v>0</v>
      </c>
      <c r="AW38" s="51">
        <f t="shared" si="14"/>
        <v>0</v>
      </c>
      <c r="AX38" s="53">
        <f t="shared" si="17"/>
        <v>0</v>
      </c>
      <c r="AY38" s="57"/>
      <c r="AZ38" s="37">
        <f t="shared" si="18"/>
        <v>0</v>
      </c>
      <c r="BA38" s="37">
        <f>SUM(BA7:BA37)</f>
        <v>19153.134000000002</v>
      </c>
      <c r="BB38" s="46">
        <f t="shared" si="20"/>
        <v>8511.6527496000017</v>
      </c>
    </row>
    <row r="39" spans="1:54" x14ac:dyDescent="0.25">
      <c r="B39" s="39">
        <f>SUM(B7:B37)</f>
        <v>6464</v>
      </c>
      <c r="D39">
        <v>5.0000000000000001E-3</v>
      </c>
      <c r="AV39" s="52">
        <v>0</v>
      </c>
      <c r="AW39" s="51">
        <f t="shared" si="14"/>
        <v>0</v>
      </c>
      <c r="AX39" s="53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0">
        <v>0.52800000000000002</v>
      </c>
      <c r="AX44" s="50">
        <v>3.79E-3</v>
      </c>
      <c r="AY44" s="54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2023-02-15T15:50:22Z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