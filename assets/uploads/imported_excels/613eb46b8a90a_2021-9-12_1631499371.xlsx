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-120" yWindow="-120" windowWidth="29040" windowHeight="1764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T32" i="2"/>
  <c r="T33" i="2"/>
  <c r="T15" i="2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R14" i="2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N15" i="2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M26" i="2"/>
  <c r="L15" i="2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5" i="2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5" i="2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T14" i="2"/>
  <c r="N14" i="2"/>
  <c r="L14" i="2"/>
  <c r="J14" i="2"/>
  <c r="H14" i="2"/>
  <c r="R13" i="2" l="1"/>
  <c r="J13" i="2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P32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J24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D23" i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T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<sst xmlns="http://schemas.openxmlformats.org/spreadsheetml/2006/main" count="445" uniqueCount="150">
  <si>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</si>
  <si>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</si>
  <si>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</si>
  <si>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</si>
  <si>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</si>
  <si>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</si>
  <si>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</si>
  <si>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</si>
  <si>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</si>
  <si>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</si>
  <si>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</si>
  <si>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</si>
  <si>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</si>
  <si>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</si>
  <si>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</si>
  <si>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</si>
  <si>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</si>
  <si>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</si>
  <si>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</si>
  <si>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</si>
  <si>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</si>
  <si>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</si>
  <si>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</si>
  <si>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</si>
  <si>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</si>
  <si>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</si>
  <si>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</si>
  <si>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</si>
  <si>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</si>
  <si>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</si>
  <si>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</si>
  <si>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</si>
  <si>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</si>
  <si>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</si>
  <si>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</si>
  <si>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</si>
  <si>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</si>
  <si>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</si>
  <si>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</si>
  <si>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</si>
  <si>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</si>
  <si>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</si>
  <si>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</si>
  <si>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</si>
  <si>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</si>
  <si>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</si>
  <si>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</si>
  <si>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</si>
  <si>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</si>
  <si>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</si>
  <si>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</si>
  <si>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</si>
  <si>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</si>
  <si>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</si>
  <si>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</si>
  <si>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</si>
  <si>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</si>
  <si>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</si>
  <si>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</si>
  <si>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</si>
  <si>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</si>
  <si>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</si>
  <si>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</si>
  <si>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</si>
  <si>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</si>
  <si>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</si>
  <si>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</si>
  <si>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</si>
  <si>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</si>
  <si>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</si>
  <si>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</si>
  <si>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</si>
  <si>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</si>
  <si>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</si>
  <si>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</si>
  <si>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</si>
  <si>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</si>
  <si>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</si>
  <si>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</si>
  <si>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</si>
  <si>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</si>
  <si>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</si>
  <si>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</si>
  <si>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</si>
  <si>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</si>
  <si>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</si>
  <si>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</si>
  <si>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</si>
  <si>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</si>
  <si>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</si>
  <si>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</si>
  <si>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</si>
  <si>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</si>
  <si>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</si>
  <si>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</si>
  <si>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</si>
  <si>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</si>
  <si>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</si>
  <si>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</si>
  <si>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</si>
  <si>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</si>
  <si>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</si>
  <si>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</si>
  <si>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</si>
  <si>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</si>
  <si>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</si>
  <si>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</si>
  <si>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</si>
  <si>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</si>
  <si>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</si>
  <si>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</si>
  <si>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</si>
  <si>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</si>
  <si>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</si>
  <si>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</si>
  <si>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</si>
  <si>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</si>
  <si>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</si>
  <si>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</si>
  <si>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</si>
  <si>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</si>
  <si>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</si>
  <si>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</si>
  <si>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</si>
  <si>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</si>
  <si>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</si>
  <si>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</si>
  <si>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</si>
  <si>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</si>
  <si>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</si>
  <si>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</si>
  <si>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</si>
  <si>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</si>
  <si>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</si>
  <si>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</si>
  <si>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</si>
  <si>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</si>
  <si>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</si>
  <si>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</si>
  <si>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</si>
  <si>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</si>
  <si>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</si>
  <si>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</si>
  <si>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</si>
  <si>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</si>
  <si>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</si>
  <si>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</si>
  <si>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</si>
  <si>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</si>
  <si>
    <t>Energy Monthly Statement 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</si>
</sst>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C35" sqref="C35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9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9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71053.092512000003</v>
      </c>
      <c r="F4" s="146">
        <v>1.27</v>
      </c>
      <c r="G4" s="42">
        <f>Gas!C5*0.9147</f>
        <v>2091.9189000000001</v>
      </c>
      <c r="H4" s="147">
        <v>3.65</v>
      </c>
      <c r="I4" s="149">
        <f>Submetering!H4+Submetering!AD4+Submetering!AE4</f>
        <v>696</v>
      </c>
      <c r="J4" s="149">
        <v>10.029999999999999</v>
      </c>
      <c r="K4" s="42">
        <f>ELECT.!B5</f>
        <v>139</v>
      </c>
    </row>
    <row r="5" spans="1:14" x14ac:dyDescent="0.2">
      <c r="A5" s="53" t="s">
        <v>53</v>
      </c>
      <c r="B5" s="58">
        <f t="shared" si="0"/>
        <v>4</v>
      </c>
      <c r="C5" s="58">
        <v>9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48001.162227999994</v>
      </c>
      <c r="F5" s="146">
        <v>1.27</v>
      </c>
      <c r="G5" s="42">
        <f>Gas!C6*0.9147</f>
        <v>2063.5632000000001</v>
      </c>
      <c r="H5" s="147">
        <v>3.65</v>
      </c>
      <c r="I5" s="149">
        <f>Submetering!H5+Submetering!AD5+Submetering!AE5</f>
        <v>856</v>
      </c>
      <c r="J5" s="149">
        <v>10.029999999999999</v>
      </c>
      <c r="K5" s="42">
        <f>ELECT.!B6</f>
        <v>145</v>
      </c>
    </row>
    <row r="6" spans="1:14" x14ac:dyDescent="0.2">
      <c r="A6" s="53" t="s">
        <v>53</v>
      </c>
      <c r="B6" s="58">
        <f t="shared" si="0"/>
        <v>5</v>
      </c>
      <c r="C6" s="58">
        <v>9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67258.54722800001</v>
      </c>
      <c r="F6" s="146">
        <v>1.27</v>
      </c>
      <c r="G6" s="42">
        <f>Gas!C7*0.9147</f>
        <v>2239.1855999999998</v>
      </c>
      <c r="H6" s="147">
        <v>3.65</v>
      </c>
      <c r="I6" s="149">
        <f>Submetering!H6+Submetering!AD6+Submetering!AE6</f>
        <v>876</v>
      </c>
      <c r="J6" s="149">
        <v>10.029999999999999</v>
      </c>
      <c r="K6" s="42">
        <f>ELECT.!B7</f>
        <v>130</v>
      </c>
    </row>
    <row r="7" spans="1:14" x14ac:dyDescent="0.2">
      <c r="A7" s="53" t="s">
        <v>53</v>
      </c>
      <c r="B7" s="58">
        <f t="shared" si="0"/>
        <v>6</v>
      </c>
      <c r="C7" s="58">
        <v>9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83049.550864000004</v>
      </c>
      <c r="F7" s="146">
        <v>1.27</v>
      </c>
      <c r="G7" s="42">
        <f>Gas!C8*0.9147</f>
        <v>1865.0733</v>
      </c>
      <c r="H7" s="147">
        <v>3.65</v>
      </c>
      <c r="I7" s="149">
        <f>Submetering!H7+Submetering!AD7+Submetering!AE7</f>
        <v>886.00000000000011</v>
      </c>
      <c r="J7" s="149">
        <v>10.029999999999999</v>
      </c>
      <c r="K7" s="42">
        <f>ELECT.!B8</f>
        <v>138</v>
      </c>
    </row>
    <row r="8" spans="1:14" x14ac:dyDescent="0.2">
      <c r="A8" s="53" t="s">
        <v>53</v>
      </c>
      <c r="B8" s="58">
        <f t="shared" si="0"/>
        <v>7</v>
      </c>
      <c r="C8" s="58">
        <v>9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52467.607612000007</v>
      </c>
      <c r="F8" s="146">
        <v>1.27</v>
      </c>
      <c r="G8" s="42">
        <f>Gas!C9*0.9147</f>
        <v>1921.7846999999999</v>
      </c>
      <c r="H8" s="147">
        <v>3.65</v>
      </c>
      <c r="I8" s="149">
        <f>Submetering!H8+Submetering!AD8+Submetering!AE8</f>
        <v>776</v>
      </c>
      <c r="J8" s="149">
        <v>10.029999999999999</v>
      </c>
      <c r="K8" s="42">
        <f>ELECT.!B9</f>
        <v>140</v>
      </c>
    </row>
    <row r="9" spans="1:14" x14ac:dyDescent="0.2">
      <c r="A9" s="53" t="s">
        <v>53</v>
      </c>
      <c r="B9" s="58">
        <f t="shared" si="0"/>
        <v>8</v>
      </c>
      <c r="C9" s="58">
        <v>9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64139.256304000002</v>
      </c>
      <c r="F9" s="146">
        <v>1.27</v>
      </c>
      <c r="G9" s="42">
        <f>Gas!C10*0.9147</f>
        <v>2003.193</v>
      </c>
      <c r="H9" s="147">
        <v>3.65</v>
      </c>
      <c r="I9" s="149">
        <f>Submetering!H9+Submetering!AD9+Submetering!AE9</f>
        <v>916</v>
      </c>
      <c r="J9" s="149">
        <v>10.029999999999999</v>
      </c>
      <c r="K9" s="42">
        <f>ELECT.!B10</f>
        <v>167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9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90553.188407999987</v>
      </c>
      <c r="F10" s="146">
        <v>1.27</v>
      </c>
      <c r="G10" s="42">
        <f>Gas!C11*0.9147</f>
        <v>1838.547</v>
      </c>
      <c r="H10" s="147">
        <v>3.65</v>
      </c>
      <c r="I10" s="149">
        <f>Submetering!H10+Submetering!AD10+Submetering!AE10</f>
        <v>846</v>
      </c>
      <c r="J10" s="149">
        <v>10.029999999999999</v>
      </c>
      <c r="K10" s="42">
        <f>ELECT.!B11</f>
        <v>200</v>
      </c>
    </row>
    <row r="11" spans="1:14" x14ac:dyDescent="0.2">
      <c r="A11" s="53" t="s">
        <v>53</v>
      </c>
      <c r="B11" s="58">
        <f t="shared" si="0"/>
        <v>10</v>
      </c>
      <c r="C11" s="58">
        <v>9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70032.419624000002</v>
      </c>
      <c r="F11" s="146">
        <v>1.27</v>
      </c>
      <c r="G11" s="42">
        <f>Gas!C12*0.9147</f>
        <v>1909.8935999999999</v>
      </c>
      <c r="H11" s="147">
        <v>3.65</v>
      </c>
      <c r="I11" s="149">
        <f>Submetering!H11+Submetering!AD11+Submetering!AE11</f>
        <v>846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9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71341.768108000004</v>
      </c>
      <c r="F12" s="146">
        <v>1.27</v>
      </c>
      <c r="G12" s="42">
        <f>Gas!C13*0.9147</f>
        <v>2452.3107</v>
      </c>
      <c r="H12" s="147">
        <v>3.65</v>
      </c>
      <c r="I12" s="149">
        <f>Submetering!H12+Submetering!AD12+Submetering!AE12</f>
        <v>596</v>
      </c>
      <c r="J12" s="149">
        <v>10.029999999999999</v>
      </c>
      <c r="K12" s="42">
        <f>ELECT.!B13</f>
        <v>147</v>
      </c>
    </row>
    <row r="13" spans="1:14" x14ac:dyDescent="0.2">
      <c r="A13" s="53" t="s">
        <v>53</v>
      </c>
      <c r="B13" s="58">
        <f t="shared" si="0"/>
        <v>12</v>
      </c>
      <c r="C13" s="58">
        <v>9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45617.085191999999</v>
      </c>
      <c r="F13" s="146">
        <v>1.27</v>
      </c>
      <c r="G13" s="42">
        <f>Gas!C14*0.9147</f>
        <v>1998.6195</v>
      </c>
      <c r="H13" s="147">
        <v>3.65</v>
      </c>
      <c r="I13" s="149">
        <f>Submetering!H13+Submetering!AD13+Submetering!AE13</f>
        <v>1116</v>
      </c>
      <c r="J13" s="149">
        <v>10.029999999999999</v>
      </c>
      <c r="K13" s="42">
        <f>ELECT.!B14</f>
        <v>150</v>
      </c>
    </row>
    <row r="14" spans="1:14" x14ac:dyDescent="0.2">
      <c r="A14" s="53" t="s">
        <v>53</v>
      </c>
      <c r="B14" s="58">
        <f t="shared" si="0"/>
        <v>13</v>
      </c>
      <c r="C14" s="58">
        <v>9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9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9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9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9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9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9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9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9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9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9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9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9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9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9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9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9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84690560.445600003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39" sqref="C39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9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9</v>
      </c>
      <c r="D4" s="58">
        <v>2021</v>
      </c>
      <c r="E4" s="42">
        <f>Water!C5</f>
        <v>890</v>
      </c>
      <c r="F4" s="42">
        <f>Water!E5</f>
        <v>0</v>
      </c>
      <c r="G4" s="42">
        <f>Water!G5</f>
        <v>483.3</v>
      </c>
      <c r="H4" s="42">
        <f>Water!I5</f>
        <v>3.1320000000000001</v>
      </c>
      <c r="I4" s="42">
        <f>ELECT.!F5</f>
        <v>16993</v>
      </c>
      <c r="J4" s="42">
        <f>ELECT.!H5</f>
        <v>57179</v>
      </c>
      <c r="K4" s="42">
        <f>ELECT.!K5</f>
        <v>4551</v>
      </c>
      <c r="L4" s="42">
        <f>ELECT.!M5</f>
        <v>5477</v>
      </c>
      <c r="M4" s="42">
        <f>ELECT.!O5</f>
        <v>11266</v>
      </c>
      <c r="N4" s="42">
        <f>ELECT.!Q5</f>
        <v>14370</v>
      </c>
      <c r="O4" s="42">
        <f>ELECT.!S5</f>
        <v>11214</v>
      </c>
      <c r="P4" s="42">
        <f>ELECT.!W5*2</f>
        <v>25354</v>
      </c>
      <c r="Q4" s="42">
        <f>ELECT.!D5</f>
        <v>1120</v>
      </c>
      <c r="R4" s="43">
        <f>BTU!C5</f>
        <v>14.291999999997643</v>
      </c>
      <c r="S4" s="43">
        <f>BTU!F5</f>
        <v>2.2080000000000837</v>
      </c>
      <c r="T4" s="43">
        <f>BTU!I5</f>
        <v>9</v>
      </c>
      <c r="U4" s="43">
        <f>BTU!O5</f>
        <v>1.5229999999996835</v>
      </c>
      <c r="V4" s="43">
        <f>BTU!L5</f>
        <v>1.9900000000016007</v>
      </c>
      <c r="W4" s="43">
        <f>BTU!R5</f>
        <v>2.8000000000001819</v>
      </c>
      <c r="X4" s="40">
        <f>ELECT.!B5</f>
        <v>139</v>
      </c>
      <c r="Y4" s="40">
        <f t="shared" si="0"/>
        <v>1940</v>
      </c>
      <c r="Z4">
        <f>'Mall, Citadel, Rotana'!C5+'Mall, Citadel, Rotana'!E5+'Mall, Citadel, Rotana'!G5+'Mall, Citadel, Rotana'!I5</f>
        <v>1561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91.320002400000007</v>
      </c>
      <c r="AE4" s="40">
        <f t="shared" si="2"/>
        <v>601.54799760000003</v>
      </c>
    </row>
    <row r="5" spans="1:31" x14ac:dyDescent="0.2">
      <c r="A5" s="53" t="s">
        <v>53</v>
      </c>
      <c r="B5" s="58">
        <f t="shared" si="3"/>
        <v>4</v>
      </c>
      <c r="C5" s="58">
        <v>9</v>
      </c>
      <c r="D5" s="58">
        <v>2021</v>
      </c>
      <c r="E5" s="42">
        <f>Water!C6</f>
        <v>1050</v>
      </c>
      <c r="F5" s="42">
        <f>Water!E6</f>
        <v>0</v>
      </c>
      <c r="G5" s="42">
        <f>Water!G6</f>
        <v>534.6</v>
      </c>
      <c r="H5" s="42">
        <f>Water!I6</f>
        <v>4.1310000000000002</v>
      </c>
      <c r="I5" s="42">
        <f>ELECT.!F6</f>
        <v>11441</v>
      </c>
      <c r="J5" s="42">
        <f>ELECT.!H6</f>
        <v>38605</v>
      </c>
      <c r="K5" s="42">
        <f>ELECT.!K6</f>
        <v>3415</v>
      </c>
      <c r="L5" s="42">
        <f>ELECT.!M6</f>
        <v>3727</v>
      </c>
      <c r="M5" s="42">
        <f>ELECT.!O6</f>
        <v>7614</v>
      </c>
      <c r="N5" s="42">
        <f>ELECT.!Q6</f>
        <v>8871</v>
      </c>
      <c r="O5" s="42">
        <f>ELECT.!S6</f>
        <v>7797</v>
      </c>
      <c r="P5" s="42">
        <f>ELECT.!W6*2</f>
        <v>17270</v>
      </c>
      <c r="Q5" s="42">
        <f>ELECT.!D6</f>
        <v>960</v>
      </c>
      <c r="R5" s="43">
        <f>BTU!C6</f>
        <v>13.541000000001077</v>
      </c>
      <c r="S5" s="43">
        <f>BTU!F6</f>
        <v>2.0859999999997854</v>
      </c>
      <c r="T5" s="43">
        <f>BTU!I6</f>
        <v>9</v>
      </c>
      <c r="U5" s="43">
        <f>BTU!O6</f>
        <v>1.5830000000000837</v>
      </c>
      <c r="V5" s="43">
        <f>BTU!L6</f>
        <v>1.8099999999994907</v>
      </c>
      <c r="W5" s="43">
        <f>BTU!R6</f>
        <v>3.0299999999997453</v>
      </c>
      <c r="X5" s="40">
        <f>ELECT.!B6</f>
        <v>145</v>
      </c>
      <c r="Y5" s="40">
        <f t="shared" si="0"/>
        <v>1352</v>
      </c>
      <c r="Z5">
        <f>'Mall, Citadel, Rotana'!C6+'Mall, Citadel, Rotana'!E6+'Mall, Citadel, Rotana'!G6+'Mall, Citadel, Rotana'!I6</f>
        <v>1049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112.27633419999999</v>
      </c>
      <c r="AE5" s="40">
        <f t="shared" si="2"/>
        <v>739.59266579999996</v>
      </c>
    </row>
    <row r="6" spans="1:31" x14ac:dyDescent="0.2">
      <c r="A6" s="53" t="s">
        <v>53</v>
      </c>
      <c r="B6" s="58">
        <f t="shared" si="3"/>
        <v>5</v>
      </c>
      <c r="C6" s="58">
        <v>9</v>
      </c>
      <c r="D6" s="58">
        <v>2021</v>
      </c>
      <c r="E6" s="42">
        <f>Water!C7</f>
        <v>1070</v>
      </c>
      <c r="F6" s="42">
        <f>Water!E7</f>
        <v>0</v>
      </c>
      <c r="G6" s="42">
        <f>Water!G7</f>
        <v>529.20000000000005</v>
      </c>
      <c r="H6" s="42">
        <f>Water!I7</f>
        <v>4.2389999999999999</v>
      </c>
      <c r="I6" s="42">
        <f>ELECT.!F7</f>
        <v>754</v>
      </c>
      <c r="J6" s="42">
        <f>ELECT.!H7</f>
        <v>69538</v>
      </c>
      <c r="K6" s="42">
        <f>ELECT.!K7</f>
        <v>6941</v>
      </c>
      <c r="L6" s="42">
        <f>ELECT.!M7</f>
        <v>6645</v>
      </c>
      <c r="M6" s="42">
        <f>ELECT.!O7</f>
        <v>13450</v>
      </c>
      <c r="N6" s="42">
        <f>ELECT.!Q7</f>
        <v>17531</v>
      </c>
      <c r="O6" s="42">
        <f>ELECT.!S7</f>
        <v>13063</v>
      </c>
      <c r="P6" s="42">
        <f>ELECT.!W7*2</f>
        <v>30354</v>
      </c>
      <c r="Q6" s="42">
        <f>ELECT.!D7</f>
        <v>960</v>
      </c>
      <c r="R6" s="43">
        <f>BTU!C7</f>
        <v>13.554000000000087</v>
      </c>
      <c r="S6" s="43">
        <f>BTU!F7</f>
        <v>2.7049999999999272</v>
      </c>
      <c r="T6" s="43">
        <f>BTU!I7</f>
        <v>9</v>
      </c>
      <c r="U6" s="43">
        <f>BTU!O7</f>
        <v>1.4859999999998763</v>
      </c>
      <c r="V6" s="43">
        <f>BTU!L7</f>
        <v>1.7399999999997817</v>
      </c>
      <c r="W6" s="43">
        <f>BTU!R7</f>
        <v>3.1000000000003638</v>
      </c>
      <c r="X6" s="40">
        <f>ELECT.!B7</f>
        <v>130</v>
      </c>
      <c r="Y6" s="40">
        <f t="shared" si="0"/>
        <v>-17692</v>
      </c>
      <c r="Z6">
        <f>'Mall, Citadel, Rotana'!C7+'Mall, Citadel, Rotana'!E7+'Mall, Citadel, Rotana'!G7+'Mall, Citadel, Rotana'!I7</f>
        <v>1544</v>
      </c>
      <c r="AA6">
        <f>'Mall, Citadel, Rotana'!K7+'Mall, Citadel, Rotana'!M7</f>
        <v>800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114.8980998</v>
      </c>
      <c r="AE6" s="40">
        <f t="shared" si="2"/>
        <v>756.86290020000001</v>
      </c>
    </row>
    <row r="7" spans="1:31" x14ac:dyDescent="0.2">
      <c r="A7" s="53" t="s">
        <v>53</v>
      </c>
      <c r="B7" s="58">
        <f t="shared" si="3"/>
        <v>6</v>
      </c>
      <c r="C7" s="58">
        <v>9</v>
      </c>
      <c r="D7" s="58">
        <v>2021</v>
      </c>
      <c r="E7" s="42">
        <f>Water!C8</f>
        <v>1080</v>
      </c>
      <c r="F7" s="42">
        <f>Water!E8</f>
        <v>0</v>
      </c>
      <c r="G7" s="42">
        <f>Water!G8</f>
        <v>518.4</v>
      </c>
      <c r="H7" s="42">
        <f>Water!I8</f>
        <v>4.05</v>
      </c>
      <c r="I7" s="42">
        <f>ELECT.!F8</f>
        <v>34770</v>
      </c>
      <c r="J7" s="42">
        <f>ELECT.!H8</f>
        <v>51876</v>
      </c>
      <c r="K7" s="42">
        <f>ELECT.!K8</f>
        <v>5745</v>
      </c>
      <c r="L7" s="42">
        <f>ELECT.!M8</f>
        <v>5191</v>
      </c>
      <c r="M7" s="42">
        <f>ELECT.!O8</f>
        <v>9828</v>
      </c>
      <c r="N7" s="42">
        <f>ELECT.!Q8</f>
        <v>11667</v>
      </c>
      <c r="O7" s="42">
        <f>ELECT.!S8</f>
        <v>10128</v>
      </c>
      <c r="P7" s="42">
        <f>ELECT.!W8*2</f>
        <v>22868</v>
      </c>
      <c r="Q7" s="42">
        <f>ELECT.!D8</f>
        <v>960</v>
      </c>
      <c r="R7" s="43">
        <f>BTU!C8</f>
        <v>14.618999999998778</v>
      </c>
      <c r="S7" s="43">
        <f>BTU!F8</f>
        <v>3.7580000000002656</v>
      </c>
      <c r="T7" s="43">
        <f>BTU!I8</f>
        <v>9</v>
      </c>
      <c r="U7" s="43">
        <f>BTU!O8</f>
        <v>1.7860000000000582</v>
      </c>
      <c r="V7" s="43">
        <f>BTU!L8</f>
        <v>1.7900000000008731</v>
      </c>
      <c r="W7" s="43">
        <f>BTU!R8</f>
        <v>1.6499999999996362</v>
      </c>
      <c r="X7" s="40">
        <f>ELECT.!B8</f>
        <v>138</v>
      </c>
      <c r="Y7" s="40">
        <f t="shared" si="0"/>
        <v>21219</v>
      </c>
      <c r="Z7">
        <f>'Mall, Citadel, Rotana'!C8+'Mall, Citadel, Rotana'!E8+'Mall, Citadel, Rotana'!G8+'Mall, Citadel, Rotana'!I8</f>
        <v>1384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116.24101</v>
      </c>
      <c r="AE7" s="40">
        <f t="shared" si="2"/>
        <v>765.70899000000009</v>
      </c>
    </row>
    <row r="8" spans="1:31" x14ac:dyDescent="0.2">
      <c r="A8" s="53" t="s">
        <v>53</v>
      </c>
      <c r="B8" s="58">
        <f t="shared" si="3"/>
        <v>7</v>
      </c>
      <c r="C8" s="58">
        <v>9</v>
      </c>
      <c r="D8" s="58">
        <v>2021</v>
      </c>
      <c r="E8" s="42">
        <f>Water!C9</f>
        <v>970</v>
      </c>
      <c r="F8" s="42">
        <f>Water!E9</f>
        <v>0</v>
      </c>
      <c r="G8" s="42">
        <f>Water!G9</f>
        <v>513</v>
      </c>
      <c r="H8" s="42">
        <f>Water!I9</f>
        <v>4.5090000000000003</v>
      </c>
      <c r="I8" s="42">
        <f>ELECT.!F9</f>
        <v>12097</v>
      </c>
      <c r="J8" s="42">
        <f>ELECT.!H9</f>
        <v>43264</v>
      </c>
      <c r="K8" s="42">
        <f>ELECT.!K9</f>
        <v>4829</v>
      </c>
      <c r="L8" s="42">
        <f>ELECT.!M9</f>
        <v>3945</v>
      </c>
      <c r="M8" s="42">
        <f>ELECT.!O9</f>
        <v>18022</v>
      </c>
      <c r="N8" s="42">
        <f>ELECT.!Q9</f>
        <v>9583</v>
      </c>
      <c r="O8" s="42">
        <f>ELECT.!S9</f>
        <v>8509</v>
      </c>
      <c r="P8" s="42">
        <f>ELECT.!W9*2</f>
        <v>18984</v>
      </c>
      <c r="Q8" s="42">
        <f>ELECT.!D9</f>
        <v>1120</v>
      </c>
      <c r="R8" s="43">
        <f>BTU!C9</f>
        <v>13.841000000000349</v>
      </c>
      <c r="S8" s="43">
        <f>BTU!F9</f>
        <v>3.2519999999999527</v>
      </c>
      <c r="T8" s="43">
        <f>BTU!I9</f>
        <v>9</v>
      </c>
      <c r="U8" s="43">
        <f>BTU!O9</f>
        <v>1.7530000000001564</v>
      </c>
      <c r="V8" s="43">
        <f>BTU!L9</f>
        <v>2.0199999999986176</v>
      </c>
      <c r="W8" s="43">
        <f>BTU!R9</f>
        <v>1.9600000000000364</v>
      </c>
      <c r="X8" s="40">
        <f>ELECT.!B9</f>
        <v>140</v>
      </c>
      <c r="Y8" s="40">
        <f t="shared" si="0"/>
        <v>-8511</v>
      </c>
      <c r="Z8">
        <f>'Mall, Citadel, Rotana'!C9+'Mall, Citadel, Rotana'!E9+'Mall, Citadel, Rotana'!G9+'Mall, Citadel, Rotana'!I9</f>
        <v>1538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101.6825138</v>
      </c>
      <c r="AE8" s="40">
        <f t="shared" si="2"/>
        <v>669.80848619999995</v>
      </c>
    </row>
    <row r="9" spans="1:31" x14ac:dyDescent="0.2">
      <c r="A9" s="53" t="s">
        <v>53</v>
      </c>
      <c r="B9" s="58">
        <f t="shared" si="3"/>
        <v>8</v>
      </c>
      <c r="C9" s="58">
        <v>9</v>
      </c>
      <c r="D9" s="58">
        <v>2021</v>
      </c>
      <c r="E9" s="42">
        <f>Water!C10</f>
        <v>1110</v>
      </c>
      <c r="F9" s="42">
        <f>Water!E10</f>
        <v>0</v>
      </c>
      <c r="G9" s="42">
        <f>Water!G10</f>
        <v>580.5</v>
      </c>
      <c r="H9" s="42">
        <f>Water!I10</f>
        <v>5.1029999999999998</v>
      </c>
      <c r="I9" s="42">
        <f>ELECT.!F10</f>
        <v>14902</v>
      </c>
      <c r="J9" s="42">
        <f>ELECT.!H10</f>
        <v>52395</v>
      </c>
      <c r="K9" s="42">
        <f>ELECT.!K10</f>
        <v>6603</v>
      </c>
      <c r="L9" s="42">
        <f>ELECT.!M10</f>
        <v>4848</v>
      </c>
      <c r="M9" s="42">
        <f>ELECT.!O10</f>
        <v>1890</v>
      </c>
      <c r="N9" s="42">
        <f>ELECT.!Q10</f>
        <v>12046</v>
      </c>
      <c r="O9" s="42">
        <f>ELECT.!S10</f>
        <v>10192</v>
      </c>
      <c r="P9" s="42">
        <f>ELECT.!W10*2</f>
        <v>22764</v>
      </c>
      <c r="Q9" s="42">
        <f>ELECT.!D10</f>
        <v>800</v>
      </c>
      <c r="R9" s="43">
        <f>BTU!C10</f>
        <v>12.595000000001164</v>
      </c>
      <c r="S9" s="43">
        <f>BTU!F10</f>
        <v>2.5789999999997235</v>
      </c>
      <c r="T9" s="43">
        <f>BTU!I10</f>
        <v>7</v>
      </c>
      <c r="U9" s="43">
        <f>BTU!O10</f>
        <v>1.5210000000001855</v>
      </c>
      <c r="V9" s="43">
        <f>BTU!L10</f>
        <v>1.7700000000004366</v>
      </c>
      <c r="W9" s="43">
        <f>BTU!R10</f>
        <v>3.2899999999999636</v>
      </c>
      <c r="X9" s="40">
        <f>ELECT.!B10</f>
        <v>167</v>
      </c>
      <c r="Y9" s="40">
        <f t="shared" si="0"/>
        <v>8954</v>
      </c>
      <c r="Z9">
        <f>'Mall, Citadel, Rotana'!C10+'Mall, Citadel, Rotana'!E10+'Mall, Citadel, Rotana'!G10+'Mall, Citadel, Rotana'!I10</f>
        <v>1579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120.05622459999999</v>
      </c>
      <c r="AE9" s="40">
        <f t="shared" si="2"/>
        <v>790.84077539999998</v>
      </c>
    </row>
    <row r="10" spans="1:31" x14ac:dyDescent="0.2">
      <c r="A10" s="53" t="s">
        <v>53</v>
      </c>
      <c r="B10" s="58">
        <f t="shared" si="3"/>
        <v>9</v>
      </c>
      <c r="C10" s="58">
        <v>9</v>
      </c>
      <c r="D10" s="58">
        <v>2021</v>
      </c>
      <c r="E10" s="42">
        <f>Water!C11</f>
        <v>1040</v>
      </c>
      <c r="F10" s="42">
        <f>Water!E11</f>
        <v>0</v>
      </c>
      <c r="G10" s="42">
        <f>Water!G11</f>
        <v>515.70000000000005</v>
      </c>
      <c r="H10" s="42">
        <f>Water!I11</f>
        <v>4.1040000000000001</v>
      </c>
      <c r="I10" s="42">
        <f>ELECT.!F11</f>
        <v>21083</v>
      </c>
      <c r="J10" s="42">
        <f>ELECT.!H11</f>
        <v>73078</v>
      </c>
      <c r="K10" s="42">
        <f>ELECT.!K11</f>
        <v>7507</v>
      </c>
      <c r="L10" s="42">
        <f>ELECT.!M11</f>
        <v>6845</v>
      </c>
      <c r="M10" s="42">
        <f>ELECT.!O11</f>
        <v>12018</v>
      </c>
      <c r="N10" s="42">
        <f>ELECT.!Q11</f>
        <v>17242</v>
      </c>
      <c r="O10" s="42">
        <f>ELECT.!S11</f>
        <v>14518</v>
      </c>
      <c r="P10" s="42">
        <f>ELECT.!W11*2</f>
        <v>30944</v>
      </c>
      <c r="Q10" s="42">
        <f>ELECT.!D11</f>
        <v>960</v>
      </c>
      <c r="R10" s="43">
        <f>BTU!C11</f>
        <v>14.138999999999214</v>
      </c>
      <c r="S10" s="43">
        <f>BTU!F11</f>
        <v>3.2950000000000728</v>
      </c>
      <c r="T10" s="43">
        <f>BTU!I11</f>
        <v>10</v>
      </c>
      <c r="U10" s="43">
        <f>BTU!O11</f>
        <v>1.9919999999997344</v>
      </c>
      <c r="V10" s="43">
        <f>BTU!L11</f>
        <v>1.9400000000005093</v>
      </c>
      <c r="W10" s="43">
        <f>BTU!R11</f>
        <v>2.3900000000003274</v>
      </c>
      <c r="X10" s="40">
        <f>ELECT.!B11</f>
        <v>200</v>
      </c>
      <c r="Y10" s="40">
        <f t="shared" si="0"/>
        <v>5087</v>
      </c>
      <c r="Z10">
        <f>'Mall, Citadel, Rotana'!C11+'Mall, Citadel, Rotana'!E11+'Mall, Citadel, Rotana'!G11+'Mall, Citadel, Rotana'!I11</f>
        <v>1562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110.9618928</v>
      </c>
      <c r="AE10" s="40">
        <f t="shared" si="2"/>
        <v>730.93410719999997</v>
      </c>
    </row>
    <row r="11" spans="1:31" x14ac:dyDescent="0.2">
      <c r="A11" s="53" t="s">
        <v>53</v>
      </c>
      <c r="B11" s="58">
        <f t="shared" si="3"/>
        <v>10</v>
      </c>
      <c r="C11" s="58">
        <v>9</v>
      </c>
      <c r="D11" s="58">
        <v>2021</v>
      </c>
      <c r="E11" s="42">
        <f>Water!C12</f>
        <v>1040</v>
      </c>
      <c r="F11" s="42">
        <f>Water!E12</f>
        <v>0</v>
      </c>
      <c r="G11" s="42">
        <f>Water!G12</f>
        <v>499.5</v>
      </c>
      <c r="H11" s="42">
        <f>Water!I12</f>
        <v>4.2119999999999997</v>
      </c>
      <c r="I11" s="42">
        <f>ELECT.!F12</f>
        <v>16340</v>
      </c>
      <c r="J11" s="42">
        <f>ELECT.!H12</f>
        <v>56440</v>
      </c>
      <c r="K11" s="42">
        <f>ELECT.!K12</f>
        <v>5623</v>
      </c>
      <c r="L11" s="42">
        <f>ELECT.!M12</f>
        <v>5250</v>
      </c>
      <c r="M11" s="42">
        <f>ELECT.!O12</f>
        <v>10848</v>
      </c>
      <c r="N11" s="42">
        <f>ELECT.!Q12</f>
        <v>12942</v>
      </c>
      <c r="O11" s="42">
        <f>ELECT.!S12</f>
        <v>11484</v>
      </c>
      <c r="P11" s="42">
        <f>ELECT.!W12*2</f>
        <v>24502</v>
      </c>
      <c r="Q11" s="42">
        <f>ELECT.!D12</f>
        <v>960</v>
      </c>
      <c r="R11" s="43">
        <f>BTU!C12</f>
        <v>15.042000000001281</v>
      </c>
      <c r="S11" s="43">
        <f>BTU!F12</f>
        <v>2.3949999999999818</v>
      </c>
      <c r="T11" s="43">
        <f>BTU!I12</f>
        <v>8</v>
      </c>
      <c r="U11" s="43">
        <f>BTU!O12</f>
        <v>1.8650000000002365</v>
      </c>
      <c r="V11" s="43">
        <f>BTU!L12</f>
        <v>2.2600000000002183</v>
      </c>
      <c r="W11" s="43">
        <f>BTU!R12</f>
        <v>2.1099999999996726</v>
      </c>
      <c r="X11" s="40">
        <f>ELECT.!B12</f>
        <v>220</v>
      </c>
      <c r="Y11" s="40">
        <f t="shared" si="0"/>
        <v>2131</v>
      </c>
      <c r="Z11">
        <f>'Mall, Citadel, Rotana'!C12+'Mall, Citadel, Rotana'!E12+'Mall, Citadel, Rotana'!G12+'Mall, Citadel, Rotana'!I12</f>
        <v>1226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110.94765840000001</v>
      </c>
      <c r="AE11" s="40">
        <f t="shared" si="2"/>
        <v>730.84034159999999</v>
      </c>
    </row>
    <row r="12" spans="1:31" x14ac:dyDescent="0.2">
      <c r="A12" s="53" t="s">
        <v>53</v>
      </c>
      <c r="B12" s="58">
        <f t="shared" si="3"/>
        <v>11</v>
      </c>
      <c r="C12" s="58">
        <v>9</v>
      </c>
      <c r="D12" s="58">
        <v>2021</v>
      </c>
      <c r="E12" s="42">
        <f>Water!C13</f>
        <v>790</v>
      </c>
      <c r="F12" s="42">
        <f>Water!E13</f>
        <v>0</v>
      </c>
      <c r="G12" s="42">
        <f>Water!G13</f>
        <v>448.2</v>
      </c>
      <c r="H12" s="42">
        <f>Water!I13</f>
        <v>4.2119999999999997</v>
      </c>
      <c r="I12" s="42">
        <f>ELECT.!F13</f>
        <v>12026</v>
      </c>
      <c r="J12" s="42">
        <f>ELECT.!H13</f>
        <v>62709</v>
      </c>
      <c r="K12" s="42">
        <f>ELECT.!K13</f>
        <v>4616</v>
      </c>
      <c r="L12" s="42">
        <f>ELECT.!M13</f>
        <v>3879</v>
      </c>
      <c r="M12" s="42">
        <f>ELECT.!O13</f>
        <v>8040</v>
      </c>
      <c r="N12" s="42">
        <f>ELECT.!Q13</f>
        <v>9500</v>
      </c>
      <c r="O12" s="42">
        <f>ELECT.!S13</f>
        <v>8823</v>
      </c>
      <c r="P12" s="42">
        <f>ELECT.!W13*2</f>
        <v>18614</v>
      </c>
      <c r="Q12" s="42">
        <f>ELECT.!D13</f>
        <v>1120</v>
      </c>
      <c r="R12" s="43">
        <f>BTU!C13</f>
        <v>13.772000000000844</v>
      </c>
      <c r="S12" s="43">
        <f>BTU!F13</f>
        <v>2.456000000000131</v>
      </c>
      <c r="T12" s="43">
        <f>BTU!I13</f>
        <v>8</v>
      </c>
      <c r="U12" s="43">
        <f>BTU!O13</f>
        <v>1.7639999999996689</v>
      </c>
      <c r="V12" s="43">
        <f>BTU!L13</f>
        <v>2.819999999999709</v>
      </c>
      <c r="W12" s="43">
        <f>BTU!R13</f>
        <v>2.2200000000002547</v>
      </c>
      <c r="X12" s="40">
        <f>ELECT.!B13</f>
        <v>147</v>
      </c>
      <c r="Y12" s="40">
        <f t="shared" si="0"/>
        <v>21263</v>
      </c>
      <c r="Z12">
        <f>'Mall, Citadel, Rotana'!C13+'Mall, Citadel, Rotana'!E13+'Mall, Citadel, Rotana'!G13+'Mall, Citadel, Rotana'!I13</f>
        <v>1543</v>
      </c>
      <c r="AA12">
        <f>'Mall, Citadel, Rotana'!K13+'Mall, Citadel, Rotana'!M13</f>
        <v>480</v>
      </c>
      <c r="AB12">
        <f>'Mall, Citadel, Rotana'!O13</f>
        <v>4</v>
      </c>
      <c r="AC12">
        <f>'Mall, Citadel, Rotana'!Q13+'Mall, Citadel, Rotana'!S13</f>
        <v>0</v>
      </c>
      <c r="AD12" s="40">
        <f t="shared" si="1"/>
        <v>77.997658400000006</v>
      </c>
      <c r="AE12" s="40">
        <f t="shared" si="2"/>
        <v>513.79034160000003</v>
      </c>
    </row>
    <row r="13" spans="1:31" x14ac:dyDescent="0.2">
      <c r="A13" s="53" t="s">
        <v>53</v>
      </c>
      <c r="B13" s="58">
        <f t="shared" si="3"/>
        <v>12</v>
      </c>
      <c r="C13" s="58">
        <v>9</v>
      </c>
      <c r="D13" s="58">
        <v>2021</v>
      </c>
      <c r="E13" s="42">
        <f>Water!C14</f>
        <v>1310</v>
      </c>
      <c r="F13" s="42">
        <f>Water!E14</f>
        <v>0</v>
      </c>
      <c r="G13" s="42">
        <f>Water!G14</f>
        <v>202</v>
      </c>
      <c r="H13" s="42">
        <f>Water!I14</f>
        <v>5.8049999999999997</v>
      </c>
      <c r="I13" s="42">
        <f>ELECT.!F14</f>
        <v>14674</v>
      </c>
      <c r="J13" s="42">
        <f>ELECT.!H14</f>
        <v>31186</v>
      </c>
      <c r="K13" s="42">
        <f>ELECT.!K14</f>
        <v>5646</v>
      </c>
      <c r="L13" s="42">
        <f>ELECT.!M14</f>
        <v>4868</v>
      </c>
      <c r="M13" s="42">
        <f>ELECT.!O14</f>
        <v>9648</v>
      </c>
      <c r="N13" s="42">
        <f>ELECT.!Q14</f>
        <v>11586</v>
      </c>
      <c r="O13" s="42">
        <f>ELECT.!S14</f>
        <v>9980</v>
      </c>
      <c r="P13" s="42">
        <f>ELECT.!W14*2</f>
        <v>22458</v>
      </c>
      <c r="Q13" s="42">
        <f>ELECT.!D14</f>
        <v>960</v>
      </c>
      <c r="R13" s="43">
        <f>BTU!C14</f>
        <v>11.236999999997352</v>
      </c>
      <c r="S13" s="43">
        <f>BTU!F14</f>
        <v>3.1230000000000473</v>
      </c>
      <c r="T13" s="43">
        <f>BTU!I14</f>
        <v>7</v>
      </c>
      <c r="U13" s="43">
        <f>BTU!O14</f>
        <v>1.5440000000003238</v>
      </c>
      <c r="V13" s="43">
        <f>BTU!L14</f>
        <v>2.0599999999994907</v>
      </c>
      <c r="W13" s="43">
        <f>BTU!R14</f>
        <v>2.8800000000001091</v>
      </c>
      <c r="X13" s="40">
        <f>ELECT.!B14</f>
        <v>150</v>
      </c>
      <c r="Y13" s="40">
        <f t="shared" si="0"/>
        <v>-18326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146.323701</v>
      </c>
      <c r="AE13" s="40">
        <f t="shared" si="2"/>
        <v>963.87129899999991</v>
      </c>
    </row>
    <row r="14" spans="1:31" x14ac:dyDescent="0.2">
      <c r="A14" s="53" t="s">
        <v>53</v>
      </c>
      <c r="B14" s="58">
        <f t="shared" si="3"/>
        <v>13</v>
      </c>
      <c r="C14" s="58">
        <v>9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 t="str">
        <f>ELECT.!F15</f>
        <v>0</v>
      </c>
      <c r="J14" s="42" t="str">
        <f>ELECT.!H15</f>
        <v>0</v>
      </c>
      <c r="K14" s="42" t="str">
        <f>ELECT.!K15</f>
        <v>0</v>
      </c>
      <c r="L14" s="42" t="str">
        <f>ELECT.!M15</f>
        <v>0</v>
      </c>
      <c r="M14" s="42">
        <f>ELECT.!O15</f>
        <v>0</v>
      </c>
      <c r="N14" s="42" t="str">
        <f>ELECT.!Q15</f>
        <v>0</v>
      </c>
      <c r="O14" s="42" t="str">
        <f>ELECT.!S15</f>
        <v>0</v>
      </c>
      <c r="P14" s="42">
        <f>ELECT.!W15*2</f>
        <v>0</v>
      </c>
      <c r="Q14" s="42">
        <f>ELECT.!D15</f>
        <v>0</v>
      </c>
      <c r="R14" s="43" t="str">
        <f>BTU!C15</f>
        <v>0</v>
      </c>
      <c r="S14" s="43" t="str">
        <f>BTU!F15</f>
        <v>0</v>
      </c>
      <c r="T14" s="43" t="str">
        <f>BTU!I15</f>
        <v>0</v>
      </c>
      <c r="U14" s="43" t="str">
        <f>BTU!O15</f>
        <v>0</v>
      </c>
      <c r="V14" s="43" t="str">
        <f>BTU!L15</f>
        <v>0</v>
      </c>
      <c r="W14" s="43" t="str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9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9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9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9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9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9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9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9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9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9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9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9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9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9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9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9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87598842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87598842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H14" sqref="H14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1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>
        <v>45843</v>
      </c>
      <c r="C5" s="16">
        <f t="shared" si="0"/>
        <v>960</v>
      </c>
      <c r="D5" s="37">
        <v>39814</v>
      </c>
      <c r="E5" s="16">
        <f t="shared" si="1"/>
        <v>480</v>
      </c>
      <c r="F5" s="37">
        <v>20746</v>
      </c>
      <c r="G5" s="16">
        <f t="shared" si="2"/>
        <v>80</v>
      </c>
      <c r="H5" s="37">
        <v>247803</v>
      </c>
      <c r="I5" s="16">
        <f t="shared" si="3"/>
        <v>41</v>
      </c>
      <c r="J5" s="37">
        <v>303517</v>
      </c>
      <c r="K5" s="16">
        <f t="shared" si="4"/>
        <v>0</v>
      </c>
      <c r="L5" s="37">
        <v>25332</v>
      </c>
      <c r="M5" s="16">
        <f t="shared" si="5"/>
        <v>480</v>
      </c>
      <c r="N5" s="37">
        <v>215845</v>
      </c>
      <c r="O5" s="16">
        <f t="shared" si="6"/>
        <v>3</v>
      </c>
      <c r="P5" s="37">
        <v>120493</v>
      </c>
      <c r="Q5" s="16">
        <f t="shared" si="7"/>
        <v>0</v>
      </c>
      <c r="R5" s="1">
        <v>55047</v>
      </c>
      <c r="S5" s="16">
        <f t="shared" si="8"/>
        <v>0</v>
      </c>
      <c r="T5" s="37">
        <v>3759</v>
      </c>
      <c r="U5" s="16">
        <f t="shared" si="9"/>
        <v>160</v>
      </c>
    </row>
    <row r="6" spans="1:24" ht="13.5" thickBot="1" x14ac:dyDescent="0.25">
      <c r="A6" s="10">
        <v>44443</v>
      </c>
      <c r="B6" s="37">
        <v>45847</v>
      </c>
      <c r="C6" s="16">
        <f t="shared" si="0"/>
        <v>640</v>
      </c>
      <c r="D6" s="37">
        <v>39816</v>
      </c>
      <c r="E6" s="16">
        <f t="shared" si="1"/>
        <v>320</v>
      </c>
      <c r="F6" s="37">
        <v>20749</v>
      </c>
      <c r="G6" s="16">
        <f t="shared" si="2"/>
        <v>60</v>
      </c>
      <c r="H6" s="37">
        <v>247832</v>
      </c>
      <c r="I6" s="16">
        <f t="shared" si="3"/>
        <v>29</v>
      </c>
      <c r="J6" s="37">
        <v>303517</v>
      </c>
      <c r="K6" s="16">
        <f t="shared" si="4"/>
        <v>0</v>
      </c>
      <c r="L6" s="37">
        <v>25334</v>
      </c>
      <c r="M6" s="16">
        <f t="shared" si="5"/>
        <v>320</v>
      </c>
      <c r="N6" s="37">
        <v>215848</v>
      </c>
      <c r="O6" s="16">
        <f t="shared" si="6"/>
        <v>3</v>
      </c>
      <c r="P6" s="37">
        <v>120493</v>
      </c>
      <c r="Q6" s="16">
        <f t="shared" si="7"/>
        <v>0</v>
      </c>
      <c r="R6" s="1">
        <v>55047</v>
      </c>
      <c r="S6" s="16">
        <v>0</v>
      </c>
      <c r="T6" s="37">
        <v>3759</v>
      </c>
      <c r="U6" s="16">
        <f t="shared" si="9"/>
        <v>0</v>
      </c>
    </row>
    <row r="7" spans="1:24" ht="13.5" thickBot="1" x14ac:dyDescent="0.25">
      <c r="A7" s="10">
        <v>44444</v>
      </c>
      <c r="B7" s="37">
        <v>45853</v>
      </c>
      <c r="C7" s="16">
        <f t="shared" si="0"/>
        <v>960</v>
      </c>
      <c r="D7" s="37">
        <v>39819</v>
      </c>
      <c r="E7" s="16">
        <f t="shared" si="1"/>
        <v>480</v>
      </c>
      <c r="F7" s="37">
        <v>20752</v>
      </c>
      <c r="G7" s="16">
        <f t="shared" si="2"/>
        <v>60</v>
      </c>
      <c r="H7" s="37">
        <v>247876</v>
      </c>
      <c r="I7" s="16">
        <f t="shared" si="3"/>
        <v>44</v>
      </c>
      <c r="J7" s="37">
        <v>303517</v>
      </c>
      <c r="K7" s="16">
        <f t="shared" si="4"/>
        <v>0</v>
      </c>
      <c r="L7" s="37">
        <v>25339</v>
      </c>
      <c r="M7" s="16">
        <f t="shared" si="5"/>
        <v>800</v>
      </c>
      <c r="N7" s="37">
        <v>215852</v>
      </c>
      <c r="O7" s="16">
        <f t="shared" si="6"/>
        <v>4</v>
      </c>
      <c r="P7" s="37">
        <v>120493</v>
      </c>
      <c r="Q7" s="16">
        <v>0</v>
      </c>
      <c r="R7" s="1">
        <v>55047</v>
      </c>
      <c r="S7" s="16">
        <v>0</v>
      </c>
      <c r="T7" s="37">
        <v>3761</v>
      </c>
      <c r="U7" s="16">
        <f t="shared" si="9"/>
        <v>320</v>
      </c>
    </row>
    <row r="8" spans="1:24" ht="13.5" thickBot="1" x14ac:dyDescent="0.25">
      <c r="A8" s="10">
        <v>44445</v>
      </c>
      <c r="B8" s="37">
        <v>45858</v>
      </c>
      <c r="C8" s="16">
        <f t="shared" si="0"/>
        <v>800</v>
      </c>
      <c r="D8" s="37">
        <v>39822</v>
      </c>
      <c r="E8" s="16">
        <f t="shared" si="1"/>
        <v>480</v>
      </c>
      <c r="F8" s="37">
        <v>20756</v>
      </c>
      <c r="G8" s="16">
        <f t="shared" si="2"/>
        <v>80</v>
      </c>
      <c r="H8" s="37">
        <v>247900</v>
      </c>
      <c r="I8" s="16">
        <f t="shared" si="3"/>
        <v>24</v>
      </c>
      <c r="J8" s="37">
        <v>303517</v>
      </c>
      <c r="K8" s="16">
        <f t="shared" si="4"/>
        <v>0</v>
      </c>
      <c r="L8" s="37">
        <v>25343</v>
      </c>
      <c r="M8" s="16">
        <f t="shared" si="5"/>
        <v>640</v>
      </c>
      <c r="N8" s="37">
        <v>215855</v>
      </c>
      <c r="O8" s="16">
        <f t="shared" si="6"/>
        <v>3</v>
      </c>
      <c r="P8" s="37">
        <v>120493</v>
      </c>
      <c r="Q8" s="16">
        <f t="shared" si="7"/>
        <v>0</v>
      </c>
      <c r="R8" s="1">
        <v>55047</v>
      </c>
      <c r="S8" s="16">
        <f>R8-R7</f>
        <v>0</v>
      </c>
      <c r="T8" s="37">
        <v>3763</v>
      </c>
      <c r="U8" s="16">
        <f t="shared" si="9"/>
        <v>320</v>
      </c>
    </row>
    <row r="9" spans="1:24" ht="13.5" thickBot="1" x14ac:dyDescent="0.25">
      <c r="A9" s="10">
        <v>44446</v>
      </c>
      <c r="B9" s="37">
        <v>45864</v>
      </c>
      <c r="C9" s="16">
        <f t="shared" si="0"/>
        <v>960</v>
      </c>
      <c r="D9" s="37">
        <v>39825</v>
      </c>
      <c r="E9" s="16">
        <f t="shared" si="1"/>
        <v>480</v>
      </c>
      <c r="F9" s="37">
        <v>20760</v>
      </c>
      <c r="G9" s="16">
        <f t="shared" si="2"/>
        <v>80</v>
      </c>
      <c r="H9" s="37">
        <v>247918</v>
      </c>
      <c r="I9" s="16">
        <f t="shared" si="3"/>
        <v>18</v>
      </c>
      <c r="J9" s="37">
        <v>303517</v>
      </c>
      <c r="K9" s="16">
        <f t="shared" si="4"/>
        <v>0</v>
      </c>
      <c r="L9" s="37">
        <v>25347</v>
      </c>
      <c r="M9" s="16">
        <f t="shared" si="5"/>
        <v>640</v>
      </c>
      <c r="N9" s="37">
        <v>215858</v>
      </c>
      <c r="O9" s="16">
        <f t="shared" si="6"/>
        <v>3</v>
      </c>
      <c r="P9" s="37">
        <v>120493</v>
      </c>
      <c r="Q9" s="16">
        <f>P9-P8</f>
        <v>0</v>
      </c>
      <c r="R9" s="1">
        <v>55047</v>
      </c>
      <c r="S9" s="16">
        <f>R9-R8</f>
        <v>0</v>
      </c>
      <c r="T9" s="37">
        <v>3763</v>
      </c>
      <c r="U9" s="16">
        <f t="shared" si="9"/>
        <v>0</v>
      </c>
    </row>
    <row r="10" spans="1:24" ht="13.5" thickBot="1" x14ac:dyDescent="0.25">
      <c r="A10" s="10">
        <v>44447</v>
      </c>
      <c r="B10" s="37">
        <v>45870</v>
      </c>
      <c r="C10" s="16">
        <f t="shared" si="0"/>
        <v>960</v>
      </c>
      <c r="D10" s="37">
        <v>39828</v>
      </c>
      <c r="E10" s="16">
        <f t="shared" si="1"/>
        <v>480</v>
      </c>
      <c r="F10" s="37">
        <v>20764</v>
      </c>
      <c r="G10" s="16">
        <f t="shared" si="2"/>
        <v>80</v>
      </c>
      <c r="H10" s="37">
        <v>247977</v>
      </c>
      <c r="I10" s="16">
        <f t="shared" si="3"/>
        <v>59</v>
      </c>
      <c r="J10" s="37">
        <v>303517</v>
      </c>
      <c r="K10" s="16">
        <f t="shared" si="4"/>
        <v>0</v>
      </c>
      <c r="L10" s="37">
        <v>25351</v>
      </c>
      <c r="M10" s="16">
        <f t="shared" si="5"/>
        <v>640</v>
      </c>
      <c r="N10" s="37">
        <v>215862</v>
      </c>
      <c r="O10" s="16">
        <f t="shared" si="6"/>
        <v>4</v>
      </c>
      <c r="P10" s="37">
        <v>120493</v>
      </c>
      <c r="Q10" s="16">
        <f>P10-P9</f>
        <v>0</v>
      </c>
      <c r="R10" s="1">
        <v>55047</v>
      </c>
      <c r="S10" s="16">
        <f>R10-R9</f>
        <v>0</v>
      </c>
      <c r="T10" s="37">
        <v>3764</v>
      </c>
      <c r="U10" s="16">
        <f t="shared" si="9"/>
        <v>160</v>
      </c>
    </row>
    <row r="11" spans="1:24" ht="13.5" thickBot="1" x14ac:dyDescent="0.25">
      <c r="A11" s="10">
        <v>44448</v>
      </c>
      <c r="B11" s="37">
        <v>45875</v>
      </c>
      <c r="C11" s="16">
        <f t="shared" si="0"/>
        <v>800</v>
      </c>
      <c r="D11" s="37">
        <v>39832</v>
      </c>
      <c r="E11" s="16">
        <f t="shared" si="1"/>
        <v>640</v>
      </c>
      <c r="F11" s="37">
        <v>20767</v>
      </c>
      <c r="G11" s="16">
        <f t="shared" si="2"/>
        <v>60</v>
      </c>
      <c r="H11" s="37">
        <v>248039</v>
      </c>
      <c r="I11" s="16">
        <f t="shared" si="3"/>
        <v>62</v>
      </c>
      <c r="J11" s="37">
        <v>303517</v>
      </c>
      <c r="K11" s="16">
        <f t="shared" si="4"/>
        <v>0</v>
      </c>
      <c r="L11" s="37">
        <v>25355</v>
      </c>
      <c r="M11" s="16">
        <f t="shared" si="5"/>
        <v>640</v>
      </c>
      <c r="N11" s="37">
        <v>215865</v>
      </c>
      <c r="O11" s="16">
        <f t="shared" si="6"/>
        <v>3</v>
      </c>
      <c r="P11" s="37">
        <v>120493</v>
      </c>
      <c r="Q11" s="16">
        <f t="shared" si="7"/>
        <v>0</v>
      </c>
      <c r="R11" s="1">
        <v>55047</v>
      </c>
      <c r="S11" s="16">
        <f t="shared" si="8"/>
        <v>0</v>
      </c>
      <c r="T11" s="37">
        <v>3766</v>
      </c>
      <c r="U11" s="16">
        <f t="shared" si="9"/>
        <v>320</v>
      </c>
    </row>
    <row r="12" spans="1:24" ht="13.5" thickBot="1" x14ac:dyDescent="0.25">
      <c r="A12" s="10">
        <v>44449</v>
      </c>
      <c r="B12" s="37">
        <v>45880</v>
      </c>
      <c r="C12" s="16">
        <f t="shared" si="0"/>
        <v>800</v>
      </c>
      <c r="D12" s="37">
        <v>39834</v>
      </c>
      <c r="E12" s="16">
        <f t="shared" si="1"/>
        <v>320</v>
      </c>
      <c r="F12" s="37">
        <v>20771</v>
      </c>
      <c r="G12" s="16">
        <f t="shared" si="2"/>
        <v>80</v>
      </c>
      <c r="H12" s="37">
        <v>248065</v>
      </c>
      <c r="I12" s="16">
        <f t="shared" si="3"/>
        <v>26</v>
      </c>
      <c r="J12" s="37">
        <v>303517</v>
      </c>
      <c r="K12" s="16">
        <f t="shared" si="4"/>
        <v>0</v>
      </c>
      <c r="L12" s="37">
        <v>25358</v>
      </c>
      <c r="M12" s="16">
        <f t="shared" si="5"/>
        <v>480</v>
      </c>
      <c r="N12" s="37">
        <v>215868</v>
      </c>
      <c r="O12" s="16">
        <f t="shared" si="6"/>
        <v>3</v>
      </c>
      <c r="P12" s="37">
        <v>120493</v>
      </c>
      <c r="Q12" s="16">
        <f t="shared" si="7"/>
        <v>0</v>
      </c>
      <c r="R12" s="1">
        <v>55047</v>
      </c>
      <c r="S12" s="16">
        <f t="shared" si="8"/>
        <v>0</v>
      </c>
      <c r="T12" s="37">
        <v>3766</v>
      </c>
      <c r="U12" s="16">
        <f t="shared" si="9"/>
        <v>0</v>
      </c>
    </row>
    <row r="13" spans="1:24" ht="13.5" thickBot="1" x14ac:dyDescent="0.25">
      <c r="A13" s="10">
        <v>44450</v>
      </c>
      <c r="B13" s="37">
        <v>45886</v>
      </c>
      <c r="C13" s="16">
        <f t="shared" si="0"/>
        <v>960</v>
      </c>
      <c r="D13" s="37">
        <v>39837</v>
      </c>
      <c r="E13" s="16">
        <f t="shared" si="1"/>
        <v>480</v>
      </c>
      <c r="F13" s="37">
        <v>20774</v>
      </c>
      <c r="G13" s="16">
        <f t="shared" si="2"/>
        <v>60</v>
      </c>
      <c r="H13" s="37">
        <v>248108</v>
      </c>
      <c r="I13" s="16">
        <f t="shared" si="3"/>
        <v>43</v>
      </c>
      <c r="J13" s="37">
        <f>J12</f>
        <v>303517</v>
      </c>
      <c r="K13" s="16">
        <f t="shared" si="4"/>
        <v>0</v>
      </c>
      <c r="L13" s="37">
        <v>25361</v>
      </c>
      <c r="M13" s="16">
        <f t="shared" si="5"/>
        <v>480</v>
      </c>
      <c r="N13" s="37">
        <v>215872</v>
      </c>
      <c r="O13" s="16">
        <f t="shared" si="6"/>
        <v>4</v>
      </c>
      <c r="P13" s="37">
        <v>120493</v>
      </c>
      <c r="Q13" s="16">
        <f t="shared" si="7"/>
        <v>0</v>
      </c>
      <c r="R13" s="1">
        <f>R12</f>
        <v>55047</v>
      </c>
      <c r="S13" s="16">
        <f t="shared" si="8"/>
        <v>0</v>
      </c>
      <c r="T13" s="37">
        <v>3767</v>
      </c>
      <c r="U13" s="16">
        <f t="shared" si="9"/>
        <v>160</v>
      </c>
    </row>
    <row r="14" spans="1:24" ht="13.5" thickBot="1" x14ac:dyDescent="0.25">
      <c r="A14" s="10">
        <v>44451</v>
      </c>
      <c r="B14" s="37">
        <v>45886</v>
      </c>
      <c r="C14" s="16">
        <v>0</v>
      </c>
      <c r="D14" s="37">
        <v>39849</v>
      </c>
      <c r="E14" s="16">
        <v>0</v>
      </c>
      <c r="F14" s="37">
        <v>20777</v>
      </c>
      <c r="G14" s="16">
        <v>0</v>
      </c>
      <c r="H14" s="37">
        <f>H13</f>
        <v>248108</v>
      </c>
      <c r="I14" s="16">
        <v>0</v>
      </c>
      <c r="J14" s="37">
        <f>J13</f>
        <v>303517</v>
      </c>
      <c r="K14" s="16">
        <v>0</v>
      </c>
      <c r="L14" s="37">
        <f>L13</f>
        <v>25361</v>
      </c>
      <c r="M14" s="16">
        <v>0</v>
      </c>
      <c r="N14" s="37">
        <f>N13</f>
        <v>215872</v>
      </c>
      <c r="O14" s="16">
        <v>0</v>
      </c>
      <c r="P14" s="37">
        <v>120493</v>
      </c>
      <c r="Q14" s="16">
        <f t="shared" si="7"/>
        <v>0</v>
      </c>
      <c r="R14" s="1">
        <f t="shared" ref="R14:R33" si="10">R13</f>
        <v>55047</v>
      </c>
      <c r="S14" s="16">
        <v>0</v>
      </c>
      <c r="T14" s="37">
        <f>T13</f>
        <v>3767</v>
      </c>
      <c r="U14" s="16">
        <v>0</v>
      </c>
    </row>
    <row r="15" spans="1:24" ht="13.5" thickBot="1" x14ac:dyDescent="0.25">
      <c r="A15" s="10">
        <v>44452</v>
      </c>
      <c r="B15" s="37">
        <v>45886</v>
      </c>
      <c r="C15" s="16">
        <f t="shared" si="0"/>
        <v>0</v>
      </c>
      <c r="D15" s="37">
        <f t="shared" ref="D15:D33" si="11">D14</f>
        <v>39849</v>
      </c>
      <c r="E15" s="16">
        <f t="shared" si="1"/>
        <v>0</v>
      </c>
      <c r="F15" s="37">
        <f t="shared" ref="F15:F33" si="12">F14</f>
        <v>20777</v>
      </c>
      <c r="G15" s="16">
        <f t="shared" si="2"/>
        <v>0</v>
      </c>
      <c r="H15" s="37">
        <f t="shared" ref="H15:H33" si="13">H14</f>
        <v>248108</v>
      </c>
      <c r="I15" s="16">
        <f t="shared" si="3"/>
        <v>0</v>
      </c>
      <c r="J15" s="37">
        <f t="shared" ref="J15:J33" si="14">J14</f>
        <v>303517</v>
      </c>
      <c r="K15" s="16">
        <f t="shared" si="4"/>
        <v>0</v>
      </c>
      <c r="L15" s="37">
        <f t="shared" ref="L15:L33" si="15">L14</f>
        <v>25361</v>
      </c>
      <c r="M15" s="16">
        <f t="shared" si="5"/>
        <v>0</v>
      </c>
      <c r="N15" s="37">
        <f t="shared" ref="N15:N33" si="16">N14</f>
        <v>215872</v>
      </c>
      <c r="O15" s="16">
        <f t="shared" si="6"/>
        <v>0</v>
      </c>
      <c r="P15" s="37">
        <v>120493</v>
      </c>
      <c r="Q15" s="16">
        <f t="shared" si="7"/>
        <v>0</v>
      </c>
      <c r="R15" s="1">
        <f t="shared" si="10"/>
        <v>55047</v>
      </c>
      <c r="S15" s="16">
        <f t="shared" si="8"/>
        <v>0</v>
      </c>
      <c r="T15" s="37">
        <f t="shared" ref="T15:T33" si="17">T14</f>
        <v>3767</v>
      </c>
      <c r="U15" s="16">
        <f>(T15-T14)*800/5</f>
        <v>0</v>
      </c>
      <c r="X15" t="s">
        <v>12</v>
      </c>
    </row>
    <row r="16" spans="1:24" ht="13.5" thickBot="1" x14ac:dyDescent="0.25">
      <c r="A16" s="10">
        <v>44453</v>
      </c>
      <c r="B16" s="37">
        <v>45886</v>
      </c>
      <c r="C16" s="16">
        <f t="shared" si="0"/>
        <v>0</v>
      </c>
      <c r="D16" s="37">
        <f t="shared" si="11"/>
        <v>39849</v>
      </c>
      <c r="E16" s="16">
        <f t="shared" si="1"/>
        <v>0</v>
      </c>
      <c r="F16" s="37">
        <f t="shared" si="12"/>
        <v>20777</v>
      </c>
      <c r="G16" s="16">
        <f t="shared" si="2"/>
        <v>0</v>
      </c>
      <c r="H16" s="37">
        <f t="shared" si="13"/>
        <v>248108</v>
      </c>
      <c r="I16" s="16">
        <f t="shared" si="3"/>
        <v>0</v>
      </c>
      <c r="J16" s="37">
        <f t="shared" si="14"/>
        <v>303517</v>
      </c>
      <c r="K16" s="16">
        <f t="shared" si="4"/>
        <v>0</v>
      </c>
      <c r="L16" s="37">
        <f t="shared" si="15"/>
        <v>25361</v>
      </c>
      <c r="M16" s="16">
        <f t="shared" si="5"/>
        <v>0</v>
      </c>
      <c r="N16" s="37">
        <f t="shared" si="16"/>
        <v>215872</v>
      </c>
      <c r="O16" s="16">
        <f t="shared" si="6"/>
        <v>0</v>
      </c>
      <c r="P16" s="37">
        <v>120493</v>
      </c>
      <c r="Q16" s="16">
        <f t="shared" si="7"/>
        <v>0</v>
      </c>
      <c r="R16" s="1">
        <f t="shared" si="10"/>
        <v>55047</v>
      </c>
      <c r="S16" s="16">
        <f t="shared" si="8"/>
        <v>0</v>
      </c>
      <c r="T16" s="37">
        <f t="shared" si="17"/>
        <v>3767</v>
      </c>
      <c r="U16" s="16">
        <f t="shared" si="9"/>
        <v>0</v>
      </c>
      <c r="W16" t="s">
        <v>12</v>
      </c>
    </row>
    <row r="17" spans="1:23" ht="13.5" thickBot="1" x14ac:dyDescent="0.25">
      <c r="A17" s="10">
        <v>44454</v>
      </c>
      <c r="B17" s="37">
        <v>45886</v>
      </c>
      <c r="C17" s="16">
        <f t="shared" si="0"/>
        <v>0</v>
      </c>
      <c r="D17" s="37">
        <f t="shared" si="11"/>
        <v>39849</v>
      </c>
      <c r="E17" s="16">
        <f t="shared" si="1"/>
        <v>0</v>
      </c>
      <c r="F17" s="37">
        <f t="shared" si="12"/>
        <v>20777</v>
      </c>
      <c r="G17" s="16">
        <f t="shared" si="2"/>
        <v>0</v>
      </c>
      <c r="H17" s="37">
        <f t="shared" si="13"/>
        <v>248108</v>
      </c>
      <c r="I17" s="16">
        <f t="shared" si="3"/>
        <v>0</v>
      </c>
      <c r="J17" s="37">
        <f t="shared" si="14"/>
        <v>303517</v>
      </c>
      <c r="K17" s="16">
        <f t="shared" si="4"/>
        <v>0</v>
      </c>
      <c r="L17" s="37">
        <f t="shared" si="15"/>
        <v>25361</v>
      </c>
      <c r="M17" s="16">
        <f t="shared" si="5"/>
        <v>0</v>
      </c>
      <c r="N17" s="37">
        <f t="shared" si="16"/>
        <v>215872</v>
      </c>
      <c r="O17" s="16">
        <f t="shared" si="6"/>
        <v>0</v>
      </c>
      <c r="P17" s="37">
        <v>120493</v>
      </c>
      <c r="Q17" s="16">
        <f t="shared" si="7"/>
        <v>0</v>
      </c>
      <c r="R17" s="1">
        <f t="shared" si="10"/>
        <v>55047</v>
      </c>
      <c r="S17" s="16">
        <f>S16</f>
        <v>0</v>
      </c>
      <c r="T17" s="37">
        <f t="shared" si="17"/>
        <v>3767</v>
      </c>
      <c r="U17" s="16">
        <f t="shared" si="9"/>
        <v>0</v>
      </c>
    </row>
    <row r="18" spans="1:23" ht="13.5" thickBot="1" x14ac:dyDescent="0.25">
      <c r="A18" s="10">
        <v>44455</v>
      </c>
      <c r="B18" s="37">
        <v>45886</v>
      </c>
      <c r="C18" s="16">
        <f t="shared" si="0"/>
        <v>0</v>
      </c>
      <c r="D18" s="37">
        <f t="shared" si="11"/>
        <v>39849</v>
      </c>
      <c r="E18" s="16">
        <f t="shared" si="1"/>
        <v>0</v>
      </c>
      <c r="F18" s="37">
        <f t="shared" si="12"/>
        <v>20777</v>
      </c>
      <c r="G18" s="16">
        <f t="shared" si="2"/>
        <v>0</v>
      </c>
      <c r="H18" s="37">
        <f t="shared" si="13"/>
        <v>248108</v>
      </c>
      <c r="I18" s="16">
        <f t="shared" si="3"/>
        <v>0</v>
      </c>
      <c r="J18" s="37">
        <f t="shared" si="14"/>
        <v>303517</v>
      </c>
      <c r="K18" s="16">
        <f t="shared" si="4"/>
        <v>0</v>
      </c>
      <c r="L18" s="37">
        <f t="shared" si="15"/>
        <v>25361</v>
      </c>
      <c r="M18" s="16">
        <f t="shared" si="5"/>
        <v>0</v>
      </c>
      <c r="N18" s="37">
        <f t="shared" si="16"/>
        <v>215872</v>
      </c>
      <c r="O18" s="16">
        <f t="shared" si="6"/>
        <v>0</v>
      </c>
      <c r="P18" s="37">
        <v>120493</v>
      </c>
      <c r="Q18" s="16">
        <f t="shared" si="7"/>
        <v>0</v>
      </c>
      <c r="R18" s="1">
        <f t="shared" si="10"/>
        <v>55047</v>
      </c>
      <c r="S18" s="16">
        <f t="shared" si="8"/>
        <v>0</v>
      </c>
      <c r="T18" s="37">
        <f t="shared" si="17"/>
        <v>3767</v>
      </c>
      <c r="U18" s="16">
        <f t="shared" si="9"/>
        <v>0</v>
      </c>
    </row>
    <row r="19" spans="1:23" ht="13.5" thickBot="1" x14ac:dyDescent="0.25">
      <c r="A19" s="10">
        <v>44456</v>
      </c>
      <c r="B19" s="37">
        <v>45886</v>
      </c>
      <c r="C19" s="16">
        <f t="shared" si="0"/>
        <v>0</v>
      </c>
      <c r="D19" s="37">
        <f t="shared" si="11"/>
        <v>39849</v>
      </c>
      <c r="E19" s="16">
        <f t="shared" si="1"/>
        <v>0</v>
      </c>
      <c r="F19" s="37">
        <f t="shared" si="12"/>
        <v>20777</v>
      </c>
      <c r="G19" s="16">
        <f t="shared" si="2"/>
        <v>0</v>
      </c>
      <c r="H19" s="37">
        <f t="shared" si="13"/>
        <v>248108</v>
      </c>
      <c r="I19" s="16">
        <f t="shared" si="3"/>
        <v>0</v>
      </c>
      <c r="J19" s="37">
        <f t="shared" si="14"/>
        <v>303517</v>
      </c>
      <c r="K19" s="16">
        <f t="shared" si="4"/>
        <v>0</v>
      </c>
      <c r="L19" s="37">
        <f t="shared" si="15"/>
        <v>25361</v>
      </c>
      <c r="M19" s="16">
        <f t="shared" si="5"/>
        <v>0</v>
      </c>
      <c r="N19" s="37">
        <f t="shared" si="16"/>
        <v>215872</v>
      </c>
      <c r="O19" s="16">
        <f t="shared" si="6"/>
        <v>0</v>
      </c>
      <c r="P19" s="37">
        <v>120493</v>
      </c>
      <c r="Q19" s="16">
        <f t="shared" si="7"/>
        <v>0</v>
      </c>
      <c r="R19" s="1">
        <f t="shared" si="10"/>
        <v>55047</v>
      </c>
      <c r="S19" s="16">
        <f t="shared" si="8"/>
        <v>0</v>
      </c>
      <c r="T19" s="37">
        <f t="shared" si="17"/>
        <v>3767</v>
      </c>
      <c r="U19" s="16">
        <f t="shared" si="9"/>
        <v>0</v>
      </c>
      <c r="W19" t="s">
        <v>12</v>
      </c>
    </row>
    <row r="20" spans="1:23" ht="13.5" thickBot="1" x14ac:dyDescent="0.25">
      <c r="A20" s="10">
        <v>44457</v>
      </c>
      <c r="B20" s="37">
        <v>45886</v>
      </c>
      <c r="C20" s="16">
        <f t="shared" si="0"/>
        <v>0</v>
      </c>
      <c r="D20" s="37">
        <f t="shared" si="11"/>
        <v>39849</v>
      </c>
      <c r="E20" s="16">
        <f t="shared" si="1"/>
        <v>0</v>
      </c>
      <c r="F20" s="37">
        <f t="shared" si="12"/>
        <v>20777</v>
      </c>
      <c r="G20" s="16">
        <f t="shared" si="2"/>
        <v>0</v>
      </c>
      <c r="H20" s="37">
        <f t="shared" si="13"/>
        <v>248108</v>
      </c>
      <c r="I20" s="16">
        <f t="shared" si="3"/>
        <v>0</v>
      </c>
      <c r="J20" s="37">
        <f t="shared" si="14"/>
        <v>303517</v>
      </c>
      <c r="K20" s="16">
        <v>0</v>
      </c>
      <c r="L20" s="37">
        <f t="shared" si="15"/>
        <v>25361</v>
      </c>
      <c r="M20" s="16">
        <f t="shared" si="5"/>
        <v>0</v>
      </c>
      <c r="N20" s="37">
        <f t="shared" si="16"/>
        <v>215872</v>
      </c>
      <c r="O20" s="16">
        <f t="shared" si="6"/>
        <v>0</v>
      </c>
      <c r="P20" s="37">
        <v>120493</v>
      </c>
      <c r="Q20" s="16">
        <f>P20-P19</f>
        <v>0</v>
      </c>
      <c r="R20" s="1">
        <f t="shared" si="10"/>
        <v>55047</v>
      </c>
      <c r="S20" s="16">
        <f t="shared" si="8"/>
        <v>0</v>
      </c>
      <c r="T20" s="37">
        <f t="shared" si="17"/>
        <v>3767</v>
      </c>
      <c r="U20" s="16">
        <f t="shared" si="9"/>
        <v>0</v>
      </c>
    </row>
    <row r="21" spans="1:23" ht="13.5" thickBot="1" x14ac:dyDescent="0.25">
      <c r="A21" s="10">
        <v>44458</v>
      </c>
      <c r="B21" s="37">
        <v>45886</v>
      </c>
      <c r="C21" s="16">
        <f t="shared" si="0"/>
        <v>0</v>
      </c>
      <c r="D21" s="37">
        <f t="shared" si="11"/>
        <v>39849</v>
      </c>
      <c r="E21" s="16">
        <f t="shared" si="1"/>
        <v>0</v>
      </c>
      <c r="F21" s="37">
        <f t="shared" si="12"/>
        <v>20777</v>
      </c>
      <c r="G21" s="16">
        <f t="shared" si="2"/>
        <v>0</v>
      </c>
      <c r="H21" s="37">
        <f t="shared" si="13"/>
        <v>248108</v>
      </c>
      <c r="I21" s="16">
        <f t="shared" si="3"/>
        <v>0</v>
      </c>
      <c r="J21" s="37">
        <f t="shared" si="14"/>
        <v>303517</v>
      </c>
      <c r="K21" s="16">
        <f t="shared" si="4"/>
        <v>0</v>
      </c>
      <c r="L21" s="37">
        <f t="shared" si="15"/>
        <v>25361</v>
      </c>
      <c r="M21" s="16">
        <f t="shared" si="5"/>
        <v>0</v>
      </c>
      <c r="N21" s="37">
        <f t="shared" si="16"/>
        <v>215872</v>
      </c>
      <c r="O21" s="16">
        <f t="shared" si="6"/>
        <v>0</v>
      </c>
      <c r="P21" s="37">
        <v>120493</v>
      </c>
      <c r="Q21" s="16">
        <f t="shared" si="7"/>
        <v>0</v>
      </c>
      <c r="R21" s="1">
        <f t="shared" si="10"/>
        <v>55047</v>
      </c>
      <c r="S21" s="16">
        <f t="shared" si="8"/>
        <v>0</v>
      </c>
      <c r="T21" s="37">
        <f t="shared" si="17"/>
        <v>3767</v>
      </c>
      <c r="U21" s="16">
        <f t="shared" si="9"/>
        <v>0</v>
      </c>
    </row>
    <row r="22" spans="1:23" ht="13.5" thickBot="1" x14ac:dyDescent="0.25">
      <c r="A22" s="10">
        <v>44459</v>
      </c>
      <c r="B22" s="37">
        <v>45886</v>
      </c>
      <c r="C22" s="16">
        <f t="shared" si="0"/>
        <v>0</v>
      </c>
      <c r="D22" s="37">
        <f t="shared" si="11"/>
        <v>39849</v>
      </c>
      <c r="E22" s="16">
        <f t="shared" si="1"/>
        <v>0</v>
      </c>
      <c r="F22" s="37">
        <f t="shared" si="12"/>
        <v>20777</v>
      </c>
      <c r="G22" s="16">
        <f t="shared" si="2"/>
        <v>0</v>
      </c>
      <c r="H22" s="37">
        <f t="shared" si="13"/>
        <v>248108</v>
      </c>
      <c r="I22" s="16">
        <f t="shared" si="3"/>
        <v>0</v>
      </c>
      <c r="J22" s="37">
        <f t="shared" si="14"/>
        <v>303517</v>
      </c>
      <c r="K22" s="16">
        <f t="shared" si="4"/>
        <v>0</v>
      </c>
      <c r="L22" s="37">
        <f t="shared" si="15"/>
        <v>25361</v>
      </c>
      <c r="M22" s="16">
        <f t="shared" si="5"/>
        <v>0</v>
      </c>
      <c r="N22" s="37">
        <f t="shared" si="16"/>
        <v>215872</v>
      </c>
      <c r="O22" s="16">
        <f t="shared" si="6"/>
        <v>0</v>
      </c>
      <c r="P22" s="37">
        <v>120493</v>
      </c>
      <c r="Q22" s="16">
        <f>P22-P21</f>
        <v>0</v>
      </c>
      <c r="R22" s="1">
        <f t="shared" si="10"/>
        <v>55047</v>
      </c>
      <c r="S22" s="16">
        <f t="shared" si="8"/>
        <v>0</v>
      </c>
      <c r="T22" s="37">
        <f t="shared" si="17"/>
        <v>3767</v>
      </c>
      <c r="U22" s="16">
        <f t="shared" si="9"/>
        <v>0</v>
      </c>
    </row>
    <row r="23" spans="1:23" ht="13.5" thickBot="1" x14ac:dyDescent="0.25">
      <c r="A23" s="10">
        <v>44460</v>
      </c>
      <c r="B23" s="37">
        <v>45886</v>
      </c>
      <c r="C23" s="16">
        <f t="shared" si="0"/>
        <v>0</v>
      </c>
      <c r="D23" s="37">
        <f t="shared" si="11"/>
        <v>39849</v>
      </c>
      <c r="E23" s="16">
        <f t="shared" si="1"/>
        <v>0</v>
      </c>
      <c r="F23" s="37">
        <f t="shared" si="12"/>
        <v>20777</v>
      </c>
      <c r="G23" s="16">
        <f t="shared" si="2"/>
        <v>0</v>
      </c>
      <c r="H23" s="37">
        <f t="shared" si="13"/>
        <v>248108</v>
      </c>
      <c r="I23" s="16">
        <f t="shared" si="3"/>
        <v>0</v>
      </c>
      <c r="J23" s="37">
        <f t="shared" si="14"/>
        <v>303517</v>
      </c>
      <c r="K23" s="16">
        <f t="shared" si="4"/>
        <v>0</v>
      </c>
      <c r="L23" s="37">
        <f t="shared" si="15"/>
        <v>25361</v>
      </c>
      <c r="M23" s="16">
        <f t="shared" si="5"/>
        <v>0</v>
      </c>
      <c r="N23" s="37">
        <f t="shared" si="16"/>
        <v>215872</v>
      </c>
      <c r="O23" s="16">
        <f t="shared" si="6"/>
        <v>0</v>
      </c>
      <c r="P23" s="37">
        <v>120493</v>
      </c>
      <c r="Q23" s="16">
        <f t="shared" si="7"/>
        <v>0</v>
      </c>
      <c r="R23" s="1">
        <f t="shared" si="10"/>
        <v>55047</v>
      </c>
      <c r="S23" s="16">
        <f t="shared" si="8"/>
        <v>0</v>
      </c>
      <c r="T23" s="37">
        <f t="shared" si="17"/>
        <v>3767</v>
      </c>
      <c r="U23" s="16">
        <f t="shared" si="9"/>
        <v>0</v>
      </c>
    </row>
    <row r="24" spans="1:23" s="138" customFormat="1" ht="13.5" thickBot="1" x14ac:dyDescent="0.25">
      <c r="A24" s="10">
        <v>44461</v>
      </c>
      <c r="B24" s="37">
        <v>45886</v>
      </c>
      <c r="C24" s="16">
        <f t="shared" si="0"/>
        <v>0</v>
      </c>
      <c r="D24" s="37">
        <f t="shared" si="11"/>
        <v>39849</v>
      </c>
      <c r="E24" s="16">
        <f t="shared" si="1"/>
        <v>0</v>
      </c>
      <c r="F24" s="37">
        <f t="shared" si="12"/>
        <v>20777</v>
      </c>
      <c r="G24" s="16">
        <f t="shared" si="2"/>
        <v>0</v>
      </c>
      <c r="H24" s="37">
        <f t="shared" si="13"/>
        <v>248108</v>
      </c>
      <c r="I24" s="16">
        <f t="shared" si="3"/>
        <v>0</v>
      </c>
      <c r="J24" s="37">
        <f t="shared" si="14"/>
        <v>303517</v>
      </c>
      <c r="K24" s="16">
        <f t="shared" si="4"/>
        <v>0</v>
      </c>
      <c r="L24" s="37">
        <f t="shared" si="15"/>
        <v>25361</v>
      </c>
      <c r="M24" s="16">
        <f t="shared" si="5"/>
        <v>0</v>
      </c>
      <c r="N24" s="37">
        <f t="shared" si="16"/>
        <v>215872</v>
      </c>
      <c r="O24" s="16">
        <f t="shared" si="6"/>
        <v>0</v>
      </c>
      <c r="P24" s="37">
        <v>120493</v>
      </c>
      <c r="Q24" s="16">
        <f t="shared" si="7"/>
        <v>0</v>
      </c>
      <c r="R24" s="1">
        <f t="shared" si="10"/>
        <v>55047</v>
      </c>
      <c r="S24" s="16">
        <f t="shared" si="8"/>
        <v>0</v>
      </c>
      <c r="T24" s="37">
        <f t="shared" si="17"/>
        <v>3767</v>
      </c>
      <c r="U24" s="16">
        <f t="shared" si="9"/>
        <v>0</v>
      </c>
    </row>
    <row r="25" spans="1:23" ht="13.5" thickBot="1" x14ac:dyDescent="0.25">
      <c r="A25" s="10">
        <v>44462</v>
      </c>
      <c r="B25" s="37">
        <v>45886</v>
      </c>
      <c r="C25" s="16">
        <f t="shared" si="0"/>
        <v>0</v>
      </c>
      <c r="D25" s="37">
        <f t="shared" si="11"/>
        <v>39849</v>
      </c>
      <c r="E25" s="16">
        <f t="shared" si="1"/>
        <v>0</v>
      </c>
      <c r="F25" s="37">
        <f t="shared" si="12"/>
        <v>20777</v>
      </c>
      <c r="G25" s="16">
        <f t="shared" si="2"/>
        <v>0</v>
      </c>
      <c r="H25" s="37">
        <f t="shared" si="13"/>
        <v>248108</v>
      </c>
      <c r="I25" s="16">
        <f t="shared" si="3"/>
        <v>0</v>
      </c>
      <c r="J25" s="37">
        <f t="shared" si="14"/>
        <v>303517</v>
      </c>
      <c r="K25" s="16">
        <f t="shared" si="4"/>
        <v>0</v>
      </c>
      <c r="L25" s="37">
        <f t="shared" si="15"/>
        <v>25361</v>
      </c>
      <c r="M25" s="16">
        <f t="shared" si="5"/>
        <v>0</v>
      </c>
      <c r="N25" s="37">
        <f t="shared" si="16"/>
        <v>215872</v>
      </c>
      <c r="O25" s="16">
        <f t="shared" si="6"/>
        <v>0</v>
      </c>
      <c r="P25" s="37">
        <v>120493</v>
      </c>
      <c r="Q25" s="16">
        <f t="shared" si="7"/>
        <v>0</v>
      </c>
      <c r="R25" s="1">
        <f t="shared" si="10"/>
        <v>55047</v>
      </c>
      <c r="S25" s="16">
        <f t="shared" si="8"/>
        <v>0</v>
      </c>
      <c r="T25" s="37">
        <f t="shared" si="17"/>
        <v>3767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44463</v>
      </c>
      <c r="B26" s="37">
        <v>45886</v>
      </c>
      <c r="C26" s="16">
        <f t="shared" si="0"/>
        <v>0</v>
      </c>
      <c r="D26" s="37">
        <f t="shared" si="11"/>
        <v>39849</v>
      </c>
      <c r="E26" s="16">
        <f t="shared" si="1"/>
        <v>0</v>
      </c>
      <c r="F26" s="37">
        <f t="shared" si="12"/>
        <v>20777</v>
      </c>
      <c r="G26" s="16">
        <f t="shared" si="2"/>
        <v>0</v>
      </c>
      <c r="H26" s="37">
        <f t="shared" si="13"/>
        <v>248108</v>
      </c>
      <c r="I26" s="16">
        <f t="shared" si="3"/>
        <v>0</v>
      </c>
      <c r="J26" s="37">
        <f t="shared" si="14"/>
        <v>303517</v>
      </c>
      <c r="K26" s="16">
        <f t="shared" si="4"/>
        <v>0</v>
      </c>
      <c r="L26" s="37">
        <f t="shared" si="15"/>
        <v>25361</v>
      </c>
      <c r="M26" s="16">
        <f t="shared" si="5"/>
        <v>0</v>
      </c>
      <c r="N26" s="37">
        <f t="shared" si="16"/>
        <v>215872</v>
      </c>
      <c r="O26" s="16">
        <f t="shared" si="6"/>
        <v>0</v>
      </c>
      <c r="P26" s="37">
        <v>120493</v>
      </c>
      <c r="Q26" s="16">
        <f t="shared" si="7"/>
        <v>0</v>
      </c>
      <c r="R26" s="1">
        <f t="shared" si="10"/>
        <v>55047</v>
      </c>
      <c r="S26" s="16">
        <f t="shared" si="8"/>
        <v>0</v>
      </c>
      <c r="T26" s="37">
        <f t="shared" si="17"/>
        <v>3767</v>
      </c>
      <c r="U26" s="16">
        <f t="shared" si="9"/>
        <v>0</v>
      </c>
      <c r="W26" t="s">
        <v>12</v>
      </c>
    </row>
    <row r="27" spans="1:23" ht="13.5" thickBot="1" x14ac:dyDescent="0.25">
      <c r="A27" s="10">
        <v>44464</v>
      </c>
      <c r="B27" s="37">
        <v>45886</v>
      </c>
      <c r="C27" s="16">
        <f t="shared" si="0"/>
        <v>0</v>
      </c>
      <c r="D27" s="37">
        <f t="shared" si="11"/>
        <v>39849</v>
      </c>
      <c r="E27" s="16">
        <f t="shared" si="1"/>
        <v>0</v>
      </c>
      <c r="F27" s="37">
        <f t="shared" si="12"/>
        <v>20777</v>
      </c>
      <c r="G27" s="16">
        <f t="shared" si="2"/>
        <v>0</v>
      </c>
      <c r="H27" s="37">
        <f t="shared" si="13"/>
        <v>248108</v>
      </c>
      <c r="I27" s="16">
        <f t="shared" si="3"/>
        <v>0</v>
      </c>
      <c r="J27" s="37">
        <f t="shared" si="14"/>
        <v>303517</v>
      </c>
      <c r="K27" s="16">
        <f t="shared" si="4"/>
        <v>0</v>
      </c>
      <c r="L27" s="37">
        <f t="shared" si="15"/>
        <v>25361</v>
      </c>
      <c r="M27" s="16">
        <f t="shared" si="5"/>
        <v>0</v>
      </c>
      <c r="N27" s="37">
        <f t="shared" si="16"/>
        <v>215872</v>
      </c>
      <c r="O27" s="16">
        <f t="shared" si="6"/>
        <v>0</v>
      </c>
      <c r="P27" s="37">
        <v>120493</v>
      </c>
      <c r="Q27" s="16">
        <f t="shared" si="7"/>
        <v>0</v>
      </c>
      <c r="R27" s="1">
        <f t="shared" si="10"/>
        <v>55047</v>
      </c>
      <c r="S27" s="16">
        <f t="shared" si="8"/>
        <v>0</v>
      </c>
      <c r="T27" s="37">
        <f t="shared" si="17"/>
        <v>3767</v>
      </c>
      <c r="U27" s="16">
        <f t="shared" si="9"/>
        <v>0</v>
      </c>
    </row>
    <row r="28" spans="1:23" ht="13.5" thickBot="1" x14ac:dyDescent="0.25">
      <c r="A28" s="10">
        <v>44465</v>
      </c>
      <c r="B28" s="37">
        <v>45886</v>
      </c>
      <c r="C28" s="16">
        <f t="shared" si="0"/>
        <v>0</v>
      </c>
      <c r="D28" s="37">
        <f t="shared" si="11"/>
        <v>39849</v>
      </c>
      <c r="E28" s="16">
        <f t="shared" si="1"/>
        <v>0</v>
      </c>
      <c r="F28" s="37">
        <f t="shared" si="12"/>
        <v>20777</v>
      </c>
      <c r="G28" s="16">
        <f t="shared" si="2"/>
        <v>0</v>
      </c>
      <c r="H28" s="37">
        <f t="shared" si="13"/>
        <v>248108</v>
      </c>
      <c r="I28" s="16">
        <f t="shared" si="3"/>
        <v>0</v>
      </c>
      <c r="J28" s="37">
        <f t="shared" si="14"/>
        <v>303517</v>
      </c>
      <c r="K28" s="16">
        <f t="shared" si="4"/>
        <v>0</v>
      </c>
      <c r="L28" s="37">
        <f t="shared" si="15"/>
        <v>25361</v>
      </c>
      <c r="M28" s="16">
        <f t="shared" si="5"/>
        <v>0</v>
      </c>
      <c r="N28" s="37">
        <f t="shared" si="16"/>
        <v>215872</v>
      </c>
      <c r="O28" s="16">
        <f t="shared" si="6"/>
        <v>0</v>
      </c>
      <c r="P28" s="37">
        <v>120493</v>
      </c>
      <c r="Q28" s="17">
        <f t="shared" si="7"/>
        <v>0</v>
      </c>
      <c r="R28" s="1">
        <f t="shared" si="10"/>
        <v>55047</v>
      </c>
      <c r="S28" s="17">
        <f t="shared" si="8"/>
        <v>0</v>
      </c>
      <c r="T28" s="37">
        <f t="shared" si="17"/>
        <v>3767</v>
      </c>
      <c r="U28" s="16">
        <f t="shared" si="9"/>
        <v>0</v>
      </c>
    </row>
    <row r="29" spans="1:23" ht="13.5" thickBot="1" x14ac:dyDescent="0.25">
      <c r="A29" s="10">
        <v>44466</v>
      </c>
      <c r="B29" s="37">
        <v>45886</v>
      </c>
      <c r="C29" s="16">
        <f t="shared" si="0"/>
        <v>0</v>
      </c>
      <c r="D29" s="37">
        <f t="shared" si="11"/>
        <v>39849</v>
      </c>
      <c r="E29" s="16">
        <f t="shared" si="1"/>
        <v>0</v>
      </c>
      <c r="F29" s="37">
        <f t="shared" si="12"/>
        <v>20777</v>
      </c>
      <c r="G29" s="16">
        <f t="shared" si="2"/>
        <v>0</v>
      </c>
      <c r="H29" s="37">
        <f t="shared" si="13"/>
        <v>248108</v>
      </c>
      <c r="I29" s="16">
        <f t="shared" si="3"/>
        <v>0</v>
      </c>
      <c r="J29" s="37">
        <f t="shared" si="14"/>
        <v>303517</v>
      </c>
      <c r="K29" s="16">
        <f t="shared" si="4"/>
        <v>0</v>
      </c>
      <c r="L29" s="37">
        <f t="shared" si="15"/>
        <v>25361</v>
      </c>
      <c r="M29" s="16">
        <f t="shared" si="5"/>
        <v>0</v>
      </c>
      <c r="N29" s="37">
        <f t="shared" si="16"/>
        <v>215872</v>
      </c>
      <c r="O29" s="16">
        <f t="shared" si="6"/>
        <v>0</v>
      </c>
      <c r="P29" s="37">
        <v>120493</v>
      </c>
      <c r="Q29" s="16">
        <f t="shared" si="7"/>
        <v>0</v>
      </c>
      <c r="R29" s="1">
        <f t="shared" si="10"/>
        <v>55047</v>
      </c>
      <c r="S29" s="16">
        <f t="shared" si="8"/>
        <v>0</v>
      </c>
      <c r="T29" s="37">
        <f t="shared" si="17"/>
        <v>3767</v>
      </c>
      <c r="U29" s="16">
        <f t="shared" si="9"/>
        <v>0</v>
      </c>
    </row>
    <row r="30" spans="1:23" ht="13.5" thickBot="1" x14ac:dyDescent="0.25">
      <c r="A30" s="10">
        <v>44467</v>
      </c>
      <c r="B30" s="37">
        <v>45886</v>
      </c>
      <c r="C30" s="16">
        <f t="shared" si="0"/>
        <v>0</v>
      </c>
      <c r="D30" s="37">
        <f t="shared" si="11"/>
        <v>39849</v>
      </c>
      <c r="E30" s="16">
        <f t="shared" si="1"/>
        <v>0</v>
      </c>
      <c r="F30" s="37">
        <f t="shared" si="12"/>
        <v>20777</v>
      </c>
      <c r="G30" s="16">
        <f t="shared" si="2"/>
        <v>0</v>
      </c>
      <c r="H30" s="37">
        <f t="shared" si="13"/>
        <v>248108</v>
      </c>
      <c r="I30" s="16">
        <f t="shared" si="3"/>
        <v>0</v>
      </c>
      <c r="J30" s="37">
        <f t="shared" si="14"/>
        <v>303517</v>
      </c>
      <c r="K30" s="16">
        <f t="shared" si="4"/>
        <v>0</v>
      </c>
      <c r="L30" s="37">
        <f t="shared" si="15"/>
        <v>25361</v>
      </c>
      <c r="M30" s="16">
        <f t="shared" si="5"/>
        <v>0</v>
      </c>
      <c r="N30" s="37">
        <f t="shared" si="16"/>
        <v>215872</v>
      </c>
      <c r="O30" s="16">
        <f t="shared" si="6"/>
        <v>0</v>
      </c>
      <c r="P30" s="37">
        <v>120493</v>
      </c>
      <c r="Q30" s="16">
        <f t="shared" si="7"/>
        <v>0</v>
      </c>
      <c r="R30" s="1">
        <f t="shared" si="10"/>
        <v>55047</v>
      </c>
      <c r="S30" s="16">
        <f t="shared" si="8"/>
        <v>0</v>
      </c>
      <c r="T30" s="37">
        <f t="shared" si="17"/>
        <v>3767</v>
      </c>
      <c r="U30" s="16">
        <f t="shared" si="9"/>
        <v>0</v>
      </c>
    </row>
    <row r="31" spans="1:23" ht="13.5" thickBot="1" x14ac:dyDescent="0.25">
      <c r="A31" s="10">
        <v>44468</v>
      </c>
      <c r="B31" s="37">
        <v>45886</v>
      </c>
      <c r="C31" s="16">
        <f t="shared" si="0"/>
        <v>0</v>
      </c>
      <c r="D31" s="37">
        <f t="shared" si="11"/>
        <v>39849</v>
      </c>
      <c r="E31" s="16">
        <f t="shared" si="1"/>
        <v>0</v>
      </c>
      <c r="F31" s="37">
        <f t="shared" si="12"/>
        <v>20777</v>
      </c>
      <c r="G31" s="16">
        <f t="shared" si="2"/>
        <v>0</v>
      </c>
      <c r="H31" s="37">
        <f t="shared" si="13"/>
        <v>248108</v>
      </c>
      <c r="I31" s="16">
        <f t="shared" si="3"/>
        <v>0</v>
      </c>
      <c r="J31" s="37">
        <f t="shared" si="14"/>
        <v>303517</v>
      </c>
      <c r="K31" s="16">
        <f t="shared" si="4"/>
        <v>0</v>
      </c>
      <c r="L31" s="37">
        <f t="shared" si="15"/>
        <v>25361</v>
      </c>
      <c r="M31" s="16">
        <f t="shared" si="5"/>
        <v>0</v>
      </c>
      <c r="N31" s="37">
        <f t="shared" si="16"/>
        <v>215872</v>
      </c>
      <c r="O31" s="16">
        <f t="shared" si="6"/>
        <v>0</v>
      </c>
      <c r="P31" s="37">
        <v>120493</v>
      </c>
      <c r="Q31" s="16">
        <f t="shared" si="7"/>
        <v>0</v>
      </c>
      <c r="R31" s="1">
        <f t="shared" si="10"/>
        <v>55047</v>
      </c>
      <c r="S31" s="16">
        <f t="shared" si="8"/>
        <v>0</v>
      </c>
      <c r="T31" s="37">
        <f t="shared" si="17"/>
        <v>3767</v>
      </c>
      <c r="U31" s="16">
        <f t="shared" si="9"/>
        <v>0</v>
      </c>
    </row>
    <row r="32" spans="1:23" ht="15" customHeight="1" thickBot="1" x14ac:dyDescent="0.25">
      <c r="A32" s="10">
        <v>44469</v>
      </c>
      <c r="B32" s="37">
        <v>45886</v>
      </c>
      <c r="C32" s="16">
        <f t="shared" si="0"/>
        <v>0</v>
      </c>
      <c r="D32" s="37">
        <f t="shared" si="11"/>
        <v>39849</v>
      </c>
      <c r="E32" s="16">
        <f t="shared" si="1"/>
        <v>0</v>
      </c>
      <c r="F32" s="37">
        <f t="shared" si="12"/>
        <v>20777</v>
      </c>
      <c r="G32" s="16">
        <f t="shared" si="2"/>
        <v>0</v>
      </c>
      <c r="H32" s="37">
        <f t="shared" si="13"/>
        <v>248108</v>
      </c>
      <c r="I32" s="16">
        <f t="shared" si="3"/>
        <v>0</v>
      </c>
      <c r="J32" s="37">
        <f t="shared" si="14"/>
        <v>303517</v>
      </c>
      <c r="K32" s="16">
        <f t="shared" si="4"/>
        <v>0</v>
      </c>
      <c r="L32" s="37">
        <f t="shared" si="15"/>
        <v>25361</v>
      </c>
      <c r="M32" s="16">
        <f t="shared" si="5"/>
        <v>0</v>
      </c>
      <c r="N32" s="37">
        <f t="shared" si="16"/>
        <v>215872</v>
      </c>
      <c r="O32" s="16">
        <f t="shared" si="6"/>
        <v>0</v>
      </c>
      <c r="P32" s="37">
        <v>120493</v>
      </c>
      <c r="Q32" s="16">
        <f t="shared" si="7"/>
        <v>0</v>
      </c>
      <c r="R32" s="1">
        <f t="shared" si="10"/>
        <v>55047</v>
      </c>
      <c r="S32" s="16">
        <v>0</v>
      </c>
      <c r="T32" s="37">
        <f>T31</f>
        <v>3767</v>
      </c>
      <c r="U32" s="16">
        <f t="shared" si="9"/>
        <v>0</v>
      </c>
      <c r="V32" t="s">
        <v>12</v>
      </c>
    </row>
    <row r="33" spans="1:21" ht="13.5" thickBot="1" x14ac:dyDescent="0.25">
      <c r="A33" s="10"/>
      <c r="B33" s="37">
        <v>45886</v>
      </c>
      <c r="C33" s="16">
        <f t="shared" si="0"/>
        <v>0</v>
      </c>
      <c r="D33" s="37">
        <f t="shared" si="11"/>
        <v>39849</v>
      </c>
      <c r="E33" s="16">
        <f t="shared" si="1"/>
        <v>0</v>
      </c>
      <c r="F33" s="37">
        <f t="shared" si="12"/>
        <v>20777</v>
      </c>
      <c r="G33" s="16">
        <f t="shared" si="2"/>
        <v>0</v>
      </c>
      <c r="H33" s="37">
        <f t="shared" si="13"/>
        <v>248108</v>
      </c>
      <c r="I33" s="16">
        <f t="shared" si="3"/>
        <v>0</v>
      </c>
      <c r="J33" s="37">
        <f t="shared" si="14"/>
        <v>303517</v>
      </c>
      <c r="K33" s="16">
        <f t="shared" si="4"/>
        <v>0</v>
      </c>
      <c r="L33" s="37">
        <f t="shared" si="15"/>
        <v>25361</v>
      </c>
      <c r="M33" s="16">
        <f t="shared" si="5"/>
        <v>0</v>
      </c>
      <c r="N33" s="37">
        <f t="shared" si="16"/>
        <v>215872</v>
      </c>
      <c r="O33" s="16">
        <f t="shared" si="6"/>
        <v>0</v>
      </c>
      <c r="P33" s="37">
        <v>120493</v>
      </c>
      <c r="Q33" s="16">
        <f t="shared" si="7"/>
        <v>0</v>
      </c>
      <c r="R33" s="1">
        <f t="shared" si="10"/>
        <v>55047</v>
      </c>
      <c r="S33" s="16">
        <v>0</v>
      </c>
      <c r="T33" s="37">
        <f t="shared" si="17"/>
        <v>3767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9440</v>
      </c>
      <c r="D34" s="13"/>
      <c r="E34" s="11">
        <f>SUM(E3:E33)</f>
        <v>5120</v>
      </c>
      <c r="F34" s="13"/>
      <c r="G34" s="11">
        <f>SUM(G3:G33)</f>
        <v>780</v>
      </c>
      <c r="H34" s="13"/>
      <c r="I34" s="11">
        <f>SUM(I3:I33)</f>
        <v>378</v>
      </c>
      <c r="J34" s="13"/>
      <c r="K34" s="11">
        <f>SUM(K3:K33)</f>
        <v>0</v>
      </c>
      <c r="L34" s="13"/>
      <c r="M34" s="11">
        <f>SUM(M3:M33)</f>
        <v>6400</v>
      </c>
      <c r="N34" s="38"/>
      <c r="O34" s="11">
        <f>SUM(O3:O33)</f>
        <v>36</v>
      </c>
      <c r="P34" s="13"/>
      <c r="Q34" s="11">
        <f>SUM(Q3:Q33)</f>
        <v>0</v>
      </c>
      <c r="R34" s="1"/>
      <c r="S34" s="11">
        <f>SUM(S3:S33)</f>
        <v>0</v>
      </c>
      <c r="T34" s="1"/>
      <c r="U34" s="11">
        <f>SUM(U3:U33)</f>
        <v>1760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abSelected="1" zoomScaleNormal="100" zoomScaleSheetLayoutView="110" workbookViewId="0">
      <pane ySplit="1" topLeftCell="A2" activePane="bottomLeft" state="frozen"/>
      <selection pane="bottomLeft" activeCell="A14" sqref="A14:XFD14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>
        <v>139</v>
      </c>
      <c r="C5" s="152">
        <v>18768</v>
      </c>
      <c r="D5" s="44">
        <f t="shared" si="0"/>
        <v>1120</v>
      </c>
      <c r="E5" s="153">
        <v>27767758</v>
      </c>
      <c r="F5" s="44">
        <f t="shared" si="1"/>
        <v>16993</v>
      </c>
      <c r="G5" s="154">
        <v>87775183</v>
      </c>
      <c r="H5" s="44">
        <f t="shared" si="2"/>
        <v>57179</v>
      </c>
      <c r="I5" s="155">
        <f t="shared" si="3"/>
        <v>74172</v>
      </c>
      <c r="J5" s="153">
        <v>8623495</v>
      </c>
      <c r="K5" s="44">
        <f t="shared" si="4"/>
        <v>4551</v>
      </c>
      <c r="L5" s="156">
        <v>8591072</v>
      </c>
      <c r="M5" s="44">
        <f t="shared" si="5"/>
        <v>5477</v>
      </c>
      <c r="N5" s="153">
        <v>5753895</v>
      </c>
      <c r="O5" s="44">
        <f t="shared" ref="O5:O33" si="12">(IF((N5-N4)&lt;0,"0",(N5-N4)))*2</f>
        <v>11266</v>
      </c>
      <c r="P5" s="156">
        <v>4730598</v>
      </c>
      <c r="Q5" s="44">
        <f t="shared" si="6"/>
        <v>14370</v>
      </c>
      <c r="R5" s="153">
        <v>18542935</v>
      </c>
      <c r="S5" s="44">
        <f t="shared" si="7"/>
        <v>11214</v>
      </c>
      <c r="T5" s="153">
        <v>0</v>
      </c>
      <c r="U5" s="157"/>
      <c r="V5" s="153">
        <v>6316372</v>
      </c>
      <c r="W5" s="44">
        <f t="shared" si="8"/>
        <v>12677</v>
      </c>
      <c r="X5" s="22">
        <f t="shared" si="9"/>
        <v>59555</v>
      </c>
      <c r="Y5" s="158">
        <f t="shared" si="10"/>
        <v>14617</v>
      </c>
      <c r="Z5" s="3">
        <f t="shared" si="11"/>
        <v>9509.9812911999998</v>
      </c>
      <c r="AA5" s="3">
        <f>SUM(Z3:Z5)</f>
        <v>29995.517656000004</v>
      </c>
    </row>
    <row r="6" spans="1:27" ht="16.5" thickBot="1" x14ac:dyDescent="0.3">
      <c r="A6" s="10">
        <v>44443</v>
      </c>
      <c r="B6" s="44">
        <v>145</v>
      </c>
      <c r="C6" s="152">
        <v>18774</v>
      </c>
      <c r="D6" s="44">
        <f t="shared" si="0"/>
        <v>960</v>
      </c>
      <c r="E6" s="153">
        <v>27779199</v>
      </c>
      <c r="F6" s="44">
        <f t="shared" si="1"/>
        <v>11441</v>
      </c>
      <c r="G6" s="154">
        <v>87813788</v>
      </c>
      <c r="H6" s="44">
        <f t="shared" si="2"/>
        <v>38605</v>
      </c>
      <c r="I6" s="155">
        <f t="shared" si="3"/>
        <v>50046</v>
      </c>
      <c r="J6" s="153">
        <v>8626910</v>
      </c>
      <c r="K6" s="44">
        <f t="shared" si="4"/>
        <v>3415</v>
      </c>
      <c r="L6" s="156">
        <v>8594799</v>
      </c>
      <c r="M6" s="44">
        <f t="shared" si="5"/>
        <v>3727</v>
      </c>
      <c r="N6" s="153">
        <v>5757702</v>
      </c>
      <c r="O6" s="44">
        <f t="shared" si="12"/>
        <v>7614</v>
      </c>
      <c r="P6" s="156">
        <v>4739469</v>
      </c>
      <c r="Q6" s="44">
        <f t="shared" si="6"/>
        <v>8871</v>
      </c>
      <c r="R6" s="153">
        <v>18550732</v>
      </c>
      <c r="S6" s="44">
        <f t="shared" si="7"/>
        <v>7797</v>
      </c>
      <c r="T6" s="153">
        <v>0</v>
      </c>
      <c r="U6" s="157"/>
      <c r="V6" s="153">
        <v>6325007</v>
      </c>
      <c r="W6" s="44">
        <f t="shared" si="8"/>
        <v>8635</v>
      </c>
      <c r="X6" s="22">
        <f t="shared" si="9"/>
        <v>40059</v>
      </c>
      <c r="Y6" s="158">
        <f t="shared" si="10"/>
        <v>9987</v>
      </c>
      <c r="Z6" s="3">
        <f t="shared" si="11"/>
        <v>6374.796646400001</v>
      </c>
      <c r="AA6" s="3">
        <f>SUM(Z4:Z6)</f>
        <v>26455.599372800003</v>
      </c>
    </row>
    <row r="7" spans="1:27" ht="16.5" thickBot="1" x14ac:dyDescent="0.3">
      <c r="A7" s="10">
        <v>44444</v>
      </c>
      <c r="B7" s="44">
        <v>130</v>
      </c>
      <c r="C7" s="152">
        <v>18780</v>
      </c>
      <c r="D7" s="44">
        <f t="shared" si="0"/>
        <v>960</v>
      </c>
      <c r="E7" s="153">
        <v>27779953</v>
      </c>
      <c r="F7" s="44">
        <f t="shared" si="1"/>
        <v>754</v>
      </c>
      <c r="G7" s="154">
        <v>87883326</v>
      </c>
      <c r="H7" s="44">
        <f t="shared" si="2"/>
        <v>69538</v>
      </c>
      <c r="I7" s="155">
        <f t="shared" si="3"/>
        <v>70292</v>
      </c>
      <c r="J7" s="153">
        <v>8633851</v>
      </c>
      <c r="K7" s="44">
        <f t="shared" si="4"/>
        <v>6941</v>
      </c>
      <c r="L7" s="156">
        <v>8601444</v>
      </c>
      <c r="M7" s="44">
        <f t="shared" si="5"/>
        <v>6645</v>
      </c>
      <c r="N7" s="153">
        <v>5764427</v>
      </c>
      <c r="O7" s="44">
        <f t="shared" si="12"/>
        <v>13450</v>
      </c>
      <c r="P7" s="156">
        <v>4757000</v>
      </c>
      <c r="Q7" s="44">
        <f t="shared" si="6"/>
        <v>17531</v>
      </c>
      <c r="R7" s="153">
        <v>18563795</v>
      </c>
      <c r="S7" s="44">
        <f t="shared" si="7"/>
        <v>13063</v>
      </c>
      <c r="T7" s="153">
        <v>0</v>
      </c>
      <c r="U7" s="157"/>
      <c r="V7" s="153">
        <v>6340184</v>
      </c>
      <c r="W7" s="44">
        <f t="shared" si="8"/>
        <v>15177</v>
      </c>
      <c r="X7" s="22">
        <f t="shared" si="9"/>
        <v>72807</v>
      </c>
      <c r="Y7" s="158">
        <f t="shared" si="10"/>
        <v>-2515</v>
      </c>
      <c r="Z7" s="3">
        <f t="shared" si="11"/>
        <v>11339.334655999999</v>
      </c>
      <c r="AA7" s="3">
        <f t="shared" ref="AA7:AA33" si="13">SUM(Z4:Z7)</f>
        <v>37794.934028800002</v>
      </c>
    </row>
    <row r="8" spans="1:27" ht="16.5" thickBot="1" x14ac:dyDescent="0.3">
      <c r="A8" s="10">
        <v>44445</v>
      </c>
      <c r="B8" s="44">
        <v>138</v>
      </c>
      <c r="C8" s="152">
        <v>18786</v>
      </c>
      <c r="D8" s="44">
        <f t="shared" si="0"/>
        <v>960</v>
      </c>
      <c r="E8" s="153">
        <v>27814723</v>
      </c>
      <c r="F8" s="44">
        <f t="shared" si="1"/>
        <v>34770</v>
      </c>
      <c r="G8" s="154">
        <v>87935202</v>
      </c>
      <c r="H8" s="44">
        <f t="shared" si="2"/>
        <v>51876</v>
      </c>
      <c r="I8" s="155">
        <f t="shared" si="3"/>
        <v>86646</v>
      </c>
      <c r="J8" s="153">
        <v>8639596</v>
      </c>
      <c r="K8" s="44">
        <f t="shared" si="4"/>
        <v>5745</v>
      </c>
      <c r="L8" s="156">
        <v>8606635</v>
      </c>
      <c r="M8" s="44">
        <f t="shared" si="5"/>
        <v>5191</v>
      </c>
      <c r="N8" s="153">
        <v>5769341</v>
      </c>
      <c r="O8" s="44">
        <f t="shared" si="12"/>
        <v>9828</v>
      </c>
      <c r="P8" s="156">
        <v>4768667</v>
      </c>
      <c r="Q8" s="44">
        <f t="shared" si="6"/>
        <v>11667</v>
      </c>
      <c r="R8" s="153">
        <v>18573923</v>
      </c>
      <c r="S8" s="44">
        <f t="shared" si="7"/>
        <v>10128</v>
      </c>
      <c r="T8" s="153">
        <v>0</v>
      </c>
      <c r="U8" s="157"/>
      <c r="V8" s="153">
        <v>6351618</v>
      </c>
      <c r="W8" s="44">
        <f t="shared" si="8"/>
        <v>11434</v>
      </c>
      <c r="X8" s="22">
        <f t="shared" si="9"/>
        <v>53993</v>
      </c>
      <c r="Y8" s="158">
        <f t="shared" si="10"/>
        <v>32653</v>
      </c>
      <c r="Z8" s="3">
        <f t="shared" si="11"/>
        <v>8345.2133024000013</v>
      </c>
      <c r="AA8" s="3">
        <f t="shared" si="13"/>
        <v>35569.325896000002</v>
      </c>
    </row>
    <row r="9" spans="1:27" ht="16.5" thickBot="1" x14ac:dyDescent="0.3">
      <c r="A9" s="10">
        <v>44446</v>
      </c>
      <c r="B9" s="44">
        <v>140</v>
      </c>
      <c r="C9" s="152">
        <v>18793</v>
      </c>
      <c r="D9" s="44">
        <f t="shared" si="0"/>
        <v>1120</v>
      </c>
      <c r="E9" s="153">
        <v>27826820</v>
      </c>
      <c r="F9" s="44">
        <f t="shared" si="1"/>
        <v>12097</v>
      </c>
      <c r="G9" s="154">
        <v>87978466</v>
      </c>
      <c r="H9" s="44">
        <f t="shared" si="2"/>
        <v>43264</v>
      </c>
      <c r="I9" s="155">
        <f t="shared" si="3"/>
        <v>55361</v>
      </c>
      <c r="J9" s="153">
        <v>8644425</v>
      </c>
      <c r="K9" s="44">
        <f t="shared" si="4"/>
        <v>4829</v>
      </c>
      <c r="L9" s="156">
        <v>8610580</v>
      </c>
      <c r="M9" s="44">
        <f t="shared" si="5"/>
        <v>3945</v>
      </c>
      <c r="N9" s="153">
        <v>5778352</v>
      </c>
      <c r="O9" s="44">
        <f t="shared" si="12"/>
        <v>18022</v>
      </c>
      <c r="P9" s="156">
        <v>4778250</v>
      </c>
      <c r="Q9" s="44">
        <f t="shared" si="6"/>
        <v>9583</v>
      </c>
      <c r="R9" s="153">
        <v>18582432</v>
      </c>
      <c r="S9" s="44">
        <f t="shared" si="7"/>
        <v>8509</v>
      </c>
      <c r="T9" s="153">
        <v>0</v>
      </c>
      <c r="U9" s="157"/>
      <c r="V9" s="153">
        <v>6361110</v>
      </c>
      <c r="W9" s="44">
        <f t="shared" si="8"/>
        <v>9492</v>
      </c>
      <c r="X9" s="22">
        <f t="shared" si="9"/>
        <v>54380</v>
      </c>
      <c r="Y9" s="158">
        <f t="shared" si="10"/>
        <v>981</v>
      </c>
      <c r="Z9" s="3">
        <f t="shared" si="11"/>
        <v>8365.4369552000007</v>
      </c>
      <c r="AA9" s="3">
        <f t="shared" si="13"/>
        <v>34424.781560000003</v>
      </c>
    </row>
    <row r="10" spans="1:27" ht="16.5" thickBot="1" x14ac:dyDescent="0.3">
      <c r="A10" s="10">
        <v>44447</v>
      </c>
      <c r="B10" s="44">
        <v>167</v>
      </c>
      <c r="C10" s="152">
        <v>18798</v>
      </c>
      <c r="D10" s="44">
        <f t="shared" si="0"/>
        <v>800</v>
      </c>
      <c r="E10" s="153">
        <v>27841722</v>
      </c>
      <c r="F10" s="44">
        <f t="shared" si="1"/>
        <v>14902</v>
      </c>
      <c r="G10" s="154">
        <v>88030861</v>
      </c>
      <c r="H10" s="44">
        <f t="shared" si="2"/>
        <v>52395</v>
      </c>
      <c r="I10" s="155">
        <f t="shared" si="3"/>
        <v>67297</v>
      </c>
      <c r="J10" s="153">
        <v>8651028</v>
      </c>
      <c r="K10" s="44">
        <f t="shared" si="4"/>
        <v>6603</v>
      </c>
      <c r="L10" s="156">
        <v>8615428</v>
      </c>
      <c r="M10" s="44">
        <f t="shared" si="5"/>
        <v>4848</v>
      </c>
      <c r="N10" s="153">
        <v>5779297</v>
      </c>
      <c r="O10" s="44">
        <f t="shared" si="12"/>
        <v>1890</v>
      </c>
      <c r="P10" s="156">
        <v>4790296</v>
      </c>
      <c r="Q10" s="44">
        <f t="shared" si="6"/>
        <v>12046</v>
      </c>
      <c r="R10" s="153">
        <v>18592624</v>
      </c>
      <c r="S10" s="44">
        <f t="shared" si="7"/>
        <v>10192</v>
      </c>
      <c r="T10" s="153">
        <v>0</v>
      </c>
      <c r="U10" s="157"/>
      <c r="V10" s="153">
        <v>6372492</v>
      </c>
      <c r="W10" s="44">
        <f t="shared" si="8"/>
        <v>11382</v>
      </c>
      <c r="X10" s="22">
        <f t="shared" si="9"/>
        <v>46961</v>
      </c>
      <c r="Y10" s="158">
        <f t="shared" si="10"/>
        <v>20336</v>
      </c>
      <c r="Z10" s="3">
        <f t="shared" si="11"/>
        <v>7253.8245728000002</v>
      </c>
      <c r="AA10" s="3">
        <f t="shared" si="13"/>
        <v>35303.809486400001</v>
      </c>
    </row>
    <row r="11" spans="1:27" ht="15.75" customHeight="1" thickBot="1" x14ac:dyDescent="0.3">
      <c r="A11" s="10">
        <v>44448</v>
      </c>
      <c r="B11" s="44">
        <v>200</v>
      </c>
      <c r="C11" s="152">
        <v>18804</v>
      </c>
      <c r="D11" s="44">
        <f t="shared" si="0"/>
        <v>960</v>
      </c>
      <c r="E11" s="153">
        <v>27862805</v>
      </c>
      <c r="F11" s="44">
        <f t="shared" si="1"/>
        <v>21083</v>
      </c>
      <c r="G11" s="154">
        <v>88103939</v>
      </c>
      <c r="H11" s="44">
        <f t="shared" si="2"/>
        <v>73078</v>
      </c>
      <c r="I11" s="155">
        <f t="shared" si="3"/>
        <v>94161</v>
      </c>
      <c r="J11" s="153">
        <v>8658535</v>
      </c>
      <c r="K11" s="44">
        <f t="shared" si="4"/>
        <v>7507</v>
      </c>
      <c r="L11" s="156">
        <v>8622273</v>
      </c>
      <c r="M11" s="44">
        <f t="shared" si="5"/>
        <v>6845</v>
      </c>
      <c r="N11" s="153">
        <v>5785306</v>
      </c>
      <c r="O11" s="44">
        <f t="shared" si="12"/>
        <v>12018</v>
      </c>
      <c r="P11" s="156">
        <v>4807538</v>
      </c>
      <c r="Q11" s="44">
        <f t="shared" si="6"/>
        <v>17242</v>
      </c>
      <c r="R11" s="153">
        <v>18607142</v>
      </c>
      <c r="S11" s="44">
        <f t="shared" si="7"/>
        <v>14518</v>
      </c>
      <c r="T11" s="153">
        <v>0</v>
      </c>
      <c r="U11" s="157"/>
      <c r="V11" s="153">
        <v>6387964</v>
      </c>
      <c r="W11" s="44">
        <f t="shared" si="8"/>
        <v>15472</v>
      </c>
      <c r="X11" s="22">
        <f t="shared" si="9"/>
        <v>73602</v>
      </c>
      <c r="Y11" s="158">
        <f t="shared" si="10"/>
        <v>20559</v>
      </c>
      <c r="Z11" s="3">
        <f t="shared" si="11"/>
        <v>11514.940527999999</v>
      </c>
      <c r="AA11" s="3">
        <f t="shared" si="13"/>
        <v>35479.415358400001</v>
      </c>
    </row>
    <row r="12" spans="1:27" ht="16.5" thickBot="1" x14ac:dyDescent="0.3">
      <c r="A12" s="10">
        <v>44449</v>
      </c>
      <c r="B12" s="44">
        <v>220</v>
      </c>
      <c r="C12" s="152">
        <v>18810</v>
      </c>
      <c r="D12" s="44">
        <f t="shared" si="0"/>
        <v>960</v>
      </c>
      <c r="E12" s="153">
        <v>27879145</v>
      </c>
      <c r="F12" s="44">
        <f t="shared" si="1"/>
        <v>16340</v>
      </c>
      <c r="G12" s="154">
        <v>88160379</v>
      </c>
      <c r="H12" s="44">
        <f t="shared" si="2"/>
        <v>56440</v>
      </c>
      <c r="I12" s="155">
        <f t="shared" si="3"/>
        <v>72780</v>
      </c>
      <c r="J12" s="153">
        <v>8664158</v>
      </c>
      <c r="K12" s="44">
        <f t="shared" si="4"/>
        <v>5623</v>
      </c>
      <c r="L12" s="156">
        <v>8627523</v>
      </c>
      <c r="M12" s="44">
        <f t="shared" si="5"/>
        <v>5250</v>
      </c>
      <c r="N12" s="153">
        <v>5790730</v>
      </c>
      <c r="O12" s="44">
        <f t="shared" si="12"/>
        <v>10848</v>
      </c>
      <c r="P12" s="156">
        <v>4820480</v>
      </c>
      <c r="Q12" s="44">
        <f t="shared" si="6"/>
        <v>12942</v>
      </c>
      <c r="R12" s="153">
        <v>18618626</v>
      </c>
      <c r="S12" s="44">
        <f t="shared" si="7"/>
        <v>11484</v>
      </c>
      <c r="T12" s="153">
        <v>0</v>
      </c>
      <c r="U12" s="157"/>
      <c r="V12" s="153">
        <v>6400215</v>
      </c>
      <c r="W12" s="44">
        <f t="shared" si="8"/>
        <v>12251</v>
      </c>
      <c r="X12" s="22">
        <f t="shared" si="9"/>
        <v>58398</v>
      </c>
      <c r="Y12" s="158">
        <f t="shared" si="10"/>
        <v>14382</v>
      </c>
      <c r="Z12" s="3">
        <f t="shared" si="11"/>
        <v>9204.8759920000011</v>
      </c>
      <c r="AA12" s="3">
        <f t="shared" si="13"/>
        <v>36339.078048000003</v>
      </c>
    </row>
    <row r="13" spans="1:27" ht="16.5" thickBot="1" x14ac:dyDescent="0.3">
      <c r="A13" s="10">
        <v>44450</v>
      </c>
      <c r="B13" s="44">
        <v>147</v>
      </c>
      <c r="C13" s="152">
        <v>18817</v>
      </c>
      <c r="D13" s="44">
        <f t="shared" si="0"/>
        <v>1120</v>
      </c>
      <c r="E13" s="153">
        <v>27891171</v>
      </c>
      <c r="F13" s="44">
        <f t="shared" si="1"/>
        <v>12026</v>
      </c>
      <c r="G13" s="154">
        <v>88223088</v>
      </c>
      <c r="H13" s="44">
        <f t="shared" si="2"/>
        <v>62709</v>
      </c>
      <c r="I13" s="155">
        <f t="shared" si="3"/>
        <v>74735</v>
      </c>
      <c r="J13" s="153">
        <v>8668774</v>
      </c>
      <c r="K13" s="44">
        <f t="shared" si="4"/>
        <v>4616</v>
      </c>
      <c r="L13" s="156">
        <v>8631402</v>
      </c>
      <c r="M13" s="44">
        <f t="shared" si="5"/>
        <v>3879</v>
      </c>
      <c r="N13" s="153">
        <v>5794750</v>
      </c>
      <c r="O13" s="44">
        <f t="shared" si="12"/>
        <v>8040</v>
      </c>
      <c r="P13" s="156">
        <v>4829980</v>
      </c>
      <c r="Q13" s="44">
        <f t="shared" si="6"/>
        <v>9500</v>
      </c>
      <c r="R13" s="153">
        <v>18627449</v>
      </c>
      <c r="S13" s="44">
        <f>IF((R13-R12)&lt;0,"0",(R13-R12))</f>
        <v>8823</v>
      </c>
      <c r="T13" s="153">
        <v>0</v>
      </c>
      <c r="U13" s="157"/>
      <c r="V13" s="153">
        <v>6409522</v>
      </c>
      <c r="W13" s="44">
        <f t="shared" si="8"/>
        <v>9307</v>
      </c>
      <c r="X13" s="22">
        <f t="shared" si="9"/>
        <v>44165</v>
      </c>
      <c r="Y13" s="158">
        <f t="shared" si="10"/>
        <v>30570</v>
      </c>
      <c r="Z13" s="3">
        <f t="shared" si="11"/>
        <v>6939.6572960000003</v>
      </c>
      <c r="AA13" s="3">
        <f t="shared" si="13"/>
        <v>34913.298388800002</v>
      </c>
    </row>
    <row r="14" spans="1:27" ht="16.5" thickBot="1" x14ac:dyDescent="0.3">
      <c r="A14" s="10">
        <v>44451</v>
      </c>
      <c r="B14" s="44">
        <v>150</v>
      </c>
      <c r="C14" s="152">
        <v>18823</v>
      </c>
      <c r="D14" s="44">
        <f t="shared" si="0"/>
        <v>960</v>
      </c>
      <c r="E14" s="153">
        <v>27905845</v>
      </c>
      <c r="F14" s="44">
        <f t="shared" si="1"/>
        <v>14674</v>
      </c>
      <c r="G14" s="154">
        <v>88254274</v>
      </c>
      <c r="H14" s="44">
        <f t="shared" si="2"/>
        <v>31186</v>
      </c>
      <c r="I14" s="155">
        <f t="shared" si="3"/>
        <v>45860</v>
      </c>
      <c r="J14" s="153">
        <v>8674420</v>
      </c>
      <c r="K14" s="44">
        <f t="shared" si="4"/>
        <v>5646</v>
      </c>
      <c r="L14" s="156">
        <v>8636270</v>
      </c>
      <c r="M14" s="44">
        <f t="shared" si="5"/>
        <v>4868</v>
      </c>
      <c r="N14" s="153">
        <v>5799574</v>
      </c>
      <c r="O14" s="44">
        <f t="shared" si="12"/>
        <v>9648</v>
      </c>
      <c r="P14" s="156">
        <v>4841566</v>
      </c>
      <c r="Q14" s="44">
        <f t="shared" si="6"/>
        <v>11586</v>
      </c>
      <c r="R14" s="153">
        <v>18637429</v>
      </c>
      <c r="S14" s="44">
        <f>IF((R14-R13)&lt;0,"0",(R14-R13))</f>
        <v>9980</v>
      </c>
      <c r="T14" s="153">
        <v>0</v>
      </c>
      <c r="U14" s="157"/>
      <c r="V14" s="153">
        <v>6420751</v>
      </c>
      <c r="W14" s="44">
        <f t="shared" si="8"/>
        <v>11229</v>
      </c>
      <c r="X14" s="22">
        <f t="shared" si="9"/>
        <v>52957</v>
      </c>
      <c r="Y14" s="158">
        <f t="shared" si="10"/>
        <v>-7097</v>
      </c>
      <c r="Z14" s="3">
        <f t="shared" si="11"/>
        <v>8221.7503887999992</v>
      </c>
      <c r="AA14" s="3">
        <f t="shared" si="13"/>
        <v>35881.224204800004</v>
      </c>
    </row>
    <row r="15" spans="1:27" ht="16.5" thickBot="1" x14ac:dyDescent="0.3">
      <c r="A15" s="10">
        <v>44452</v>
      </c>
      <c r="B15" s="44"/>
      <c r="C15" s="152"/>
      <c r="D15" s="44">
        <f t="shared" si="0"/>
        <v>0</v>
      </c>
      <c r="E15" s="153"/>
      <c r="F15" s="44" t="str">
        <f t="shared" si="1"/>
        <v>0</v>
      </c>
      <c r="G15" s="154"/>
      <c r="H15" s="44" t="str">
        <f t="shared" si="2"/>
        <v>0</v>
      </c>
      <c r="I15" s="155">
        <f t="shared" si="3"/>
        <v>0</v>
      </c>
      <c r="J15" s="153"/>
      <c r="K15" s="44" t="str">
        <f t="shared" si="4"/>
        <v>0</v>
      </c>
      <c r="L15" s="156"/>
      <c r="M15" s="44" t="str">
        <f t="shared" si="5"/>
        <v>0</v>
      </c>
      <c r="N15" s="153"/>
      <c r="O15" s="44">
        <f t="shared" si="12"/>
        <v>0</v>
      </c>
      <c r="P15" s="156"/>
      <c r="Q15" s="44" t="str">
        <f t="shared" si="6"/>
        <v>0</v>
      </c>
      <c r="R15" s="153"/>
      <c r="S15" s="44" t="str">
        <f>IF((R15-R14)&lt;0,"0",(R15-R14))</f>
        <v>0</v>
      </c>
      <c r="T15" s="153">
        <v>0</v>
      </c>
      <c r="U15" s="157"/>
      <c r="V15" s="153"/>
      <c r="W15" s="44" t="str">
        <f t="shared" si="8"/>
        <v>0</v>
      </c>
      <c r="X15" s="22">
        <f t="shared" si="9"/>
        <v>0</v>
      </c>
      <c r="Y15" s="158">
        <f t="shared" si="10"/>
        <v>0</v>
      </c>
      <c r="Z15" s="3">
        <f t="shared" si="11"/>
        <v>0</v>
      </c>
      <c r="AA15" s="3">
        <f t="shared" si="13"/>
        <v>24366.283676800002</v>
      </c>
    </row>
    <row r="16" spans="1:27" ht="16.5" thickBot="1" x14ac:dyDescent="0.3">
      <c r="A16" s="10">
        <v>44453</v>
      </c>
      <c r="B16" s="44"/>
      <c r="C16" s="152"/>
      <c r="D16" s="44">
        <f t="shared" si="0"/>
        <v>0</v>
      </c>
      <c r="E16" s="153"/>
      <c r="F16" s="44">
        <f t="shared" si="1"/>
        <v>0</v>
      </c>
      <c r="G16" s="154"/>
      <c r="H16" s="44">
        <f t="shared" si="2"/>
        <v>0</v>
      </c>
      <c r="I16" s="155">
        <f t="shared" si="3"/>
        <v>0</v>
      </c>
      <c r="J16" s="153"/>
      <c r="K16" s="44">
        <f t="shared" si="4"/>
        <v>0</v>
      </c>
      <c r="L16" s="156"/>
      <c r="M16" s="44">
        <f t="shared" si="5"/>
        <v>0</v>
      </c>
      <c r="N16" s="153"/>
      <c r="O16" s="44">
        <f t="shared" si="12"/>
        <v>0</v>
      </c>
      <c r="P16" s="156"/>
      <c r="Q16" s="44">
        <f t="shared" si="6"/>
        <v>0</v>
      </c>
      <c r="R16" s="153"/>
      <c r="S16" s="44">
        <f t="shared" si="7"/>
        <v>0</v>
      </c>
      <c r="T16" s="153">
        <v>0</v>
      </c>
      <c r="U16" s="157"/>
      <c r="V16" s="153"/>
      <c r="W16" s="44">
        <f t="shared" si="8"/>
        <v>0</v>
      </c>
      <c r="X16" s="22">
        <f t="shared" si="9"/>
        <v>0</v>
      </c>
      <c r="Y16" s="158">
        <f t="shared" si="10"/>
        <v>0</v>
      </c>
      <c r="Z16" s="3">
        <f t="shared" si="11"/>
        <v>0</v>
      </c>
      <c r="AA16" s="3">
        <f t="shared" si="13"/>
        <v>15161.4076848</v>
      </c>
    </row>
    <row r="17" spans="1:27" s="136" customFormat="1" ht="16.5" thickBot="1" x14ac:dyDescent="0.3">
      <c r="A17" s="10">
        <v>44454</v>
      </c>
      <c r="B17" s="135"/>
      <c r="C17" s="152"/>
      <c r="D17" s="44">
        <f t="shared" si="0"/>
        <v>0</v>
      </c>
      <c r="E17" s="153"/>
      <c r="F17" s="44">
        <f t="shared" si="1"/>
        <v>0</v>
      </c>
      <c r="G17" s="154"/>
      <c r="H17" s="44">
        <f t="shared" si="2"/>
        <v>0</v>
      </c>
      <c r="I17" s="159">
        <f t="shared" si="3"/>
        <v>0</v>
      </c>
      <c r="J17" s="153"/>
      <c r="K17" s="44">
        <f t="shared" si="4"/>
        <v>0</v>
      </c>
      <c r="L17" s="156"/>
      <c r="M17" s="135">
        <f t="shared" si="5"/>
        <v>0</v>
      </c>
      <c r="N17" s="153"/>
      <c r="O17" s="135">
        <f t="shared" si="12"/>
        <v>0</v>
      </c>
      <c r="P17" s="156"/>
      <c r="Q17" s="135">
        <f t="shared" si="6"/>
        <v>0</v>
      </c>
      <c r="R17" s="153"/>
      <c r="S17" s="135">
        <f t="shared" si="7"/>
        <v>0</v>
      </c>
      <c r="T17" s="160">
        <v>0</v>
      </c>
      <c r="U17" s="157"/>
      <c r="V17" s="153"/>
      <c r="W17" s="135">
        <f t="shared" si="8"/>
        <v>0</v>
      </c>
      <c r="X17" s="22">
        <f t="shared" si="9"/>
        <v>0</v>
      </c>
      <c r="Y17" s="161">
        <f t="shared" si="10"/>
        <v>0</v>
      </c>
      <c r="Z17" s="162">
        <f t="shared" si="11"/>
        <v>0</v>
      </c>
      <c r="AA17" s="162">
        <f t="shared" si="13"/>
        <v>8221.7503887999992</v>
      </c>
    </row>
    <row r="18" spans="1:27" s="136" customFormat="1" ht="16.5" thickBot="1" x14ac:dyDescent="0.3">
      <c r="A18" s="10">
        <v>44455</v>
      </c>
      <c r="B18" s="135"/>
      <c r="C18" s="152"/>
      <c r="D18" s="44">
        <f t="shared" si="0"/>
        <v>0</v>
      </c>
      <c r="E18" s="153"/>
      <c r="F18" s="44">
        <f t="shared" si="1"/>
        <v>0</v>
      </c>
      <c r="G18" s="154"/>
      <c r="H18" s="44">
        <f t="shared" si="2"/>
        <v>0</v>
      </c>
      <c r="I18" s="159">
        <f t="shared" si="3"/>
        <v>0</v>
      </c>
      <c r="J18" s="153"/>
      <c r="K18" s="44">
        <f t="shared" si="4"/>
        <v>0</v>
      </c>
      <c r="L18" s="156"/>
      <c r="M18" s="135">
        <f t="shared" si="5"/>
        <v>0</v>
      </c>
      <c r="N18" s="153"/>
      <c r="O18" s="135">
        <f t="shared" si="12"/>
        <v>0</v>
      </c>
      <c r="P18" s="156"/>
      <c r="Q18" s="135">
        <f t="shared" si="6"/>
        <v>0</v>
      </c>
      <c r="R18" s="153"/>
      <c r="S18" s="135">
        <f t="shared" si="7"/>
        <v>0</v>
      </c>
      <c r="T18" s="160">
        <v>0</v>
      </c>
      <c r="U18" s="157"/>
      <c r="V18" s="153"/>
      <c r="W18" s="135">
        <f t="shared" si="8"/>
        <v>0</v>
      </c>
      <c r="X18" s="22">
        <f t="shared" si="9"/>
        <v>0</v>
      </c>
      <c r="Y18" s="161">
        <f t="shared" si="10"/>
        <v>0</v>
      </c>
      <c r="Z18" s="162">
        <f t="shared" si="11"/>
        <v>0</v>
      </c>
      <c r="AA18" s="162">
        <f t="shared" si="13"/>
        <v>0</v>
      </c>
    </row>
    <row r="19" spans="1:27" s="136" customFormat="1" ht="16.5" thickBot="1" x14ac:dyDescent="0.3">
      <c r="A19" s="10">
        <v>44456</v>
      </c>
      <c r="B19" s="135"/>
      <c r="C19" s="152"/>
      <c r="D19" s="44">
        <f t="shared" si="0"/>
        <v>0</v>
      </c>
      <c r="E19" s="153"/>
      <c r="F19" s="44">
        <f t="shared" si="1"/>
        <v>0</v>
      </c>
      <c r="G19" s="154"/>
      <c r="H19" s="44">
        <f t="shared" si="2"/>
        <v>0</v>
      </c>
      <c r="I19" s="159">
        <f t="shared" si="3"/>
        <v>0</v>
      </c>
      <c r="J19" s="153"/>
      <c r="K19" s="44">
        <f t="shared" si="4"/>
        <v>0</v>
      </c>
      <c r="L19" s="156"/>
      <c r="M19" s="135">
        <f t="shared" si="5"/>
        <v>0</v>
      </c>
      <c r="N19" s="153"/>
      <c r="O19" s="135">
        <f t="shared" si="12"/>
        <v>0</v>
      </c>
      <c r="P19" s="156"/>
      <c r="Q19" s="135">
        <f t="shared" si="6"/>
        <v>0</v>
      </c>
      <c r="R19" s="153"/>
      <c r="S19" s="135">
        <f t="shared" si="7"/>
        <v>0</v>
      </c>
      <c r="T19" s="160">
        <v>0</v>
      </c>
      <c r="U19" s="157"/>
      <c r="V19" s="153"/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0</v>
      </c>
    </row>
    <row r="20" spans="1:27" s="136" customFormat="1" ht="16.5" thickBot="1" x14ac:dyDescent="0.3">
      <c r="A20" s="10">
        <v>44457</v>
      </c>
      <c r="B20" s="135"/>
      <c r="C20" s="152"/>
      <c r="D20" s="44">
        <f t="shared" si="0"/>
        <v>0</v>
      </c>
      <c r="E20" s="153"/>
      <c r="F20" s="44">
        <f t="shared" si="1"/>
        <v>0</v>
      </c>
      <c r="G20" s="154"/>
      <c r="H20" s="44">
        <f t="shared" si="2"/>
        <v>0</v>
      </c>
      <c r="I20" s="159">
        <f t="shared" si="3"/>
        <v>0</v>
      </c>
      <c r="J20" s="153"/>
      <c r="K20" s="44">
        <f t="shared" si="4"/>
        <v>0</v>
      </c>
      <c r="L20" s="156"/>
      <c r="M20" s="135">
        <f t="shared" si="5"/>
        <v>0</v>
      </c>
      <c r="N20" s="153"/>
      <c r="O20" s="135">
        <f t="shared" si="12"/>
        <v>0</v>
      </c>
      <c r="P20" s="156"/>
      <c r="Q20" s="135">
        <f t="shared" si="6"/>
        <v>0</v>
      </c>
      <c r="R20" s="153"/>
      <c r="S20" s="135">
        <f t="shared" si="7"/>
        <v>0</v>
      </c>
      <c r="T20" s="160">
        <v>0</v>
      </c>
      <c r="U20" s="157"/>
      <c r="V20" s="153"/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0</v>
      </c>
    </row>
    <row r="21" spans="1:27" s="136" customFormat="1" ht="16.5" thickBot="1" x14ac:dyDescent="0.3">
      <c r="A21" s="10">
        <v>44458</v>
      </c>
      <c r="B21" s="135"/>
      <c r="C21" s="152"/>
      <c r="D21" s="44">
        <f t="shared" si="0"/>
        <v>0</v>
      </c>
      <c r="E21" s="153"/>
      <c r="F21" s="44">
        <f t="shared" si="1"/>
        <v>0</v>
      </c>
      <c r="G21" s="154"/>
      <c r="H21" s="44">
        <f t="shared" si="2"/>
        <v>0</v>
      </c>
      <c r="I21" s="159">
        <f t="shared" si="3"/>
        <v>0</v>
      </c>
      <c r="J21" s="153"/>
      <c r="K21" s="44">
        <f t="shared" si="4"/>
        <v>0</v>
      </c>
      <c r="L21" s="156"/>
      <c r="M21" s="135">
        <f t="shared" si="5"/>
        <v>0</v>
      </c>
      <c r="N21" s="153"/>
      <c r="O21" s="135">
        <f t="shared" si="12"/>
        <v>0</v>
      </c>
      <c r="P21" s="156"/>
      <c r="Q21" s="135">
        <f t="shared" si="6"/>
        <v>0</v>
      </c>
      <c r="R21" s="153"/>
      <c r="S21" s="135">
        <f t="shared" si="7"/>
        <v>0</v>
      </c>
      <c r="T21" s="160">
        <v>0</v>
      </c>
      <c r="U21" s="157"/>
      <c r="V21" s="153"/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0</v>
      </c>
    </row>
    <row r="22" spans="1:27" ht="16.5" thickBot="1" x14ac:dyDescent="0.3">
      <c r="A22" s="10">
        <v>44459</v>
      </c>
      <c r="B22" s="44"/>
      <c r="C22" s="152"/>
      <c r="D22" s="44">
        <f t="shared" si="0"/>
        <v>0</v>
      </c>
      <c r="E22" s="153"/>
      <c r="F22" s="44">
        <f t="shared" si="1"/>
        <v>0</v>
      </c>
      <c r="G22" s="154"/>
      <c r="H22" s="44">
        <f t="shared" si="2"/>
        <v>0</v>
      </c>
      <c r="I22" s="155">
        <f t="shared" si="3"/>
        <v>0</v>
      </c>
      <c r="J22" s="153"/>
      <c r="K22" s="44">
        <f t="shared" si="4"/>
        <v>0</v>
      </c>
      <c r="L22" s="156"/>
      <c r="M22" s="44">
        <f t="shared" si="5"/>
        <v>0</v>
      </c>
      <c r="N22" s="153"/>
      <c r="O22" s="44">
        <f t="shared" si="12"/>
        <v>0</v>
      </c>
      <c r="P22" s="156"/>
      <c r="Q22" s="44">
        <f t="shared" si="6"/>
        <v>0</v>
      </c>
      <c r="R22" s="153"/>
      <c r="S22" s="44">
        <f t="shared" si="7"/>
        <v>0</v>
      </c>
      <c r="T22" s="153">
        <v>0</v>
      </c>
      <c r="U22" s="157"/>
      <c r="V22" s="153"/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44460</v>
      </c>
      <c r="B23" s="44"/>
      <c r="C23" s="152"/>
      <c r="D23" s="44">
        <f t="shared" si="0"/>
        <v>0</v>
      </c>
      <c r="E23" s="153"/>
      <c r="F23" s="44">
        <f t="shared" si="1"/>
        <v>0</v>
      </c>
      <c r="G23" s="154"/>
      <c r="H23" s="44">
        <f t="shared" si="2"/>
        <v>0</v>
      </c>
      <c r="I23" s="155">
        <f t="shared" si="3"/>
        <v>0</v>
      </c>
      <c r="J23" s="153"/>
      <c r="K23" s="44">
        <f t="shared" si="4"/>
        <v>0</v>
      </c>
      <c r="L23" s="156"/>
      <c r="M23" s="44">
        <f t="shared" si="5"/>
        <v>0</v>
      </c>
      <c r="N23" s="153"/>
      <c r="O23" s="44">
        <f t="shared" si="12"/>
        <v>0</v>
      </c>
      <c r="P23" s="156"/>
      <c r="Q23" s="44">
        <f t="shared" si="6"/>
        <v>0</v>
      </c>
      <c r="R23" s="153"/>
      <c r="S23" s="44">
        <f t="shared" si="7"/>
        <v>0</v>
      </c>
      <c r="T23" s="153">
        <v>0</v>
      </c>
      <c r="U23" s="157"/>
      <c r="V23" s="153"/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44461</v>
      </c>
      <c r="B24" s="44"/>
      <c r="C24" s="152"/>
      <c r="D24" s="44">
        <f t="shared" si="0"/>
        <v>0</v>
      </c>
      <c r="E24" s="153"/>
      <c r="F24" s="44">
        <f t="shared" si="1"/>
        <v>0</v>
      </c>
      <c r="G24" s="154"/>
      <c r="H24" s="44">
        <f t="shared" si="2"/>
        <v>0</v>
      </c>
      <c r="I24" s="155">
        <f t="shared" si="3"/>
        <v>0</v>
      </c>
      <c r="J24" s="153"/>
      <c r="K24" s="44">
        <f t="shared" si="4"/>
        <v>0</v>
      </c>
      <c r="L24" s="156"/>
      <c r="M24" s="44">
        <f t="shared" si="5"/>
        <v>0</v>
      </c>
      <c r="N24" s="153"/>
      <c r="O24" s="44">
        <f t="shared" si="12"/>
        <v>0</v>
      </c>
      <c r="P24" s="156"/>
      <c r="Q24" s="44">
        <f t="shared" si="6"/>
        <v>0</v>
      </c>
      <c r="R24" s="153"/>
      <c r="S24" s="44">
        <f t="shared" si="7"/>
        <v>0</v>
      </c>
      <c r="T24" s="153">
        <v>0</v>
      </c>
      <c r="U24" s="157"/>
      <c r="V24" s="153"/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44462</v>
      </c>
      <c r="B25" s="44"/>
      <c r="C25" s="152"/>
      <c r="D25" s="44">
        <f t="shared" si="0"/>
        <v>0</v>
      </c>
      <c r="E25" s="153"/>
      <c r="F25" s="44">
        <f t="shared" si="1"/>
        <v>0</v>
      </c>
      <c r="G25" s="154"/>
      <c r="H25" s="44">
        <f t="shared" si="2"/>
        <v>0</v>
      </c>
      <c r="I25" s="155">
        <f t="shared" si="3"/>
        <v>0</v>
      </c>
      <c r="J25" s="153"/>
      <c r="K25" s="44">
        <f t="shared" si="4"/>
        <v>0</v>
      </c>
      <c r="L25" s="156"/>
      <c r="M25" s="44">
        <f t="shared" si="5"/>
        <v>0</v>
      </c>
      <c r="N25" s="153"/>
      <c r="O25" s="44">
        <f t="shared" si="12"/>
        <v>0</v>
      </c>
      <c r="P25" s="156"/>
      <c r="Q25" s="44">
        <f t="shared" si="6"/>
        <v>0</v>
      </c>
      <c r="R25" s="153"/>
      <c r="S25" s="44">
        <f t="shared" si="7"/>
        <v>0</v>
      </c>
      <c r="T25" s="153">
        <v>0</v>
      </c>
      <c r="U25" s="157"/>
      <c r="V25" s="153"/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44463</v>
      </c>
      <c r="B26" s="44"/>
      <c r="C26" s="152"/>
      <c r="D26" s="44">
        <f t="shared" si="0"/>
        <v>0</v>
      </c>
      <c r="E26" s="153"/>
      <c r="F26" s="44">
        <f t="shared" si="1"/>
        <v>0</v>
      </c>
      <c r="G26" s="154"/>
      <c r="H26" s="44">
        <f t="shared" si="2"/>
        <v>0</v>
      </c>
      <c r="I26" s="155">
        <f t="shared" si="3"/>
        <v>0</v>
      </c>
      <c r="J26" s="153"/>
      <c r="K26" s="44">
        <f t="shared" si="4"/>
        <v>0</v>
      </c>
      <c r="L26" s="156"/>
      <c r="M26" s="44">
        <f t="shared" si="5"/>
        <v>0</v>
      </c>
      <c r="N26" s="153"/>
      <c r="O26" s="44">
        <f t="shared" si="12"/>
        <v>0</v>
      </c>
      <c r="P26" s="156"/>
      <c r="Q26" s="44">
        <f t="shared" si="6"/>
        <v>0</v>
      </c>
      <c r="R26" s="153"/>
      <c r="S26" s="44">
        <f t="shared" si="7"/>
        <v>0</v>
      </c>
      <c r="T26" s="153">
        <v>0</v>
      </c>
      <c r="U26" s="157"/>
      <c r="V26" s="153"/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44464</v>
      </c>
      <c r="B27" s="44"/>
      <c r="C27" s="152"/>
      <c r="D27" s="44">
        <f t="shared" si="0"/>
        <v>0</v>
      </c>
      <c r="E27" s="153"/>
      <c r="F27" s="44">
        <f t="shared" si="1"/>
        <v>0</v>
      </c>
      <c r="G27" s="154"/>
      <c r="H27" s="44">
        <f t="shared" si="2"/>
        <v>0</v>
      </c>
      <c r="I27" s="155">
        <f t="shared" si="3"/>
        <v>0</v>
      </c>
      <c r="J27" s="153"/>
      <c r="K27" s="44">
        <f t="shared" si="4"/>
        <v>0</v>
      </c>
      <c r="L27" s="156"/>
      <c r="M27" s="44">
        <f t="shared" si="5"/>
        <v>0</v>
      </c>
      <c r="N27" s="153"/>
      <c r="O27" s="44">
        <f t="shared" si="12"/>
        <v>0</v>
      </c>
      <c r="P27" s="156"/>
      <c r="Q27" s="44">
        <f t="shared" si="6"/>
        <v>0</v>
      </c>
      <c r="R27" s="153"/>
      <c r="S27" s="44">
        <f t="shared" si="7"/>
        <v>0</v>
      </c>
      <c r="T27" s="153">
        <v>0</v>
      </c>
      <c r="U27" s="157"/>
      <c r="V27" s="153"/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44465</v>
      </c>
      <c r="B28" s="44"/>
      <c r="C28" s="152"/>
      <c r="D28" s="44">
        <f t="shared" si="0"/>
        <v>0</v>
      </c>
      <c r="E28" s="153"/>
      <c r="F28" s="44">
        <f t="shared" si="1"/>
        <v>0</v>
      </c>
      <c r="G28" s="154"/>
      <c r="H28" s="44">
        <f t="shared" si="2"/>
        <v>0</v>
      </c>
      <c r="I28" s="155">
        <f t="shared" si="3"/>
        <v>0</v>
      </c>
      <c r="J28" s="153"/>
      <c r="K28" s="44">
        <f t="shared" si="4"/>
        <v>0</v>
      </c>
      <c r="L28" s="156"/>
      <c r="M28" s="44">
        <f t="shared" si="5"/>
        <v>0</v>
      </c>
      <c r="N28" s="153"/>
      <c r="O28" s="44">
        <f t="shared" si="12"/>
        <v>0</v>
      </c>
      <c r="P28" s="156"/>
      <c r="Q28" s="44">
        <f t="shared" si="6"/>
        <v>0</v>
      </c>
      <c r="R28" s="153"/>
      <c r="S28" s="44">
        <f t="shared" si="7"/>
        <v>0</v>
      </c>
      <c r="T28" s="153">
        <v>0</v>
      </c>
      <c r="U28" s="157"/>
      <c r="V28" s="153"/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44466</v>
      </c>
      <c r="B29" s="44"/>
      <c r="C29" s="152"/>
      <c r="D29" s="44">
        <f t="shared" si="0"/>
        <v>0</v>
      </c>
      <c r="E29" s="153"/>
      <c r="F29" s="44">
        <f t="shared" si="1"/>
        <v>0</v>
      </c>
      <c r="G29" s="154"/>
      <c r="H29" s="44">
        <f t="shared" si="2"/>
        <v>0</v>
      </c>
      <c r="I29" s="155">
        <f t="shared" si="3"/>
        <v>0</v>
      </c>
      <c r="J29" s="153"/>
      <c r="K29" s="44">
        <f t="shared" si="4"/>
        <v>0</v>
      </c>
      <c r="L29" s="156"/>
      <c r="M29" s="44">
        <f t="shared" si="5"/>
        <v>0</v>
      </c>
      <c r="N29" s="153"/>
      <c r="O29" s="44">
        <f t="shared" si="12"/>
        <v>0</v>
      </c>
      <c r="P29" s="156"/>
      <c r="Q29" s="44">
        <f t="shared" si="6"/>
        <v>0</v>
      </c>
      <c r="R29" s="153"/>
      <c r="S29" s="44">
        <f t="shared" si="7"/>
        <v>0</v>
      </c>
      <c r="T29" s="153">
        <v>0</v>
      </c>
      <c r="U29" s="157"/>
      <c r="V29" s="153"/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44467</v>
      </c>
      <c r="B30" s="44"/>
      <c r="C30" s="152"/>
      <c r="D30" s="44">
        <f t="shared" si="0"/>
        <v>0</v>
      </c>
      <c r="E30" s="153"/>
      <c r="F30" s="44">
        <f t="shared" si="1"/>
        <v>0</v>
      </c>
      <c r="G30" s="154"/>
      <c r="H30" s="44">
        <f t="shared" si="2"/>
        <v>0</v>
      </c>
      <c r="I30" s="155">
        <f t="shared" si="3"/>
        <v>0</v>
      </c>
      <c r="J30" s="153"/>
      <c r="K30" s="44">
        <f t="shared" si="4"/>
        <v>0</v>
      </c>
      <c r="L30" s="156"/>
      <c r="M30" s="44">
        <f t="shared" si="5"/>
        <v>0</v>
      </c>
      <c r="N30" s="153"/>
      <c r="O30" s="44">
        <f t="shared" si="12"/>
        <v>0</v>
      </c>
      <c r="P30" s="156"/>
      <c r="Q30" s="44">
        <f t="shared" si="6"/>
        <v>0</v>
      </c>
      <c r="R30" s="153"/>
      <c r="S30" s="44">
        <f t="shared" si="7"/>
        <v>0</v>
      </c>
      <c r="T30" s="153">
        <v>0</v>
      </c>
      <c r="U30" s="157"/>
      <c r="V30" s="153"/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>
        <f t="shared" si="1"/>
        <v>0</v>
      </c>
      <c r="G31" s="154"/>
      <c r="H31" s="44">
        <f t="shared" si="2"/>
        <v>0</v>
      </c>
      <c r="I31" s="155">
        <f t="shared" si="3"/>
        <v>0</v>
      </c>
      <c r="J31" s="153"/>
      <c r="K31" s="44">
        <f t="shared" si="4"/>
        <v>0</v>
      </c>
      <c r="L31" s="156"/>
      <c r="M31" s="44">
        <f t="shared" si="5"/>
        <v>0</v>
      </c>
      <c r="N31" s="153"/>
      <c r="O31" s="44">
        <f t="shared" si="12"/>
        <v>0</v>
      </c>
      <c r="P31" s="156"/>
      <c r="Q31" s="44">
        <f t="shared" si="6"/>
        <v>0</v>
      </c>
      <c r="R31" s="153"/>
      <c r="S31" s="44">
        <f t="shared" si="7"/>
        <v>0</v>
      </c>
      <c r="T31" s="153">
        <v>0</v>
      </c>
      <c r="U31" s="11"/>
      <c r="V31" s="153"/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>
        <v>87598842</v>
      </c>
      <c r="H33" s="44">
        <f t="shared" si="2"/>
        <v>87598842</v>
      </c>
      <c r="I33" s="22">
        <f>F33+H33</f>
        <v>87598842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87598842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1866</v>
      </c>
      <c r="C34" s="144"/>
      <c r="D34" s="144">
        <f>SUM(D2:D33)</f>
        <v>12320</v>
      </c>
      <c r="E34" s="61">
        <v>0</v>
      </c>
      <c r="F34" s="61">
        <f>SUM(F2:F33)</f>
        <v>200157</v>
      </c>
      <c r="G34" s="61">
        <v>0</v>
      </c>
      <c r="H34" s="61">
        <f>SUM(H2:H33)</f>
        <v>88254274</v>
      </c>
      <c r="I34" s="61">
        <f>SUM(I5:I33)</f>
        <v>88290192</v>
      </c>
      <c r="J34" s="61">
        <v>0</v>
      </c>
      <c r="K34" s="61">
        <f>SUM(K2:K33)</f>
        <v>66301</v>
      </c>
      <c r="L34" s="61">
        <v>0</v>
      </c>
      <c r="M34" s="61">
        <f>SUM(M2:M33)</f>
        <v>66518</v>
      </c>
      <c r="N34" s="61">
        <v>0</v>
      </c>
      <c r="O34" s="61">
        <f>SUM(O2:O33)</f>
        <v>131462</v>
      </c>
      <c r="P34" s="61">
        <v>0</v>
      </c>
      <c r="Q34" s="61">
        <f>SUM(Q2:Q33)</f>
        <v>154975</v>
      </c>
      <c r="R34" s="61">
        <v>0</v>
      </c>
      <c r="S34" s="61">
        <f>SUM(S2:S33)</f>
        <v>129225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143063</v>
      </c>
      <c r="X34" s="61">
        <f>SUM(X5:X33)</f>
        <v>556877</v>
      </c>
      <c r="Y34" s="61">
        <f>SUM(Y2:Y33)</f>
        <v>87762887</v>
      </c>
      <c r="Z34" s="61">
        <f>SUM(Z2:Z33)</f>
        <v>107555.34799360001</v>
      </c>
      <c r="AA34" s="61">
        <f>SUM(AA2:AA33)</f>
        <v>420306.67704480002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>
        <v>423701</v>
      </c>
      <c r="C5" s="44">
        <f t="shared" si="0"/>
        <v>890</v>
      </c>
      <c r="D5" s="3">
        <v>4377000</v>
      </c>
      <c r="E5" s="44">
        <f t="shared" si="1"/>
        <v>0</v>
      </c>
      <c r="F5" s="3">
        <v>5254400</v>
      </c>
      <c r="G5" s="44">
        <f t="shared" ref="G5:G33" si="4">(IF((F5-F4)&lt;0,"0",(F5-F4)))*0.027</f>
        <v>483.3</v>
      </c>
      <c r="H5" s="3">
        <v>745300</v>
      </c>
      <c r="I5" s="49">
        <f t="shared" ref="I5:I33" si="5">(IF((H5-H4)&lt;0,"0",(H5-H4)))*0.027</f>
        <v>3.1320000000000001</v>
      </c>
      <c r="J5" s="22">
        <f t="shared" si="2"/>
        <v>1376.432</v>
      </c>
      <c r="K5" s="23">
        <f t="shared" si="3"/>
        <v>8065.8915200000001</v>
      </c>
    </row>
    <row r="6" spans="1:14" ht="16.5" thickBot="1" x14ac:dyDescent="0.3">
      <c r="A6" s="10">
        <v>44443</v>
      </c>
      <c r="B6" s="3">
        <v>423806</v>
      </c>
      <c r="C6" s="44">
        <f t="shared" si="0"/>
        <v>1050</v>
      </c>
      <c r="D6" s="3">
        <v>4377000</v>
      </c>
      <c r="E6" s="44">
        <f t="shared" si="1"/>
        <v>0</v>
      </c>
      <c r="F6" s="3">
        <v>5274200</v>
      </c>
      <c r="G6" s="44">
        <f t="shared" si="4"/>
        <v>534.6</v>
      </c>
      <c r="H6" s="3">
        <v>745453</v>
      </c>
      <c r="I6" s="49">
        <f t="shared" si="5"/>
        <v>4.1310000000000002</v>
      </c>
      <c r="J6" s="22">
        <f t="shared" si="2"/>
        <v>1588.731</v>
      </c>
      <c r="K6" s="23">
        <f t="shared" si="3"/>
        <v>9309.9636600000013</v>
      </c>
    </row>
    <row r="7" spans="1:14" ht="16.5" thickBot="1" x14ac:dyDescent="0.3">
      <c r="A7" s="10">
        <v>44444</v>
      </c>
      <c r="B7" s="3">
        <v>423913</v>
      </c>
      <c r="C7" s="44">
        <f t="shared" si="0"/>
        <v>1070</v>
      </c>
      <c r="D7" s="3">
        <v>4377000</v>
      </c>
      <c r="E7" s="44">
        <f t="shared" si="1"/>
        <v>0</v>
      </c>
      <c r="F7" s="3">
        <v>5293800</v>
      </c>
      <c r="G7" s="44">
        <f t="shared" si="4"/>
        <v>529.20000000000005</v>
      </c>
      <c r="H7" s="3">
        <v>745610</v>
      </c>
      <c r="I7" s="49">
        <f t="shared" si="5"/>
        <v>4.2389999999999999</v>
      </c>
      <c r="J7" s="22">
        <f t="shared" si="2"/>
        <v>1603.4390000000001</v>
      </c>
      <c r="K7" s="23">
        <f t="shared" si="3"/>
        <v>9396.152540000001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>
        <v>424021</v>
      </c>
      <c r="C8" s="44">
        <f t="shared" si="0"/>
        <v>1080</v>
      </c>
      <c r="D8" s="3">
        <v>4377000</v>
      </c>
      <c r="E8" s="44">
        <f t="shared" si="1"/>
        <v>0</v>
      </c>
      <c r="F8" s="3">
        <v>5313000</v>
      </c>
      <c r="G8" s="44">
        <f t="shared" si="4"/>
        <v>518.4</v>
      </c>
      <c r="H8" s="3">
        <v>745760</v>
      </c>
      <c r="I8" s="49">
        <f t="shared" si="5"/>
        <v>4.05</v>
      </c>
      <c r="J8" s="22">
        <f t="shared" si="2"/>
        <v>1602.45</v>
      </c>
      <c r="K8" s="23">
        <f t="shared" si="3"/>
        <v>9390.357</v>
      </c>
    </row>
    <row r="9" spans="1:14" ht="16.5" thickBot="1" x14ac:dyDescent="0.3">
      <c r="A9" s="10">
        <v>44446</v>
      </c>
      <c r="B9" s="3">
        <v>424118</v>
      </c>
      <c r="C9" s="44">
        <f t="shared" ref="C9:C33" si="6">(IF((B9-B8)&lt;0,"0",(B9-B8)))*10</f>
        <v>970</v>
      </c>
      <c r="D9" s="3">
        <v>4377000</v>
      </c>
      <c r="E9" s="44">
        <f t="shared" si="1"/>
        <v>0</v>
      </c>
      <c r="F9" s="3">
        <v>5332000</v>
      </c>
      <c r="G9" s="44">
        <f t="shared" si="4"/>
        <v>513</v>
      </c>
      <c r="H9" s="3">
        <v>745927</v>
      </c>
      <c r="I9" s="49">
        <f t="shared" si="5"/>
        <v>4.5090000000000003</v>
      </c>
      <c r="J9" s="22">
        <f t="shared" si="2"/>
        <v>1487.509</v>
      </c>
      <c r="K9" s="23">
        <f t="shared" si="3"/>
        <v>8716.802740000001</v>
      </c>
    </row>
    <row r="10" spans="1:14" ht="16.5" thickBot="1" x14ac:dyDescent="0.3">
      <c r="A10" s="10">
        <v>44447</v>
      </c>
      <c r="B10" s="3">
        <v>424229</v>
      </c>
      <c r="C10" s="44">
        <f>(IF((B10-B9)&lt;0,"0",(B10-B9)))*10</f>
        <v>1110</v>
      </c>
      <c r="D10" s="3">
        <v>4377000</v>
      </c>
      <c r="E10" s="44">
        <f t="shared" si="1"/>
        <v>0</v>
      </c>
      <c r="F10" s="3">
        <v>5353500</v>
      </c>
      <c r="G10" s="44">
        <f t="shared" si="4"/>
        <v>580.5</v>
      </c>
      <c r="H10" s="3">
        <v>746116</v>
      </c>
      <c r="I10" s="49">
        <f t="shared" si="5"/>
        <v>5.1029999999999998</v>
      </c>
      <c r="J10" s="22">
        <f t="shared" si="2"/>
        <v>1695.6030000000001</v>
      </c>
      <c r="K10" s="23">
        <f t="shared" si="3"/>
        <v>9936.2335800000001</v>
      </c>
    </row>
    <row r="11" spans="1:14" ht="16.5" thickBot="1" x14ac:dyDescent="0.3">
      <c r="A11" s="10">
        <v>44448</v>
      </c>
      <c r="B11" s="3">
        <v>424333</v>
      </c>
      <c r="C11" s="44">
        <f t="shared" si="6"/>
        <v>1040</v>
      </c>
      <c r="D11" s="3">
        <v>4377000</v>
      </c>
      <c r="E11" s="44">
        <f t="shared" si="1"/>
        <v>0</v>
      </c>
      <c r="F11" s="3">
        <v>5372600</v>
      </c>
      <c r="G11" s="44">
        <f t="shared" si="4"/>
        <v>515.70000000000005</v>
      </c>
      <c r="H11" s="3">
        <v>746268</v>
      </c>
      <c r="I11" s="49">
        <f t="shared" si="5"/>
        <v>4.1040000000000001</v>
      </c>
      <c r="J11" s="22">
        <f t="shared" si="2"/>
        <v>1559.8040000000001</v>
      </c>
      <c r="K11" s="23">
        <f t="shared" si="3"/>
        <v>9140.4514400000007</v>
      </c>
      <c r="N11" t="s">
        <v>12</v>
      </c>
    </row>
    <row r="12" spans="1:14" ht="16.5" thickBot="1" x14ac:dyDescent="0.3">
      <c r="A12" s="10">
        <v>44449</v>
      </c>
      <c r="B12" s="3">
        <v>424437</v>
      </c>
      <c r="C12" s="44">
        <f t="shared" si="6"/>
        <v>1040</v>
      </c>
      <c r="D12" s="3">
        <v>4377000</v>
      </c>
      <c r="E12" s="44">
        <f t="shared" si="1"/>
        <v>0</v>
      </c>
      <c r="F12" s="3">
        <v>5391100</v>
      </c>
      <c r="G12" s="44">
        <f t="shared" si="4"/>
        <v>499.5</v>
      </c>
      <c r="H12" s="3">
        <v>746424</v>
      </c>
      <c r="I12" s="49">
        <f t="shared" si="5"/>
        <v>4.2119999999999997</v>
      </c>
      <c r="J12" s="22">
        <f t="shared" si="2"/>
        <v>1543.712</v>
      </c>
      <c r="K12" s="23">
        <f t="shared" si="3"/>
        <v>9046.1523200000011</v>
      </c>
    </row>
    <row r="13" spans="1:14" ht="16.5" thickBot="1" x14ac:dyDescent="0.3">
      <c r="A13" s="10">
        <v>44450</v>
      </c>
      <c r="B13" s="3">
        <v>424516</v>
      </c>
      <c r="C13" s="44">
        <f t="shared" si="6"/>
        <v>790</v>
      </c>
      <c r="D13" s="3">
        <v>4377000</v>
      </c>
      <c r="E13" s="44">
        <f t="shared" si="1"/>
        <v>0</v>
      </c>
      <c r="F13" s="3">
        <v>5407700</v>
      </c>
      <c r="G13" s="44">
        <f t="shared" si="4"/>
        <v>448.2</v>
      </c>
      <c r="H13" s="3">
        <v>746580</v>
      </c>
      <c r="I13" s="49">
        <f t="shared" si="5"/>
        <v>4.2119999999999997</v>
      </c>
      <c r="J13" s="22">
        <f t="shared" si="2"/>
        <v>1242.412</v>
      </c>
      <c r="K13" s="23">
        <f t="shared" si="3"/>
        <v>7280.5343200000007</v>
      </c>
    </row>
    <row r="14" spans="1:14" ht="16.5" thickBot="1" x14ac:dyDescent="0.3">
      <c r="A14" s="10">
        <v>44451</v>
      </c>
      <c r="B14" s="3">
        <v>424647</v>
      </c>
      <c r="C14" s="44">
        <f t="shared" si="6"/>
        <v>1310</v>
      </c>
      <c r="D14" s="3">
        <v>4377000</v>
      </c>
      <c r="E14" s="44">
        <f t="shared" si="1"/>
        <v>0</v>
      </c>
      <c r="F14" s="3">
        <v>5427900</v>
      </c>
      <c r="G14" s="44">
        <v>202</v>
      </c>
      <c r="H14" s="3">
        <v>746795</v>
      </c>
      <c r="I14" s="49">
        <f t="shared" si="5"/>
        <v>5.8049999999999997</v>
      </c>
      <c r="J14" s="22">
        <f t="shared" si="2"/>
        <v>1517.8050000000001</v>
      </c>
      <c r="K14" s="23">
        <f t="shared" si="3"/>
        <v>8894.3373000000011</v>
      </c>
    </row>
    <row r="15" spans="1:14" ht="16.5" thickBot="1" x14ac:dyDescent="0.3">
      <c r="A15" s="10">
        <v>44452</v>
      </c>
      <c r="B15" s="3"/>
      <c r="C15" s="44">
        <f t="shared" si="6"/>
        <v>0</v>
      </c>
      <c r="D15" s="3"/>
      <c r="E15" s="44">
        <f t="shared" si="1"/>
        <v>0</v>
      </c>
      <c r="F15" s="3"/>
      <c r="G15" s="44">
        <f t="shared" si="4"/>
        <v>0</v>
      </c>
      <c r="H15" s="3"/>
      <c r="I15" s="49">
        <f t="shared" si="5"/>
        <v>0</v>
      </c>
      <c r="J15" s="22">
        <f t="shared" si="2"/>
        <v>0</v>
      </c>
      <c r="K15" s="23">
        <f t="shared" si="3"/>
        <v>0</v>
      </c>
    </row>
    <row r="16" spans="1:14" ht="16.5" thickBot="1" x14ac:dyDescent="0.3">
      <c r="A16" s="10">
        <v>44453</v>
      </c>
      <c r="B16" s="3"/>
      <c r="C16" s="44">
        <f t="shared" si="6"/>
        <v>0</v>
      </c>
      <c r="D16" s="3"/>
      <c r="E16" s="44">
        <f t="shared" si="1"/>
        <v>0</v>
      </c>
      <c r="F16" s="3"/>
      <c r="G16" s="44">
        <f t="shared" si="4"/>
        <v>0</v>
      </c>
      <c r="H16" s="3"/>
      <c r="I16" s="49">
        <f t="shared" si="5"/>
        <v>0</v>
      </c>
      <c r="J16" s="22">
        <f t="shared" si="2"/>
        <v>0</v>
      </c>
      <c r="K16" s="23">
        <f t="shared" si="3"/>
        <v>0</v>
      </c>
    </row>
    <row r="17" spans="1:25" ht="16.5" thickBot="1" x14ac:dyDescent="0.3">
      <c r="A17" s="10">
        <v>44454</v>
      </c>
      <c r="B17" s="3"/>
      <c r="C17" s="44">
        <f t="shared" si="6"/>
        <v>0</v>
      </c>
      <c r="D17" s="3"/>
      <c r="E17" s="44">
        <f t="shared" si="1"/>
        <v>0</v>
      </c>
      <c r="F17" s="3"/>
      <c r="G17" s="44">
        <f t="shared" si="4"/>
        <v>0</v>
      </c>
      <c r="H17" s="3"/>
      <c r="I17" s="49">
        <f t="shared" si="5"/>
        <v>0</v>
      </c>
      <c r="J17" s="22">
        <f t="shared" si="2"/>
        <v>0</v>
      </c>
      <c r="K17" s="23">
        <f t="shared" si="3"/>
        <v>0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/>
      <c r="C18" s="44">
        <f t="shared" si="6"/>
        <v>0</v>
      </c>
      <c r="D18" s="3"/>
      <c r="E18" s="44">
        <f t="shared" si="1"/>
        <v>0</v>
      </c>
      <c r="F18" s="3"/>
      <c r="G18" s="44">
        <f t="shared" si="4"/>
        <v>0</v>
      </c>
      <c r="H18" s="3"/>
      <c r="I18" s="49">
        <f t="shared" si="5"/>
        <v>0</v>
      </c>
      <c r="J18" s="22">
        <f t="shared" si="2"/>
        <v>0</v>
      </c>
      <c r="K18" s="23">
        <f t="shared" si="3"/>
        <v>0</v>
      </c>
      <c r="Q18" t="s">
        <v>43</v>
      </c>
    </row>
    <row r="19" spans="1:25" ht="16.5" thickBot="1" x14ac:dyDescent="0.3">
      <c r="A19" s="10">
        <v>44456</v>
      </c>
      <c r="B19" s="3"/>
      <c r="C19" s="44">
        <f t="shared" si="6"/>
        <v>0</v>
      </c>
      <c r="D19" s="3"/>
      <c r="E19" s="44">
        <f t="shared" si="1"/>
        <v>0</v>
      </c>
      <c r="F19" s="3"/>
      <c r="G19" s="44">
        <f t="shared" si="4"/>
        <v>0</v>
      </c>
      <c r="H19" s="3"/>
      <c r="I19" s="49">
        <f t="shared" si="5"/>
        <v>0</v>
      </c>
      <c r="J19" s="22">
        <f t="shared" si="2"/>
        <v>0</v>
      </c>
      <c r="K19" s="23">
        <f t="shared" si="3"/>
        <v>0</v>
      </c>
      <c r="Q19" t="s">
        <v>12</v>
      </c>
    </row>
    <row r="20" spans="1:25" ht="16.5" thickBot="1" x14ac:dyDescent="0.3">
      <c r="A20" s="10">
        <v>44457</v>
      </c>
      <c r="B20" s="3"/>
      <c r="C20" s="44">
        <f t="shared" si="6"/>
        <v>0</v>
      </c>
      <c r="D20" s="3"/>
      <c r="E20" s="44">
        <f t="shared" si="1"/>
        <v>0</v>
      </c>
      <c r="F20" s="3"/>
      <c r="G20" s="44">
        <f t="shared" si="4"/>
        <v>0</v>
      </c>
      <c r="H20" s="3"/>
      <c r="I20" s="49">
        <f t="shared" si="5"/>
        <v>0</v>
      </c>
      <c r="J20" s="22">
        <f t="shared" si="2"/>
        <v>0</v>
      </c>
      <c r="K20" s="23">
        <f t="shared" si="3"/>
        <v>0</v>
      </c>
    </row>
    <row r="21" spans="1:25" ht="16.5" thickBot="1" x14ac:dyDescent="0.3">
      <c r="A21" s="10">
        <v>44458</v>
      </c>
      <c r="B21" s="3"/>
      <c r="C21" s="44">
        <f t="shared" si="6"/>
        <v>0</v>
      </c>
      <c r="D21" s="3"/>
      <c r="E21" s="44">
        <f t="shared" si="1"/>
        <v>0</v>
      </c>
      <c r="F21" s="3"/>
      <c r="G21" s="44">
        <f t="shared" si="4"/>
        <v>0</v>
      </c>
      <c r="H21" s="3"/>
      <c r="I21" s="49">
        <f t="shared" si="5"/>
        <v>0</v>
      </c>
      <c r="J21" s="22">
        <f t="shared" si="2"/>
        <v>0</v>
      </c>
      <c r="K21" s="23">
        <f t="shared" si="3"/>
        <v>0</v>
      </c>
    </row>
    <row r="22" spans="1:25" ht="16.5" thickBot="1" x14ac:dyDescent="0.3">
      <c r="A22" s="10">
        <v>44459</v>
      </c>
      <c r="B22" s="3"/>
      <c r="C22" s="44">
        <f t="shared" si="6"/>
        <v>0</v>
      </c>
      <c r="D22" s="3"/>
      <c r="E22" s="44">
        <f t="shared" si="1"/>
        <v>0</v>
      </c>
      <c r="F22" s="3"/>
      <c r="G22" s="44">
        <f t="shared" si="4"/>
        <v>0</v>
      </c>
      <c r="H22" s="3"/>
      <c r="I22" s="49">
        <f t="shared" si="5"/>
        <v>0</v>
      </c>
      <c r="J22" s="22">
        <f t="shared" si="2"/>
        <v>0</v>
      </c>
      <c r="K22" s="23">
        <f t="shared" si="3"/>
        <v>0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/>
      <c r="C23" s="44">
        <f t="shared" si="6"/>
        <v>0</v>
      </c>
      <c r="D23" s="3"/>
      <c r="E23" s="44">
        <f t="shared" si="1"/>
        <v>0</v>
      </c>
      <c r="F23" s="3"/>
      <c r="G23" s="44">
        <f t="shared" si="4"/>
        <v>0</v>
      </c>
      <c r="H23" s="3"/>
      <c r="I23" s="49">
        <f t="shared" si="5"/>
        <v>0</v>
      </c>
      <c r="J23" s="22">
        <f t="shared" si="2"/>
        <v>0</v>
      </c>
      <c r="K23" s="23">
        <f t="shared" si="3"/>
        <v>0</v>
      </c>
      <c r="Q23" t="s">
        <v>12</v>
      </c>
    </row>
    <row r="24" spans="1:25" ht="16.5" thickBot="1" x14ac:dyDescent="0.3">
      <c r="A24" s="10">
        <v>44461</v>
      </c>
      <c r="B24" s="3"/>
      <c r="C24" s="44">
        <f t="shared" si="6"/>
        <v>0</v>
      </c>
      <c r="D24" s="3"/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44462</v>
      </c>
      <c r="B25" s="3"/>
      <c r="C25" s="44">
        <f t="shared" si="6"/>
        <v>0</v>
      </c>
      <c r="D25" s="3"/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44463</v>
      </c>
      <c r="B26" s="3"/>
      <c r="C26" s="44">
        <f t="shared" si="6"/>
        <v>0</v>
      </c>
      <c r="D26" s="3"/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44464</v>
      </c>
      <c r="B27" s="3"/>
      <c r="C27" s="44">
        <f t="shared" si="6"/>
        <v>0</v>
      </c>
      <c r="D27" s="3"/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44465</v>
      </c>
      <c r="B28" s="3"/>
      <c r="C28" s="44">
        <f t="shared" si="6"/>
        <v>0</v>
      </c>
      <c r="D28" s="3"/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44466</v>
      </c>
      <c r="B29" s="3"/>
      <c r="C29" s="44">
        <f t="shared" si="6"/>
        <v>0</v>
      </c>
      <c r="D29" s="3"/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44467</v>
      </c>
      <c r="B30" s="3"/>
      <c r="C30" s="44">
        <f t="shared" si="6"/>
        <v>0</v>
      </c>
      <c r="D30" s="3"/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44468</v>
      </c>
      <c r="B31" s="3"/>
      <c r="C31" s="44">
        <f t="shared" si="6"/>
        <v>0</v>
      </c>
      <c r="D31" s="3"/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/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12470</v>
      </c>
      <c r="D34" s="3"/>
      <c r="E34" s="61">
        <f>SUM(E3:E33)</f>
        <v>0</v>
      </c>
      <c r="F34" s="3"/>
      <c r="G34" s="61">
        <f>SUM(G3:G33)</f>
        <v>5936.7999999999993</v>
      </c>
      <c r="H34" s="3"/>
      <c r="I34" s="61">
        <f>SUM(I3:I33)</f>
        <v>51.893999999999998</v>
      </c>
      <c r="J34" s="61">
        <f>SUM(J3:J33)</f>
        <v>18458.694</v>
      </c>
      <c r="K34" s="61">
        <f>SUM(K3:K33)</f>
        <v>108167.94684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14" sqref="A14:XFD1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>
        <v>17577556</v>
      </c>
      <c r="C5" s="50">
        <f t="shared" si="0"/>
        <v>2287</v>
      </c>
    </row>
    <row r="6" spans="1:9" ht="24" thickBot="1" x14ac:dyDescent="0.4">
      <c r="A6" s="10">
        <v>44443</v>
      </c>
      <c r="B6" s="139">
        <v>17579812</v>
      </c>
      <c r="C6" s="50">
        <f>IF((B6-B5)&lt;0,"0",(B6-B5))</f>
        <v>2256</v>
      </c>
    </row>
    <row r="7" spans="1:9" ht="24" thickBot="1" x14ac:dyDescent="0.4">
      <c r="A7" s="10">
        <v>44444</v>
      </c>
      <c r="B7" s="139">
        <v>17582260</v>
      </c>
      <c r="C7" s="50">
        <f>IF((B7-B6)&lt;0,"0",(B7-B6))</f>
        <v>2448</v>
      </c>
    </row>
    <row r="8" spans="1:9" ht="24" thickBot="1" x14ac:dyDescent="0.4">
      <c r="A8" s="10">
        <v>44445</v>
      </c>
      <c r="B8" s="139">
        <v>17584299</v>
      </c>
      <c r="C8" s="50">
        <f>IF((B8-B7)&lt;0,"0",(B8-B7))</f>
        <v>2039</v>
      </c>
    </row>
    <row r="9" spans="1:9" ht="24" thickBot="1" x14ac:dyDescent="0.4">
      <c r="A9" s="10">
        <v>44446</v>
      </c>
      <c r="B9" s="139">
        <v>17586400</v>
      </c>
      <c r="C9" s="50">
        <f t="shared" si="0"/>
        <v>2101</v>
      </c>
    </row>
    <row r="10" spans="1:9" ht="24" thickBot="1" x14ac:dyDescent="0.4">
      <c r="A10" s="10">
        <v>44447</v>
      </c>
      <c r="B10" s="139">
        <v>17588590</v>
      </c>
      <c r="C10" s="50">
        <f t="shared" si="0"/>
        <v>2190</v>
      </c>
    </row>
    <row r="11" spans="1:9" ht="24" thickBot="1" x14ac:dyDescent="0.4">
      <c r="A11" s="10">
        <v>44448</v>
      </c>
      <c r="B11" s="139">
        <v>17590600</v>
      </c>
      <c r="C11" s="50">
        <f>IF((B11-B10)&lt;0,"0",(B11-B10))</f>
        <v>2010</v>
      </c>
    </row>
    <row r="12" spans="1:9" ht="24" thickBot="1" x14ac:dyDescent="0.4">
      <c r="A12" s="10">
        <v>44449</v>
      </c>
      <c r="B12" s="139">
        <v>17592688</v>
      </c>
      <c r="C12" s="50">
        <f t="shared" si="0"/>
        <v>2088</v>
      </c>
    </row>
    <row r="13" spans="1:9" ht="24" thickBot="1" x14ac:dyDescent="0.4">
      <c r="A13" s="10">
        <v>44450</v>
      </c>
      <c r="B13" s="139">
        <v>17595369</v>
      </c>
      <c r="C13" s="50">
        <f t="shared" si="0"/>
        <v>2681</v>
      </c>
    </row>
    <row r="14" spans="1:9" ht="24" thickBot="1" x14ac:dyDescent="0.4">
      <c r="A14" s="10">
        <v>44451</v>
      </c>
      <c r="B14" s="139">
        <v>17597554</v>
      </c>
      <c r="C14" s="50">
        <f t="shared" si="0"/>
        <v>2185</v>
      </c>
    </row>
    <row r="15" spans="1:9" ht="24" thickBot="1" x14ac:dyDescent="0.4">
      <c r="A15" s="10">
        <v>44452</v>
      </c>
      <c r="B15" s="139"/>
      <c r="C15" s="50" t="str">
        <f t="shared" si="0"/>
        <v>0</v>
      </c>
      <c r="I15" t="s">
        <v>12</v>
      </c>
    </row>
    <row r="16" spans="1:9" ht="26.25" customHeight="1" thickBot="1" x14ac:dyDescent="0.4">
      <c r="A16" s="10">
        <v>44453</v>
      </c>
      <c r="B16" s="139"/>
      <c r="C16" s="50">
        <f t="shared" si="0"/>
        <v>0</v>
      </c>
    </row>
    <row r="17" spans="1:9" ht="25.5" customHeight="1" thickBot="1" x14ac:dyDescent="0.4">
      <c r="A17" s="10">
        <v>44454</v>
      </c>
      <c r="B17" s="139"/>
      <c r="C17" s="50">
        <f t="shared" si="0"/>
        <v>0</v>
      </c>
      <c r="F17" s="137"/>
    </row>
    <row r="18" spans="1:9" ht="24" thickBot="1" x14ac:dyDescent="0.4">
      <c r="A18" s="10">
        <v>44455</v>
      </c>
      <c r="B18" s="139"/>
      <c r="C18" s="50">
        <f t="shared" si="0"/>
        <v>0</v>
      </c>
    </row>
    <row r="19" spans="1:9" ht="24" thickBot="1" x14ac:dyDescent="0.4">
      <c r="A19" s="10">
        <v>44456</v>
      </c>
      <c r="B19" s="139"/>
      <c r="C19" s="50">
        <f t="shared" si="0"/>
        <v>0</v>
      </c>
    </row>
    <row r="20" spans="1:9" ht="24" thickBot="1" x14ac:dyDescent="0.4">
      <c r="A20" s="10">
        <v>44457</v>
      </c>
      <c r="B20" s="139"/>
      <c r="C20" s="50">
        <f t="shared" si="0"/>
        <v>0</v>
      </c>
    </row>
    <row r="21" spans="1:9" ht="24" thickBot="1" x14ac:dyDescent="0.4">
      <c r="A21" s="10">
        <v>44458</v>
      </c>
      <c r="B21" s="139"/>
      <c r="C21" s="50">
        <f t="shared" si="0"/>
        <v>0</v>
      </c>
    </row>
    <row r="22" spans="1:9" ht="24" thickBot="1" x14ac:dyDescent="0.4">
      <c r="A22" s="10">
        <v>44459</v>
      </c>
      <c r="B22" s="139"/>
      <c r="C22" s="50">
        <f t="shared" si="0"/>
        <v>0</v>
      </c>
    </row>
    <row r="23" spans="1:9" ht="24" thickBot="1" x14ac:dyDescent="0.4">
      <c r="A23" s="10">
        <v>44460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44461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44462</v>
      </c>
      <c r="B25" s="139"/>
      <c r="C25" s="50">
        <f t="shared" si="0"/>
        <v>0</v>
      </c>
    </row>
    <row r="26" spans="1:9" ht="24" thickBot="1" x14ac:dyDescent="0.4">
      <c r="A26" s="10">
        <v>44463</v>
      </c>
      <c r="B26" s="139"/>
      <c r="C26" s="50">
        <f t="shared" si="0"/>
        <v>0</v>
      </c>
    </row>
    <row r="27" spans="1:9" ht="24" thickBot="1" x14ac:dyDescent="0.4">
      <c r="A27" s="10">
        <v>44464</v>
      </c>
      <c r="B27" s="139"/>
      <c r="C27" s="50">
        <f t="shared" si="0"/>
        <v>0</v>
      </c>
    </row>
    <row r="28" spans="1:9" ht="24" thickBot="1" x14ac:dyDescent="0.4">
      <c r="A28" s="10">
        <v>44465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44466</v>
      </c>
      <c r="B29" s="139"/>
      <c r="C29" s="50">
        <f t="shared" si="0"/>
        <v>0</v>
      </c>
    </row>
    <row r="30" spans="1:9" ht="24" thickBot="1" x14ac:dyDescent="0.4">
      <c r="A30" s="10">
        <v>44467</v>
      </c>
      <c r="B30" s="139"/>
      <c r="C30" s="50">
        <f t="shared" si="0"/>
        <v>0</v>
      </c>
    </row>
    <row r="31" spans="1:9" ht="24" thickBot="1" x14ac:dyDescent="0.4">
      <c r="A31" s="10">
        <v>44468</v>
      </c>
      <c r="B31" s="139"/>
      <c r="C31" s="50">
        <f>IF((B31-B30)&lt;0,"0",(B31-B30))</f>
        <v>0</v>
      </c>
    </row>
    <row r="32" spans="1:9" ht="24" thickBot="1" x14ac:dyDescent="0.4">
      <c r="A32" s="10">
        <v>44469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26765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146</v>
      </c>
      <c r="X1" s="176"/>
      <c r="Y1" s="176"/>
      <c r="Z1" s="176"/>
      <c r="AA1" s="176"/>
    </row>
    <row r="2" spans="1:27" ht="16.5" thickBot="1" x14ac:dyDescent="0.25">
      <c r="A2" s="10">
        <v>44439</v>
      </c>
      <c r="B2" s="170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145</v>
      </c>
      <c r="X2" s="167" t="s">
        <v>143</v>
      </c>
      <c r="Y2" s="167" t="s">
        <v>147</v>
      </c>
      <c r="Z2" s="167" t="s">
        <v>144</v>
      </c>
      <c r="AA2" s="167" t="s">
        <v>147</v>
      </c>
    </row>
    <row r="3" spans="1:27" ht="16.5" thickBot="1" x14ac:dyDescent="0.25">
      <c r="A3" s="10">
        <v>44440</v>
      </c>
      <c r="B3" s="170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70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70">
        <v>22028.921999999999</v>
      </c>
      <c r="C5" s="49">
        <f t="shared" si="11"/>
        <v>14.291999999997643</v>
      </c>
      <c r="D5" s="33">
        <f t="shared" si="0"/>
        <v>27154.799999995517</v>
      </c>
      <c r="E5" s="1">
        <v>3878.82</v>
      </c>
      <c r="F5" s="49">
        <f t="shared" si="1"/>
        <v>2.2080000000000837</v>
      </c>
      <c r="G5" s="33">
        <f t="shared" si="2"/>
        <v>4195.200000000159</v>
      </c>
      <c r="H5" s="1">
        <v>3929</v>
      </c>
      <c r="I5" s="49">
        <f t="shared" si="3"/>
        <v>9</v>
      </c>
      <c r="J5" s="33">
        <f t="shared" si="4"/>
        <v>17099.999999999996</v>
      </c>
      <c r="K5" s="7">
        <v>13680.45</v>
      </c>
      <c r="L5" s="49">
        <f t="shared" si="5"/>
        <v>1.9900000000016007</v>
      </c>
      <c r="M5" s="33">
        <f t="shared" si="6"/>
        <v>3781.0000000030414</v>
      </c>
      <c r="N5" s="7">
        <v>3198.45</v>
      </c>
      <c r="O5" s="49">
        <f t="shared" si="7"/>
        <v>1.5229999999996835</v>
      </c>
      <c r="P5" s="33">
        <f t="shared" si="8"/>
        <v>2893.6999999993986</v>
      </c>
      <c r="Q5" s="7">
        <v>5102.67</v>
      </c>
      <c r="R5" s="49">
        <f t="shared" si="9"/>
        <v>2.8000000000001819</v>
      </c>
      <c r="S5" s="33">
        <f t="shared" si="10"/>
        <v>5320.0000000003456</v>
      </c>
      <c r="T5" s="8">
        <f>C5+F5+I5+L5+O5+R5</f>
        <v>31.812999999999192</v>
      </c>
      <c r="U5" s="35">
        <f t="shared" si="12"/>
        <v>60444.699999998462</v>
      </c>
      <c r="W5" s="166">
        <v>44442</v>
      </c>
      <c r="X5" s="167">
        <v>142415</v>
      </c>
      <c r="Y5" s="167">
        <f t="shared" ref="Y5:Y33" si="13">X5-X4</f>
        <v>252</v>
      </c>
      <c r="Z5" s="167">
        <v>7199</v>
      </c>
      <c r="AA5" s="167">
        <f t="shared" ref="AA5:AA33" si="14">Z5-Z4</f>
        <v>4</v>
      </c>
    </row>
    <row r="6" spans="1:27" ht="16.5" thickBot="1" x14ac:dyDescent="0.25">
      <c r="A6" s="10">
        <v>44443</v>
      </c>
      <c r="B6" s="170">
        <v>22042.463</v>
      </c>
      <c r="C6" s="49">
        <f t="shared" si="11"/>
        <v>13.541000000001077</v>
      </c>
      <c r="D6" s="33">
        <f t="shared" si="0"/>
        <v>25727.900000002046</v>
      </c>
      <c r="E6" s="1">
        <v>3880.9059999999999</v>
      </c>
      <c r="F6" s="49">
        <f t="shared" si="1"/>
        <v>2.0859999999997854</v>
      </c>
      <c r="G6" s="33">
        <f t="shared" si="2"/>
        <v>3963.3999999995917</v>
      </c>
      <c r="H6" s="1">
        <v>3938</v>
      </c>
      <c r="I6" s="49">
        <f t="shared" si="3"/>
        <v>9</v>
      </c>
      <c r="J6" s="33">
        <f t="shared" si="4"/>
        <v>17099.999999999996</v>
      </c>
      <c r="K6" s="7">
        <v>13682.26</v>
      </c>
      <c r="L6" s="49">
        <f t="shared" si="5"/>
        <v>1.8099999999994907</v>
      </c>
      <c r="M6" s="33">
        <f t="shared" si="6"/>
        <v>3438.9999999990318</v>
      </c>
      <c r="N6" s="7">
        <v>3200.0329999999999</v>
      </c>
      <c r="O6" s="49">
        <f t="shared" si="7"/>
        <v>1.5830000000000837</v>
      </c>
      <c r="P6" s="33">
        <f t="shared" si="8"/>
        <v>3007.700000000159</v>
      </c>
      <c r="Q6" s="7">
        <v>5105.7</v>
      </c>
      <c r="R6" s="49">
        <f t="shared" si="9"/>
        <v>3.0299999999997453</v>
      </c>
      <c r="S6" s="33">
        <f t="shared" si="10"/>
        <v>5756.9999999995152</v>
      </c>
      <c r="T6" s="8">
        <f t="shared" ref="T6:T33" si="15">C6+F6+I6+L6+O6+R6</f>
        <v>31.050000000000182</v>
      </c>
      <c r="U6" s="35">
        <f t="shared" si="12"/>
        <v>58995.000000000349</v>
      </c>
      <c r="W6" s="166">
        <v>44443</v>
      </c>
      <c r="X6" s="167">
        <v>142677</v>
      </c>
      <c r="Y6" s="167">
        <f t="shared" si="13"/>
        <v>262</v>
      </c>
      <c r="Z6" s="167">
        <v>7204</v>
      </c>
      <c r="AA6" s="167"/>
    </row>
    <row r="7" spans="1:27" ht="16.5" thickBot="1" x14ac:dyDescent="0.25">
      <c r="A7" s="10">
        <v>44444</v>
      </c>
      <c r="B7" s="170">
        <v>22056.017</v>
      </c>
      <c r="C7" s="49">
        <f t="shared" si="11"/>
        <v>13.554000000000087</v>
      </c>
      <c r="D7" s="33">
        <f t="shared" si="0"/>
        <v>25752.600000000166</v>
      </c>
      <c r="E7" s="1">
        <v>3883.6109999999999</v>
      </c>
      <c r="F7" s="49">
        <f t="shared" si="1"/>
        <v>2.7049999999999272</v>
      </c>
      <c r="G7" s="33">
        <f t="shared" si="2"/>
        <v>5139.4999999998618</v>
      </c>
      <c r="H7" s="1">
        <v>3947</v>
      </c>
      <c r="I7" s="49">
        <f t="shared" si="3"/>
        <v>9</v>
      </c>
      <c r="J7" s="33">
        <f t="shared" si="4"/>
        <v>17099.999999999996</v>
      </c>
      <c r="K7" s="7">
        <v>13684</v>
      </c>
      <c r="L7" s="49">
        <f t="shared" si="5"/>
        <v>1.7399999999997817</v>
      </c>
      <c r="M7" s="33">
        <f t="shared" si="6"/>
        <v>3305.9999999995853</v>
      </c>
      <c r="N7" s="7">
        <v>3201.5189999999998</v>
      </c>
      <c r="O7" s="49">
        <f t="shared" si="7"/>
        <v>1.4859999999998763</v>
      </c>
      <c r="P7" s="33">
        <f t="shared" si="8"/>
        <v>2823.399999999765</v>
      </c>
      <c r="Q7" s="7">
        <v>5108.8</v>
      </c>
      <c r="R7" s="49">
        <f t="shared" si="9"/>
        <v>3.1000000000003638</v>
      </c>
      <c r="S7" s="33">
        <f t="shared" si="10"/>
        <v>5890.0000000006903</v>
      </c>
      <c r="T7" s="8">
        <f t="shared" si="15"/>
        <v>31.585000000000036</v>
      </c>
      <c r="U7" s="35">
        <f t="shared" si="12"/>
        <v>60011.500000000073</v>
      </c>
      <c r="W7" s="166">
        <v>44444</v>
      </c>
      <c r="X7" s="167">
        <v>142922</v>
      </c>
      <c r="Y7" s="167">
        <f t="shared" si="13"/>
        <v>245</v>
      </c>
      <c r="Z7" s="167">
        <v>7208</v>
      </c>
      <c r="AA7" s="167">
        <f t="shared" si="14"/>
        <v>4</v>
      </c>
    </row>
    <row r="8" spans="1:27" ht="16.5" thickBot="1" x14ac:dyDescent="0.25">
      <c r="A8" s="10">
        <v>44445</v>
      </c>
      <c r="B8" s="170">
        <v>22070.635999999999</v>
      </c>
      <c r="C8" s="49">
        <f t="shared" si="11"/>
        <v>14.618999999998778</v>
      </c>
      <c r="D8" s="33">
        <f t="shared" si="0"/>
        <v>27776.099999997678</v>
      </c>
      <c r="E8" s="1">
        <v>3887.3690000000001</v>
      </c>
      <c r="F8" s="49">
        <f t="shared" si="1"/>
        <v>3.7580000000002656</v>
      </c>
      <c r="G8" s="33">
        <f t="shared" si="2"/>
        <v>7140.2000000005046</v>
      </c>
      <c r="H8" s="1">
        <v>3956</v>
      </c>
      <c r="I8" s="49">
        <f t="shared" si="3"/>
        <v>9</v>
      </c>
      <c r="J8" s="33">
        <f t="shared" si="4"/>
        <v>17099.999999999996</v>
      </c>
      <c r="K8" s="7">
        <v>13685.79</v>
      </c>
      <c r="L8" s="49">
        <f t="shared" si="5"/>
        <v>1.7900000000008731</v>
      </c>
      <c r="M8" s="33">
        <f t="shared" si="6"/>
        <v>3401.0000000016589</v>
      </c>
      <c r="N8" s="7">
        <v>3203.3049999999998</v>
      </c>
      <c r="O8" s="49">
        <f t="shared" si="7"/>
        <v>1.7860000000000582</v>
      </c>
      <c r="P8" s="33">
        <f t="shared" si="8"/>
        <v>3393.4000000001101</v>
      </c>
      <c r="Q8" s="7">
        <v>5110.45</v>
      </c>
      <c r="R8" s="49">
        <f t="shared" si="9"/>
        <v>1.6499999999996362</v>
      </c>
      <c r="S8" s="33">
        <f t="shared" si="10"/>
        <v>3134.9999999993088</v>
      </c>
      <c r="T8" s="8">
        <f t="shared" si="15"/>
        <v>32.602999999999611</v>
      </c>
      <c r="U8" s="35">
        <f t="shared" si="12"/>
        <v>61945.699999999255</v>
      </c>
      <c r="W8" s="166">
        <v>44445</v>
      </c>
      <c r="X8" s="167"/>
      <c r="Y8" s="167">
        <f t="shared" si="13"/>
        <v>-142922</v>
      </c>
      <c r="Z8" s="167"/>
      <c r="AA8" s="167">
        <f t="shared" si="14"/>
        <v>-7208</v>
      </c>
    </row>
    <row r="9" spans="1:27" ht="16.5" thickBot="1" x14ac:dyDescent="0.25">
      <c r="A9" s="10">
        <v>44446</v>
      </c>
      <c r="B9" s="170">
        <v>22084.476999999999</v>
      </c>
      <c r="C9" s="49">
        <f t="shared" si="11"/>
        <v>13.841000000000349</v>
      </c>
      <c r="D9" s="33">
        <f t="shared" si="0"/>
        <v>26297.900000000664</v>
      </c>
      <c r="E9" s="1">
        <v>3890.6210000000001</v>
      </c>
      <c r="F9" s="49">
        <f t="shared" si="1"/>
        <v>3.2519999999999527</v>
      </c>
      <c r="G9" s="33">
        <f t="shared" si="2"/>
        <v>6178.7999999999101</v>
      </c>
      <c r="H9" s="1">
        <v>3965</v>
      </c>
      <c r="I9" s="49">
        <f t="shared" si="3"/>
        <v>9</v>
      </c>
      <c r="J9" s="33">
        <f t="shared" si="4"/>
        <v>17099.999999999996</v>
      </c>
      <c r="K9" s="7">
        <v>13687.81</v>
      </c>
      <c r="L9" s="49">
        <f t="shared" si="5"/>
        <v>2.0199999999986176</v>
      </c>
      <c r="M9" s="33">
        <f t="shared" si="6"/>
        <v>3837.9999999973734</v>
      </c>
      <c r="N9" s="7">
        <v>3205.058</v>
      </c>
      <c r="O9" s="49">
        <f t="shared" si="7"/>
        <v>1.7530000000001564</v>
      </c>
      <c r="P9" s="33">
        <f t="shared" si="8"/>
        <v>3330.7000000002968</v>
      </c>
      <c r="Q9" s="7">
        <v>5112.41</v>
      </c>
      <c r="R9" s="49">
        <f t="shared" si="9"/>
        <v>1.9600000000000364</v>
      </c>
      <c r="S9" s="33">
        <f t="shared" si="10"/>
        <v>3724.0000000000691</v>
      </c>
      <c r="T9" s="8">
        <f t="shared" si="15"/>
        <v>31.825999999999112</v>
      </c>
      <c r="U9" s="35">
        <f t="shared" si="12"/>
        <v>60469.399999998306</v>
      </c>
      <c r="W9" s="166">
        <v>44446</v>
      </c>
      <c r="X9" s="167">
        <v>143117</v>
      </c>
      <c r="Y9" s="167">
        <f t="shared" si="13"/>
        <v>143117</v>
      </c>
      <c r="Z9" s="167">
        <v>7218</v>
      </c>
      <c r="AA9" s="167">
        <f t="shared" si="14"/>
        <v>7218</v>
      </c>
    </row>
    <row r="10" spans="1:27" ht="16.5" thickBot="1" x14ac:dyDescent="0.25">
      <c r="A10" s="10">
        <v>44447</v>
      </c>
      <c r="B10" s="170">
        <v>22097.072</v>
      </c>
      <c r="C10" s="49">
        <f t="shared" si="11"/>
        <v>12.595000000001164</v>
      </c>
      <c r="D10" s="33">
        <f t="shared" si="0"/>
        <v>23930.500000002212</v>
      </c>
      <c r="E10" s="1">
        <v>3893.2</v>
      </c>
      <c r="F10" s="49">
        <f t="shared" si="1"/>
        <v>2.5789999999997235</v>
      </c>
      <c r="G10" s="33">
        <f t="shared" si="2"/>
        <v>4900.0999999994747</v>
      </c>
      <c r="H10" s="1">
        <v>3972</v>
      </c>
      <c r="I10" s="49">
        <f t="shared" si="3"/>
        <v>7</v>
      </c>
      <c r="J10" s="33">
        <f t="shared" si="4"/>
        <v>13299.999999999998</v>
      </c>
      <c r="K10" s="7">
        <v>13689.58</v>
      </c>
      <c r="L10" s="49">
        <f t="shared" si="5"/>
        <v>1.7700000000004366</v>
      </c>
      <c r="M10" s="33">
        <f t="shared" si="6"/>
        <v>3363.000000000829</v>
      </c>
      <c r="N10" s="7">
        <v>3206.5790000000002</v>
      </c>
      <c r="O10" s="49">
        <f t="shared" si="7"/>
        <v>1.5210000000001855</v>
      </c>
      <c r="P10" s="33">
        <f t="shared" si="8"/>
        <v>2889.9000000003525</v>
      </c>
      <c r="Q10" s="7">
        <v>5115.7</v>
      </c>
      <c r="R10" s="49">
        <f t="shared" si="9"/>
        <v>3.2899999999999636</v>
      </c>
      <c r="S10" s="33">
        <f t="shared" si="10"/>
        <v>6250.99999999993</v>
      </c>
      <c r="T10" s="8">
        <f t="shared" si="15"/>
        <v>28.755000000001473</v>
      </c>
      <c r="U10" s="35">
        <f t="shared" si="12"/>
        <v>54634.500000002794</v>
      </c>
      <c r="W10" s="166">
        <v>44447</v>
      </c>
      <c r="X10" s="167">
        <v>143130</v>
      </c>
      <c r="Y10" s="167">
        <f t="shared" si="13"/>
        <v>13</v>
      </c>
      <c r="Z10" s="167">
        <v>7227</v>
      </c>
      <c r="AA10" s="167">
        <f t="shared" si="14"/>
        <v>9</v>
      </c>
    </row>
    <row r="11" spans="1:27" ht="16.5" thickBot="1" x14ac:dyDescent="0.25">
      <c r="A11" s="10">
        <v>44448</v>
      </c>
      <c r="B11" s="170">
        <v>22111.210999999999</v>
      </c>
      <c r="C11" s="49">
        <f t="shared" si="11"/>
        <v>14.138999999999214</v>
      </c>
      <c r="D11" s="33">
        <f t="shared" si="0"/>
        <v>26864.099999998503</v>
      </c>
      <c r="E11" s="1">
        <v>3896.4949999999999</v>
      </c>
      <c r="F11" s="49">
        <f t="shared" si="1"/>
        <v>3.2950000000000728</v>
      </c>
      <c r="G11" s="33">
        <f t="shared" si="2"/>
        <v>6260.5000000001382</v>
      </c>
      <c r="H11" s="1">
        <v>3982</v>
      </c>
      <c r="I11" s="49">
        <f t="shared" si="3"/>
        <v>10</v>
      </c>
      <c r="J11" s="33">
        <f t="shared" si="4"/>
        <v>19000</v>
      </c>
      <c r="K11" s="7">
        <v>13691.52</v>
      </c>
      <c r="L11" s="49">
        <f t="shared" si="5"/>
        <v>1.9400000000005093</v>
      </c>
      <c r="M11" s="33">
        <f t="shared" si="6"/>
        <v>3686.0000000009677</v>
      </c>
      <c r="N11" s="7">
        <v>3208.5709999999999</v>
      </c>
      <c r="O11" s="49">
        <f t="shared" si="7"/>
        <v>1.9919999999997344</v>
      </c>
      <c r="P11" s="33">
        <f t="shared" si="8"/>
        <v>3784.7999999994954</v>
      </c>
      <c r="Q11" s="7">
        <v>5118.09</v>
      </c>
      <c r="R11" s="49">
        <f t="shared" si="9"/>
        <v>2.3900000000003274</v>
      </c>
      <c r="S11" s="33">
        <f t="shared" si="10"/>
        <v>4541.0000000006221</v>
      </c>
      <c r="T11" s="8">
        <f t="shared" si="15"/>
        <v>33.755999999999858</v>
      </c>
      <c r="U11" s="35">
        <f t="shared" si="12"/>
        <v>64136.399999999725</v>
      </c>
      <c r="W11" s="166">
        <v>44448</v>
      </c>
      <c r="X11" s="167">
        <v>143254</v>
      </c>
      <c r="Y11" s="167">
        <f t="shared" si="13"/>
        <v>124</v>
      </c>
      <c r="Z11" s="167">
        <v>7238</v>
      </c>
      <c r="AA11" s="167">
        <f t="shared" si="14"/>
        <v>11</v>
      </c>
    </row>
    <row r="12" spans="1:27" ht="16.5" thickBot="1" x14ac:dyDescent="0.25">
      <c r="A12" s="10">
        <v>44449</v>
      </c>
      <c r="B12" s="170">
        <v>22126.253000000001</v>
      </c>
      <c r="C12" s="49">
        <f t="shared" si="11"/>
        <v>15.042000000001281</v>
      </c>
      <c r="D12" s="33">
        <f t="shared" si="0"/>
        <v>28579.800000002433</v>
      </c>
      <c r="E12" s="1">
        <v>3898.89</v>
      </c>
      <c r="F12" s="49">
        <f t="shared" si="1"/>
        <v>2.3949999999999818</v>
      </c>
      <c r="G12" s="33">
        <f t="shared" si="2"/>
        <v>4550.4999999999645</v>
      </c>
      <c r="H12" s="1">
        <v>3990</v>
      </c>
      <c r="I12" s="49">
        <f t="shared" si="3"/>
        <v>8</v>
      </c>
      <c r="J12" s="33">
        <f t="shared" si="4"/>
        <v>15200</v>
      </c>
      <c r="K12" s="7">
        <v>13693.78</v>
      </c>
      <c r="L12" s="49">
        <f t="shared" si="5"/>
        <v>2.2600000000002183</v>
      </c>
      <c r="M12" s="33">
        <f t="shared" si="6"/>
        <v>4294.0000000004147</v>
      </c>
      <c r="N12" s="7">
        <v>3210.4360000000001</v>
      </c>
      <c r="O12" s="49">
        <f t="shared" si="7"/>
        <v>1.8650000000002365</v>
      </c>
      <c r="P12" s="33">
        <f t="shared" si="8"/>
        <v>3543.5000000004493</v>
      </c>
      <c r="Q12" s="7">
        <v>5120.2</v>
      </c>
      <c r="R12" s="49">
        <f t="shared" si="9"/>
        <v>2.1099999999996726</v>
      </c>
      <c r="S12" s="33">
        <f t="shared" si="10"/>
        <v>4008.9999999993779</v>
      </c>
      <c r="T12" s="8">
        <f t="shared" si="15"/>
        <v>31.67200000000139</v>
      </c>
      <c r="U12" s="35">
        <f t="shared" si="12"/>
        <v>60176.800000002637</v>
      </c>
      <c r="W12" s="166">
        <v>44449</v>
      </c>
      <c r="X12" s="167">
        <v>143475</v>
      </c>
      <c r="Y12" s="167">
        <f t="shared" si="13"/>
        <v>221</v>
      </c>
      <c r="Z12" s="167">
        <v>7248</v>
      </c>
      <c r="AA12" s="167">
        <f t="shared" si="14"/>
        <v>10</v>
      </c>
    </row>
    <row r="13" spans="1:27" ht="16.5" thickBot="1" x14ac:dyDescent="0.25">
      <c r="A13" s="10">
        <v>44450</v>
      </c>
      <c r="B13" s="170">
        <v>22140.025000000001</v>
      </c>
      <c r="C13" s="49">
        <f t="shared" si="11"/>
        <v>13.772000000000844</v>
      </c>
      <c r="D13" s="33">
        <f t="shared" si="0"/>
        <v>26166.8000000016</v>
      </c>
      <c r="E13" s="1">
        <v>3901.346</v>
      </c>
      <c r="F13" s="49">
        <f t="shared" si="1"/>
        <v>2.456000000000131</v>
      </c>
      <c r="G13" s="33">
        <f t="shared" si="2"/>
        <v>4666.4000000002488</v>
      </c>
      <c r="H13" s="1">
        <v>3998</v>
      </c>
      <c r="I13" s="49">
        <f t="shared" si="3"/>
        <v>8</v>
      </c>
      <c r="J13" s="33">
        <f t="shared" si="4"/>
        <v>15200</v>
      </c>
      <c r="K13" s="7">
        <v>13696.6</v>
      </c>
      <c r="L13" s="49">
        <f t="shared" si="5"/>
        <v>2.819999999999709</v>
      </c>
      <c r="M13" s="33">
        <f t="shared" si="6"/>
        <v>5357.999999999447</v>
      </c>
      <c r="N13" s="7">
        <v>3212.2</v>
      </c>
      <c r="O13" s="49">
        <f t="shared" si="7"/>
        <v>1.7639999999996689</v>
      </c>
      <c r="P13" s="33">
        <f t="shared" si="8"/>
        <v>3351.5999999993705</v>
      </c>
      <c r="Q13" s="7">
        <v>5122.42</v>
      </c>
      <c r="R13" s="49">
        <f t="shared" si="9"/>
        <v>2.2200000000002547</v>
      </c>
      <c r="S13" s="33">
        <f t="shared" si="10"/>
        <v>4218.0000000004839</v>
      </c>
      <c r="T13" s="8">
        <f t="shared" si="15"/>
        <v>31.032000000000608</v>
      </c>
      <c r="U13" s="35">
        <f t="shared" si="12"/>
        <v>58960.800000001153</v>
      </c>
      <c r="W13" s="166">
        <v>44450</v>
      </c>
      <c r="X13" s="167"/>
      <c r="Y13" s="167">
        <f t="shared" si="13"/>
        <v>-143475</v>
      </c>
      <c r="Z13" s="167"/>
      <c r="AA13" s="167">
        <f t="shared" si="14"/>
        <v>-7248</v>
      </c>
    </row>
    <row r="14" spans="1:27" ht="16.5" thickBot="1" x14ac:dyDescent="0.25">
      <c r="A14" s="10">
        <v>44451</v>
      </c>
      <c r="B14" s="170">
        <v>22151.261999999999</v>
      </c>
      <c r="C14" s="49">
        <f t="shared" si="11"/>
        <v>11.236999999997352</v>
      </c>
      <c r="D14" s="33">
        <f t="shared" si="0"/>
        <v>21350.299999994968</v>
      </c>
      <c r="E14" s="1">
        <v>3904.4690000000001</v>
      </c>
      <c r="F14" s="49">
        <f t="shared" si="1"/>
        <v>3.1230000000000473</v>
      </c>
      <c r="G14" s="33">
        <f t="shared" si="2"/>
        <v>5933.7000000000899</v>
      </c>
      <c r="H14" s="1">
        <v>4005</v>
      </c>
      <c r="I14" s="49">
        <f t="shared" si="3"/>
        <v>7</v>
      </c>
      <c r="J14" s="33">
        <f t="shared" si="4"/>
        <v>13299.999999999998</v>
      </c>
      <c r="K14" s="7">
        <v>13698.66</v>
      </c>
      <c r="L14" s="49">
        <f t="shared" si="5"/>
        <v>2.0599999999994907</v>
      </c>
      <c r="M14" s="33">
        <f t="shared" si="6"/>
        <v>3913.9999999990318</v>
      </c>
      <c r="N14" s="7">
        <v>3213.7440000000001</v>
      </c>
      <c r="O14" s="49">
        <f t="shared" si="7"/>
        <v>1.5440000000003238</v>
      </c>
      <c r="P14" s="33">
        <f t="shared" si="8"/>
        <v>2933.6000000006147</v>
      </c>
      <c r="Q14" s="7">
        <v>5125.3</v>
      </c>
      <c r="R14" s="49">
        <f t="shared" si="9"/>
        <v>2.8800000000001091</v>
      </c>
      <c r="S14" s="33">
        <f t="shared" si="10"/>
        <v>5472.0000000002074</v>
      </c>
      <c r="T14" s="8">
        <f t="shared" si="15"/>
        <v>27.843999999997322</v>
      </c>
      <c r="U14" s="35">
        <f t="shared" si="12"/>
        <v>52903.599999994913</v>
      </c>
      <c r="W14" s="166">
        <v>44451</v>
      </c>
      <c r="X14" s="167"/>
      <c r="Y14" s="167">
        <f t="shared" si="13"/>
        <v>0</v>
      </c>
      <c r="Z14" s="167"/>
      <c r="AA14" s="167">
        <f t="shared" si="14"/>
        <v>0</v>
      </c>
    </row>
    <row r="15" spans="1:27" ht="16.5" thickBot="1" x14ac:dyDescent="0.25">
      <c r="A15" s="10">
        <v>44452</v>
      </c>
      <c r="B15" s="170"/>
      <c r="C15" s="49" t="str">
        <f t="shared" si="11"/>
        <v>0</v>
      </c>
      <c r="D15" s="33">
        <f t="shared" si="0"/>
        <v>0</v>
      </c>
      <c r="E15" s="1"/>
      <c r="F15" s="49" t="str">
        <f t="shared" si="1"/>
        <v>0</v>
      </c>
      <c r="G15" s="33">
        <f t="shared" si="2"/>
        <v>0</v>
      </c>
      <c r="H15" s="1"/>
      <c r="I15" s="49" t="str">
        <f t="shared" si="3"/>
        <v>0</v>
      </c>
      <c r="J15" s="33">
        <f t="shared" si="4"/>
        <v>0</v>
      </c>
      <c r="K15" s="7"/>
      <c r="L15" s="49" t="str">
        <f t="shared" si="5"/>
        <v>0</v>
      </c>
      <c r="M15" s="33">
        <f t="shared" si="6"/>
        <v>0</v>
      </c>
      <c r="N15" s="7"/>
      <c r="O15" s="49" t="str">
        <f t="shared" si="7"/>
        <v>0</v>
      </c>
      <c r="P15" s="33">
        <f t="shared" si="8"/>
        <v>0</v>
      </c>
      <c r="Q15" s="7"/>
      <c r="R15" s="49" t="str">
        <f t="shared" si="9"/>
        <v>0</v>
      </c>
      <c r="S15" s="33">
        <f t="shared" si="10"/>
        <v>0</v>
      </c>
      <c r="T15" s="8">
        <f t="shared" si="15"/>
        <v>0</v>
      </c>
      <c r="U15" s="35">
        <f t="shared" si="12"/>
        <v>0</v>
      </c>
      <c r="W15" s="166">
        <v>44452</v>
      </c>
      <c r="X15" s="167"/>
      <c r="Y15" s="167">
        <f t="shared" si="13"/>
        <v>0</v>
      </c>
      <c r="Z15" s="167"/>
      <c r="AA15" s="167">
        <f t="shared" si="14"/>
        <v>0</v>
      </c>
    </row>
    <row r="16" spans="1:27" ht="16.5" thickBot="1" x14ac:dyDescent="0.25">
      <c r="A16" s="10">
        <v>44453</v>
      </c>
      <c r="B16" s="170"/>
      <c r="C16" s="49">
        <f t="shared" si="11"/>
        <v>0</v>
      </c>
      <c r="D16" s="33">
        <f t="shared" si="0"/>
        <v>0</v>
      </c>
      <c r="E16" s="1"/>
      <c r="F16" s="49">
        <f t="shared" si="1"/>
        <v>0</v>
      </c>
      <c r="G16" s="33">
        <f t="shared" si="2"/>
        <v>0</v>
      </c>
      <c r="H16" s="1"/>
      <c r="I16" s="49">
        <f t="shared" si="3"/>
        <v>0</v>
      </c>
      <c r="J16" s="33">
        <f t="shared" si="4"/>
        <v>0</v>
      </c>
      <c r="K16" s="7"/>
      <c r="L16" s="49">
        <f t="shared" si="5"/>
        <v>0</v>
      </c>
      <c r="M16" s="33">
        <f t="shared" si="6"/>
        <v>0</v>
      </c>
      <c r="N16" s="7"/>
      <c r="O16" s="49">
        <f t="shared" si="7"/>
        <v>0</v>
      </c>
      <c r="P16" s="33">
        <f t="shared" si="8"/>
        <v>0</v>
      </c>
      <c r="Q16" s="7"/>
      <c r="R16" s="49">
        <f t="shared" si="9"/>
        <v>0</v>
      </c>
      <c r="S16" s="33">
        <f t="shared" si="10"/>
        <v>0</v>
      </c>
      <c r="T16" s="8">
        <f t="shared" si="15"/>
        <v>0</v>
      </c>
      <c r="U16" s="35">
        <f t="shared" si="12"/>
        <v>0</v>
      </c>
      <c r="W16" s="166">
        <v>44453</v>
      </c>
      <c r="X16" s="167"/>
      <c r="Y16" s="167">
        <f t="shared" si="13"/>
        <v>0</v>
      </c>
      <c r="Z16" s="167"/>
      <c r="AA16" s="167">
        <f t="shared" si="14"/>
        <v>0</v>
      </c>
    </row>
    <row r="17" spans="1:27" ht="16.5" thickBot="1" x14ac:dyDescent="0.25">
      <c r="A17" s="10">
        <v>44454</v>
      </c>
      <c r="B17" s="170"/>
      <c r="C17" s="49">
        <f t="shared" si="11"/>
        <v>0</v>
      </c>
      <c r="D17" s="33">
        <f t="shared" si="0"/>
        <v>0</v>
      </c>
      <c r="E17" s="1"/>
      <c r="F17" s="49">
        <f t="shared" si="1"/>
        <v>0</v>
      </c>
      <c r="G17" s="33">
        <f t="shared" si="2"/>
        <v>0</v>
      </c>
      <c r="H17" s="1"/>
      <c r="I17" s="49">
        <f t="shared" si="3"/>
        <v>0</v>
      </c>
      <c r="J17" s="33">
        <f t="shared" si="4"/>
        <v>0</v>
      </c>
      <c r="K17" s="7"/>
      <c r="L17" s="49">
        <f t="shared" si="5"/>
        <v>0</v>
      </c>
      <c r="M17" s="33">
        <f t="shared" si="6"/>
        <v>0</v>
      </c>
      <c r="N17" s="7"/>
      <c r="O17" s="49">
        <f t="shared" si="7"/>
        <v>0</v>
      </c>
      <c r="P17" s="33">
        <f t="shared" si="8"/>
        <v>0</v>
      </c>
      <c r="Q17" s="7"/>
      <c r="R17" s="49">
        <f t="shared" si="9"/>
        <v>0</v>
      </c>
      <c r="S17" s="33">
        <f t="shared" si="10"/>
        <v>0</v>
      </c>
      <c r="T17" s="8">
        <f t="shared" si="15"/>
        <v>0</v>
      </c>
      <c r="U17" s="35">
        <f t="shared" si="12"/>
        <v>0</v>
      </c>
      <c r="W17" s="166">
        <v>44454</v>
      </c>
      <c r="X17" s="167"/>
      <c r="Y17" s="167">
        <f t="shared" si="13"/>
        <v>0</v>
      </c>
      <c r="Z17" s="167"/>
      <c r="AA17" s="167">
        <f t="shared" si="14"/>
        <v>0</v>
      </c>
    </row>
    <row r="18" spans="1:27" ht="16.5" thickBot="1" x14ac:dyDescent="0.25">
      <c r="A18" s="10">
        <v>44455</v>
      </c>
      <c r="B18" s="170"/>
      <c r="C18" s="49">
        <f t="shared" si="11"/>
        <v>0</v>
      </c>
      <c r="D18" s="33">
        <f t="shared" si="0"/>
        <v>0</v>
      </c>
      <c r="E18" s="1"/>
      <c r="F18" s="49">
        <f t="shared" si="1"/>
        <v>0</v>
      </c>
      <c r="G18" s="33">
        <f t="shared" si="2"/>
        <v>0</v>
      </c>
      <c r="H18" s="1"/>
      <c r="I18" s="49">
        <f t="shared" si="3"/>
        <v>0</v>
      </c>
      <c r="J18" s="33">
        <f t="shared" si="4"/>
        <v>0</v>
      </c>
      <c r="K18" s="7"/>
      <c r="L18" s="49">
        <f t="shared" si="5"/>
        <v>0</v>
      </c>
      <c r="M18" s="33">
        <f t="shared" si="6"/>
        <v>0</v>
      </c>
      <c r="N18" s="7"/>
      <c r="O18" s="49">
        <f t="shared" si="7"/>
        <v>0</v>
      </c>
      <c r="P18" s="33">
        <f t="shared" si="8"/>
        <v>0</v>
      </c>
      <c r="Q18" s="7"/>
      <c r="R18" s="49">
        <f t="shared" si="9"/>
        <v>0</v>
      </c>
      <c r="S18" s="33">
        <f t="shared" si="10"/>
        <v>0</v>
      </c>
      <c r="T18" s="8">
        <f t="shared" si="15"/>
        <v>0</v>
      </c>
      <c r="U18" s="35">
        <f t="shared" si="12"/>
        <v>0</v>
      </c>
      <c r="W18" s="166">
        <v>44455</v>
      </c>
      <c r="X18" s="167"/>
      <c r="Y18" s="167">
        <f t="shared" si="13"/>
        <v>0</v>
      </c>
      <c r="Z18" s="167"/>
      <c r="AA18" s="167">
        <f t="shared" si="14"/>
        <v>0</v>
      </c>
    </row>
    <row r="19" spans="1:27" ht="16.5" thickBot="1" x14ac:dyDescent="0.25">
      <c r="A19" s="10">
        <v>44456</v>
      </c>
      <c r="B19" s="170"/>
      <c r="C19" s="49">
        <f t="shared" si="11"/>
        <v>0</v>
      </c>
      <c r="D19" s="33">
        <f t="shared" si="0"/>
        <v>0</v>
      </c>
      <c r="E19" s="1"/>
      <c r="F19" s="49">
        <f t="shared" si="1"/>
        <v>0</v>
      </c>
      <c r="G19" s="33">
        <f t="shared" si="2"/>
        <v>0</v>
      </c>
      <c r="H19" s="1"/>
      <c r="I19" s="49">
        <f t="shared" si="3"/>
        <v>0</v>
      </c>
      <c r="J19" s="33">
        <f t="shared" si="4"/>
        <v>0</v>
      </c>
      <c r="K19" s="7"/>
      <c r="L19" s="49">
        <f t="shared" si="5"/>
        <v>0</v>
      </c>
      <c r="M19" s="33">
        <f t="shared" si="6"/>
        <v>0</v>
      </c>
      <c r="N19" s="7"/>
      <c r="O19" s="49">
        <f t="shared" si="7"/>
        <v>0</v>
      </c>
      <c r="P19" s="33">
        <f t="shared" si="8"/>
        <v>0</v>
      </c>
      <c r="Q19" s="7"/>
      <c r="R19" s="49">
        <f t="shared" si="9"/>
        <v>0</v>
      </c>
      <c r="S19" s="33">
        <f t="shared" si="10"/>
        <v>0</v>
      </c>
      <c r="T19" s="8">
        <f t="shared" si="15"/>
        <v>0</v>
      </c>
      <c r="U19" s="35">
        <f t="shared" si="12"/>
        <v>0</v>
      </c>
      <c r="W19" s="166">
        <v>44456</v>
      </c>
      <c r="X19" s="167"/>
      <c r="Y19" s="167">
        <f t="shared" si="13"/>
        <v>0</v>
      </c>
      <c r="Z19" s="167"/>
      <c r="AA19" s="167">
        <f t="shared" si="14"/>
        <v>0</v>
      </c>
    </row>
    <row r="20" spans="1:27" ht="16.5" thickBot="1" x14ac:dyDescent="0.25">
      <c r="A20" s="10">
        <v>44457</v>
      </c>
      <c r="B20" s="170"/>
      <c r="C20" s="49">
        <f t="shared" si="11"/>
        <v>0</v>
      </c>
      <c r="D20" s="33">
        <f t="shared" si="0"/>
        <v>0</v>
      </c>
      <c r="E20" s="1"/>
      <c r="F20" s="49">
        <f t="shared" si="1"/>
        <v>0</v>
      </c>
      <c r="G20" s="33">
        <f t="shared" si="2"/>
        <v>0</v>
      </c>
      <c r="H20" s="1"/>
      <c r="I20" s="49">
        <f t="shared" si="3"/>
        <v>0</v>
      </c>
      <c r="J20" s="33">
        <f t="shared" si="4"/>
        <v>0</v>
      </c>
      <c r="K20" s="7"/>
      <c r="L20" s="49">
        <f t="shared" si="5"/>
        <v>0</v>
      </c>
      <c r="M20" s="33">
        <f t="shared" si="6"/>
        <v>0</v>
      </c>
      <c r="N20" s="7"/>
      <c r="O20" s="49">
        <f t="shared" si="7"/>
        <v>0</v>
      </c>
      <c r="P20" s="33">
        <f t="shared" si="8"/>
        <v>0</v>
      </c>
      <c r="Q20" s="7"/>
      <c r="R20" s="49">
        <f t="shared" si="9"/>
        <v>0</v>
      </c>
      <c r="S20" s="33">
        <f t="shared" si="10"/>
        <v>0</v>
      </c>
      <c r="T20" s="8">
        <f t="shared" si="15"/>
        <v>0</v>
      </c>
      <c r="U20" s="35">
        <f t="shared" si="12"/>
        <v>0</v>
      </c>
      <c r="W20" s="166">
        <v>44457</v>
      </c>
      <c r="X20" s="167"/>
      <c r="Y20" s="167">
        <f t="shared" si="13"/>
        <v>0</v>
      </c>
      <c r="Z20" s="167"/>
      <c r="AA20" s="167">
        <f t="shared" si="14"/>
        <v>0</v>
      </c>
    </row>
    <row r="21" spans="1:27" ht="16.5" thickBot="1" x14ac:dyDescent="0.25">
      <c r="A21" s="10">
        <v>44458</v>
      </c>
      <c r="B21" s="170"/>
      <c r="C21" s="49">
        <f t="shared" si="11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5"/>
        <v>0</v>
      </c>
      <c r="M21" s="33">
        <f t="shared" si="6"/>
        <v>0</v>
      </c>
      <c r="N21" s="7"/>
      <c r="O21" s="49">
        <f t="shared" si="7"/>
        <v>0</v>
      </c>
      <c r="P21" s="33">
        <f t="shared" si="8"/>
        <v>0</v>
      </c>
      <c r="Q21" s="7"/>
      <c r="R21" s="49">
        <f t="shared" si="9"/>
        <v>0</v>
      </c>
      <c r="S21" s="33">
        <f t="shared" si="10"/>
        <v>0</v>
      </c>
      <c r="T21" s="8">
        <f t="shared" si="15"/>
        <v>0</v>
      </c>
      <c r="U21" s="35">
        <f t="shared" si="12"/>
        <v>0</v>
      </c>
      <c r="W21" s="166">
        <v>44458</v>
      </c>
      <c r="X21" s="167"/>
      <c r="Y21" s="167">
        <f t="shared" si="13"/>
        <v>0</v>
      </c>
      <c r="Z21" s="167"/>
      <c r="AA21" s="167">
        <f t="shared" si="14"/>
        <v>0</v>
      </c>
    </row>
    <row r="22" spans="1:27" ht="16.5" thickBot="1" x14ac:dyDescent="0.25">
      <c r="A22" s="10">
        <v>44459</v>
      </c>
      <c r="B22" s="170"/>
      <c r="C22" s="49">
        <f t="shared" si="11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5"/>
        <v>0</v>
      </c>
      <c r="M22" s="33">
        <f t="shared" si="6"/>
        <v>0</v>
      </c>
      <c r="N22" s="7"/>
      <c r="O22" s="49">
        <f t="shared" si="7"/>
        <v>0</v>
      </c>
      <c r="P22" s="33">
        <f t="shared" si="8"/>
        <v>0</v>
      </c>
      <c r="Q22" s="7"/>
      <c r="R22" s="49">
        <f t="shared" si="9"/>
        <v>0</v>
      </c>
      <c r="S22" s="33">
        <f t="shared" si="10"/>
        <v>0</v>
      </c>
      <c r="T22" s="8">
        <f>S23</f>
        <v>0</v>
      </c>
      <c r="U22" s="35">
        <f t="shared" si="12"/>
        <v>0</v>
      </c>
      <c r="W22" s="166">
        <v>44459</v>
      </c>
      <c r="X22" s="167"/>
      <c r="Y22" s="167">
        <f t="shared" si="13"/>
        <v>0</v>
      </c>
      <c r="Z22" s="167"/>
      <c r="AA22" s="167">
        <f t="shared" si="14"/>
        <v>0</v>
      </c>
    </row>
    <row r="23" spans="1:27" ht="16.5" thickBot="1" x14ac:dyDescent="0.25">
      <c r="A23" s="10">
        <v>44460</v>
      </c>
      <c r="B23" s="170"/>
      <c r="C23" s="49">
        <f t="shared" si="11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5"/>
        <v>0</v>
      </c>
      <c r="M23" s="33">
        <f t="shared" si="6"/>
        <v>0</v>
      </c>
      <c r="N23" s="7"/>
      <c r="O23" s="49">
        <f t="shared" si="7"/>
        <v>0</v>
      </c>
      <c r="P23" s="33">
        <f t="shared" si="8"/>
        <v>0</v>
      </c>
      <c r="Q23" s="7"/>
      <c r="R23" s="49">
        <f t="shared" si="9"/>
        <v>0</v>
      </c>
      <c r="S23" s="33">
        <f t="shared" si="10"/>
        <v>0</v>
      </c>
      <c r="T23" s="8">
        <f t="shared" si="15"/>
        <v>0</v>
      </c>
      <c r="U23" s="35">
        <f t="shared" si="12"/>
        <v>0</v>
      </c>
      <c r="W23" s="166">
        <v>44460</v>
      </c>
      <c r="X23" s="167"/>
      <c r="Y23" s="167">
        <f t="shared" si="13"/>
        <v>0</v>
      </c>
      <c r="Z23" s="167"/>
      <c r="AA23" s="167">
        <f t="shared" si="14"/>
        <v>0</v>
      </c>
    </row>
    <row r="24" spans="1:27" ht="16.5" thickBot="1" x14ac:dyDescent="0.25">
      <c r="A24" s="10">
        <v>44461</v>
      </c>
      <c r="B24" s="170"/>
      <c r="C24" s="49">
        <f t="shared" si="11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5"/>
        <v>0</v>
      </c>
      <c r="M24" s="33">
        <f t="shared" si="6"/>
        <v>0</v>
      </c>
      <c r="N24" s="7"/>
      <c r="O24" s="49">
        <f t="shared" si="7"/>
        <v>0</v>
      </c>
      <c r="P24" s="33">
        <f t="shared" si="8"/>
        <v>0</v>
      </c>
      <c r="Q24" s="7"/>
      <c r="R24" s="49">
        <f t="shared" si="9"/>
        <v>0</v>
      </c>
      <c r="S24" s="33">
        <f t="shared" si="10"/>
        <v>0</v>
      </c>
      <c r="T24" s="8">
        <f t="shared" si="15"/>
        <v>0</v>
      </c>
      <c r="U24" s="35">
        <f t="shared" si="12"/>
        <v>0</v>
      </c>
      <c r="W24" s="166">
        <v>44461</v>
      </c>
      <c r="X24" s="167"/>
      <c r="Y24" s="167">
        <f t="shared" si="13"/>
        <v>0</v>
      </c>
      <c r="Z24" s="167"/>
      <c r="AA24" s="167">
        <f t="shared" si="14"/>
        <v>0</v>
      </c>
    </row>
    <row r="25" spans="1:27" ht="16.5" thickBot="1" x14ac:dyDescent="0.25">
      <c r="A25" s="10">
        <v>44462</v>
      </c>
      <c r="B25" s="170"/>
      <c r="C25" s="49">
        <f t="shared" si="11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5"/>
        <v>0</v>
      </c>
      <c r="M25" s="33">
        <f t="shared" si="6"/>
        <v>0</v>
      </c>
      <c r="N25" s="7"/>
      <c r="O25" s="49">
        <f t="shared" si="7"/>
        <v>0</v>
      </c>
      <c r="P25" s="33">
        <f t="shared" si="8"/>
        <v>0</v>
      </c>
      <c r="Q25" s="7"/>
      <c r="R25" s="49">
        <f t="shared" si="9"/>
        <v>0</v>
      </c>
      <c r="S25" s="33">
        <f t="shared" si="10"/>
        <v>0</v>
      </c>
      <c r="T25" s="8">
        <f t="shared" si="15"/>
        <v>0</v>
      </c>
      <c r="U25" s="35">
        <f t="shared" si="12"/>
        <v>0</v>
      </c>
      <c r="W25" s="166">
        <v>44462</v>
      </c>
      <c r="X25" s="167"/>
      <c r="Y25" s="167">
        <f t="shared" si="13"/>
        <v>0</v>
      </c>
      <c r="Z25" s="167"/>
      <c r="AA25" s="167">
        <f t="shared" si="14"/>
        <v>0</v>
      </c>
    </row>
    <row r="26" spans="1:27" ht="16.5" thickBot="1" x14ac:dyDescent="0.25">
      <c r="A26" s="10">
        <v>44463</v>
      </c>
      <c r="B26" s="170"/>
      <c r="C26" s="49">
        <f t="shared" si="11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5"/>
        <v>0</v>
      </c>
      <c r="M26" s="33">
        <f t="shared" si="6"/>
        <v>0</v>
      </c>
      <c r="N26" s="7"/>
      <c r="O26" s="49">
        <f t="shared" si="7"/>
        <v>0</v>
      </c>
      <c r="P26" s="33">
        <f t="shared" si="8"/>
        <v>0</v>
      </c>
      <c r="Q26" s="7"/>
      <c r="R26" s="49">
        <f t="shared" si="9"/>
        <v>0</v>
      </c>
      <c r="S26" s="33">
        <f t="shared" si="10"/>
        <v>0</v>
      </c>
      <c r="T26" s="8">
        <f t="shared" si="15"/>
        <v>0</v>
      </c>
      <c r="U26" s="35">
        <f t="shared" si="12"/>
        <v>0</v>
      </c>
      <c r="V26" t="s">
        <v>12</v>
      </c>
      <c r="W26" s="166">
        <v>44463</v>
      </c>
      <c r="X26" s="167"/>
      <c r="Y26" s="167">
        <f t="shared" si="13"/>
        <v>0</v>
      </c>
      <c r="Z26" s="167"/>
      <c r="AA26" s="167">
        <f t="shared" si="14"/>
        <v>0</v>
      </c>
    </row>
    <row r="27" spans="1:27" ht="16.5" thickBot="1" x14ac:dyDescent="0.25">
      <c r="A27" s="10">
        <v>44464</v>
      </c>
      <c r="B27" s="170"/>
      <c r="C27" s="49">
        <f t="shared" si="11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5"/>
        <v>0</v>
      </c>
      <c r="M27" s="33">
        <f t="shared" si="6"/>
        <v>0</v>
      </c>
      <c r="N27" s="7"/>
      <c r="O27" s="49">
        <f t="shared" si="7"/>
        <v>0</v>
      </c>
      <c r="P27" s="33">
        <f t="shared" si="8"/>
        <v>0</v>
      </c>
      <c r="Q27" s="7"/>
      <c r="R27" s="49">
        <f t="shared" si="9"/>
        <v>0</v>
      </c>
      <c r="S27" s="33">
        <f t="shared" si="10"/>
        <v>0</v>
      </c>
      <c r="T27" s="8">
        <f t="shared" si="15"/>
        <v>0</v>
      </c>
      <c r="U27" s="35">
        <f t="shared" si="12"/>
        <v>0</v>
      </c>
      <c r="V27" t="s">
        <v>12</v>
      </c>
      <c r="W27" s="166">
        <v>44464</v>
      </c>
      <c r="X27" s="167"/>
      <c r="Y27" s="167">
        <f t="shared" si="13"/>
        <v>0</v>
      </c>
      <c r="Z27" s="167"/>
      <c r="AA27" s="167">
        <f t="shared" si="14"/>
        <v>0</v>
      </c>
    </row>
    <row r="28" spans="1:27" ht="16.5" thickBot="1" x14ac:dyDescent="0.25">
      <c r="A28" s="10">
        <v>44465</v>
      </c>
      <c r="B28" s="170"/>
      <c r="C28" s="49">
        <f t="shared" si="11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5"/>
        <v>0</v>
      </c>
      <c r="M28" s="33">
        <f t="shared" si="6"/>
        <v>0</v>
      </c>
      <c r="N28" s="7"/>
      <c r="O28" s="49">
        <f t="shared" si="7"/>
        <v>0</v>
      </c>
      <c r="P28" s="33">
        <f t="shared" si="8"/>
        <v>0</v>
      </c>
      <c r="Q28" s="7"/>
      <c r="R28" s="49">
        <f t="shared" si="9"/>
        <v>0</v>
      </c>
      <c r="S28" s="33">
        <f t="shared" si="10"/>
        <v>0</v>
      </c>
      <c r="T28" s="8">
        <f t="shared" si="15"/>
        <v>0</v>
      </c>
      <c r="U28" s="35">
        <f t="shared" si="12"/>
        <v>0</v>
      </c>
      <c r="W28" s="166">
        <v>44465</v>
      </c>
      <c r="X28" s="167"/>
      <c r="Y28" s="167">
        <f t="shared" si="13"/>
        <v>0</v>
      </c>
      <c r="Z28" s="167"/>
      <c r="AA28" s="167">
        <f t="shared" si="14"/>
        <v>0</v>
      </c>
    </row>
    <row r="29" spans="1:27" ht="16.5" thickBot="1" x14ac:dyDescent="0.25">
      <c r="A29" s="10">
        <v>44466</v>
      </c>
      <c r="B29" s="170"/>
      <c r="C29" s="49">
        <f t="shared" si="11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5"/>
        <v>0</v>
      </c>
      <c r="M29" s="33">
        <f t="shared" si="6"/>
        <v>0</v>
      </c>
      <c r="N29" s="7"/>
      <c r="O29" s="49">
        <f t="shared" si="7"/>
        <v>0</v>
      </c>
      <c r="P29" s="33">
        <f t="shared" si="8"/>
        <v>0</v>
      </c>
      <c r="Q29" s="7"/>
      <c r="R29" s="49">
        <f t="shared" si="9"/>
        <v>0</v>
      </c>
      <c r="S29" s="33">
        <f t="shared" si="10"/>
        <v>0</v>
      </c>
      <c r="T29" s="8">
        <f t="shared" si="15"/>
        <v>0</v>
      </c>
      <c r="U29" s="35">
        <f t="shared" si="12"/>
        <v>0</v>
      </c>
      <c r="W29" s="166">
        <v>44466</v>
      </c>
      <c r="X29" s="167"/>
      <c r="Y29" s="167">
        <f t="shared" si="13"/>
        <v>0</v>
      </c>
      <c r="Z29" s="167"/>
      <c r="AA29" s="167">
        <f t="shared" si="14"/>
        <v>0</v>
      </c>
    </row>
    <row r="30" spans="1:27" ht="16.5" thickBot="1" x14ac:dyDescent="0.25">
      <c r="A30" s="10">
        <v>44467</v>
      </c>
      <c r="B30" s="170"/>
      <c r="C30" s="49">
        <f t="shared" si="11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5"/>
        <v>0</v>
      </c>
      <c r="M30" s="33">
        <f t="shared" si="6"/>
        <v>0</v>
      </c>
      <c r="N30" s="7"/>
      <c r="O30" s="49">
        <f t="shared" si="7"/>
        <v>0</v>
      </c>
      <c r="P30" s="33">
        <f t="shared" si="8"/>
        <v>0</v>
      </c>
      <c r="Q30" s="7"/>
      <c r="R30" s="49">
        <f t="shared" si="9"/>
        <v>0</v>
      </c>
      <c r="S30" s="33">
        <f t="shared" si="10"/>
        <v>0</v>
      </c>
      <c r="T30" s="8">
        <f t="shared" si="15"/>
        <v>0</v>
      </c>
      <c r="U30" s="35">
        <f t="shared" si="12"/>
        <v>0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70"/>
      <c r="C31" s="49">
        <f t="shared" si="11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5"/>
        <v>0</v>
      </c>
      <c r="M31" s="33">
        <f t="shared" si="6"/>
        <v>0</v>
      </c>
      <c r="N31" s="7"/>
      <c r="O31" s="49">
        <f t="shared" si="7"/>
        <v>0</v>
      </c>
      <c r="P31" s="33">
        <f t="shared" si="8"/>
        <v>0</v>
      </c>
      <c r="Q31" s="7"/>
      <c r="R31" s="49">
        <f t="shared" si="9"/>
        <v>0</v>
      </c>
      <c r="S31" s="33">
        <f t="shared" si="10"/>
        <v>0</v>
      </c>
      <c r="T31" s="8">
        <f t="shared" si="15"/>
        <v>0</v>
      </c>
      <c r="U31" s="35">
        <f t="shared" si="12"/>
        <v>0</v>
      </c>
      <c r="W31" s="166">
        <v>44468</v>
      </c>
      <c r="X31" s="167"/>
      <c r="Y31" s="167">
        <f t="shared" si="13"/>
        <v>0</v>
      </c>
      <c r="Z31" s="167"/>
      <c r="AA31" s="167">
        <f t="shared" si="14"/>
        <v>0</v>
      </c>
    </row>
    <row r="32" spans="1:27" ht="16.5" thickBot="1" x14ac:dyDescent="0.25">
      <c r="A32" s="10">
        <v>44469</v>
      </c>
      <c r="B32" s="170"/>
      <c r="C32" s="49">
        <f t="shared" si="11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5"/>
        <v>0</v>
      </c>
      <c r="M32" s="33">
        <f t="shared" si="6"/>
        <v>0</v>
      </c>
      <c r="N32" s="7"/>
      <c r="O32" s="49">
        <f t="shared" si="7"/>
        <v>0</v>
      </c>
      <c r="P32" s="33">
        <f t="shared" si="8"/>
        <v>0</v>
      </c>
      <c r="Q32" s="7"/>
      <c r="R32" s="49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0</v>
      </c>
      <c r="Z32" s="167"/>
      <c r="AA32" s="167">
        <f t="shared" si="14"/>
        <v>0</v>
      </c>
    </row>
    <row r="33" spans="1:27" ht="16.5" thickBot="1" x14ac:dyDescent="0.25">
      <c r="A33" s="10"/>
      <c r="B33" s="170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71"/>
      <c r="C34" s="144">
        <f>SUM(C3:C33)</f>
        <v>160.15999999999985</v>
      </c>
      <c r="D34" s="144">
        <f>SUM(D2:D33)</f>
        <v>304303.99999999971</v>
      </c>
      <c r="E34" s="144">
        <v>0</v>
      </c>
      <c r="F34" s="144">
        <f>SUM(F2:F33)</f>
        <v>33.204999999999927</v>
      </c>
      <c r="G34" s="144">
        <f>SUM(G2:G33)</f>
        <v>63089.499999999862</v>
      </c>
      <c r="H34" s="144"/>
      <c r="I34" s="144">
        <f>SUM(I2:I33)</f>
        <v>101</v>
      </c>
      <c r="J34" s="144">
        <f>SUM(J2:J33)</f>
        <v>191900</v>
      </c>
      <c r="K34" s="144"/>
      <c r="L34" s="144">
        <f>SUM(L2:L33)</f>
        <v>24.039999999999054</v>
      </c>
      <c r="M34" s="144">
        <f>SUM(M2:M33)</f>
        <v>45675.999999998203</v>
      </c>
      <c r="N34" s="144"/>
      <c r="O34" s="144">
        <f>SUM(O2:O33)</f>
        <v>19.286000000000058</v>
      </c>
      <c r="P34" s="144">
        <f>SUM(P2:P33)</f>
        <v>36643.400000000111</v>
      </c>
      <c r="Q34" s="144"/>
      <c r="R34" s="144">
        <f>SUM(R2:R33)</f>
        <v>30.180000000000291</v>
      </c>
      <c r="S34" s="144">
        <f>SUM(S2:S33)</f>
        <v>57342.000000000538</v>
      </c>
      <c r="T34" s="144">
        <f>SUM(T2:T33)</f>
        <v>367.87099999999919</v>
      </c>
      <c r="U34" s="144">
        <f>SUM(U2:U33)</f>
        <v>698954.89999999851</v>
      </c>
      <c r="V34"/>
      <c r="W34" s="168" t="s">
        <v>148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4" sqref="G4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20535755</v>
      </c>
      <c r="D2" s="102">
        <f>C2*1.27</f>
        <v>26080408.850000001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87598842</v>
      </c>
      <c r="K4" s="97">
        <f>J4-I4</f>
        <v>0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-27705688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-14202037</v>
      </c>
      <c r="D7" s="110">
        <f t="shared" si="0"/>
        <v>-18036586.990000002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15338</v>
      </c>
      <c r="D8" s="110">
        <f t="shared" si="0"/>
        <v>19479.260000000002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1796</v>
      </c>
      <c r="D9" s="110">
        <f t="shared" si="0"/>
        <v>2280.92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6400</v>
      </c>
      <c r="D10" s="110">
        <f t="shared" si="0"/>
        <v>8128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0</v>
      </c>
      <c r="D11" s="110">
        <f t="shared" si="0"/>
        <v>0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36690032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3767</v>
      </c>
      <c r="K16" s="99">
        <f>(J16-I16)*160</f>
        <v>1760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25361</v>
      </c>
      <c r="K18" s="99">
        <f>(J18-I18)*160</f>
        <v>6400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120493</v>
      </c>
      <c r="J19" s="122">
        <f>'Mall, Citadel, Rotana'!P33</f>
        <v>120493</v>
      </c>
      <c r="K19" s="99">
        <f>J19-I19</f>
        <v>0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45886</v>
      </c>
      <c r="K21" s="99">
        <f>(J21-I21)*120</f>
        <v>7080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39849</v>
      </c>
      <c r="K22" s="99">
        <f>(J22-I22)*160</f>
        <v>7040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20777</v>
      </c>
      <c r="K23" s="99">
        <f>(J23-I23)*20</f>
        <v>840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248108</v>
      </c>
      <c r="K24" s="99">
        <f>J24-I24</f>
        <v>378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215872</v>
      </c>
      <c r="K25" s="99">
        <f>J25-I25</f>
        <v>36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0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0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82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82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1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1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0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0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82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82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1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1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0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0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8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1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1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0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0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8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1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1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0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0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8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1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1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0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0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82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82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1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1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0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0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82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82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1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1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0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0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8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2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82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1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1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2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82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0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0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82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82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1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1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0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0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82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82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1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1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0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0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82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82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0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0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82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82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1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1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0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0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82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82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2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82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0">
        <v>23</v>
      </c>
      <c r="D49" s="66" t="s">
        <v>83</v>
      </c>
      <c r="E49" s="81"/>
      <c r="F49" s="81"/>
      <c r="G49" s="68">
        <f t="shared" si="0"/>
        <v>0</v>
      </c>
      <c r="H49" s="69"/>
      <c r="J49" s="18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2"/>
      <c r="D50" s="66" t="s">
        <v>82</v>
      </c>
      <c r="E50" s="81"/>
      <c r="F50" s="81"/>
      <c r="G50" s="68">
        <f t="shared" si="0"/>
        <v>0</v>
      </c>
      <c r="H50" s="69"/>
      <c r="J50" s="18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3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83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84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84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8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0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0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1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1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0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0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1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1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0">
        <v>28</v>
      </c>
      <c r="D62" s="189" t="s">
        <v>86</v>
      </c>
      <c r="E62" s="67"/>
      <c r="F62" s="67"/>
      <c r="G62" s="68"/>
      <c r="H62" s="191" t="s">
        <v>87</v>
      </c>
      <c r="I62" s="72"/>
      <c r="J62" s="180">
        <v>28</v>
      </c>
      <c r="K62" s="189" t="s">
        <v>86</v>
      </c>
      <c r="L62" s="67"/>
      <c r="M62" s="67"/>
      <c r="N62" s="68"/>
      <c r="O62" s="191" t="s">
        <v>87</v>
      </c>
    </row>
    <row r="63" spans="1:15" ht="15" x14ac:dyDescent="0.2">
      <c r="A63" s="72"/>
      <c r="B63" s="62"/>
      <c r="C63" s="181"/>
      <c r="D63" s="190"/>
      <c r="E63" s="67"/>
      <c r="F63" s="67"/>
      <c r="G63" s="68"/>
      <c r="H63" s="192"/>
      <c r="I63" s="72"/>
      <c r="J63" s="181"/>
      <c r="K63" s="190"/>
      <c r="L63" s="67"/>
      <c r="M63" s="67"/>
      <c r="N63" s="68"/>
      <c r="O63" s="192"/>
    </row>
    <row r="64" spans="1:15" x14ac:dyDescent="0.2">
      <c r="A64" s="72"/>
      <c r="B64" s="62"/>
      <c r="C64" s="193" t="s">
        <v>88</v>
      </c>
      <c r="D64" s="193"/>
      <c r="E64" s="193"/>
      <c r="F64" s="193"/>
      <c r="G64" s="86">
        <f>SUM(G2:G63)</f>
        <v>27078</v>
      </c>
      <c r="H64" s="87"/>
      <c r="I64" s="72"/>
      <c r="J64" s="193" t="s">
        <v>88</v>
      </c>
      <c r="K64" s="193"/>
      <c r="L64" s="193"/>
      <c r="M64" s="193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4">
        <v>44378</v>
      </c>
      <c r="C69" s="195"/>
      <c r="D69" s="195"/>
      <c r="E69" s="196"/>
      <c r="F69" s="90"/>
      <c r="G69" s="197">
        <v>44409</v>
      </c>
      <c r="H69" s="198"/>
      <c r="I69" s="198"/>
      <c r="J69" s="199"/>
      <c r="K69" s="90"/>
      <c r="L69" s="186" t="s">
        <v>25</v>
      </c>
      <c r="M69" s="187"/>
      <c r="N69" s="187"/>
      <c r="O69" s="188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2021-09-13T02:14:41Z</dcterms:modified>
</cp:coreProperties>
</file>