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Q34" i="7"/>
  <c r="AP34" i="7"/>
  <c r="AO34" i="7"/>
  <c r="AJ34" i="7"/>
  <c r="AH34" i="7"/>
  <c r="AC34" i="7"/>
  <c r="AR34" i="7" s="1"/>
  <c r="AA34" i="7"/>
  <c r="Z34" i="7"/>
  <c r="Y34" i="7"/>
  <c r="AN34" i="7" s="1"/>
  <c r="X34" i="7"/>
  <c r="L29" i="9" s="1"/>
  <c r="W34" i="7"/>
  <c r="K29" i="9" s="1"/>
  <c r="V34" i="7"/>
  <c r="AK34" i="7" s="1"/>
  <c r="U34" i="7"/>
  <c r="T34" i="7"/>
  <c r="AI34" i="7" s="1"/>
  <c r="S34" i="7"/>
  <c r="R34" i="7"/>
  <c r="AG34" i="7" s="1"/>
  <c r="Q34" i="7"/>
  <c r="AF34" i="7" s="1"/>
  <c r="AV33" i="7"/>
  <c r="AW33" i="7" s="1"/>
  <c r="AO33" i="7"/>
  <c r="AI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AN32" i="7" s="1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AG32" i="7" s="1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AP30" i="7" s="1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AH30" i="7" s="1"/>
  <c r="R30" i="7"/>
  <c r="AG30" i="7" s="1"/>
  <c r="Q30" i="7"/>
  <c r="AF30" i="7" s="1"/>
  <c r="AW29" i="7"/>
  <c r="AV29" i="7"/>
  <c r="AI29" i="7"/>
  <c r="AF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S29" i="7"/>
  <c r="AH29" i="7" s="1"/>
  <c r="R29" i="7"/>
  <c r="AG29" i="7" s="1"/>
  <c r="Q29" i="7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AP26" i="7" s="1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Q24" i="7" s="1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G29" i="5" s="1"/>
  <c r="Q29" i="9"/>
  <c r="P29" i="9"/>
  <c r="O29" i="9"/>
  <c r="N29" i="9"/>
  <c r="I29" i="9"/>
  <c r="H29" i="9"/>
  <c r="G29" i="9"/>
  <c r="E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M27" i="9"/>
  <c r="K27" i="9"/>
  <c r="J27" i="9"/>
  <c r="G27" i="9"/>
  <c r="F27" i="9"/>
  <c r="B27" i="9"/>
  <c r="S26" i="9"/>
  <c r="R26" i="9"/>
  <c r="G26" i="5" s="1"/>
  <c r="M26" i="9"/>
  <c r="L26" i="9"/>
  <c r="K26" i="9"/>
  <c r="J26" i="9"/>
  <c r="I26" i="9"/>
  <c r="B26" i="9"/>
  <c r="S25" i="9"/>
  <c r="R25" i="9"/>
  <c r="G25" i="5" s="1"/>
  <c r="O25" i="9"/>
  <c r="L25" i="9"/>
  <c r="J25" i="9"/>
  <c r="I25" i="9"/>
  <c r="G25" i="9"/>
  <c r="F25" i="9"/>
  <c r="E25" i="9"/>
  <c r="B25" i="9"/>
  <c r="S24" i="9"/>
  <c r="R24" i="9"/>
  <c r="Q24" i="9"/>
  <c r="L24" i="9"/>
  <c r="K24" i="9"/>
  <c r="H24" i="9"/>
  <c r="E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F22" i="9"/>
  <c r="B22" i="9"/>
  <c r="S21" i="9"/>
  <c r="R21" i="9"/>
  <c r="G21" i="5" s="1"/>
  <c r="Q21" i="9"/>
  <c r="O21" i="9"/>
  <c r="L21" i="9"/>
  <c r="K21" i="9"/>
  <c r="J21" i="9"/>
  <c r="I21" i="9"/>
  <c r="H21" i="9"/>
  <c r="G21" i="9"/>
  <c r="F21" i="9"/>
  <c r="B21" i="9"/>
  <c r="S20" i="9"/>
  <c r="R20" i="9"/>
  <c r="N20" i="9"/>
  <c r="L20" i="9"/>
  <c r="H20" i="9"/>
  <c r="B20" i="9"/>
  <c r="S19" i="9"/>
  <c r="P19" i="9"/>
  <c r="N19" i="9"/>
  <c r="L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R28" i="9" l="1"/>
  <c r="G28" i="5" s="1"/>
  <c r="M29" i="9"/>
  <c r="AM34" i="7"/>
  <c r="AM38" i="7" s="1"/>
  <c r="AL34" i="7"/>
  <c r="J29" i="9"/>
  <c r="F29" i="9"/>
  <c r="E29" i="5" s="1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S32" i="7"/>
  <c r="AD32" i="7"/>
  <c r="E27" i="9"/>
  <c r="Q26" i="9"/>
  <c r="AQ31" i="7"/>
  <c r="P25" i="9"/>
  <c r="O26" i="9"/>
  <c r="N26" i="9"/>
  <c r="AO30" i="7"/>
  <c r="AS30" i="7" s="1"/>
  <c r="AN30" i="7"/>
  <c r="H25" i="9"/>
  <c r="AD31" i="7"/>
  <c r="AF31" i="7"/>
  <c r="AS31" i="7" s="1"/>
  <c r="Q25" i="9"/>
  <c r="N24" i="9"/>
  <c r="K25" i="9"/>
  <c r="E25" i="5" s="1"/>
  <c r="AK29" i="7"/>
  <c r="AD30" i="7"/>
  <c r="AQ29" i="7"/>
  <c r="AS29" i="7" s="1"/>
  <c r="O24" i="9"/>
  <c r="M24" i="9"/>
  <c r="AN28" i="7"/>
  <c r="I23" i="9"/>
  <c r="AJ29" i="7"/>
  <c r="AJ38" i="7" s="1"/>
  <c r="G24" i="9"/>
  <c r="G23" i="9"/>
  <c r="AD29" i="7"/>
  <c r="F24" i="9"/>
  <c r="Q23" i="9"/>
  <c r="O23" i="9"/>
  <c r="L22" i="9"/>
  <c r="AK28" i="7"/>
  <c r="AI28" i="7"/>
  <c r="AI38" i="7" s="1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AN38" i="7" s="1"/>
  <c r="J22" i="9"/>
  <c r="AD27" i="7"/>
  <c r="AJ27" i="7"/>
  <c r="O20" i="9"/>
  <c r="M21" i="9"/>
  <c r="M20" i="9"/>
  <c r="E21" i="9"/>
  <c r="G20" i="9"/>
  <c r="AD26" i="7"/>
  <c r="AS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AW38" i="7"/>
  <c r="Q19" i="9"/>
  <c r="O19" i="9"/>
  <c r="M18" i="9"/>
  <c r="K18" i="9"/>
  <c r="J19" i="9"/>
  <c r="H19" i="9"/>
  <c r="T38" i="7"/>
  <c r="H18" i="9"/>
  <c r="AG24" i="7"/>
  <c r="AS24" i="7" s="1"/>
  <c r="R38" i="7"/>
  <c r="F18" i="9"/>
  <c r="E19" i="9"/>
  <c r="AD24" i="7"/>
  <c r="P17" i="9"/>
  <c r="P18" i="9"/>
  <c r="N18" i="9"/>
  <c r="U38" i="7"/>
  <c r="AS23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E28" i="5" l="1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<sst xmlns="http://schemas.openxmlformats.org/spreadsheetml/2006/main" count="128" uniqueCount="49">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</sst>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Submetering!R19</f>
        <v>718.84935900000005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Submetering!R20</f>
        <v>651.46906100000001</v>
      </c>
      <c r="H20" s="11">
        <v>0.52800000000000002</v>
      </c>
      <c r="I20" s="12">
        <f>Hotel!B25</f>
        <v>55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62260</v>
      </c>
      <c r="F21" s="11">
        <v>5.0000000000000001E-3</v>
      </c>
      <c r="G21" s="12">
        <f>Submetering!R21</f>
        <v>753.67513099999996</v>
      </c>
      <c r="H21" s="11">
        <v>0.52800000000000002</v>
      </c>
      <c r="I21" s="12">
        <f>Hotel!B26</f>
        <v>56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58620</v>
      </c>
      <c r="F22" s="11">
        <v>5.0000000000000001E-3</v>
      </c>
      <c r="G22" s="12">
        <f>Submetering!R22</f>
        <v>284.284291</v>
      </c>
      <c r="H22" s="11">
        <v>0.52800000000000002</v>
      </c>
      <c r="I22" s="12">
        <f>Hotel!B27</f>
        <v>68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65100</v>
      </c>
      <c r="F23" s="11">
        <v>5.0000000000000001E-3</v>
      </c>
      <c r="G23" s="12">
        <f>Submetering!R23</f>
        <v>1254.863415</v>
      </c>
      <c r="H23" s="11">
        <v>0.52800000000000002</v>
      </c>
      <c r="I23" s="12">
        <f>Hotel!B28</f>
        <v>120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57030</v>
      </c>
      <c r="F24" s="11">
        <v>5.0000000000000001E-3</v>
      </c>
      <c r="G24" s="12">
        <f>Submetering!R24</f>
        <v>601.88018999999997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61140</v>
      </c>
      <c r="F25" s="11">
        <v>5.0000000000000001E-3</v>
      </c>
      <c r="G25" s="12">
        <f>Submetering!R25</f>
        <v>681.752341</v>
      </c>
      <c r="H25" s="11">
        <v>0.52800000000000002</v>
      </c>
      <c r="I25" s="12">
        <f>Hotel!B30</f>
        <v>77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56760</v>
      </c>
      <c r="F26" s="11">
        <v>5.0000000000000001E-3</v>
      </c>
      <c r="G26" s="12">
        <f>Submetering!R26</f>
        <v>878.97220199999992</v>
      </c>
      <c r="H26" s="11">
        <v>0.52800000000000002</v>
      </c>
      <c r="I26" s="12">
        <f>Hotel!B31</f>
        <v>61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60130</v>
      </c>
      <c r="F27" s="11">
        <v>5.0000000000000001E-3</v>
      </c>
      <c r="G27" s="12">
        <f>Submetering!R27</f>
        <v>645.41240500000004</v>
      </c>
      <c r="H27" s="11">
        <v>0.52800000000000002</v>
      </c>
      <c r="I27" s="12">
        <f>Hotel!B32</f>
        <v>60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57920</v>
      </c>
      <c r="F28" s="11">
        <v>5.0000000000000001E-3</v>
      </c>
      <c r="G28" s="12">
        <f>Submetering!R28</f>
        <v>641.62699500000008</v>
      </c>
      <c r="H28" s="11">
        <v>0.52800000000000002</v>
      </c>
      <c r="I28" s="12">
        <f>Hotel!B33</f>
        <v>77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Hotel!AV24*0.00378541*100</f>
        <v>718.84935900000005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Hotel!AV25*0.00378541*100</f>
        <v>651.46906100000001</v>
      </c>
      <c r="S20" s="4">
        <f>Hotel!B25</f>
        <v>55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1060</v>
      </c>
      <c r="F21" s="4">
        <f>Hotel!R26</f>
        <v>12460</v>
      </c>
      <c r="G21" s="4">
        <f>Hotel!S26</f>
        <v>2990</v>
      </c>
      <c r="H21" s="4">
        <f>Hotel!T26</f>
        <v>1610</v>
      </c>
      <c r="I21" s="4">
        <f>Hotel!U26</f>
        <v>4630</v>
      </c>
      <c r="J21" s="4">
        <f>Hotel!V26</f>
        <v>3170</v>
      </c>
      <c r="K21" s="4">
        <f>Hotel!W26</f>
        <v>2500</v>
      </c>
      <c r="L21" s="4">
        <f>Hotel!X26</f>
        <v>3840</v>
      </c>
      <c r="M21" s="4">
        <f>Hotel!Y26</f>
        <v>5390</v>
      </c>
      <c r="N21" s="4">
        <f>Hotel!Z26</f>
        <v>2510</v>
      </c>
      <c r="O21" s="4">
        <f>Hotel!AA26</f>
        <v>3100</v>
      </c>
      <c r="P21" s="4">
        <f>Hotel!AB26</f>
        <v>7120</v>
      </c>
      <c r="Q21" s="4">
        <f>Hotel!AC26</f>
        <v>11880</v>
      </c>
      <c r="R21" s="4">
        <f>Hotel!AV26*0.00378541*100</f>
        <v>753.67513099999996</v>
      </c>
      <c r="S21" s="4">
        <f>Hotel!B26</f>
        <v>56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1010</v>
      </c>
      <c r="F22" s="4">
        <f>Hotel!R27</f>
        <v>11810</v>
      </c>
      <c r="G22" s="4">
        <f>Hotel!S27</f>
        <v>2820</v>
      </c>
      <c r="H22" s="4">
        <f>Hotel!T27</f>
        <v>1550</v>
      </c>
      <c r="I22" s="4">
        <f>Hotel!U27</f>
        <v>4350</v>
      </c>
      <c r="J22" s="4">
        <f>Hotel!V27</f>
        <v>3050</v>
      </c>
      <c r="K22" s="4">
        <f>Hotel!W27</f>
        <v>2410</v>
      </c>
      <c r="L22" s="4">
        <f>Hotel!X27</f>
        <v>3650</v>
      </c>
      <c r="M22" s="4">
        <f>Hotel!Y27</f>
        <v>5240</v>
      </c>
      <c r="N22" s="4">
        <f>Hotel!Z27</f>
        <v>2410</v>
      </c>
      <c r="O22" s="4">
        <f>Hotel!AA27</f>
        <v>2930</v>
      </c>
      <c r="P22" s="4">
        <f>Hotel!AB27</f>
        <v>6780</v>
      </c>
      <c r="Q22" s="4">
        <f>Hotel!AC27</f>
        <v>10610</v>
      </c>
      <c r="R22" s="4">
        <f>Hotel!AV27*0.00378541*100</f>
        <v>284.284291</v>
      </c>
      <c r="S22" s="4">
        <f>Hotel!B27</f>
        <v>68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1140</v>
      </c>
      <c r="F23" s="4">
        <f>Hotel!R28</f>
        <v>13240</v>
      </c>
      <c r="G23" s="4">
        <f>Hotel!S28</f>
        <v>2250</v>
      </c>
      <c r="H23" s="4">
        <f>Hotel!T28</f>
        <v>1770</v>
      </c>
      <c r="I23" s="4">
        <f>Hotel!U28</f>
        <v>5190</v>
      </c>
      <c r="J23" s="4">
        <f>Hotel!V28</f>
        <v>3440</v>
      </c>
      <c r="K23" s="4">
        <f>Hotel!W28</f>
        <v>2690</v>
      </c>
      <c r="L23" s="4">
        <f>Hotel!X28</f>
        <v>2950</v>
      </c>
      <c r="M23" s="4">
        <f>Hotel!Y28</f>
        <v>5950</v>
      </c>
      <c r="N23" s="4">
        <f>Hotel!Z28</f>
        <v>2940</v>
      </c>
      <c r="O23" s="4">
        <f>Hotel!AA28</f>
        <v>3540</v>
      </c>
      <c r="P23" s="4">
        <f>Hotel!AB28</f>
        <v>7660</v>
      </c>
      <c r="Q23" s="4">
        <f>Hotel!AC28</f>
        <v>12340</v>
      </c>
      <c r="R23" s="4">
        <f>Hotel!AV28*0.00378541*100</f>
        <v>1254.863415</v>
      </c>
      <c r="S23" s="4">
        <f>Hotel!B28</f>
        <v>120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910</v>
      </c>
      <c r="F24" s="4">
        <f>Hotel!R29</f>
        <v>10790</v>
      </c>
      <c r="G24" s="4">
        <f>Hotel!S29</f>
        <v>3490</v>
      </c>
      <c r="H24" s="4">
        <f>Hotel!T29</f>
        <v>1370</v>
      </c>
      <c r="I24" s="4">
        <f>Hotel!U29</f>
        <v>4470</v>
      </c>
      <c r="J24" s="4">
        <f>Hotel!V29</f>
        <v>2890</v>
      </c>
      <c r="K24" s="4">
        <f>Hotel!W29</f>
        <v>2220</v>
      </c>
      <c r="L24" s="4">
        <f>Hotel!X29</f>
        <v>4590</v>
      </c>
      <c r="M24" s="4">
        <f>Hotel!Y29</f>
        <v>5250</v>
      </c>
      <c r="N24" s="4">
        <f>Hotel!Z29</f>
        <v>2480</v>
      </c>
      <c r="O24" s="4">
        <f>Hotel!AA29</f>
        <v>2940</v>
      </c>
      <c r="P24" s="4">
        <f>Hotel!AB29</f>
        <v>6230</v>
      </c>
      <c r="Q24" s="4">
        <f>Hotel!AC29</f>
        <v>9400</v>
      </c>
      <c r="R24" s="4">
        <f>Hotel!AV29*0.00378541*100</f>
        <v>601.88018999999997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1040</v>
      </c>
      <c r="F25" s="4">
        <f>Hotel!R30</f>
        <v>12070</v>
      </c>
      <c r="G25" s="4">
        <f>Hotel!S30</f>
        <v>2880</v>
      </c>
      <c r="H25" s="4">
        <f>Hotel!T30</f>
        <v>1610</v>
      </c>
      <c r="I25" s="4">
        <f>Hotel!U30</f>
        <v>5090</v>
      </c>
      <c r="J25" s="4">
        <f>Hotel!V30</f>
        <v>3200</v>
      </c>
      <c r="K25" s="4">
        <f>Hotel!W30</f>
        <v>2460</v>
      </c>
      <c r="L25" s="4">
        <f>Hotel!X30</f>
        <v>3700</v>
      </c>
      <c r="M25" s="4">
        <f>Hotel!Y30</f>
        <v>5720</v>
      </c>
      <c r="N25" s="4">
        <f>Hotel!Z30</f>
        <v>2680</v>
      </c>
      <c r="O25" s="4">
        <f>Hotel!AA30</f>
        <v>3350</v>
      </c>
      <c r="P25" s="4">
        <f>Hotel!AB30</f>
        <v>6970</v>
      </c>
      <c r="Q25" s="4">
        <f>Hotel!AC30</f>
        <v>10370</v>
      </c>
      <c r="R25" s="4">
        <f>Hotel!AV30*0.00378541*100</f>
        <v>681.752341</v>
      </c>
      <c r="S25" s="4">
        <f>Hotel!B30</f>
        <v>77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1000</v>
      </c>
      <c r="F26" s="4">
        <f>Hotel!R31</f>
        <v>11520</v>
      </c>
      <c r="G26" s="4">
        <f>Hotel!S31</f>
        <v>2730</v>
      </c>
      <c r="H26" s="4">
        <f>Hotel!T31</f>
        <v>1570</v>
      </c>
      <c r="I26" s="4">
        <f>Hotel!U31</f>
        <v>4630</v>
      </c>
      <c r="J26" s="4">
        <f>Hotel!V31</f>
        <v>2980</v>
      </c>
      <c r="K26" s="4">
        <f>Hotel!W31</f>
        <v>2380</v>
      </c>
      <c r="L26" s="4">
        <f>Hotel!X31</f>
        <v>3340</v>
      </c>
      <c r="M26" s="4">
        <f>Hotel!Y31</f>
        <v>5170</v>
      </c>
      <c r="N26" s="4">
        <f>Hotel!Z31</f>
        <v>2460</v>
      </c>
      <c r="O26" s="4">
        <f>Hotel!AA31</f>
        <v>2990</v>
      </c>
      <c r="P26" s="4">
        <f>Hotel!AB31</f>
        <v>6670</v>
      </c>
      <c r="Q26" s="4">
        <f>Hotel!AC31</f>
        <v>9320</v>
      </c>
      <c r="R26" s="4">
        <f>Hotel!AV31*0.00378541*100</f>
        <v>878.97220199999992</v>
      </c>
      <c r="S26" s="4">
        <f>Hotel!B31</f>
        <v>61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1040</v>
      </c>
      <c r="F27" s="4">
        <f>Hotel!R32</f>
        <v>12000</v>
      </c>
      <c r="G27" s="4">
        <f>Hotel!S32</f>
        <v>2840</v>
      </c>
      <c r="H27" s="4">
        <f>Hotel!T32</f>
        <v>1640</v>
      </c>
      <c r="I27" s="4">
        <f>Hotel!U32</f>
        <v>4760</v>
      </c>
      <c r="J27" s="4">
        <f>Hotel!V32</f>
        <v>3140</v>
      </c>
      <c r="K27" s="4">
        <f>Hotel!W32</f>
        <v>2500</v>
      </c>
      <c r="L27" s="4">
        <f>Hotel!X32</f>
        <v>3730</v>
      </c>
      <c r="M27" s="4">
        <f>Hotel!Y32</f>
        <v>5480</v>
      </c>
      <c r="N27" s="4">
        <f>Hotel!Z32</f>
        <v>2500</v>
      </c>
      <c r="O27" s="4">
        <f>Hotel!AA32</f>
        <v>3120</v>
      </c>
      <c r="P27" s="4">
        <f>Hotel!AB32</f>
        <v>7000</v>
      </c>
      <c r="Q27" s="4">
        <f>Hotel!AC32</f>
        <v>10380</v>
      </c>
      <c r="R27" s="4">
        <f>Hotel!AV32*0.00378541*100</f>
        <v>645.41240500000004</v>
      </c>
      <c r="S27" s="4">
        <f>Hotel!B32</f>
        <v>60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1000</v>
      </c>
      <c r="F28" s="4">
        <f>Hotel!R33</f>
        <v>11400</v>
      </c>
      <c r="G28" s="4">
        <f>Hotel!S33</f>
        <v>2680</v>
      </c>
      <c r="H28" s="4">
        <f>Hotel!T33</f>
        <v>1570</v>
      </c>
      <c r="I28" s="4">
        <f>Hotel!U33</f>
        <v>4980</v>
      </c>
      <c r="J28" s="4">
        <f>Hotel!V33</f>
        <v>3070</v>
      </c>
      <c r="K28" s="4">
        <f>Hotel!W33</f>
        <v>2430</v>
      </c>
      <c r="L28" s="4">
        <f>Hotel!X33</f>
        <v>3580</v>
      </c>
      <c r="M28" s="4">
        <f>Hotel!Y33</f>
        <v>5270</v>
      </c>
      <c r="N28" s="4">
        <f>Hotel!Z33</f>
        <v>2540</v>
      </c>
      <c r="O28" s="4">
        <f>Hotel!AA33</f>
        <v>2970</v>
      </c>
      <c r="P28" s="4">
        <f>Hotel!AB33</f>
        <v>6970</v>
      </c>
      <c r="Q28" s="4">
        <f>Hotel!AC33</f>
        <v>9460</v>
      </c>
      <c r="R28" s="4">
        <f>Hotel!AV33*0.00378541*100</f>
        <v>641.62699500000008</v>
      </c>
      <c r="S28" s="4">
        <f>Hotel!B33</f>
        <v>77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H26" sqref="AH25:AH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16"/>
        <v>940</v>
      </c>
      <c r="R24" s="37">
        <f t="shared" si="17"/>
        <v>11130</v>
      </c>
      <c r="S24" s="37">
        <f t="shared" si="15"/>
        <v>2670</v>
      </c>
      <c r="T24" s="37">
        <f t="shared" si="18"/>
        <v>1440</v>
      </c>
      <c r="U24" s="37">
        <f t="shared" si="19"/>
        <v>4080</v>
      </c>
      <c r="V24" s="37">
        <f t="shared" si="20"/>
        <v>2850</v>
      </c>
      <c r="W24" s="37">
        <f t="shared" si="21"/>
        <v>2230</v>
      </c>
      <c r="X24" s="37">
        <f t="shared" si="22"/>
        <v>3110</v>
      </c>
      <c r="Y24" s="37">
        <f t="shared" si="23"/>
        <v>4660</v>
      </c>
      <c r="Z24" s="37">
        <f t="shared" si="24"/>
        <v>2320</v>
      </c>
      <c r="AA24" s="37">
        <f t="shared" si="25"/>
        <v>2830</v>
      </c>
      <c r="AB24" s="37">
        <f t="shared" si="26"/>
        <v>6080</v>
      </c>
      <c r="AC24" s="37">
        <f t="shared" si="27"/>
        <v>9180</v>
      </c>
      <c r="AD24" s="35">
        <f t="shared" si="28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29"/>
        <v>267.60000000000002</v>
      </c>
      <c r="AU24" s="47">
        <v>249949</v>
      </c>
      <c r="AV24" s="37">
        <f t="shared" si="31"/>
        <v>1899</v>
      </c>
      <c r="AW24" s="35">
        <f t="shared" si="30"/>
        <v>3.798</v>
      </c>
    </row>
    <row r="25" spans="1:49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3">IF((C25-C24&lt;0), "0",C25-C24)</f>
        <v>1000</v>
      </c>
      <c r="R25" s="37">
        <f t="shared" si="33"/>
        <v>12050</v>
      </c>
      <c r="S25" s="37">
        <f t="shared" si="33"/>
        <v>2890</v>
      </c>
      <c r="T25" s="37">
        <f t="shared" si="33"/>
        <v>1560</v>
      </c>
      <c r="U25" s="37">
        <f t="shared" si="33"/>
        <v>4440</v>
      </c>
      <c r="V25" s="37">
        <f t="shared" si="33"/>
        <v>3060</v>
      </c>
      <c r="W25" s="37">
        <f t="shared" si="33"/>
        <v>2380</v>
      </c>
      <c r="X25" s="37">
        <f t="shared" si="33"/>
        <v>3610</v>
      </c>
      <c r="Y25" s="37">
        <f t="shared" si="33"/>
        <v>5040</v>
      </c>
      <c r="Z25" s="37">
        <f t="shared" si="33"/>
        <v>2480</v>
      </c>
      <c r="AA25" s="37">
        <f t="shared" si="33"/>
        <v>2970</v>
      </c>
      <c r="AB25" s="37">
        <f t="shared" si="33"/>
        <v>6650</v>
      </c>
      <c r="AC25" s="37">
        <f t="shared" si="33"/>
        <v>11380</v>
      </c>
      <c r="AD25" s="35">
        <f t="shared" si="28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29"/>
        <v>297.55</v>
      </c>
      <c r="AU25" s="47">
        <v>251670</v>
      </c>
      <c r="AV25" s="37">
        <f t="shared" si="31"/>
        <v>1721</v>
      </c>
      <c r="AW25" s="35">
        <f t="shared" si="30"/>
        <v>3.4420000000000002</v>
      </c>
    </row>
    <row r="26" spans="1:49" x14ac:dyDescent="0.25">
      <c r="A26" s="23">
        <v>44124</v>
      </c>
      <c r="B26" s="40">
        <v>56</v>
      </c>
      <c r="C26" s="24">
        <v>6393210</v>
      </c>
      <c r="D26" s="24">
        <v>14597730</v>
      </c>
      <c r="E26" s="24">
        <v>2144930</v>
      </c>
      <c r="F26" s="24">
        <v>3078950</v>
      </c>
      <c r="G26" s="24">
        <v>9339860</v>
      </c>
      <c r="H26" s="24">
        <v>4770570</v>
      </c>
      <c r="I26" s="24">
        <v>4536540</v>
      </c>
      <c r="J26" s="24">
        <v>5112220</v>
      </c>
      <c r="K26" s="24">
        <v>8015870</v>
      </c>
      <c r="L26" s="24">
        <v>3255410</v>
      </c>
      <c r="M26" s="24">
        <v>7140010</v>
      </c>
      <c r="N26" s="24">
        <v>10457630</v>
      </c>
      <c r="O26" s="24">
        <v>14151120</v>
      </c>
      <c r="Q26" s="37">
        <f t="shared" si="33"/>
        <v>1060</v>
      </c>
      <c r="R26" s="37">
        <f t="shared" si="33"/>
        <v>12460</v>
      </c>
      <c r="S26" s="37">
        <f t="shared" si="33"/>
        <v>2990</v>
      </c>
      <c r="T26" s="37">
        <f t="shared" si="33"/>
        <v>1610</v>
      </c>
      <c r="U26" s="37">
        <f t="shared" si="33"/>
        <v>4630</v>
      </c>
      <c r="V26" s="37">
        <f t="shared" si="33"/>
        <v>3170</v>
      </c>
      <c r="W26" s="37">
        <f t="shared" si="33"/>
        <v>2500</v>
      </c>
      <c r="X26" s="37">
        <f t="shared" si="33"/>
        <v>3840</v>
      </c>
      <c r="Y26" s="37">
        <f t="shared" si="33"/>
        <v>5390</v>
      </c>
      <c r="Z26" s="37">
        <f t="shared" si="33"/>
        <v>2510</v>
      </c>
      <c r="AA26" s="37">
        <f t="shared" si="33"/>
        <v>3100</v>
      </c>
      <c r="AB26" s="37">
        <f t="shared" si="33"/>
        <v>7120</v>
      </c>
      <c r="AC26" s="37">
        <f t="shared" si="33"/>
        <v>11880</v>
      </c>
      <c r="AD26" s="35">
        <f t="shared" si="28"/>
        <v>62260</v>
      </c>
      <c r="AF26" s="20">
        <f t="shared" si="1"/>
        <v>5.3</v>
      </c>
      <c r="AG26" s="20">
        <f t="shared" si="2"/>
        <v>62.300000000000004</v>
      </c>
      <c r="AH26" s="20">
        <f t="shared" si="3"/>
        <v>14.950000000000001</v>
      </c>
      <c r="AI26" s="20">
        <f t="shared" si="4"/>
        <v>8.0500000000000007</v>
      </c>
      <c r="AJ26" s="20">
        <f t="shared" si="5"/>
        <v>23.150000000000002</v>
      </c>
      <c r="AK26" s="20">
        <f t="shared" si="6"/>
        <v>15.85</v>
      </c>
      <c r="AL26" s="20">
        <f t="shared" si="7"/>
        <v>12.5</v>
      </c>
      <c r="AM26" s="20">
        <f t="shared" si="8"/>
        <v>19.2</v>
      </c>
      <c r="AN26" s="20">
        <f t="shared" si="9"/>
        <v>26.95</v>
      </c>
      <c r="AO26" s="20">
        <f t="shared" si="10"/>
        <v>12.55</v>
      </c>
      <c r="AP26" s="20">
        <f t="shared" si="11"/>
        <v>15.5</v>
      </c>
      <c r="AQ26" s="20">
        <f t="shared" si="12"/>
        <v>35.6</v>
      </c>
      <c r="AR26" s="20">
        <f t="shared" si="13"/>
        <v>59.4</v>
      </c>
      <c r="AS26" s="35">
        <f t="shared" si="29"/>
        <v>311.3</v>
      </c>
      <c r="AU26" s="47">
        <v>253661</v>
      </c>
      <c r="AV26" s="37">
        <f t="shared" si="31"/>
        <v>1991</v>
      </c>
      <c r="AW26" s="35">
        <f t="shared" si="30"/>
        <v>3.9820000000000002</v>
      </c>
    </row>
    <row r="27" spans="1:49" x14ac:dyDescent="0.25">
      <c r="A27" s="23">
        <v>44125</v>
      </c>
      <c r="B27" s="40">
        <v>68</v>
      </c>
      <c r="C27" s="24">
        <v>6394220</v>
      </c>
      <c r="D27" s="24">
        <v>14609540</v>
      </c>
      <c r="E27" s="24">
        <v>2147750</v>
      </c>
      <c r="F27" s="24">
        <v>3080500</v>
      </c>
      <c r="G27" s="24">
        <v>9344210</v>
      </c>
      <c r="H27" s="24">
        <v>4773620</v>
      </c>
      <c r="I27" s="24">
        <v>4538950</v>
      </c>
      <c r="J27" s="24">
        <v>5115870</v>
      </c>
      <c r="K27" s="24">
        <v>8021110</v>
      </c>
      <c r="L27" s="24">
        <v>3257820</v>
      </c>
      <c r="M27" s="24">
        <v>7142940</v>
      </c>
      <c r="N27" s="24">
        <v>10464410</v>
      </c>
      <c r="O27" s="24">
        <v>14161730</v>
      </c>
      <c r="Q27" s="37">
        <f t="shared" si="33"/>
        <v>1010</v>
      </c>
      <c r="R27" s="37">
        <f t="shared" si="33"/>
        <v>11810</v>
      </c>
      <c r="S27" s="37">
        <f t="shared" si="33"/>
        <v>2820</v>
      </c>
      <c r="T27" s="37">
        <f t="shared" si="33"/>
        <v>1550</v>
      </c>
      <c r="U27" s="37">
        <f t="shared" si="33"/>
        <v>4350</v>
      </c>
      <c r="V27" s="37">
        <f t="shared" si="33"/>
        <v>3050</v>
      </c>
      <c r="W27" s="37">
        <f t="shared" si="33"/>
        <v>2410</v>
      </c>
      <c r="X27" s="37">
        <f t="shared" si="33"/>
        <v>3650</v>
      </c>
      <c r="Y27" s="37">
        <f t="shared" si="33"/>
        <v>5240</v>
      </c>
      <c r="Z27" s="37">
        <f t="shared" si="33"/>
        <v>2410</v>
      </c>
      <c r="AA27" s="37">
        <f t="shared" si="33"/>
        <v>2930</v>
      </c>
      <c r="AB27" s="37">
        <f t="shared" si="33"/>
        <v>6780</v>
      </c>
      <c r="AC27" s="37">
        <f t="shared" si="33"/>
        <v>10610</v>
      </c>
      <c r="AD27" s="35">
        <f t="shared" si="28"/>
        <v>58620</v>
      </c>
      <c r="AF27" s="20">
        <f t="shared" si="1"/>
        <v>5.05</v>
      </c>
      <c r="AG27" s="20">
        <f t="shared" si="2"/>
        <v>59.050000000000004</v>
      </c>
      <c r="AH27" s="20">
        <f t="shared" si="3"/>
        <v>14.1</v>
      </c>
      <c r="AI27" s="20">
        <f t="shared" si="4"/>
        <v>7.75</v>
      </c>
      <c r="AJ27" s="20">
        <f t="shared" si="5"/>
        <v>21.75</v>
      </c>
      <c r="AK27" s="20">
        <f t="shared" si="6"/>
        <v>15.25</v>
      </c>
      <c r="AL27" s="20">
        <f t="shared" si="7"/>
        <v>12.05</v>
      </c>
      <c r="AM27" s="20">
        <f t="shared" si="8"/>
        <v>18.25</v>
      </c>
      <c r="AN27" s="20">
        <f t="shared" si="9"/>
        <v>26.2</v>
      </c>
      <c r="AO27" s="20">
        <f t="shared" si="10"/>
        <v>12.05</v>
      </c>
      <c r="AP27" s="20">
        <f t="shared" si="11"/>
        <v>14.65</v>
      </c>
      <c r="AQ27" s="20">
        <f t="shared" si="12"/>
        <v>33.9</v>
      </c>
      <c r="AR27" s="20">
        <f t="shared" si="13"/>
        <v>53.050000000000004</v>
      </c>
      <c r="AS27" s="35">
        <f t="shared" si="29"/>
        <v>293.10000000000002</v>
      </c>
      <c r="AU27" s="47">
        <v>254412</v>
      </c>
      <c r="AV27" s="37">
        <f>IF((AU27-AU26&lt;0),"0",AU27-AU26)</f>
        <v>751</v>
      </c>
      <c r="AW27" s="35">
        <f t="shared" si="30"/>
        <v>1.502</v>
      </c>
    </row>
    <row r="28" spans="1:49" x14ac:dyDescent="0.25">
      <c r="A28" s="23">
        <v>44126</v>
      </c>
      <c r="B28" s="40">
        <v>120</v>
      </c>
      <c r="C28" s="24">
        <v>6395360</v>
      </c>
      <c r="D28" s="24">
        <v>14622780</v>
      </c>
      <c r="E28" s="24">
        <v>2150000</v>
      </c>
      <c r="F28" s="24">
        <v>3082270</v>
      </c>
      <c r="G28" s="24">
        <v>9349400</v>
      </c>
      <c r="H28" s="24">
        <v>4777060</v>
      </c>
      <c r="I28" s="24">
        <v>4541640</v>
      </c>
      <c r="J28" s="24">
        <v>5118820</v>
      </c>
      <c r="K28" s="24">
        <v>8027060</v>
      </c>
      <c r="L28" s="24">
        <v>3260760</v>
      </c>
      <c r="M28" s="24">
        <v>7146480</v>
      </c>
      <c r="N28" s="24">
        <v>10472070</v>
      </c>
      <c r="O28" s="24">
        <v>14174070</v>
      </c>
      <c r="Q28" s="37">
        <f t="shared" si="16"/>
        <v>1140</v>
      </c>
      <c r="R28" s="37">
        <f t="shared" si="17"/>
        <v>13240</v>
      </c>
      <c r="S28" s="37">
        <f t="shared" si="15"/>
        <v>2250</v>
      </c>
      <c r="T28" s="37">
        <f t="shared" si="18"/>
        <v>1770</v>
      </c>
      <c r="U28" s="37">
        <f t="shared" si="19"/>
        <v>5190</v>
      </c>
      <c r="V28" s="37">
        <f t="shared" si="20"/>
        <v>3440</v>
      </c>
      <c r="W28" s="37">
        <f t="shared" si="21"/>
        <v>2690</v>
      </c>
      <c r="X28" s="37">
        <f t="shared" si="22"/>
        <v>2950</v>
      </c>
      <c r="Y28" s="37">
        <f t="shared" si="23"/>
        <v>5950</v>
      </c>
      <c r="Z28" s="37">
        <f t="shared" si="24"/>
        <v>2940</v>
      </c>
      <c r="AA28" s="37">
        <f t="shared" si="25"/>
        <v>3540</v>
      </c>
      <c r="AB28" s="37">
        <f t="shared" si="26"/>
        <v>7660</v>
      </c>
      <c r="AC28" s="37">
        <f t="shared" si="27"/>
        <v>12340</v>
      </c>
      <c r="AD28" s="35">
        <f t="shared" si="28"/>
        <v>65100</v>
      </c>
      <c r="AF28" s="20">
        <f t="shared" si="1"/>
        <v>5.7</v>
      </c>
      <c r="AG28" s="20">
        <f t="shared" si="2"/>
        <v>66.2</v>
      </c>
      <c r="AH28" s="20">
        <f t="shared" si="3"/>
        <v>11.25</v>
      </c>
      <c r="AI28" s="20">
        <f t="shared" si="4"/>
        <v>8.85</v>
      </c>
      <c r="AJ28" s="20">
        <f t="shared" si="5"/>
        <v>25.95</v>
      </c>
      <c r="AK28" s="20">
        <f t="shared" si="6"/>
        <v>17.2</v>
      </c>
      <c r="AL28" s="20">
        <f t="shared" si="7"/>
        <v>13.450000000000001</v>
      </c>
      <c r="AM28" s="20">
        <f t="shared" si="8"/>
        <v>14.75</v>
      </c>
      <c r="AN28" s="20">
        <f t="shared" si="9"/>
        <v>29.75</v>
      </c>
      <c r="AO28" s="20">
        <f t="shared" si="10"/>
        <v>14.700000000000001</v>
      </c>
      <c r="AP28" s="20">
        <f t="shared" si="11"/>
        <v>17.7</v>
      </c>
      <c r="AQ28" s="20">
        <f t="shared" si="12"/>
        <v>38.300000000000004</v>
      </c>
      <c r="AR28" s="20">
        <f t="shared" si="13"/>
        <v>61.7</v>
      </c>
      <c r="AS28" s="35">
        <f t="shared" si="29"/>
        <v>325.49999999999994</v>
      </c>
      <c r="AU28" s="47">
        <v>257727</v>
      </c>
      <c r="AV28" s="37">
        <f>IF((AU28-AU27&lt;0),"0",AU28-AU27)</f>
        <v>3315</v>
      </c>
      <c r="AW28" s="35">
        <f t="shared" si="30"/>
        <v>6.63</v>
      </c>
    </row>
    <row r="29" spans="1:49" x14ac:dyDescent="0.25">
      <c r="A29" s="23">
        <v>44127</v>
      </c>
      <c r="B29" s="40">
        <v>142</v>
      </c>
      <c r="C29" s="24">
        <v>6396270</v>
      </c>
      <c r="D29" s="24">
        <v>14633570</v>
      </c>
      <c r="E29" s="24">
        <v>2153490</v>
      </c>
      <c r="F29" s="24">
        <v>3083640</v>
      </c>
      <c r="G29" s="24">
        <v>9353870</v>
      </c>
      <c r="H29" s="24">
        <v>4779950</v>
      </c>
      <c r="I29" s="24">
        <v>4543860</v>
      </c>
      <c r="J29" s="24">
        <v>5123410</v>
      </c>
      <c r="K29" s="24">
        <v>8032310</v>
      </c>
      <c r="L29" s="24">
        <v>3263240</v>
      </c>
      <c r="M29" s="24">
        <v>7149420</v>
      </c>
      <c r="N29" s="24">
        <v>10478300</v>
      </c>
      <c r="O29" s="24">
        <v>14183470</v>
      </c>
      <c r="Q29" s="37">
        <f t="shared" si="16"/>
        <v>910</v>
      </c>
      <c r="R29" s="37">
        <f t="shared" si="17"/>
        <v>10790</v>
      </c>
      <c r="S29" s="37">
        <f t="shared" si="15"/>
        <v>3490</v>
      </c>
      <c r="T29" s="37">
        <f t="shared" si="18"/>
        <v>1370</v>
      </c>
      <c r="U29" s="37">
        <f t="shared" si="19"/>
        <v>4470</v>
      </c>
      <c r="V29" s="37">
        <f t="shared" si="20"/>
        <v>2890</v>
      </c>
      <c r="W29" s="37">
        <f t="shared" si="21"/>
        <v>2220</v>
      </c>
      <c r="X29" s="37">
        <f t="shared" si="22"/>
        <v>4590</v>
      </c>
      <c r="Y29" s="37">
        <f t="shared" si="23"/>
        <v>5250</v>
      </c>
      <c r="Z29" s="37">
        <f t="shared" si="24"/>
        <v>2480</v>
      </c>
      <c r="AA29" s="37">
        <f t="shared" si="25"/>
        <v>2940</v>
      </c>
      <c r="AB29" s="37">
        <f t="shared" si="26"/>
        <v>6230</v>
      </c>
      <c r="AC29" s="37">
        <f t="shared" si="27"/>
        <v>9400</v>
      </c>
      <c r="AD29" s="35">
        <f t="shared" si="28"/>
        <v>57030</v>
      </c>
      <c r="AF29" s="20">
        <f t="shared" si="1"/>
        <v>4.55</v>
      </c>
      <c r="AG29" s="20">
        <f t="shared" si="2"/>
        <v>53.95</v>
      </c>
      <c r="AH29" s="20">
        <f t="shared" si="3"/>
        <v>17.45</v>
      </c>
      <c r="AI29" s="20">
        <f t="shared" si="4"/>
        <v>6.8500000000000005</v>
      </c>
      <c r="AJ29" s="20">
        <f t="shared" si="5"/>
        <v>22.35</v>
      </c>
      <c r="AK29" s="20">
        <f t="shared" si="6"/>
        <v>14.450000000000001</v>
      </c>
      <c r="AL29" s="20">
        <f t="shared" si="7"/>
        <v>11.1</v>
      </c>
      <c r="AM29" s="20">
        <f t="shared" si="8"/>
        <v>22.95</v>
      </c>
      <c r="AN29" s="20">
        <f t="shared" si="9"/>
        <v>26.25</v>
      </c>
      <c r="AO29" s="20">
        <f t="shared" si="10"/>
        <v>12.4</v>
      </c>
      <c r="AP29" s="20">
        <f t="shared" si="11"/>
        <v>14.700000000000001</v>
      </c>
      <c r="AQ29" s="20">
        <f t="shared" si="12"/>
        <v>31.150000000000002</v>
      </c>
      <c r="AR29" s="20">
        <f t="shared" si="13"/>
        <v>47</v>
      </c>
      <c r="AS29" s="35">
        <f t="shared" si="29"/>
        <v>285.14999999999998</v>
      </c>
      <c r="AU29" s="47">
        <v>259317</v>
      </c>
      <c r="AV29" s="37">
        <f t="shared" ref="AV29:AV35" si="34">IF((AU29-AU28&lt;0),"0",AU29-AU28)</f>
        <v>1590</v>
      </c>
      <c r="AW29" s="35">
        <f t="shared" si="30"/>
        <v>3.18</v>
      </c>
    </row>
    <row r="30" spans="1:49" x14ac:dyDescent="0.25">
      <c r="A30" s="23">
        <v>44128</v>
      </c>
      <c r="B30" s="40">
        <v>77</v>
      </c>
      <c r="C30" s="24">
        <v>6397310</v>
      </c>
      <c r="D30" s="24">
        <v>14645640</v>
      </c>
      <c r="E30" s="24">
        <v>2156370</v>
      </c>
      <c r="F30" s="24">
        <v>3085250</v>
      </c>
      <c r="G30" s="24">
        <v>9358960</v>
      </c>
      <c r="H30" s="24">
        <v>4783150</v>
      </c>
      <c r="I30" s="24">
        <v>4546320</v>
      </c>
      <c r="J30" s="24">
        <v>5127110</v>
      </c>
      <c r="K30" s="24">
        <v>8038030</v>
      </c>
      <c r="L30" s="24">
        <v>3265920</v>
      </c>
      <c r="M30" s="24">
        <v>7152770</v>
      </c>
      <c r="N30" s="24">
        <v>10485270</v>
      </c>
      <c r="O30" s="24">
        <v>14193840</v>
      </c>
      <c r="Q30" s="37">
        <f t="shared" si="16"/>
        <v>1040</v>
      </c>
      <c r="R30" s="37">
        <f t="shared" si="17"/>
        <v>12070</v>
      </c>
      <c r="S30" s="37">
        <f t="shared" si="15"/>
        <v>2880</v>
      </c>
      <c r="T30" s="37">
        <f t="shared" si="18"/>
        <v>1610</v>
      </c>
      <c r="U30" s="37">
        <f t="shared" si="19"/>
        <v>5090</v>
      </c>
      <c r="V30" s="37">
        <f t="shared" si="20"/>
        <v>3200</v>
      </c>
      <c r="W30" s="37">
        <f t="shared" si="21"/>
        <v>2460</v>
      </c>
      <c r="X30" s="37">
        <f t="shared" si="22"/>
        <v>3700</v>
      </c>
      <c r="Y30" s="37">
        <f t="shared" si="23"/>
        <v>5720</v>
      </c>
      <c r="Z30" s="37">
        <f t="shared" si="24"/>
        <v>2680</v>
      </c>
      <c r="AA30" s="37">
        <f t="shared" si="25"/>
        <v>3350</v>
      </c>
      <c r="AB30" s="37">
        <f t="shared" si="26"/>
        <v>6970</v>
      </c>
      <c r="AC30" s="37">
        <f t="shared" si="27"/>
        <v>10370</v>
      </c>
      <c r="AD30" s="35">
        <f t="shared" si="28"/>
        <v>61140</v>
      </c>
      <c r="AF30" s="20">
        <f t="shared" si="1"/>
        <v>5.2</v>
      </c>
      <c r="AG30" s="20">
        <f t="shared" si="2"/>
        <v>60.35</v>
      </c>
      <c r="AH30" s="20">
        <f t="shared" si="3"/>
        <v>14.4</v>
      </c>
      <c r="AI30" s="20">
        <f t="shared" si="4"/>
        <v>8.0500000000000007</v>
      </c>
      <c r="AJ30" s="20">
        <f t="shared" si="5"/>
        <v>25.45</v>
      </c>
      <c r="AK30" s="20">
        <f t="shared" si="6"/>
        <v>16</v>
      </c>
      <c r="AL30" s="20">
        <f t="shared" si="7"/>
        <v>12.3</v>
      </c>
      <c r="AM30" s="20">
        <f t="shared" si="8"/>
        <v>18.5</v>
      </c>
      <c r="AN30" s="20">
        <f t="shared" si="9"/>
        <v>28.6</v>
      </c>
      <c r="AO30" s="20">
        <f t="shared" si="10"/>
        <v>13.4</v>
      </c>
      <c r="AP30" s="20">
        <f t="shared" si="11"/>
        <v>16.75</v>
      </c>
      <c r="AQ30" s="20">
        <f t="shared" si="12"/>
        <v>34.85</v>
      </c>
      <c r="AR30" s="20">
        <f t="shared" si="13"/>
        <v>51.85</v>
      </c>
      <c r="AS30" s="35">
        <f t="shared" si="29"/>
        <v>305.7</v>
      </c>
      <c r="AU30" s="47">
        <v>261118</v>
      </c>
      <c r="AV30" s="37">
        <f t="shared" si="34"/>
        <v>1801</v>
      </c>
      <c r="AW30" s="35">
        <f t="shared" si="30"/>
        <v>3.6019999999999999</v>
      </c>
    </row>
    <row r="31" spans="1:49" x14ac:dyDescent="0.25">
      <c r="A31" s="23">
        <v>44129</v>
      </c>
      <c r="B31" s="40">
        <v>61</v>
      </c>
      <c r="C31" s="24">
        <v>6398310</v>
      </c>
      <c r="D31" s="24">
        <v>14657160</v>
      </c>
      <c r="E31" s="24">
        <v>2159100</v>
      </c>
      <c r="F31" s="24">
        <v>3086820</v>
      </c>
      <c r="G31" s="24">
        <v>9363590</v>
      </c>
      <c r="H31" s="24">
        <v>4786130</v>
      </c>
      <c r="I31" s="24">
        <v>4548700</v>
      </c>
      <c r="J31" s="24">
        <v>5130450</v>
      </c>
      <c r="K31" s="24">
        <v>8043200</v>
      </c>
      <c r="L31" s="24">
        <v>3268380</v>
      </c>
      <c r="M31" s="24">
        <v>7155760</v>
      </c>
      <c r="N31" s="24">
        <v>10491940</v>
      </c>
      <c r="O31" s="24">
        <v>14203160</v>
      </c>
      <c r="Q31" s="37">
        <f>IF((C31-C30&lt;0), "0",C31-C30)</f>
        <v>1000</v>
      </c>
      <c r="R31" s="37">
        <f t="shared" si="17"/>
        <v>11520</v>
      </c>
      <c r="S31" s="37">
        <f t="shared" si="15"/>
        <v>2730</v>
      </c>
      <c r="T31" s="37">
        <f t="shared" si="18"/>
        <v>1570</v>
      </c>
      <c r="U31" s="37">
        <f t="shared" si="19"/>
        <v>4630</v>
      </c>
      <c r="V31" s="37">
        <f t="shared" si="20"/>
        <v>2980</v>
      </c>
      <c r="W31" s="37">
        <f t="shared" si="21"/>
        <v>2380</v>
      </c>
      <c r="X31" s="37">
        <f t="shared" si="22"/>
        <v>3340</v>
      </c>
      <c r="Y31" s="37">
        <f t="shared" si="23"/>
        <v>5170</v>
      </c>
      <c r="Z31" s="37">
        <f t="shared" si="24"/>
        <v>2460</v>
      </c>
      <c r="AA31" s="37">
        <f t="shared" si="25"/>
        <v>2990</v>
      </c>
      <c r="AB31" s="37">
        <f t="shared" si="26"/>
        <v>6670</v>
      </c>
      <c r="AC31" s="37">
        <f t="shared" si="27"/>
        <v>9320</v>
      </c>
      <c r="AD31" s="35">
        <f t="shared" si="28"/>
        <v>56760</v>
      </c>
      <c r="AF31" s="20">
        <f t="shared" si="1"/>
        <v>5</v>
      </c>
      <c r="AG31" s="20">
        <f t="shared" si="2"/>
        <v>57.6</v>
      </c>
      <c r="AH31" s="20">
        <f t="shared" si="3"/>
        <v>13.65</v>
      </c>
      <c r="AI31" s="20">
        <f t="shared" si="4"/>
        <v>7.8500000000000005</v>
      </c>
      <c r="AJ31" s="20">
        <f t="shared" si="5"/>
        <v>23.150000000000002</v>
      </c>
      <c r="AK31" s="20">
        <f t="shared" si="6"/>
        <v>14.9</v>
      </c>
      <c r="AL31" s="20">
        <f t="shared" si="7"/>
        <v>11.9</v>
      </c>
      <c r="AM31" s="20">
        <f t="shared" si="8"/>
        <v>16.7</v>
      </c>
      <c r="AN31" s="20">
        <f t="shared" si="9"/>
        <v>25.85</v>
      </c>
      <c r="AO31" s="20">
        <f t="shared" si="10"/>
        <v>12.3</v>
      </c>
      <c r="AP31" s="20">
        <f t="shared" si="11"/>
        <v>14.950000000000001</v>
      </c>
      <c r="AQ31" s="20">
        <f t="shared" si="12"/>
        <v>33.35</v>
      </c>
      <c r="AR31" s="20">
        <f t="shared" si="13"/>
        <v>46.6</v>
      </c>
      <c r="AS31" s="35">
        <f t="shared" si="29"/>
        <v>283.8</v>
      </c>
      <c r="AU31" s="47">
        <v>263440</v>
      </c>
      <c r="AV31" s="37">
        <f t="shared" si="34"/>
        <v>2322</v>
      </c>
      <c r="AW31" s="35">
        <f t="shared" si="30"/>
        <v>4.6440000000000001</v>
      </c>
    </row>
    <row r="32" spans="1:49" x14ac:dyDescent="0.25">
      <c r="A32" s="23">
        <v>44130</v>
      </c>
      <c r="B32" s="40">
        <v>60</v>
      </c>
      <c r="C32" s="24">
        <v>6399350</v>
      </c>
      <c r="D32" s="24">
        <v>14669160</v>
      </c>
      <c r="E32" s="24">
        <v>2161940</v>
      </c>
      <c r="F32" s="24">
        <v>3088460</v>
      </c>
      <c r="G32" s="24">
        <v>9368350</v>
      </c>
      <c r="H32" s="24">
        <v>4789270</v>
      </c>
      <c r="I32" s="24">
        <v>4551200</v>
      </c>
      <c r="J32" s="24">
        <v>5134180</v>
      </c>
      <c r="K32" s="24">
        <v>8048680</v>
      </c>
      <c r="L32" s="24">
        <v>3270880</v>
      </c>
      <c r="M32" s="24">
        <v>7158880</v>
      </c>
      <c r="N32" s="24">
        <v>10498940</v>
      </c>
      <c r="O32" s="24">
        <v>14213540</v>
      </c>
      <c r="Q32" s="37">
        <f>IF((C32-C31&lt;0), "0",C32-C31)</f>
        <v>1040</v>
      </c>
      <c r="R32" s="37">
        <f t="shared" si="17"/>
        <v>12000</v>
      </c>
      <c r="S32" s="37">
        <f t="shared" si="15"/>
        <v>2840</v>
      </c>
      <c r="T32" s="37">
        <f t="shared" si="18"/>
        <v>1640</v>
      </c>
      <c r="U32" s="37">
        <f t="shared" si="19"/>
        <v>4760</v>
      </c>
      <c r="V32" s="37">
        <f t="shared" si="20"/>
        <v>3140</v>
      </c>
      <c r="W32" s="37">
        <f t="shared" si="21"/>
        <v>2500</v>
      </c>
      <c r="X32" s="37">
        <f t="shared" si="22"/>
        <v>3730</v>
      </c>
      <c r="Y32" s="37">
        <f t="shared" si="23"/>
        <v>5480</v>
      </c>
      <c r="Z32" s="37">
        <f t="shared" si="24"/>
        <v>2500</v>
      </c>
      <c r="AA32" s="37">
        <f t="shared" si="25"/>
        <v>3120</v>
      </c>
      <c r="AB32" s="37">
        <f t="shared" si="26"/>
        <v>7000</v>
      </c>
      <c r="AC32" s="37">
        <f t="shared" si="27"/>
        <v>10380</v>
      </c>
      <c r="AD32" s="35">
        <f t="shared" si="28"/>
        <v>60130</v>
      </c>
      <c r="AF32" s="20">
        <f t="shared" si="1"/>
        <v>5.2</v>
      </c>
      <c r="AG32" s="20">
        <f t="shared" si="2"/>
        <v>60</v>
      </c>
      <c r="AH32" s="20">
        <f t="shared" si="3"/>
        <v>14.200000000000001</v>
      </c>
      <c r="AI32" s="20">
        <f t="shared" si="4"/>
        <v>8.1999999999999993</v>
      </c>
      <c r="AJ32" s="20">
        <f t="shared" si="5"/>
        <v>23.8</v>
      </c>
      <c r="AK32" s="20">
        <f t="shared" si="6"/>
        <v>15.700000000000001</v>
      </c>
      <c r="AL32" s="20">
        <f t="shared" si="7"/>
        <v>12.5</v>
      </c>
      <c r="AM32" s="20">
        <f t="shared" si="8"/>
        <v>18.650000000000002</v>
      </c>
      <c r="AN32" s="20">
        <f t="shared" si="9"/>
        <v>27.400000000000002</v>
      </c>
      <c r="AO32" s="20">
        <f t="shared" si="10"/>
        <v>12.5</v>
      </c>
      <c r="AP32" s="20">
        <f t="shared" si="11"/>
        <v>15.6</v>
      </c>
      <c r="AQ32" s="20">
        <f t="shared" si="12"/>
        <v>35</v>
      </c>
      <c r="AR32" s="20">
        <f t="shared" si="13"/>
        <v>51.9</v>
      </c>
      <c r="AS32" s="35">
        <f t="shared" si="29"/>
        <v>300.65000000000003</v>
      </c>
      <c r="AU32" s="47">
        <v>265145</v>
      </c>
      <c r="AV32" s="37">
        <f t="shared" si="34"/>
        <v>1705</v>
      </c>
      <c r="AW32" s="35">
        <f t="shared" si="30"/>
        <v>3.41</v>
      </c>
    </row>
    <row r="33" spans="1:49" x14ac:dyDescent="0.25">
      <c r="A33" s="23">
        <v>44131</v>
      </c>
      <c r="B33" s="40">
        <v>77</v>
      </c>
      <c r="C33" s="24">
        <v>6400350</v>
      </c>
      <c r="D33" s="24">
        <v>14680560</v>
      </c>
      <c r="E33" s="24">
        <v>2164620</v>
      </c>
      <c r="F33" s="24">
        <v>3090030</v>
      </c>
      <c r="G33" s="24">
        <v>9373330</v>
      </c>
      <c r="H33" s="24">
        <v>4792340</v>
      </c>
      <c r="I33" s="24">
        <v>4553630</v>
      </c>
      <c r="J33" s="24">
        <v>5137760</v>
      </c>
      <c r="K33" s="24">
        <v>8053950</v>
      </c>
      <c r="L33" s="24">
        <v>3273420</v>
      </c>
      <c r="M33" s="24">
        <v>7161850</v>
      </c>
      <c r="N33" s="24">
        <v>10505910</v>
      </c>
      <c r="O33" s="24">
        <v>14223000</v>
      </c>
      <c r="Q33" s="37">
        <f>IF((C33-C32&lt;0), "0",C33-C32)</f>
        <v>1000</v>
      </c>
      <c r="R33" s="37">
        <f t="shared" si="17"/>
        <v>11400</v>
      </c>
      <c r="S33" s="37">
        <f t="shared" si="15"/>
        <v>2680</v>
      </c>
      <c r="T33" s="37">
        <f t="shared" si="18"/>
        <v>1570</v>
      </c>
      <c r="U33" s="37">
        <f t="shared" si="19"/>
        <v>4980</v>
      </c>
      <c r="V33" s="37">
        <f t="shared" si="20"/>
        <v>3070</v>
      </c>
      <c r="W33" s="37">
        <f t="shared" si="21"/>
        <v>2430</v>
      </c>
      <c r="X33" s="37">
        <f t="shared" si="22"/>
        <v>3580</v>
      </c>
      <c r="Y33" s="37">
        <f t="shared" si="23"/>
        <v>5270</v>
      </c>
      <c r="Z33" s="37">
        <f t="shared" si="24"/>
        <v>2540</v>
      </c>
      <c r="AA33" s="37">
        <f t="shared" si="25"/>
        <v>2970</v>
      </c>
      <c r="AB33" s="37">
        <f t="shared" si="26"/>
        <v>6970</v>
      </c>
      <c r="AC33" s="37">
        <f t="shared" si="27"/>
        <v>9460</v>
      </c>
      <c r="AD33" s="35">
        <f t="shared" si="28"/>
        <v>57920</v>
      </c>
      <c r="AF33" s="20">
        <f t="shared" si="1"/>
        <v>5</v>
      </c>
      <c r="AG33" s="20">
        <f t="shared" si="2"/>
        <v>57</v>
      </c>
      <c r="AH33" s="20">
        <f t="shared" si="3"/>
        <v>13.4</v>
      </c>
      <c r="AI33" s="20">
        <f t="shared" si="4"/>
        <v>7.8500000000000005</v>
      </c>
      <c r="AJ33" s="20">
        <f t="shared" si="5"/>
        <v>24.900000000000002</v>
      </c>
      <c r="AK33" s="20">
        <f t="shared" si="6"/>
        <v>15.35</v>
      </c>
      <c r="AL33" s="20">
        <f t="shared" si="7"/>
        <v>12.15</v>
      </c>
      <c r="AM33" s="20">
        <f t="shared" si="8"/>
        <v>17.900000000000002</v>
      </c>
      <c r="AN33" s="20">
        <f t="shared" si="9"/>
        <v>26.35</v>
      </c>
      <c r="AO33" s="20">
        <f t="shared" si="10"/>
        <v>12.700000000000001</v>
      </c>
      <c r="AP33" s="20">
        <f t="shared" si="11"/>
        <v>14.85</v>
      </c>
      <c r="AQ33" s="20">
        <f t="shared" si="12"/>
        <v>34.85</v>
      </c>
      <c r="AR33" s="20">
        <f t="shared" si="13"/>
        <v>47.300000000000004</v>
      </c>
      <c r="AS33" s="35">
        <f t="shared" si="29"/>
        <v>289.59999999999997</v>
      </c>
      <c r="AU33" s="47">
        <v>266840</v>
      </c>
      <c r="AV33" s="37">
        <f t="shared" si="34"/>
        <v>1695</v>
      </c>
      <c r="AW33" s="35">
        <f t="shared" si="30"/>
        <v>3.39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>
        <v>0</v>
      </c>
      <c r="AC34" s="37" t="str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27400</v>
      </c>
      <c r="R38" s="30">
        <f t="shared" si="38"/>
        <v>347100</v>
      </c>
      <c r="S38" s="30">
        <f t="shared" si="38"/>
        <v>84820</v>
      </c>
      <c r="T38" s="30">
        <f t="shared" si="38"/>
        <v>42530</v>
      </c>
      <c r="U38" s="30">
        <f t="shared" si="38"/>
        <v>127290</v>
      </c>
      <c r="V38" s="30">
        <f t="shared" si="38"/>
        <v>87230</v>
      </c>
      <c r="W38" s="30">
        <f t="shared" si="38"/>
        <v>64820</v>
      </c>
      <c r="X38" s="30">
        <f t="shared" si="38"/>
        <v>99240</v>
      </c>
      <c r="Y38" s="30">
        <f t="shared" si="38"/>
        <v>142630</v>
      </c>
      <c r="Z38" s="30">
        <f t="shared" si="38"/>
        <v>71390</v>
      </c>
      <c r="AA38" s="30">
        <f t="shared" si="38"/>
        <v>87930</v>
      </c>
      <c r="AB38" s="30">
        <f t="shared" si="38"/>
        <v>185180</v>
      </c>
      <c r="AC38" s="30">
        <f t="shared" si="38"/>
        <v>278810</v>
      </c>
      <c r="AD38" s="35">
        <f t="shared" si="38"/>
        <v>1646370</v>
      </c>
      <c r="AF38" s="35">
        <f t="shared" ref="AF38:AS38" si="39">SUM(AF7:AF34)</f>
        <v>137</v>
      </c>
      <c r="AG38" s="35">
        <f t="shared" si="39"/>
        <v>1735.5</v>
      </c>
      <c r="AH38" s="35">
        <f t="shared" si="39"/>
        <v>424.09999999999997</v>
      </c>
      <c r="AI38" s="35">
        <f t="shared" si="39"/>
        <v>212.64999999999998</v>
      </c>
      <c r="AJ38" s="35">
        <f t="shared" si="39"/>
        <v>636.44999999999993</v>
      </c>
      <c r="AK38" s="35">
        <f t="shared" si="39"/>
        <v>436.15000000000003</v>
      </c>
      <c r="AL38" s="35">
        <f t="shared" si="39"/>
        <v>324.10000000000002</v>
      </c>
      <c r="AM38" s="35">
        <f t="shared" si="39"/>
        <v>496.19999999999993</v>
      </c>
      <c r="AN38" s="35">
        <f t="shared" si="39"/>
        <v>713.15000000000009</v>
      </c>
      <c r="AO38" s="35">
        <f t="shared" si="39"/>
        <v>356.95</v>
      </c>
      <c r="AP38" s="35">
        <f t="shared" si="39"/>
        <v>439.65000000000003</v>
      </c>
      <c r="AQ38" s="35">
        <f t="shared" si="39"/>
        <v>925.9</v>
      </c>
      <c r="AR38" s="35">
        <f t="shared" si="39"/>
        <v>1394.0499999999997</v>
      </c>
      <c r="AS38" s="35">
        <f t="shared" si="39"/>
        <v>8231.8499999999985</v>
      </c>
      <c r="AU38" s="48"/>
      <c r="AV38" s="35">
        <f>SUM(AV7:AV34)</f>
        <v>55645</v>
      </c>
      <c r="AW38" s="35">
        <f>SUM(AW7:AW34)</f>
        <v>102.20599999999999</v>
      </c>
    </row>
    <row r="39" spans="1:49" x14ac:dyDescent="0.25">
      <c r="D39">
        <v>5.0000000000000001E-3</v>
      </c>
      <c r="AV39" s="36">
        <f>AV38*0.00378541*1000</f>
        <v>210639.13944999999</v>
      </c>
    </row>
    <row r="40" spans="1:49" x14ac:dyDescent="0.25">
      <c r="D40">
        <v>2E-3</v>
      </c>
      <c r="AV40">
        <f>AV39/31</f>
        <v>6794.81095</v>
      </c>
    </row>
    <row r="41" spans="1:49" x14ac:dyDescent="0.25">
      <c r="AV41">
        <f>AV38*0.00378541</f>
        <v>210.63913944999999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2020-10-28T06:33:56Z</dcterms:modified>
</cp:coreProperties>
</file>