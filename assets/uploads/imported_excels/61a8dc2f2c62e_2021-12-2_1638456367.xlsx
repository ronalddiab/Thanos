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S38" i="7" s="1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" i="9" l="1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Q38" i="7" s="1"/>
  <c r="AI7" i="7"/>
  <c r="AI38" i="7" s="1"/>
  <c r="L2" i="9"/>
  <c r="Q2" i="9"/>
  <c r="G4" i="5"/>
  <c r="AW25" i="7"/>
  <c r="G22" i="5"/>
  <c r="AD11" i="7"/>
  <c r="AK7" i="7"/>
  <c r="AK38" i="7" s="1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J38" i="7" s="1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AH38" i="7" s="1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R38" i="7" l="1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<sst xmlns="http://schemas.openxmlformats.org/spreadsheetml/2006/main" count="128" uniqueCount="49">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</sst>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S14" sqref="AS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Q8" s="37" t="str">
        <f>IF((C8-C7&lt;0), "0",C8-C7)</f>
        <v>0</v>
      </c>
      <c r="R8" s="37" t="str">
        <f t="shared" ref="R8:AC8" si="15">IF((D8-D7&lt;0), "0",D8-D7)</f>
        <v>0</v>
      </c>
      <c r="S8" s="37" t="str">
        <f t="shared" ref="S8:S35" si="16">IF((E8-E7&lt;0), "0",E8-E7)</f>
        <v>0</v>
      </c>
      <c r="T8" s="37" t="str">
        <f t="shared" si="15"/>
        <v>0</v>
      </c>
      <c r="U8" s="37" t="str">
        <f t="shared" si="15"/>
        <v>0</v>
      </c>
      <c r="V8" s="37" t="str">
        <f t="shared" si="15"/>
        <v>0</v>
      </c>
      <c r="W8" s="37" t="str">
        <f t="shared" si="15"/>
        <v>0</v>
      </c>
      <c r="X8" s="37" t="str">
        <f t="shared" si="15"/>
        <v>0</v>
      </c>
      <c r="Y8" s="37" t="str">
        <f t="shared" si="15"/>
        <v>0</v>
      </c>
      <c r="Z8" s="37" t="str">
        <f t="shared" si="15"/>
        <v>0</v>
      </c>
      <c r="AA8" s="37" t="str">
        <f t="shared" si="15"/>
        <v>0</v>
      </c>
      <c r="AB8" s="37" t="str">
        <f t="shared" si="15"/>
        <v>0</v>
      </c>
      <c r="AC8" s="37" t="str">
        <f t="shared" si="15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47"/>
      <c r="AV8" s="37" t="str">
        <f>IF((AU8-AU7&lt;0),"0",AU8-AU7)</f>
        <v>0</v>
      </c>
      <c r="AW8" s="35">
        <f t="shared" si="14"/>
        <v>0</v>
      </c>
    </row>
    <row r="9" spans="1:49" x14ac:dyDescent="0.25">
      <c r="A9" s="23">
        <v>44533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>
        <f t="shared" ref="Q9:Q30" si="17">IF((C9-C8&lt;0), "0",C9-C8)</f>
        <v>0</v>
      </c>
      <c r="R9" s="37">
        <f t="shared" ref="R9:R35" si="18">IF((D9-D8&lt;0), "0",D9-D8)</f>
        <v>0</v>
      </c>
      <c r="S9" s="37">
        <f t="shared" si="16"/>
        <v>0</v>
      </c>
      <c r="T9" s="37">
        <f t="shared" ref="T9:T35" si="19">IF((F9-F8&lt;0), "0",F9-F8)</f>
        <v>0</v>
      </c>
      <c r="U9" s="37">
        <f t="shared" ref="U9:U35" si="20">IF((G9-G8&lt;0), "0",G9-G8)</f>
        <v>0</v>
      </c>
      <c r="V9" s="37">
        <f t="shared" ref="V9:V35" si="21">IF((H9-H8&lt;0), "0",H9-H8)</f>
        <v>0</v>
      </c>
      <c r="W9" s="37">
        <f t="shared" ref="W9:W35" si="22">IF((I9-I8&lt;0), "0",I9-I8)</f>
        <v>0</v>
      </c>
      <c r="X9" s="37">
        <f t="shared" ref="X9:X35" si="23">IF((J9-J8&lt;0), "0",J9-J8)</f>
        <v>0</v>
      </c>
      <c r="Y9" s="37">
        <f t="shared" ref="Y9:Y35" si="24">IF((K9-K8&lt;0), "0",K9-K8)</f>
        <v>0</v>
      </c>
      <c r="Z9" s="37">
        <f t="shared" ref="Z9:Z35" si="25">IF((L9-L8&lt;0), "0",L9-L8)</f>
        <v>0</v>
      </c>
      <c r="AA9" s="37">
        <f t="shared" ref="AA9:AA35" si="26">IF((M9-M8&lt;0), "0",M9-M8)</f>
        <v>0</v>
      </c>
      <c r="AB9" s="37">
        <f t="shared" ref="AB9:AB37" si="27">IF((N9-N8&lt;0), "0",N9-N8)</f>
        <v>0</v>
      </c>
      <c r="AC9" s="37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47"/>
      <c r="AV9" s="37">
        <f>IF((AU9-AU8&lt;0),"0",AU9-AU8)</f>
        <v>0</v>
      </c>
      <c r="AW9" s="35">
        <f t="shared" si="14"/>
        <v>0</v>
      </c>
    </row>
    <row r="10" spans="1:49" x14ac:dyDescent="0.25">
      <c r="A10" s="23">
        <v>44534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44535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5">
        <f t="shared" si="14"/>
        <v>0</v>
      </c>
    </row>
    <row r="12" spans="1:49" x14ac:dyDescent="0.25">
      <c r="A12" s="23">
        <v>44536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44537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44538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44539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44540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44541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44542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44543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44544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310</v>
      </c>
      <c r="R38" s="38">
        <f t="shared" ref="R38:AD38" si="62">SUM(R7:R37)</f>
        <v>1060</v>
      </c>
      <c r="S38" s="38">
        <f t="shared" si="62"/>
        <v>1960</v>
      </c>
      <c r="T38" s="38">
        <f t="shared" si="62"/>
        <v>1000</v>
      </c>
      <c r="U38" s="38">
        <f t="shared" si="62"/>
        <v>3050</v>
      </c>
      <c r="V38" s="38">
        <f t="shared" si="62"/>
        <v>2570</v>
      </c>
      <c r="W38" s="38">
        <f t="shared" si="62"/>
        <v>1550</v>
      </c>
      <c r="X38" s="38">
        <f t="shared" si="62"/>
        <v>3180</v>
      </c>
      <c r="Y38" s="38">
        <f t="shared" si="62"/>
        <v>3030</v>
      </c>
      <c r="Z38" s="38">
        <f t="shared" si="62"/>
        <v>1550</v>
      </c>
      <c r="AA38" s="38">
        <f t="shared" si="62"/>
        <v>2180</v>
      </c>
      <c r="AB38" s="38">
        <f t="shared" si="62"/>
        <v>4150</v>
      </c>
      <c r="AC38" s="38">
        <f t="shared" si="62"/>
        <v>6930</v>
      </c>
      <c r="AD38" s="38">
        <f t="shared" si="62"/>
        <v>32520</v>
      </c>
      <c r="AF38" s="35">
        <f>SUM(AF7:AF37)</f>
        <v>1.55</v>
      </c>
      <c r="AG38" s="35">
        <f t="shared" ref="AG38:AS38" si="63">SUM(AG7:AG37)</f>
        <v>5.3</v>
      </c>
      <c r="AH38" s="35">
        <f t="shared" si="63"/>
        <v>9.8000000000000007</v>
      </c>
      <c r="AI38" s="35">
        <f t="shared" si="63"/>
        <v>5</v>
      </c>
      <c r="AJ38" s="35">
        <f t="shared" si="63"/>
        <v>15.25</v>
      </c>
      <c r="AK38" s="35">
        <f t="shared" si="63"/>
        <v>12.85</v>
      </c>
      <c r="AL38" s="35">
        <f t="shared" si="63"/>
        <v>7.75</v>
      </c>
      <c r="AM38" s="35">
        <f t="shared" si="63"/>
        <v>15.9</v>
      </c>
      <c r="AN38" s="35">
        <f t="shared" si="63"/>
        <v>15.15</v>
      </c>
      <c r="AO38" s="35">
        <f t="shared" si="63"/>
        <v>7.75</v>
      </c>
      <c r="AP38" s="35">
        <f t="shared" si="63"/>
        <v>10.9</v>
      </c>
      <c r="AQ38" s="35">
        <f t="shared" si="63"/>
        <v>20.75</v>
      </c>
      <c r="AR38" s="35">
        <f t="shared" si="63"/>
        <v>34.65</v>
      </c>
      <c r="AS38" s="35">
        <f t="shared" si="63"/>
        <v>162.60000000000002</v>
      </c>
      <c r="AU38" s="48"/>
      <c r="AV38" s="35">
        <f>SUM(AV7:AV34)</f>
        <v>1380</v>
      </c>
      <c r="AW38" s="35">
        <f>SUM(AW7:AW34)</f>
        <v>2.7600000000000002</v>
      </c>
    </row>
    <row r="39" spans="1:49" x14ac:dyDescent="0.25">
      <c r="D39">
        <v>5.0000000000000001E-3</v>
      </c>
      <c r="AV39" s="36">
        <f>AV38*0.00378541*1000</f>
        <v>5223.8657999999996</v>
      </c>
    </row>
    <row r="40" spans="1:49" x14ac:dyDescent="0.25">
      <c r="D40">
        <v>2E-3</v>
      </c>
      <c r="AV40">
        <f>AV39/31</f>
        <v>168.51179999999999</v>
      </c>
    </row>
    <row r="41" spans="1:49" x14ac:dyDescent="0.25">
      <c r="AV41">
        <f>AV38*0.00378541</f>
        <v>5.2238657999999996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2021-12-02T14:45:12Z</dcterms:modified>
</cp:coreProperties>
</file>