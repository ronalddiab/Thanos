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987" documentId="13_ncr:1_{A150F12E-A5F3-4ABD-A7D4-FF6BD82385D6}" xr6:coauthVersionLast="47" xr6:coauthVersionMax="47" xr10:uidLastSave="{CAE222FF-1D4C-4F1C-AAB2-E45DCC5E2166}"/>
  <bookViews>
    <workbookView xWindow="14295" yWindow="0" windowWidth="14610" windowHeight="15585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3" i="1" l="1"/>
  <c r="AD25" i="1"/>
  <c r="AD26" i="1"/>
  <c r="AD27" i="1"/>
  <c r="AD28" i="1"/>
  <c r="AD29" i="1"/>
  <c r="AD30" i="1"/>
  <c r="AD31" i="1"/>
  <c r="AD32" i="1"/>
  <c r="AB25" i="1"/>
  <c r="AB26" i="1"/>
  <c r="AB27" i="1"/>
  <c r="AB28" i="1"/>
  <c r="AB29" i="1"/>
  <c r="AB30" i="1"/>
  <c r="AB31" i="1"/>
  <c r="AB32" i="1"/>
  <c r="I32" i="2" s="1"/>
  <c r="U25" i="1"/>
  <c r="U26" i="1"/>
  <c r="U27" i="1"/>
  <c r="U28" i="1"/>
  <c r="U29" i="1"/>
  <c r="U30" i="1"/>
  <c r="K30" i="2" s="1"/>
  <c r="U31" i="1"/>
  <c r="K31" i="2" s="1"/>
  <c r="U32" i="1"/>
  <c r="K32" i="2" s="1"/>
  <c r="Q25" i="1"/>
  <c r="Q26" i="1"/>
  <c r="Q27" i="1"/>
  <c r="Q28" i="1"/>
  <c r="Q29" i="1"/>
  <c r="Q30" i="1"/>
  <c r="Q31" i="1"/>
  <c r="Q32" i="1"/>
  <c r="O25" i="1"/>
  <c r="O26" i="1"/>
  <c r="O27" i="1"/>
  <c r="O28" i="1"/>
  <c r="O29" i="1"/>
  <c r="O30" i="1"/>
  <c r="O31" i="1"/>
  <c r="O32" i="1"/>
  <c r="M25" i="1"/>
  <c r="M26" i="1"/>
  <c r="M27" i="1"/>
  <c r="M28" i="1"/>
  <c r="M29" i="1"/>
  <c r="M30" i="1"/>
  <c r="M31" i="1"/>
  <c r="M32" i="1"/>
  <c r="K25" i="1"/>
  <c r="K26" i="1"/>
  <c r="K27" i="1"/>
  <c r="K28" i="1"/>
  <c r="K29" i="1"/>
  <c r="K30" i="1"/>
  <c r="K31" i="1"/>
  <c r="K32" i="1"/>
  <c r="G25" i="1"/>
  <c r="G26" i="1"/>
  <c r="G27" i="1"/>
  <c r="G28" i="1"/>
  <c r="G29" i="1"/>
  <c r="G30" i="1"/>
  <c r="G31" i="1"/>
  <c r="G32" i="1"/>
  <c r="E25" i="1"/>
  <c r="E26" i="1"/>
  <c r="E27" i="1"/>
  <c r="E28" i="1"/>
  <c r="E29" i="1"/>
  <c r="E30" i="1"/>
  <c r="E31" i="1"/>
  <c r="E32" i="1"/>
  <c r="C25" i="1"/>
  <c r="C26" i="1"/>
  <c r="C27" i="1"/>
  <c r="C28" i="1"/>
  <c r="C29" i="1"/>
  <c r="C30" i="1"/>
  <c r="C31" i="1"/>
  <c r="C32" i="1"/>
  <c r="AD18" i="1"/>
  <c r="AD19" i="1"/>
  <c r="AD20" i="1"/>
  <c r="AD21" i="1"/>
  <c r="AD22" i="1"/>
  <c r="AD23" i="1"/>
  <c r="AD24" i="1"/>
  <c r="AB18" i="1"/>
  <c r="AB19" i="1"/>
  <c r="AB20" i="1"/>
  <c r="AB21" i="1"/>
  <c r="AB22" i="1"/>
  <c r="AB23" i="1"/>
  <c r="AB24" i="1"/>
  <c r="U18" i="1"/>
  <c r="U19" i="1"/>
  <c r="U20" i="1"/>
  <c r="U21" i="1"/>
  <c r="U22" i="1"/>
  <c r="U23" i="1"/>
  <c r="U24" i="1"/>
  <c r="Q18" i="1"/>
  <c r="Q19" i="1"/>
  <c r="Q20" i="1"/>
  <c r="Q21" i="1"/>
  <c r="Q22" i="1"/>
  <c r="Q23" i="1"/>
  <c r="Q24" i="1"/>
  <c r="O18" i="1"/>
  <c r="O19" i="1"/>
  <c r="O20" i="1"/>
  <c r="O21" i="1"/>
  <c r="O22" i="1"/>
  <c r="O23" i="1"/>
  <c r="O24" i="1"/>
  <c r="M18" i="1"/>
  <c r="M19" i="1"/>
  <c r="M20" i="1"/>
  <c r="M21" i="1"/>
  <c r="M22" i="1"/>
  <c r="M23" i="1"/>
  <c r="M24" i="1"/>
  <c r="K18" i="1"/>
  <c r="K19" i="1"/>
  <c r="K20" i="1"/>
  <c r="K21" i="1"/>
  <c r="K22" i="1"/>
  <c r="K23" i="1"/>
  <c r="K24" i="1"/>
  <c r="G18" i="1"/>
  <c r="G19" i="1"/>
  <c r="G20" i="1"/>
  <c r="G21" i="1"/>
  <c r="G22" i="1"/>
  <c r="G23" i="1"/>
  <c r="G24" i="1"/>
  <c r="E18" i="1"/>
  <c r="E19" i="1"/>
  <c r="E20" i="1"/>
  <c r="E21" i="1"/>
  <c r="E22" i="1"/>
  <c r="E23" i="1"/>
  <c r="E24" i="1"/>
  <c r="C18" i="1"/>
  <c r="C19" i="1"/>
  <c r="C20" i="1"/>
  <c r="C21" i="1"/>
  <c r="C22" i="1"/>
  <c r="C23" i="1"/>
  <c r="C24" i="1"/>
  <c r="AD11" i="1"/>
  <c r="AD12" i="1"/>
  <c r="AD13" i="1"/>
  <c r="AD14" i="1"/>
  <c r="AD15" i="1"/>
  <c r="AD16" i="1"/>
  <c r="AD17" i="1"/>
  <c r="AB11" i="1"/>
  <c r="AB12" i="1"/>
  <c r="AB13" i="1"/>
  <c r="AB14" i="1"/>
  <c r="AB15" i="1"/>
  <c r="AB16" i="1"/>
  <c r="AB17" i="1"/>
  <c r="U11" i="1"/>
  <c r="U12" i="1"/>
  <c r="U13" i="1"/>
  <c r="U14" i="1"/>
  <c r="U15" i="1"/>
  <c r="U16" i="1"/>
  <c r="U17" i="1"/>
  <c r="Q11" i="1"/>
  <c r="Q12" i="1"/>
  <c r="Q13" i="1"/>
  <c r="Q14" i="1"/>
  <c r="Q15" i="1"/>
  <c r="Q16" i="1"/>
  <c r="Q17" i="1"/>
  <c r="O11" i="1"/>
  <c r="O12" i="1"/>
  <c r="O13" i="1"/>
  <c r="O14" i="1"/>
  <c r="O15" i="1"/>
  <c r="O16" i="1"/>
  <c r="O17" i="1"/>
  <c r="M11" i="1"/>
  <c r="M12" i="1"/>
  <c r="M13" i="1"/>
  <c r="M14" i="1"/>
  <c r="M15" i="1"/>
  <c r="M16" i="1"/>
  <c r="M17" i="1"/>
  <c r="K11" i="1"/>
  <c r="K12" i="1"/>
  <c r="K13" i="1"/>
  <c r="K14" i="1"/>
  <c r="K15" i="1"/>
  <c r="K16" i="1"/>
  <c r="K17" i="1"/>
  <c r="G11" i="1"/>
  <c r="G12" i="1"/>
  <c r="G13" i="1"/>
  <c r="G14" i="1"/>
  <c r="G15" i="1"/>
  <c r="G16" i="1"/>
  <c r="G17" i="1"/>
  <c r="E11" i="1"/>
  <c r="E12" i="1"/>
  <c r="E13" i="1"/>
  <c r="E14" i="1"/>
  <c r="E15" i="1"/>
  <c r="E16" i="1"/>
  <c r="E17" i="1"/>
  <c r="C11" i="1"/>
  <c r="C12" i="1"/>
  <c r="C13" i="1"/>
  <c r="C14" i="1"/>
  <c r="C15" i="1"/>
  <c r="C16" i="1"/>
  <c r="C17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D6" i="1"/>
  <c r="AD7" i="1"/>
  <c r="AD8" i="1"/>
  <c r="AD9" i="1"/>
  <c r="AD10" i="1"/>
  <c r="AB5" i="1"/>
  <c r="AB6" i="1"/>
  <c r="AB7" i="1"/>
  <c r="AB8" i="1"/>
  <c r="AB9" i="1"/>
  <c r="AB10" i="1"/>
  <c r="U5" i="1"/>
  <c r="U6" i="1"/>
  <c r="U7" i="1"/>
  <c r="U8" i="1"/>
  <c r="U9" i="1"/>
  <c r="U10" i="1"/>
  <c r="Q5" i="1"/>
  <c r="Q6" i="1"/>
  <c r="Q7" i="1"/>
  <c r="Q8" i="1"/>
  <c r="Q9" i="1"/>
  <c r="Q10" i="1"/>
  <c r="O5" i="1"/>
  <c r="O6" i="1"/>
  <c r="O7" i="1"/>
  <c r="O8" i="1"/>
  <c r="O9" i="1"/>
  <c r="O10" i="1"/>
  <c r="M5" i="1"/>
  <c r="M6" i="1"/>
  <c r="M7" i="1"/>
  <c r="M8" i="1"/>
  <c r="M9" i="1"/>
  <c r="M10" i="1"/>
  <c r="K5" i="1"/>
  <c r="K6" i="1"/>
  <c r="K7" i="1"/>
  <c r="K8" i="1"/>
  <c r="K9" i="1"/>
  <c r="K10" i="1"/>
  <c r="G5" i="1"/>
  <c r="G6" i="1"/>
  <c r="G7" i="1"/>
  <c r="G8" i="1"/>
  <c r="G9" i="1"/>
  <c r="G10" i="1"/>
  <c r="E5" i="1"/>
  <c r="E6" i="1"/>
  <c r="E7" i="1"/>
  <c r="E8" i="1"/>
  <c r="E9" i="1"/>
  <c r="E10" i="1"/>
  <c r="C5" i="1"/>
  <c r="C6" i="1"/>
  <c r="C7" i="1"/>
  <c r="C8" i="1"/>
  <c r="C9" i="1"/>
  <c r="C10" i="1"/>
  <c r="B32" i="2"/>
  <c r="M32" i="2"/>
  <c r="N32" i="2"/>
  <c r="B30" i="2"/>
  <c r="I30" i="2"/>
  <c r="M30" i="2"/>
  <c r="N30" i="2"/>
  <c r="B31" i="2"/>
  <c r="I31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4" i="1" l="1"/>
  <c r="X5" i="1"/>
  <c r="X6" i="1"/>
  <c r="X7" i="1"/>
  <c r="X8" i="1"/>
  <c r="X9" i="1"/>
  <c r="X10" i="1"/>
  <c r="X11" i="1"/>
  <c r="Z10" i="1" s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Z32" i="1" s="1"/>
  <c r="G32" i="2" s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1" i="1" l="1"/>
  <c r="G31" i="2" s="1"/>
  <c r="Z30" i="1"/>
  <c r="G30" i="2" s="1"/>
  <c r="Z29" i="1"/>
  <c r="Z28" i="1"/>
  <c r="Z27" i="1"/>
  <c r="Z25" i="1"/>
  <c r="Z26" i="1"/>
  <c r="Z24" i="1"/>
  <c r="Z23" i="1"/>
  <c r="Z22" i="1"/>
  <c r="Z21" i="1"/>
  <c r="Z20" i="1"/>
  <c r="G20" i="2" s="1"/>
  <c r="Z18" i="1"/>
  <c r="Z19" i="1"/>
  <c r="Z17" i="1"/>
  <c r="G17" i="2" s="1"/>
  <c r="Z16" i="1"/>
  <c r="Z15" i="1"/>
  <c r="G15" i="2" s="1"/>
  <c r="Z14" i="1"/>
  <c r="Z13" i="1"/>
  <c r="Z12" i="1"/>
  <c r="Z11" i="1"/>
  <c r="Z9" i="1"/>
  <c r="G9" i="2" s="1"/>
  <c r="Z8" i="1"/>
  <c r="Z7" i="1"/>
  <c r="Z5" i="1"/>
  <c r="Z6" i="1"/>
  <c r="G6" i="2" s="1"/>
  <c r="G23" i="2"/>
  <c r="G28" i="2"/>
  <c r="G14" i="2"/>
  <c r="G16" i="2"/>
  <c r="G12" i="2"/>
  <c r="Z4" i="1"/>
  <c r="G4" i="2" s="1"/>
  <c r="G18" i="2"/>
  <c r="G29" i="2"/>
  <c r="G22" i="2"/>
  <c r="G21" i="2"/>
  <c r="G27" i="2"/>
  <c r="G10" i="2"/>
  <c r="G7" i="2"/>
  <c r="G25" i="2"/>
  <c r="G13" i="2"/>
  <c r="G24" i="2"/>
  <c r="G19" i="2"/>
  <c r="G8" i="2"/>
  <c r="G5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1" i="2" s="1"/>
  <c r="F31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<sst xmlns="http://schemas.openxmlformats.org/spreadsheetml/2006/main" count="82" uniqueCount="41">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</sst>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26" sqref="C2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3</v>
      </c>
      <c r="D2" s="71">
        <v>2025</v>
      </c>
      <c r="E2" s="50">
        <f>IF(ALMYRA!H2&lt;0,"0",ALMYRA!H2)</f>
        <v>997.75</v>
      </c>
      <c r="F2" s="51">
        <f>(ALMYRA!C2*0.24)/E2</f>
        <v>0.15292407917815082</v>
      </c>
      <c r="G2" s="55">
        <f>ALMYRA!Z2</f>
        <v>0</v>
      </c>
      <c r="H2" s="56">
        <v>0.65800000000000003</v>
      </c>
      <c r="I2" s="59">
        <f>IF(ALMYRA!AB2&lt;0,"0",ALMYRA!AB2)</f>
        <v>14.5</v>
      </c>
      <c r="J2" s="60">
        <v>2.4</v>
      </c>
      <c r="K2" s="63">
        <f>ALMYRA!U2</f>
        <v>0</v>
      </c>
      <c r="L2" s="64">
        <v>0.88</v>
      </c>
      <c r="M2" s="67">
        <f>ALMYRA!AJ2</f>
        <v>0</v>
      </c>
      <c r="N2" s="67">
        <f>ALMYRA!AK2</f>
        <v>0</v>
      </c>
    </row>
    <row r="3" spans="1:14" ht="15" x14ac:dyDescent="0.25">
      <c r="A3" s="46" t="s">
        <v>13</v>
      </c>
      <c r="B3" s="5">
        <f>B2+1</f>
        <v>2</v>
      </c>
      <c r="C3" s="70">
        <v>3</v>
      </c>
      <c r="D3" s="71">
        <v>2025</v>
      </c>
      <c r="E3" s="50">
        <f>IF(ALMYRA!H3&lt;0,"0",ALMYRA!H3)</f>
        <v>997.75</v>
      </c>
      <c r="F3" s="51">
        <f>(ALMYRA!C3*0.24)/E3</f>
        <v>0.15292407917815082</v>
      </c>
      <c r="G3" s="55">
        <f>ALMYRA!Z3</f>
        <v>0</v>
      </c>
      <c r="H3" s="56">
        <v>0.65800000000000003</v>
      </c>
      <c r="I3" s="59">
        <f>IF(ALMYRA!AB3&lt;0,"0",ALMYRA!AB3)</f>
        <v>14.5</v>
      </c>
      <c r="J3" s="60">
        <v>2.4</v>
      </c>
      <c r="K3" s="63">
        <f>ALMYRA!U3</f>
        <v>0</v>
      </c>
      <c r="L3" s="64">
        <v>0.88</v>
      </c>
      <c r="M3" s="67">
        <f>ALMYRA!AJ3</f>
        <v>0</v>
      </c>
      <c r="N3" s="67">
        <f>ALMYRA!AK3</f>
        <v>0</v>
      </c>
    </row>
    <row r="4" spans="1:14" ht="15" x14ac:dyDescent="0.25">
      <c r="A4" s="46" t="s">
        <v>13</v>
      </c>
      <c r="B4" s="5">
        <f t="shared" ref="B4:B32" si="0">B3+1</f>
        <v>3</v>
      </c>
      <c r="C4" s="70">
        <v>3</v>
      </c>
      <c r="D4" s="71">
        <v>2025</v>
      </c>
      <c r="E4" s="50">
        <f>IF(ALMYRA!H4&lt;0,"0",ALMYRA!H4)</f>
        <v>997.75</v>
      </c>
      <c r="F4" s="51">
        <f>(ALMYRA!C4*0.24)/E4</f>
        <v>0.15292407917815082</v>
      </c>
      <c r="G4" s="55">
        <f>ALMYRA!Z4</f>
        <v>0</v>
      </c>
      <c r="H4" s="56">
        <v>0.65800000000000003</v>
      </c>
      <c r="I4" s="59">
        <f>IF(ALMYRA!AB4&lt;0,"0",ALMYRA!AB4)</f>
        <v>14.5</v>
      </c>
      <c r="J4" s="60">
        <v>2.4</v>
      </c>
      <c r="K4" s="63">
        <f>ALMYRA!U4</f>
        <v>0</v>
      </c>
      <c r="L4" s="64">
        <v>0.88</v>
      </c>
      <c r="M4" s="67">
        <f>ALMYRA!AJ4</f>
        <v>0</v>
      </c>
      <c r="N4" s="67">
        <f>ALMYRA!AK4</f>
        <v>0</v>
      </c>
    </row>
    <row r="5" spans="1:14" ht="15" x14ac:dyDescent="0.25">
      <c r="A5" s="46" t="s">
        <v>13</v>
      </c>
      <c r="B5" s="5">
        <f t="shared" si="0"/>
        <v>4</v>
      </c>
      <c r="C5" s="70">
        <v>3</v>
      </c>
      <c r="D5" s="71">
        <v>2025</v>
      </c>
      <c r="E5" s="50">
        <f>IF(ALMYRA!H5&lt;0,"0",ALMYRA!H5)</f>
        <v>1368</v>
      </c>
      <c r="F5" s="51">
        <f>(ALMYRA!C5*0.24)/E5</f>
        <v>0.11701754385964912</v>
      </c>
      <c r="G5" s="55">
        <f>ALMYRA!Z5</f>
        <v>0</v>
      </c>
      <c r="H5" s="56">
        <v>0.65800000000000003</v>
      </c>
      <c r="I5" s="59">
        <f>IF(ALMYRA!AB5&lt;0,"0",ALMYRA!AB5)</f>
        <v>28</v>
      </c>
      <c r="J5" s="60">
        <v>2.4</v>
      </c>
      <c r="K5" s="63">
        <f>ALMYRA!U5</f>
        <v>0</v>
      </c>
      <c r="L5" s="64">
        <v>0.88</v>
      </c>
      <c r="M5" s="67">
        <f>ALMYRA!AJ5</f>
        <v>0</v>
      </c>
      <c r="N5" s="67">
        <f>ALMYRA!AK5</f>
        <v>0</v>
      </c>
    </row>
    <row r="6" spans="1:14" ht="15" x14ac:dyDescent="0.25">
      <c r="A6" s="46" t="s">
        <v>13</v>
      </c>
      <c r="B6" s="5">
        <f t="shared" si="0"/>
        <v>5</v>
      </c>
      <c r="C6" s="70">
        <v>3</v>
      </c>
      <c r="D6" s="71">
        <v>2025</v>
      </c>
      <c r="E6" s="50">
        <f>IF(ALMYRA!H6&lt;0,"0",ALMYRA!H6)</f>
        <v>1458</v>
      </c>
      <c r="F6" s="51">
        <f>(ALMYRA!C6*0.24)/E6</f>
        <v>0.14320987654320985</v>
      </c>
      <c r="G6" s="55">
        <f>ALMYRA!Z6</f>
        <v>0</v>
      </c>
      <c r="H6" s="56">
        <v>0.65800000000000003</v>
      </c>
      <c r="I6" s="59">
        <f>IF(ALMYRA!AB6&lt;0,"0",ALMYRA!AB6)</f>
        <v>22</v>
      </c>
      <c r="J6" s="60">
        <v>2.4</v>
      </c>
      <c r="K6" s="63">
        <f>ALMYRA!U6</f>
        <v>0</v>
      </c>
      <c r="L6" s="64">
        <v>0.88</v>
      </c>
      <c r="M6" s="67">
        <f>ALMYRA!AJ6</f>
        <v>0</v>
      </c>
      <c r="N6" s="67">
        <f>ALMYRA!AK6</f>
        <v>0</v>
      </c>
    </row>
    <row r="7" spans="1:14" ht="15" x14ac:dyDescent="0.25">
      <c r="A7" s="46" t="s">
        <v>13</v>
      </c>
      <c r="B7" s="5">
        <f t="shared" si="0"/>
        <v>6</v>
      </c>
      <c r="C7" s="70">
        <v>3</v>
      </c>
      <c r="D7" s="71">
        <v>2025</v>
      </c>
      <c r="E7" s="50">
        <f>IF(ALMYRA!H7&lt;0,"0",ALMYRA!H7)</f>
        <v>1395</v>
      </c>
      <c r="F7" s="51">
        <f>(ALMYRA!C7*0.24)/E7</f>
        <v>0.11561290322580645</v>
      </c>
      <c r="G7" s="55">
        <f>ALMYRA!Z7</f>
        <v>25</v>
      </c>
      <c r="H7" s="56">
        <v>0.65800000000000003</v>
      </c>
      <c r="I7" s="59">
        <f>IF(ALMYRA!AB7&lt;0,"0",ALMYRA!AB7)</f>
        <v>14</v>
      </c>
      <c r="J7" s="60">
        <v>2.4</v>
      </c>
      <c r="K7" s="63">
        <f>ALMYRA!U7</f>
        <v>0</v>
      </c>
      <c r="L7" s="64">
        <v>0.88</v>
      </c>
      <c r="M7" s="67">
        <f>ALMYRA!AJ7</f>
        <v>0</v>
      </c>
      <c r="N7" s="67">
        <f>ALMYRA!AK7</f>
        <v>0</v>
      </c>
    </row>
    <row r="8" spans="1:14" ht="15" x14ac:dyDescent="0.25">
      <c r="A8" s="46" t="s">
        <v>13</v>
      </c>
      <c r="B8" s="5">
        <f t="shared" si="0"/>
        <v>7</v>
      </c>
      <c r="C8" s="70">
        <v>3</v>
      </c>
      <c r="D8" s="71">
        <v>2025</v>
      </c>
      <c r="E8" s="50">
        <f>IF(ALMYRA!H8&lt;0,"0",ALMYRA!H8)</f>
        <v>1260.9999999986903</v>
      </c>
      <c r="F8" s="51">
        <f>(ALMYRA!C8*0.24)/E8</f>
        <v>0.14851704996026682</v>
      </c>
      <c r="G8" s="55">
        <f>ALMYRA!Z8</f>
        <v>0</v>
      </c>
      <c r="H8" s="56">
        <v>0.65800000000000003</v>
      </c>
      <c r="I8" s="59">
        <f>IF(ALMYRA!AB8&lt;0,"0",ALMYRA!AB8)</f>
        <v>14.333333333328483</v>
      </c>
      <c r="J8" s="60">
        <v>2.4</v>
      </c>
      <c r="K8" s="63">
        <f>ALMYRA!U8</f>
        <v>0</v>
      </c>
      <c r="L8" s="64">
        <v>0.88</v>
      </c>
      <c r="M8" s="67">
        <f>ALMYRA!AJ8</f>
        <v>0</v>
      </c>
      <c r="N8" s="67">
        <f>ALMYRA!AK8</f>
        <v>0</v>
      </c>
    </row>
    <row r="9" spans="1:14" ht="15" x14ac:dyDescent="0.25">
      <c r="A9" s="46" t="s">
        <v>13</v>
      </c>
      <c r="B9" s="5">
        <f t="shared" si="0"/>
        <v>8</v>
      </c>
      <c r="C9" s="70">
        <v>3</v>
      </c>
      <c r="D9" s="71">
        <v>2025</v>
      </c>
      <c r="E9" s="50">
        <f>IF(ALMYRA!H9&lt;0,"0",ALMYRA!H9)</f>
        <v>1260.9999999986903</v>
      </c>
      <c r="F9" s="51">
        <f>(ALMYRA!C9*0.24)/E9</f>
        <v>0.14851704996026682</v>
      </c>
      <c r="G9" s="55">
        <f>ALMYRA!Z9</f>
        <v>0</v>
      </c>
      <c r="H9" s="56">
        <v>0.65800000000000003</v>
      </c>
      <c r="I9" s="59">
        <f>IF(ALMYRA!AB9&lt;0,"0",ALMYRA!AB9)</f>
        <v>14.333333333328483</v>
      </c>
      <c r="J9" s="60">
        <v>2.4</v>
      </c>
      <c r="K9" s="63">
        <f>ALMYRA!U9</f>
        <v>0</v>
      </c>
      <c r="L9" s="64">
        <v>0.88</v>
      </c>
      <c r="M9" s="67">
        <f>ALMYRA!AJ9</f>
        <v>0</v>
      </c>
      <c r="N9" s="67">
        <f>ALMYRA!AK9</f>
        <v>0</v>
      </c>
    </row>
    <row r="10" spans="1:14" ht="15" x14ac:dyDescent="0.25">
      <c r="A10" s="46" t="s">
        <v>13</v>
      </c>
      <c r="B10" s="5">
        <f t="shared" si="0"/>
        <v>9</v>
      </c>
      <c r="C10" s="70">
        <v>3</v>
      </c>
      <c r="D10" s="71">
        <v>2025</v>
      </c>
      <c r="E10" s="50">
        <f>IF(ALMYRA!H10&lt;0,"0",ALMYRA!H10)</f>
        <v>1261.0000000026193</v>
      </c>
      <c r="F10" s="51">
        <f>(ALMYRA!C10*0.24)/E10</f>
        <v>0.1485170499605131</v>
      </c>
      <c r="G10" s="55">
        <f>ALMYRA!Z10</f>
        <v>0</v>
      </c>
      <c r="H10" s="56">
        <v>0.65800000000000003</v>
      </c>
      <c r="I10" s="59">
        <f>IF(ALMYRA!AB10&lt;0,"0",ALMYRA!AB10)</f>
        <v>14.333333333343035</v>
      </c>
      <c r="J10" s="60">
        <v>2.4</v>
      </c>
      <c r="K10" s="63">
        <f>ALMYRA!U10</f>
        <v>0</v>
      </c>
      <c r="L10" s="64">
        <v>0.88</v>
      </c>
      <c r="M10" s="67">
        <f>ALMYRA!AJ10</f>
        <v>0</v>
      </c>
      <c r="N10" s="67">
        <f>ALMYRA!AK10</f>
        <v>0</v>
      </c>
    </row>
    <row r="11" spans="1:14" ht="15" x14ac:dyDescent="0.25">
      <c r="A11" s="46" t="s">
        <v>13</v>
      </c>
      <c r="B11" s="5">
        <f t="shared" si="0"/>
        <v>10</v>
      </c>
      <c r="C11" s="70">
        <v>3</v>
      </c>
      <c r="D11" s="71">
        <v>2025</v>
      </c>
      <c r="E11" s="50">
        <f>IF(ALMYRA!H11&lt;0,"0",ALMYRA!H11)</f>
        <v>1410</v>
      </c>
      <c r="F11" s="51">
        <f>(ALMYRA!C11*0.24)/E11</f>
        <v>0.18842553191489361</v>
      </c>
      <c r="G11" s="55">
        <f>ALMYRA!Z11</f>
        <v>0</v>
      </c>
      <c r="H11" s="56">
        <v>0.65800000000000003</v>
      </c>
      <c r="I11" s="59">
        <f>IF(ALMYRA!AB11&lt;0,"0",ALMYRA!AB11)</f>
        <v>36</v>
      </c>
      <c r="J11" s="60">
        <v>2.4</v>
      </c>
      <c r="K11" s="63">
        <f>ALMYRA!U11</f>
        <v>0</v>
      </c>
      <c r="L11" s="64">
        <v>0.88</v>
      </c>
      <c r="M11" s="67">
        <f>ALMYRA!AJ11</f>
        <v>0</v>
      </c>
      <c r="N11" s="67">
        <f>ALMYRA!AK11</f>
        <v>0</v>
      </c>
    </row>
    <row r="12" spans="1:14" ht="15" x14ac:dyDescent="0.25">
      <c r="A12" s="46" t="s">
        <v>13</v>
      </c>
      <c r="B12" s="5">
        <f t="shared" si="0"/>
        <v>11</v>
      </c>
      <c r="C12" s="70">
        <v>3</v>
      </c>
      <c r="D12" s="71">
        <v>2025</v>
      </c>
      <c r="E12" s="50">
        <f>IF(ALMYRA!H12&lt;0,"0",ALMYRA!H12)</f>
        <v>1472</v>
      </c>
      <c r="F12" s="51">
        <f>(ALMYRA!C12*0.24)/E12</f>
        <v>0.11804347826086956</v>
      </c>
      <c r="G12" s="55">
        <f>ALMYRA!Z12</f>
        <v>25</v>
      </c>
      <c r="H12" s="56">
        <v>0.65800000000000003</v>
      </c>
      <c r="I12" s="59">
        <f>IF(ALMYRA!AB12&lt;0,"0",ALMYRA!AB12)</f>
        <v>42</v>
      </c>
      <c r="J12" s="60">
        <v>2.4</v>
      </c>
      <c r="K12" s="63">
        <f>ALMYRA!U12</f>
        <v>0</v>
      </c>
      <c r="L12" s="64">
        <v>0.88</v>
      </c>
      <c r="M12" s="67">
        <f>ALMYRA!AJ12</f>
        <v>0</v>
      </c>
      <c r="N12" s="67">
        <f>ALMYRA!AK12</f>
        <v>0</v>
      </c>
    </row>
    <row r="13" spans="1:14" ht="15" x14ac:dyDescent="0.25">
      <c r="A13" s="46" t="s">
        <v>13</v>
      </c>
      <c r="B13" s="5">
        <f t="shared" si="0"/>
        <v>12</v>
      </c>
      <c r="C13" s="70">
        <v>3</v>
      </c>
      <c r="D13" s="71">
        <v>2025</v>
      </c>
      <c r="E13" s="50">
        <f>IF(ALMYRA!H13&lt;0,"0",ALMYRA!H13)</f>
        <v>1670</v>
      </c>
      <c r="F13" s="51">
        <f>(ALMYRA!C13*0.24)/E13</f>
        <v>0.165125748502994</v>
      </c>
      <c r="G13" s="55">
        <f>ALMYRA!Z13</f>
        <v>0</v>
      </c>
      <c r="H13" s="56">
        <v>0.65800000000000003</v>
      </c>
      <c r="I13" s="59">
        <f>IF(ALMYRA!AB13&lt;0,"0",ALMYRA!AB13)</f>
        <v>49</v>
      </c>
      <c r="J13" s="60">
        <v>2.4</v>
      </c>
      <c r="K13" s="63">
        <f>ALMYRA!U13</f>
        <v>0</v>
      </c>
      <c r="L13" s="64">
        <v>0.88</v>
      </c>
      <c r="M13" s="67">
        <f>ALMYRA!AJ13</f>
        <v>0</v>
      </c>
      <c r="N13" s="67">
        <f>ALMYRA!AK13</f>
        <v>0</v>
      </c>
    </row>
    <row r="14" spans="1:14" ht="15" x14ac:dyDescent="0.25">
      <c r="A14" s="46" t="s">
        <v>13</v>
      </c>
      <c r="B14" s="5">
        <f t="shared" si="0"/>
        <v>13</v>
      </c>
      <c r="C14" s="70">
        <v>3</v>
      </c>
      <c r="D14" s="71">
        <v>2025</v>
      </c>
      <c r="E14" s="50">
        <f>IF(ALMYRA!H14&lt;0,"0",ALMYRA!H14)</f>
        <v>1726</v>
      </c>
      <c r="F14" s="51">
        <f>(ALMYRA!C14*0.24)/E14</f>
        <v>0.11735805330243337</v>
      </c>
      <c r="G14" s="55">
        <f>ALMYRA!Z14</f>
        <v>25</v>
      </c>
      <c r="H14" s="56">
        <v>0.65800000000000003</v>
      </c>
      <c r="I14" s="59">
        <f>IF(ALMYRA!AB14&lt;0,"0",ALMYRA!AB14)</f>
        <v>26</v>
      </c>
      <c r="J14" s="60">
        <v>2.4</v>
      </c>
      <c r="K14" s="63">
        <f>ALMYRA!U14</f>
        <v>0</v>
      </c>
      <c r="L14" s="64">
        <v>0.88</v>
      </c>
      <c r="M14" s="67">
        <f>ALMYRA!AJ14</f>
        <v>0</v>
      </c>
      <c r="N14" s="67">
        <f>ALMYRA!AK14</f>
        <v>0</v>
      </c>
    </row>
    <row r="15" spans="1:14" ht="15" x14ac:dyDescent="0.25">
      <c r="A15" s="46" t="s">
        <v>13</v>
      </c>
      <c r="B15" s="5">
        <f t="shared" si="0"/>
        <v>14</v>
      </c>
      <c r="C15" s="70">
        <v>3</v>
      </c>
      <c r="D15" s="71">
        <v>2025</v>
      </c>
      <c r="E15" s="50">
        <f>IF(ALMYRA!H15&lt;0,"0",ALMYRA!H15)</f>
        <v>1579.0000000000873</v>
      </c>
      <c r="F15" s="51">
        <f>(ALMYRA!C15*0.24)/E15</f>
        <v>0.15412286257123908</v>
      </c>
      <c r="G15" s="55">
        <f>ALMYRA!Z15</f>
        <v>0</v>
      </c>
      <c r="H15" s="56">
        <v>0.65800000000000003</v>
      </c>
      <c r="I15" s="59">
        <f>IF(ALMYRA!AB15&lt;0,"0",ALMYRA!AB15)</f>
        <v>24.666666666671517</v>
      </c>
      <c r="J15" s="60">
        <v>2.4</v>
      </c>
      <c r="K15" s="63">
        <f>ALMYRA!U15</f>
        <v>0</v>
      </c>
      <c r="L15" s="64">
        <v>0.88</v>
      </c>
      <c r="M15" s="67">
        <f>ALMYRA!AJ15</f>
        <v>0</v>
      </c>
      <c r="N15" s="67">
        <f>ALMYRA!AK15</f>
        <v>0</v>
      </c>
    </row>
    <row r="16" spans="1:14" ht="15" x14ac:dyDescent="0.25">
      <c r="A16" s="46" t="s">
        <v>13</v>
      </c>
      <c r="B16" s="5">
        <f t="shared" si="0"/>
        <v>15</v>
      </c>
      <c r="C16" s="70">
        <v>3</v>
      </c>
      <c r="D16" s="71">
        <v>2025</v>
      </c>
      <c r="E16" s="50">
        <f>IF(ALMYRA!H16&lt;0,"0",ALMYRA!H16)</f>
        <v>1579.0000000000873</v>
      </c>
      <c r="F16" s="51">
        <f>(ALMYRA!C16*0.24)/E16</f>
        <v>0.15412286257123908</v>
      </c>
      <c r="G16" s="55">
        <f>ALMYRA!Z16</f>
        <v>0</v>
      </c>
      <c r="H16" s="56">
        <v>0.65800000000000003</v>
      </c>
      <c r="I16" s="59">
        <f>IF(ALMYRA!AB16&lt;0,"0",ALMYRA!AB16)</f>
        <v>24.666666666671517</v>
      </c>
      <c r="J16" s="60">
        <v>2.4</v>
      </c>
      <c r="K16" s="63">
        <f>ALMYRA!U16</f>
        <v>0</v>
      </c>
      <c r="L16" s="64">
        <v>0.88</v>
      </c>
      <c r="M16" s="67">
        <f>ALMYRA!AJ16</f>
        <v>0</v>
      </c>
      <c r="N16" s="67">
        <f>ALMYRA!AK16</f>
        <v>0</v>
      </c>
    </row>
    <row r="17" spans="1:14" ht="15" x14ac:dyDescent="0.25">
      <c r="A17" s="46" t="s">
        <v>13</v>
      </c>
      <c r="B17" s="5">
        <f t="shared" si="0"/>
        <v>16</v>
      </c>
      <c r="C17" s="70">
        <v>3</v>
      </c>
      <c r="D17" s="71">
        <v>2025</v>
      </c>
      <c r="E17" s="50">
        <f>IF(ALMYRA!H17&lt;0,"0",ALMYRA!H17)</f>
        <v>1578.9999999998254</v>
      </c>
      <c r="F17" s="51">
        <f>(ALMYRA!C17*0.24)/E17</f>
        <v>0.15412286257126467</v>
      </c>
      <c r="G17" s="55">
        <f>ALMYRA!Z17</f>
        <v>75</v>
      </c>
      <c r="H17" s="56">
        <v>0.65800000000000003</v>
      </c>
      <c r="I17" s="59">
        <f>IF(ALMYRA!AB17&lt;0,"0",ALMYRA!AB17)</f>
        <v>24.666666666656965</v>
      </c>
      <c r="J17" s="60">
        <v>2.4</v>
      </c>
      <c r="K17" s="63">
        <f>ALMYRA!U17</f>
        <v>0</v>
      </c>
      <c r="L17" s="64">
        <v>0.88</v>
      </c>
      <c r="M17" s="67">
        <f>ALMYRA!AJ17</f>
        <v>0</v>
      </c>
      <c r="N17" s="67">
        <f>ALMYRA!AK17</f>
        <v>0</v>
      </c>
    </row>
    <row r="18" spans="1:14" ht="15" x14ac:dyDescent="0.25">
      <c r="A18" s="46" t="s">
        <v>13</v>
      </c>
      <c r="B18" s="5">
        <f t="shared" si="0"/>
        <v>17</v>
      </c>
      <c r="C18" s="70">
        <v>3</v>
      </c>
      <c r="D18" s="71">
        <v>2025</v>
      </c>
      <c r="E18" s="50">
        <f>IF(ALMYRA!H18&lt;0,"0",ALMYRA!H18)</f>
        <v>2007</v>
      </c>
      <c r="F18" s="51">
        <f>(ALMYRA!C18*0.24)/E18</f>
        <v>0.1292675635276532</v>
      </c>
      <c r="G18" s="55">
        <f>ALMYRA!Z18</f>
        <v>0</v>
      </c>
      <c r="H18" s="56">
        <v>0.65800000000000003</v>
      </c>
      <c r="I18" s="59">
        <f>IF(ALMYRA!AB18&lt;0,"0",ALMYRA!AB18)</f>
        <v>88</v>
      </c>
      <c r="J18" s="60">
        <v>2.4</v>
      </c>
      <c r="K18" s="63">
        <f>ALMYRA!U18</f>
        <v>0</v>
      </c>
      <c r="L18" s="64">
        <v>0.88</v>
      </c>
      <c r="M18" s="67">
        <f>ALMYRA!AJ18</f>
        <v>0</v>
      </c>
      <c r="N18" s="67">
        <f>ALMYRA!AK18</f>
        <v>0</v>
      </c>
    </row>
    <row r="19" spans="1:14" ht="15" x14ac:dyDescent="0.25">
      <c r="A19" s="46" t="s">
        <v>13</v>
      </c>
      <c r="B19" s="5">
        <f t="shared" si="0"/>
        <v>18</v>
      </c>
      <c r="C19" s="70">
        <v>3</v>
      </c>
      <c r="D19" s="71">
        <v>2025</v>
      </c>
      <c r="E19" s="50">
        <f>IF(ALMYRA!H19&lt;0,"0",ALMYRA!H19)</f>
        <v>2151</v>
      </c>
      <c r="F19" s="51">
        <f>(ALMYRA!C19*0.24)/E19</f>
        <v>0.11626220362622036</v>
      </c>
      <c r="G19" s="55">
        <f>ALMYRA!Z19</f>
        <v>245.47000000000025</v>
      </c>
      <c r="H19" s="56">
        <v>0.65800000000000003</v>
      </c>
      <c r="I19" s="59">
        <f>IF(ALMYRA!AB19&lt;0,"0",ALMYRA!AB19)</f>
        <v>71</v>
      </c>
      <c r="J19" s="60">
        <v>2.4</v>
      </c>
      <c r="K19" s="63">
        <f>ALMYRA!U19</f>
        <v>99</v>
      </c>
      <c r="L19" s="64">
        <v>0.88</v>
      </c>
      <c r="M19" s="67">
        <f>ALMYRA!AJ19</f>
        <v>0</v>
      </c>
      <c r="N19" s="67">
        <f>ALMYRA!AK19</f>
        <v>0</v>
      </c>
    </row>
    <row r="20" spans="1:14" ht="15" x14ac:dyDescent="0.25">
      <c r="A20" s="46" t="s">
        <v>13</v>
      </c>
      <c r="B20" s="5">
        <f t="shared" si="0"/>
        <v>19</v>
      </c>
      <c r="C20" s="70">
        <v>3</v>
      </c>
      <c r="D20" s="71">
        <v>2025</v>
      </c>
      <c r="E20" s="50">
        <f>IF(ALMYRA!H20&lt;0,"0",ALMYRA!H20)</f>
        <v>2528</v>
      </c>
      <c r="F20" s="51">
        <f>(ALMYRA!C20*0.24)/E20</f>
        <v>0.14601265822784809</v>
      </c>
      <c r="G20" s="55">
        <f>ALMYRA!Z20</f>
        <v>75</v>
      </c>
      <c r="H20" s="56">
        <v>0.65800000000000003</v>
      </c>
      <c r="I20" s="59">
        <f>IF(ALMYRA!AB20&lt;0,"0",ALMYRA!AB20)</f>
        <v>60</v>
      </c>
      <c r="J20" s="60">
        <v>2.4</v>
      </c>
      <c r="K20" s="63">
        <f>ALMYRA!U20</f>
        <v>99</v>
      </c>
      <c r="L20" s="64">
        <v>0.88</v>
      </c>
      <c r="M20" s="67">
        <f>ALMYRA!AJ20</f>
        <v>0</v>
      </c>
      <c r="N20" s="67">
        <f>ALMYRA!AK20</f>
        <v>0</v>
      </c>
    </row>
    <row r="21" spans="1:14" ht="15" x14ac:dyDescent="0.25">
      <c r="A21" s="46" t="s">
        <v>13</v>
      </c>
      <c r="B21" s="5">
        <f t="shared" si="0"/>
        <v>20</v>
      </c>
      <c r="C21" s="70">
        <v>3</v>
      </c>
      <c r="D21" s="71">
        <v>2025</v>
      </c>
      <c r="E21" s="50">
        <f>IF(ALMYRA!H21&lt;0,"0",ALMYRA!H21)</f>
        <v>2899</v>
      </c>
      <c r="F21" s="51">
        <f>(ALMYRA!C21*0.24)/E21</f>
        <v>0.15116936874784409</v>
      </c>
      <c r="G21" s="55">
        <f>ALMYRA!Z21</f>
        <v>25</v>
      </c>
      <c r="H21" s="56">
        <v>0.65800000000000003</v>
      </c>
      <c r="I21" s="59">
        <f>IF(ALMYRA!AB21&lt;0,"0",ALMYRA!AB21)</f>
        <v>57</v>
      </c>
      <c r="J21" s="60">
        <v>2.4</v>
      </c>
      <c r="K21" s="63">
        <f>ALMYRA!U21</f>
        <v>0</v>
      </c>
      <c r="L21" s="64">
        <v>0.88</v>
      </c>
      <c r="M21" s="67">
        <f>ALMYRA!AJ21</f>
        <v>0</v>
      </c>
      <c r="N21" s="67">
        <f>ALMYRA!AK21</f>
        <v>0</v>
      </c>
    </row>
    <row r="22" spans="1:14" ht="15" x14ac:dyDescent="0.25">
      <c r="A22" s="46" t="s">
        <v>13</v>
      </c>
      <c r="B22" s="5">
        <f t="shared" si="0"/>
        <v>21</v>
      </c>
      <c r="C22" s="70">
        <v>3</v>
      </c>
      <c r="D22" s="71">
        <v>2025</v>
      </c>
      <c r="E22" s="50">
        <f>IF(ALMYRA!H22&lt;0,"0",ALMYRA!H22)</f>
        <v>3819</v>
      </c>
      <c r="F22" s="51">
        <f>(ALMYRA!C22*0.24)/E22</f>
        <v>0.17011783189316573</v>
      </c>
      <c r="G22" s="55">
        <f>ALMYRA!Z22</f>
        <v>175</v>
      </c>
      <c r="H22" s="56">
        <v>0.65800000000000003</v>
      </c>
      <c r="I22" s="59">
        <f>IF(ALMYRA!AB22&lt;0,"0",ALMYRA!AB22)</f>
        <v>57</v>
      </c>
      <c r="J22" s="60">
        <v>2.4</v>
      </c>
      <c r="K22" s="63">
        <f>ALMYRA!U22</f>
        <v>392</v>
      </c>
      <c r="L22" s="64">
        <v>0.88</v>
      </c>
      <c r="M22" s="67">
        <f>ALMYRA!AJ22</f>
        <v>46</v>
      </c>
      <c r="N22" s="67">
        <f>ALMYRA!AK22</f>
        <v>78</v>
      </c>
    </row>
    <row r="23" spans="1:14" ht="15" x14ac:dyDescent="0.25">
      <c r="A23" s="46" t="s">
        <v>13</v>
      </c>
      <c r="B23" s="5">
        <f t="shared" si="0"/>
        <v>22</v>
      </c>
      <c r="C23" s="70">
        <v>3</v>
      </c>
      <c r="D23" s="71">
        <v>2025</v>
      </c>
      <c r="E23" s="50">
        <f>IF(ALMYRA!H23&lt;0,"0",ALMYRA!H23)</f>
        <v>4203</v>
      </c>
      <c r="F23" s="51">
        <f>(ALMYRA!C23*0.24)/E23</f>
        <v>0.1468665239114918</v>
      </c>
      <c r="G23" s="55">
        <f>ALMYRA!Z23</f>
        <v>150</v>
      </c>
      <c r="H23" s="56">
        <v>0.65800000000000003</v>
      </c>
      <c r="I23" s="59">
        <f>IF(ALMYRA!AB23&lt;0,"0",ALMYRA!AB23)</f>
        <v>48</v>
      </c>
      <c r="J23" s="60">
        <v>2.4</v>
      </c>
      <c r="K23" s="63">
        <f>ALMYRA!U23</f>
        <v>289.5</v>
      </c>
      <c r="L23" s="64">
        <v>0.88</v>
      </c>
      <c r="M23" s="67">
        <f>ALMYRA!AJ23</f>
        <v>97</v>
      </c>
      <c r="N23" s="67">
        <f>ALMYRA!AK23</f>
        <v>172</v>
      </c>
    </row>
    <row r="24" spans="1:14" ht="15" x14ac:dyDescent="0.25">
      <c r="A24" s="46" t="s">
        <v>13</v>
      </c>
      <c r="B24" s="5">
        <f t="shared" si="0"/>
        <v>23</v>
      </c>
      <c r="C24" s="70">
        <v>3</v>
      </c>
      <c r="D24" s="71">
        <v>2025</v>
      </c>
      <c r="E24" s="50">
        <f>IF(ALMYRA!H24&lt;0,"0",ALMYRA!H24)</f>
        <v>3707</v>
      </c>
      <c r="F24" s="51">
        <f>(ALMYRA!C24*0.24)/E24</f>
        <v>0.15499325600215808</v>
      </c>
      <c r="G24" s="55">
        <f>ALMYRA!Z24</f>
        <v>225</v>
      </c>
      <c r="H24" s="56">
        <v>0.65800000000000003</v>
      </c>
      <c r="I24" s="59">
        <f>IF(ALMYRA!AB24&lt;0,"0",ALMYRA!AB24)</f>
        <v>50</v>
      </c>
      <c r="J24" s="60">
        <v>2.4</v>
      </c>
      <c r="K24" s="63">
        <f>ALMYRA!U24</f>
        <v>289.5</v>
      </c>
      <c r="L24" s="64">
        <v>0.88</v>
      </c>
      <c r="M24" s="67">
        <f>ALMYRA!AJ24</f>
        <v>69</v>
      </c>
      <c r="N24" s="67">
        <f>ALMYRA!AK24</f>
        <v>113</v>
      </c>
    </row>
    <row r="25" spans="1:14" ht="15" x14ac:dyDescent="0.25">
      <c r="A25" s="46" t="s">
        <v>13</v>
      </c>
      <c r="B25" s="5">
        <f t="shared" si="0"/>
        <v>24</v>
      </c>
      <c r="C25" s="70">
        <v>3</v>
      </c>
      <c r="D25" s="71">
        <v>2025</v>
      </c>
      <c r="E25" s="50">
        <f>IF(ALMYRA!H25&lt;0,"0",ALMYRA!H25)</f>
        <v>3918</v>
      </c>
      <c r="F25" s="51">
        <f>(ALMYRA!C25*0.24)/E25</f>
        <v>0.19663093415007657</v>
      </c>
      <c r="G25" s="55">
        <f>ALMYRA!Z25</f>
        <v>28</v>
      </c>
      <c r="H25" s="56">
        <v>0.65800000000000003</v>
      </c>
      <c r="I25" s="59">
        <f>IF(ALMYRA!AB25&lt;0,"0",ALMYRA!AB25)</f>
        <v>73</v>
      </c>
      <c r="J25" s="60">
        <v>2.4</v>
      </c>
      <c r="K25" s="63">
        <f>ALMYRA!U25</f>
        <v>285</v>
      </c>
      <c r="L25" s="64">
        <v>0.88</v>
      </c>
      <c r="M25" s="67">
        <f>ALMYRA!AJ25</f>
        <v>74</v>
      </c>
      <c r="N25" s="67">
        <f>ALMYRA!AK25</f>
        <v>122</v>
      </c>
    </row>
    <row r="26" spans="1:14" ht="15" x14ac:dyDescent="0.25">
      <c r="A26" s="46" t="s">
        <v>13</v>
      </c>
      <c r="B26" s="5">
        <f>B25+1</f>
        <v>25</v>
      </c>
      <c r="C26" s="70">
        <v>3</v>
      </c>
      <c r="D26" s="71">
        <v>2025</v>
      </c>
      <c r="E26" s="50">
        <f>IF(ALMYRA!H26&lt;0,"0",ALMYRA!H26)</f>
        <v>7791</v>
      </c>
      <c r="F26" s="51">
        <f>(ALMYRA!C26*0.24)/E26</f>
        <v>0.19385444743935309</v>
      </c>
      <c r="G26" s="55">
        <f>ALMYRA!Z26</f>
        <v>50</v>
      </c>
      <c r="H26" s="56">
        <v>0.65800000000000003</v>
      </c>
      <c r="I26" s="59">
        <f>IF(ALMYRA!AB26&lt;0,"0",ALMYRA!AB26)</f>
        <v>39</v>
      </c>
      <c r="J26" s="60">
        <v>2.4</v>
      </c>
      <c r="K26" s="63">
        <f>ALMYRA!U26</f>
        <v>282</v>
      </c>
      <c r="L26" s="64">
        <v>0.88</v>
      </c>
      <c r="M26" s="67">
        <f>ALMYRA!AJ26</f>
        <v>69</v>
      </c>
      <c r="N26" s="67">
        <f>ALMYRA!AK26</f>
        <v>113</v>
      </c>
    </row>
    <row r="27" spans="1:14" ht="15" x14ac:dyDescent="0.25">
      <c r="A27" s="46" t="s">
        <v>13</v>
      </c>
      <c r="B27" s="5">
        <f t="shared" si="0"/>
        <v>26</v>
      </c>
      <c r="C27" s="70">
        <v>3</v>
      </c>
      <c r="D27" s="71">
        <v>2025</v>
      </c>
      <c r="E27" s="50" t="str">
        <f>IF(ALMYRA!H27&lt;0,"0",ALMYRA!H27)</f>
        <v>0</v>
      </c>
      <c r="F27" s="51" t="e">
        <f>(ALMYRA!C27*0.24)/E27</f>
        <v>#DIV/0!</v>
      </c>
      <c r="G27" s="55">
        <f>ALMYRA!Z27</f>
        <v>175</v>
      </c>
      <c r="H27" s="56">
        <v>0.65800000000000003</v>
      </c>
      <c r="I27" s="59">
        <f>IF(ALMYRA!AB27&lt;0,"0",ALMYRA!AB27)</f>
        <v>80</v>
      </c>
      <c r="J27" s="60">
        <v>2.4</v>
      </c>
      <c r="K27" s="63">
        <f>ALMYRA!U27</f>
        <v>185</v>
      </c>
      <c r="L27" s="64">
        <v>0.88</v>
      </c>
      <c r="M27" s="67">
        <f>ALMYRA!AJ27</f>
        <v>93</v>
      </c>
      <c r="N27" s="67">
        <f>ALMYRA!AK27</f>
        <v>153</v>
      </c>
    </row>
    <row r="28" spans="1:14" ht="15" x14ac:dyDescent="0.25">
      <c r="A28" s="46" t="s">
        <v>13</v>
      </c>
      <c r="B28" s="5">
        <f t="shared" si="0"/>
        <v>27</v>
      </c>
      <c r="C28" s="70">
        <v>3</v>
      </c>
      <c r="D28" s="71">
        <v>2025</v>
      </c>
      <c r="E28" s="50">
        <f>IF(ALMYRA!H28&lt;0,"0",ALMYRA!H28)</f>
        <v>4782</v>
      </c>
      <c r="F28" s="51">
        <f>(ALMYRA!C28*0.24)/E28</f>
        <v>0.15618569636135507</v>
      </c>
      <c r="G28" s="55">
        <f>ALMYRA!Z28</f>
        <v>150</v>
      </c>
      <c r="H28" s="56">
        <v>0.65800000000000003</v>
      </c>
      <c r="I28" s="59">
        <f>IF(ALMYRA!AB28&lt;0,"0",ALMYRA!AB28)</f>
        <v>73</v>
      </c>
      <c r="J28" s="60">
        <v>2.4</v>
      </c>
      <c r="K28" s="63">
        <f>ALMYRA!U28</f>
        <v>224</v>
      </c>
      <c r="L28" s="64">
        <v>0.88</v>
      </c>
      <c r="M28" s="67">
        <f>ALMYRA!AJ28</f>
        <v>100</v>
      </c>
      <c r="N28" s="67">
        <f>ALMYRA!AK28</f>
        <v>160</v>
      </c>
    </row>
    <row r="29" spans="1:14" ht="15" x14ac:dyDescent="0.25">
      <c r="A29" s="46" t="s">
        <v>13</v>
      </c>
      <c r="B29" s="5">
        <f t="shared" si="0"/>
        <v>28</v>
      </c>
      <c r="C29" s="70">
        <v>3</v>
      </c>
      <c r="D29" s="71">
        <v>2025</v>
      </c>
      <c r="E29" s="50">
        <f>IF(ALMYRA!H29&lt;0,"0",ALMYRA!H29)</f>
        <v>3994</v>
      </c>
      <c r="F29" s="51">
        <f>(ALMYRA!C29*0.24)/E29</f>
        <v>0.15485227841762644</v>
      </c>
      <c r="G29" s="55">
        <f>ALMYRA!Z29</f>
        <v>125</v>
      </c>
      <c r="H29" s="56">
        <v>0.65800000000000003</v>
      </c>
      <c r="I29" s="59">
        <f>IF(ALMYRA!AB29&lt;0,"0",ALMYRA!AB29)</f>
        <v>90</v>
      </c>
      <c r="J29" s="60">
        <v>2.4</v>
      </c>
      <c r="K29" s="63">
        <f>ALMYRA!U29</f>
        <v>230</v>
      </c>
      <c r="L29" s="64">
        <v>0.88</v>
      </c>
      <c r="M29" s="67">
        <f>ALMYRA!AJ29</f>
        <v>108</v>
      </c>
      <c r="N29" s="67">
        <f>ALMYRA!AK29</f>
        <v>180</v>
      </c>
    </row>
    <row r="30" spans="1:14" ht="15" x14ac:dyDescent="0.25">
      <c r="A30" s="46" t="s">
        <v>13</v>
      </c>
      <c r="B30" s="5">
        <f t="shared" si="0"/>
        <v>29</v>
      </c>
      <c r="C30" s="70">
        <v>3</v>
      </c>
      <c r="D30" s="71">
        <v>2025</v>
      </c>
      <c r="E30" s="50">
        <f>IF(ALMYRA!H30&lt;0,"0",ALMYRA!H30)</f>
        <v>3812</v>
      </c>
      <c r="F30" s="51">
        <f>(ALMYRA!C30*0.24)/E30</f>
        <v>0.19252885624344176</v>
      </c>
      <c r="G30" s="55">
        <f>ALMYRA!Z30</f>
        <v>150</v>
      </c>
      <c r="H30" s="56">
        <v>0.65800000000000003</v>
      </c>
      <c r="I30" s="59">
        <f>IF(ALMYRA!AB30&lt;0,"0",ALMYRA!AB30)</f>
        <v>63</v>
      </c>
      <c r="J30" s="60">
        <v>2.4</v>
      </c>
      <c r="K30" s="63">
        <f>ALMYRA!U30</f>
        <v>90</v>
      </c>
      <c r="L30" s="64">
        <v>0.88</v>
      </c>
      <c r="M30" s="67">
        <f>ALMYRA!AJ30</f>
        <v>125</v>
      </c>
      <c r="N30" s="67">
        <f>ALMYRA!AK30</f>
        <v>220</v>
      </c>
    </row>
    <row r="31" spans="1:14" ht="15" x14ac:dyDescent="0.25">
      <c r="A31" s="46" t="s">
        <v>13</v>
      </c>
      <c r="B31" s="5">
        <f t="shared" si="0"/>
        <v>30</v>
      </c>
      <c r="C31" s="70">
        <v>3</v>
      </c>
      <c r="D31" s="71">
        <v>2025</v>
      </c>
      <c r="E31" s="50">
        <f>IF(ALMYRA!H31&lt;0,"0",ALMYRA!H31)</f>
        <v>3660</v>
      </c>
      <c r="F31" s="51">
        <f>(ALMYRA!C31*0.24)/E31</f>
        <v>0.13291803278688524</v>
      </c>
      <c r="G31" s="55">
        <f>ALMYRA!Z31</f>
        <v>125</v>
      </c>
      <c r="H31" s="56">
        <v>0.65800000000000003</v>
      </c>
      <c r="I31" s="59">
        <f>IF(ALMYRA!AB31&lt;0,"0",ALMYRA!AB31)</f>
        <v>67</v>
      </c>
      <c r="J31" s="60">
        <v>2.4</v>
      </c>
      <c r="K31" s="63">
        <f>ALMYRA!U31</f>
        <v>264</v>
      </c>
      <c r="L31" s="64">
        <v>0.88</v>
      </c>
      <c r="M31" s="67">
        <f>ALMYRA!AJ31</f>
        <v>114</v>
      </c>
      <c r="N31" s="67">
        <f>ALMYRA!AK31</f>
        <v>201</v>
      </c>
    </row>
    <row r="32" spans="1:14" ht="15" x14ac:dyDescent="0.25">
      <c r="A32" s="46" t="s">
        <v>13</v>
      </c>
      <c r="B32" s="5">
        <f t="shared" si="0"/>
        <v>31</v>
      </c>
      <c r="C32" s="70">
        <v>3</v>
      </c>
      <c r="D32" s="71">
        <v>2025</v>
      </c>
      <c r="E32" s="50">
        <f>IF(ALMYRA!H32&lt;0,"0",ALMYRA!H32)</f>
        <v>4435</v>
      </c>
      <c r="F32" s="51">
        <f>(ALMYRA!C32*0.24)/E32</f>
        <v>0.15238782412626831</v>
      </c>
      <c r="G32" s="55">
        <f>ALMYRA!Z32</f>
        <v>95</v>
      </c>
      <c r="H32" s="56">
        <v>0.65800000000000003</v>
      </c>
      <c r="I32" s="59">
        <f>IF(ALMYRA!AB32&lt;0,"0",ALMYRA!AB32)</f>
        <v>73</v>
      </c>
      <c r="J32" s="60">
        <v>2.4</v>
      </c>
      <c r="K32" s="63">
        <f>ALMYRA!U32</f>
        <v>87</v>
      </c>
      <c r="L32" s="64">
        <v>0.88</v>
      </c>
      <c r="M32" s="67">
        <f>ALMYRA!AJ32</f>
        <v>104</v>
      </c>
      <c r="N32" s="67">
        <f>ALMYRA!AK32</f>
        <v>183</v>
      </c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D36" s="72"/>
      <c r="E36" s="4"/>
      <c r="F36" s="72"/>
      <c r="G36" s="4"/>
      <c r="H36" s="73"/>
      <c r="I36" s="72"/>
      <c r="J36" s="72"/>
      <c r="K36"/>
      <c r="L36"/>
      <c r="M36" s="72"/>
      <c r="N36" s="72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72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3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topLeftCell="O1" zoomScale="85" zoomScaleNormal="85" workbookViewId="0">
      <selection activeCell="Y33" sqref="Y33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45717</v>
      </c>
      <c r="B2" s="8">
        <v>32522330.75</v>
      </c>
      <c r="C2" s="85">
        <f>B3-B2</f>
        <v>635.75</v>
      </c>
      <c r="D2" s="24">
        <v>1123012.5</v>
      </c>
      <c r="E2" s="85">
        <f>D3-D2</f>
        <v>1344.5</v>
      </c>
      <c r="F2" s="103">
        <v>154957.5</v>
      </c>
      <c r="G2" s="87">
        <f>F3-F2</f>
        <v>982.5</v>
      </c>
      <c r="H2" s="94">
        <f>C2+E2-G2</f>
        <v>997.75</v>
      </c>
      <c r="I2" s="96">
        <f>H2-K2-M2-O2-Q2</f>
        <v>679.43602150558536</v>
      </c>
      <c r="J2" s="104">
        <v>4775069.7</v>
      </c>
      <c r="K2" s="90">
        <f>J3-J2</f>
        <v>119.29999999981374</v>
      </c>
      <c r="L2" s="11">
        <v>469967.37037037098</v>
      </c>
      <c r="M2" s="90">
        <f>L3-L2</f>
        <v>14.568697729962878</v>
      </c>
      <c r="N2" s="11">
        <v>134201.796296296</v>
      </c>
      <c r="O2" s="90">
        <f>N3-N2</f>
        <v>69.7743130227027</v>
      </c>
      <c r="P2" s="41">
        <v>2463</v>
      </c>
      <c r="Q2" s="91">
        <f>P3-P2</f>
        <v>114.67096774193533</v>
      </c>
      <c r="R2" s="16">
        <f>A2</f>
        <v>45717</v>
      </c>
      <c r="S2" s="105">
        <v>5571</v>
      </c>
      <c r="T2" s="106"/>
      <c r="U2" s="89">
        <f>S2+T2-S3</f>
        <v>0</v>
      </c>
      <c r="V2" s="13">
        <v>0.56000000000000005</v>
      </c>
      <c r="W2" s="30">
        <v>0.59</v>
      </c>
      <c r="X2" s="29">
        <f t="shared" ref="X2:X33" si="0">(V2*2500)+(W2*2500)</f>
        <v>2875</v>
      </c>
      <c r="Y2" s="102"/>
      <c r="Z2" s="89">
        <f>X2+Y2-X3</f>
        <v>0</v>
      </c>
      <c r="AA2" s="33">
        <v>112178.5</v>
      </c>
      <c r="AB2" s="89">
        <f>AA3-AA2</f>
        <v>14.5</v>
      </c>
      <c r="AC2" s="33">
        <v>1313.45</v>
      </c>
      <c r="AD2" s="89">
        <f>AC3-AC2</f>
        <v>0.15000000000009095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0</v>
      </c>
      <c r="AK2" s="14">
        <v>0</v>
      </c>
    </row>
    <row r="3" spans="1:37" x14ac:dyDescent="0.2">
      <c r="A3" s="17">
        <v>45718</v>
      </c>
      <c r="B3" s="8">
        <v>32522966.5</v>
      </c>
      <c r="C3" s="86">
        <f>B4-B3</f>
        <v>635.75</v>
      </c>
      <c r="D3" s="24">
        <v>1124357</v>
      </c>
      <c r="E3" s="86">
        <f>D4-D3</f>
        <v>1344.5</v>
      </c>
      <c r="F3" s="24">
        <v>155940</v>
      </c>
      <c r="G3" s="107">
        <f>F4-F3</f>
        <v>982.5</v>
      </c>
      <c r="H3" s="95">
        <f t="shared" ref="H3:H32" si="1">C3+E3-G3</f>
        <v>997.75</v>
      </c>
      <c r="I3" s="97">
        <f t="shared" ref="I3:I32" si="2">H3-K3-M3-O3-Q3</f>
        <v>679.43602150558536</v>
      </c>
      <c r="J3" s="41">
        <v>4775189</v>
      </c>
      <c r="K3" s="108">
        <f>J4-J3</f>
        <v>119.29999999981374</v>
      </c>
      <c r="L3" s="11">
        <v>469981.93906810094</v>
      </c>
      <c r="M3" s="108">
        <f>L4-L3</f>
        <v>14.568697729962878</v>
      </c>
      <c r="N3" s="11">
        <v>134271.5706093187</v>
      </c>
      <c r="O3" s="108">
        <f>N4-N3</f>
        <v>69.7743130227027</v>
      </c>
      <c r="P3" s="41">
        <v>2577.6709677419353</v>
      </c>
      <c r="Q3" s="109">
        <f>P4-P3</f>
        <v>114.67096774193533</v>
      </c>
      <c r="R3" s="17">
        <f>A3</f>
        <v>45718</v>
      </c>
      <c r="S3" s="105">
        <v>5571</v>
      </c>
      <c r="T3" s="110"/>
      <c r="U3" s="111">
        <f>S3+T3-S4</f>
        <v>0</v>
      </c>
      <c r="V3" s="13">
        <v>0.56000000000000005</v>
      </c>
      <c r="W3" s="30">
        <v>0.59</v>
      </c>
      <c r="X3" s="31">
        <f t="shared" si="0"/>
        <v>2875</v>
      </c>
      <c r="Y3" s="102"/>
      <c r="Z3" s="101">
        <f t="shared" ref="Z3:Z32" si="3">X3+Y3-X4</f>
        <v>0</v>
      </c>
      <c r="AA3" s="33">
        <v>112193</v>
      </c>
      <c r="AB3" s="111">
        <f>AA4-AA3</f>
        <v>14.5</v>
      </c>
      <c r="AC3" s="33">
        <v>1313.6000000000001</v>
      </c>
      <c r="AD3" s="111">
        <f>AC4-AC3</f>
        <v>0.15000000000009095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4">AG4+AH3-AG3</f>
        <v>0</v>
      </c>
      <c r="AJ3" s="10">
        <v>0</v>
      </c>
      <c r="AK3" s="15">
        <v>0</v>
      </c>
    </row>
    <row r="4" spans="1:37" x14ac:dyDescent="0.2">
      <c r="A4" s="17">
        <v>45719</v>
      </c>
      <c r="B4" s="8">
        <v>32523602.25</v>
      </c>
      <c r="C4" s="86">
        <f t="shared" ref="C4:C32" si="5">B5-B4</f>
        <v>635.75</v>
      </c>
      <c r="D4" s="24">
        <v>1125701.5</v>
      </c>
      <c r="E4" s="86">
        <f t="shared" ref="E4:E32" si="6">D5-D4</f>
        <v>1344.5</v>
      </c>
      <c r="F4" s="24">
        <v>156922.5</v>
      </c>
      <c r="G4" s="107">
        <f t="shared" ref="G4:G32" si="7">F5-F4</f>
        <v>982.5</v>
      </c>
      <c r="H4" s="95">
        <f t="shared" si="1"/>
        <v>997.75</v>
      </c>
      <c r="I4" s="97">
        <f t="shared" si="2"/>
        <v>679.43602150569768</v>
      </c>
      <c r="J4" s="41">
        <v>4775308.3</v>
      </c>
      <c r="K4" s="108">
        <f t="shared" ref="K4:K32" si="8">J5-J4</f>
        <v>119.29999999981374</v>
      </c>
      <c r="L4" s="11">
        <v>469996.5077658309</v>
      </c>
      <c r="M4" s="108">
        <f t="shared" ref="M4:M32" si="9">L5-L4</f>
        <v>14.568697729962878</v>
      </c>
      <c r="N4" s="11">
        <v>134341.34492234141</v>
      </c>
      <c r="O4" s="108">
        <f t="shared" ref="O4:O32" si="10">N5-N4</f>
        <v>69.774313022586284</v>
      </c>
      <c r="P4" s="41">
        <v>2692.3419354838707</v>
      </c>
      <c r="Q4" s="109">
        <f t="shared" ref="Q4:Q32" si="11">P5-P4</f>
        <v>114.67096774193942</v>
      </c>
      <c r="R4" s="17">
        <f t="shared" ref="R4:R32" si="12">A4</f>
        <v>45719</v>
      </c>
      <c r="S4" s="105">
        <v>5571</v>
      </c>
      <c r="T4" s="110"/>
      <c r="U4" s="111">
        <f t="shared" ref="U4:U32" si="13">S4+T4-S5</f>
        <v>0</v>
      </c>
      <c r="V4" s="13">
        <v>0.56000000000000005</v>
      </c>
      <c r="W4" s="30">
        <v>0.59</v>
      </c>
      <c r="X4" s="31">
        <f t="shared" si="0"/>
        <v>2875</v>
      </c>
      <c r="Y4" s="102"/>
      <c r="Z4" s="101">
        <f t="shared" si="3"/>
        <v>0</v>
      </c>
      <c r="AA4" s="33">
        <v>112207.5</v>
      </c>
      <c r="AB4" s="111">
        <f t="shared" ref="AB4:AB32" si="14">AA5-AA4</f>
        <v>14.5</v>
      </c>
      <c r="AC4" s="33">
        <v>1313.7500000000002</v>
      </c>
      <c r="AD4" s="111">
        <f t="shared" ref="AD4:AD32" si="15">AC5-AC4</f>
        <v>0.14999999999986358</v>
      </c>
      <c r="AE4" s="35">
        <v>73027</v>
      </c>
      <c r="AF4" s="111">
        <f t="shared" ref="AF4:AF32" si="16">AE5-AE4</f>
        <v>0</v>
      </c>
      <c r="AG4" s="38">
        <v>3100</v>
      </c>
      <c r="AH4" s="81">
        <v>0</v>
      </c>
      <c r="AI4" s="101">
        <f t="shared" si="4"/>
        <v>0</v>
      </c>
      <c r="AJ4" s="10">
        <v>0</v>
      </c>
      <c r="AK4" s="15">
        <v>0</v>
      </c>
    </row>
    <row r="5" spans="1:37" x14ac:dyDescent="0.2">
      <c r="A5" s="17">
        <v>45720</v>
      </c>
      <c r="B5" s="8">
        <v>32524238</v>
      </c>
      <c r="C5" s="86">
        <f t="shared" si="5"/>
        <v>667</v>
      </c>
      <c r="D5" s="24">
        <v>1127046</v>
      </c>
      <c r="E5" s="86">
        <f t="shared" si="6"/>
        <v>1859</v>
      </c>
      <c r="F5" s="24">
        <v>157905</v>
      </c>
      <c r="G5" s="107">
        <f t="shared" si="7"/>
        <v>1158</v>
      </c>
      <c r="H5" s="95">
        <f t="shared" si="1"/>
        <v>1368</v>
      </c>
      <c r="I5" s="97">
        <f t="shared" si="2"/>
        <v>1051.3860215043801</v>
      </c>
      <c r="J5" s="41">
        <v>4775427.5999999996</v>
      </c>
      <c r="K5" s="108">
        <f t="shared" si="8"/>
        <v>117.60000000055879</v>
      </c>
      <c r="L5" s="11">
        <v>470011.07646356086</v>
      </c>
      <c r="M5" s="108">
        <f t="shared" si="9"/>
        <v>14.568697730137501</v>
      </c>
      <c r="N5" s="11">
        <v>134411.11923536399</v>
      </c>
      <c r="O5" s="108">
        <f t="shared" si="10"/>
        <v>69.774313022993738</v>
      </c>
      <c r="P5" s="41">
        <v>2807.0129032258101</v>
      </c>
      <c r="Q5" s="109">
        <f t="shared" si="11"/>
        <v>114.67096774192987</v>
      </c>
      <c r="R5" s="17">
        <f t="shared" si="12"/>
        <v>45720</v>
      </c>
      <c r="S5" s="105">
        <v>5571</v>
      </c>
      <c r="T5" s="110"/>
      <c r="U5" s="111">
        <f t="shared" si="13"/>
        <v>0</v>
      </c>
      <c r="V5" s="13">
        <v>0.56000000000000005</v>
      </c>
      <c r="W5" s="30">
        <v>0.59</v>
      </c>
      <c r="X5" s="31">
        <f t="shared" si="0"/>
        <v>2875</v>
      </c>
      <c r="Y5" s="102"/>
      <c r="Z5" s="101">
        <f t="shared" si="3"/>
        <v>0</v>
      </c>
      <c r="AA5" s="33">
        <v>112222</v>
      </c>
      <c r="AB5" s="111">
        <f t="shared" si="14"/>
        <v>28</v>
      </c>
      <c r="AC5" s="33">
        <v>1313.9</v>
      </c>
      <c r="AD5" s="111">
        <f t="shared" si="15"/>
        <v>13.699999999999818</v>
      </c>
      <c r="AE5" s="35">
        <v>73027</v>
      </c>
      <c r="AF5" s="111">
        <f t="shared" si="16"/>
        <v>0</v>
      </c>
      <c r="AG5" s="38">
        <v>3100</v>
      </c>
      <c r="AH5" s="81">
        <v>0</v>
      </c>
      <c r="AI5" s="101">
        <f t="shared" si="4"/>
        <v>0</v>
      </c>
      <c r="AJ5" s="10">
        <v>0</v>
      </c>
      <c r="AK5" s="15">
        <v>0</v>
      </c>
    </row>
    <row r="6" spans="1:37" x14ac:dyDescent="0.2">
      <c r="A6" s="17">
        <v>45721</v>
      </c>
      <c r="B6" s="8">
        <v>32524905</v>
      </c>
      <c r="C6" s="86">
        <f t="shared" si="5"/>
        <v>870</v>
      </c>
      <c r="D6" s="24">
        <v>1128905</v>
      </c>
      <c r="E6" s="86">
        <f t="shared" si="6"/>
        <v>1148</v>
      </c>
      <c r="F6" s="24">
        <v>159063</v>
      </c>
      <c r="G6" s="107">
        <f t="shared" si="7"/>
        <v>560</v>
      </c>
      <c r="H6" s="95">
        <f t="shared" si="1"/>
        <v>1458</v>
      </c>
      <c r="I6" s="97">
        <f t="shared" si="2"/>
        <v>1138.9860215050162</v>
      </c>
      <c r="J6" s="41">
        <v>4775545.2</v>
      </c>
      <c r="K6" s="108">
        <f t="shared" si="8"/>
        <v>120</v>
      </c>
      <c r="L6" s="11">
        <v>470025.645161291</v>
      </c>
      <c r="M6" s="108">
        <f t="shared" si="9"/>
        <v>14.568697730021086</v>
      </c>
      <c r="N6" s="11">
        <v>134480.89354838699</v>
      </c>
      <c r="O6" s="108">
        <f t="shared" si="10"/>
        <v>69.774313023022842</v>
      </c>
      <c r="P6" s="41">
        <v>2921.6838709677399</v>
      </c>
      <c r="Q6" s="109">
        <f t="shared" si="11"/>
        <v>114.67096774193988</v>
      </c>
      <c r="R6" s="17">
        <f t="shared" si="12"/>
        <v>45721</v>
      </c>
      <c r="S6" s="105">
        <v>5571</v>
      </c>
      <c r="T6" s="110"/>
      <c r="U6" s="111">
        <f t="shared" si="13"/>
        <v>0</v>
      </c>
      <c r="V6" s="13">
        <v>0.56000000000000005</v>
      </c>
      <c r="W6" s="30">
        <v>0.59</v>
      </c>
      <c r="X6" s="31">
        <f t="shared" si="0"/>
        <v>2875</v>
      </c>
      <c r="Y6" s="102"/>
      <c r="Z6" s="101">
        <f t="shared" si="3"/>
        <v>0</v>
      </c>
      <c r="AA6" s="33">
        <v>112250</v>
      </c>
      <c r="AB6" s="111">
        <f t="shared" si="14"/>
        <v>22</v>
      </c>
      <c r="AC6" s="33">
        <v>1327.6</v>
      </c>
      <c r="AD6" s="111">
        <f t="shared" si="15"/>
        <v>11.900000000000091</v>
      </c>
      <c r="AE6" s="35">
        <v>73027</v>
      </c>
      <c r="AF6" s="111">
        <f t="shared" si="16"/>
        <v>0</v>
      </c>
      <c r="AG6" s="38">
        <v>3100</v>
      </c>
      <c r="AH6" s="81">
        <v>0</v>
      </c>
      <c r="AI6" s="101">
        <f t="shared" si="4"/>
        <v>0</v>
      </c>
      <c r="AJ6" s="10">
        <v>0</v>
      </c>
      <c r="AK6" s="15">
        <v>0</v>
      </c>
    </row>
    <row r="7" spans="1:37" x14ac:dyDescent="0.2">
      <c r="A7" s="17">
        <v>45722</v>
      </c>
      <c r="B7" s="8">
        <v>32525775</v>
      </c>
      <c r="C7" s="86">
        <f t="shared" si="5"/>
        <v>672</v>
      </c>
      <c r="D7" s="24">
        <v>1130053</v>
      </c>
      <c r="E7" s="86">
        <f t="shared" si="6"/>
        <v>1914</v>
      </c>
      <c r="F7" s="24">
        <v>159623</v>
      </c>
      <c r="G7" s="107">
        <f t="shared" si="7"/>
        <v>1191</v>
      </c>
      <c r="H7" s="95">
        <f t="shared" si="1"/>
        <v>1395</v>
      </c>
      <c r="I7" s="97">
        <f t="shared" si="2"/>
        <v>1079.9860215061026</v>
      </c>
      <c r="J7" s="41">
        <v>4775665.2</v>
      </c>
      <c r="K7" s="108">
        <f t="shared" si="8"/>
        <v>116</v>
      </c>
      <c r="L7" s="11">
        <v>470040.21385902102</v>
      </c>
      <c r="M7" s="108">
        <f t="shared" si="9"/>
        <v>14.568697729962878</v>
      </c>
      <c r="N7" s="11">
        <v>134550.66786141001</v>
      </c>
      <c r="O7" s="108">
        <f t="shared" si="10"/>
        <v>69.774313022004208</v>
      </c>
      <c r="P7" s="41">
        <v>3036.3548387096798</v>
      </c>
      <c r="Q7" s="109">
        <f t="shared" si="11"/>
        <v>114.67096774193033</v>
      </c>
      <c r="R7" s="17">
        <f t="shared" si="12"/>
        <v>45722</v>
      </c>
      <c r="S7" s="105">
        <v>5571</v>
      </c>
      <c r="T7" s="110"/>
      <c r="U7" s="111">
        <f t="shared" si="13"/>
        <v>0</v>
      </c>
      <c r="V7" s="13">
        <v>0.55000000000000004</v>
      </c>
      <c r="W7" s="30">
        <v>0.6</v>
      </c>
      <c r="X7" s="31">
        <f t="shared" si="0"/>
        <v>2875</v>
      </c>
      <c r="Y7" s="102"/>
      <c r="Z7" s="101">
        <f t="shared" si="3"/>
        <v>25</v>
      </c>
      <c r="AA7" s="33">
        <v>112272</v>
      </c>
      <c r="AB7" s="111">
        <f t="shared" si="14"/>
        <v>14</v>
      </c>
      <c r="AC7" s="33">
        <v>1339.5</v>
      </c>
      <c r="AD7" s="111">
        <f t="shared" si="15"/>
        <v>4.5</v>
      </c>
      <c r="AE7" s="35">
        <v>73027</v>
      </c>
      <c r="AF7" s="111">
        <f t="shared" si="16"/>
        <v>0</v>
      </c>
      <c r="AG7" s="38">
        <v>3100</v>
      </c>
      <c r="AH7" s="81">
        <v>0</v>
      </c>
      <c r="AI7" s="101">
        <f t="shared" si="4"/>
        <v>0</v>
      </c>
      <c r="AJ7" s="10">
        <v>0</v>
      </c>
      <c r="AK7" s="15">
        <v>0</v>
      </c>
    </row>
    <row r="8" spans="1:37" x14ac:dyDescent="0.2">
      <c r="A8" s="17">
        <v>45723</v>
      </c>
      <c r="B8" s="8">
        <v>32526447</v>
      </c>
      <c r="C8" s="86">
        <f t="shared" si="5"/>
        <v>780.33333333209157</v>
      </c>
      <c r="D8" s="24">
        <v>1131967</v>
      </c>
      <c r="E8" s="86">
        <f t="shared" si="6"/>
        <v>1245.3333333332557</v>
      </c>
      <c r="F8" s="24">
        <v>160814</v>
      </c>
      <c r="G8" s="107">
        <f t="shared" si="7"/>
        <v>764.66666666665697</v>
      </c>
      <c r="H8" s="95">
        <f t="shared" si="1"/>
        <v>1260.9999999986903</v>
      </c>
      <c r="I8" s="97">
        <f t="shared" si="2"/>
        <v>939.852688170899</v>
      </c>
      <c r="J8" s="41">
        <v>4775781.2</v>
      </c>
      <c r="K8" s="108">
        <f t="shared" si="8"/>
        <v>122.13333333283663</v>
      </c>
      <c r="L8" s="11">
        <v>470054.78255675099</v>
      </c>
      <c r="M8" s="108">
        <f t="shared" si="9"/>
        <v>14.568697730021086</v>
      </c>
      <c r="N8" s="11">
        <v>134620.44217443201</v>
      </c>
      <c r="O8" s="108">
        <f t="shared" si="10"/>
        <v>69.774313022993738</v>
      </c>
      <c r="P8" s="41">
        <v>3151.0258064516102</v>
      </c>
      <c r="Q8" s="109">
        <f t="shared" si="11"/>
        <v>114.67096774193988</v>
      </c>
      <c r="R8" s="17">
        <f t="shared" si="12"/>
        <v>45723</v>
      </c>
      <c r="S8" s="105">
        <v>5571</v>
      </c>
      <c r="T8" s="110"/>
      <c r="U8" s="111">
        <f t="shared" si="13"/>
        <v>0</v>
      </c>
      <c r="V8" s="13">
        <v>0.54</v>
      </c>
      <c r="W8" s="30">
        <v>0.6</v>
      </c>
      <c r="X8" s="31">
        <f t="shared" si="0"/>
        <v>2850</v>
      </c>
      <c r="Y8" s="102"/>
      <c r="Z8" s="101">
        <f t="shared" si="3"/>
        <v>0</v>
      </c>
      <c r="AA8" s="33">
        <v>112286</v>
      </c>
      <c r="AB8" s="111">
        <f t="shared" si="14"/>
        <v>14.333333333328483</v>
      </c>
      <c r="AC8" s="33">
        <v>1344</v>
      </c>
      <c r="AD8" s="111">
        <f t="shared" si="15"/>
        <v>4.966666666666697</v>
      </c>
      <c r="AE8" s="35">
        <v>73027</v>
      </c>
      <c r="AF8" s="111">
        <f t="shared" si="16"/>
        <v>0</v>
      </c>
      <c r="AG8" s="38">
        <v>3100</v>
      </c>
      <c r="AH8" s="81">
        <v>0</v>
      </c>
      <c r="AI8" s="101">
        <f t="shared" si="4"/>
        <v>0</v>
      </c>
      <c r="AJ8" s="10">
        <v>0</v>
      </c>
      <c r="AK8" s="15">
        <v>0</v>
      </c>
    </row>
    <row r="9" spans="1:37" x14ac:dyDescent="0.2">
      <c r="A9" s="17">
        <v>45724</v>
      </c>
      <c r="B9" s="8">
        <v>32527227.333333332</v>
      </c>
      <c r="C9" s="86">
        <f t="shared" si="5"/>
        <v>780.33333333209157</v>
      </c>
      <c r="D9" s="24">
        <v>1133212.3333333333</v>
      </c>
      <c r="E9" s="86">
        <f t="shared" si="6"/>
        <v>1245.3333333332557</v>
      </c>
      <c r="F9" s="24">
        <v>161578.66666666666</v>
      </c>
      <c r="G9" s="107">
        <f t="shared" si="7"/>
        <v>764.66666666665697</v>
      </c>
      <c r="H9" s="95">
        <f t="shared" si="1"/>
        <v>1260.9999999986903</v>
      </c>
      <c r="I9" s="97">
        <f t="shared" si="2"/>
        <v>939.852688170909</v>
      </c>
      <c r="J9" s="41">
        <v>4775903.333333333</v>
      </c>
      <c r="K9" s="108">
        <f t="shared" si="8"/>
        <v>122.13333333283663</v>
      </c>
      <c r="L9" s="11">
        <v>470069.35125448101</v>
      </c>
      <c r="M9" s="108">
        <f t="shared" si="9"/>
        <v>14.568697730021086</v>
      </c>
      <c r="N9" s="11">
        <v>134690.21648745501</v>
      </c>
      <c r="O9" s="108">
        <f t="shared" si="10"/>
        <v>69.774313022993738</v>
      </c>
      <c r="P9" s="41">
        <v>3265.69677419355</v>
      </c>
      <c r="Q9" s="109">
        <f t="shared" si="11"/>
        <v>114.67096774192987</v>
      </c>
      <c r="R9" s="17">
        <f t="shared" si="12"/>
        <v>45724</v>
      </c>
      <c r="S9" s="105">
        <v>5571</v>
      </c>
      <c r="T9" s="110"/>
      <c r="U9" s="111">
        <f t="shared" si="13"/>
        <v>0</v>
      </c>
      <c r="V9" s="13">
        <v>0.54</v>
      </c>
      <c r="W9" s="30">
        <v>0.6</v>
      </c>
      <c r="X9" s="31">
        <f t="shared" si="0"/>
        <v>2850</v>
      </c>
      <c r="Y9" s="102"/>
      <c r="Z9" s="101">
        <f t="shared" si="3"/>
        <v>0</v>
      </c>
      <c r="AA9" s="33">
        <v>112300.33333333333</v>
      </c>
      <c r="AB9" s="111">
        <f t="shared" si="14"/>
        <v>14.333333333328483</v>
      </c>
      <c r="AC9" s="33">
        <v>1348.9666666666667</v>
      </c>
      <c r="AD9" s="111">
        <f t="shared" si="15"/>
        <v>4.966666666666697</v>
      </c>
      <c r="AE9" s="35">
        <v>73027</v>
      </c>
      <c r="AF9" s="111">
        <f t="shared" si="16"/>
        <v>0</v>
      </c>
      <c r="AG9" s="38">
        <v>3100</v>
      </c>
      <c r="AH9" s="81">
        <v>0</v>
      </c>
      <c r="AI9" s="101">
        <f t="shared" si="4"/>
        <v>0</v>
      </c>
      <c r="AJ9" s="10">
        <v>0</v>
      </c>
      <c r="AK9" s="15">
        <v>0</v>
      </c>
    </row>
    <row r="10" spans="1:37" x14ac:dyDescent="0.2">
      <c r="A10" s="17">
        <v>45725</v>
      </c>
      <c r="B10" s="8">
        <v>32528007.666666664</v>
      </c>
      <c r="C10" s="86">
        <f t="shared" si="5"/>
        <v>780.33333333581686</v>
      </c>
      <c r="D10" s="24">
        <v>1134457.6666666665</v>
      </c>
      <c r="E10" s="86">
        <f t="shared" si="6"/>
        <v>1245.3333333334886</v>
      </c>
      <c r="F10" s="24">
        <v>162343.33333333331</v>
      </c>
      <c r="G10" s="107">
        <f t="shared" si="7"/>
        <v>764.66666666668607</v>
      </c>
      <c r="H10" s="95">
        <f t="shared" si="1"/>
        <v>1261.0000000026193</v>
      </c>
      <c r="I10" s="97">
        <f t="shared" si="2"/>
        <v>939.85268817494443</v>
      </c>
      <c r="J10" s="41">
        <v>4776025.4666666659</v>
      </c>
      <c r="K10" s="108">
        <f t="shared" si="8"/>
        <v>122.13333333376795</v>
      </c>
      <c r="L10" s="11">
        <v>470083.91995221103</v>
      </c>
      <c r="M10" s="108">
        <f t="shared" si="9"/>
        <v>14.568697729962878</v>
      </c>
      <c r="N10" s="11">
        <v>134759.990800478</v>
      </c>
      <c r="O10" s="108">
        <f t="shared" si="10"/>
        <v>69.774313022004208</v>
      </c>
      <c r="P10" s="41">
        <v>3380.3677419354799</v>
      </c>
      <c r="Q10" s="109">
        <f t="shared" si="11"/>
        <v>114.67096774193988</v>
      </c>
      <c r="R10" s="17">
        <f t="shared" si="12"/>
        <v>45725</v>
      </c>
      <c r="S10" s="105">
        <v>5571</v>
      </c>
      <c r="T10" s="110"/>
      <c r="U10" s="111">
        <f t="shared" si="13"/>
        <v>0</v>
      </c>
      <c r="V10" s="13">
        <v>0.54</v>
      </c>
      <c r="W10" s="30">
        <v>0.6</v>
      </c>
      <c r="X10" s="31">
        <f t="shared" si="0"/>
        <v>2850</v>
      </c>
      <c r="Y10" s="102"/>
      <c r="Z10" s="101">
        <f t="shared" si="3"/>
        <v>0</v>
      </c>
      <c r="AA10" s="33">
        <v>112314.66666666666</v>
      </c>
      <c r="AB10" s="111">
        <f t="shared" si="14"/>
        <v>14.333333333343035</v>
      </c>
      <c r="AC10" s="33">
        <v>1353.9333333333334</v>
      </c>
      <c r="AD10" s="111">
        <f t="shared" si="15"/>
        <v>4.966666666666697</v>
      </c>
      <c r="AE10" s="35">
        <v>73027</v>
      </c>
      <c r="AF10" s="111">
        <f t="shared" si="16"/>
        <v>0</v>
      </c>
      <c r="AG10" s="38">
        <v>3100</v>
      </c>
      <c r="AH10" s="81">
        <v>0</v>
      </c>
      <c r="AI10" s="101">
        <f t="shared" si="4"/>
        <v>0</v>
      </c>
      <c r="AJ10" s="10">
        <v>0</v>
      </c>
      <c r="AK10" s="15">
        <v>0</v>
      </c>
    </row>
    <row r="11" spans="1:37" x14ac:dyDescent="0.2">
      <c r="A11" s="17">
        <v>45726</v>
      </c>
      <c r="B11" s="8">
        <v>32528788</v>
      </c>
      <c r="C11" s="86">
        <f t="shared" si="5"/>
        <v>1107</v>
      </c>
      <c r="D11" s="24">
        <v>1135703</v>
      </c>
      <c r="E11" s="86">
        <f t="shared" si="6"/>
        <v>586</v>
      </c>
      <c r="F11" s="24">
        <v>163108</v>
      </c>
      <c r="G11" s="107">
        <f t="shared" si="7"/>
        <v>283</v>
      </c>
      <c r="H11" s="95">
        <f t="shared" si="1"/>
        <v>1410</v>
      </c>
      <c r="I11" s="97">
        <f t="shared" si="2"/>
        <v>1024.1860215042998</v>
      </c>
      <c r="J11" s="41">
        <v>4776147.5999999996</v>
      </c>
      <c r="K11" s="108">
        <f t="shared" si="8"/>
        <v>186.80000000074506</v>
      </c>
      <c r="L11" s="11">
        <v>470098.48864994099</v>
      </c>
      <c r="M11" s="108">
        <f t="shared" si="9"/>
        <v>14.568697730021086</v>
      </c>
      <c r="N11" s="11">
        <v>134829.76511350001</v>
      </c>
      <c r="O11" s="108">
        <f t="shared" si="10"/>
        <v>69.774313022993738</v>
      </c>
      <c r="P11" s="41">
        <v>3495.0387096774198</v>
      </c>
      <c r="Q11" s="109">
        <f t="shared" si="11"/>
        <v>114.67096774194033</v>
      </c>
      <c r="R11" s="17">
        <f t="shared" si="12"/>
        <v>45726</v>
      </c>
      <c r="S11" s="105">
        <v>5571</v>
      </c>
      <c r="T11" s="110"/>
      <c r="U11" s="111">
        <f t="shared" si="13"/>
        <v>0</v>
      </c>
      <c r="V11" s="13">
        <v>0.54</v>
      </c>
      <c r="W11" s="30">
        <v>0.6</v>
      </c>
      <c r="X11" s="31">
        <f t="shared" si="0"/>
        <v>2850</v>
      </c>
      <c r="Y11" s="102"/>
      <c r="Z11" s="101">
        <f t="shared" si="3"/>
        <v>0</v>
      </c>
      <c r="AA11" s="33">
        <v>112329</v>
      </c>
      <c r="AB11" s="111">
        <f t="shared" si="14"/>
        <v>36</v>
      </c>
      <c r="AC11" s="33">
        <v>1358.9</v>
      </c>
      <c r="AD11" s="111">
        <f t="shared" si="15"/>
        <v>9.7999999999999545</v>
      </c>
      <c r="AE11" s="35">
        <v>73027</v>
      </c>
      <c r="AF11" s="111">
        <f t="shared" si="16"/>
        <v>0</v>
      </c>
      <c r="AG11" s="38">
        <v>3100</v>
      </c>
      <c r="AH11" s="81">
        <v>0</v>
      </c>
      <c r="AI11" s="101">
        <f t="shared" si="4"/>
        <v>0</v>
      </c>
      <c r="AJ11" s="10">
        <v>0</v>
      </c>
      <c r="AK11" s="15">
        <v>0</v>
      </c>
    </row>
    <row r="12" spans="1:37" x14ac:dyDescent="0.2">
      <c r="A12" s="17">
        <v>45727</v>
      </c>
      <c r="B12" s="8">
        <v>32529895</v>
      </c>
      <c r="C12" s="86">
        <f t="shared" si="5"/>
        <v>724</v>
      </c>
      <c r="D12" s="24">
        <v>1136289</v>
      </c>
      <c r="E12" s="86">
        <f t="shared" si="6"/>
        <v>2126</v>
      </c>
      <c r="F12" s="24">
        <v>163391</v>
      </c>
      <c r="G12" s="107">
        <f t="shared" si="7"/>
        <v>1378</v>
      </c>
      <c r="H12" s="95">
        <f t="shared" si="1"/>
        <v>1472</v>
      </c>
      <c r="I12" s="97">
        <f t="shared" si="2"/>
        <v>1091.7860215058586</v>
      </c>
      <c r="J12" s="41">
        <v>4776334.4000000004</v>
      </c>
      <c r="K12" s="108">
        <f t="shared" si="8"/>
        <v>181.19999999925494</v>
      </c>
      <c r="L12" s="11">
        <v>470113.05734767101</v>
      </c>
      <c r="M12" s="108">
        <f t="shared" si="9"/>
        <v>14.568697729962878</v>
      </c>
      <c r="N12" s="11">
        <v>134899.539426523</v>
      </c>
      <c r="O12" s="108">
        <f t="shared" si="10"/>
        <v>69.774313022993738</v>
      </c>
      <c r="P12" s="41">
        <v>3609.7096774193601</v>
      </c>
      <c r="Q12" s="109">
        <f t="shared" si="11"/>
        <v>114.67096774192987</v>
      </c>
      <c r="R12" s="17">
        <f t="shared" si="12"/>
        <v>45727</v>
      </c>
      <c r="S12" s="105">
        <v>5571</v>
      </c>
      <c r="T12" s="110"/>
      <c r="U12" s="111">
        <f t="shared" si="13"/>
        <v>0</v>
      </c>
      <c r="V12" s="13">
        <v>0.54</v>
      </c>
      <c r="W12" s="30">
        <v>0.6</v>
      </c>
      <c r="X12" s="31">
        <f t="shared" si="0"/>
        <v>2850</v>
      </c>
      <c r="Y12" s="102"/>
      <c r="Z12" s="101">
        <f t="shared" si="3"/>
        <v>25</v>
      </c>
      <c r="AA12" s="33">
        <v>112365</v>
      </c>
      <c r="AB12" s="111">
        <f t="shared" si="14"/>
        <v>42</v>
      </c>
      <c r="AC12" s="33">
        <v>1368.7</v>
      </c>
      <c r="AD12" s="111">
        <f t="shared" si="15"/>
        <v>11.299999999999955</v>
      </c>
      <c r="AE12" s="35">
        <v>73027</v>
      </c>
      <c r="AF12" s="111">
        <f t="shared" si="16"/>
        <v>0</v>
      </c>
      <c r="AG12" s="38">
        <v>3100</v>
      </c>
      <c r="AH12" s="81">
        <v>0</v>
      </c>
      <c r="AI12" s="101">
        <f t="shared" si="4"/>
        <v>0</v>
      </c>
      <c r="AJ12" s="10">
        <v>0</v>
      </c>
      <c r="AK12" s="15">
        <v>0</v>
      </c>
    </row>
    <row r="13" spans="1:37" x14ac:dyDescent="0.2">
      <c r="A13" s="17">
        <v>45728</v>
      </c>
      <c r="B13" s="8">
        <v>32530619</v>
      </c>
      <c r="C13" s="86">
        <f t="shared" si="5"/>
        <v>1149</v>
      </c>
      <c r="D13" s="24">
        <v>1138415</v>
      </c>
      <c r="E13" s="86">
        <f t="shared" si="6"/>
        <v>1140</v>
      </c>
      <c r="F13" s="24">
        <v>164769</v>
      </c>
      <c r="G13" s="107">
        <f t="shared" si="7"/>
        <v>619</v>
      </c>
      <c r="H13" s="95">
        <f t="shared" si="1"/>
        <v>1670</v>
      </c>
      <c r="I13" s="97">
        <f t="shared" si="2"/>
        <v>1266.1860215052898</v>
      </c>
      <c r="J13" s="41">
        <v>4776515.5999999996</v>
      </c>
      <c r="K13" s="108">
        <f t="shared" si="8"/>
        <v>204.80000000074506</v>
      </c>
      <c r="L13" s="11">
        <v>470127.62604540098</v>
      </c>
      <c r="M13" s="108">
        <f t="shared" si="9"/>
        <v>14.568697730021086</v>
      </c>
      <c r="N13" s="11">
        <v>134969.31373954599</v>
      </c>
      <c r="O13" s="108">
        <f t="shared" si="10"/>
        <v>69.774313022004208</v>
      </c>
      <c r="P13" s="41">
        <v>3724.38064516129</v>
      </c>
      <c r="Q13" s="109">
        <f t="shared" si="11"/>
        <v>114.67096774193988</v>
      </c>
      <c r="R13" s="17">
        <f t="shared" si="12"/>
        <v>45728</v>
      </c>
      <c r="S13" s="105">
        <v>5571</v>
      </c>
      <c r="T13" s="110"/>
      <c r="U13" s="111">
        <f t="shared" si="13"/>
        <v>0</v>
      </c>
      <c r="V13" s="13">
        <v>0.54</v>
      </c>
      <c r="W13" s="30">
        <v>0.59</v>
      </c>
      <c r="X13" s="31">
        <f t="shared" si="0"/>
        <v>2825</v>
      </c>
      <c r="Y13" s="102"/>
      <c r="Z13" s="101">
        <f t="shared" si="3"/>
        <v>0</v>
      </c>
      <c r="AA13" s="33">
        <v>112407</v>
      </c>
      <c r="AB13" s="111">
        <f t="shared" si="14"/>
        <v>49</v>
      </c>
      <c r="AC13" s="33">
        <v>1380</v>
      </c>
      <c r="AD13" s="111">
        <f t="shared" si="15"/>
        <v>6</v>
      </c>
      <c r="AE13" s="35">
        <v>73027</v>
      </c>
      <c r="AF13" s="111">
        <f t="shared" si="16"/>
        <v>0</v>
      </c>
      <c r="AG13" s="38">
        <v>3100</v>
      </c>
      <c r="AH13" s="81">
        <v>0</v>
      </c>
      <c r="AI13" s="101">
        <f t="shared" si="4"/>
        <v>0</v>
      </c>
      <c r="AJ13" s="10">
        <v>0</v>
      </c>
      <c r="AK13" s="15">
        <v>0</v>
      </c>
    </row>
    <row r="14" spans="1:37" x14ac:dyDescent="0.2">
      <c r="A14" s="17">
        <v>45729</v>
      </c>
      <c r="B14" s="8">
        <v>32531768</v>
      </c>
      <c r="C14" s="86">
        <f t="shared" si="5"/>
        <v>844</v>
      </c>
      <c r="D14" s="24">
        <v>1139555</v>
      </c>
      <c r="E14" s="86">
        <f t="shared" si="6"/>
        <v>2163</v>
      </c>
      <c r="F14" s="24">
        <v>165388</v>
      </c>
      <c r="G14" s="107">
        <f t="shared" si="7"/>
        <v>1281</v>
      </c>
      <c r="H14" s="95">
        <f t="shared" si="1"/>
        <v>1726</v>
      </c>
      <c r="I14" s="97">
        <f t="shared" si="2"/>
        <v>1274.1860215062306</v>
      </c>
      <c r="J14" s="41">
        <v>4776720.4000000004</v>
      </c>
      <c r="K14" s="108">
        <f t="shared" si="8"/>
        <v>252.79999999981374</v>
      </c>
      <c r="L14" s="11">
        <v>470142.194743131</v>
      </c>
      <c r="M14" s="108">
        <f t="shared" si="9"/>
        <v>14.568697729031555</v>
      </c>
      <c r="N14" s="11">
        <v>135039.088052568</v>
      </c>
      <c r="O14" s="108">
        <f t="shared" si="10"/>
        <v>69.774313022993738</v>
      </c>
      <c r="P14" s="41">
        <v>3839.0516129032299</v>
      </c>
      <c r="Q14" s="109">
        <f t="shared" si="11"/>
        <v>114.67096774193033</v>
      </c>
      <c r="R14" s="17">
        <f t="shared" si="12"/>
        <v>45729</v>
      </c>
      <c r="S14" s="105">
        <v>5571</v>
      </c>
      <c r="T14" s="110"/>
      <c r="U14" s="111">
        <f t="shared" si="13"/>
        <v>0</v>
      </c>
      <c r="V14" s="13">
        <v>0.54</v>
      </c>
      <c r="W14" s="30">
        <v>0.59</v>
      </c>
      <c r="X14" s="31">
        <f t="shared" si="0"/>
        <v>2825</v>
      </c>
      <c r="Y14" s="102"/>
      <c r="Z14" s="101">
        <f t="shared" si="3"/>
        <v>25</v>
      </c>
      <c r="AA14" s="33">
        <v>112456</v>
      </c>
      <c r="AB14" s="111">
        <f t="shared" si="14"/>
        <v>26</v>
      </c>
      <c r="AC14" s="33">
        <v>1386</v>
      </c>
      <c r="AD14" s="111">
        <f t="shared" si="15"/>
        <v>10</v>
      </c>
      <c r="AE14" s="35">
        <v>73027</v>
      </c>
      <c r="AF14" s="111">
        <f t="shared" si="16"/>
        <v>0</v>
      </c>
      <c r="AG14" s="38">
        <v>3100</v>
      </c>
      <c r="AH14" s="81">
        <v>0</v>
      </c>
      <c r="AI14" s="101">
        <f t="shared" si="4"/>
        <v>0</v>
      </c>
      <c r="AJ14" s="10">
        <v>0</v>
      </c>
      <c r="AK14" s="15">
        <v>0</v>
      </c>
    </row>
    <row r="15" spans="1:37" x14ac:dyDescent="0.2">
      <c r="A15" s="17">
        <v>45730</v>
      </c>
      <c r="B15" s="8">
        <v>32532612</v>
      </c>
      <c r="C15" s="86">
        <f t="shared" si="5"/>
        <v>1014</v>
      </c>
      <c r="D15" s="24">
        <v>1141718</v>
      </c>
      <c r="E15" s="86">
        <f t="shared" si="6"/>
        <v>1596.6666666667443</v>
      </c>
      <c r="F15" s="24">
        <v>166669</v>
      </c>
      <c r="G15" s="107">
        <f t="shared" si="7"/>
        <v>1031.666666666657</v>
      </c>
      <c r="H15" s="95">
        <f t="shared" si="1"/>
        <v>1579.0000000000873</v>
      </c>
      <c r="I15" s="97">
        <f t="shared" si="2"/>
        <v>987.05268817158003</v>
      </c>
      <c r="J15" s="41">
        <v>4776973.2</v>
      </c>
      <c r="K15" s="108">
        <f t="shared" si="8"/>
        <v>392.93333333358169</v>
      </c>
      <c r="L15" s="11">
        <v>470156.76344086003</v>
      </c>
      <c r="M15" s="108">
        <f t="shared" si="9"/>
        <v>14.568697729962878</v>
      </c>
      <c r="N15" s="11">
        <v>135108.86236559099</v>
      </c>
      <c r="O15" s="108">
        <f t="shared" si="10"/>
        <v>69.774313023022842</v>
      </c>
      <c r="P15" s="41">
        <v>3953.7225806451602</v>
      </c>
      <c r="Q15" s="109">
        <f t="shared" si="11"/>
        <v>114.67096774193988</v>
      </c>
      <c r="R15" s="17">
        <f t="shared" si="12"/>
        <v>45730</v>
      </c>
      <c r="S15" s="105">
        <v>5571</v>
      </c>
      <c r="T15" s="110"/>
      <c r="U15" s="111">
        <f t="shared" si="13"/>
        <v>0</v>
      </c>
      <c r="V15" s="13">
        <v>0.53</v>
      </c>
      <c r="W15" s="30">
        <v>0.59</v>
      </c>
      <c r="X15" s="31">
        <f t="shared" si="0"/>
        <v>2800</v>
      </c>
      <c r="Y15" s="102"/>
      <c r="Z15" s="101">
        <f t="shared" si="3"/>
        <v>0</v>
      </c>
      <c r="AA15" s="33">
        <v>112482</v>
      </c>
      <c r="AB15" s="111">
        <f t="shared" si="14"/>
        <v>24.666666666671517</v>
      </c>
      <c r="AC15" s="33">
        <v>1396</v>
      </c>
      <c r="AD15" s="111">
        <f t="shared" si="15"/>
        <v>2.966666666666697</v>
      </c>
      <c r="AE15" s="35">
        <v>73027</v>
      </c>
      <c r="AF15" s="111">
        <f t="shared" si="16"/>
        <v>0</v>
      </c>
      <c r="AG15" s="38">
        <v>3100</v>
      </c>
      <c r="AH15" s="81">
        <v>0</v>
      </c>
      <c r="AI15" s="101">
        <f t="shared" si="4"/>
        <v>0</v>
      </c>
      <c r="AJ15" s="10">
        <v>0</v>
      </c>
      <c r="AK15" s="15">
        <v>0</v>
      </c>
    </row>
    <row r="16" spans="1:37" x14ac:dyDescent="0.2">
      <c r="A16" s="17">
        <v>45731</v>
      </c>
      <c r="B16" s="8">
        <v>32533626</v>
      </c>
      <c r="C16" s="86">
        <f t="shared" si="5"/>
        <v>1014</v>
      </c>
      <c r="D16" s="24">
        <v>1143314.6666666667</v>
      </c>
      <c r="E16" s="86">
        <f t="shared" si="6"/>
        <v>1596.6666666667443</v>
      </c>
      <c r="F16" s="24">
        <v>167700.66666666666</v>
      </c>
      <c r="G16" s="107">
        <f t="shared" si="7"/>
        <v>1031.666666666657</v>
      </c>
      <c r="H16" s="95">
        <f t="shared" si="1"/>
        <v>1579.0000000000873</v>
      </c>
      <c r="I16" s="97">
        <f t="shared" si="2"/>
        <v>987.05268817157048</v>
      </c>
      <c r="J16" s="41">
        <v>4777366.1333333338</v>
      </c>
      <c r="K16" s="108">
        <f t="shared" si="8"/>
        <v>392.93333333358169</v>
      </c>
      <c r="L16" s="11">
        <v>470171.33213858999</v>
      </c>
      <c r="M16" s="108">
        <f t="shared" si="9"/>
        <v>14.568697730021086</v>
      </c>
      <c r="N16" s="11">
        <v>135178.63667861401</v>
      </c>
      <c r="O16" s="108">
        <f t="shared" si="10"/>
        <v>69.774313022993738</v>
      </c>
      <c r="P16" s="41">
        <v>4068.3935483871001</v>
      </c>
      <c r="Q16" s="109">
        <f t="shared" si="11"/>
        <v>114.67096774192032</v>
      </c>
      <c r="R16" s="17">
        <f t="shared" si="12"/>
        <v>45731</v>
      </c>
      <c r="S16" s="105">
        <v>5571</v>
      </c>
      <c r="T16" s="110"/>
      <c r="U16" s="111">
        <f t="shared" si="13"/>
        <v>0</v>
      </c>
      <c r="V16" s="13">
        <v>0.53</v>
      </c>
      <c r="W16" s="30">
        <v>0.59</v>
      </c>
      <c r="X16" s="31">
        <f t="shared" si="0"/>
        <v>2800</v>
      </c>
      <c r="Y16" s="102"/>
      <c r="Z16" s="101">
        <f t="shared" si="3"/>
        <v>0</v>
      </c>
      <c r="AA16" s="33">
        <v>112506.66666666667</v>
      </c>
      <c r="AB16" s="111">
        <f t="shared" si="14"/>
        <v>24.666666666671517</v>
      </c>
      <c r="AC16" s="33">
        <v>1398.9666666666667</v>
      </c>
      <c r="AD16" s="111">
        <f t="shared" si="15"/>
        <v>2.966666666666697</v>
      </c>
      <c r="AE16" s="35">
        <v>73027</v>
      </c>
      <c r="AF16" s="111">
        <f t="shared" si="16"/>
        <v>0</v>
      </c>
      <c r="AG16" s="38">
        <v>3100</v>
      </c>
      <c r="AH16" s="81">
        <v>0</v>
      </c>
      <c r="AI16" s="101">
        <f t="shared" si="4"/>
        <v>0</v>
      </c>
      <c r="AJ16" s="10">
        <v>0</v>
      </c>
      <c r="AK16" s="15">
        <v>0</v>
      </c>
    </row>
    <row r="17" spans="1:37" x14ac:dyDescent="0.2">
      <c r="A17" s="17">
        <v>45732</v>
      </c>
      <c r="B17" s="8">
        <v>32534640</v>
      </c>
      <c r="C17" s="86">
        <f t="shared" si="5"/>
        <v>1014</v>
      </c>
      <c r="D17" s="24">
        <v>1144911.3333333335</v>
      </c>
      <c r="E17" s="86">
        <f t="shared" si="6"/>
        <v>1596.6666666665114</v>
      </c>
      <c r="F17" s="24">
        <v>168732.33333333331</v>
      </c>
      <c r="G17" s="107">
        <f t="shared" si="7"/>
        <v>1031.6666666666861</v>
      </c>
      <c r="H17" s="95">
        <f t="shared" si="1"/>
        <v>1578.9999999998254</v>
      </c>
      <c r="I17" s="97">
        <f t="shared" si="2"/>
        <v>987.0526881732585</v>
      </c>
      <c r="J17" s="41">
        <v>4777759.0666666673</v>
      </c>
      <c r="K17" s="108">
        <f t="shared" si="8"/>
        <v>392.93333333265036</v>
      </c>
      <c r="L17" s="11">
        <v>470185.90083632001</v>
      </c>
      <c r="M17" s="108">
        <f t="shared" si="9"/>
        <v>14.568697729962878</v>
      </c>
      <c r="N17" s="11">
        <v>135248.41099163701</v>
      </c>
      <c r="O17" s="108">
        <f t="shared" si="10"/>
        <v>69.774313022004208</v>
      </c>
      <c r="P17" s="41">
        <v>4183.0645161290204</v>
      </c>
      <c r="Q17" s="109">
        <f t="shared" si="11"/>
        <v>114.67096774194943</v>
      </c>
      <c r="R17" s="17">
        <f t="shared" si="12"/>
        <v>45732</v>
      </c>
      <c r="S17" s="105">
        <v>5571</v>
      </c>
      <c r="T17" s="110"/>
      <c r="U17" s="111">
        <f t="shared" si="13"/>
        <v>0</v>
      </c>
      <c r="V17" s="13">
        <v>0.53</v>
      </c>
      <c r="W17" s="30">
        <v>0.59</v>
      </c>
      <c r="X17" s="31">
        <f t="shared" si="0"/>
        <v>2800</v>
      </c>
      <c r="Y17" s="102"/>
      <c r="Z17" s="101">
        <f t="shared" si="3"/>
        <v>75</v>
      </c>
      <c r="AA17" s="33">
        <v>112531.33333333334</v>
      </c>
      <c r="AB17" s="111">
        <f t="shared" si="14"/>
        <v>24.666666666656965</v>
      </c>
      <c r="AC17" s="33">
        <v>1401.9333333333334</v>
      </c>
      <c r="AD17" s="111">
        <f t="shared" si="15"/>
        <v>2.966666666666697</v>
      </c>
      <c r="AE17" s="35">
        <v>73027</v>
      </c>
      <c r="AF17" s="111">
        <f t="shared" si="16"/>
        <v>0</v>
      </c>
      <c r="AG17" s="38">
        <v>3100</v>
      </c>
      <c r="AH17" s="81">
        <v>0</v>
      </c>
      <c r="AI17" s="101">
        <f t="shared" si="4"/>
        <v>0</v>
      </c>
      <c r="AJ17" s="10">
        <v>0</v>
      </c>
      <c r="AK17" s="15">
        <v>0</v>
      </c>
    </row>
    <row r="18" spans="1:37" x14ac:dyDescent="0.2">
      <c r="A18" s="17">
        <v>45733</v>
      </c>
      <c r="B18" s="8">
        <v>32535654</v>
      </c>
      <c r="C18" s="86">
        <f t="shared" si="5"/>
        <v>1081</v>
      </c>
      <c r="D18" s="24">
        <v>1146508</v>
      </c>
      <c r="E18" s="86">
        <f t="shared" si="6"/>
        <v>1375</v>
      </c>
      <c r="F18" s="24">
        <v>169764</v>
      </c>
      <c r="G18" s="107">
        <f t="shared" si="7"/>
        <v>449</v>
      </c>
      <c r="H18" s="95">
        <f t="shared" si="1"/>
        <v>2007</v>
      </c>
      <c r="I18" s="97">
        <f t="shared" si="2"/>
        <v>1601.5860215046723</v>
      </c>
      <c r="J18" s="41">
        <v>4778152</v>
      </c>
      <c r="K18" s="108">
        <f t="shared" si="8"/>
        <v>206.40000000037253</v>
      </c>
      <c r="L18" s="11">
        <v>470200.46953404997</v>
      </c>
      <c r="M18" s="108">
        <f t="shared" si="9"/>
        <v>14.568697730021086</v>
      </c>
      <c r="N18" s="11">
        <v>135318.18530465901</v>
      </c>
      <c r="O18" s="108">
        <f t="shared" si="10"/>
        <v>69.774313022993738</v>
      </c>
      <c r="P18" s="41">
        <v>4297.7354838709698</v>
      </c>
      <c r="Q18" s="109">
        <f t="shared" si="11"/>
        <v>114.67096774194033</v>
      </c>
      <c r="R18" s="17">
        <f t="shared" si="12"/>
        <v>45733</v>
      </c>
      <c r="S18" s="105">
        <v>5571</v>
      </c>
      <c r="T18" s="110"/>
      <c r="U18" s="111">
        <f t="shared" si="13"/>
        <v>0</v>
      </c>
      <c r="V18" s="13">
        <v>0.54</v>
      </c>
      <c r="W18" s="30">
        <v>0.55000000000000004</v>
      </c>
      <c r="X18" s="31">
        <f t="shared" si="0"/>
        <v>2725</v>
      </c>
      <c r="Y18" s="102"/>
      <c r="Z18" s="101">
        <f t="shared" si="3"/>
        <v>0</v>
      </c>
      <c r="AA18" s="33">
        <v>112556</v>
      </c>
      <c r="AB18" s="111">
        <f t="shared" si="14"/>
        <v>88</v>
      </c>
      <c r="AC18" s="33">
        <v>1404.9</v>
      </c>
      <c r="AD18" s="111">
        <f t="shared" si="15"/>
        <v>2</v>
      </c>
      <c r="AE18" s="35">
        <v>73027</v>
      </c>
      <c r="AF18" s="111">
        <f t="shared" si="16"/>
        <v>0</v>
      </c>
      <c r="AG18" s="38">
        <v>3100</v>
      </c>
      <c r="AH18" s="81">
        <v>0</v>
      </c>
      <c r="AI18" s="101">
        <f t="shared" si="4"/>
        <v>0</v>
      </c>
      <c r="AJ18" s="10">
        <v>0</v>
      </c>
      <c r="AK18" s="15">
        <v>0</v>
      </c>
    </row>
    <row r="19" spans="1:37" x14ac:dyDescent="0.2">
      <c r="A19" s="17">
        <v>45734</v>
      </c>
      <c r="B19" s="8">
        <v>32536735</v>
      </c>
      <c r="C19" s="86">
        <f t="shared" si="5"/>
        <v>1042</v>
      </c>
      <c r="D19" s="24">
        <v>1147883</v>
      </c>
      <c r="E19" s="86">
        <f t="shared" si="6"/>
        <v>2214</v>
      </c>
      <c r="F19" s="24">
        <v>170213</v>
      </c>
      <c r="G19" s="107">
        <f t="shared" si="7"/>
        <v>1105</v>
      </c>
      <c r="H19" s="95">
        <f t="shared" si="1"/>
        <v>2151</v>
      </c>
      <c r="I19" s="97">
        <f t="shared" si="2"/>
        <v>1734.9860215050558</v>
      </c>
      <c r="J19" s="41">
        <v>4778358.4000000004</v>
      </c>
      <c r="K19" s="108">
        <f t="shared" si="8"/>
        <v>217</v>
      </c>
      <c r="L19" s="11">
        <v>470215.03823178</v>
      </c>
      <c r="M19" s="108">
        <f t="shared" si="9"/>
        <v>14.568697730021086</v>
      </c>
      <c r="N19" s="11">
        <v>135387.95961768201</v>
      </c>
      <c r="O19" s="108">
        <f t="shared" si="10"/>
        <v>69.774313022993738</v>
      </c>
      <c r="P19" s="41">
        <v>4412.4064516129101</v>
      </c>
      <c r="Q19" s="109">
        <f t="shared" si="11"/>
        <v>114.67096774192942</v>
      </c>
      <c r="R19" s="17">
        <f t="shared" si="12"/>
        <v>45734</v>
      </c>
      <c r="S19" s="105">
        <v>5571</v>
      </c>
      <c r="T19" s="110"/>
      <c r="U19" s="111">
        <f t="shared" si="13"/>
        <v>99</v>
      </c>
      <c r="V19" s="13">
        <v>0.54</v>
      </c>
      <c r="W19" s="30">
        <v>0.55000000000000004</v>
      </c>
      <c r="X19" s="31">
        <f t="shared" si="0"/>
        <v>2725</v>
      </c>
      <c r="Y19" s="102">
        <v>1520.47</v>
      </c>
      <c r="Z19" s="101">
        <f t="shared" si="3"/>
        <v>245.47000000000025</v>
      </c>
      <c r="AA19" s="33">
        <v>112644</v>
      </c>
      <c r="AB19" s="111">
        <f t="shared" si="14"/>
        <v>71</v>
      </c>
      <c r="AC19" s="33">
        <v>1406.9</v>
      </c>
      <c r="AD19" s="111">
        <f t="shared" si="15"/>
        <v>5.5999999999999091</v>
      </c>
      <c r="AE19" s="35">
        <v>73027</v>
      </c>
      <c r="AF19" s="111">
        <f t="shared" si="16"/>
        <v>0</v>
      </c>
      <c r="AG19" s="38">
        <v>3100</v>
      </c>
      <c r="AH19" s="81">
        <v>0</v>
      </c>
      <c r="AI19" s="101">
        <f t="shared" si="4"/>
        <v>0</v>
      </c>
      <c r="AJ19" s="10">
        <v>0</v>
      </c>
      <c r="AK19" s="15">
        <v>0</v>
      </c>
    </row>
    <row r="20" spans="1:37" x14ac:dyDescent="0.2">
      <c r="A20" s="17">
        <v>45735</v>
      </c>
      <c r="B20" s="8">
        <v>32537777</v>
      </c>
      <c r="C20" s="86">
        <f t="shared" si="5"/>
        <v>1538</v>
      </c>
      <c r="D20" s="24">
        <v>1150097</v>
      </c>
      <c r="E20" s="86">
        <f t="shared" si="6"/>
        <v>1402</v>
      </c>
      <c r="F20" s="24">
        <v>171318</v>
      </c>
      <c r="G20" s="107">
        <f t="shared" si="7"/>
        <v>412</v>
      </c>
      <c r="H20" s="95">
        <f t="shared" si="1"/>
        <v>2528</v>
      </c>
      <c r="I20" s="97">
        <f t="shared" si="2"/>
        <v>2079.1860215062788</v>
      </c>
      <c r="J20" s="41">
        <v>4778575.4000000004</v>
      </c>
      <c r="K20" s="108">
        <f t="shared" si="8"/>
        <v>249.79999999981374</v>
      </c>
      <c r="L20" s="11">
        <v>470229.60692951002</v>
      </c>
      <c r="M20" s="108">
        <f t="shared" si="9"/>
        <v>14.568697729962878</v>
      </c>
      <c r="N20" s="11">
        <v>135457.733930705</v>
      </c>
      <c r="O20" s="108">
        <f t="shared" si="10"/>
        <v>69.774313022004208</v>
      </c>
      <c r="P20" s="41">
        <v>4527.0774193548395</v>
      </c>
      <c r="Q20" s="109">
        <f t="shared" si="11"/>
        <v>114.67096774194033</v>
      </c>
      <c r="R20" s="17">
        <f t="shared" si="12"/>
        <v>45735</v>
      </c>
      <c r="S20" s="105">
        <v>5472</v>
      </c>
      <c r="T20" s="110"/>
      <c r="U20" s="111">
        <f t="shared" si="13"/>
        <v>99</v>
      </c>
      <c r="V20" s="13">
        <v>0.8</v>
      </c>
      <c r="W20" s="30">
        <v>0.8</v>
      </c>
      <c r="X20" s="31">
        <f t="shared" si="0"/>
        <v>4000</v>
      </c>
      <c r="Y20" s="102"/>
      <c r="Z20" s="101">
        <f t="shared" si="3"/>
        <v>75</v>
      </c>
      <c r="AA20" s="33">
        <v>112715</v>
      </c>
      <c r="AB20" s="111">
        <f t="shared" si="14"/>
        <v>60</v>
      </c>
      <c r="AC20" s="33">
        <v>1412.5</v>
      </c>
      <c r="AD20" s="111">
        <f t="shared" si="15"/>
        <v>2.2999999999999545</v>
      </c>
      <c r="AE20" s="35">
        <v>73027</v>
      </c>
      <c r="AF20" s="111">
        <f t="shared" si="16"/>
        <v>0</v>
      </c>
      <c r="AG20" s="38">
        <v>3100</v>
      </c>
      <c r="AH20" s="81">
        <v>0</v>
      </c>
      <c r="AI20" s="101">
        <f t="shared" si="4"/>
        <v>0</v>
      </c>
      <c r="AJ20" s="10">
        <v>0</v>
      </c>
      <c r="AK20" s="15">
        <v>0</v>
      </c>
    </row>
    <row r="21" spans="1:37" x14ac:dyDescent="0.2">
      <c r="A21" s="17">
        <v>45736</v>
      </c>
      <c r="B21" s="8">
        <v>32539315</v>
      </c>
      <c r="C21" s="86">
        <f t="shared" si="5"/>
        <v>1826</v>
      </c>
      <c r="D21" s="24">
        <v>1151499</v>
      </c>
      <c r="E21" s="86">
        <f t="shared" si="6"/>
        <v>1969</v>
      </c>
      <c r="F21" s="24">
        <v>171730</v>
      </c>
      <c r="G21" s="107">
        <f t="shared" si="7"/>
        <v>896</v>
      </c>
      <c r="H21" s="95">
        <f t="shared" si="1"/>
        <v>2899</v>
      </c>
      <c r="I21" s="97">
        <f t="shared" si="2"/>
        <v>1961.5860215056236</v>
      </c>
      <c r="J21" s="41">
        <v>4778825.2</v>
      </c>
      <c r="K21" s="108">
        <f t="shared" si="8"/>
        <v>738.39999999944121</v>
      </c>
      <c r="L21" s="11">
        <v>470244.17562723998</v>
      </c>
      <c r="M21" s="108">
        <f t="shared" si="9"/>
        <v>14.568697730021086</v>
      </c>
      <c r="N21" s="11">
        <v>135527.508243727</v>
      </c>
      <c r="O21" s="108">
        <f t="shared" si="10"/>
        <v>69.774313022993738</v>
      </c>
      <c r="P21" s="41">
        <v>4641.7483870967799</v>
      </c>
      <c r="Q21" s="109">
        <f t="shared" si="11"/>
        <v>114.67096774192032</v>
      </c>
      <c r="R21" s="17">
        <f t="shared" si="12"/>
        <v>45736</v>
      </c>
      <c r="S21" s="105">
        <v>5373</v>
      </c>
      <c r="T21" s="110"/>
      <c r="U21" s="111">
        <f t="shared" si="13"/>
        <v>0</v>
      </c>
      <c r="V21" s="13">
        <v>0.77</v>
      </c>
      <c r="W21" s="30">
        <v>0.8</v>
      </c>
      <c r="X21" s="31">
        <f t="shared" si="0"/>
        <v>3925</v>
      </c>
      <c r="Y21" s="102"/>
      <c r="Z21" s="101">
        <f t="shared" si="3"/>
        <v>25</v>
      </c>
      <c r="AA21" s="33">
        <v>112775</v>
      </c>
      <c r="AB21" s="111">
        <f t="shared" si="14"/>
        <v>57</v>
      </c>
      <c r="AC21" s="33">
        <v>1414.8</v>
      </c>
      <c r="AD21" s="111">
        <f t="shared" si="15"/>
        <v>6.4000000000000909</v>
      </c>
      <c r="AE21" s="35">
        <v>73027</v>
      </c>
      <c r="AF21" s="111">
        <f t="shared" si="16"/>
        <v>0</v>
      </c>
      <c r="AG21" s="38">
        <v>3100</v>
      </c>
      <c r="AH21" s="81">
        <v>0</v>
      </c>
      <c r="AI21" s="101">
        <f t="shared" si="4"/>
        <v>0</v>
      </c>
      <c r="AJ21" s="10">
        <v>0</v>
      </c>
      <c r="AK21" s="15">
        <v>0</v>
      </c>
    </row>
    <row r="22" spans="1:37" x14ac:dyDescent="0.2">
      <c r="A22" s="17">
        <v>45737</v>
      </c>
      <c r="B22" s="8">
        <v>32541141</v>
      </c>
      <c r="C22" s="86">
        <f t="shared" si="5"/>
        <v>2707</v>
      </c>
      <c r="D22" s="24">
        <v>1153468</v>
      </c>
      <c r="E22" s="86">
        <f t="shared" si="6"/>
        <v>1250</v>
      </c>
      <c r="F22" s="24">
        <v>172626</v>
      </c>
      <c r="G22" s="107">
        <f t="shared" si="7"/>
        <v>138</v>
      </c>
      <c r="H22" s="95">
        <f t="shared" si="1"/>
        <v>3819</v>
      </c>
      <c r="I22" s="97">
        <f t="shared" si="2"/>
        <v>2502.386021504477</v>
      </c>
      <c r="J22" s="41">
        <v>4779563.5999999996</v>
      </c>
      <c r="K22" s="108">
        <f t="shared" si="8"/>
        <v>1117.6000000005588</v>
      </c>
      <c r="L22" s="11">
        <v>470258.74432497</v>
      </c>
      <c r="M22" s="108">
        <f t="shared" si="9"/>
        <v>14.568697730021086</v>
      </c>
      <c r="N22" s="11">
        <v>135597.28255675</v>
      </c>
      <c r="O22" s="108">
        <f t="shared" si="10"/>
        <v>69.774313022993738</v>
      </c>
      <c r="P22" s="41">
        <v>4756.4193548387002</v>
      </c>
      <c r="Q22" s="109">
        <f t="shared" si="11"/>
        <v>114.67096774194943</v>
      </c>
      <c r="R22" s="17">
        <f t="shared" si="12"/>
        <v>45737</v>
      </c>
      <c r="S22" s="105">
        <v>5373</v>
      </c>
      <c r="T22" s="110"/>
      <c r="U22" s="111">
        <f t="shared" si="13"/>
        <v>392</v>
      </c>
      <c r="V22" s="13">
        <v>0.79</v>
      </c>
      <c r="W22" s="30">
        <v>0.77</v>
      </c>
      <c r="X22" s="31">
        <f t="shared" si="0"/>
        <v>3900</v>
      </c>
      <c r="Y22" s="102"/>
      <c r="Z22" s="101">
        <f t="shared" si="3"/>
        <v>175</v>
      </c>
      <c r="AA22" s="33">
        <v>112832</v>
      </c>
      <c r="AB22" s="111">
        <f t="shared" si="14"/>
        <v>57</v>
      </c>
      <c r="AC22" s="33">
        <v>1421.2</v>
      </c>
      <c r="AD22" s="111">
        <f t="shared" si="15"/>
        <v>11.700000000000045</v>
      </c>
      <c r="AE22" s="35">
        <v>73027</v>
      </c>
      <c r="AF22" s="111">
        <f t="shared" si="16"/>
        <v>0</v>
      </c>
      <c r="AG22" s="38">
        <v>3100</v>
      </c>
      <c r="AH22" s="81">
        <v>0</v>
      </c>
      <c r="AI22" s="101">
        <f t="shared" si="4"/>
        <v>0</v>
      </c>
      <c r="AJ22" s="10">
        <v>46</v>
      </c>
      <c r="AK22" s="15">
        <v>78</v>
      </c>
    </row>
    <row r="23" spans="1:37" x14ac:dyDescent="0.2">
      <c r="A23" s="17">
        <v>45738</v>
      </c>
      <c r="B23" s="8">
        <v>32543848</v>
      </c>
      <c r="C23" s="86">
        <f t="shared" si="5"/>
        <v>2572</v>
      </c>
      <c r="D23" s="24">
        <v>1154718</v>
      </c>
      <c r="E23" s="86">
        <f t="shared" si="6"/>
        <v>2276</v>
      </c>
      <c r="F23" s="24">
        <v>172764</v>
      </c>
      <c r="G23" s="107">
        <f t="shared" si="7"/>
        <v>645</v>
      </c>
      <c r="H23" s="95">
        <f t="shared" si="1"/>
        <v>4203</v>
      </c>
      <c r="I23" s="97">
        <f t="shared" si="2"/>
        <v>2901.5860215066614</v>
      </c>
      <c r="J23" s="41">
        <v>4780681.2</v>
      </c>
      <c r="K23" s="108">
        <f t="shared" si="8"/>
        <v>1102.3999999994412</v>
      </c>
      <c r="L23" s="11">
        <v>470273.31302270002</v>
      </c>
      <c r="M23" s="108">
        <f t="shared" si="9"/>
        <v>14.568697729962878</v>
      </c>
      <c r="N23" s="11">
        <v>135667.05686977299</v>
      </c>
      <c r="O23" s="108">
        <f t="shared" si="10"/>
        <v>69.774313022004208</v>
      </c>
      <c r="P23" s="41">
        <v>4871.0903225806496</v>
      </c>
      <c r="Q23" s="109">
        <f t="shared" si="11"/>
        <v>114.67096774193033</v>
      </c>
      <c r="R23" s="17">
        <f t="shared" si="12"/>
        <v>45738</v>
      </c>
      <c r="S23" s="105">
        <v>4981</v>
      </c>
      <c r="T23" s="110"/>
      <c r="U23" s="111">
        <f t="shared" si="13"/>
        <v>289.5</v>
      </c>
      <c r="V23" s="13">
        <v>0.74</v>
      </c>
      <c r="W23" s="30">
        <v>0.75</v>
      </c>
      <c r="X23" s="31">
        <f t="shared" si="0"/>
        <v>3725</v>
      </c>
      <c r="Y23" s="102"/>
      <c r="Z23" s="101">
        <f t="shared" si="3"/>
        <v>150</v>
      </c>
      <c r="AA23" s="33">
        <v>112889</v>
      </c>
      <c r="AB23" s="111">
        <f t="shared" si="14"/>
        <v>48</v>
      </c>
      <c r="AC23" s="33">
        <v>1432.9</v>
      </c>
      <c r="AD23" s="111">
        <f t="shared" si="15"/>
        <v>3.7999999999999545</v>
      </c>
      <c r="AE23" s="35">
        <v>73027</v>
      </c>
      <c r="AF23" s="111">
        <f t="shared" si="16"/>
        <v>0</v>
      </c>
      <c r="AG23" s="38">
        <v>3100</v>
      </c>
      <c r="AH23" s="81">
        <v>0</v>
      </c>
      <c r="AI23" s="101">
        <f t="shared" si="4"/>
        <v>0</v>
      </c>
      <c r="AJ23" s="10">
        <v>97</v>
      </c>
      <c r="AK23" s="15">
        <v>172</v>
      </c>
    </row>
    <row r="24" spans="1:37" x14ac:dyDescent="0.2">
      <c r="A24" s="17">
        <v>45739</v>
      </c>
      <c r="B24" s="8">
        <v>32546420</v>
      </c>
      <c r="C24" s="86">
        <f t="shared" si="5"/>
        <v>2394</v>
      </c>
      <c r="D24" s="24">
        <v>1156994</v>
      </c>
      <c r="E24" s="86">
        <f t="shared" si="6"/>
        <v>1890</v>
      </c>
      <c r="F24" s="24">
        <v>173409</v>
      </c>
      <c r="G24" s="107">
        <f t="shared" si="7"/>
        <v>577</v>
      </c>
      <c r="H24" s="95">
        <f t="shared" si="1"/>
        <v>3707</v>
      </c>
      <c r="I24" s="97">
        <f t="shared" si="2"/>
        <v>2618.3860215044961</v>
      </c>
      <c r="J24" s="41">
        <v>4781783.5999999996</v>
      </c>
      <c r="K24" s="108">
        <f t="shared" si="8"/>
        <v>889.60000000055879</v>
      </c>
      <c r="L24" s="11">
        <v>470287.88172042998</v>
      </c>
      <c r="M24" s="108">
        <f t="shared" si="9"/>
        <v>14.568697730021086</v>
      </c>
      <c r="N24" s="11">
        <v>135736.83118279499</v>
      </c>
      <c r="O24" s="108">
        <f t="shared" si="10"/>
        <v>69.774313022993738</v>
      </c>
      <c r="P24" s="41">
        <v>4985.76129032258</v>
      </c>
      <c r="Q24" s="109">
        <f t="shared" si="11"/>
        <v>114.67096774193033</v>
      </c>
      <c r="R24" s="17">
        <f t="shared" si="12"/>
        <v>45739</v>
      </c>
      <c r="S24" s="105">
        <v>4691.5</v>
      </c>
      <c r="T24" s="110"/>
      <c r="U24" s="111">
        <f t="shared" si="13"/>
        <v>289.5</v>
      </c>
      <c r="V24" s="13">
        <v>0.7</v>
      </c>
      <c r="W24" s="30">
        <v>0.73</v>
      </c>
      <c r="X24" s="31">
        <f t="shared" si="0"/>
        <v>3575</v>
      </c>
      <c r="Y24" s="102"/>
      <c r="Z24" s="101">
        <f t="shared" si="3"/>
        <v>225</v>
      </c>
      <c r="AA24" s="33">
        <v>112937</v>
      </c>
      <c r="AB24" s="111">
        <f t="shared" si="14"/>
        <v>50</v>
      </c>
      <c r="AC24" s="33">
        <v>1436.7</v>
      </c>
      <c r="AD24" s="111">
        <f t="shared" si="15"/>
        <v>3.7999999999999545</v>
      </c>
      <c r="AE24" s="35">
        <v>73027</v>
      </c>
      <c r="AF24" s="111">
        <f t="shared" si="16"/>
        <v>0</v>
      </c>
      <c r="AG24" s="38">
        <v>3100</v>
      </c>
      <c r="AH24" s="81">
        <v>0</v>
      </c>
      <c r="AI24" s="101">
        <f t="shared" si="4"/>
        <v>0</v>
      </c>
      <c r="AJ24" s="10">
        <v>69</v>
      </c>
      <c r="AK24" s="15">
        <v>113</v>
      </c>
    </row>
    <row r="25" spans="1:37" x14ac:dyDescent="0.2">
      <c r="A25" s="17">
        <v>45740</v>
      </c>
      <c r="B25" s="8">
        <v>32548814</v>
      </c>
      <c r="C25" s="86">
        <f t="shared" si="5"/>
        <v>3210</v>
      </c>
      <c r="D25" s="24">
        <v>1158884</v>
      </c>
      <c r="E25" s="86">
        <f t="shared" si="6"/>
        <v>811</v>
      </c>
      <c r="F25" s="24">
        <v>173986</v>
      </c>
      <c r="G25" s="107">
        <f t="shared" si="7"/>
        <v>103</v>
      </c>
      <c r="H25" s="95">
        <f t="shared" si="1"/>
        <v>3918</v>
      </c>
      <c r="I25" s="97">
        <f t="shared" si="2"/>
        <v>2871.7860215048304</v>
      </c>
      <c r="J25" s="41">
        <v>4782673.2</v>
      </c>
      <c r="K25" s="108">
        <f t="shared" si="8"/>
        <v>847.20000000018626</v>
      </c>
      <c r="L25" s="11">
        <v>470302.45041816001</v>
      </c>
      <c r="M25" s="108">
        <f t="shared" si="9"/>
        <v>14.568697730021086</v>
      </c>
      <c r="N25" s="11">
        <v>135806.60549581799</v>
      </c>
      <c r="O25" s="108">
        <f t="shared" si="10"/>
        <v>69.774313023022842</v>
      </c>
      <c r="P25" s="41">
        <v>5100.4322580645103</v>
      </c>
      <c r="Q25" s="109">
        <f t="shared" si="11"/>
        <v>114.67096774193942</v>
      </c>
      <c r="R25" s="17">
        <f t="shared" si="12"/>
        <v>45740</v>
      </c>
      <c r="S25" s="105">
        <v>4402</v>
      </c>
      <c r="T25" s="110"/>
      <c r="U25" s="111">
        <f t="shared" si="13"/>
        <v>285</v>
      </c>
      <c r="V25" s="13">
        <v>0.65</v>
      </c>
      <c r="W25" s="30">
        <v>0.69</v>
      </c>
      <c r="X25" s="31">
        <f t="shared" si="0"/>
        <v>3350</v>
      </c>
      <c r="Y25" s="102">
        <v>628</v>
      </c>
      <c r="Z25" s="101">
        <f t="shared" si="3"/>
        <v>28</v>
      </c>
      <c r="AA25" s="33">
        <v>112987</v>
      </c>
      <c r="AB25" s="111">
        <f t="shared" si="14"/>
        <v>73</v>
      </c>
      <c r="AC25" s="33">
        <v>1440.5</v>
      </c>
      <c r="AD25" s="111">
        <f t="shared" si="15"/>
        <v>12</v>
      </c>
      <c r="AE25" s="35">
        <v>73027</v>
      </c>
      <c r="AF25" s="111">
        <f t="shared" si="16"/>
        <v>0</v>
      </c>
      <c r="AG25" s="38">
        <v>3100</v>
      </c>
      <c r="AH25" s="81">
        <v>0</v>
      </c>
      <c r="AI25" s="101">
        <f t="shared" si="4"/>
        <v>0</v>
      </c>
      <c r="AJ25" s="10">
        <v>74</v>
      </c>
      <c r="AK25" s="15">
        <v>122</v>
      </c>
    </row>
    <row r="26" spans="1:37" x14ac:dyDescent="0.2">
      <c r="A26" s="17">
        <v>45741</v>
      </c>
      <c r="B26" s="8">
        <v>32552024</v>
      </c>
      <c r="C26" s="86">
        <f t="shared" si="5"/>
        <v>6293</v>
      </c>
      <c r="D26" s="24">
        <v>1159695</v>
      </c>
      <c r="E26" s="86">
        <f t="shared" si="6"/>
        <v>1783</v>
      </c>
      <c r="F26" s="24">
        <v>174089</v>
      </c>
      <c r="G26" s="107">
        <f t="shared" si="7"/>
        <v>285</v>
      </c>
      <c r="H26" s="95">
        <f t="shared" si="1"/>
        <v>7791</v>
      </c>
      <c r="I26" s="97">
        <f t="shared" si="2"/>
        <v>6857.2860215058481</v>
      </c>
      <c r="J26" s="41">
        <v>4783520.4000000004</v>
      </c>
      <c r="K26" s="108">
        <f t="shared" si="8"/>
        <v>734.69999999925494</v>
      </c>
      <c r="L26" s="11">
        <v>470317.01911589003</v>
      </c>
      <c r="M26" s="108">
        <f t="shared" si="9"/>
        <v>14.568697729962878</v>
      </c>
      <c r="N26" s="11">
        <v>135876.37980884101</v>
      </c>
      <c r="O26" s="108">
        <f t="shared" si="10"/>
        <v>69.774313022993738</v>
      </c>
      <c r="P26" s="41">
        <v>5215.1032258064497</v>
      </c>
      <c r="Q26" s="109">
        <f t="shared" si="11"/>
        <v>114.67096774194033</v>
      </c>
      <c r="R26" s="17">
        <f t="shared" si="12"/>
        <v>45741</v>
      </c>
      <c r="S26" s="105">
        <v>4117</v>
      </c>
      <c r="T26" s="110"/>
      <c r="U26" s="111">
        <f t="shared" si="13"/>
        <v>282</v>
      </c>
      <c r="V26" s="13">
        <v>0.79</v>
      </c>
      <c r="W26" s="30">
        <v>0.79</v>
      </c>
      <c r="X26" s="31">
        <f t="shared" si="0"/>
        <v>3950</v>
      </c>
      <c r="Y26" s="102"/>
      <c r="Z26" s="101">
        <f t="shared" si="3"/>
        <v>50</v>
      </c>
      <c r="AA26" s="33">
        <v>113060</v>
      </c>
      <c r="AB26" s="111">
        <f t="shared" si="14"/>
        <v>39</v>
      </c>
      <c r="AC26" s="33">
        <v>1452.5</v>
      </c>
      <c r="AD26" s="111">
        <f t="shared" si="15"/>
        <v>2.7999999999999545</v>
      </c>
      <c r="AE26" s="35">
        <v>73027</v>
      </c>
      <c r="AF26" s="111">
        <f t="shared" si="16"/>
        <v>0</v>
      </c>
      <c r="AG26" s="38">
        <v>3100</v>
      </c>
      <c r="AH26" s="81">
        <v>0</v>
      </c>
      <c r="AI26" s="101">
        <f t="shared" si="4"/>
        <v>0</v>
      </c>
      <c r="AJ26" s="10">
        <v>69</v>
      </c>
      <c r="AK26" s="15">
        <v>113</v>
      </c>
    </row>
    <row r="27" spans="1:37" x14ac:dyDescent="0.2">
      <c r="A27" s="17">
        <v>45742</v>
      </c>
      <c r="B27" s="8">
        <v>32558317</v>
      </c>
      <c r="C27" s="86">
        <f t="shared" si="5"/>
        <v>-2650</v>
      </c>
      <c r="D27" s="24">
        <v>1161478</v>
      </c>
      <c r="E27" s="86">
        <f t="shared" si="6"/>
        <v>1992</v>
      </c>
      <c r="F27" s="24">
        <v>174374</v>
      </c>
      <c r="G27" s="107">
        <f t="shared" si="7"/>
        <v>444</v>
      </c>
      <c r="H27" s="95">
        <f t="shared" si="1"/>
        <v>-1102</v>
      </c>
      <c r="I27" s="97">
        <f t="shared" si="2"/>
        <v>-2035.7139784941419</v>
      </c>
      <c r="J27" s="41">
        <v>4784255.0999999996</v>
      </c>
      <c r="K27" s="108">
        <f t="shared" si="8"/>
        <v>734.70000000018626</v>
      </c>
      <c r="L27" s="11">
        <v>470331.58781361999</v>
      </c>
      <c r="M27" s="108">
        <f t="shared" si="9"/>
        <v>14.568697730021086</v>
      </c>
      <c r="N27" s="11">
        <v>135946.154121864</v>
      </c>
      <c r="O27" s="108">
        <f t="shared" si="10"/>
        <v>69.774313022004208</v>
      </c>
      <c r="P27" s="41">
        <v>5329.77419354839</v>
      </c>
      <c r="Q27" s="109">
        <f t="shared" si="11"/>
        <v>114.67096774193033</v>
      </c>
      <c r="R27" s="17">
        <f t="shared" si="12"/>
        <v>45742</v>
      </c>
      <c r="S27" s="105">
        <v>3835</v>
      </c>
      <c r="T27" s="110"/>
      <c r="U27" s="111">
        <f t="shared" si="13"/>
        <v>185</v>
      </c>
      <c r="V27" s="13">
        <v>0.79</v>
      </c>
      <c r="W27" s="30">
        <v>0.77</v>
      </c>
      <c r="X27" s="31">
        <f t="shared" si="0"/>
        <v>3900</v>
      </c>
      <c r="Y27" s="102"/>
      <c r="Z27" s="101">
        <f t="shared" si="3"/>
        <v>175</v>
      </c>
      <c r="AA27" s="33">
        <v>113099</v>
      </c>
      <c r="AB27" s="111">
        <f t="shared" si="14"/>
        <v>80</v>
      </c>
      <c r="AC27" s="33">
        <v>1455.3</v>
      </c>
      <c r="AD27" s="111">
        <f t="shared" si="15"/>
        <v>25.700000000000045</v>
      </c>
      <c r="AE27" s="35">
        <v>73027</v>
      </c>
      <c r="AF27" s="111">
        <f t="shared" si="16"/>
        <v>0</v>
      </c>
      <c r="AG27" s="38">
        <v>3100</v>
      </c>
      <c r="AH27" s="81">
        <v>0</v>
      </c>
      <c r="AI27" s="101">
        <f t="shared" si="4"/>
        <v>0</v>
      </c>
      <c r="AJ27" s="10">
        <v>93</v>
      </c>
      <c r="AK27" s="15">
        <v>153</v>
      </c>
    </row>
    <row r="28" spans="1:37" x14ac:dyDescent="0.2">
      <c r="A28" s="17">
        <v>45743</v>
      </c>
      <c r="B28" s="8">
        <v>32555667</v>
      </c>
      <c r="C28" s="86">
        <f t="shared" si="5"/>
        <v>3112</v>
      </c>
      <c r="D28" s="24">
        <v>1163470</v>
      </c>
      <c r="E28" s="86">
        <f t="shared" si="6"/>
        <v>2231</v>
      </c>
      <c r="F28" s="24">
        <v>174818</v>
      </c>
      <c r="G28" s="107">
        <f t="shared" si="7"/>
        <v>561</v>
      </c>
      <c r="H28" s="95">
        <f t="shared" si="1"/>
        <v>4782</v>
      </c>
      <c r="I28" s="97">
        <f t="shared" si="2"/>
        <v>3893.986021505104</v>
      </c>
      <c r="J28" s="41">
        <v>4784989.8</v>
      </c>
      <c r="K28" s="108">
        <f t="shared" si="8"/>
        <v>689</v>
      </c>
      <c r="L28" s="11">
        <v>470346.15651135001</v>
      </c>
      <c r="M28" s="108">
        <f t="shared" si="9"/>
        <v>14.568697729962878</v>
      </c>
      <c r="N28" s="11">
        <v>136015.92843488601</v>
      </c>
      <c r="O28" s="108">
        <f t="shared" si="10"/>
        <v>69.774313022993738</v>
      </c>
      <c r="P28" s="41">
        <v>5444.4451612903204</v>
      </c>
      <c r="Q28" s="109">
        <f t="shared" si="11"/>
        <v>114.67096774193942</v>
      </c>
      <c r="R28" s="17">
        <f t="shared" si="12"/>
        <v>45743</v>
      </c>
      <c r="S28" s="105">
        <v>3650</v>
      </c>
      <c r="T28" s="110"/>
      <c r="U28" s="111">
        <f t="shared" si="13"/>
        <v>224</v>
      </c>
      <c r="V28" s="13">
        <v>0.75</v>
      </c>
      <c r="W28" s="30">
        <v>0.74</v>
      </c>
      <c r="X28" s="31">
        <f t="shared" si="0"/>
        <v>3725</v>
      </c>
      <c r="Y28" s="102"/>
      <c r="Z28" s="101">
        <f t="shared" si="3"/>
        <v>150</v>
      </c>
      <c r="AA28" s="33">
        <v>113179</v>
      </c>
      <c r="AB28" s="111">
        <f t="shared" si="14"/>
        <v>73</v>
      </c>
      <c r="AC28" s="33">
        <v>1481</v>
      </c>
      <c r="AD28" s="111">
        <f t="shared" si="15"/>
        <v>8.5</v>
      </c>
      <c r="AE28" s="35">
        <v>73027</v>
      </c>
      <c r="AF28" s="111">
        <f t="shared" si="16"/>
        <v>0</v>
      </c>
      <c r="AG28" s="38">
        <v>3100</v>
      </c>
      <c r="AH28" s="81">
        <v>0</v>
      </c>
      <c r="AI28" s="101">
        <f t="shared" si="4"/>
        <v>0</v>
      </c>
      <c r="AJ28" s="10">
        <v>100</v>
      </c>
      <c r="AK28" s="15">
        <v>160</v>
      </c>
    </row>
    <row r="29" spans="1:37" x14ac:dyDescent="0.2">
      <c r="A29" s="17">
        <v>45744</v>
      </c>
      <c r="B29" s="8">
        <v>32558779</v>
      </c>
      <c r="C29" s="86">
        <f t="shared" si="5"/>
        <v>2577</v>
      </c>
      <c r="D29" s="24">
        <v>1165701</v>
      </c>
      <c r="E29" s="86">
        <f t="shared" si="6"/>
        <v>1686</v>
      </c>
      <c r="F29" s="24">
        <v>175379</v>
      </c>
      <c r="G29" s="107">
        <f t="shared" si="7"/>
        <v>269</v>
      </c>
      <c r="H29" s="95">
        <f t="shared" si="1"/>
        <v>3994</v>
      </c>
      <c r="I29" s="97">
        <f t="shared" si="2"/>
        <v>3077.7860215048686</v>
      </c>
      <c r="J29" s="41">
        <v>4785678.8</v>
      </c>
      <c r="K29" s="108">
        <f t="shared" si="8"/>
        <v>717.20000000018626</v>
      </c>
      <c r="L29" s="11">
        <v>470360.72520907997</v>
      </c>
      <c r="M29" s="108">
        <f t="shared" si="9"/>
        <v>14.568697730021086</v>
      </c>
      <c r="N29" s="11">
        <v>136085.702747909</v>
      </c>
      <c r="O29" s="108">
        <f t="shared" si="10"/>
        <v>69.774313022993738</v>
      </c>
      <c r="P29" s="41">
        <v>5559.1161290322598</v>
      </c>
      <c r="Q29" s="109">
        <f t="shared" si="11"/>
        <v>114.67096774193033</v>
      </c>
      <c r="R29" s="17">
        <f t="shared" si="12"/>
        <v>45744</v>
      </c>
      <c r="S29" s="105">
        <v>3426</v>
      </c>
      <c r="T29" s="110"/>
      <c r="U29" s="111">
        <f t="shared" si="13"/>
        <v>230</v>
      </c>
      <c r="V29" s="13">
        <v>0.7</v>
      </c>
      <c r="W29" s="30">
        <v>0.73</v>
      </c>
      <c r="X29" s="31">
        <f t="shared" si="0"/>
        <v>3575</v>
      </c>
      <c r="Y29" s="102"/>
      <c r="Z29" s="101">
        <f t="shared" si="3"/>
        <v>125</v>
      </c>
      <c r="AA29" s="33">
        <v>113252</v>
      </c>
      <c r="AB29" s="111">
        <f t="shared" si="14"/>
        <v>90</v>
      </c>
      <c r="AC29" s="33">
        <v>1489.5</v>
      </c>
      <c r="AD29" s="111">
        <f t="shared" si="15"/>
        <v>14</v>
      </c>
      <c r="AE29" s="35">
        <v>73027</v>
      </c>
      <c r="AF29" s="111">
        <f t="shared" si="16"/>
        <v>0</v>
      </c>
      <c r="AG29" s="38">
        <v>3100</v>
      </c>
      <c r="AH29" s="81">
        <v>0</v>
      </c>
      <c r="AI29" s="101">
        <f t="shared" si="4"/>
        <v>0</v>
      </c>
      <c r="AJ29" s="10">
        <v>108</v>
      </c>
      <c r="AK29" s="15">
        <v>180</v>
      </c>
    </row>
    <row r="30" spans="1:37" x14ac:dyDescent="0.2">
      <c r="A30" s="17">
        <v>45745</v>
      </c>
      <c r="B30" s="8">
        <v>32561356</v>
      </c>
      <c r="C30" s="86">
        <f t="shared" si="5"/>
        <v>3058</v>
      </c>
      <c r="D30" s="24">
        <v>1167387</v>
      </c>
      <c r="E30" s="86">
        <f t="shared" si="6"/>
        <v>900</v>
      </c>
      <c r="F30" s="24">
        <v>175648</v>
      </c>
      <c r="G30" s="107">
        <f t="shared" si="7"/>
        <v>146</v>
      </c>
      <c r="H30" s="95">
        <f t="shared" si="1"/>
        <v>3812</v>
      </c>
      <c r="I30" s="97">
        <f t="shared" si="2"/>
        <v>2914.9860215060344</v>
      </c>
      <c r="J30" s="41">
        <v>4786396</v>
      </c>
      <c r="K30" s="108">
        <f t="shared" si="8"/>
        <v>698</v>
      </c>
      <c r="L30" s="11">
        <v>470375.29390680999</v>
      </c>
      <c r="M30" s="108">
        <f t="shared" si="9"/>
        <v>14.568697730021086</v>
      </c>
      <c r="N30" s="11">
        <v>136155.477060932</v>
      </c>
      <c r="O30" s="108">
        <f t="shared" si="10"/>
        <v>69.774313022004208</v>
      </c>
      <c r="P30" s="41">
        <v>5673.7870967741901</v>
      </c>
      <c r="Q30" s="109">
        <f t="shared" si="11"/>
        <v>114.67096774194033</v>
      </c>
      <c r="R30" s="17">
        <f t="shared" si="12"/>
        <v>45745</v>
      </c>
      <c r="S30" s="105">
        <v>3196</v>
      </c>
      <c r="T30" s="110"/>
      <c r="U30" s="111">
        <f t="shared" si="13"/>
        <v>90</v>
      </c>
      <c r="V30" s="13">
        <v>0.66</v>
      </c>
      <c r="W30" s="30">
        <v>0.72</v>
      </c>
      <c r="X30" s="31">
        <f t="shared" si="0"/>
        <v>3450</v>
      </c>
      <c r="Y30" s="102"/>
      <c r="Z30" s="101">
        <f t="shared" si="3"/>
        <v>150</v>
      </c>
      <c r="AA30" s="33">
        <v>113342</v>
      </c>
      <c r="AB30" s="111">
        <f t="shared" si="14"/>
        <v>63</v>
      </c>
      <c r="AC30" s="33">
        <v>1503.5</v>
      </c>
      <c r="AD30" s="111">
        <f t="shared" si="15"/>
        <v>2.7000000000000455</v>
      </c>
      <c r="AE30" s="35">
        <v>73027</v>
      </c>
      <c r="AF30" s="111">
        <f t="shared" si="16"/>
        <v>0</v>
      </c>
      <c r="AG30" s="38">
        <v>3100</v>
      </c>
      <c r="AH30" s="81">
        <v>0</v>
      </c>
      <c r="AI30" s="101">
        <f t="shared" si="4"/>
        <v>0</v>
      </c>
      <c r="AJ30" s="10">
        <v>125</v>
      </c>
      <c r="AK30" s="15">
        <v>220</v>
      </c>
    </row>
    <row r="31" spans="1:37" x14ac:dyDescent="0.2">
      <c r="A31" s="17">
        <v>45746</v>
      </c>
      <c r="B31" s="8">
        <v>32564414</v>
      </c>
      <c r="C31" s="86">
        <f t="shared" si="5"/>
        <v>2027</v>
      </c>
      <c r="D31" s="24">
        <v>1168287</v>
      </c>
      <c r="E31" s="86">
        <f t="shared" si="6"/>
        <v>2279</v>
      </c>
      <c r="F31" s="103">
        <v>175794</v>
      </c>
      <c r="G31" s="107">
        <f t="shared" si="7"/>
        <v>646</v>
      </c>
      <c r="H31" s="95">
        <f t="shared" si="1"/>
        <v>3660</v>
      </c>
      <c r="I31" s="97">
        <f t="shared" si="2"/>
        <v>2808.1860215053002</v>
      </c>
      <c r="J31" s="104">
        <v>4787094</v>
      </c>
      <c r="K31" s="108">
        <f t="shared" si="8"/>
        <v>652.79999999981374</v>
      </c>
      <c r="L31" s="11">
        <v>470389.86260454002</v>
      </c>
      <c r="M31" s="108">
        <f t="shared" si="9"/>
        <v>14.568697729962878</v>
      </c>
      <c r="N31" s="11">
        <v>136225.251373954</v>
      </c>
      <c r="O31" s="108">
        <f t="shared" si="10"/>
        <v>69.774313022993738</v>
      </c>
      <c r="P31" s="41">
        <v>5788.4580645161304</v>
      </c>
      <c r="Q31" s="109">
        <f t="shared" si="11"/>
        <v>114.67096774192942</v>
      </c>
      <c r="R31" s="17">
        <f t="shared" si="12"/>
        <v>45746</v>
      </c>
      <c r="S31" s="105">
        <v>3106</v>
      </c>
      <c r="T31" s="110"/>
      <c r="U31" s="111">
        <f t="shared" si="13"/>
        <v>264</v>
      </c>
      <c r="V31" s="13">
        <v>0.65</v>
      </c>
      <c r="W31" s="30">
        <v>0.67</v>
      </c>
      <c r="X31" s="31">
        <f t="shared" si="0"/>
        <v>3300</v>
      </c>
      <c r="Y31" s="102"/>
      <c r="Z31" s="101">
        <f t="shared" si="3"/>
        <v>125</v>
      </c>
      <c r="AA31" s="33">
        <v>113405</v>
      </c>
      <c r="AB31" s="111">
        <f t="shared" si="14"/>
        <v>67</v>
      </c>
      <c r="AC31" s="33">
        <v>1506.2</v>
      </c>
      <c r="AD31" s="111">
        <f t="shared" si="15"/>
        <v>2.7999999999999545</v>
      </c>
      <c r="AE31" s="35">
        <v>73027</v>
      </c>
      <c r="AF31" s="111">
        <f t="shared" si="16"/>
        <v>0</v>
      </c>
      <c r="AG31" s="38">
        <v>3100</v>
      </c>
      <c r="AH31" s="81">
        <v>0</v>
      </c>
      <c r="AI31" s="101">
        <f t="shared" si="4"/>
        <v>0</v>
      </c>
      <c r="AJ31" s="10">
        <v>114</v>
      </c>
      <c r="AK31" s="15">
        <v>201</v>
      </c>
    </row>
    <row r="32" spans="1:37" x14ac:dyDescent="0.2">
      <c r="A32" s="17">
        <v>45747</v>
      </c>
      <c r="B32" s="8">
        <v>32566441</v>
      </c>
      <c r="C32" s="86">
        <f t="shared" si="5"/>
        <v>2816</v>
      </c>
      <c r="D32" s="24">
        <v>1170566</v>
      </c>
      <c r="E32" s="86">
        <f t="shared" si="6"/>
        <v>2040</v>
      </c>
      <c r="F32" s="103">
        <v>176440</v>
      </c>
      <c r="G32" s="107">
        <f t="shared" si="7"/>
        <v>421</v>
      </c>
      <c r="H32" s="95">
        <f t="shared" si="1"/>
        <v>4435</v>
      </c>
      <c r="I32" s="97">
        <f t="shared" si="2"/>
        <v>3458.3860215044861</v>
      </c>
      <c r="J32" s="104">
        <v>4787746.8</v>
      </c>
      <c r="K32" s="108">
        <f t="shared" si="8"/>
        <v>777.60000000055879</v>
      </c>
      <c r="L32" s="11">
        <v>470404.43130226998</v>
      </c>
      <c r="M32" s="108">
        <f t="shared" si="9"/>
        <v>14.568697730021086</v>
      </c>
      <c r="N32" s="11">
        <v>136295.02568697699</v>
      </c>
      <c r="O32" s="108">
        <f t="shared" si="10"/>
        <v>69.774313022993738</v>
      </c>
      <c r="P32" s="41">
        <v>5903.1290322580599</v>
      </c>
      <c r="Q32" s="109">
        <f t="shared" si="11"/>
        <v>114.67096774194033</v>
      </c>
      <c r="R32" s="17">
        <f t="shared" si="12"/>
        <v>45747</v>
      </c>
      <c r="S32" s="105">
        <v>2842</v>
      </c>
      <c r="T32" s="110"/>
      <c r="U32" s="111">
        <f t="shared" si="13"/>
        <v>87</v>
      </c>
      <c r="V32" s="13">
        <v>0.62</v>
      </c>
      <c r="W32" s="30">
        <v>0.65</v>
      </c>
      <c r="X32" s="31">
        <f t="shared" si="0"/>
        <v>3175</v>
      </c>
      <c r="Y32" s="102">
        <v>920</v>
      </c>
      <c r="Z32" s="101">
        <f t="shared" si="3"/>
        <v>95</v>
      </c>
      <c r="AA32" s="33">
        <v>113472</v>
      </c>
      <c r="AB32" s="111">
        <f t="shared" si="14"/>
        <v>73</v>
      </c>
      <c r="AC32" s="33">
        <v>1509</v>
      </c>
      <c r="AD32" s="111">
        <f t="shared" si="15"/>
        <v>5.7999999999999545</v>
      </c>
      <c r="AE32" s="35">
        <v>73027</v>
      </c>
      <c r="AF32" s="111">
        <f t="shared" si="16"/>
        <v>0</v>
      </c>
      <c r="AG32" s="38">
        <v>3100</v>
      </c>
      <c r="AH32" s="81">
        <v>0</v>
      </c>
      <c r="AI32" s="101">
        <f t="shared" si="4"/>
        <v>0</v>
      </c>
      <c r="AJ32" s="10">
        <v>104</v>
      </c>
      <c r="AK32" s="15">
        <v>183</v>
      </c>
    </row>
    <row r="33" spans="1:37" x14ac:dyDescent="0.2">
      <c r="A33" s="17">
        <v>45748</v>
      </c>
      <c r="B33" s="8">
        <v>32569257</v>
      </c>
      <c r="C33" s="86"/>
      <c r="D33" s="24">
        <v>1172606</v>
      </c>
      <c r="E33" s="86"/>
      <c r="F33" s="103">
        <v>176861</v>
      </c>
      <c r="G33" s="107"/>
      <c r="H33" s="95"/>
      <c r="I33" s="97"/>
      <c r="J33" s="104">
        <v>4788524.4000000004</v>
      </c>
      <c r="K33" s="108"/>
      <c r="L33" s="11">
        <v>470419</v>
      </c>
      <c r="M33" s="108"/>
      <c r="N33" s="11">
        <v>136364.79999999999</v>
      </c>
      <c r="O33" s="108"/>
      <c r="P33" s="41">
        <v>6017.8</v>
      </c>
      <c r="Q33" s="109"/>
      <c r="R33" s="17">
        <f>A33</f>
        <v>45748</v>
      </c>
      <c r="S33" s="112">
        <v>2755</v>
      </c>
      <c r="T33" s="110"/>
      <c r="U33" s="111"/>
      <c r="V33" s="74">
        <v>0.8</v>
      </c>
      <c r="W33" s="30">
        <v>0.8</v>
      </c>
      <c r="X33" s="31">
        <f t="shared" si="0"/>
        <v>4000</v>
      </c>
      <c r="Y33" s="102"/>
      <c r="Z33" s="101"/>
      <c r="AA33" s="75">
        <v>113545</v>
      </c>
      <c r="AB33" s="111"/>
      <c r="AC33" s="75">
        <v>1514.8</v>
      </c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46926.25</v>
      </c>
      <c r="D34" s="78"/>
      <c r="E34" s="113">
        <f>SUM(E2:E33)</f>
        <v>49593.5</v>
      </c>
      <c r="F34" s="114"/>
      <c r="G34" s="115">
        <f>SUM(G2:G33)</f>
        <v>21903.5</v>
      </c>
      <c r="H34" s="116">
        <f>SUM(H2:H33)</f>
        <v>74616.25</v>
      </c>
      <c r="I34" s="117">
        <f>SUM(I2:I32)</f>
        <v>54992.116666666792</v>
      </c>
      <c r="J34" s="114"/>
      <c r="K34" s="118">
        <f>SUM(K2:K33)</f>
        <v>13454.700000000186</v>
      </c>
      <c r="L34" s="114"/>
      <c r="M34" s="118">
        <f>SUM(M2:M33)</f>
        <v>451.62962962902384</v>
      </c>
      <c r="N34" s="114"/>
      <c r="O34" s="118">
        <f>SUM(O2:O33)</f>
        <v>2163.0037037039874</v>
      </c>
      <c r="P34" s="114"/>
      <c r="Q34" s="119">
        <f>SUM(Q2:Q33)</f>
        <v>3554.8</v>
      </c>
      <c r="R34" s="78"/>
      <c r="S34" s="78"/>
      <c r="T34" s="78"/>
      <c r="U34" s="120">
        <f>SUM(U2:U33)</f>
        <v>2816</v>
      </c>
      <c r="V34" s="78"/>
      <c r="W34" s="78"/>
      <c r="X34" s="78"/>
      <c r="Y34" s="121">
        <f>SUM(Y2:Y33)</f>
        <v>3068.4700000000003</v>
      </c>
      <c r="Z34" s="122">
        <f>SUM(Z2:Z33)</f>
        <v>1943.4700000000003</v>
      </c>
      <c r="AA34" s="78"/>
      <c r="AB34" s="123">
        <f>SUM(AB2:AB33)</f>
        <v>1366.5</v>
      </c>
      <c r="AC34" s="114"/>
      <c r="AD34" s="123">
        <f>SUM(AD2:AD33)</f>
        <v>201.34999999999991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999</v>
      </c>
      <c r="AK34" s="128">
        <f>SUM(AK2:AK32)</f>
        <v>1695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2025-04-02T08:06:11Z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