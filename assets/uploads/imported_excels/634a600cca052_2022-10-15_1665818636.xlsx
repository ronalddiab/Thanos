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workbookPr filterPrivacy="1" defaultThemeVersion="124226"/>
  <xr:revisionPtr revIDLastSave="0" documentId="13_ncr:1_{EACA037A-C2EC-4C35-801C-4B41852F916F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Reading'!$A$1:$S$32</definedName>
  </definedNames>
  <calcPr calcId="191029"/>
</workbook>
</file>

<file path=xl/calcChain.xml><?xml version="1.0" encoding="utf-8"?>
<calcChain xmlns="http://schemas.openxmlformats.org/spreadsheetml/2006/main">
  <c r="G20" i="8" l="1"/>
  <c r="B34" i="8"/>
  <c r="B33" i="3"/>
  <c r="B33" i="4"/>
  <c r="B34" i="2"/>
  <c r="K21" i="8" l="1"/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4" i="2"/>
  <c r="C13" i="8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T13" i="8" s="1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H13" i="8" s="1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T6" i="8" s="1"/>
  <c r="C7" i="8"/>
  <c r="C8" i="8"/>
  <c r="C9" i="8"/>
  <c r="C10" i="8"/>
  <c r="C11" i="8"/>
  <c r="C12" i="8"/>
  <c r="C14" i="8"/>
  <c r="C15" i="8"/>
  <c r="C16" i="8"/>
  <c r="V16" i="8" s="1"/>
  <c r="C17" i="8"/>
  <c r="C18" i="8"/>
  <c r="C19" i="8"/>
  <c r="C20" i="8"/>
  <c r="C21" i="8"/>
  <c r="C22" i="8"/>
  <c r="T22" i="8" s="1"/>
  <c r="C23" i="8"/>
  <c r="C24" i="8"/>
  <c r="V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28" i="4" s="1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E14" i="2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T14" i="8"/>
  <c r="P22" i="8"/>
  <c r="D25" i="8" l="1"/>
  <c r="V7" i="8"/>
  <c r="T4" i="8"/>
  <c r="E7" i="3"/>
  <c r="D3" i="4"/>
  <c r="D35" i="2"/>
  <c r="P6" i="8"/>
  <c r="D28" i="8"/>
  <c r="D17" i="8"/>
  <c r="D33" i="8"/>
  <c r="D30" i="8"/>
  <c r="P31" i="8"/>
  <c r="D29" i="3"/>
  <c r="D27" i="8"/>
  <c r="F24" i="8"/>
  <c r="V8" i="8"/>
  <c r="F23" i="8"/>
  <c r="G32" i="4"/>
  <c r="J19" i="4"/>
  <c r="D23" i="8"/>
  <c r="D15" i="8"/>
  <c r="N8" i="8"/>
  <c r="P23" i="8"/>
  <c r="N33" i="8"/>
  <c r="X23" i="8"/>
  <c r="D20" i="8"/>
  <c r="P25" i="8"/>
  <c r="P16" i="8"/>
  <c r="H16" i="3"/>
  <c r="P15" i="8"/>
  <c r="N15" i="8"/>
  <c r="T30" i="8"/>
  <c r="X22" i="8"/>
  <c r="H32" i="8"/>
  <c r="D32" i="8"/>
  <c r="D24" i="8"/>
  <c r="D16" i="8"/>
  <c r="D14" i="8"/>
  <c r="D5" i="8"/>
  <c r="X31" i="8"/>
  <c r="X15" i="8"/>
  <c r="T33" i="8"/>
  <c r="V23" i="8"/>
  <c r="F29" i="8"/>
  <c r="D29" i="8"/>
  <c r="D21" i="8"/>
  <c r="D6" i="8"/>
  <c r="F15" i="3"/>
  <c r="D15" i="3"/>
  <c r="J5" i="8"/>
  <c r="R22" i="8"/>
  <c r="L15" i="8"/>
  <c r="V15" i="8"/>
  <c r="D22" i="8"/>
  <c r="T23" i="8"/>
  <c r="V33" i="8"/>
  <c r="I28" i="3"/>
  <c r="F12" i="3"/>
  <c r="D12" i="3"/>
  <c r="K33" i="3"/>
  <c r="X19" i="8"/>
  <c r="D19" i="8"/>
  <c r="V31" i="8"/>
  <c r="D31" i="8"/>
  <c r="H23" i="8"/>
  <c r="H33" i="8"/>
  <c r="C32" i="3"/>
  <c r="V34" i="8"/>
  <c r="D34" i="8"/>
  <c r="P26" i="8"/>
  <c r="D26" i="8"/>
  <c r="R18" i="8"/>
  <c r="D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5" i="2"/>
  <c r="N26" i="8"/>
  <c r="L10" i="3"/>
  <c r="K10" i="4"/>
  <c r="G6" i="3"/>
  <c r="K6" i="3"/>
  <c r="E6" i="3"/>
  <c r="D4" i="4"/>
  <c r="E4" i="3"/>
  <c r="F8" i="4"/>
  <c r="G8" i="3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M6" i="3"/>
  <c r="L34" i="4" l="1"/>
  <c r="L36" i="4" s="1"/>
  <c r="M36" i="4" s="1"/>
  <c r="M34" i="4" l="1"/>
  <c r="C3" i="3"/>
  <c r="C34" i="3" s="1"/>
  <c r="B35" i="2"/>
  <c r="V4" i="2"/>
  <c r="V35" i="2" s="1"/>
  <c r="M3" i="3" l="1"/>
  <c r="M34" i="3" s="1"/>
  <c r="N34" i="3" s="1"/>
</calcChain>
</file>

<file path=xl/sharedStrings.xml><?xml version="1.0" encoding="utf-8"?>
<sst xmlns="http://schemas.openxmlformats.org/spreadsheetml/2006/main" count="237" uniqueCount="143">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</sst>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-640710</c:v>
                </c:pt>
                <c:pt idx="1">
                  <c:v>-3570700</c:v>
                </c:pt>
                <c:pt idx="2">
                  <c:v>-343800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1.6669888316151202</c:v>
                </c:pt>
                <c:pt idx="2" formatCode="_(* #,##0.00_);_(* \(#,##0.00\);_(* &quot;-&quot;??_);_(@_)">
                  <c:v>-284138</c:v>
                </c:pt>
                <c:pt idx="3">
                  <c:v>7.6282753436426116</c:v>
                </c:pt>
                <c:pt idx="4" formatCode="0.00">
                  <c:v>-32116</c:v>
                </c:pt>
                <c:pt idx="5">
                  <c:v>0.86222079037800692</c:v>
                </c:pt>
                <c:pt idx="6" formatCode="0.00">
                  <c:v>-46636</c:v>
                </c:pt>
                <c:pt idx="7">
                  <c:v>1.252040378006873</c:v>
                </c:pt>
                <c:pt idx="8" formatCode="0.00">
                  <c:v>-639</c:v>
                </c:pt>
                <c:pt idx="9">
                  <c:v>1.7155283505154641E-2</c:v>
                </c:pt>
                <c:pt idx="10" formatCode="0.00">
                  <c:v>-2057</c:v>
                </c:pt>
                <c:pt idx="11">
                  <c:v>5.5224441580756012E-2</c:v>
                </c:pt>
                <c:pt idx="12" formatCode="0.00">
                  <c:v>-67264</c:v>
                </c:pt>
                <c:pt idx="13">
                  <c:v>1.8058419243986255</c:v>
                </c:pt>
                <c:pt idx="14" formatCode="_(* #,##0.00_);_(* \(#,##0.00\);_(* &quot;-&quot;??_);_(@_)">
                  <c:v>-279201</c:v>
                </c:pt>
                <c:pt idx="15">
                  <c:v>7.49573131443299</c:v>
                </c:pt>
                <c:pt idx="16" formatCode="0.00">
                  <c:v>-122409</c:v>
                </c:pt>
                <c:pt idx="17">
                  <c:v>3.2863240979381443</c:v>
                </c:pt>
                <c:pt idx="18" formatCode="0.00">
                  <c:v>-23515</c:v>
                </c:pt>
                <c:pt idx="19">
                  <c:v>0.63130906357388317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-920067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37</xdr:row>
      <xdr:rowOff>74084</xdr:rowOff>
    </xdr:from>
    <xdr:to>
      <xdr:col>17</xdr:col>
      <xdr:colOff>433917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I2" sqref="I2:I15"/>
    </sheetView>
  </sheetViews>
  <sheetFormatPr defaultRowHeight="12.75" x14ac:dyDescent="0.2"/>
  <cols>
    <col min="1" max="1" width="23" style="41" bestFit="1" customWidth="1"/>
    <col min="2" max="4" width="9.140625" style="41"/>
    <col min="5" max="5" width="11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10</v>
      </c>
      <c r="D2" s="106">
        <v>2022</v>
      </c>
      <c r="E2" s="51">
        <v>17269.999999999527</v>
      </c>
      <c r="F2" s="110"/>
      <c r="G2" s="96">
        <v>5102</v>
      </c>
      <c r="H2" s="111"/>
      <c r="I2" s="58">
        <v>326</v>
      </c>
      <c r="J2" s="67"/>
      <c r="K2" s="93">
        <v>0</v>
      </c>
      <c r="L2" s="67"/>
      <c r="M2" s="64">
        <v>17</v>
      </c>
      <c r="N2" s="64">
        <v>50</v>
      </c>
      <c r="O2" s="64">
        <v>130</v>
      </c>
    </row>
    <row r="3" spans="1:15" ht="15" x14ac:dyDescent="0.25">
      <c r="A3" s="42" t="s">
        <v>9</v>
      </c>
      <c r="B3" s="43">
        <f>B2+1</f>
        <v>2</v>
      </c>
      <c r="C3" s="44">
        <v>10</v>
      </c>
      <c r="D3" s="106">
        <v>2022</v>
      </c>
      <c r="E3" s="51">
        <v>16960.000000001401</v>
      </c>
      <c r="F3" s="110"/>
      <c r="G3" s="96">
        <v>4710</v>
      </c>
      <c r="H3" s="111"/>
      <c r="I3" s="58">
        <v>288</v>
      </c>
      <c r="J3" s="67"/>
      <c r="K3" s="93"/>
      <c r="L3" s="67"/>
      <c r="M3" s="64">
        <v>17</v>
      </c>
      <c r="N3" s="64">
        <v>68</v>
      </c>
      <c r="O3" s="64">
        <v>138</v>
      </c>
    </row>
    <row r="4" spans="1:15" ht="15" x14ac:dyDescent="0.25">
      <c r="A4" s="42" t="s">
        <v>9</v>
      </c>
      <c r="B4" s="43">
        <f t="shared" ref="B4:B30" si="0">B3+1</f>
        <v>3</v>
      </c>
      <c r="C4" s="44">
        <v>10</v>
      </c>
      <c r="D4" s="106">
        <v>2022</v>
      </c>
      <c r="E4" s="51">
        <v>18579.999999999018</v>
      </c>
      <c r="F4" s="110"/>
      <c r="G4" s="96">
        <v>5015</v>
      </c>
      <c r="H4" s="111"/>
      <c r="I4" s="58">
        <v>357</v>
      </c>
      <c r="J4" s="67"/>
      <c r="K4" s="93"/>
      <c r="L4" s="67"/>
      <c r="M4" s="64">
        <v>15</v>
      </c>
      <c r="N4" s="64">
        <v>60</v>
      </c>
      <c r="O4" s="64">
        <v>146</v>
      </c>
    </row>
    <row r="5" spans="1:15" ht="15" x14ac:dyDescent="0.25">
      <c r="A5" s="42" t="s">
        <v>9</v>
      </c>
      <c r="B5" s="43">
        <f t="shared" si="0"/>
        <v>4</v>
      </c>
      <c r="C5" s="44">
        <v>10</v>
      </c>
      <c r="D5" s="106">
        <v>2022</v>
      </c>
      <c r="E5" s="51">
        <v>17550.000000000182</v>
      </c>
      <c r="F5" s="110"/>
      <c r="G5" s="96">
        <v>5004</v>
      </c>
      <c r="H5" s="111"/>
      <c r="I5" s="58">
        <v>341</v>
      </c>
      <c r="J5" s="67"/>
      <c r="K5" s="93"/>
      <c r="L5" s="67"/>
      <c r="M5" s="64">
        <v>13</v>
      </c>
      <c r="N5" s="64">
        <v>53</v>
      </c>
      <c r="O5" s="64">
        <v>120</v>
      </c>
    </row>
    <row r="6" spans="1:15" ht="15" x14ac:dyDescent="0.25">
      <c r="A6" s="42" t="s">
        <v>9</v>
      </c>
      <c r="B6" s="43">
        <f t="shared" si="0"/>
        <v>5</v>
      </c>
      <c r="C6" s="44">
        <v>10</v>
      </c>
      <c r="D6" s="106">
        <v>2022</v>
      </c>
      <c r="E6" s="51">
        <v>18519.999999999302</v>
      </c>
      <c r="F6" s="110"/>
      <c r="G6" s="96">
        <v>5085</v>
      </c>
      <c r="H6" s="111"/>
      <c r="I6" s="58">
        <v>283</v>
      </c>
      <c r="J6" s="67"/>
      <c r="K6" s="93"/>
      <c r="L6" s="67"/>
      <c r="M6" s="64">
        <v>15</v>
      </c>
      <c r="N6" s="64">
        <v>52</v>
      </c>
      <c r="O6" s="64">
        <v>134</v>
      </c>
    </row>
    <row r="7" spans="1:15" ht="15" x14ac:dyDescent="0.25">
      <c r="A7" s="42" t="s">
        <v>9</v>
      </c>
      <c r="B7" s="43">
        <f t="shared" si="0"/>
        <v>6</v>
      </c>
      <c r="C7" s="44">
        <v>10</v>
      </c>
      <c r="D7" s="106">
        <v>2022</v>
      </c>
      <c r="E7" s="51">
        <v>19040.000000000644</v>
      </c>
      <c r="F7" s="110"/>
      <c r="G7" s="96">
        <v>5274</v>
      </c>
      <c r="H7" s="111"/>
      <c r="I7" s="58">
        <v>300</v>
      </c>
      <c r="J7" s="67"/>
      <c r="K7" s="93"/>
      <c r="L7" s="67"/>
      <c r="M7" s="64">
        <v>19</v>
      </c>
      <c r="N7" s="64">
        <v>72</v>
      </c>
      <c r="O7" s="64">
        <v>154</v>
      </c>
    </row>
    <row r="8" spans="1:15" ht="15" x14ac:dyDescent="0.25">
      <c r="A8" s="42" t="s">
        <v>9</v>
      </c>
      <c r="B8" s="43">
        <f t="shared" si="0"/>
        <v>7</v>
      </c>
      <c r="C8" s="44">
        <v>10</v>
      </c>
      <c r="D8" s="106">
        <v>2022</v>
      </c>
      <c r="E8" s="96">
        <v>18259.999999997945</v>
      </c>
      <c r="F8" s="110"/>
      <c r="G8" s="96">
        <v>5152</v>
      </c>
      <c r="H8" s="111"/>
      <c r="I8" s="58">
        <v>380</v>
      </c>
      <c r="J8" s="67"/>
      <c r="K8" s="93"/>
      <c r="L8" s="67"/>
      <c r="M8" s="64">
        <v>17</v>
      </c>
      <c r="N8" s="64">
        <v>72</v>
      </c>
      <c r="O8" s="64">
        <v>172</v>
      </c>
    </row>
    <row r="9" spans="1:15" ht="15" x14ac:dyDescent="0.25">
      <c r="A9" s="42" t="s">
        <v>9</v>
      </c>
      <c r="B9" s="43">
        <f t="shared" si="0"/>
        <v>8</v>
      </c>
      <c r="C9" s="44">
        <v>10</v>
      </c>
      <c r="D9" s="106">
        <v>2022</v>
      </c>
      <c r="E9" s="96">
        <v>18200.000000000273</v>
      </c>
      <c r="F9" s="110"/>
      <c r="G9" s="59">
        <v>5114</v>
      </c>
      <c r="H9" s="111"/>
      <c r="I9" s="58">
        <v>237</v>
      </c>
      <c r="J9" s="67"/>
      <c r="K9" s="93"/>
      <c r="L9" s="67"/>
      <c r="M9" s="64">
        <v>27</v>
      </c>
      <c r="N9" s="64">
        <v>86</v>
      </c>
      <c r="O9" s="64">
        <v>199</v>
      </c>
    </row>
    <row r="10" spans="1:15" ht="15" x14ac:dyDescent="0.25">
      <c r="A10" s="42" t="s">
        <v>9</v>
      </c>
      <c r="B10" s="43">
        <f t="shared" si="0"/>
        <v>9</v>
      </c>
      <c r="C10" s="44">
        <v>10</v>
      </c>
      <c r="D10" s="106">
        <v>2022</v>
      </c>
      <c r="E10" s="96">
        <v>18530.000000002703</v>
      </c>
      <c r="F10" s="110"/>
      <c r="G10" s="96">
        <v>5387</v>
      </c>
      <c r="H10" s="111"/>
      <c r="I10" s="58">
        <v>383</v>
      </c>
      <c r="J10" s="67"/>
      <c r="K10" s="93"/>
      <c r="L10" s="67"/>
      <c r="M10" s="64">
        <v>39</v>
      </c>
      <c r="N10" s="64">
        <v>106</v>
      </c>
      <c r="O10" s="64">
        <v>261</v>
      </c>
    </row>
    <row r="11" spans="1:15" ht="15" x14ac:dyDescent="0.25">
      <c r="A11" s="42" t="s">
        <v>9</v>
      </c>
      <c r="B11" s="43">
        <f t="shared" si="0"/>
        <v>10</v>
      </c>
      <c r="C11" s="44">
        <v>10</v>
      </c>
      <c r="D11" s="106">
        <v>2022</v>
      </c>
      <c r="E11" s="96">
        <v>17509.999999998399</v>
      </c>
      <c r="F11" s="110"/>
      <c r="G11" s="96">
        <v>4927</v>
      </c>
      <c r="H11" s="111"/>
      <c r="I11" s="58">
        <v>405</v>
      </c>
      <c r="J11" s="67"/>
      <c r="K11" s="93"/>
      <c r="L11" s="67"/>
      <c r="M11" s="64">
        <v>38</v>
      </c>
      <c r="N11" s="64">
        <v>100</v>
      </c>
      <c r="O11" s="64">
        <v>249</v>
      </c>
    </row>
    <row r="12" spans="1:15" ht="15" x14ac:dyDescent="0.25">
      <c r="A12" s="42" t="s">
        <v>9</v>
      </c>
      <c r="B12" s="43">
        <f t="shared" si="0"/>
        <v>11</v>
      </c>
      <c r="C12" s="44">
        <v>10</v>
      </c>
      <c r="D12" s="106">
        <v>2022</v>
      </c>
      <c r="E12" s="96">
        <v>16480.000000000928</v>
      </c>
      <c r="F12" s="110"/>
      <c r="G12" s="96">
        <v>4603</v>
      </c>
      <c r="H12" s="111"/>
      <c r="I12" s="58">
        <v>306</v>
      </c>
      <c r="J12" s="67"/>
      <c r="K12" s="93"/>
      <c r="L12" s="67"/>
      <c r="M12" s="64">
        <v>37</v>
      </c>
      <c r="N12" s="64">
        <v>111</v>
      </c>
      <c r="O12" s="64">
        <v>239</v>
      </c>
    </row>
    <row r="13" spans="1:15" ht="15" x14ac:dyDescent="0.25">
      <c r="A13" s="42" t="s">
        <v>9</v>
      </c>
      <c r="B13" s="43">
        <f t="shared" si="0"/>
        <v>12</v>
      </c>
      <c r="C13" s="44">
        <v>10</v>
      </c>
      <c r="D13" s="106">
        <v>2022</v>
      </c>
      <c r="E13" s="96">
        <v>17609.999999999673</v>
      </c>
      <c r="F13" s="110"/>
      <c r="G13" s="96">
        <v>4746</v>
      </c>
      <c r="H13" s="111"/>
      <c r="I13" s="58">
        <v>310</v>
      </c>
      <c r="J13" s="67"/>
      <c r="K13" s="93"/>
      <c r="L13" s="67"/>
      <c r="M13" s="64">
        <v>34</v>
      </c>
      <c r="N13" s="64">
        <v>97</v>
      </c>
      <c r="O13" s="64">
        <v>265</v>
      </c>
    </row>
    <row r="14" spans="1:15" ht="15" x14ac:dyDescent="0.25">
      <c r="A14" s="42" t="s">
        <v>9</v>
      </c>
      <c r="B14" s="43">
        <f t="shared" si="0"/>
        <v>13</v>
      </c>
      <c r="C14" s="44">
        <v>10</v>
      </c>
      <c r="D14" s="106">
        <v>2022</v>
      </c>
      <c r="E14" s="96">
        <v>15050.000000001091</v>
      </c>
      <c r="F14" s="110"/>
      <c r="G14" s="96">
        <v>4253</v>
      </c>
      <c r="H14" s="111"/>
      <c r="I14" s="58">
        <v>235</v>
      </c>
      <c r="J14" s="67"/>
      <c r="K14" s="93"/>
      <c r="L14" s="67"/>
      <c r="M14" s="64">
        <v>34</v>
      </c>
      <c r="N14" s="64">
        <v>96</v>
      </c>
      <c r="O14" s="64">
        <v>247</v>
      </c>
    </row>
    <row r="15" spans="1:15" ht="15" x14ac:dyDescent="0.25">
      <c r="A15" s="42" t="s">
        <v>9</v>
      </c>
      <c r="B15" s="43">
        <f t="shared" si="0"/>
        <v>14</v>
      </c>
      <c r="C15" s="44">
        <v>10</v>
      </c>
      <c r="D15" s="106">
        <v>2022</v>
      </c>
      <c r="E15" s="96">
        <v>16259.999999998399</v>
      </c>
      <c r="F15" s="110"/>
      <c r="G15" s="96"/>
      <c r="H15" s="111"/>
      <c r="I15" s="58">
        <v>270</v>
      </c>
      <c r="J15" s="67"/>
      <c r="K15" s="93"/>
      <c r="L15" s="67"/>
      <c r="M15" s="64">
        <v>24</v>
      </c>
      <c r="N15" s="64">
        <v>79</v>
      </c>
      <c r="O15" s="64">
        <v>213</v>
      </c>
    </row>
    <row r="16" spans="1:15" ht="15" x14ac:dyDescent="0.25">
      <c r="A16" s="42" t="s">
        <v>9</v>
      </c>
      <c r="B16" s="43">
        <f t="shared" si="0"/>
        <v>15</v>
      </c>
      <c r="C16" s="44">
        <v>10</v>
      </c>
      <c r="D16" s="106">
        <v>2022</v>
      </c>
      <c r="E16" s="96"/>
      <c r="F16" s="110"/>
      <c r="G16" s="96"/>
      <c r="H16" s="111"/>
      <c r="I16" s="58"/>
      <c r="J16" s="67"/>
      <c r="K16" s="93"/>
      <c r="L16" s="67"/>
      <c r="M16" s="64"/>
      <c r="N16" s="64"/>
      <c r="O16" s="64"/>
    </row>
    <row r="17" spans="1:15" ht="15" x14ac:dyDescent="0.25">
      <c r="A17" s="42" t="s">
        <v>9</v>
      </c>
      <c r="B17" s="43">
        <f t="shared" si="0"/>
        <v>16</v>
      </c>
      <c r="C17" s="44">
        <v>10</v>
      </c>
      <c r="D17" s="106">
        <v>2022</v>
      </c>
      <c r="E17" s="96"/>
      <c r="F17" s="110"/>
      <c r="G17" s="96"/>
      <c r="H17" s="111"/>
      <c r="I17" s="58"/>
      <c r="J17" s="67"/>
      <c r="K17" s="93"/>
      <c r="L17" s="67"/>
      <c r="M17" s="64"/>
      <c r="N17" s="64"/>
      <c r="O17" s="64"/>
    </row>
    <row r="18" spans="1:15" ht="15" x14ac:dyDescent="0.25">
      <c r="A18" s="42" t="s">
        <v>9</v>
      </c>
      <c r="B18" s="43">
        <f t="shared" si="0"/>
        <v>17</v>
      </c>
      <c r="C18" s="44">
        <v>10</v>
      </c>
      <c r="D18" s="106">
        <v>2022</v>
      </c>
      <c r="E18" s="96"/>
      <c r="F18" s="110"/>
      <c r="G18" s="96"/>
      <c r="H18" s="111"/>
      <c r="I18" s="58"/>
      <c r="J18" s="67"/>
      <c r="K18" s="93"/>
      <c r="L18" s="67"/>
      <c r="M18" s="64"/>
      <c r="N18" s="64"/>
      <c r="O18" s="64"/>
    </row>
    <row r="19" spans="1:15" ht="15" x14ac:dyDescent="0.25">
      <c r="A19" s="42" t="s">
        <v>9</v>
      </c>
      <c r="B19" s="43">
        <f t="shared" si="0"/>
        <v>18</v>
      </c>
      <c r="C19" s="44">
        <v>10</v>
      </c>
      <c r="D19" s="106">
        <v>2022</v>
      </c>
      <c r="E19" s="96"/>
      <c r="F19" s="110"/>
      <c r="G19" s="96"/>
      <c r="H19" s="111"/>
      <c r="I19" s="58"/>
      <c r="J19" s="67"/>
      <c r="K19" s="93"/>
      <c r="L19" s="67"/>
      <c r="M19" s="64"/>
      <c r="N19" s="64"/>
      <c r="O19" s="64"/>
    </row>
    <row r="20" spans="1:15" ht="15" x14ac:dyDescent="0.25">
      <c r="A20" s="42" t="s">
        <v>9</v>
      </c>
      <c r="B20" s="43">
        <f t="shared" si="0"/>
        <v>19</v>
      </c>
      <c r="C20" s="44">
        <v>10</v>
      </c>
      <c r="D20" s="106">
        <v>2022</v>
      </c>
      <c r="E20" s="96"/>
      <c r="F20" s="110"/>
      <c r="G20" s="96"/>
      <c r="H20" s="111"/>
      <c r="I20" s="58"/>
      <c r="J20" s="67"/>
      <c r="K20" s="93"/>
      <c r="L20" s="67"/>
      <c r="M20" s="64"/>
      <c r="N20" s="64"/>
      <c r="O20" s="64"/>
    </row>
    <row r="21" spans="1:15" ht="15" x14ac:dyDescent="0.25">
      <c r="A21" s="42" t="s">
        <v>9</v>
      </c>
      <c r="B21" s="43">
        <f t="shared" si="0"/>
        <v>20</v>
      </c>
      <c r="C21" s="44">
        <v>10</v>
      </c>
      <c r="D21" s="106">
        <v>2022</v>
      </c>
      <c r="E21" s="96"/>
      <c r="F21" s="110"/>
      <c r="G21" s="96"/>
      <c r="H21" s="111"/>
      <c r="I21" s="58"/>
      <c r="J21" s="67"/>
      <c r="K21" s="93"/>
      <c r="L21" s="67"/>
      <c r="M21" s="64"/>
      <c r="N21" s="64"/>
      <c r="O21" s="64"/>
    </row>
    <row r="22" spans="1:15" ht="15" x14ac:dyDescent="0.25">
      <c r="A22" s="42" t="s">
        <v>9</v>
      </c>
      <c r="B22" s="43">
        <f t="shared" si="0"/>
        <v>21</v>
      </c>
      <c r="C22" s="44">
        <v>10</v>
      </c>
      <c r="D22" s="106">
        <v>2022</v>
      </c>
      <c r="E22" s="96"/>
      <c r="F22" s="110"/>
      <c r="G22" s="96"/>
      <c r="H22" s="111"/>
      <c r="I22" s="58"/>
      <c r="J22" s="67"/>
      <c r="K22" s="93"/>
      <c r="L22" s="67"/>
      <c r="M22" s="64"/>
      <c r="N22" s="64"/>
      <c r="O22" s="64"/>
    </row>
    <row r="23" spans="1:15" ht="15" x14ac:dyDescent="0.25">
      <c r="A23" s="42" t="s">
        <v>9</v>
      </c>
      <c r="B23" s="43">
        <f t="shared" si="0"/>
        <v>22</v>
      </c>
      <c r="C23" s="44">
        <v>10</v>
      </c>
      <c r="D23" s="106">
        <v>2022</v>
      </c>
      <c r="E23" s="96"/>
      <c r="F23" s="110"/>
      <c r="G23" s="96"/>
      <c r="H23" s="111"/>
      <c r="I23" s="58"/>
      <c r="J23" s="67"/>
      <c r="K23" s="93"/>
      <c r="L23" s="67"/>
      <c r="M23" s="64"/>
      <c r="N23" s="64"/>
      <c r="O23" s="64"/>
    </row>
    <row r="24" spans="1:15" ht="15" x14ac:dyDescent="0.25">
      <c r="A24" s="42" t="s">
        <v>9</v>
      </c>
      <c r="B24" s="43">
        <f t="shared" si="0"/>
        <v>23</v>
      </c>
      <c r="C24" s="44">
        <v>10</v>
      </c>
      <c r="D24" s="106">
        <v>2022</v>
      </c>
      <c r="E24" s="96"/>
      <c r="F24" s="110"/>
      <c r="G24" s="96"/>
      <c r="H24" s="111"/>
      <c r="I24" s="58"/>
      <c r="J24" s="67"/>
      <c r="K24" s="93"/>
      <c r="L24" s="67"/>
      <c r="M24" s="64"/>
      <c r="N24" s="64"/>
      <c r="O24" s="64"/>
    </row>
    <row r="25" spans="1:15" ht="15" x14ac:dyDescent="0.25">
      <c r="A25" s="42" t="s">
        <v>9</v>
      </c>
      <c r="B25" s="43">
        <f t="shared" si="0"/>
        <v>24</v>
      </c>
      <c r="C25" s="44">
        <v>10</v>
      </c>
      <c r="D25" s="106">
        <v>2022</v>
      </c>
      <c r="E25" s="96"/>
      <c r="F25" s="110"/>
      <c r="G25" s="96"/>
      <c r="H25" s="111"/>
      <c r="I25" s="58"/>
      <c r="J25" s="67"/>
      <c r="K25" s="93"/>
      <c r="L25" s="67"/>
      <c r="M25" s="64"/>
      <c r="N25" s="64"/>
      <c r="O25" s="64"/>
    </row>
    <row r="26" spans="1:15" ht="15" x14ac:dyDescent="0.25">
      <c r="A26" s="42" t="s">
        <v>9</v>
      </c>
      <c r="B26" s="43">
        <f>B25+1</f>
        <v>25</v>
      </c>
      <c r="C26" s="44">
        <v>10</v>
      </c>
      <c r="D26" s="106">
        <v>2022</v>
      </c>
      <c r="E26" s="96"/>
      <c r="F26" s="110"/>
      <c r="G26" s="96"/>
      <c r="H26" s="111"/>
      <c r="I26" s="58"/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10</v>
      </c>
      <c r="D27" s="106">
        <v>2022</v>
      </c>
      <c r="E27" s="96"/>
      <c r="F27" s="110"/>
      <c r="G27" s="96"/>
      <c r="H27" s="111"/>
      <c r="I27" s="58"/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10</v>
      </c>
      <c r="D28" s="106">
        <v>2022</v>
      </c>
      <c r="E28" s="96"/>
      <c r="F28" s="110"/>
      <c r="G28" s="96"/>
      <c r="H28" s="111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10</v>
      </c>
      <c r="D29" s="106">
        <v>2022</v>
      </c>
      <c r="E29" s="96"/>
      <c r="F29" s="110"/>
      <c r="G29" s="96"/>
      <c r="H29" s="111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10</v>
      </c>
      <c r="D30" s="106">
        <v>2022</v>
      </c>
      <c r="E30" s="96"/>
      <c r="F30" s="110"/>
      <c r="G30" s="96"/>
      <c r="H30" s="111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>B30+1</f>
        <v>30</v>
      </c>
      <c r="C31" s="44">
        <v>10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5" x14ac:dyDescent="0.25">
      <c r="A32" s="42" t="s">
        <v>9</v>
      </c>
      <c r="B32" s="43">
        <f>B31+1</f>
        <v>31</v>
      </c>
      <c r="C32" s="44">
        <v>10</v>
      </c>
      <c r="D32" s="106">
        <v>2022</v>
      </c>
      <c r="E32" s="92"/>
      <c r="F32" s="110"/>
      <c r="G32" s="92"/>
      <c r="H32" s="111"/>
      <c r="I32" s="58"/>
      <c r="J32" s="67"/>
      <c r="K32" s="93"/>
      <c r="L32" s="67"/>
      <c r="M32" s="64"/>
      <c r="N32" s="64"/>
      <c r="O32" s="64"/>
    </row>
    <row r="33" spans="1:15" ht="18.75" customHeight="1" x14ac:dyDescent="0.2">
      <c r="A33" s="149" t="s">
        <v>51</v>
      </c>
      <c r="B33" s="149"/>
      <c r="C33" s="149"/>
      <c r="D33" s="149"/>
      <c r="E33" s="91">
        <f>SUM(E2:E31)</f>
        <v>245819.99999999951</v>
      </c>
      <c r="F33" s="89">
        <v>0</v>
      </c>
      <c r="G33" s="91">
        <f>SUM(G2:G31)</f>
        <v>64372</v>
      </c>
      <c r="H33" s="88">
        <v>0</v>
      </c>
      <c r="I33" s="91">
        <f>SUM(I2:I31)</f>
        <v>4421</v>
      </c>
      <c r="J33" s="89">
        <v>0</v>
      </c>
      <c r="K33" s="90">
        <f>SUM(K2:K31)</f>
        <v>0</v>
      </c>
      <c r="L33" s="88">
        <v>0</v>
      </c>
      <c r="M33" s="91">
        <f>SUM(M2:M31)</f>
        <v>346</v>
      </c>
      <c r="N33" s="91">
        <f>SUM(N2:N31)</f>
        <v>1102</v>
      </c>
      <c r="O33" s="91">
        <f>SUM(O2:O31)</f>
        <v>2667</v>
      </c>
    </row>
    <row r="40" spans="1:15" x14ac:dyDescent="0.2">
      <c r="C40" s="41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K30" sqref="K30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9" t="s">
        <v>0</v>
      </c>
      <c r="B2" s="139" t="s">
        <v>2</v>
      </c>
      <c r="C2" s="139" t="s">
        <v>3</v>
      </c>
      <c r="D2" s="140" t="s">
        <v>131</v>
      </c>
      <c r="E2" s="140" t="s">
        <v>132</v>
      </c>
      <c r="F2" s="141" t="s">
        <v>133</v>
      </c>
      <c r="G2" s="141" t="s">
        <v>134</v>
      </c>
      <c r="H2" s="140" t="s">
        <v>135</v>
      </c>
      <c r="I2" s="140" t="s">
        <v>136</v>
      </c>
      <c r="J2" s="140" t="s">
        <v>137</v>
      </c>
      <c r="K2" s="140" t="s">
        <v>138</v>
      </c>
      <c r="L2" s="141" t="s">
        <v>139</v>
      </c>
      <c r="M2" s="141" t="s">
        <v>140</v>
      </c>
      <c r="N2" s="140" t="s">
        <v>122</v>
      </c>
      <c r="O2" s="140" t="s">
        <v>123</v>
      </c>
      <c r="P2" s="141" t="s">
        <v>141</v>
      </c>
      <c r="Q2" s="141" t="s">
        <v>142</v>
      </c>
      <c r="R2" s="140" t="s">
        <v>6</v>
      </c>
      <c r="S2" s="140" t="s">
        <v>8</v>
      </c>
    </row>
    <row r="3" spans="1:19" x14ac:dyDescent="0.25">
      <c r="A3" t="s">
        <v>9</v>
      </c>
      <c r="B3" s="142">
        <v>1</v>
      </c>
      <c r="C3" s="142">
        <v>2022</v>
      </c>
      <c r="D3" s="143">
        <v>714310</v>
      </c>
      <c r="E3" s="144">
        <v>0.19400000000000001</v>
      </c>
      <c r="F3" s="145">
        <v>714310</v>
      </c>
      <c r="G3" s="145">
        <v>171800</v>
      </c>
      <c r="H3" s="143">
        <v>189315</v>
      </c>
      <c r="I3" s="146">
        <v>0.70309999999999995</v>
      </c>
      <c r="J3" s="143">
        <v>9840</v>
      </c>
      <c r="K3" s="144">
        <v>1</v>
      </c>
      <c r="L3" s="145">
        <v>8640</v>
      </c>
      <c r="M3" s="145">
        <v>17900</v>
      </c>
      <c r="N3" s="143">
        <v>11040</v>
      </c>
      <c r="O3" s="147">
        <v>0.6</v>
      </c>
      <c r="P3" s="145">
        <v>9827</v>
      </c>
      <c r="Q3" s="148">
        <v>10800</v>
      </c>
      <c r="R3" s="15">
        <v>1738</v>
      </c>
      <c r="S3">
        <v>12281</v>
      </c>
    </row>
    <row r="4" spans="1:19" x14ac:dyDescent="0.25">
      <c r="A4" t="s">
        <v>9</v>
      </c>
      <c r="B4" s="142">
        <v>2</v>
      </c>
      <c r="C4" s="142">
        <v>2022</v>
      </c>
      <c r="D4" s="143">
        <v>654040</v>
      </c>
      <c r="E4" s="144">
        <v>0.18</v>
      </c>
      <c r="F4" s="145">
        <v>613620</v>
      </c>
      <c r="G4" s="145">
        <v>151800</v>
      </c>
      <c r="H4" s="143">
        <v>166967</v>
      </c>
      <c r="I4" s="144">
        <v>0.64</v>
      </c>
      <c r="J4" s="143">
        <v>6415</v>
      </c>
      <c r="K4" s="144">
        <v>0.9</v>
      </c>
      <c r="L4" s="145">
        <v>7255</v>
      </c>
      <c r="M4" s="145">
        <v>14100</v>
      </c>
      <c r="N4" s="143">
        <v>10412</v>
      </c>
      <c r="O4" s="147">
        <v>1.8</v>
      </c>
      <c r="P4" s="145">
        <v>9250</v>
      </c>
      <c r="Q4" s="148">
        <v>8500</v>
      </c>
      <c r="R4" s="15">
        <v>1497</v>
      </c>
      <c r="S4">
        <v>12274</v>
      </c>
    </row>
    <row r="5" spans="1:19" x14ac:dyDescent="0.25">
      <c r="A5" t="s">
        <v>9</v>
      </c>
      <c r="B5" s="142">
        <v>3</v>
      </c>
      <c r="C5" s="142">
        <v>2022</v>
      </c>
      <c r="D5" s="143">
        <v>729060</v>
      </c>
      <c r="E5" s="144">
        <v>0.19400000000000001</v>
      </c>
      <c r="F5" s="145">
        <v>681590</v>
      </c>
      <c r="G5" s="145">
        <v>184500</v>
      </c>
      <c r="H5" s="143">
        <v>184995</v>
      </c>
      <c r="I5" s="146">
        <v>0.70309999999999995</v>
      </c>
      <c r="J5" s="143">
        <v>8780</v>
      </c>
      <c r="K5" s="144">
        <v>1</v>
      </c>
      <c r="L5" s="145">
        <v>7245</v>
      </c>
      <c r="M5" s="145">
        <v>16300</v>
      </c>
      <c r="N5" s="143">
        <v>10115</v>
      </c>
      <c r="O5" s="144">
        <v>0.56200000000000006</v>
      </c>
      <c r="P5" s="145">
        <v>9500</v>
      </c>
      <c r="Q5" s="148">
        <v>16800</v>
      </c>
      <c r="R5" s="15">
        <v>1634</v>
      </c>
      <c r="S5">
        <v>13116.5</v>
      </c>
    </row>
    <row r="6" spans="1:19" x14ac:dyDescent="0.25">
      <c r="A6" t="s">
        <v>9</v>
      </c>
      <c r="B6" s="142">
        <v>4</v>
      </c>
      <c r="C6" s="142">
        <v>2022</v>
      </c>
      <c r="D6" s="143">
        <v>730070.00000000128</v>
      </c>
      <c r="E6" s="144">
        <v>0.33400000000000002</v>
      </c>
      <c r="F6" s="145">
        <v>708230</v>
      </c>
      <c r="G6" s="145">
        <v>184700</v>
      </c>
      <c r="H6" s="143">
        <v>205088</v>
      </c>
      <c r="I6" s="146">
        <v>1.1513</v>
      </c>
      <c r="J6" s="143">
        <v>7810</v>
      </c>
      <c r="K6" s="144">
        <v>1</v>
      </c>
      <c r="L6" s="145">
        <v>7515</v>
      </c>
      <c r="M6" s="145">
        <v>13900</v>
      </c>
      <c r="N6" s="143">
        <v>10731</v>
      </c>
      <c r="O6" s="144">
        <v>0.39300000000000002</v>
      </c>
      <c r="P6" s="145">
        <v>9451</v>
      </c>
      <c r="Q6" s="148">
        <v>9300</v>
      </c>
      <c r="R6" s="15">
        <v>1664</v>
      </c>
      <c r="S6">
        <v>11957</v>
      </c>
    </row>
    <row r="7" spans="1:19" x14ac:dyDescent="0.25">
      <c r="A7" t="s">
        <v>9</v>
      </c>
      <c r="B7" s="142">
        <v>5</v>
      </c>
      <c r="C7" s="142">
        <v>2022</v>
      </c>
      <c r="D7" s="143">
        <v>710031.2099999988</v>
      </c>
      <c r="E7" s="144">
        <v>0.36259999999999998</v>
      </c>
      <c r="F7" s="145">
        <v>685570</v>
      </c>
      <c r="G7" s="145">
        <v>186600</v>
      </c>
      <c r="H7" s="143">
        <v>196733</v>
      </c>
      <c r="I7" s="146">
        <v>1.1513</v>
      </c>
      <c r="J7" s="143">
        <v>8695</v>
      </c>
      <c r="K7" s="144">
        <v>1.165</v>
      </c>
      <c r="L7" s="145">
        <v>8055</v>
      </c>
      <c r="M7" s="145">
        <v>11100</v>
      </c>
      <c r="N7" s="143">
        <v>9917.6100000000024</v>
      </c>
      <c r="O7" s="144">
        <v>0.83499999999999996</v>
      </c>
      <c r="P7" s="145">
        <v>8134</v>
      </c>
      <c r="Q7" s="148">
        <v>9000</v>
      </c>
      <c r="R7" s="15">
        <v>1248</v>
      </c>
      <c r="S7">
        <v>8217</v>
      </c>
    </row>
    <row r="8" spans="1:19" x14ac:dyDescent="0.25">
      <c r="A8" t="s">
        <v>9</v>
      </c>
      <c r="B8" s="142">
        <v>6</v>
      </c>
      <c r="C8" s="142">
        <v>2022</v>
      </c>
      <c r="D8" s="143">
        <v>625149.99999999977</v>
      </c>
      <c r="E8" s="144">
        <v>0.33300000000000002</v>
      </c>
      <c r="F8" s="145">
        <v>683690</v>
      </c>
      <c r="G8" s="145">
        <v>128400</v>
      </c>
      <c r="H8" s="143">
        <v>172603</v>
      </c>
      <c r="I8" s="146">
        <v>1.3504</v>
      </c>
      <c r="J8" s="143">
        <v>7835</v>
      </c>
      <c r="K8" s="144">
        <v>1.36</v>
      </c>
      <c r="L8" s="145">
        <v>5555</v>
      </c>
      <c r="M8" s="145">
        <v>8400</v>
      </c>
      <c r="N8" s="143">
        <v>8848</v>
      </c>
      <c r="O8" s="144">
        <v>1.46</v>
      </c>
      <c r="P8" s="145">
        <v>8982</v>
      </c>
      <c r="Q8" s="148">
        <v>13800</v>
      </c>
      <c r="R8" s="15">
        <v>658</v>
      </c>
      <c r="S8">
        <v>4555</v>
      </c>
    </row>
    <row r="9" spans="1:19" x14ac:dyDescent="0.25">
      <c r="A9" t="s">
        <v>9</v>
      </c>
      <c r="B9" s="142">
        <v>7</v>
      </c>
      <c r="C9" s="142">
        <v>2022</v>
      </c>
      <c r="D9" s="143">
        <v>636450.0000000014</v>
      </c>
      <c r="E9" s="144">
        <v>0.39300000000000002</v>
      </c>
      <c r="F9" s="145">
        <v>704110</v>
      </c>
      <c r="G9" s="145">
        <v>117000</v>
      </c>
      <c r="H9" s="143">
        <v>177084</v>
      </c>
      <c r="I9" s="146">
        <v>1.3345</v>
      </c>
      <c r="J9" s="143">
        <v>9015</v>
      </c>
      <c r="K9" s="144">
        <v>1.0469999999999999</v>
      </c>
      <c r="L9" s="145">
        <v>5980</v>
      </c>
      <c r="M9" s="145">
        <v>8700</v>
      </c>
      <c r="N9" s="143">
        <v>9861</v>
      </c>
      <c r="O9" s="144">
        <v>0.86699999999999999</v>
      </c>
      <c r="P9" s="145">
        <v>8746</v>
      </c>
      <c r="Q9" s="148">
        <v>12000</v>
      </c>
      <c r="R9" s="15">
        <v>980</v>
      </c>
      <c r="S9">
        <v>7559</v>
      </c>
    </row>
    <row r="10" spans="1:19" x14ac:dyDescent="0.25">
      <c r="A10" t="s">
        <v>9</v>
      </c>
      <c r="B10" s="142">
        <v>8</v>
      </c>
      <c r="C10" s="142">
        <v>2022</v>
      </c>
      <c r="D10" s="143">
        <v>599419.99999999884</v>
      </c>
      <c r="E10" s="144">
        <v>0.39400000000000002</v>
      </c>
      <c r="F10" s="145">
        <v>697360</v>
      </c>
      <c r="G10" s="145">
        <v>150600</v>
      </c>
      <c r="H10" s="143">
        <v>166385</v>
      </c>
      <c r="I10" s="146">
        <v>1.3052999999999999</v>
      </c>
      <c r="J10" s="143">
        <v>11141.27</v>
      </c>
      <c r="K10" s="144">
        <v>1</v>
      </c>
      <c r="L10" s="145">
        <v>7110</v>
      </c>
      <c r="M10" s="145">
        <v>11100</v>
      </c>
      <c r="N10" s="143">
        <v>10074</v>
      </c>
      <c r="O10" s="144">
        <v>0.9</v>
      </c>
      <c r="P10" s="145">
        <v>8500</v>
      </c>
      <c r="Q10" s="148">
        <v>12300</v>
      </c>
      <c r="R10" s="15">
        <v>759</v>
      </c>
      <c r="S10">
        <v>5884</v>
      </c>
    </row>
    <row r="11" spans="1:19" x14ac:dyDescent="0.25">
      <c r="A11" t="s">
        <v>9</v>
      </c>
      <c r="B11" s="142">
        <v>9</v>
      </c>
      <c r="C11" s="142">
        <v>2022</v>
      </c>
      <c r="D11" s="143">
        <v>531680.00000000058</v>
      </c>
      <c r="E11" s="144">
        <v>0.41199999999999998</v>
      </c>
      <c r="F11" s="145">
        <v>643900</v>
      </c>
      <c r="G11" s="145">
        <v>151400</v>
      </c>
      <c r="H11" s="143">
        <v>147447</v>
      </c>
      <c r="I11" s="146">
        <v>1.3051999999999999</v>
      </c>
      <c r="J11" s="143">
        <v>7469</v>
      </c>
      <c r="K11" s="144">
        <v>1</v>
      </c>
      <c r="L11" s="145">
        <v>6030</v>
      </c>
      <c r="M11" s="145">
        <v>8100</v>
      </c>
      <c r="N11" s="143">
        <v>9637</v>
      </c>
      <c r="O11" s="144">
        <v>0.753</v>
      </c>
      <c r="P11" s="145">
        <v>8300</v>
      </c>
      <c r="Q11" s="148">
        <v>12100</v>
      </c>
      <c r="R11" s="15">
        <v>494</v>
      </c>
      <c r="S11">
        <v>3484</v>
      </c>
    </row>
    <row r="12" spans="1:19" x14ac:dyDescent="0.25">
      <c r="A12" t="s">
        <v>9</v>
      </c>
      <c r="B12" s="142">
        <v>10</v>
      </c>
      <c r="C12" s="142">
        <v>2022</v>
      </c>
      <c r="D12" s="143"/>
      <c r="E12" s="143"/>
      <c r="F12" s="145">
        <v>689440</v>
      </c>
      <c r="G12" s="145">
        <v>211500</v>
      </c>
      <c r="H12" s="143"/>
      <c r="I12" s="143"/>
      <c r="J12" s="143"/>
      <c r="K12" s="144"/>
      <c r="L12" s="145">
        <v>7515</v>
      </c>
      <c r="M12" s="145">
        <v>12000</v>
      </c>
      <c r="N12" s="143"/>
      <c r="O12" s="143"/>
      <c r="P12" s="145">
        <v>8750</v>
      </c>
      <c r="Q12" s="148">
        <v>6500</v>
      </c>
      <c r="R12" s="15"/>
    </row>
    <row r="13" spans="1:19" x14ac:dyDescent="0.25">
      <c r="A13" t="s">
        <v>9</v>
      </c>
      <c r="B13" s="142">
        <v>11</v>
      </c>
      <c r="C13" s="142">
        <v>2022</v>
      </c>
      <c r="D13" s="143"/>
      <c r="E13" s="143"/>
      <c r="F13" s="145">
        <v>654730</v>
      </c>
      <c r="G13" s="145">
        <v>211100</v>
      </c>
      <c r="H13" s="143"/>
      <c r="I13" s="143"/>
      <c r="J13" s="143"/>
      <c r="K13" s="144"/>
      <c r="L13" s="145">
        <v>8425</v>
      </c>
      <c r="M13" s="145">
        <v>11700</v>
      </c>
      <c r="N13" s="143"/>
      <c r="O13" s="143"/>
      <c r="P13" s="145">
        <v>9493</v>
      </c>
      <c r="Q13" s="148">
        <v>8000</v>
      </c>
      <c r="R13" s="15"/>
    </row>
    <row r="14" spans="1:19" x14ac:dyDescent="0.25">
      <c r="A14" t="s">
        <v>9</v>
      </c>
      <c r="B14" s="142">
        <v>12</v>
      </c>
      <c r="C14" s="142">
        <v>2022</v>
      </c>
      <c r="D14" s="143"/>
      <c r="E14" s="143"/>
      <c r="F14" s="145">
        <v>710650</v>
      </c>
      <c r="G14" s="145">
        <v>179400</v>
      </c>
      <c r="H14" s="143"/>
      <c r="I14" s="143"/>
      <c r="J14" s="143"/>
      <c r="K14" s="144"/>
      <c r="L14" s="145">
        <v>9521</v>
      </c>
      <c r="M14" s="145">
        <v>14300</v>
      </c>
      <c r="N14" s="143"/>
      <c r="O14" s="143"/>
      <c r="P14" s="145">
        <v>12710</v>
      </c>
      <c r="Q14" s="148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I23" sqref="I2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0" t="s">
        <v>10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68"/>
      <c r="V1" s="68"/>
    </row>
    <row r="2" spans="1:25" s="16" customFormat="1" ht="33" customHeight="1" x14ac:dyDescent="0.25">
      <c r="A2" s="27" t="s">
        <v>2</v>
      </c>
      <c r="B2" s="157" t="s">
        <v>124</v>
      </c>
      <c r="C2" s="157" t="s">
        <v>11</v>
      </c>
      <c r="D2" s="157" t="s">
        <v>12</v>
      </c>
      <c r="E2" s="157" t="s">
        <v>13</v>
      </c>
      <c r="F2" s="157" t="s">
        <v>14</v>
      </c>
      <c r="G2" s="152" t="s">
        <v>130</v>
      </c>
      <c r="H2" s="154" t="s">
        <v>15</v>
      </c>
      <c r="I2" s="157" t="s">
        <v>16</v>
      </c>
      <c r="J2" s="159" t="s">
        <v>17</v>
      </c>
      <c r="K2" s="160"/>
      <c r="L2" s="161"/>
      <c r="M2" s="152" t="s">
        <v>18</v>
      </c>
      <c r="N2" s="154" t="s">
        <v>19</v>
      </c>
      <c r="O2" s="155" t="s">
        <v>20</v>
      </c>
      <c r="P2" s="154" t="s">
        <v>21</v>
      </c>
      <c r="Q2" s="162" t="s">
        <v>22</v>
      </c>
      <c r="R2" s="157" t="s">
        <v>23</v>
      </c>
      <c r="S2" s="157" t="s">
        <v>24</v>
      </c>
      <c r="T2" s="157" t="s">
        <v>25</v>
      </c>
      <c r="V2" s="164" t="s">
        <v>6</v>
      </c>
      <c r="W2" s="164" t="s">
        <v>7</v>
      </c>
      <c r="X2" s="164" t="s">
        <v>8</v>
      </c>
    </row>
    <row r="3" spans="1:25" s="16" customFormat="1" ht="45" customHeight="1" x14ac:dyDescent="0.25">
      <c r="A3" s="28"/>
      <c r="B3" s="158"/>
      <c r="C3" s="158"/>
      <c r="D3" s="158"/>
      <c r="E3" s="158"/>
      <c r="F3" s="158"/>
      <c r="G3" s="153"/>
      <c r="H3" s="154"/>
      <c r="I3" s="158"/>
      <c r="J3" s="17" t="s">
        <v>26</v>
      </c>
      <c r="K3" s="17" t="s">
        <v>27</v>
      </c>
      <c r="L3" s="17" t="s">
        <v>28</v>
      </c>
      <c r="M3" s="153"/>
      <c r="N3" s="154"/>
      <c r="O3" s="156"/>
      <c r="P3" s="154"/>
      <c r="Q3" s="163"/>
      <c r="R3" s="158"/>
      <c r="S3" s="158"/>
      <c r="T3" s="158"/>
      <c r="V3" s="164"/>
      <c r="W3" s="164"/>
      <c r="X3" s="164"/>
    </row>
    <row r="4" spans="1:25" ht="21" customHeight="1" x14ac:dyDescent="0.25">
      <c r="A4" s="8">
        <v>44835</v>
      </c>
      <c r="B4" s="98">
        <v>1.5078</v>
      </c>
      <c r="C4" s="99">
        <v>343.8</v>
      </c>
      <c r="D4" s="99">
        <v>8401516.8000000007</v>
      </c>
      <c r="E4" s="99">
        <v>9436844.6799999997</v>
      </c>
      <c r="F4" s="99">
        <v>3.5707</v>
      </c>
      <c r="G4" s="99">
        <v>1.1352</v>
      </c>
      <c r="H4" s="99">
        <v>1.0547</v>
      </c>
      <c r="I4" s="99">
        <v>373.99</v>
      </c>
      <c r="J4" s="99">
        <v>522.32000000000005</v>
      </c>
      <c r="K4" s="99">
        <v>494.14</v>
      </c>
      <c r="L4" s="99">
        <v>339.34</v>
      </c>
      <c r="M4" s="99">
        <v>851.09</v>
      </c>
      <c r="N4" s="99">
        <v>769.49</v>
      </c>
      <c r="O4" s="99">
        <v>248.26</v>
      </c>
      <c r="P4" s="99">
        <v>1.0336000000000001</v>
      </c>
      <c r="Q4" s="99">
        <v>758.48</v>
      </c>
      <c r="R4" s="99">
        <v>190.15</v>
      </c>
      <c r="S4" s="99">
        <v>177.79</v>
      </c>
      <c r="T4" s="99">
        <v>640.71</v>
      </c>
      <c r="V4" s="64"/>
      <c r="W4" s="64"/>
      <c r="X4" s="64"/>
      <c r="Y4" s="16"/>
    </row>
    <row r="5" spans="1:25" ht="21" customHeight="1" x14ac:dyDescent="0.25">
      <c r="A5" s="8">
        <v>44836</v>
      </c>
      <c r="B5" s="100">
        <v>1.5086999999999999</v>
      </c>
      <c r="C5" s="101">
        <v>344.07</v>
      </c>
      <c r="D5" s="101">
        <v>8403273.9299999997</v>
      </c>
      <c r="E5" s="101">
        <v>9438729.4800000004</v>
      </c>
      <c r="F5" s="101">
        <v>3.5731999999999999</v>
      </c>
      <c r="G5" s="101">
        <v>1.1356999999999999</v>
      </c>
      <c r="H5" s="101">
        <v>1.0551999999999999</v>
      </c>
      <c r="I5" s="101">
        <v>374.27</v>
      </c>
      <c r="J5" s="101">
        <v>522.64</v>
      </c>
      <c r="K5" s="101">
        <v>494.39</v>
      </c>
      <c r="L5" s="101">
        <v>339.54</v>
      </c>
      <c r="M5" s="101">
        <v>851.4</v>
      </c>
      <c r="N5" s="101">
        <v>769.92</v>
      </c>
      <c r="O5" s="101">
        <v>248.47</v>
      </c>
      <c r="P5" s="101">
        <v>1.034</v>
      </c>
      <c r="Q5" s="101">
        <v>758.65</v>
      </c>
      <c r="R5" s="99">
        <v>190.15</v>
      </c>
      <c r="S5" s="101">
        <v>177.93</v>
      </c>
      <c r="T5" s="101">
        <v>641.1</v>
      </c>
      <c r="V5" s="64"/>
      <c r="W5" s="64"/>
      <c r="X5" s="64"/>
      <c r="Y5" s="16"/>
    </row>
    <row r="6" spans="1:25" ht="21" customHeight="1" x14ac:dyDescent="0.25">
      <c r="A6" s="8">
        <v>44837</v>
      </c>
      <c r="B6" s="100">
        <v>1.5098</v>
      </c>
      <c r="C6" s="101">
        <v>344.33</v>
      </c>
      <c r="D6" s="101">
        <v>8404863.3100000005</v>
      </c>
      <c r="E6" s="101">
        <v>9440838.5500000007</v>
      </c>
      <c r="F6" s="101">
        <v>3.5758999999999999</v>
      </c>
      <c r="G6" s="101">
        <v>1.1362000000000001</v>
      </c>
      <c r="H6" s="101">
        <v>1.0558000000000001</v>
      </c>
      <c r="I6" s="101">
        <v>374.59</v>
      </c>
      <c r="J6" s="101">
        <v>523.03</v>
      </c>
      <c r="K6" s="101">
        <v>494.73</v>
      </c>
      <c r="L6" s="101">
        <v>339.81</v>
      </c>
      <c r="M6" s="101">
        <v>851.78</v>
      </c>
      <c r="N6" s="101">
        <v>770.35</v>
      </c>
      <c r="O6" s="101">
        <v>248.7</v>
      </c>
      <c r="P6" s="101">
        <v>1.0344</v>
      </c>
      <c r="Q6" s="101">
        <v>758.78</v>
      </c>
      <c r="R6" s="99">
        <v>190.15</v>
      </c>
      <c r="S6" s="101">
        <v>178.05</v>
      </c>
      <c r="T6" s="101">
        <v>641.59</v>
      </c>
      <c r="V6" s="64"/>
      <c r="W6" s="64"/>
      <c r="X6" s="64"/>
      <c r="Y6" s="16"/>
    </row>
    <row r="7" spans="1:25" ht="21" customHeight="1" x14ac:dyDescent="0.25">
      <c r="A7" s="8">
        <v>44838</v>
      </c>
      <c r="B7" s="100">
        <v>1.5106999999999999</v>
      </c>
      <c r="C7" s="101">
        <v>344.59</v>
      </c>
      <c r="D7" s="101">
        <v>8406391.5</v>
      </c>
      <c r="E7" s="101">
        <v>9442967.5</v>
      </c>
      <c r="F7" s="101">
        <v>3.5785</v>
      </c>
      <c r="G7" s="101">
        <v>1.1363000000000001</v>
      </c>
      <c r="H7" s="101">
        <v>1.0564</v>
      </c>
      <c r="I7" s="101">
        <v>374.9</v>
      </c>
      <c r="J7" s="101">
        <v>523.6</v>
      </c>
      <c r="K7" s="101">
        <v>495.02</v>
      </c>
      <c r="L7" s="101">
        <v>340.01</v>
      </c>
      <c r="M7" s="101">
        <v>852.08</v>
      </c>
      <c r="N7" s="101">
        <v>770.8</v>
      </c>
      <c r="O7" s="101">
        <v>248.91</v>
      </c>
      <c r="P7" s="101">
        <v>1.0347999999999999</v>
      </c>
      <c r="Q7" s="101">
        <v>758.92</v>
      </c>
      <c r="R7" s="99">
        <v>190.15</v>
      </c>
      <c r="S7" s="101">
        <v>178.17</v>
      </c>
      <c r="T7" s="101">
        <v>642.05999999999995</v>
      </c>
      <c r="V7" s="64"/>
      <c r="W7" s="64"/>
      <c r="X7" s="64"/>
      <c r="Y7" s="16"/>
    </row>
    <row r="8" spans="1:25" ht="21" customHeight="1" x14ac:dyDescent="0.25">
      <c r="A8" s="8">
        <v>44839</v>
      </c>
      <c r="B8" s="100">
        <v>1.5117</v>
      </c>
      <c r="C8" s="101">
        <v>344.85</v>
      </c>
      <c r="D8" s="101">
        <v>8407834.9199999999</v>
      </c>
      <c r="E8" s="101">
        <v>9445179.3399999999</v>
      </c>
      <c r="F8" s="101">
        <v>3.5809000000000002</v>
      </c>
      <c r="G8" s="101">
        <v>1.1373</v>
      </c>
      <c r="H8" s="101">
        <v>1.0569999999999999</v>
      </c>
      <c r="I8" s="101">
        <v>375.19</v>
      </c>
      <c r="J8" s="101">
        <v>524.12</v>
      </c>
      <c r="K8" s="101">
        <v>495.26</v>
      </c>
      <c r="L8" s="101">
        <v>340.18</v>
      </c>
      <c r="M8" s="101">
        <v>852.43</v>
      </c>
      <c r="N8" s="101">
        <v>771.12</v>
      </c>
      <c r="O8" s="101">
        <v>249.1</v>
      </c>
      <c r="P8" s="101">
        <v>1.0351999999999999</v>
      </c>
      <c r="Q8" s="101">
        <v>759.05</v>
      </c>
      <c r="R8" s="99">
        <v>190.15</v>
      </c>
      <c r="S8" s="101">
        <v>178.36</v>
      </c>
      <c r="T8" s="101">
        <v>642.54</v>
      </c>
      <c r="V8" s="95"/>
      <c r="W8" s="95"/>
      <c r="X8" s="114"/>
      <c r="Y8" s="16"/>
    </row>
    <row r="9" spans="1:25" ht="21" customHeight="1" x14ac:dyDescent="0.25">
      <c r="A9" s="8">
        <v>44840</v>
      </c>
      <c r="B9" s="102">
        <v>1.5127999999999999</v>
      </c>
      <c r="C9" s="101">
        <v>345.13</v>
      </c>
      <c r="D9" s="101">
        <v>8409438.2200000007</v>
      </c>
      <c r="E9" s="101">
        <v>9447459.0099999998</v>
      </c>
      <c r="F9" s="101">
        <v>3.5836000000000001</v>
      </c>
      <c r="G9" s="101">
        <v>1.1378999999999999</v>
      </c>
      <c r="H9" s="101">
        <v>1.0577000000000001</v>
      </c>
      <c r="I9" s="101">
        <v>375.53</v>
      </c>
      <c r="J9" s="101">
        <v>524.55999999999995</v>
      </c>
      <c r="K9" s="101">
        <v>495.57</v>
      </c>
      <c r="L9" s="101">
        <v>340.37</v>
      </c>
      <c r="M9" s="101">
        <v>852.77</v>
      </c>
      <c r="N9" s="101">
        <v>771.47</v>
      </c>
      <c r="O9" s="101">
        <v>249.29</v>
      </c>
      <c r="P9" s="101">
        <v>1.0357000000000001</v>
      </c>
      <c r="Q9" s="101">
        <v>759.27</v>
      </c>
      <c r="R9" s="99">
        <v>190.15</v>
      </c>
      <c r="S9" s="101">
        <v>178.41</v>
      </c>
      <c r="T9" s="101">
        <v>643.04999999999995</v>
      </c>
      <c r="V9" s="95"/>
      <c r="W9" s="95"/>
      <c r="X9" s="114"/>
      <c r="Y9" s="16"/>
    </row>
    <row r="10" spans="1:25" ht="21" customHeight="1" x14ac:dyDescent="0.25">
      <c r="A10" s="8">
        <v>44841</v>
      </c>
      <c r="B10" s="98">
        <v>1.514</v>
      </c>
      <c r="C10" s="99">
        <v>345.41</v>
      </c>
      <c r="D10" s="99">
        <v>8410974.5500000007</v>
      </c>
      <c r="E10" s="99">
        <v>9450054.1500000004</v>
      </c>
      <c r="F10" s="99">
        <v>3.5863</v>
      </c>
      <c r="G10" s="99">
        <v>1.1384000000000001</v>
      </c>
      <c r="H10" s="99">
        <v>1.0583</v>
      </c>
      <c r="I10" s="99">
        <v>375.88</v>
      </c>
      <c r="J10" s="101">
        <v>524.88</v>
      </c>
      <c r="K10" s="101">
        <v>495.86</v>
      </c>
      <c r="L10" s="101">
        <v>340.56</v>
      </c>
      <c r="M10" s="101">
        <v>853.18</v>
      </c>
      <c r="N10" s="101">
        <v>771.86</v>
      </c>
      <c r="O10" s="101">
        <v>249.51</v>
      </c>
      <c r="P10" s="101">
        <v>1.0363</v>
      </c>
      <c r="Q10" s="101">
        <v>759.45</v>
      </c>
      <c r="R10" s="99">
        <v>190.15</v>
      </c>
      <c r="S10" s="101">
        <v>178.53</v>
      </c>
      <c r="T10" s="101">
        <v>643.54999999999995</v>
      </c>
      <c r="V10" s="95"/>
      <c r="W10" s="95"/>
      <c r="X10" s="95"/>
      <c r="Y10" s="16"/>
    </row>
    <row r="11" spans="1:25" ht="21" customHeight="1" x14ac:dyDescent="0.25">
      <c r="A11" s="8">
        <v>44842</v>
      </c>
      <c r="B11" s="100">
        <v>1.5149999999999999</v>
      </c>
      <c r="C11" s="101">
        <v>345.67</v>
      </c>
      <c r="D11" s="101">
        <v>1369.25</v>
      </c>
      <c r="E11" s="101">
        <v>9452022.8000000007</v>
      </c>
      <c r="F11" s="101">
        <v>3.589</v>
      </c>
      <c r="G11" s="101">
        <v>1.1389</v>
      </c>
      <c r="H11" s="101">
        <v>1.0589999999999999</v>
      </c>
      <c r="I11" s="101">
        <v>376.19</v>
      </c>
      <c r="J11" s="101">
        <v>525.27</v>
      </c>
      <c r="K11" s="101">
        <v>496.17</v>
      </c>
      <c r="L11" s="101">
        <v>340.79</v>
      </c>
      <c r="M11" s="101">
        <v>853.6</v>
      </c>
      <c r="N11" s="101">
        <v>772.24</v>
      </c>
      <c r="O11" s="101">
        <v>249.71</v>
      </c>
      <c r="P11" s="101">
        <v>1.0368999999999999</v>
      </c>
      <c r="Q11" s="101">
        <v>759.62</v>
      </c>
      <c r="R11" s="99">
        <v>190.15</v>
      </c>
      <c r="S11" s="101">
        <v>178.64</v>
      </c>
      <c r="T11" s="101">
        <v>643.82000000000005</v>
      </c>
      <c r="V11" s="95"/>
      <c r="W11" s="95"/>
      <c r="X11" s="95"/>
      <c r="Y11" s="16"/>
    </row>
    <row r="12" spans="1:25" ht="21" customHeight="1" x14ac:dyDescent="0.25">
      <c r="A12" s="8">
        <v>44843</v>
      </c>
      <c r="B12" s="100">
        <v>1.516</v>
      </c>
      <c r="C12" s="101">
        <v>345.94</v>
      </c>
      <c r="D12" s="101">
        <v>2947.02</v>
      </c>
      <c r="E12" s="101">
        <v>9454187.1400000006</v>
      </c>
      <c r="F12" s="101">
        <v>3.5916999999999999</v>
      </c>
      <c r="G12" s="101">
        <v>1.1394</v>
      </c>
      <c r="H12" s="101">
        <v>1.0597000000000001</v>
      </c>
      <c r="I12" s="101">
        <v>376.52</v>
      </c>
      <c r="J12" s="101">
        <v>525.67999999999995</v>
      </c>
      <c r="K12" s="101">
        <v>496.49</v>
      </c>
      <c r="L12" s="101">
        <v>341</v>
      </c>
      <c r="M12" s="101">
        <v>854</v>
      </c>
      <c r="N12" s="101">
        <v>772.64</v>
      </c>
      <c r="O12" s="101">
        <v>249.91</v>
      </c>
      <c r="P12" s="101">
        <v>1.0374000000000001</v>
      </c>
      <c r="Q12" s="101">
        <v>759.82</v>
      </c>
      <c r="R12" s="99">
        <v>190.15</v>
      </c>
      <c r="S12" s="101">
        <v>178.76</v>
      </c>
      <c r="T12" s="101">
        <v>644.30999999999995</v>
      </c>
      <c r="V12" s="95"/>
      <c r="W12" s="95"/>
      <c r="X12" s="95"/>
      <c r="Y12" s="16"/>
    </row>
    <row r="13" spans="1:25" ht="21" customHeight="1" x14ac:dyDescent="0.25">
      <c r="A13" s="8">
        <v>44844</v>
      </c>
      <c r="B13" s="100">
        <v>1.5170999999999999</v>
      </c>
      <c r="C13" s="98">
        <v>346.21</v>
      </c>
      <c r="D13" s="98">
        <v>4569.55</v>
      </c>
      <c r="E13" s="101">
        <v>9456321.3100000005</v>
      </c>
      <c r="F13" s="101">
        <v>3.5943999999999998</v>
      </c>
      <c r="G13" s="101">
        <v>1.1399999999999999</v>
      </c>
      <c r="H13" s="101">
        <v>1.0603</v>
      </c>
      <c r="I13" s="101">
        <v>376.83</v>
      </c>
      <c r="J13" s="101">
        <v>526.11</v>
      </c>
      <c r="K13" s="101">
        <v>496.78</v>
      </c>
      <c r="L13" s="101">
        <v>341.19</v>
      </c>
      <c r="M13" s="101">
        <v>854.41</v>
      </c>
      <c r="N13" s="101">
        <v>773.01</v>
      </c>
      <c r="O13" s="101">
        <v>250.11</v>
      </c>
      <c r="P13" s="101">
        <v>1.038</v>
      </c>
      <c r="Q13" s="101">
        <v>760.03</v>
      </c>
      <c r="R13" s="99">
        <v>190.15</v>
      </c>
      <c r="S13" s="101">
        <v>178.87</v>
      </c>
      <c r="T13" s="101">
        <v>644.83000000000004</v>
      </c>
      <c r="V13" s="95"/>
      <c r="W13" s="95"/>
      <c r="X13" s="95"/>
      <c r="Y13" s="16"/>
    </row>
    <row r="14" spans="1:25" ht="21" customHeight="1" x14ac:dyDescent="0.25">
      <c r="A14" s="8">
        <v>44845</v>
      </c>
      <c r="B14" s="100">
        <v>1.5181</v>
      </c>
      <c r="C14" s="98">
        <v>346.49</v>
      </c>
      <c r="D14" s="98">
        <v>5958.06</v>
      </c>
      <c r="E14" s="101">
        <v>9458195.3900000006</v>
      </c>
      <c r="F14" s="101">
        <v>3.5971000000000002</v>
      </c>
      <c r="G14" s="101">
        <v>1.1405000000000001</v>
      </c>
      <c r="H14" s="101">
        <v>1.0609</v>
      </c>
      <c r="I14" s="101">
        <v>377.08</v>
      </c>
      <c r="J14" s="101">
        <v>526.57000000000005</v>
      </c>
      <c r="K14" s="101">
        <v>497.1</v>
      </c>
      <c r="L14" s="101">
        <v>341.4</v>
      </c>
      <c r="M14" s="101">
        <v>854.71</v>
      </c>
      <c r="N14" s="101">
        <v>773.33</v>
      </c>
      <c r="O14" s="101">
        <v>250.33</v>
      </c>
      <c r="P14" s="101">
        <v>1.0385</v>
      </c>
      <c r="Q14" s="101">
        <v>760.19</v>
      </c>
      <c r="R14" s="99">
        <v>190.15</v>
      </c>
      <c r="S14" s="101">
        <v>178.98</v>
      </c>
      <c r="T14" s="101">
        <v>645.29</v>
      </c>
      <c r="V14" s="95"/>
      <c r="W14" s="95"/>
      <c r="X14" s="95"/>
      <c r="Y14" s="16"/>
    </row>
    <row r="15" spans="1:25" ht="21" customHeight="1" x14ac:dyDescent="0.25">
      <c r="A15" s="8">
        <v>44846</v>
      </c>
      <c r="B15" s="100">
        <v>1.5189999999999999</v>
      </c>
      <c r="C15" s="100">
        <v>346.79</v>
      </c>
      <c r="D15" s="101">
        <v>7365.95</v>
      </c>
      <c r="E15" s="101">
        <v>9460035.6099999994</v>
      </c>
      <c r="F15" s="101">
        <v>3.5996000000000001</v>
      </c>
      <c r="G15" s="101">
        <v>1.141</v>
      </c>
      <c r="H15" s="101">
        <v>1.0615000000000001</v>
      </c>
      <c r="I15" s="101">
        <v>377.32</v>
      </c>
      <c r="J15" s="101">
        <v>526.96</v>
      </c>
      <c r="K15" s="101">
        <v>497.4</v>
      </c>
      <c r="L15" s="101">
        <v>341.62</v>
      </c>
      <c r="M15" s="101">
        <v>855.07</v>
      </c>
      <c r="N15" s="101">
        <v>773.63</v>
      </c>
      <c r="O15" s="101">
        <v>250.53</v>
      </c>
      <c r="P15" s="101">
        <v>1.0388999999999999</v>
      </c>
      <c r="Q15" s="101">
        <v>760.33</v>
      </c>
      <c r="R15" s="99">
        <v>190.15</v>
      </c>
      <c r="S15" s="101">
        <v>179.05</v>
      </c>
      <c r="T15" s="101">
        <v>645.72</v>
      </c>
      <c r="V15" s="95"/>
      <c r="W15" s="95"/>
      <c r="X15" s="95"/>
      <c r="Y15" s="16"/>
    </row>
    <row r="16" spans="1:25" ht="21" customHeight="1" x14ac:dyDescent="0.25">
      <c r="A16" s="8">
        <v>44847</v>
      </c>
      <c r="B16" s="100">
        <v>1.5199</v>
      </c>
      <c r="C16" s="101">
        <v>347.05</v>
      </c>
      <c r="D16" s="101">
        <v>8727.31</v>
      </c>
      <c r="E16" s="101">
        <v>9462028.4800000004</v>
      </c>
      <c r="F16" s="101">
        <v>3.6021999999999998</v>
      </c>
      <c r="G16" s="101">
        <v>1.1414</v>
      </c>
      <c r="H16" s="101">
        <v>1.0621</v>
      </c>
      <c r="I16" s="101">
        <v>377.58</v>
      </c>
      <c r="J16" s="101">
        <v>527.61</v>
      </c>
      <c r="K16" s="101">
        <v>497.74</v>
      </c>
      <c r="L16" s="101">
        <v>341.86</v>
      </c>
      <c r="M16" s="101">
        <v>855.47</v>
      </c>
      <c r="N16" s="101">
        <v>773.96</v>
      </c>
      <c r="O16" s="101">
        <v>250.75</v>
      </c>
      <c r="P16" s="101">
        <v>1.0394000000000001</v>
      </c>
      <c r="Q16" s="101">
        <v>760.47</v>
      </c>
      <c r="R16" s="99">
        <v>190.15</v>
      </c>
      <c r="S16" s="101">
        <v>179.05</v>
      </c>
      <c r="T16" s="101">
        <v>646.19000000000005</v>
      </c>
      <c r="V16" s="95"/>
      <c r="W16" s="95"/>
      <c r="X16" s="95"/>
      <c r="Y16" s="16"/>
    </row>
    <row r="17" spans="1:25" ht="21" customHeight="1" x14ac:dyDescent="0.25">
      <c r="A17" s="8">
        <v>44848</v>
      </c>
      <c r="B17" s="100">
        <v>1.5207999999999999</v>
      </c>
      <c r="C17" s="101">
        <v>347.33</v>
      </c>
      <c r="D17" s="101">
        <v>9794.69</v>
      </c>
      <c r="E17" s="101">
        <v>9463691.1500000004</v>
      </c>
      <c r="F17" s="101">
        <v>3.605</v>
      </c>
      <c r="G17" s="101">
        <v>1.1418999999999999</v>
      </c>
      <c r="H17" s="101">
        <v>1.0627</v>
      </c>
      <c r="I17" s="101">
        <v>377.82</v>
      </c>
      <c r="J17" s="101">
        <v>528.09</v>
      </c>
      <c r="K17" s="101">
        <v>498.1</v>
      </c>
      <c r="L17" s="101">
        <v>342.1</v>
      </c>
      <c r="M17" s="101">
        <v>855.84</v>
      </c>
      <c r="N17" s="101">
        <v>774.23</v>
      </c>
      <c r="O17" s="101">
        <v>250.77</v>
      </c>
      <c r="P17" s="101">
        <v>1.0398000000000001</v>
      </c>
      <c r="Q17" s="101">
        <v>760.58</v>
      </c>
      <c r="R17" s="99">
        <v>190.15</v>
      </c>
      <c r="S17" s="101">
        <v>179.05</v>
      </c>
      <c r="T17" s="101">
        <v>646.69000000000005</v>
      </c>
      <c r="V17" s="95"/>
      <c r="W17" s="95"/>
      <c r="X17" s="95"/>
      <c r="Y17" s="16"/>
    </row>
    <row r="18" spans="1:25" ht="21" customHeight="1" x14ac:dyDescent="0.25">
      <c r="A18" s="8">
        <v>44849</v>
      </c>
      <c r="B18" s="100">
        <v>1.5216000000000001</v>
      </c>
      <c r="C18" s="101">
        <v>347.58</v>
      </c>
      <c r="D18" s="101">
        <v>11021.01</v>
      </c>
      <c r="E18" s="101">
        <v>9465161.1999999993</v>
      </c>
      <c r="F18" s="101">
        <v>3.6074000000000002</v>
      </c>
      <c r="G18" s="101">
        <v>1.1423000000000001</v>
      </c>
      <c r="H18" s="101">
        <v>1.0631999999999999</v>
      </c>
      <c r="I18" s="101">
        <v>378.06</v>
      </c>
      <c r="J18" s="101">
        <v>528.55999999999995</v>
      </c>
      <c r="K18" s="101">
        <v>498.38</v>
      </c>
      <c r="L18" s="101">
        <v>342.29</v>
      </c>
      <c r="M18" s="101">
        <v>856.15</v>
      </c>
      <c r="N18" s="101">
        <v>774.53</v>
      </c>
      <c r="O18" s="101">
        <v>251.17</v>
      </c>
      <c r="P18" s="101">
        <v>1.0402</v>
      </c>
      <c r="Q18" s="101">
        <v>760.7</v>
      </c>
      <c r="R18" s="99">
        <v>190.15</v>
      </c>
      <c r="S18" s="101">
        <v>179.05</v>
      </c>
      <c r="T18" s="101">
        <v>646.99</v>
      </c>
      <c r="V18" s="95"/>
      <c r="W18" s="95"/>
      <c r="X18" s="95"/>
      <c r="Y18" s="16"/>
    </row>
    <row r="19" spans="1:25" ht="21" customHeight="1" x14ac:dyDescent="0.25">
      <c r="A19" s="8">
        <v>44850</v>
      </c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15"/>
      <c r="P19" s="101"/>
      <c r="Q19" s="101"/>
      <c r="R19" s="99">
        <v>190.15</v>
      </c>
      <c r="S19" s="101"/>
      <c r="T19" s="101"/>
      <c r="V19" s="95"/>
      <c r="W19" s="95"/>
      <c r="X19" s="95"/>
      <c r="Y19" s="16"/>
    </row>
    <row r="20" spans="1:25" ht="21" customHeight="1" x14ac:dyDescent="0.25">
      <c r="A20" s="8">
        <v>44851</v>
      </c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99">
        <v>190.15</v>
      </c>
      <c r="S20" s="101"/>
      <c r="T20" s="101"/>
      <c r="V20" s="95"/>
      <c r="W20" s="95"/>
      <c r="X20" s="95"/>
      <c r="Y20" s="16"/>
    </row>
    <row r="21" spans="1:25" ht="21" customHeight="1" x14ac:dyDescent="0.25">
      <c r="A21" s="8">
        <v>44852</v>
      </c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99">
        <v>190.15</v>
      </c>
      <c r="S21" s="101"/>
      <c r="T21" s="101"/>
      <c r="V21" s="95"/>
      <c r="W21" s="95"/>
      <c r="X21" s="95"/>
      <c r="Y21" s="16"/>
    </row>
    <row r="22" spans="1:25" ht="21" customHeight="1" x14ac:dyDescent="0.25">
      <c r="A22" s="8">
        <v>44853</v>
      </c>
      <c r="B22" s="100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99">
        <v>190.15</v>
      </c>
      <c r="S22" s="101"/>
      <c r="T22" s="101"/>
      <c r="V22" s="95"/>
      <c r="W22" s="95"/>
      <c r="X22" s="95"/>
      <c r="Y22" s="16"/>
    </row>
    <row r="23" spans="1:25" ht="21" customHeight="1" x14ac:dyDescent="0.25">
      <c r="A23" s="8">
        <v>44854</v>
      </c>
      <c r="B23" s="100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99">
        <v>190.15</v>
      </c>
      <c r="S23" s="101"/>
      <c r="T23" s="101"/>
      <c r="V23" s="95"/>
      <c r="W23" s="95"/>
      <c r="X23" s="95"/>
      <c r="Y23" s="16"/>
    </row>
    <row r="24" spans="1:25" ht="21" customHeight="1" x14ac:dyDescent="0.25">
      <c r="A24" s="8">
        <v>44855</v>
      </c>
      <c r="B24" s="100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99">
        <v>190.15</v>
      </c>
      <c r="S24" s="101"/>
      <c r="T24" s="101"/>
      <c r="V24" s="95"/>
      <c r="W24" s="95"/>
      <c r="X24" s="95"/>
      <c r="Y24" s="16"/>
    </row>
    <row r="25" spans="1:25" ht="21" customHeight="1" x14ac:dyDescent="0.25">
      <c r="A25" s="8">
        <v>44856</v>
      </c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v>190.15</v>
      </c>
      <c r="S25" s="101"/>
      <c r="T25" s="101"/>
      <c r="V25" s="95"/>
      <c r="W25" s="95"/>
      <c r="X25" s="95"/>
      <c r="Y25" s="16"/>
    </row>
    <row r="26" spans="1:25" ht="21" customHeight="1" x14ac:dyDescent="0.25">
      <c r="A26" s="8">
        <v>44857</v>
      </c>
      <c r="B26" s="100"/>
      <c r="C26" s="101"/>
      <c r="D26" s="101"/>
      <c r="E26" s="101"/>
      <c r="F26" s="101"/>
      <c r="G26" s="101"/>
      <c r="H26" s="101"/>
      <c r="I26" s="101"/>
      <c r="J26" s="101"/>
      <c r="K26" s="101" t="s">
        <v>126</v>
      </c>
      <c r="L26" s="101"/>
      <c r="M26" s="101"/>
      <c r="N26" s="101"/>
      <c r="O26" s="101"/>
      <c r="P26" s="101"/>
      <c r="Q26" s="101"/>
      <c r="R26" s="99">
        <v>190.15</v>
      </c>
      <c r="S26" s="101"/>
      <c r="T26" s="101"/>
      <c r="V26" s="95"/>
      <c r="W26" s="95"/>
      <c r="X26" s="95"/>
      <c r="Y26" s="16"/>
    </row>
    <row r="27" spans="1:25" s="120" customFormat="1" ht="21" customHeight="1" x14ac:dyDescent="0.25">
      <c r="A27" s="8">
        <v>44858</v>
      </c>
      <c r="B27" s="122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99">
        <v>190.15</v>
      </c>
      <c r="S27" s="115"/>
      <c r="T27" s="115"/>
      <c r="V27" s="123"/>
      <c r="W27" s="123"/>
      <c r="X27" s="123"/>
      <c r="Y27" s="124"/>
    </row>
    <row r="28" spans="1:25" ht="21" customHeight="1" x14ac:dyDescent="0.25">
      <c r="A28" s="8">
        <v>44859</v>
      </c>
      <c r="B28" s="100"/>
      <c r="C28" s="101"/>
      <c r="D28" s="101"/>
      <c r="E28" s="101"/>
      <c r="F28" s="101"/>
      <c r="G28" s="101"/>
      <c r="H28" s="115"/>
      <c r="I28" s="101"/>
      <c r="J28" s="101"/>
      <c r="K28" s="101"/>
      <c r="L28" s="101"/>
      <c r="M28" s="101"/>
      <c r="N28" s="101"/>
      <c r="O28" s="101"/>
      <c r="P28" s="101"/>
      <c r="Q28" s="101"/>
      <c r="R28" s="99">
        <v>190.15</v>
      </c>
      <c r="S28" s="101"/>
      <c r="T28" s="101"/>
      <c r="V28" s="95"/>
      <c r="W28" s="95"/>
      <c r="X28" s="95"/>
      <c r="Y28" s="16"/>
    </row>
    <row r="29" spans="1:25" ht="21" customHeight="1" x14ac:dyDescent="0.25">
      <c r="A29" s="8">
        <v>44860</v>
      </c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99">
        <v>190.15</v>
      </c>
      <c r="S29" s="101"/>
      <c r="T29" s="101"/>
      <c r="V29" s="95"/>
      <c r="W29" s="95"/>
      <c r="X29" s="95"/>
      <c r="Y29" s="16"/>
    </row>
    <row r="30" spans="1:25" ht="21" customHeight="1" x14ac:dyDescent="0.25">
      <c r="A30" s="8">
        <v>44861</v>
      </c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99">
        <v>190.15</v>
      </c>
      <c r="S30" s="101"/>
      <c r="T30" s="101"/>
      <c r="V30" s="95"/>
      <c r="W30" s="95"/>
      <c r="X30" s="95"/>
      <c r="Y30" s="16"/>
    </row>
    <row r="31" spans="1:25" ht="21" customHeight="1" x14ac:dyDescent="0.25">
      <c r="A31" s="8">
        <v>44862</v>
      </c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99">
        <v>190.15</v>
      </c>
      <c r="S31" s="101"/>
      <c r="T31" s="101"/>
      <c r="V31" s="95"/>
      <c r="W31" s="95"/>
      <c r="X31" s="95"/>
      <c r="Y31" s="16"/>
    </row>
    <row r="32" spans="1:25" ht="21" customHeight="1" x14ac:dyDescent="0.25">
      <c r="A32" s="8">
        <v>44863</v>
      </c>
      <c r="B32" s="98"/>
      <c r="C32" s="98"/>
      <c r="D32" s="98"/>
      <c r="E32" s="103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9">
        <v>190.15</v>
      </c>
      <c r="S32" s="98"/>
      <c r="T32" s="98"/>
      <c r="V32" s="95"/>
      <c r="W32" s="95"/>
      <c r="X32" s="95"/>
      <c r="Y32" s="16"/>
    </row>
    <row r="33" spans="1:25" ht="19.5" customHeight="1" x14ac:dyDescent="0.25">
      <c r="A33" s="8">
        <v>44864</v>
      </c>
      <c r="B33" s="98"/>
      <c r="C33" s="98"/>
      <c r="D33" s="98"/>
      <c r="E33" s="103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9">
        <v>190.15</v>
      </c>
      <c r="S33" s="98"/>
      <c r="T33" s="98"/>
      <c r="V33" s="95"/>
      <c r="W33" s="95"/>
      <c r="X33" s="95"/>
      <c r="Y33" s="16"/>
    </row>
    <row r="34" spans="1:25" ht="19.5" customHeight="1" x14ac:dyDescent="0.25">
      <c r="A34" s="8">
        <v>44865</v>
      </c>
      <c r="B34" s="109"/>
      <c r="C34" s="109"/>
      <c r="D34" s="1"/>
      <c r="E34" s="1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98"/>
      <c r="S34" s="109"/>
      <c r="T34" s="109"/>
      <c r="V34" s="95"/>
      <c r="W34" s="95"/>
      <c r="X34" s="95"/>
    </row>
    <row r="35" spans="1:25" ht="21" customHeight="1" x14ac:dyDescent="0.25">
      <c r="A35" s="8">
        <v>44866</v>
      </c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25">
      <c r="S36" s="102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4" sqref="F2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5" t="s">
        <v>30</v>
      </c>
      <c r="B2" s="157" t="s">
        <v>31</v>
      </c>
      <c r="C2" s="157" t="s">
        <v>32</v>
      </c>
      <c r="D2" s="157" t="s">
        <v>118</v>
      </c>
      <c r="E2" s="155" t="s">
        <v>33</v>
      </c>
      <c r="F2" s="165" t="s">
        <v>34</v>
      </c>
      <c r="G2" s="166"/>
      <c r="H2" s="167"/>
      <c r="I2" s="168" t="s">
        <v>35</v>
      </c>
      <c r="J2" s="168" t="s">
        <v>36</v>
      </c>
      <c r="K2" s="168" t="s">
        <v>37</v>
      </c>
      <c r="L2" s="168" t="s">
        <v>38</v>
      </c>
      <c r="M2" s="169" t="s">
        <v>39</v>
      </c>
      <c r="N2" s="169"/>
      <c r="O2" s="169"/>
      <c r="P2" s="169"/>
      <c r="Q2" s="169"/>
      <c r="R2" s="169"/>
      <c r="S2" s="168" t="s">
        <v>40</v>
      </c>
      <c r="T2" s="168"/>
      <c r="U2" s="170" t="s">
        <v>41</v>
      </c>
      <c r="V2" s="168" t="s">
        <v>42</v>
      </c>
    </row>
    <row r="3" spans="1:22" x14ac:dyDescent="0.25">
      <c r="A3" s="156"/>
      <c r="B3" s="158"/>
      <c r="C3" s="158"/>
      <c r="D3" s="158"/>
      <c r="E3" s="156"/>
      <c r="F3" s="6" t="s">
        <v>26</v>
      </c>
      <c r="G3" s="6" t="s">
        <v>27</v>
      </c>
      <c r="H3" s="6" t="s">
        <v>28</v>
      </c>
      <c r="I3" s="168"/>
      <c r="J3" s="168"/>
      <c r="K3" s="168"/>
      <c r="L3" s="16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0"/>
      <c r="V3" s="168"/>
    </row>
    <row r="4" spans="1:22" x14ac:dyDescent="0.25">
      <c r="A4" s="3">
        <f>'Kwh Reading'!A4</f>
        <v>44835</v>
      </c>
      <c r="B4" s="127">
        <f>TOTAL!E2</f>
        <v>17269.999999999527</v>
      </c>
      <c r="C4" s="4">
        <f>('Kwh Reading'!T5-'Kwh Reading'!T4)*1000</f>
        <v>389.99999999998636</v>
      </c>
      <c r="D4" s="2">
        <f>('Kwh Reading'!F5-'Kwh Reading'!F4)*1000000</f>
        <v>2499.9999999999468</v>
      </c>
      <c r="E4" s="2">
        <f>('Kwh Reading'!C5-'Kwh Reading'!C4)*1000</f>
        <v>269.99999999998181</v>
      </c>
      <c r="F4" s="2">
        <f>('Kwh Reading'!J5-'Kwh Reading'!J4)*1000</f>
        <v>319.99999999993634</v>
      </c>
      <c r="G4" s="2">
        <f>('Kwh Reading'!K5-'Kwh Reading'!K4)*1000</f>
        <v>250</v>
      </c>
      <c r="H4" s="2">
        <f>('Kwh Reading'!L5-'Kwh Reading'!L4)*1000</f>
        <v>200.00000000004547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279.99999999997272</v>
      </c>
      <c r="L4" s="2">
        <f>('Kwh Reading'!B5-'Kwh Reading'!B4)*1000000</f>
        <v>899.99999999990087</v>
      </c>
      <c r="M4" s="2">
        <f>('Kwh Reading'!M5-'Kwh Reading'!M4)*1000</f>
        <v>309.99999999994543</v>
      </c>
      <c r="N4" s="2">
        <f>('Kwh Reading'!H5-'Kwh Reading'!H4)*1000000</f>
        <v>499.99999999994492</v>
      </c>
      <c r="O4" s="2">
        <f>('Kwh Reading'!P5-'Kwh Reading'!P4)*1000000</f>
        <v>399.99999999995595</v>
      </c>
      <c r="P4" s="2">
        <f>('Kwh Reading'!G5-'Kwh Reading'!G4)*1000000</f>
        <v>499.99999999994492</v>
      </c>
      <c r="Q4" s="2">
        <f>('Kwh Reading'!Q5-'Kwh Reading'!Q4)*1000</f>
        <v>169.99999999995907</v>
      </c>
      <c r="R4" s="2">
        <f>('Kwh Reading'!N5-'Kwh Reading'!N4)*1000</f>
        <v>429.99999999994998</v>
      </c>
      <c r="S4" s="2">
        <f>'Kwh Reading'!E5-'Kwh Reading'!E4</f>
        <v>1884.8000000007451</v>
      </c>
      <c r="T4" s="2">
        <f>'Kwh Reading'!D5-'Kwh Reading'!D4</f>
        <v>1757.1299999989569</v>
      </c>
      <c r="U4" s="26">
        <f>('Kwh Reading'!O5-'Kwh Reading'!O4)*1000</f>
        <v>210.00000000000796</v>
      </c>
      <c r="V4" s="1">
        <f>B4-(SUM(C4:U4))</f>
        <v>5858.0700000003326</v>
      </c>
    </row>
    <row r="5" spans="1:22" x14ac:dyDescent="0.25">
      <c r="A5" s="3">
        <f>'Kwh Reading'!A5</f>
        <v>44836</v>
      </c>
      <c r="B5" s="25">
        <f>TOTAL!E3</f>
        <v>16960.000000001401</v>
      </c>
      <c r="C5" s="4">
        <f>('Kwh Reading'!T6-'Kwh Reading'!T5)*1000</f>
        <v>490.00000000000909</v>
      </c>
      <c r="D5" s="2">
        <f>('Kwh Reading'!F6-'Kwh Reading'!F5)*1000000</f>
        <v>2699.9999999999245</v>
      </c>
      <c r="E5" s="2">
        <f>('Kwh Reading'!C6-'Kwh Reading'!C5)*1000</f>
        <v>259.99999999999091</v>
      </c>
      <c r="F5" s="2">
        <f>('Kwh Reading'!J6-'Kwh Reading'!J5)*1000</f>
        <v>389.99999999998636</v>
      </c>
      <c r="G5" s="2">
        <f>('Kwh Reading'!K6-'Kwh Reading'!K5)*1000</f>
        <v>340.00000000003183</v>
      </c>
      <c r="H5" s="2">
        <f>('Kwh Reading'!L6-'Kwh Reading'!L5)*1000</f>
        <v>269.99999999998181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319.99999999999318</v>
      </c>
      <c r="L5" s="2">
        <f>('Kwh Reading'!B6-'Kwh Reading'!B5)*1000000</f>
        <v>1100.000000000101</v>
      </c>
      <c r="M5" s="2">
        <f>('Kwh Reading'!M6-'Kwh Reading'!M5)*1000</f>
        <v>379.99999999999545</v>
      </c>
      <c r="N5" s="2">
        <f>('Kwh Reading'!H6-'Kwh Reading'!H5)*1000000</f>
        <v>600.00000000015598</v>
      </c>
      <c r="O5" s="2">
        <f>('Kwh Reading'!P6-'Kwh Reading'!P5)*1000000</f>
        <v>399.99999999995595</v>
      </c>
      <c r="P5" s="2">
        <f>('Kwh Reading'!G6-'Kwh Reading'!G5)*1000000</f>
        <v>500.00000000016701</v>
      </c>
      <c r="Q5" s="2">
        <f>('Kwh Reading'!Q6-'Kwh Reading'!Q5)*1000</f>
        <v>129.99999999999545</v>
      </c>
      <c r="R5" s="2">
        <f>('Kwh Reading'!N6-'Kwh Reading'!N5)*1000</f>
        <v>430.00000000006366</v>
      </c>
      <c r="S5" s="2">
        <f>'Kwh Reading'!E6-'Kwh Reading'!E5</f>
        <v>2109.070000000298</v>
      </c>
      <c r="T5" s="2">
        <f>'Kwh Reading'!D6-'Kwh Reading'!D5</f>
        <v>1589.3800000008196</v>
      </c>
      <c r="U5" s="26">
        <f>('Kwh Reading'!O6-'Kwh Reading'!O5)*1000</f>
        <v>229.99999999998977</v>
      </c>
      <c r="V5" s="1">
        <f t="shared" ref="V5:V11" si="0">B5-(SUM(C5:U5))</f>
        <v>4601.5499999999374</v>
      </c>
    </row>
    <row r="6" spans="1:22" x14ac:dyDescent="0.25">
      <c r="A6" s="3">
        <f>'Kwh Reading'!A6</f>
        <v>44837</v>
      </c>
      <c r="B6" s="25">
        <f>TOTAL!E4</f>
        <v>18579.999999999018</v>
      </c>
      <c r="C6" s="4">
        <f>('Kwh Reading'!T7-'Kwh Reading'!T6)*1000</f>
        <v>469.9999999999136</v>
      </c>
      <c r="D6" s="2">
        <f>('Kwh Reading'!F7-'Kwh Reading'!F6)*1000000</f>
        <v>2600.0000000001578</v>
      </c>
      <c r="E6" s="2">
        <f>('Kwh Reading'!C7-'Kwh Reading'!C6)*1000</f>
        <v>259.99999999999091</v>
      </c>
      <c r="F6" s="2">
        <f>('Kwh Reading'!J7-'Kwh Reading'!J6)*1000</f>
        <v>570.00000000005002</v>
      </c>
      <c r="G6" s="2">
        <f>('Kwh Reading'!K7-'Kwh Reading'!K6)*1000</f>
        <v>289.99999999996362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119.99999999997613</v>
      </c>
      <c r="K6" s="2">
        <f>('Kwh Reading'!I7-'Kwh Reading'!I6)*1000</f>
        <v>310.00000000000227</v>
      </c>
      <c r="L6" s="2">
        <f>('Kwh Reading'!B7-'Kwh Reading'!B6)*1000000</f>
        <v>899.99999999990087</v>
      </c>
      <c r="M6" s="2">
        <f>('Kwh Reading'!M7-'Kwh Reading'!M6)*1000</f>
        <v>300.00000000006821</v>
      </c>
      <c r="N6" s="2">
        <f>('Kwh Reading'!H7-'Kwh Reading'!H6)*1000000</f>
        <v>599.99999999993395</v>
      </c>
      <c r="O6" s="2">
        <f>('Kwh Reading'!P7-'Kwh Reading'!P6)*1000000</f>
        <v>399.99999999995595</v>
      </c>
      <c r="P6" s="2">
        <f>('Kwh Reading'!G7-'Kwh Reading'!G6)*1000000</f>
        <v>99.999999999988987</v>
      </c>
      <c r="Q6" s="2">
        <f>('Kwh Reading'!Q7-'Kwh Reading'!Q6)*1000</f>
        <v>139.99999999998636</v>
      </c>
      <c r="R6" s="2">
        <f>('Kwh Reading'!N7-'Kwh Reading'!N6)*1000</f>
        <v>449.99999999993179</v>
      </c>
      <c r="S6" s="2">
        <f>'Kwh Reading'!E7-'Kwh Reading'!E6</f>
        <v>2128.9499999992549</v>
      </c>
      <c r="T6" s="2">
        <f>'Kwh Reading'!D7-'Kwh Reading'!D6</f>
        <v>1528.1899999994785</v>
      </c>
      <c r="U6" s="26">
        <f>('Kwh Reading'!O7-'Kwh Reading'!O6)*1000</f>
        <v>210.00000000000796</v>
      </c>
      <c r="V6" s="1">
        <f t="shared" si="0"/>
        <v>7002.8600000004662</v>
      </c>
    </row>
    <row r="7" spans="1:22" x14ac:dyDescent="0.25">
      <c r="A7" s="3">
        <f>'Kwh Reading'!A7</f>
        <v>44838</v>
      </c>
      <c r="B7" s="25">
        <f>TOTAL!E5</f>
        <v>17550.000000000182</v>
      </c>
      <c r="C7" s="4">
        <f>('Kwh Reading'!T8-'Kwh Reading'!T7)*1000</f>
        <v>480.00000000001819</v>
      </c>
      <c r="D7" s="2">
        <f>('Kwh Reading'!F8-'Kwh Reading'!F7)*1000000</f>
        <v>2400.0000000001796</v>
      </c>
      <c r="E7" s="2">
        <f>('Kwh Reading'!C8-'Kwh Reading'!C7)*1000</f>
        <v>260.00000000004775</v>
      </c>
      <c r="F7" s="2">
        <f>('Kwh Reading'!J8-'Kwh Reading'!J7)*1000</f>
        <v>519.99999999998181</v>
      </c>
      <c r="G7" s="2">
        <f>('Kwh Reading'!K8-'Kwh Reading'!K7)*1000</f>
        <v>240.00000000000909</v>
      </c>
      <c r="H7" s="2">
        <f>('Kwh Reading'!L8-'Kwh Reading'!L7)*1000</f>
        <v>170.00000000001592</v>
      </c>
      <c r="I7" s="2">
        <f>('Kwh Reading'!R8-'Kwh Reading'!R7)*1000</f>
        <v>0</v>
      </c>
      <c r="J7" s="2">
        <f>('Kwh Reading'!S8-'Kwh Reading'!S7)*1000</f>
        <v>190.00000000002615</v>
      </c>
      <c r="K7" s="2">
        <f>('Kwh Reading'!I8-'Kwh Reading'!I7)*1000</f>
        <v>290.00000000002046</v>
      </c>
      <c r="L7" s="2">
        <f>('Kwh Reading'!B8-'Kwh Reading'!B7)*1000000</f>
        <v>1000.0000000001119</v>
      </c>
      <c r="M7" s="2">
        <f>('Kwh Reading'!M8-'Kwh Reading'!M7)*1000</f>
        <v>349.99999999990905</v>
      </c>
      <c r="N7" s="2">
        <f>('Kwh Reading'!H8-'Kwh Reading'!H7)*1000000</f>
        <v>599.99999999993395</v>
      </c>
      <c r="O7" s="2">
        <f>('Kwh Reading'!P8-'Kwh Reading'!P7)*1000000</f>
        <v>399.99999999995595</v>
      </c>
      <c r="P7" s="2">
        <f>('Kwh Reading'!G8-'Kwh Reading'!G7)*1000000</f>
        <v>999.99999999988984</v>
      </c>
      <c r="Q7" s="2">
        <f>('Kwh Reading'!Q8-'Kwh Reading'!Q7)*1000</f>
        <v>129.99999999999545</v>
      </c>
      <c r="R7" s="2">
        <f>('Kwh Reading'!N8-'Kwh Reading'!N7)*1000</f>
        <v>320.00000000005002</v>
      </c>
      <c r="S7" s="2">
        <f>'Kwh Reading'!E8-'Kwh Reading'!E7</f>
        <v>2211.839999999851</v>
      </c>
      <c r="T7" s="2">
        <f>'Kwh Reading'!D8-'Kwh Reading'!D7</f>
        <v>1443.4199999999255</v>
      </c>
      <c r="U7" s="26">
        <f>('Kwh Reading'!O8-'Kwh Reading'!O7)*1000</f>
        <v>189.99999999999773</v>
      </c>
      <c r="V7" s="1">
        <f t="shared" si="0"/>
        <v>5354.7400000002617</v>
      </c>
    </row>
    <row r="8" spans="1:22" x14ac:dyDescent="0.25">
      <c r="A8" s="3">
        <f>'Kwh Reading'!A8</f>
        <v>44839</v>
      </c>
      <c r="B8" s="25">
        <f>TOTAL!E6</f>
        <v>18519.999999999302</v>
      </c>
      <c r="C8" s="4">
        <f>('Kwh Reading'!T9-'Kwh Reading'!T8)*1000</f>
        <v>509.99999999999091</v>
      </c>
      <c r="D8" s="2">
        <f>('Kwh Reading'!F9-'Kwh Reading'!F8)*1000000</f>
        <v>2699.9999999999245</v>
      </c>
      <c r="E8" s="2">
        <f>('Kwh Reading'!C9-'Kwh Reading'!C8)*1000</f>
        <v>279.99999999997272</v>
      </c>
      <c r="F8" s="2">
        <f>('Kwh Reading'!J9-'Kwh Reading'!J8)*1000</f>
        <v>439.99999999994088</v>
      </c>
      <c r="G8" s="2">
        <f>('Kwh Reading'!K9-'Kwh Reading'!K8)*1000</f>
        <v>310.00000000000227</v>
      </c>
      <c r="H8" s="2">
        <f>('Kwh Reading'!L9-'Kwh Reading'!L8)*1000</f>
        <v>189.99999999999773</v>
      </c>
      <c r="I8" s="2">
        <f>('Kwh Reading'!R9-'Kwh Reading'!R8)*1000</f>
        <v>0</v>
      </c>
      <c r="J8" s="2">
        <f>('Kwh Reading'!S9-'Kwh Reading'!S8)*1000</f>
        <v>49.999999999982947</v>
      </c>
      <c r="K8" s="2">
        <f>('Kwh Reading'!I9-'Kwh Reading'!I8)*1000</f>
        <v>339.99999999997499</v>
      </c>
      <c r="L8" s="2">
        <f>('Kwh Reading'!B9-'Kwh Reading'!B8)*1000000</f>
        <v>1099.9999999998788</v>
      </c>
      <c r="M8" s="2">
        <f>('Kwh Reading'!M9-'Kwh Reading'!M8)*1000</f>
        <v>340.00000000003183</v>
      </c>
      <c r="N8" s="2">
        <f>('Kwh Reading'!H9-'Kwh Reading'!H8)*1000000</f>
        <v>700.00000000014495</v>
      </c>
      <c r="O8" s="2">
        <f>('Kwh Reading'!P9-'Kwh Reading'!P8)*1000000</f>
        <v>500.00000000016701</v>
      </c>
      <c r="P8" s="2">
        <f>('Kwh Reading'!G9-'Kwh Reading'!G8)*1000000</f>
        <v>599.99999999993395</v>
      </c>
      <c r="Q8" s="2">
        <f>('Kwh Reading'!Q9-'Kwh Reading'!Q8)*1000</f>
        <v>220.00000000002728</v>
      </c>
      <c r="R8" s="2">
        <f>('Kwh Reading'!N9-'Kwh Reading'!N8)*1000</f>
        <v>350.00000000002274</v>
      </c>
      <c r="S8" s="2">
        <f>'Kwh Reading'!E9-'Kwh Reading'!E8</f>
        <v>2279.6699999999255</v>
      </c>
      <c r="T8" s="2">
        <f>'Kwh Reading'!D9-'Kwh Reading'!D8</f>
        <v>1603.3000000007451</v>
      </c>
      <c r="U8" s="26">
        <f>('Kwh Reading'!O9-'Kwh Reading'!O8)*1000</f>
        <v>189.99999999999773</v>
      </c>
      <c r="V8" s="1">
        <f t="shared" si="0"/>
        <v>5817.0299999986401</v>
      </c>
    </row>
    <row r="9" spans="1:22" x14ac:dyDescent="0.25">
      <c r="A9" s="3">
        <f>'Kwh Reading'!A9</f>
        <v>44840</v>
      </c>
      <c r="B9" s="25">
        <f>TOTAL!E7</f>
        <v>19040.000000000644</v>
      </c>
      <c r="C9" s="4">
        <f>('Kwh Reading'!T10-'Kwh Reading'!T9)*1000</f>
        <v>500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320.00000000005002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0</v>
      </c>
      <c r="J9" s="2">
        <f>('Kwh Reading'!S10-'Kwh Reading'!S9)*1000</f>
        <v>120.00000000000455</v>
      </c>
      <c r="K9" s="2">
        <f>('Kwh Reading'!I10-'Kwh Reading'!I9)*1000</f>
        <v>350.00000000002274</v>
      </c>
      <c r="L9" s="2">
        <f>('Kwh Reading'!B10-'Kwh Reading'!B9)*1000000</f>
        <v>1200.0000000000898</v>
      </c>
      <c r="M9" s="2">
        <f>('Kwh Reading'!M10-'Kwh Reading'!M9)*1000</f>
        <v>409.99999999996817</v>
      </c>
      <c r="N9" s="2">
        <f>('Kwh Reading'!H10-'Kwh Reading'!H9)*1000000</f>
        <v>599.99999999993395</v>
      </c>
      <c r="O9" s="2">
        <f>('Kwh Reading'!P10-'Kwh Reading'!P9)*1000000</f>
        <v>599.99999999993395</v>
      </c>
      <c r="P9" s="2">
        <f>('Kwh Reading'!G10-'Kwh Reading'!G9)*1000000</f>
        <v>500.00000000016701</v>
      </c>
      <c r="Q9" s="2">
        <f>('Kwh Reading'!Q10-'Kwh Reading'!Q9)*1000</f>
        <v>180.00000000006366</v>
      </c>
      <c r="R9" s="2">
        <f>('Kwh Reading'!N10-'Kwh Reading'!N9)*1000</f>
        <v>389.99999999998636</v>
      </c>
      <c r="S9" s="2">
        <f>'Kwh Reading'!E10-'Kwh Reading'!E9</f>
        <v>2595.140000000596</v>
      </c>
      <c r="T9" s="2">
        <f>'Kwh Reading'!D10-'Kwh Reading'!D9</f>
        <v>1536.3300000000745</v>
      </c>
      <c r="U9" s="26">
        <f>('Kwh Reading'!O10-'Kwh Reading'!O9)*1000</f>
        <v>219.99999999999886</v>
      </c>
      <c r="V9" s="1">
        <f t="shared" si="0"/>
        <v>6058.5299999997824</v>
      </c>
    </row>
    <row r="10" spans="1:22" x14ac:dyDescent="0.25">
      <c r="A10" s="3">
        <f>'Kwh Reading'!A10</f>
        <v>44841</v>
      </c>
      <c r="B10" s="25">
        <f>TOTAL!E8</f>
        <v>18259.999999997945</v>
      </c>
      <c r="C10" s="4">
        <f>('Kwh Reading'!T11-'Kwh Reading'!T10)*1000</f>
        <v>270.0000000000955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389.99999999998636</v>
      </c>
      <c r="G10" s="2">
        <f>('Kwh Reading'!K11-'Kwh Reading'!K10)*1000</f>
        <v>310.00000000000227</v>
      </c>
      <c r="H10" s="2">
        <f>('Kwh Reading'!L11-'Kwh Reading'!L10)*1000</f>
        <v>230.00000000001819</v>
      </c>
      <c r="I10" s="2">
        <f>('Kwh Reading'!R11-'Kwh Reading'!R10)*1000</f>
        <v>0</v>
      </c>
      <c r="J10" s="2">
        <f>('Kwh Reading'!S11-'Kwh Reading'!S10)*1000</f>
        <v>109.99999999998522</v>
      </c>
      <c r="K10" s="2">
        <f>('Kwh Reading'!I11-'Kwh Reading'!I10)*1000</f>
        <v>310.00000000000227</v>
      </c>
      <c r="L10" s="2">
        <f>('Kwh Reading'!B11-'Kwh Reading'!B10)*1000000</f>
        <v>999.99999999988984</v>
      </c>
      <c r="M10" s="2">
        <f>('Kwh Reading'!M11-'Kwh Reading'!M10)*1000</f>
        <v>420.00000000007276</v>
      </c>
      <c r="N10" s="2">
        <f>('Kwh Reading'!H11-'Kwh Reading'!H10)*1000000</f>
        <v>699.99999999992292</v>
      </c>
      <c r="O10" s="2">
        <f>('Kwh Reading'!P11-'Kwh Reading'!P10)*1000000</f>
        <v>599.99999999993395</v>
      </c>
      <c r="P10" s="2">
        <f>('Kwh Reading'!G11-'Kwh Reading'!G10)*1000000</f>
        <v>499.99999999994492</v>
      </c>
      <c r="Q10" s="2">
        <f>('Kwh Reading'!Q11-'Kwh Reading'!Q10)*1000</f>
        <v>169.99999999995907</v>
      </c>
      <c r="R10" s="2">
        <f>('Kwh Reading'!N11-'Kwh Reading'!N10)*1000</f>
        <v>379.99999999999545</v>
      </c>
      <c r="S10" s="31">
        <f>'Kwh Reading'!E11-'Kwh Reading'!E10</f>
        <v>1968.6500000003725</v>
      </c>
      <c r="T10" s="31">
        <f>'Kwh Reading'!D11-'Kwh Reading'!D10</f>
        <v>-8409605.3000000007</v>
      </c>
      <c r="U10" s="26">
        <f>('Kwh Reading'!O11-'Kwh Reading'!O10)*1000</f>
        <v>200.00000000001705</v>
      </c>
      <c r="V10" s="1">
        <f t="shared" si="0"/>
        <v>8417346.6499999985</v>
      </c>
    </row>
    <row r="11" spans="1:22" x14ac:dyDescent="0.25">
      <c r="A11" s="3">
        <f>'Kwh Reading'!A11</f>
        <v>44842</v>
      </c>
      <c r="B11" s="25">
        <f>TOTAL!E9</f>
        <v>18200.000000000273</v>
      </c>
      <c r="C11" s="4">
        <f>('Kwh Reading'!T12-'Kwh Reading'!T11)*1000</f>
        <v>489.99999999989541</v>
      </c>
      <c r="D11" s="2">
        <f>('Kwh Reading'!F12-'Kwh Reading'!F11)*1000000</f>
        <v>2699.9999999999245</v>
      </c>
      <c r="E11" s="2">
        <f>('Kwh Reading'!C12-'Kwh Reading'!C11)*1000</f>
        <v>269.99999999998181</v>
      </c>
      <c r="F11" s="2">
        <f>('Kwh Reading'!J12-'Kwh Reading'!J11)*1000</f>
        <v>409.99999999996817</v>
      </c>
      <c r="G11" s="2">
        <f>('Kwh Reading'!K12-'Kwh Reading'!K11)*1000</f>
        <v>319.99999999999318</v>
      </c>
      <c r="H11" s="2">
        <f>('Kwh Reading'!L12-'Kwh Reading'!L11)*1000</f>
        <v>209.99999999997954</v>
      </c>
      <c r="I11" s="2">
        <f>('Kwh Reading'!R12-'Kwh Reading'!R11)*1000</f>
        <v>0</v>
      </c>
      <c r="J11" s="2">
        <f>('Kwh Reading'!S12-'Kwh Reading'!S11)*1000</f>
        <v>120.00000000000455</v>
      </c>
      <c r="K11" s="2">
        <f>('Kwh Reading'!I12-'Kwh Reading'!I11)*1000</f>
        <v>329.99999999998408</v>
      </c>
      <c r="L11" s="2">
        <f>('Kwh Reading'!B12-'Kwh Reading'!B11)*1000000</f>
        <v>1000.0000000001119</v>
      </c>
      <c r="M11" s="2">
        <f>('Kwh Reading'!M12-'Kwh Reading'!M11)*1000</f>
        <v>399.99999999997726</v>
      </c>
      <c r="N11" s="2">
        <f>('Kwh Reading'!H12-'Kwh Reading'!H11)*1000000</f>
        <v>700.00000000014495</v>
      </c>
      <c r="O11" s="2">
        <f>('Kwh Reading'!P12-'Kwh Reading'!P11)*1000000</f>
        <v>500.00000000016701</v>
      </c>
      <c r="P11" s="2">
        <f>('Kwh Reading'!G12-'Kwh Reading'!G11)*1000000</f>
        <v>499.99999999994492</v>
      </c>
      <c r="Q11" s="2">
        <f>('Kwh Reading'!Q12-'Kwh Reading'!Q11)*1000</f>
        <v>200.00000000004547</v>
      </c>
      <c r="R11" s="2">
        <f>('Kwh Reading'!N12-'Kwh Reading'!N11)*1000</f>
        <v>399.99999999997726</v>
      </c>
      <c r="S11" s="31">
        <f>'Kwh Reading'!E12-'Kwh Reading'!E11</f>
        <v>2164.339999999851</v>
      </c>
      <c r="T11" s="31">
        <f>'Kwh Reading'!D12-'Kwh Reading'!D11</f>
        <v>1577.77</v>
      </c>
      <c r="U11" s="26">
        <f>('Kwh Reading'!O12-'Kwh Reading'!O11)*1000</f>
        <v>199.99999999998863</v>
      </c>
      <c r="V11" s="1">
        <f t="shared" si="0"/>
        <v>5707.8900000003305</v>
      </c>
    </row>
    <row r="12" spans="1:22" x14ac:dyDescent="0.25">
      <c r="A12" s="3">
        <f>'Kwh Reading'!A12</f>
        <v>44843</v>
      </c>
      <c r="B12" s="25">
        <f>TOTAL!E10</f>
        <v>18530.000000002703</v>
      </c>
      <c r="C12" s="4">
        <f>('Kwh Reading'!T13-'Kwh Reading'!T12)*1000</f>
        <v>520.0000000000955</v>
      </c>
      <c r="D12" s="2">
        <f>('Kwh Reading'!F13-'Kwh Reading'!F12)*1000000</f>
        <v>2699.9999999999245</v>
      </c>
      <c r="E12" s="2">
        <f>('Kwh Reading'!C13-'Kwh Reading'!C12)*1000</f>
        <v>269.99999999998181</v>
      </c>
      <c r="F12" s="2">
        <f>('Kwh Reading'!J13-'Kwh Reading'!J12)*1000</f>
        <v>430.00000000006366</v>
      </c>
      <c r="G12" s="2">
        <f>('Kwh Reading'!K13-'Kwh Reading'!K12)*1000</f>
        <v>289.99999999996362</v>
      </c>
      <c r="H12" s="2">
        <f>('Kwh Reading'!L13-'Kwh Reading'!L12)*1000</f>
        <v>189.99999999999773</v>
      </c>
      <c r="I12" s="2">
        <f>('Kwh Reading'!R13-'Kwh Reading'!R12)*1000</f>
        <v>0</v>
      </c>
      <c r="J12" s="2">
        <f>('Kwh Reading'!S13-'Kwh Reading'!S12)*1000</f>
        <v>110.00000000001364</v>
      </c>
      <c r="K12" s="2">
        <f>('Kwh Reading'!I13-'Kwh Reading'!I12)*1000</f>
        <v>310.00000000000227</v>
      </c>
      <c r="L12" s="2">
        <f>('Kwh Reading'!B13-'Kwh Reading'!B12)*1000000</f>
        <v>1099.9999999998788</v>
      </c>
      <c r="M12" s="2">
        <f>('Kwh Reading'!M13-'Kwh Reading'!M12)*1000</f>
        <v>409.99999999996817</v>
      </c>
      <c r="N12" s="2">
        <f>('Kwh Reading'!H13-'Kwh Reading'!H12)*1000000</f>
        <v>599.99999999993395</v>
      </c>
      <c r="O12" s="2">
        <f>('Kwh Reading'!P13-'Kwh Reading'!P12)*1000000</f>
        <v>599.99999999993395</v>
      </c>
      <c r="P12" s="2">
        <f>('Kwh Reading'!G13-'Kwh Reading'!G12)*1000000</f>
        <v>599.99999999993395</v>
      </c>
      <c r="Q12" s="2">
        <f>('Kwh Reading'!Q13-'Kwh Reading'!Q12)*1000</f>
        <v>209.99999999992269</v>
      </c>
      <c r="R12" s="2">
        <f>('Kwh Reading'!N13-'Kwh Reading'!N12)*1000</f>
        <v>370.00000000000455</v>
      </c>
      <c r="S12" s="31">
        <f>'Kwh Reading'!E13-'Kwh Reading'!E12</f>
        <v>2134.1699999999255</v>
      </c>
      <c r="T12" s="31">
        <f>'Kwh Reading'!D13-'Kwh Reading'!D12</f>
        <v>1622.5300000000002</v>
      </c>
      <c r="U12" s="26">
        <f>('Kwh Reading'!O13-'Kwh Reading'!O12)*1000</f>
        <v>200.00000000001705</v>
      </c>
      <c r="V12" s="1">
        <f t="shared" ref="V12:V34" si="1">B12-(SUM(C12:U12))</f>
        <v>5863.3000000031425</v>
      </c>
    </row>
    <row r="13" spans="1:22" x14ac:dyDescent="0.25">
      <c r="A13" s="3">
        <f>'Kwh Reading'!A13</f>
        <v>44844</v>
      </c>
      <c r="B13" s="25">
        <f>TOTAL!E11</f>
        <v>17509.999999998399</v>
      </c>
      <c r="C13" s="4">
        <f>('Kwh Reading'!T14-'Kwh Reading'!T13)*1000</f>
        <v>459.99999999992269</v>
      </c>
      <c r="D13" s="2">
        <f>('Kwh Reading'!F14-'Kwh Reading'!F13)*1000000</f>
        <v>2700.0000000003688</v>
      </c>
      <c r="E13" s="2">
        <f>('Kwh Reading'!C14-'Kwh Reading'!C13)*1000</f>
        <v>280.00000000002956</v>
      </c>
      <c r="F13" s="2">
        <f>('Kwh Reading'!J14-'Kwh Reading'!J13)*1000</f>
        <v>460.00000000003638</v>
      </c>
      <c r="G13" s="2">
        <f>('Kwh Reading'!K14-'Kwh Reading'!K13)*1000</f>
        <v>320.00000000005002</v>
      </c>
      <c r="H13" s="2">
        <f>('Kwh Reading'!L14-'Kwh Reading'!L13)*1000</f>
        <v>209.99999999997954</v>
      </c>
      <c r="I13" s="2">
        <f>('Kwh Reading'!R14-'Kwh Reading'!R13)*1000</f>
        <v>0</v>
      </c>
      <c r="J13" s="2">
        <f>('Kwh Reading'!S14-'Kwh Reading'!S13)*1000</f>
        <v>109.99999999998522</v>
      </c>
      <c r="K13" s="2">
        <f>('Kwh Reading'!I14-'Kwh Reading'!I13)*1000</f>
        <v>250</v>
      </c>
      <c r="L13" s="2">
        <f>('Kwh Reading'!B14-'Kwh Reading'!B13)*1000000</f>
        <v>1000.0000000001119</v>
      </c>
      <c r="M13" s="2">
        <f>('Kwh Reading'!M14-'Kwh Reading'!M13)*1000</f>
        <v>300.00000000006821</v>
      </c>
      <c r="N13" s="2">
        <f>('Kwh Reading'!H14-'Kwh Reading'!H13)*1000000</f>
        <v>599.99999999993395</v>
      </c>
      <c r="O13" s="2">
        <f>('Kwh Reading'!P14-'Kwh Reading'!P13)*1000000</f>
        <v>499.99999999994492</v>
      </c>
      <c r="P13" s="2">
        <f>('Kwh Reading'!G14-'Kwh Reading'!G13)*1000000</f>
        <v>500.00000000016701</v>
      </c>
      <c r="Q13" s="2">
        <f>('Kwh Reading'!Q14-'Kwh Reading'!Q13)*1000</f>
        <v>160.00000000008185</v>
      </c>
      <c r="R13" s="2">
        <f>('Kwh Reading'!N14-'Kwh Reading'!N13)*1000</f>
        <v>320.00000000005002</v>
      </c>
      <c r="S13" s="31">
        <f>'Kwh Reading'!E14-'Kwh Reading'!E13</f>
        <v>1874.0800000000745</v>
      </c>
      <c r="T13" s="31">
        <f>'Kwh Reading'!D14-'Kwh Reading'!D13</f>
        <v>1388.5100000000002</v>
      </c>
      <c r="U13" s="26">
        <f>('Kwh Reading'!O14-'Kwh Reading'!O13)*1000</f>
        <v>219.99999999999886</v>
      </c>
      <c r="V13" s="1">
        <f t="shared" si="1"/>
        <v>5857.4099999975952</v>
      </c>
    </row>
    <row r="14" spans="1:22" x14ac:dyDescent="0.25">
      <c r="A14" s="3">
        <f>'Kwh Reading'!A14</f>
        <v>44845</v>
      </c>
      <c r="B14" s="25">
        <f>TOTAL!E12</f>
        <v>16480.000000000928</v>
      </c>
      <c r="C14" s="4">
        <f>('Kwh Reading'!T15-'Kwh Reading'!T14)*1000</f>
        <v>430.00000000006366</v>
      </c>
      <c r="D14" s="2">
        <f>('Kwh Reading'!F15-'Kwh Reading'!F14)*1000000</f>
        <v>2499.9999999999468</v>
      </c>
      <c r="E14" s="2">
        <f>('Kwh Reading'!C15-'Kwh Reading'!C14)*1000</f>
        <v>300.00000000001137</v>
      </c>
      <c r="F14" s="2">
        <f>('Kwh Reading'!J15-'Kwh Reading'!J14)*1000</f>
        <v>389.99999999998636</v>
      </c>
      <c r="G14" s="2">
        <f>('Kwh Reading'!K15-'Kwh Reading'!K14)*1000</f>
        <v>299.99999999995453</v>
      </c>
      <c r="H14" s="2">
        <f>('Kwh Reading'!L15-'Kwh Reading'!L14)*1000</f>
        <v>220.00000000002728</v>
      </c>
      <c r="I14" s="2">
        <f>('Kwh Reading'!R15-'Kwh Reading'!R14)*1000</f>
        <v>0</v>
      </c>
      <c r="J14" s="2">
        <f>('Kwh Reading'!S15-'Kwh Reading'!S14)*1000</f>
        <v>70.0000000000216</v>
      </c>
      <c r="K14" s="2">
        <f>('Kwh Reading'!I15-'Kwh Reading'!I14)*1000</f>
        <v>240.00000000000909</v>
      </c>
      <c r="L14" s="2">
        <f>('Kwh Reading'!B15-'Kwh Reading'!B14)*1000000</f>
        <v>899.99999999990087</v>
      </c>
      <c r="M14" s="2">
        <f>('Kwh Reading'!M15-'Kwh Reading'!M14)*1000</f>
        <v>360.00000000001364</v>
      </c>
      <c r="N14" s="2">
        <f>('Kwh Reading'!H15-'Kwh Reading'!H14)*1000000</f>
        <v>600.00000000015598</v>
      </c>
      <c r="O14" s="2">
        <f>('Kwh Reading'!P15-'Kwh Reading'!P14)*1000000</f>
        <v>399.99999999995595</v>
      </c>
      <c r="P14" s="2">
        <f>('Kwh Reading'!G15-'Kwh Reading'!G14)*1000000</f>
        <v>499.99999999994492</v>
      </c>
      <c r="Q14" s="2">
        <f>('Kwh Reading'!Q15-'Kwh Reading'!Q14)*1000</f>
        <v>139.99999999998636</v>
      </c>
      <c r="R14" s="2">
        <f>('Kwh Reading'!N15-'Kwh Reading'!N14)*1000</f>
        <v>299.99999999995453</v>
      </c>
      <c r="S14" s="31">
        <f>'Kwh Reading'!E15-'Kwh Reading'!E14</f>
        <v>1840.2199999988079</v>
      </c>
      <c r="T14" s="31">
        <f>'Kwh Reading'!D15-'Kwh Reading'!D14</f>
        <v>1407.8899999999994</v>
      </c>
      <c r="U14" s="26">
        <f>('Kwh Reading'!O15-'Kwh Reading'!O14)*1000</f>
        <v>199.99999999998863</v>
      </c>
      <c r="V14" s="1">
        <f t="shared" si="1"/>
        <v>5381.8900000021986</v>
      </c>
    </row>
    <row r="15" spans="1:22" x14ac:dyDescent="0.25">
      <c r="A15" s="3">
        <f>'Kwh Reading'!A15</f>
        <v>44846</v>
      </c>
      <c r="B15" s="25">
        <f>TOTAL!E13</f>
        <v>17609.999999999673</v>
      </c>
      <c r="C15" s="4">
        <f>('Kwh Reading'!T16-'Kwh Reading'!T15)*1000</f>
        <v>470.00000000002728</v>
      </c>
      <c r="D15" s="2">
        <f>('Kwh Reading'!F16-'Kwh Reading'!F15)*1000000</f>
        <v>2599.9999999997135</v>
      </c>
      <c r="E15" s="2">
        <f>('Kwh Reading'!C16-'Kwh Reading'!C15)*1000</f>
        <v>259.99999999999091</v>
      </c>
      <c r="F15" s="2">
        <f>('Kwh Reading'!J16-'Kwh Reading'!J15)*1000</f>
        <v>649.99999999997726</v>
      </c>
      <c r="G15" s="2">
        <f>('Kwh Reading'!K16-'Kwh Reading'!K15)*1000</f>
        <v>340.00000000003183</v>
      </c>
      <c r="H15" s="2">
        <f>('Kwh Reading'!L16-'Kwh Reading'!L15)*1000</f>
        <v>240.00000000000909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259.99999999999091</v>
      </c>
      <c r="L15" s="2">
        <f>('Kwh Reading'!B16-'Kwh Reading'!B15)*1000000</f>
        <v>900.0000000001229</v>
      </c>
      <c r="M15" s="26">
        <f>('Kwh Reading'!M16-'Kwh Reading'!M15)*1000</f>
        <v>399.99999999997726</v>
      </c>
      <c r="N15" s="2">
        <f>('Kwh Reading'!H16-'Kwh Reading'!H15)*1000000</f>
        <v>599.99999999993395</v>
      </c>
      <c r="O15" s="2">
        <f>('Kwh Reading'!P16-'Kwh Reading'!P15)*1000000</f>
        <v>500.00000000016701</v>
      </c>
      <c r="P15" s="2">
        <f>('Kwh Reading'!G16-'Kwh Reading'!G15)*1000000</f>
        <v>399.99999999995595</v>
      </c>
      <c r="Q15" s="2">
        <f>('Kwh Reading'!Q16-'Kwh Reading'!Q15)*1000</f>
        <v>139.99999999998636</v>
      </c>
      <c r="R15" s="2">
        <f>('Kwh Reading'!N16-'Kwh Reading'!N15)*1000</f>
        <v>330.00000000004093</v>
      </c>
      <c r="S15" s="31">
        <f>'Kwh Reading'!E16-'Kwh Reading'!E15</f>
        <v>1992.8700000010431</v>
      </c>
      <c r="T15" s="31">
        <f>'Kwh Reading'!D16-'Kwh Reading'!D15</f>
        <v>1361.3599999999997</v>
      </c>
      <c r="U15" s="26">
        <f>('Kwh Reading'!O16-'Kwh Reading'!O15)*1000</f>
        <v>219.99999999999886</v>
      </c>
      <c r="V15" s="1">
        <f t="shared" si="1"/>
        <v>5945.7699999987071</v>
      </c>
    </row>
    <row r="16" spans="1:22" x14ac:dyDescent="0.25">
      <c r="A16" s="3">
        <f>'Kwh Reading'!A16</f>
        <v>44847</v>
      </c>
      <c r="B16" s="25">
        <f>TOTAL!E14</f>
        <v>15050.000000001091</v>
      </c>
      <c r="C16" s="4">
        <f>('Kwh Reading'!T17-'Kwh Reading'!T16)*1000</f>
        <v>500</v>
      </c>
      <c r="D16" s="2">
        <f>('Kwh Reading'!F17-'Kwh Reading'!F16)*1000000</f>
        <v>2800.0000000001355</v>
      </c>
      <c r="E16" s="2">
        <f>('Kwh Reading'!C17-'Kwh Reading'!C16)*1000</f>
        <v>279.99999999997272</v>
      </c>
      <c r="F16" s="2">
        <f>('Kwh Reading'!J17-'Kwh Reading'!J16)*1000</f>
        <v>480.00000000001819</v>
      </c>
      <c r="G16" s="2">
        <f>('Kwh Reading'!K17-'Kwh Reading'!K16)*1000</f>
        <v>360.00000000001364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240.00000000000909</v>
      </c>
      <c r="L16" s="2">
        <f>('Kwh Reading'!B17-'Kwh Reading'!B16)*1000000</f>
        <v>899.99999999990087</v>
      </c>
      <c r="M16" s="2">
        <f>('Kwh Reading'!M17-'Kwh Reading'!M16)*1000</f>
        <v>370.00000000000455</v>
      </c>
      <c r="N16" s="2">
        <f>('Kwh Reading'!H17-'Kwh Reading'!H16)*1000000</f>
        <v>599.99999999993395</v>
      </c>
      <c r="O16" s="2">
        <f>('Kwh Reading'!P17-'Kwh Reading'!P16)*1000000</f>
        <v>399.99999999995595</v>
      </c>
      <c r="P16" s="2">
        <f>('Kwh Reading'!G17-'Kwh Reading'!G16)*1000000</f>
        <v>499.99999999994492</v>
      </c>
      <c r="Q16" s="2">
        <f>('Kwh Reading'!Q17-'Kwh Reading'!Q16)*1000</f>
        <v>110.00000000001364</v>
      </c>
      <c r="R16" s="2">
        <f>('Kwh Reading'!N17-'Kwh Reading'!N16)*1000</f>
        <v>269.99999999998181</v>
      </c>
      <c r="S16" s="31">
        <f>'Kwh Reading'!E17-'Kwh Reading'!E16</f>
        <v>1662.6699999999255</v>
      </c>
      <c r="T16" s="31">
        <f>'Kwh Reading'!D17-'Kwh Reading'!D16</f>
        <v>1067.380000000001</v>
      </c>
      <c r="U16" s="26">
        <f>('Kwh Reading'!O17-'Kwh Reading'!O16)*1000</f>
        <v>20.000000000010232</v>
      </c>
      <c r="V16" s="1">
        <f t="shared" si="1"/>
        <v>4249.9500000012595</v>
      </c>
    </row>
    <row r="17" spans="1:22" x14ac:dyDescent="0.25">
      <c r="A17" s="3">
        <f>'Kwh Reading'!A17</f>
        <v>44848</v>
      </c>
      <c r="B17" s="25">
        <f>TOTAL!E15</f>
        <v>16259.999999998399</v>
      </c>
      <c r="C17" s="4">
        <f>('Kwh Reading'!T18-'Kwh Reading'!T17)*1000</f>
        <v>299.99999999995453</v>
      </c>
      <c r="D17" s="2">
        <f>('Kwh Reading'!F18-'Kwh Reading'!F17)*1000000</f>
        <v>2400.0000000001796</v>
      </c>
      <c r="E17" s="2">
        <f>('Kwh Reading'!C18-'Kwh Reading'!C17)*1000</f>
        <v>250</v>
      </c>
      <c r="F17" s="2">
        <f>('Kwh Reading'!J18-'Kwh Reading'!J17)*1000</f>
        <v>469.9999999999136</v>
      </c>
      <c r="G17" s="2">
        <f>('Kwh Reading'!K18-'Kwh Reading'!K17)*1000</f>
        <v>279.99999999997272</v>
      </c>
      <c r="H17" s="2">
        <f>('Kwh Reading'!L18-'Kwh Reading'!L17)*1000</f>
        <v>189.99999999999773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240.00000000000909</v>
      </c>
      <c r="L17" s="2">
        <f>('Kwh Reading'!B18-'Kwh Reading'!B17)*1000000</f>
        <v>800.00000000013392</v>
      </c>
      <c r="M17" s="2">
        <f>('Kwh Reading'!M18-'Kwh Reading'!M17)*1000</f>
        <v>309.99999999994543</v>
      </c>
      <c r="N17" s="2">
        <f>('Kwh Reading'!H18-'Kwh Reading'!H17)*1000000</f>
        <v>499.99999999994492</v>
      </c>
      <c r="O17" s="2">
        <f>('Kwh Reading'!P18-'Kwh Reading'!P17)*1000000</f>
        <v>399.99999999995595</v>
      </c>
      <c r="P17" s="2">
        <f>('Kwh Reading'!G18-'Kwh Reading'!G17)*1000000</f>
        <v>400.00000000017798</v>
      </c>
      <c r="Q17" s="2">
        <f>('Kwh Reading'!Q18-'Kwh Reading'!Q17)*1000</f>
        <v>120.00000000000455</v>
      </c>
      <c r="R17" s="2">
        <f>('Kwh Reading'!N18-'Kwh Reading'!N17)*1000</f>
        <v>299.99999999995453</v>
      </c>
      <c r="S17" s="31">
        <f>'Kwh Reading'!E18-'Kwh Reading'!E17</f>
        <v>1470.0499999988824</v>
      </c>
      <c r="T17" s="31">
        <f>'Kwh Reading'!D18-'Kwh Reading'!D17</f>
        <v>1226.3199999999997</v>
      </c>
      <c r="U17" s="26">
        <f>('Kwh Reading'!O18-'Kwh Reading'!O17)*1000</f>
        <v>399.99999999997726</v>
      </c>
      <c r="V17" s="1">
        <f t="shared" si="1"/>
        <v>6203.6299999993935</v>
      </c>
    </row>
    <row r="18" spans="1:22" x14ac:dyDescent="0.25">
      <c r="A18" s="3">
        <f>'Kwh Reading'!A18</f>
        <v>44849</v>
      </c>
      <c r="B18" s="25">
        <f>TOTAL!E16</f>
        <v>0</v>
      </c>
      <c r="C18" s="4">
        <f>('Kwh Reading'!T19-'Kwh Reading'!T18)*1000</f>
        <v>-646990</v>
      </c>
      <c r="D18" s="2">
        <f>('Kwh Reading'!F19-'Kwh Reading'!F18)*1000000</f>
        <v>-3607400</v>
      </c>
      <c r="E18" s="2">
        <f>('Kwh Reading'!C19-'Kwh Reading'!C18)*1000</f>
        <v>-347580</v>
      </c>
      <c r="F18" s="2">
        <f>('Kwh Reading'!J19-'Kwh Reading'!J18)*1000</f>
        <v>-528560</v>
      </c>
      <c r="G18" s="2">
        <f>('Kwh Reading'!K19-'Kwh Reading'!K18)*1000</f>
        <v>-498380</v>
      </c>
      <c r="H18" s="2">
        <f>('Kwh Reading'!L19-'Kwh Reading'!L18)*1000</f>
        <v>-342290</v>
      </c>
      <c r="I18" s="2">
        <f>('Kwh Reading'!R19-'Kwh Reading'!R18)*1000</f>
        <v>0</v>
      </c>
      <c r="J18" s="2">
        <f>('Kwh Reading'!S19-'Kwh Reading'!S18)*1000</f>
        <v>-179050</v>
      </c>
      <c r="K18" s="2">
        <f>('Kwh Reading'!I19-'Kwh Reading'!I18)*1000</f>
        <v>-378060</v>
      </c>
      <c r="L18" s="2">
        <f>('Kwh Reading'!B19-'Kwh Reading'!B18)*1000000</f>
        <v>-1521600</v>
      </c>
      <c r="M18" s="2">
        <f>('Kwh Reading'!M19-'Kwh Reading'!M18)*1000</f>
        <v>-856150</v>
      </c>
      <c r="N18" s="2">
        <f>('Kwh Reading'!H19-'Kwh Reading'!H18)*1000000</f>
        <v>-1063200</v>
      </c>
      <c r="O18" s="2">
        <f>('Kwh Reading'!P19-'Kwh Reading'!P18)*1000000</f>
        <v>-1040200</v>
      </c>
      <c r="P18" s="2">
        <f>('Kwh Reading'!G19-'Kwh Reading'!G18)*1000000</f>
        <v>-1142300</v>
      </c>
      <c r="Q18" s="2">
        <f>('Kwh Reading'!Q19-'Kwh Reading'!Q18)*1000</f>
        <v>-760700</v>
      </c>
      <c r="R18" s="2">
        <f>('Kwh Reading'!N19-'Kwh Reading'!N18)*1000</f>
        <v>-774530</v>
      </c>
      <c r="S18" s="31">
        <f>'Kwh Reading'!E19-'Kwh Reading'!E18</f>
        <v>-9465161.1999999993</v>
      </c>
      <c r="T18" s="31">
        <f>'Kwh Reading'!D19-'Kwh Reading'!D18</f>
        <v>-11021.01</v>
      </c>
      <c r="U18" s="26">
        <f>('Kwh Reading'!O19-'Kwh Reading'!O18)*1000</f>
        <v>-251170</v>
      </c>
      <c r="V18" s="1">
        <f t="shared" si="1"/>
        <v>23414342.210000001</v>
      </c>
    </row>
    <row r="19" spans="1:22" x14ac:dyDescent="0.25">
      <c r="A19" s="3">
        <f>'Kwh Reading'!A19</f>
        <v>44850</v>
      </c>
      <c r="B19" s="25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Reading'!H19)*1000000</f>
        <v>0</v>
      </c>
      <c r="O19" s="2">
        <f>('Kwh Reading'!P20-'Kwh Reading'!P19)*1000000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1">
        <f>'Kwh Reading'!E20-'Kwh Reading'!E19</f>
        <v>0</v>
      </c>
      <c r="T19" s="31">
        <f>'Kwh Reading'!D20-'Kwh Reading'!D19</f>
        <v>0</v>
      </c>
      <c r="U19" s="26">
        <f>('Kwh Reading'!O20-'Kwh Reading'!O19)*1000</f>
        <v>0</v>
      </c>
      <c r="V19" s="1">
        <f t="shared" si="1"/>
        <v>0</v>
      </c>
    </row>
    <row r="20" spans="1:22" x14ac:dyDescent="0.25">
      <c r="A20" s="3">
        <f>'Kwh Reading'!A20</f>
        <v>44851</v>
      </c>
      <c r="B20" s="25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6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Reading'!H20)*1000000</f>
        <v>0</v>
      </c>
      <c r="O20" s="2">
        <f>('Kwh Reading'!P21-'Kwh Reading'!P20)*1000000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1">
        <f>'Kwh Reading'!E21-'Kwh Reading'!E20</f>
        <v>0</v>
      </c>
      <c r="T20" s="31">
        <f>'Kwh Reading'!D21-'Kwh Reading'!D20</f>
        <v>0</v>
      </c>
      <c r="U20" s="26">
        <f>('Kwh Reading'!O21-'Kwh Reading'!O20)*1000</f>
        <v>0</v>
      </c>
      <c r="V20" s="1">
        <f t="shared" si="1"/>
        <v>0</v>
      </c>
    </row>
    <row r="21" spans="1:22" ht="16.5" customHeight="1" x14ac:dyDescent="0.25">
      <c r="A21" s="3">
        <f>'Kwh Reading'!A21</f>
        <v>44852</v>
      </c>
      <c r="B21" s="25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Reading'!H21)*1000000</f>
        <v>0</v>
      </c>
      <c r="O21" s="2">
        <f>('Kwh Reading'!P22-'Kwh Reading'!P21)*1000000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1">
        <f>'Kwh Reading'!E22-'Kwh Reading'!E21</f>
        <v>0</v>
      </c>
      <c r="T21" s="31">
        <f>'Kwh Reading'!D22-'Kwh Reading'!D21</f>
        <v>0</v>
      </c>
      <c r="U21" s="26">
        <f>('Kwh Reading'!O22-'Kwh Reading'!O21)*1000</f>
        <v>0</v>
      </c>
      <c r="V21" s="1">
        <f t="shared" si="1"/>
        <v>0</v>
      </c>
    </row>
    <row r="22" spans="1:22" x14ac:dyDescent="0.25">
      <c r="A22" s="3">
        <f>'Kwh Reading'!A22</f>
        <v>44853</v>
      </c>
      <c r="B22" s="25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Reading'!H22)*1000000</f>
        <v>0</v>
      </c>
      <c r="O22" s="2">
        <f>('Kwh Reading'!P23-'Kwh Reading'!P22)*1000000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1">
        <f>'Kwh Reading'!E23-'Kwh Reading'!E22</f>
        <v>0</v>
      </c>
      <c r="T22" s="31">
        <f>'Kwh Reading'!D23-'Kwh Reading'!D22</f>
        <v>0</v>
      </c>
      <c r="U22" s="26">
        <f>('Kwh Reading'!O23-'Kwh Reading'!O22)*1000</f>
        <v>0</v>
      </c>
      <c r="V22" s="1">
        <f t="shared" si="1"/>
        <v>0</v>
      </c>
    </row>
    <row r="23" spans="1:22" x14ac:dyDescent="0.25">
      <c r="A23" s="3">
        <f>'Kwh Reading'!A23</f>
        <v>44854</v>
      </c>
      <c r="B23" s="25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Reading'!H23)*1000000</f>
        <v>0</v>
      </c>
      <c r="O23" s="2">
        <f>('Kwh Reading'!P24-'Kwh Reading'!P23)*1000000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1">
        <f>'Kwh Reading'!E24-'Kwh Reading'!E23</f>
        <v>0</v>
      </c>
      <c r="T23" s="31">
        <f>'Kwh Reading'!D24-'Kwh Reading'!D23</f>
        <v>0</v>
      </c>
      <c r="U23" s="26">
        <f>('Kwh Reading'!O24-'Kwh Reading'!O23)*1000</f>
        <v>0</v>
      </c>
      <c r="V23" s="116">
        <f t="shared" si="1"/>
        <v>0</v>
      </c>
    </row>
    <row r="24" spans="1:22" x14ac:dyDescent="0.25">
      <c r="A24" s="3">
        <f>'Kwh Reading'!A24</f>
        <v>44855</v>
      </c>
      <c r="B24" s="25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Reading'!H24)*1000000</f>
        <v>0</v>
      </c>
      <c r="O24" s="2">
        <f>('Kwh Reading'!P25-'Kwh Reading'!P24)*1000000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6">
        <f>('Kwh Reading'!O25-'Kwh Reading'!O24)*1000</f>
        <v>0</v>
      </c>
      <c r="V24" s="1">
        <f t="shared" si="1"/>
        <v>0</v>
      </c>
    </row>
    <row r="25" spans="1:22" x14ac:dyDescent="0.25">
      <c r="A25" s="3">
        <f>'Kwh Reading'!A25</f>
        <v>44856</v>
      </c>
      <c r="B25" s="25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 t="e">
        <f>('Kwh Reading'!K26-'Kwh Reading'!K25)*1000</f>
        <v>#VALUE!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Reading'!H25)*1000000</f>
        <v>0</v>
      </c>
      <c r="O25" s="2">
        <f>('Kwh Reading'!P26-'Kwh Reading'!P25)*1000000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6">
        <f>('Kwh Reading'!O26-'Kwh Reading'!O25)*1000</f>
        <v>0</v>
      </c>
      <c r="V25" s="1" t="e">
        <f t="shared" si="1"/>
        <v>#VALUE!</v>
      </c>
    </row>
    <row r="26" spans="1:22" x14ac:dyDescent="0.25">
      <c r="A26" s="3">
        <f>'Kwh Reading'!A26</f>
        <v>44857</v>
      </c>
      <c r="B26" s="25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 t="e">
        <f>('Kwh Reading'!K27-'Kwh Reading'!K26)*1000</f>
        <v>#VALUE!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Reading'!H26)*1000000</f>
        <v>0</v>
      </c>
      <c r="O26" s="2">
        <f>('Kwh Reading'!P27-'Kwh Reading'!P26)*1000000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6">
        <f>('Kwh Reading'!O27-'Kwh Reading'!O26)*1000</f>
        <v>0</v>
      </c>
      <c r="V26" s="1" t="e">
        <f t="shared" si="1"/>
        <v>#VALUE!</v>
      </c>
    </row>
    <row r="27" spans="1:22" s="120" customFormat="1" x14ac:dyDescent="0.25">
      <c r="A27" s="118">
        <f>'Kwh Reading'!A27</f>
        <v>44858</v>
      </c>
      <c r="B27" s="25">
        <f>TOTAL!E25</f>
        <v>0</v>
      </c>
      <c r="C27" s="119">
        <f>('Kwh Reading'!T28-'Kwh Reading'!T27)*1000</f>
        <v>0</v>
      </c>
      <c r="D27" s="26">
        <f>('Kwh Reading'!F28-'Kwh Reading'!F27)*1000000</f>
        <v>0</v>
      </c>
      <c r="E27" s="26">
        <f>('Kwh Reading'!C28-'Kwh Reading'!C27)*1000</f>
        <v>0</v>
      </c>
      <c r="F27" s="26">
        <f>('Kwh Reading'!J28-'Kwh Reading'!J27)*1000</f>
        <v>0</v>
      </c>
      <c r="G27" s="26">
        <f>('Kwh Reading'!K28-'Kwh Reading'!K27)*1000</f>
        <v>0</v>
      </c>
      <c r="H27" s="26">
        <f>('Kwh Reading'!L28-'Kwh Reading'!L27)*1000</f>
        <v>0</v>
      </c>
      <c r="I27" s="26">
        <f>('Kwh Reading'!R28-'Kwh Reading'!R27)*1000</f>
        <v>0</v>
      </c>
      <c r="J27" s="26">
        <f>('Kwh Reading'!S28-'Kwh Reading'!S27)*1000</f>
        <v>0</v>
      </c>
      <c r="K27" s="26">
        <f>('Kwh Reading'!I28-'Kwh Reading'!I27)*1000</f>
        <v>0</v>
      </c>
      <c r="L27" s="26">
        <f>('Kwh Reading'!B28-'Kwh Reading'!B27)*1000000</f>
        <v>0</v>
      </c>
      <c r="M27" s="26">
        <f>('Kwh Reading'!M28-'Kwh Reading'!M27)*1000</f>
        <v>0</v>
      </c>
      <c r="N27" s="2">
        <f>('Kwh Reading'!H28-'Kwh Reading'!H27)*1000000</f>
        <v>0</v>
      </c>
      <c r="O27" s="2">
        <f>('Kwh Reading'!P28-'Kwh Reading'!P27)*1000000</f>
        <v>0</v>
      </c>
      <c r="P27" s="26">
        <f>('Kwh Reading'!G28-'Kwh Reading'!G27)*1000000</f>
        <v>0</v>
      </c>
      <c r="Q27" s="26">
        <f>('Kwh Reading'!Q28-'Kwh Reading'!Q27)*1000</f>
        <v>0</v>
      </c>
      <c r="R27" s="26">
        <f>('Kwh Reading'!N28-'Kwh Reading'!N27)*1000</f>
        <v>0</v>
      </c>
      <c r="S27" s="26">
        <f>'Kwh Reading'!E28-'Kwh Reading'!E27</f>
        <v>0</v>
      </c>
      <c r="T27" s="26">
        <f>'Kwh Reading'!D28-'Kwh Reading'!D27</f>
        <v>0</v>
      </c>
      <c r="U27" s="26">
        <f>('Kwh Reading'!O28-'Kwh Reading'!O27)*1000</f>
        <v>0</v>
      </c>
      <c r="V27" s="116">
        <f t="shared" si="1"/>
        <v>0</v>
      </c>
    </row>
    <row r="28" spans="1:22" s="120" customFormat="1" x14ac:dyDescent="0.25">
      <c r="A28" s="118">
        <f>'Kwh Reading'!A28</f>
        <v>44859</v>
      </c>
      <c r="B28" s="25">
        <f>TOTAL!E26</f>
        <v>0</v>
      </c>
      <c r="C28" s="119">
        <f>('Kwh Reading'!T29-'Kwh Reading'!T28)*1000</f>
        <v>0</v>
      </c>
      <c r="D28" s="26">
        <f>('Kwh Reading'!F29-'Kwh Reading'!F28)*1000000</f>
        <v>0</v>
      </c>
      <c r="E28" s="26">
        <f>('Kwh Reading'!C29-'Kwh Reading'!C28)*1000</f>
        <v>0</v>
      </c>
      <c r="F28" s="26">
        <f>('Kwh Reading'!J29-'Kwh Reading'!J28)*1000</f>
        <v>0</v>
      </c>
      <c r="G28" s="26">
        <f>('Kwh Reading'!K29-'Kwh Reading'!K28)*1000</f>
        <v>0</v>
      </c>
      <c r="H28" s="26">
        <f>('Kwh Reading'!L29-'Kwh Reading'!L28)*1000</f>
        <v>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0</v>
      </c>
      <c r="L28" s="26">
        <f>('Kwh Reading'!B29-'Kwh Reading'!B28)*1000000</f>
        <v>0</v>
      </c>
      <c r="M28" s="26">
        <f>('Kwh Reading'!M29-'Kwh Reading'!M28)*1000</f>
        <v>0</v>
      </c>
      <c r="N28" s="2">
        <f>('Kwh Reading'!H29-'Kwh Reading'!H28)*1000000</f>
        <v>0</v>
      </c>
      <c r="O28" s="2">
        <f>('Kwh Reading'!P29-'Kwh Reading'!P28)*1000000</f>
        <v>0</v>
      </c>
      <c r="P28" s="26">
        <f>('Kwh Reading'!G29-'Kwh Reading'!G28)*1000000</f>
        <v>0</v>
      </c>
      <c r="Q28" s="26">
        <f>('Kwh Reading'!Q29-'Kwh Reading'!Q28)*1000</f>
        <v>0</v>
      </c>
      <c r="R28" s="26">
        <f>('Kwh Reading'!N29-'Kwh Reading'!N28)*1000</f>
        <v>0</v>
      </c>
      <c r="S28" s="26">
        <f>'Kwh Reading'!E29-'Kwh Reading'!E28</f>
        <v>0</v>
      </c>
      <c r="T28" s="26">
        <f>'Kwh Reading'!D29-'Kwh Reading'!D28</f>
        <v>0</v>
      </c>
      <c r="U28" s="26">
        <f>('Kwh Reading'!O29-'Kwh Reading'!O28)*1000</f>
        <v>0</v>
      </c>
      <c r="V28" s="116">
        <f t="shared" si="1"/>
        <v>0</v>
      </c>
    </row>
    <row r="29" spans="1:22" x14ac:dyDescent="0.25">
      <c r="A29" s="3">
        <f>'Kwh Reading'!A29</f>
        <v>44860</v>
      </c>
      <c r="B29" s="25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Reading'!H29)*1000000</f>
        <v>0</v>
      </c>
      <c r="O29" s="2">
        <f>('Kwh Reading'!P30-'Kwh Reading'!P29)*1000000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6">
        <f>('Kwh Reading'!O30-'Kwh Reading'!O29)*1000</f>
        <v>0</v>
      </c>
      <c r="V29" s="1">
        <f t="shared" si="1"/>
        <v>0</v>
      </c>
    </row>
    <row r="30" spans="1:22" x14ac:dyDescent="0.25">
      <c r="A30" s="3">
        <f>'Kwh Reading'!A30</f>
        <v>44861</v>
      </c>
      <c r="B30" s="25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Reading'!H30)*1000000</f>
        <v>0</v>
      </c>
      <c r="O30" s="2">
        <f>('Kwh Reading'!P31-'Kwh Reading'!P30)*1000000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6">
        <f>('Kwh Reading'!O31-'Kwh Reading'!O30)*1000</f>
        <v>0</v>
      </c>
      <c r="V30" s="1">
        <f t="shared" si="1"/>
        <v>0</v>
      </c>
    </row>
    <row r="31" spans="1:22" s="120" customFormat="1" x14ac:dyDescent="0.25">
      <c r="A31" s="118">
        <f>'Kwh Reading'!A31</f>
        <v>44862</v>
      </c>
      <c r="B31" s="25">
        <f>TOTAL!E29</f>
        <v>0</v>
      </c>
      <c r="C31" s="119">
        <f>('Kwh Reading'!T32-'Kwh Reading'!T31)*1000</f>
        <v>0</v>
      </c>
      <c r="D31" s="26">
        <f>('Kwh Reading'!F32-'Kwh Reading'!F31)*1000000</f>
        <v>0</v>
      </c>
      <c r="E31" s="26">
        <f>('Kwh Reading'!C32-'Kwh Reading'!C31)*1000</f>
        <v>0</v>
      </c>
      <c r="F31" s="26">
        <f>('Kwh Reading'!J32-'Kwh Reading'!J31)*1000</f>
        <v>0</v>
      </c>
      <c r="G31" s="26">
        <f>('Kwh Reading'!K32-'Kwh Reading'!K31)*1000</f>
        <v>0</v>
      </c>
      <c r="H31" s="26">
        <f>('Kwh Reading'!L32-'Kwh Reading'!L31)*1000</f>
        <v>0</v>
      </c>
      <c r="I31" s="26">
        <f>('Kwh Reading'!R32-'Kwh Reading'!R31)*1000</f>
        <v>0</v>
      </c>
      <c r="J31" s="26">
        <f>('Kwh Reading'!S32-'Kwh Reading'!S31)*1000</f>
        <v>0</v>
      </c>
      <c r="K31" s="26">
        <f>('Kwh Reading'!I32-'Kwh Reading'!I31)*1000</f>
        <v>0</v>
      </c>
      <c r="L31" s="26">
        <f>('Kwh Reading'!B32-'Kwh Reading'!B31)*1000000</f>
        <v>0</v>
      </c>
      <c r="M31" s="26">
        <f>('Kwh Reading'!M32-'Kwh Reading'!M31)*1000</f>
        <v>0</v>
      </c>
      <c r="N31" s="2">
        <f>('Kwh Reading'!H32-'Kwh Reading'!H31)*1000000</f>
        <v>0</v>
      </c>
      <c r="O31" s="2">
        <f>('Kwh Reading'!P32-'Kwh Reading'!P31)*1000000</f>
        <v>0</v>
      </c>
      <c r="P31" s="26">
        <f>('Kwh Reading'!G32-'Kwh Reading'!G31)*1000000</f>
        <v>0</v>
      </c>
      <c r="Q31" s="26">
        <f>('Kwh Reading'!Q32-'Kwh Reading'!Q31)*1000</f>
        <v>0</v>
      </c>
      <c r="R31" s="26">
        <f>('Kwh Reading'!N32-'Kwh Reading'!N31)*1000</f>
        <v>0</v>
      </c>
      <c r="S31" s="26">
        <f>'Kwh Reading'!E32-'Kwh Reading'!E31</f>
        <v>0</v>
      </c>
      <c r="T31" s="26">
        <f>'Kwh Reading'!D32-'Kwh Reading'!D31</f>
        <v>0</v>
      </c>
      <c r="U31" s="26">
        <f>('Kwh Reading'!O32-'Kwh Reading'!O31)*1000</f>
        <v>0</v>
      </c>
      <c r="V31" s="116">
        <f t="shared" si="1"/>
        <v>0</v>
      </c>
    </row>
    <row r="32" spans="1:22" x14ac:dyDescent="0.25">
      <c r="A32" s="3">
        <f>'Kwh Reading'!A32</f>
        <v>44863</v>
      </c>
      <c r="B32" s="25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44864</v>
      </c>
      <c r="B33" s="25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-190150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190150</v>
      </c>
    </row>
    <row r="34" spans="1:22" x14ac:dyDescent="0.25">
      <c r="A34" s="3">
        <f>'Kwh Reading'!A34</f>
        <v>44865</v>
      </c>
      <c r="B34" s="25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Reading'!H34)*1000000</f>
        <v>0</v>
      </c>
      <c r="O34" s="2">
        <f>('Kwh Reading'!P35-'Kwh Reading'!P34)*1000000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6">
        <f>('Kwh Reading'!O35-'Kwh Reading'!O34)*1000</f>
        <v>0</v>
      </c>
      <c r="V34" s="1">
        <f t="shared" si="1"/>
        <v>0</v>
      </c>
    </row>
    <row r="35" spans="1:22" x14ac:dyDescent="0.25">
      <c r="A35" s="71" t="s">
        <v>51</v>
      </c>
      <c r="B35" s="70">
        <f>SUM(B4:B34)</f>
        <v>245819.99999999951</v>
      </c>
      <c r="C35" s="66">
        <f t="shared" ref="C35" si="2">SUM(C4:C34)</f>
        <v>-640710</v>
      </c>
      <c r="D35" s="66">
        <f>SUM(D4:D34)</f>
        <v>-3570700</v>
      </c>
      <c r="E35" s="66">
        <f t="shared" ref="E35" si="3">SUM(E4:E34)</f>
        <v>-343800</v>
      </c>
      <c r="F35" s="66">
        <f t="shared" ref="F35" si="4">SUM(F4:F34)</f>
        <v>-522320.00000000012</v>
      </c>
      <c r="G35" s="66" t="e">
        <f t="shared" ref="G35:U35" si="5">SUM(G4:G34)</f>
        <v>#VALUE!</v>
      </c>
      <c r="H35" s="66">
        <f t="shared" si="5"/>
        <v>-339339.99999999994</v>
      </c>
      <c r="I35" s="66">
        <f t="shared" si="5"/>
        <v>-190150</v>
      </c>
      <c r="J35" s="66">
        <f t="shared" si="5"/>
        <v>-177789.99999999997</v>
      </c>
      <c r="K35" s="66">
        <f t="shared" si="5"/>
        <v>-373990</v>
      </c>
      <c r="L35" s="66">
        <f t="shared" si="5"/>
        <v>-1507800</v>
      </c>
      <c r="M35" s="66">
        <f t="shared" si="5"/>
        <v>-851090</v>
      </c>
      <c r="N35" s="66">
        <f t="shared" si="5"/>
        <v>-1054700</v>
      </c>
      <c r="O35" s="66">
        <f t="shared" si="5"/>
        <v>-1033600.0000000001</v>
      </c>
      <c r="P35" s="66">
        <f t="shared" si="5"/>
        <v>-1135200</v>
      </c>
      <c r="Q35" s="66">
        <f t="shared" si="5"/>
        <v>-758480</v>
      </c>
      <c r="R35" s="66">
        <f t="shared" si="5"/>
        <v>-769490</v>
      </c>
      <c r="S35" s="66">
        <f t="shared" si="5"/>
        <v>-9436844.6799999997</v>
      </c>
      <c r="T35" s="66">
        <f t="shared" si="5"/>
        <v>-8401516.8000000007</v>
      </c>
      <c r="U35" s="66">
        <f t="shared" si="5"/>
        <v>-248260</v>
      </c>
      <c r="V35" s="66" t="e">
        <f>SUM(V4:V34)</f>
        <v>#VALUE!</v>
      </c>
    </row>
    <row r="40" spans="1:22" x14ac:dyDescent="0.25">
      <c r="S40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1" sqref="B3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44835</v>
      </c>
      <c r="B3" s="74">
        <f>TOTAL!E2</f>
        <v>17269.999999999527</v>
      </c>
      <c r="C3" s="1">
        <f>'Kwh Consumption'!C4</f>
        <v>389.99999999998636</v>
      </c>
      <c r="D3" s="1">
        <f>'Kwh Consumption'!D4</f>
        <v>2499.9999999999468</v>
      </c>
      <c r="E3" s="1">
        <f>'Kwh Consumption'!E4</f>
        <v>269.99999999998181</v>
      </c>
      <c r="F3" s="1">
        <f>('Kwh Consumption'!F4+'Kwh Consumption'!G4+'Kwh Consumption'!H4)</f>
        <v>769.99999999998181</v>
      </c>
      <c r="G3" s="1">
        <f>('Kwh Consumption'!I4+'Kwh Consumption'!J4)</f>
        <v>140.00000000001478</v>
      </c>
      <c r="H3" s="1">
        <f>('Kwh Consumption'!K4+'Kwh Consumption'!L4)</f>
        <v>1179.9999999998736</v>
      </c>
      <c r="I3" s="1">
        <f>('Kwh Consumption'!M4+'Kwh Consumption'!N4+'Kwh Consumption'!O4+'Kwh Consumption'!P4+'Kwh Consumption'!Q4+'Kwh Consumption'!R4)</f>
        <v>2309.9999999997003</v>
      </c>
      <c r="J3" s="1">
        <f>('Kwh Consumption'!S4+'Kwh Consumption'!T4)</f>
        <v>3641.929999999702</v>
      </c>
      <c r="K3" s="1">
        <f>'Kwh Consumption'!U4</f>
        <v>210.00000000000796</v>
      </c>
      <c r="L3" s="29">
        <f t="shared" ref="L3:L33" si="0">B3-C3-D3-E3-F3-G3-H3-I3-J3-K3</f>
        <v>5858.0700000003317</v>
      </c>
    </row>
    <row r="4" spans="1:12" x14ac:dyDescent="0.25">
      <c r="A4" s="14">
        <f>'Kwh Reading'!A5</f>
        <v>44836</v>
      </c>
      <c r="B4" s="74">
        <f>TOTAL!E3</f>
        <v>16960.000000001401</v>
      </c>
      <c r="C4" s="1">
        <f>'Kwh Consumption'!C5</f>
        <v>490.00000000000909</v>
      </c>
      <c r="D4" s="1">
        <f>'Kwh Consumption'!D5</f>
        <v>2699.9999999999245</v>
      </c>
      <c r="E4" s="1">
        <f>'Kwh Consumption'!E5</f>
        <v>259.99999999999091</v>
      </c>
      <c r="F4" s="1">
        <f>('Kwh Consumption'!F5+'Kwh Consumption'!G5+'Kwh Consumption'!H5)</f>
        <v>1000</v>
      </c>
      <c r="G4" s="1">
        <f>('Kwh Consumption'!I5+'Kwh Consumption'!J5)</f>
        <v>120.00000000000455</v>
      </c>
      <c r="H4" s="1">
        <f>('Kwh Consumption'!K5+'Kwh Consumption'!L5)</f>
        <v>1420.0000000000941</v>
      </c>
      <c r="I4" s="1">
        <f>('Kwh Consumption'!M5+'Kwh Consumption'!N5+'Kwh Consumption'!O5+'Kwh Consumption'!P5+'Kwh Consumption'!Q5+'Kwh Consumption'!R5)</f>
        <v>2440.0000000003333</v>
      </c>
      <c r="J4" s="1">
        <f>('Kwh Consumption'!S5+'Kwh Consumption'!T5)</f>
        <v>3698.4500000011176</v>
      </c>
      <c r="K4" s="1">
        <f>'Kwh Consumption'!U5</f>
        <v>229.99999999998977</v>
      </c>
      <c r="L4" s="29">
        <f t="shared" si="0"/>
        <v>4601.5499999999347</v>
      </c>
    </row>
    <row r="5" spans="1:12" x14ac:dyDescent="0.25">
      <c r="A5" s="14">
        <f>'Kwh Reading'!A6</f>
        <v>44837</v>
      </c>
      <c r="B5" s="74">
        <f>TOTAL!E4</f>
        <v>18579.999999999018</v>
      </c>
      <c r="C5" s="1">
        <f>'Kwh Consumption'!C6</f>
        <v>469.9999999999136</v>
      </c>
      <c r="D5" s="1">
        <f>'Kwh Consumption'!D6</f>
        <v>2600.0000000001578</v>
      </c>
      <c r="E5" s="1">
        <f>'Kwh Consumption'!E6</f>
        <v>259.99999999999091</v>
      </c>
      <c r="F5" s="1">
        <f>('Kwh Consumption'!F6+'Kwh Consumption'!G6+'Kwh Consumption'!H6)</f>
        <v>1060.0000000000023</v>
      </c>
      <c r="G5" s="1">
        <f>('Kwh Consumption'!I6+'Kwh Consumption'!J6)</f>
        <v>119.99999999997613</v>
      </c>
      <c r="H5" s="1">
        <f>('Kwh Consumption'!K6+'Kwh Consumption'!L6)</f>
        <v>1209.9999999999031</v>
      </c>
      <c r="I5" s="1">
        <f>('Kwh Consumption'!M6+'Kwh Consumption'!N6+'Kwh Consumption'!O6+'Kwh Consumption'!P6+'Kwh Consumption'!Q6+'Kwh Consumption'!R6)</f>
        <v>1989.9999999998654</v>
      </c>
      <c r="J5" s="1">
        <f>('Kwh Consumption'!S6+'Kwh Consumption'!T6)</f>
        <v>3657.1399999987334</v>
      </c>
      <c r="K5" s="1">
        <f>'Kwh Consumption'!U6</f>
        <v>210.00000000000796</v>
      </c>
      <c r="L5" s="29">
        <f t="shared" si="0"/>
        <v>7002.8600000004672</v>
      </c>
    </row>
    <row r="6" spans="1:12" x14ac:dyDescent="0.25">
      <c r="A6" s="14">
        <f>'Kwh Reading'!A7</f>
        <v>44838</v>
      </c>
      <c r="B6" s="74">
        <f>TOTAL!E5</f>
        <v>17550.000000000182</v>
      </c>
      <c r="C6" s="1">
        <f>'Kwh Consumption'!C7</f>
        <v>480.00000000001819</v>
      </c>
      <c r="D6" s="1">
        <f>'Kwh Consumption'!D7</f>
        <v>2400.0000000001796</v>
      </c>
      <c r="E6" s="1">
        <f>'Kwh Consumption'!E7</f>
        <v>260.00000000004775</v>
      </c>
      <c r="F6" s="1">
        <f>('Kwh Consumption'!F7+'Kwh Consumption'!G7+'Kwh Consumption'!H7)</f>
        <v>930.00000000000682</v>
      </c>
      <c r="G6" s="1">
        <f>('Kwh Consumption'!I7+'Kwh Consumption'!J7)</f>
        <v>190.00000000002615</v>
      </c>
      <c r="H6" s="1">
        <f>('Kwh Consumption'!K7+'Kwh Consumption'!L7)</f>
        <v>1290.0000000001323</v>
      </c>
      <c r="I6" s="1">
        <f>('Kwh Consumption'!M7+'Kwh Consumption'!N7+'Kwh Consumption'!O7+'Kwh Consumption'!P7+'Kwh Consumption'!Q7+'Kwh Consumption'!R7)</f>
        <v>2799.9999999997344</v>
      </c>
      <c r="J6" s="1">
        <f>('Kwh Consumption'!S7+'Kwh Consumption'!T7)</f>
        <v>3655.2599999997765</v>
      </c>
      <c r="K6" s="1">
        <f>'Kwh Consumption'!U7</f>
        <v>189.99999999999773</v>
      </c>
      <c r="L6" s="29">
        <f t="shared" si="0"/>
        <v>5354.7400000002617</v>
      </c>
    </row>
    <row r="7" spans="1:12" x14ac:dyDescent="0.25">
      <c r="A7" s="14">
        <f>'Kwh Reading'!A8</f>
        <v>44839</v>
      </c>
      <c r="B7" s="74">
        <f>TOTAL!E6</f>
        <v>18519.999999999302</v>
      </c>
      <c r="C7" s="1">
        <f>'Kwh Consumption'!C8</f>
        <v>509.99999999999091</v>
      </c>
      <c r="D7" s="1">
        <f>'Kwh Consumption'!D8</f>
        <v>2699.9999999999245</v>
      </c>
      <c r="E7" s="1">
        <f>'Kwh Consumption'!E8</f>
        <v>279.99999999997272</v>
      </c>
      <c r="F7" s="1">
        <f>('Kwh Consumption'!F8+'Kwh Consumption'!G8+'Kwh Consumption'!H8)</f>
        <v>939.99999999994088</v>
      </c>
      <c r="G7" s="1">
        <f>('Kwh Consumption'!I8+'Kwh Consumption'!J8)</f>
        <v>49.999999999982947</v>
      </c>
      <c r="H7" s="1">
        <f>('Kwh Consumption'!K8+'Kwh Consumption'!L8)</f>
        <v>1439.9999999998538</v>
      </c>
      <c r="I7" s="1">
        <f>('Kwh Consumption'!M8+'Kwh Consumption'!N8+'Kwh Consumption'!O8+'Kwh Consumption'!P8+'Kwh Consumption'!Q8+'Kwh Consumption'!R8)</f>
        <v>2710.0000000003279</v>
      </c>
      <c r="J7" s="1">
        <f>('Kwh Consumption'!S8+'Kwh Consumption'!T8)</f>
        <v>3882.9700000006706</v>
      </c>
      <c r="K7" s="1">
        <f>'Kwh Consumption'!U8</f>
        <v>189.99999999999773</v>
      </c>
      <c r="L7" s="29">
        <f t="shared" si="0"/>
        <v>5817.0299999986382</v>
      </c>
    </row>
    <row r="8" spans="1:12" x14ac:dyDescent="0.25">
      <c r="A8" s="14">
        <f>'Kwh Reading'!A9</f>
        <v>44840</v>
      </c>
      <c r="B8" s="74">
        <f>TOTAL!E7</f>
        <v>19040.000000000644</v>
      </c>
      <c r="C8" s="1">
        <f>'Kwh Consumption'!C9</f>
        <v>500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800.00000000006821</v>
      </c>
      <c r="G8" s="1">
        <f>('Kwh Consumption'!I9+'Kwh Consumption'!J9)</f>
        <v>120.00000000000455</v>
      </c>
      <c r="H8" s="1">
        <f>('Kwh Consumption'!K9+'Kwh Consumption'!L9)</f>
        <v>1550.0000000001125</v>
      </c>
      <c r="I8" s="1">
        <f>('Kwh Consumption'!M9+'Kwh Consumption'!N9+'Kwh Consumption'!O9+'Kwh Consumption'!P9+'Kwh Consumption'!Q9+'Kwh Consumption'!R9)</f>
        <v>2680.0000000000532</v>
      </c>
      <c r="J8" s="1">
        <f>('Kwh Consumption'!S9+'Kwh Consumption'!T9)</f>
        <v>4131.4700000006706</v>
      </c>
      <c r="K8" s="1">
        <f>'Kwh Consumption'!U9</f>
        <v>219.99999999999886</v>
      </c>
      <c r="L8" s="29">
        <f t="shared" si="0"/>
        <v>6058.5299999997833</v>
      </c>
    </row>
    <row r="9" spans="1:12" x14ac:dyDescent="0.25">
      <c r="A9" s="14">
        <f>'Kwh Reading'!A10</f>
        <v>44841</v>
      </c>
      <c r="B9" s="74">
        <f>TOTAL!E8</f>
        <v>18259.999999997945</v>
      </c>
      <c r="C9" s="1">
        <f>'Kwh Consumption'!C10</f>
        <v>270.0000000000955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930.00000000000682</v>
      </c>
      <c r="G9" s="1">
        <f>('Kwh Consumption'!I10+'Kwh Consumption'!J10)</f>
        <v>109.99999999998522</v>
      </c>
      <c r="H9" s="1">
        <f>('Kwh Consumption'!K10+'Kwh Consumption'!L10)</f>
        <v>1309.9999999998922</v>
      </c>
      <c r="I9" s="1">
        <f>('Kwh Consumption'!M10+'Kwh Consumption'!N10+'Kwh Consumption'!O10+'Kwh Consumption'!P10+'Kwh Consumption'!Q10+'Kwh Consumption'!R10)</f>
        <v>2769.999999999829</v>
      </c>
      <c r="J9" s="1">
        <f>('Kwh Consumption'!S10+'Kwh Consumption'!T10)</f>
        <v>-8407636.6500000004</v>
      </c>
      <c r="K9" s="1">
        <f>'Kwh Consumption'!U10</f>
        <v>200.00000000001705</v>
      </c>
      <c r="L9" s="29">
        <f t="shared" si="0"/>
        <v>8417346.6499999985</v>
      </c>
    </row>
    <row r="10" spans="1:12" x14ac:dyDescent="0.25">
      <c r="A10" s="14">
        <f>'Kwh Reading'!A11</f>
        <v>44842</v>
      </c>
      <c r="B10" s="74">
        <f>TOTAL!E9</f>
        <v>18200.000000000273</v>
      </c>
      <c r="C10" s="1">
        <f>'Kwh Consumption'!C11</f>
        <v>489.99999999989541</v>
      </c>
      <c r="D10" s="1">
        <f>'Kwh Consumption'!D11</f>
        <v>2699.9999999999245</v>
      </c>
      <c r="E10" s="1">
        <f>'Kwh Consumption'!E11</f>
        <v>269.99999999998181</v>
      </c>
      <c r="F10" s="1">
        <f>('Kwh Consumption'!F11+'Kwh Consumption'!G11+'Kwh Consumption'!H11)</f>
        <v>939.99999999994088</v>
      </c>
      <c r="G10" s="1">
        <f>('Kwh Consumption'!I11+'Kwh Consumption'!J11)</f>
        <v>120.00000000000455</v>
      </c>
      <c r="H10" s="1">
        <f>('Kwh Consumption'!K11+'Kwh Consumption'!L11)</f>
        <v>1330.000000000096</v>
      </c>
      <c r="I10" s="1">
        <f>('Kwh Consumption'!M11+'Kwh Consumption'!N11+'Kwh Consumption'!O11+'Kwh Consumption'!P11+'Kwh Consumption'!Q11+'Kwh Consumption'!R11)</f>
        <v>2700.0000000002569</v>
      </c>
      <c r="J10" s="1">
        <f>('Kwh Consumption'!S11+'Kwh Consumption'!T11)</f>
        <v>3742.109999999851</v>
      </c>
      <c r="K10" s="1">
        <f>'Kwh Consumption'!U11</f>
        <v>199.99999999998863</v>
      </c>
      <c r="L10" s="29">
        <f t="shared" si="0"/>
        <v>5707.8900000003341</v>
      </c>
    </row>
    <row r="11" spans="1:12" x14ac:dyDescent="0.25">
      <c r="A11" s="14">
        <f>'Kwh Reading'!A12</f>
        <v>44843</v>
      </c>
      <c r="B11" s="74">
        <f>TOTAL!E10</f>
        <v>18530.000000002703</v>
      </c>
      <c r="C11" s="1">
        <f>'Kwh Consumption'!C12</f>
        <v>520.0000000000955</v>
      </c>
      <c r="D11" s="1">
        <f>'Kwh Consumption'!D12</f>
        <v>2699.9999999999245</v>
      </c>
      <c r="E11" s="1">
        <f>'Kwh Consumption'!E12</f>
        <v>269.99999999998181</v>
      </c>
      <c r="F11" s="1">
        <f>('Kwh Consumption'!F12+'Kwh Consumption'!G12+'Kwh Consumption'!H12)</f>
        <v>910.00000000002501</v>
      </c>
      <c r="G11" s="1">
        <f>('Kwh Consumption'!I12+'Kwh Consumption'!J12)</f>
        <v>110.00000000001364</v>
      </c>
      <c r="H11" s="1">
        <f>('Kwh Consumption'!K12+'Kwh Consumption'!L12)</f>
        <v>1409.9999999998811</v>
      </c>
      <c r="I11" s="1">
        <f>('Kwh Consumption'!M12+'Kwh Consumption'!N12+'Kwh Consumption'!O12+'Kwh Consumption'!P12+'Kwh Consumption'!Q12+'Kwh Consumption'!R12)</f>
        <v>2789.9999999996971</v>
      </c>
      <c r="J11" s="1">
        <f>('Kwh Consumption'!S12+'Kwh Consumption'!T12)</f>
        <v>3756.6999999999257</v>
      </c>
      <c r="K11" s="1">
        <f>'Kwh Consumption'!U12</f>
        <v>200.00000000001705</v>
      </c>
      <c r="L11" s="29">
        <f t="shared" si="0"/>
        <v>5863.3000000031416</v>
      </c>
    </row>
    <row r="12" spans="1:12" x14ac:dyDescent="0.25">
      <c r="A12" s="14">
        <f>'Kwh Reading'!A13</f>
        <v>44844</v>
      </c>
      <c r="B12" s="74">
        <f>TOTAL!E11</f>
        <v>17509.999999998399</v>
      </c>
      <c r="C12" s="1">
        <f>'Kwh Consumption'!C13</f>
        <v>459.99999999992269</v>
      </c>
      <c r="D12" s="1">
        <f>'Kwh Consumption'!D13</f>
        <v>2700.0000000003688</v>
      </c>
      <c r="E12" s="1">
        <f>'Kwh Consumption'!E13</f>
        <v>280.00000000002956</v>
      </c>
      <c r="F12" s="1">
        <f>('Kwh Consumption'!F13+'Kwh Consumption'!G13+'Kwh Consumption'!H13)</f>
        <v>990.00000000006594</v>
      </c>
      <c r="G12" s="1">
        <f>('Kwh Consumption'!I13+'Kwh Consumption'!J13)</f>
        <v>109.99999999998522</v>
      </c>
      <c r="H12" s="1">
        <f>('Kwh Consumption'!K13+'Kwh Consumption'!L13)</f>
        <v>1250.0000000001119</v>
      </c>
      <c r="I12" s="1">
        <f>('Kwh Consumption'!M13+'Kwh Consumption'!N13+'Kwh Consumption'!O13+'Kwh Consumption'!P13+'Kwh Consumption'!Q13+'Kwh Consumption'!R13)</f>
        <v>2380.000000000246</v>
      </c>
      <c r="J12" s="1">
        <f>('Kwh Consumption'!S13+'Kwh Consumption'!T13)</f>
        <v>3262.5900000000747</v>
      </c>
      <c r="K12" s="1">
        <f>'Kwh Consumption'!U13</f>
        <v>219.99999999999886</v>
      </c>
      <c r="L12" s="29">
        <f t="shared" si="0"/>
        <v>5857.4099999975961</v>
      </c>
    </row>
    <row r="13" spans="1:12" x14ac:dyDescent="0.25">
      <c r="A13" s="14">
        <f>'Kwh Reading'!A14</f>
        <v>44845</v>
      </c>
      <c r="B13" s="74">
        <f>TOTAL!E12</f>
        <v>16480.000000000928</v>
      </c>
      <c r="C13" s="1">
        <f>'Kwh Consumption'!C14</f>
        <v>430.00000000006366</v>
      </c>
      <c r="D13" s="1">
        <f>'Kwh Consumption'!D14</f>
        <v>2499.9999999999468</v>
      </c>
      <c r="E13" s="1">
        <f>'Kwh Consumption'!E14</f>
        <v>300.00000000001137</v>
      </c>
      <c r="F13" s="1">
        <f>('Kwh Consumption'!F14+'Kwh Consumption'!G14+'Kwh Consumption'!H14)</f>
        <v>909.99999999996817</v>
      </c>
      <c r="G13" s="1">
        <f>('Kwh Consumption'!I14+'Kwh Consumption'!J14)</f>
        <v>70.0000000000216</v>
      </c>
      <c r="H13" s="1">
        <f>('Kwh Consumption'!K14+'Kwh Consumption'!L14)</f>
        <v>1139.99999999991</v>
      </c>
      <c r="I13" s="1">
        <f>('Kwh Consumption'!M14+'Kwh Consumption'!N14+'Kwh Consumption'!O14+'Kwh Consumption'!P14+'Kwh Consumption'!Q14+'Kwh Consumption'!R14)</f>
        <v>2300.0000000000114</v>
      </c>
      <c r="J13" s="1">
        <f>('Kwh Consumption'!S14+'Kwh Consumption'!T14)</f>
        <v>3248.1099999988073</v>
      </c>
      <c r="K13" s="1">
        <f>'Kwh Consumption'!U14</f>
        <v>199.99999999998863</v>
      </c>
      <c r="L13" s="29">
        <f t="shared" si="0"/>
        <v>5381.8900000022004</v>
      </c>
    </row>
    <row r="14" spans="1:12" x14ac:dyDescent="0.25">
      <c r="A14" s="14">
        <f>'Kwh Reading'!A15</f>
        <v>44846</v>
      </c>
      <c r="B14" s="74">
        <f>TOTAL!E13</f>
        <v>17609.999999999673</v>
      </c>
      <c r="C14" s="1">
        <f>'Kwh Consumption'!C15</f>
        <v>470.00000000002728</v>
      </c>
      <c r="D14" s="1">
        <f>'Kwh Consumption'!D15</f>
        <v>2599.9999999997135</v>
      </c>
      <c r="E14" s="1">
        <f>'Kwh Consumption'!E15</f>
        <v>259.99999999999091</v>
      </c>
      <c r="F14" s="1">
        <f>('Kwh Consumption'!F15+'Kwh Consumption'!G15+'Kwh Consumption'!H15)</f>
        <v>1230.0000000000182</v>
      </c>
      <c r="G14" s="1">
        <f>('Kwh Consumption'!I15+'Kwh Consumption'!J15)</f>
        <v>0</v>
      </c>
      <c r="H14" s="1">
        <f>('Kwh Consumption'!K15+'Kwh Consumption'!L15)</f>
        <v>1160.0000000001137</v>
      </c>
      <c r="I14" s="1">
        <f>('Kwh Consumption'!M15+'Kwh Consumption'!N15+'Kwh Consumption'!O15+'Kwh Consumption'!P15+'Kwh Consumption'!Q15+'Kwh Consumption'!R15)</f>
        <v>2370.0000000000614</v>
      </c>
      <c r="J14" s="1">
        <f>('Kwh Consumption'!S15+'Kwh Consumption'!T15)</f>
        <v>3354.2300000010428</v>
      </c>
      <c r="K14" s="1">
        <f>'Kwh Consumption'!U15</f>
        <v>219.99999999999886</v>
      </c>
      <c r="L14" s="29">
        <f t="shared" si="0"/>
        <v>5945.7699999987035</v>
      </c>
    </row>
    <row r="15" spans="1:12" x14ac:dyDescent="0.25">
      <c r="A15" s="14">
        <f>'Kwh Reading'!A16</f>
        <v>44847</v>
      </c>
      <c r="B15" s="74">
        <f>TOTAL!E14</f>
        <v>15050.000000001091</v>
      </c>
      <c r="C15" s="1">
        <f>'Kwh Consumption'!C16</f>
        <v>500</v>
      </c>
      <c r="D15" s="1">
        <f>'Kwh Consumption'!D16</f>
        <v>2800.0000000001355</v>
      </c>
      <c r="E15" s="1">
        <f>'Kwh Consumption'!E16</f>
        <v>279.99999999997272</v>
      </c>
      <c r="F15" s="1">
        <f>('Kwh Consumption'!F16+'Kwh Consumption'!G16+'Kwh Consumption'!H16)</f>
        <v>1080.0000000000409</v>
      </c>
      <c r="G15" s="1">
        <f>('Kwh Consumption'!I16+'Kwh Consumption'!J16)</f>
        <v>0</v>
      </c>
      <c r="H15" s="1">
        <f>('Kwh Consumption'!K16+'Kwh Consumption'!L16)</f>
        <v>1139.99999999991</v>
      </c>
      <c r="I15" s="1">
        <f>('Kwh Consumption'!M16+'Kwh Consumption'!N16+'Kwh Consumption'!O16+'Kwh Consumption'!P16+'Kwh Consumption'!Q16+'Kwh Consumption'!R16)</f>
        <v>2249.9999999998349</v>
      </c>
      <c r="J15" s="1">
        <f>('Kwh Consumption'!S16+'Kwh Consumption'!T16)</f>
        <v>2730.0499999999265</v>
      </c>
      <c r="K15" s="1">
        <f>'Kwh Consumption'!U16</f>
        <v>20.000000000010232</v>
      </c>
      <c r="L15" s="29">
        <f t="shared" si="0"/>
        <v>4249.9500000012622</v>
      </c>
    </row>
    <row r="16" spans="1:12" x14ac:dyDescent="0.25">
      <c r="A16" s="14">
        <f>'Kwh Reading'!A17</f>
        <v>44848</v>
      </c>
      <c r="B16" s="74">
        <f>TOTAL!E15</f>
        <v>16259.999999998399</v>
      </c>
      <c r="C16" s="1">
        <f>'Kwh Consumption'!C17</f>
        <v>299.99999999995453</v>
      </c>
      <c r="D16" s="1">
        <f>'Kwh Consumption'!D17</f>
        <v>2400.0000000001796</v>
      </c>
      <c r="E16" s="1">
        <f>'Kwh Consumption'!E17</f>
        <v>250</v>
      </c>
      <c r="F16" s="1">
        <f>('Kwh Consumption'!F17+'Kwh Consumption'!G17+'Kwh Consumption'!H17)</f>
        <v>939.99999999988404</v>
      </c>
      <c r="G16" s="1">
        <f>('Kwh Consumption'!I17+'Kwh Consumption'!J17)</f>
        <v>0</v>
      </c>
      <c r="H16" s="1">
        <f>('Kwh Consumption'!K17+'Kwh Consumption'!L17)</f>
        <v>1040.000000000143</v>
      </c>
      <c r="I16" s="1">
        <f>('Kwh Consumption'!M17+'Kwh Consumption'!N17+'Kwh Consumption'!O17+'Kwh Consumption'!P17+'Kwh Consumption'!Q17+'Kwh Consumption'!R17)</f>
        <v>2029.9999999999834</v>
      </c>
      <c r="J16" s="1">
        <f>('Kwh Consumption'!S17+'Kwh Consumption'!T17)</f>
        <v>2696.3699999988821</v>
      </c>
      <c r="K16" s="1">
        <f>'Kwh Consumption'!U17</f>
        <v>399.99999999997726</v>
      </c>
      <c r="L16" s="29">
        <f t="shared" si="0"/>
        <v>6203.6299999993944</v>
      </c>
    </row>
    <row r="17" spans="1:12" x14ac:dyDescent="0.25">
      <c r="A17" s="14">
        <f>'Kwh Reading'!A18</f>
        <v>44849</v>
      </c>
      <c r="B17" s="74">
        <f>TOTAL!E16</f>
        <v>0</v>
      </c>
      <c r="C17" s="1">
        <f>'Kwh Consumption'!C18</f>
        <v>-646990</v>
      </c>
      <c r="D17" s="1">
        <f>'Kwh Consumption'!D18</f>
        <v>-3607400</v>
      </c>
      <c r="E17" s="1">
        <f>'Kwh Consumption'!E18</f>
        <v>-347580</v>
      </c>
      <c r="F17" s="1">
        <f>('Kwh Consumption'!F18+'Kwh Consumption'!G18+'Kwh Consumption'!H18)</f>
        <v>-1369230</v>
      </c>
      <c r="G17" s="1">
        <f>('Kwh Consumption'!I18+'Kwh Consumption'!J18)</f>
        <v>-179050</v>
      </c>
      <c r="H17" s="1">
        <f>('Kwh Consumption'!K18+'Kwh Consumption'!L18)</f>
        <v>-1899660</v>
      </c>
      <c r="I17" s="1">
        <f>('Kwh Consumption'!M18+'Kwh Consumption'!N18+'Kwh Consumption'!O18+'Kwh Consumption'!P18+'Kwh Consumption'!Q18+'Kwh Consumption'!R18)</f>
        <v>-5637080</v>
      </c>
      <c r="J17" s="1">
        <f>('Kwh Consumption'!S18+'Kwh Consumption'!T18)</f>
        <v>-9476182.209999999</v>
      </c>
      <c r="K17" s="1">
        <f>'Kwh Consumption'!U18</f>
        <v>-251170</v>
      </c>
      <c r="L17" s="29">
        <f t="shared" si="0"/>
        <v>23414342.210000001</v>
      </c>
    </row>
    <row r="18" spans="1:12" x14ac:dyDescent="0.25">
      <c r="A18" s="14">
        <f>'Kwh Reading'!A19</f>
        <v>44850</v>
      </c>
      <c r="B18" s="74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1">
        <f>'Kwh Consumption'!U19</f>
        <v>0</v>
      </c>
      <c r="L18" s="29">
        <f t="shared" si="0"/>
        <v>0</v>
      </c>
    </row>
    <row r="19" spans="1:12" x14ac:dyDescent="0.25">
      <c r="A19" s="14">
        <f>'Kwh Reading'!A20</f>
        <v>44851</v>
      </c>
      <c r="B19" s="74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29">
        <f t="shared" si="0"/>
        <v>0</v>
      </c>
    </row>
    <row r="20" spans="1:12" x14ac:dyDescent="0.25">
      <c r="A20" s="14">
        <f>'Kwh Reading'!A21</f>
        <v>44852</v>
      </c>
      <c r="B20" s="74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29">
        <f t="shared" si="0"/>
        <v>0</v>
      </c>
    </row>
    <row r="21" spans="1:12" x14ac:dyDescent="0.25">
      <c r="A21" s="14">
        <f>'Kwh Reading'!A22</f>
        <v>44853</v>
      </c>
      <c r="B21" s="74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29">
        <f t="shared" si="0"/>
        <v>0</v>
      </c>
    </row>
    <row r="22" spans="1:12" x14ac:dyDescent="0.25">
      <c r="A22" s="14">
        <f>'Kwh Reading'!A23</f>
        <v>44854</v>
      </c>
      <c r="B22" s="74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29">
        <f t="shared" si="0"/>
        <v>0</v>
      </c>
    </row>
    <row r="23" spans="1:12" x14ac:dyDescent="0.25">
      <c r="A23" s="14">
        <f>'Kwh Reading'!A24</f>
        <v>44855</v>
      </c>
      <c r="B23" s="74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29">
        <f t="shared" si="0"/>
        <v>0</v>
      </c>
    </row>
    <row r="24" spans="1:12" x14ac:dyDescent="0.25">
      <c r="A24" s="14">
        <f>'Kwh Reading'!A25</f>
        <v>44856</v>
      </c>
      <c r="B24" s="74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 t="e">
        <f>('Kwh Consumption'!F25+'Kwh Consumption'!G25+'Kwh Consumption'!H25)</f>
        <v>#VALUE!</v>
      </c>
      <c r="G24" s="1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29" t="e">
        <f t="shared" si="0"/>
        <v>#VALUE!</v>
      </c>
    </row>
    <row r="25" spans="1:12" x14ac:dyDescent="0.25">
      <c r="A25" s="14">
        <f>'Kwh Reading'!A26</f>
        <v>44857</v>
      </c>
      <c r="B25" s="74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 t="e">
        <f>('Kwh Consumption'!F26+'Kwh Consumption'!G26+'Kwh Consumption'!H26)</f>
        <v>#VALUE!</v>
      </c>
      <c r="G25" s="1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29" t="e">
        <f t="shared" si="0"/>
        <v>#VALUE!</v>
      </c>
    </row>
    <row r="26" spans="1:12" x14ac:dyDescent="0.25">
      <c r="A26" s="14">
        <f>'Kwh Reading'!A27</f>
        <v>44858</v>
      </c>
      <c r="B26" s="74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29">
        <f t="shared" si="0"/>
        <v>0</v>
      </c>
    </row>
    <row r="27" spans="1:12" x14ac:dyDescent="0.25">
      <c r="A27" s="14">
        <f>'Kwh Reading'!A28</f>
        <v>44859</v>
      </c>
      <c r="B27" s="74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29">
        <f t="shared" si="0"/>
        <v>0</v>
      </c>
    </row>
    <row r="28" spans="1:12" x14ac:dyDescent="0.25">
      <c r="A28" s="14">
        <f>'Kwh Reading'!A29</f>
        <v>44860</v>
      </c>
      <c r="B28" s="74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29">
        <f t="shared" si="0"/>
        <v>0</v>
      </c>
    </row>
    <row r="29" spans="1:12" x14ac:dyDescent="0.25">
      <c r="A29" s="14">
        <f>'Kwh Reading'!A30</f>
        <v>44861</v>
      </c>
      <c r="B29" s="74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29">
        <f t="shared" si="0"/>
        <v>0</v>
      </c>
    </row>
    <row r="30" spans="1:12" x14ac:dyDescent="0.25">
      <c r="A30" s="14">
        <f>'Kwh Reading'!A31</f>
        <v>44862</v>
      </c>
      <c r="B30" s="74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29">
        <f t="shared" si="0"/>
        <v>0</v>
      </c>
    </row>
    <row r="31" spans="1:12" x14ac:dyDescent="0.25">
      <c r="A31" s="14">
        <f>'Kwh Reading'!A32</f>
        <v>44863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44864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-190150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190150</v>
      </c>
    </row>
    <row r="33" spans="1:13" x14ac:dyDescent="0.25">
      <c r="A33" s="14">
        <f>'Kwh Reading'!A34</f>
        <v>44865</v>
      </c>
      <c r="B33" s="74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29">
        <f t="shared" si="0"/>
        <v>0</v>
      </c>
    </row>
    <row r="34" spans="1:13" ht="15.75" x14ac:dyDescent="0.25">
      <c r="A34" s="76" t="s">
        <v>119</v>
      </c>
      <c r="B34" s="66">
        <f>SUM(B3:B33)</f>
        <v>245819.99999999951</v>
      </c>
      <c r="C34" s="66">
        <f>SUM(C3:C33)</f>
        <v>-640710</v>
      </c>
      <c r="D34" s="66">
        <f t="shared" ref="D34:L34" si="1">SUM(D3:D33)</f>
        <v>-3570700</v>
      </c>
      <c r="E34" s="66">
        <f t="shared" si="1"/>
        <v>-343800</v>
      </c>
      <c r="F34" s="66" t="e">
        <f t="shared" si="1"/>
        <v>#VALUE!</v>
      </c>
      <c r="G34" s="66">
        <f t="shared" si="1"/>
        <v>-367940</v>
      </c>
      <c r="H34" s="66">
        <f t="shared" si="1"/>
        <v>-1881790</v>
      </c>
      <c r="I34" s="66">
        <f t="shared" si="1"/>
        <v>-5602560</v>
      </c>
      <c r="J34" s="66">
        <f t="shared" si="1"/>
        <v>-17838361.48</v>
      </c>
      <c r="K34" s="66">
        <f t="shared" si="1"/>
        <v>-248260</v>
      </c>
      <c r="L34" s="66" t="e">
        <f t="shared" si="1"/>
        <v>#VALUE!</v>
      </c>
      <c r="M34" s="75" t="e">
        <f>C34+D34+E34+F34+G34+H34+I34+J34+K34+L34</f>
        <v>#VALUE!</v>
      </c>
    </row>
    <row r="36" spans="1:13" ht="15.75" x14ac:dyDescent="0.25">
      <c r="A36" s="76" t="s">
        <v>62</v>
      </c>
      <c r="B36" s="112">
        <f>TOTAL!F2</f>
        <v>0</v>
      </c>
      <c r="C36" s="66">
        <f>C34*B36</f>
        <v>0</v>
      </c>
      <c r="D36" s="66">
        <f>D34*B36</f>
        <v>0</v>
      </c>
      <c r="E36" s="66">
        <f>E34*B36</f>
        <v>0</v>
      </c>
      <c r="F36" s="66" t="e">
        <f>F34*B36</f>
        <v>#VALUE!</v>
      </c>
      <c r="G36" s="66">
        <f>G34*B36</f>
        <v>0</v>
      </c>
      <c r="H36" s="66">
        <f>H34*B36</f>
        <v>0</v>
      </c>
      <c r="I36" s="66">
        <f>I34*B36</f>
        <v>0</v>
      </c>
      <c r="J36" s="66">
        <f>J34*B36</f>
        <v>0</v>
      </c>
      <c r="K36" s="66">
        <f>K34*B36</f>
        <v>0</v>
      </c>
      <c r="L36" s="66" t="e">
        <f>L34*B36</f>
        <v>#VALUE!</v>
      </c>
      <c r="M36" s="75" t="e">
        <f>C36+D36+E36+F36+G36+H36+I36+J36+K36+L36</f>
        <v>#VALUE!</v>
      </c>
    </row>
    <row r="37" spans="1:13" x14ac:dyDescent="0.25">
      <c r="J37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2" sqref="B32:B3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44835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44836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44837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44838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44839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44840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44841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44842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44843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44844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44845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44846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44847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44848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44849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44850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44851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44852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44853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44854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44855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44856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 t="e">
        <f>('Kwh Consumption'!F25+'Kwh Consumption'!G25+'Kwh Consumption'!H25)*' Kwh area wise $ '!B24</f>
        <v>#VALUE!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 t="e">
        <f>'Kwh Consumption'!V25*' Kwh area wise $ '!B24</f>
        <v>#VALUE!</v>
      </c>
    </row>
    <row r="25" spans="1:13" x14ac:dyDescent="0.25">
      <c r="A25" s="14">
        <f>'Kwh Reading'!A26</f>
        <v>44857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 t="e">
        <f>('Kwh Consumption'!F26+'Kwh Consumption'!G26+'Kwh Consumption'!H26)*' Kwh area wise $ '!B25</f>
        <v>#VALUE!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 t="e">
        <f>'Kwh Consumption'!V26*' Kwh area wise $ '!B25</f>
        <v>#VALUE!</v>
      </c>
    </row>
    <row r="26" spans="1:13" x14ac:dyDescent="0.25">
      <c r="A26" s="14">
        <f>'Kwh Reading'!A27</f>
        <v>44858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44859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44860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44861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44862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44863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44864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x14ac:dyDescent="0.25">
      <c r="A33" s="14">
        <f>'Kwh Reading'!A34</f>
        <v>44865</v>
      </c>
      <c r="B33" s="11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29">
        <f>('Kwh Consumption'!S34+'Kwh Consumption'!T34)*' Kwh area wise $ '!B33</f>
        <v>0</v>
      </c>
      <c r="L33" s="1">
        <f>'Kwh Consumption'!U34*' Kwh area wise $ '!B33</f>
        <v>0</v>
      </c>
      <c r="M33" s="29">
        <f>'Kwh Consumption'!V34*' Kwh area wise $ '!B33</f>
        <v>0</v>
      </c>
    </row>
    <row r="34" spans="1:14" ht="15.75" x14ac:dyDescent="0.25">
      <c r="A34" s="171" t="s">
        <v>51</v>
      </c>
      <c r="B34" s="171"/>
      <c r="C34" s="66">
        <f t="shared" ref="C34:L34" si="0">SUM(C3:C33)</f>
        <v>0</v>
      </c>
      <c r="D34" s="66">
        <f t="shared" si="0"/>
        <v>0</v>
      </c>
      <c r="E34" s="66">
        <f t="shared" si="0"/>
        <v>0</v>
      </c>
      <c r="F34" s="66">
        <f t="shared" si="0"/>
        <v>0</v>
      </c>
      <c r="G34" s="66" t="e">
        <f t="shared" si="0"/>
        <v>#VALUE!</v>
      </c>
      <c r="H34" s="66">
        <f t="shared" si="0"/>
        <v>0</v>
      </c>
      <c r="I34" s="66">
        <f t="shared" si="0"/>
        <v>0</v>
      </c>
      <c r="J34" s="66">
        <f t="shared" si="0"/>
        <v>0</v>
      </c>
      <c r="K34" s="66">
        <f t="shared" si="0"/>
        <v>0</v>
      </c>
      <c r="L34" s="66">
        <f t="shared" si="0"/>
        <v>0</v>
      </c>
      <c r="M34" s="66" t="e">
        <f>SUM(M3:M33)</f>
        <v>#VALUE!</v>
      </c>
      <c r="N34" s="75" t="e">
        <f>D34+E34+F34+G34+H34+I34+J34+K34+L34+M34</f>
        <v>#VALUE!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Q16" sqref="Q1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44835</v>
      </c>
      <c r="B3" s="30">
        <v>15651</v>
      </c>
      <c r="C3" s="30">
        <v>21597</v>
      </c>
      <c r="D3" s="30">
        <v>286834</v>
      </c>
      <c r="E3" s="30">
        <v>279201</v>
      </c>
      <c r="F3" s="30">
        <v>67264</v>
      </c>
      <c r="G3" s="30">
        <v>122409</v>
      </c>
      <c r="H3" s="51">
        <v>62092</v>
      </c>
      <c r="I3" s="137">
        <v>78752</v>
      </c>
      <c r="J3" s="30">
        <v>23515</v>
      </c>
      <c r="K3" s="30">
        <v>1024</v>
      </c>
      <c r="L3" s="30">
        <v>19242</v>
      </c>
      <c r="M3" s="30">
        <v>28217</v>
      </c>
      <c r="N3" s="30">
        <v>8919</v>
      </c>
      <c r="O3" s="30">
        <v>2333</v>
      </c>
      <c r="P3" s="30">
        <v>32116</v>
      </c>
      <c r="Q3" s="30">
        <v>2057</v>
      </c>
      <c r="R3" s="30">
        <v>639</v>
      </c>
    </row>
    <row r="4" spans="1:21" x14ac:dyDescent="0.25">
      <c r="A4" s="50">
        <v>44836</v>
      </c>
      <c r="B4" s="30">
        <v>15789</v>
      </c>
      <c r="C4" s="30">
        <v>21796</v>
      </c>
      <c r="D4" s="30">
        <v>287017</v>
      </c>
      <c r="E4" s="30">
        <v>279278</v>
      </c>
      <c r="F4" s="30">
        <v>67264</v>
      </c>
      <c r="G4" s="30">
        <v>122427</v>
      </c>
      <c r="H4" s="30">
        <v>62092</v>
      </c>
      <c r="I4" s="137">
        <v>78764</v>
      </c>
      <c r="J4" s="51">
        <v>23520</v>
      </c>
      <c r="K4" s="30">
        <v>1024</v>
      </c>
      <c r="L4" s="96">
        <v>19247</v>
      </c>
      <c r="M4" s="96">
        <v>28225</v>
      </c>
      <c r="N4" s="96">
        <v>8920</v>
      </c>
      <c r="O4" s="30">
        <v>2335</v>
      </c>
      <c r="P4" s="96">
        <v>32116</v>
      </c>
      <c r="Q4" s="96">
        <v>2057</v>
      </c>
      <c r="R4" s="96">
        <v>642</v>
      </c>
    </row>
    <row r="5" spans="1:21" x14ac:dyDescent="0.25">
      <c r="A5" s="50">
        <v>44837</v>
      </c>
      <c r="B5" s="30">
        <v>15926</v>
      </c>
      <c r="C5" s="30">
        <v>21990</v>
      </c>
      <c r="D5" s="30">
        <v>287138</v>
      </c>
      <c r="E5" s="30">
        <v>279352</v>
      </c>
      <c r="F5" s="30">
        <v>67265</v>
      </c>
      <c r="G5" s="30">
        <v>122455</v>
      </c>
      <c r="H5" s="30">
        <v>62092</v>
      </c>
      <c r="I5" s="137">
        <v>78793</v>
      </c>
      <c r="J5" s="30">
        <v>23526</v>
      </c>
      <c r="K5" s="30">
        <v>1024</v>
      </c>
      <c r="L5" s="96">
        <v>19253</v>
      </c>
      <c r="M5" s="96">
        <v>28230</v>
      </c>
      <c r="N5" s="96">
        <v>8921</v>
      </c>
      <c r="O5" s="30">
        <v>2338</v>
      </c>
      <c r="P5" s="96">
        <v>32130</v>
      </c>
      <c r="Q5" s="96">
        <v>2064</v>
      </c>
      <c r="R5" s="96">
        <v>647</v>
      </c>
    </row>
    <row r="6" spans="1:21" x14ac:dyDescent="0.25">
      <c r="A6" s="50">
        <v>44838</v>
      </c>
      <c r="B6" s="30">
        <v>16089</v>
      </c>
      <c r="C6" s="30">
        <v>22231</v>
      </c>
      <c r="D6" s="30">
        <v>287400</v>
      </c>
      <c r="E6" s="30">
        <v>279418</v>
      </c>
      <c r="F6" s="30">
        <v>67265</v>
      </c>
      <c r="G6" s="30">
        <v>122473</v>
      </c>
      <c r="H6" s="30">
        <v>62092</v>
      </c>
      <c r="I6" s="137">
        <v>78802</v>
      </c>
      <c r="J6" s="51">
        <v>23530</v>
      </c>
      <c r="K6" s="30">
        <v>1024</v>
      </c>
      <c r="L6" s="96">
        <v>19257</v>
      </c>
      <c r="M6" s="96">
        <v>28235</v>
      </c>
      <c r="N6" s="96">
        <v>8922</v>
      </c>
      <c r="O6" s="30">
        <v>2340</v>
      </c>
      <c r="P6" s="96">
        <v>32130</v>
      </c>
      <c r="Q6" s="96">
        <v>2069</v>
      </c>
      <c r="R6" s="96">
        <v>649</v>
      </c>
    </row>
    <row r="7" spans="1:21" x14ac:dyDescent="0.25">
      <c r="A7" s="50">
        <v>44839</v>
      </c>
      <c r="B7" s="51">
        <v>16211</v>
      </c>
      <c r="C7" s="30">
        <v>22397</v>
      </c>
      <c r="D7" s="96">
        <v>287550</v>
      </c>
      <c r="E7" s="96">
        <v>279482</v>
      </c>
      <c r="F7" s="30">
        <v>67266</v>
      </c>
      <c r="G7" s="96">
        <v>122489</v>
      </c>
      <c r="H7" s="30">
        <v>62092</v>
      </c>
      <c r="I7" s="121">
        <v>78825</v>
      </c>
      <c r="J7" s="96">
        <v>23536</v>
      </c>
      <c r="K7" s="30">
        <v>1024</v>
      </c>
      <c r="L7" s="96">
        <v>19262</v>
      </c>
      <c r="M7" s="96">
        <v>28241</v>
      </c>
      <c r="N7" s="96">
        <v>8923</v>
      </c>
      <c r="O7" s="30">
        <v>2341</v>
      </c>
      <c r="P7" s="96">
        <v>32146</v>
      </c>
      <c r="Q7" s="96">
        <v>2071</v>
      </c>
      <c r="R7" s="96">
        <v>651</v>
      </c>
    </row>
    <row r="8" spans="1:21" x14ac:dyDescent="0.25">
      <c r="A8" s="50">
        <v>44840</v>
      </c>
      <c r="B8" s="51">
        <v>16341</v>
      </c>
      <c r="C8" s="30">
        <v>22582</v>
      </c>
      <c r="D8" s="96">
        <v>287705</v>
      </c>
      <c r="E8" s="96">
        <v>279554</v>
      </c>
      <c r="F8" s="96">
        <v>67267</v>
      </c>
      <c r="G8" s="96">
        <v>122510</v>
      </c>
      <c r="H8" s="30">
        <v>62092</v>
      </c>
      <c r="I8" s="121">
        <v>78844</v>
      </c>
      <c r="J8" s="96">
        <v>23542</v>
      </c>
      <c r="K8" s="30">
        <v>1024</v>
      </c>
      <c r="L8" s="96">
        <v>19267</v>
      </c>
      <c r="M8" s="96">
        <v>28247</v>
      </c>
      <c r="N8" s="96">
        <v>8927</v>
      </c>
      <c r="O8" s="30">
        <v>2343</v>
      </c>
      <c r="P8" s="96">
        <v>32146</v>
      </c>
      <c r="Q8" s="96">
        <v>2078</v>
      </c>
      <c r="R8" s="96">
        <v>656</v>
      </c>
    </row>
    <row r="9" spans="1:21" x14ac:dyDescent="0.25">
      <c r="A9" s="50">
        <v>44841</v>
      </c>
      <c r="B9" s="51">
        <v>16485</v>
      </c>
      <c r="C9" s="30">
        <v>22789</v>
      </c>
      <c r="D9" s="96">
        <v>287874</v>
      </c>
      <c r="E9" s="96">
        <v>279625</v>
      </c>
      <c r="F9" s="96">
        <v>67267</v>
      </c>
      <c r="G9" s="96">
        <v>122527</v>
      </c>
      <c r="H9" s="30">
        <v>62092</v>
      </c>
      <c r="I9" s="121">
        <v>78886</v>
      </c>
      <c r="J9" s="96">
        <v>23547</v>
      </c>
      <c r="K9" s="30">
        <v>1024</v>
      </c>
      <c r="L9" s="96">
        <v>19270</v>
      </c>
      <c r="M9" s="96">
        <v>28257</v>
      </c>
      <c r="N9" s="96">
        <v>8927</v>
      </c>
      <c r="O9" s="30">
        <v>2345</v>
      </c>
      <c r="P9" s="96">
        <v>32177</v>
      </c>
      <c r="Q9" s="96">
        <v>2080</v>
      </c>
      <c r="R9" s="96">
        <v>659</v>
      </c>
    </row>
    <row r="10" spans="1:21" x14ac:dyDescent="0.25">
      <c r="A10" s="50">
        <v>44842</v>
      </c>
      <c r="B10" s="30">
        <v>16622</v>
      </c>
      <c r="C10" s="51">
        <v>22985</v>
      </c>
      <c r="D10" s="96">
        <v>288054</v>
      </c>
      <c r="E10" s="96">
        <v>279694</v>
      </c>
      <c r="F10" s="96">
        <v>67268</v>
      </c>
      <c r="G10" s="96">
        <v>122549</v>
      </c>
      <c r="H10" s="30">
        <v>62092</v>
      </c>
      <c r="I10" s="121">
        <v>78895</v>
      </c>
      <c r="J10" s="96">
        <v>23553</v>
      </c>
      <c r="K10" s="30">
        <v>1024</v>
      </c>
      <c r="L10" s="96">
        <v>19276</v>
      </c>
      <c r="M10" s="96">
        <v>28258</v>
      </c>
      <c r="N10" s="96">
        <v>8928</v>
      </c>
      <c r="O10" s="30">
        <v>2346</v>
      </c>
      <c r="P10" s="96">
        <v>32178</v>
      </c>
      <c r="Q10" s="96">
        <v>2083</v>
      </c>
      <c r="R10" s="96">
        <v>660</v>
      </c>
    </row>
    <row r="11" spans="1:21" x14ac:dyDescent="0.25">
      <c r="A11" s="50">
        <v>44843</v>
      </c>
      <c r="B11" s="51">
        <v>16779</v>
      </c>
      <c r="C11" s="30">
        <v>23207</v>
      </c>
      <c r="D11" s="96">
        <v>288248</v>
      </c>
      <c r="E11" s="96">
        <v>279769</v>
      </c>
      <c r="F11" s="96">
        <v>67268</v>
      </c>
      <c r="G11" s="96">
        <v>122574</v>
      </c>
      <c r="H11" s="30">
        <v>62092</v>
      </c>
      <c r="I11" s="121">
        <v>78920</v>
      </c>
      <c r="J11" s="96">
        <v>23559</v>
      </c>
      <c r="K11" s="30">
        <v>1024</v>
      </c>
      <c r="L11" s="96">
        <v>19281</v>
      </c>
      <c r="M11" s="96">
        <v>28263</v>
      </c>
      <c r="N11" s="96">
        <v>8930</v>
      </c>
      <c r="O11" s="30">
        <v>2347</v>
      </c>
      <c r="P11" s="96">
        <v>32193</v>
      </c>
      <c r="Q11" s="96">
        <v>2089</v>
      </c>
      <c r="R11" s="96">
        <v>666</v>
      </c>
    </row>
    <row r="12" spans="1:21" x14ac:dyDescent="0.25">
      <c r="A12" s="50">
        <v>44844</v>
      </c>
      <c r="B12" s="30">
        <v>16913</v>
      </c>
      <c r="C12" s="51">
        <v>23399</v>
      </c>
      <c r="D12" s="96">
        <v>288402</v>
      </c>
      <c r="E12" s="96">
        <v>279835</v>
      </c>
      <c r="F12" s="96">
        <v>67268</v>
      </c>
      <c r="G12" s="96">
        <v>122592</v>
      </c>
      <c r="H12" s="30">
        <v>62092</v>
      </c>
      <c r="I12" s="121">
        <v>78946</v>
      </c>
      <c r="J12" s="30">
        <v>23564</v>
      </c>
      <c r="K12" s="30">
        <v>1024</v>
      </c>
      <c r="L12" s="96">
        <v>19286</v>
      </c>
      <c r="M12" s="96">
        <v>28268</v>
      </c>
      <c r="N12" s="96">
        <v>8933</v>
      </c>
      <c r="O12" s="30">
        <v>2348</v>
      </c>
      <c r="P12" s="96">
        <v>32206</v>
      </c>
      <c r="Q12" s="96">
        <v>2093</v>
      </c>
      <c r="R12" s="96">
        <v>669</v>
      </c>
    </row>
    <row r="13" spans="1:21" x14ac:dyDescent="0.25">
      <c r="A13" s="50">
        <v>44845</v>
      </c>
      <c r="B13" s="51">
        <v>17085</v>
      </c>
      <c r="C13" s="30">
        <v>23642</v>
      </c>
      <c r="D13" s="96">
        <v>288641</v>
      </c>
      <c r="E13" s="96">
        <v>279902</v>
      </c>
      <c r="F13" s="96">
        <v>67270</v>
      </c>
      <c r="G13" s="96">
        <v>122615</v>
      </c>
      <c r="H13" s="30">
        <v>62092</v>
      </c>
      <c r="I13" s="121">
        <v>78962</v>
      </c>
      <c r="J13" s="51">
        <v>23569</v>
      </c>
      <c r="K13" s="30">
        <v>1024</v>
      </c>
      <c r="L13" s="96">
        <v>19289</v>
      </c>
      <c r="M13" s="96">
        <v>28273</v>
      </c>
      <c r="N13" s="96">
        <v>8935</v>
      </c>
      <c r="O13" s="30">
        <v>2349</v>
      </c>
      <c r="P13" s="121">
        <v>32212</v>
      </c>
      <c r="Q13" s="96">
        <v>2096</v>
      </c>
      <c r="R13" s="96">
        <v>672</v>
      </c>
    </row>
    <row r="14" spans="1:21" x14ac:dyDescent="0.25">
      <c r="A14" s="50">
        <v>44846</v>
      </c>
      <c r="B14" s="30">
        <v>17225</v>
      </c>
      <c r="C14" s="30">
        <v>23844</v>
      </c>
      <c r="D14" s="96">
        <v>288811</v>
      </c>
      <c r="E14" s="96">
        <v>279972</v>
      </c>
      <c r="F14" s="96">
        <v>67283</v>
      </c>
      <c r="G14" s="96">
        <v>122637</v>
      </c>
      <c r="H14" s="30">
        <v>62092</v>
      </c>
      <c r="I14" s="121">
        <v>78981</v>
      </c>
      <c r="J14" s="96">
        <v>23575</v>
      </c>
      <c r="K14" s="30">
        <v>1024</v>
      </c>
      <c r="L14" s="96">
        <v>19294</v>
      </c>
      <c r="M14" s="96">
        <v>28278</v>
      </c>
      <c r="N14" s="96">
        <v>8936</v>
      </c>
      <c r="O14" s="30">
        <v>2351</v>
      </c>
      <c r="P14" s="96">
        <v>32222</v>
      </c>
      <c r="Q14" s="96">
        <v>2098</v>
      </c>
      <c r="R14" s="96">
        <v>677</v>
      </c>
    </row>
    <row r="15" spans="1:21" x14ac:dyDescent="0.25">
      <c r="A15" s="50">
        <v>44847</v>
      </c>
      <c r="B15" s="30">
        <v>17347</v>
      </c>
      <c r="C15" s="30">
        <v>23997</v>
      </c>
      <c r="D15" s="96">
        <v>288924</v>
      </c>
      <c r="E15" s="96">
        <v>280036</v>
      </c>
      <c r="F15" s="96">
        <v>67284</v>
      </c>
      <c r="G15" s="96">
        <v>122662</v>
      </c>
      <c r="H15" s="30">
        <v>62092</v>
      </c>
      <c r="I15" s="121">
        <v>78990</v>
      </c>
      <c r="J15" s="96">
        <v>23581</v>
      </c>
      <c r="K15" s="30">
        <v>1024</v>
      </c>
      <c r="L15" s="96">
        <v>19300</v>
      </c>
      <c r="M15" s="96">
        <v>28282</v>
      </c>
      <c r="N15" s="96">
        <v>8938</v>
      </c>
      <c r="O15" s="30">
        <v>2352</v>
      </c>
      <c r="P15" s="96">
        <v>32222</v>
      </c>
      <c r="Q15" s="96">
        <v>2098</v>
      </c>
      <c r="R15" s="96">
        <v>680</v>
      </c>
      <c r="T15" s="94"/>
      <c r="U15" s="94"/>
    </row>
    <row r="16" spans="1:21" x14ac:dyDescent="0.25">
      <c r="A16" s="50">
        <v>44848</v>
      </c>
      <c r="B16" s="30">
        <v>17469</v>
      </c>
      <c r="C16" s="51">
        <v>24170</v>
      </c>
      <c r="D16" s="96">
        <v>289032</v>
      </c>
      <c r="E16" s="96">
        <v>280111</v>
      </c>
      <c r="F16" s="96">
        <v>67285</v>
      </c>
      <c r="G16" s="96">
        <v>122688</v>
      </c>
      <c r="H16" s="30">
        <v>62092</v>
      </c>
      <c r="I16" s="121">
        <v>79021</v>
      </c>
      <c r="J16" s="96">
        <v>23587</v>
      </c>
      <c r="K16" s="30">
        <v>1024</v>
      </c>
      <c r="L16" s="96">
        <v>19305</v>
      </c>
      <c r="M16" s="96">
        <v>28286</v>
      </c>
      <c r="N16" s="96">
        <v>8939</v>
      </c>
      <c r="O16" s="30">
        <v>2354</v>
      </c>
      <c r="P16" s="96">
        <v>32241</v>
      </c>
      <c r="Q16" s="96">
        <v>2098</v>
      </c>
      <c r="R16" s="96">
        <v>686</v>
      </c>
    </row>
    <row r="17" spans="1:21" x14ac:dyDescent="0.25">
      <c r="A17" s="50">
        <v>44849</v>
      </c>
      <c r="B17" s="30">
        <v>17573</v>
      </c>
      <c r="C17" s="30">
        <v>24321</v>
      </c>
      <c r="D17" s="96">
        <v>289112</v>
      </c>
      <c r="E17" s="96">
        <v>280175</v>
      </c>
      <c r="F17" s="96">
        <v>67288</v>
      </c>
      <c r="G17" s="96">
        <v>122709</v>
      </c>
      <c r="H17" s="30">
        <v>62092</v>
      </c>
      <c r="I17" s="121">
        <v>79033</v>
      </c>
      <c r="J17" s="96">
        <v>23593</v>
      </c>
      <c r="K17" s="30">
        <v>1024</v>
      </c>
      <c r="L17" s="96">
        <v>19310</v>
      </c>
      <c r="M17" s="96">
        <v>28290</v>
      </c>
      <c r="N17" s="96">
        <v>8940</v>
      </c>
      <c r="O17" s="30">
        <v>2355</v>
      </c>
      <c r="P17" s="96">
        <v>32241</v>
      </c>
      <c r="Q17" s="96">
        <v>2102</v>
      </c>
      <c r="R17" s="96">
        <v>688</v>
      </c>
    </row>
    <row r="18" spans="1:21" x14ac:dyDescent="0.25">
      <c r="A18" s="50">
        <v>44850</v>
      </c>
      <c r="B18" s="30"/>
      <c r="C18" s="51"/>
      <c r="D18" s="96"/>
      <c r="E18" s="96"/>
      <c r="F18" s="96"/>
      <c r="G18" s="96"/>
      <c r="H18" s="30"/>
      <c r="I18" s="121"/>
      <c r="J18" s="96"/>
      <c r="K18" s="30"/>
      <c r="L18" s="96"/>
      <c r="M18" s="96"/>
      <c r="N18" s="96"/>
      <c r="O18" s="30"/>
      <c r="P18" s="96"/>
      <c r="Q18" s="96"/>
      <c r="R18" s="96"/>
      <c r="U18" s="94"/>
    </row>
    <row r="19" spans="1:21" x14ac:dyDescent="0.25">
      <c r="A19" s="50">
        <v>44851</v>
      </c>
      <c r="B19" s="30"/>
      <c r="C19" s="30"/>
      <c r="D19" s="96"/>
      <c r="E19" s="96"/>
      <c r="F19" s="96"/>
      <c r="G19" s="96"/>
      <c r="H19" s="30"/>
      <c r="I19" s="121"/>
      <c r="J19" s="96"/>
      <c r="K19" s="30"/>
      <c r="L19" s="96"/>
      <c r="M19" s="96"/>
      <c r="N19" s="96"/>
      <c r="O19" s="30"/>
      <c r="P19" s="96"/>
      <c r="Q19" s="96"/>
      <c r="R19" s="96"/>
    </row>
    <row r="20" spans="1:21" x14ac:dyDescent="0.25">
      <c r="A20" s="50">
        <v>44852</v>
      </c>
      <c r="B20" s="30"/>
      <c r="C20" s="51"/>
      <c r="D20" s="97"/>
      <c r="E20" s="96"/>
      <c r="F20" s="96"/>
      <c r="G20" s="96"/>
      <c r="H20" s="30"/>
      <c r="I20" s="121"/>
      <c r="J20" s="96"/>
      <c r="K20" s="30"/>
      <c r="L20" s="96"/>
      <c r="M20" s="96"/>
      <c r="N20" s="96"/>
      <c r="O20" s="30"/>
      <c r="P20" s="96"/>
      <c r="Q20" s="96"/>
      <c r="R20" s="96"/>
    </row>
    <row r="21" spans="1:21" x14ac:dyDescent="0.25">
      <c r="A21" s="50">
        <v>44853</v>
      </c>
      <c r="B21" s="30"/>
      <c r="C21" s="30"/>
      <c r="D21" s="96"/>
      <c r="E21" s="96"/>
      <c r="F21" s="96"/>
      <c r="G21" s="96"/>
      <c r="H21" s="30"/>
      <c r="I21" s="121"/>
      <c r="J21" s="96"/>
      <c r="K21" s="30"/>
      <c r="L21" s="96"/>
      <c r="M21" s="96"/>
      <c r="N21" s="96"/>
      <c r="O21" s="30"/>
      <c r="P21" s="96"/>
      <c r="Q21" s="96"/>
      <c r="R21" s="96"/>
    </row>
    <row r="22" spans="1:21" x14ac:dyDescent="0.25">
      <c r="A22" s="50">
        <v>44854</v>
      </c>
      <c r="B22" s="30"/>
      <c r="C22" s="51"/>
      <c r="D22" s="96"/>
      <c r="E22" s="96"/>
      <c r="F22" s="96"/>
      <c r="G22" s="96"/>
      <c r="H22" s="30"/>
      <c r="I22" s="121"/>
      <c r="J22" s="96"/>
      <c r="K22" s="30"/>
      <c r="L22" s="96"/>
      <c r="M22" s="96"/>
      <c r="N22" s="96"/>
      <c r="O22" s="30"/>
      <c r="P22" s="96"/>
      <c r="Q22" s="96"/>
      <c r="R22" s="96"/>
    </row>
    <row r="23" spans="1:21" x14ac:dyDescent="0.25">
      <c r="A23" s="50">
        <v>44855</v>
      </c>
      <c r="B23" s="30"/>
      <c r="C23" s="30"/>
      <c r="D23" s="96"/>
      <c r="E23" s="96"/>
      <c r="F23" s="96"/>
      <c r="G23" s="96"/>
      <c r="H23" s="30"/>
      <c r="I23" s="121"/>
      <c r="J23" s="96"/>
      <c r="K23" s="30"/>
      <c r="L23" s="96"/>
      <c r="M23" s="96"/>
      <c r="N23" s="96"/>
      <c r="O23" s="30"/>
      <c r="P23" s="96"/>
      <c r="Q23" s="96"/>
      <c r="R23" s="96"/>
      <c r="S23" s="10" t="s">
        <v>125</v>
      </c>
    </row>
    <row r="24" spans="1:21" x14ac:dyDescent="0.25">
      <c r="A24" s="50">
        <v>44856</v>
      </c>
      <c r="B24" s="30"/>
      <c r="C24" s="51"/>
      <c r="D24" s="96"/>
      <c r="E24" s="96"/>
      <c r="F24" s="96"/>
      <c r="G24" s="96"/>
      <c r="H24" s="30"/>
      <c r="I24" s="121"/>
      <c r="J24" s="96"/>
      <c r="K24" s="30"/>
      <c r="L24" s="96"/>
      <c r="M24" s="96"/>
      <c r="N24" s="96"/>
      <c r="O24" s="30"/>
      <c r="P24" s="96"/>
      <c r="Q24" s="96"/>
      <c r="R24" s="96"/>
      <c r="S24" s="10" t="s">
        <v>127</v>
      </c>
    </row>
    <row r="25" spans="1:21" x14ac:dyDescent="0.25">
      <c r="A25" s="50">
        <v>44857</v>
      </c>
      <c r="B25" s="30"/>
      <c r="C25" s="30"/>
      <c r="D25" s="96"/>
      <c r="E25" s="96"/>
      <c r="F25" s="96"/>
      <c r="G25" s="96"/>
      <c r="H25" s="30"/>
      <c r="I25" s="121"/>
      <c r="J25" s="96"/>
      <c r="K25" s="30"/>
      <c r="L25" s="96"/>
      <c r="M25" s="96"/>
      <c r="N25" s="96"/>
      <c r="O25" s="30"/>
      <c r="P25" s="96"/>
      <c r="Q25" s="96"/>
      <c r="R25" s="96"/>
    </row>
    <row r="26" spans="1:21" x14ac:dyDescent="0.25">
      <c r="A26" s="50">
        <v>44858</v>
      </c>
      <c r="B26" s="30"/>
      <c r="C26" s="51"/>
      <c r="D26" s="96"/>
      <c r="E26" s="96"/>
      <c r="F26" s="96"/>
      <c r="G26" s="96"/>
      <c r="H26" s="30"/>
      <c r="I26" s="121"/>
      <c r="J26" s="96"/>
      <c r="K26" s="30"/>
      <c r="L26" s="96"/>
      <c r="M26" s="96"/>
      <c r="N26" s="96"/>
      <c r="O26" s="30"/>
      <c r="P26" s="96"/>
      <c r="Q26" s="96"/>
      <c r="R26" s="96"/>
    </row>
    <row r="27" spans="1:21" x14ac:dyDescent="0.25">
      <c r="A27" s="50">
        <v>44859</v>
      </c>
      <c r="B27" s="30"/>
      <c r="C27" s="30"/>
      <c r="D27" s="96"/>
      <c r="E27" s="96"/>
      <c r="F27" s="96"/>
      <c r="G27" s="96"/>
      <c r="H27" s="30"/>
      <c r="I27" s="121"/>
      <c r="J27" s="96"/>
      <c r="K27" s="30"/>
      <c r="L27" s="96"/>
      <c r="M27" s="96"/>
      <c r="N27" s="96"/>
      <c r="O27" s="30"/>
      <c r="P27" s="96"/>
      <c r="Q27" s="96"/>
      <c r="R27" s="96"/>
    </row>
    <row r="28" spans="1:21" x14ac:dyDescent="0.25">
      <c r="A28" s="50">
        <v>44860</v>
      </c>
      <c r="B28" s="30"/>
      <c r="C28" s="51"/>
      <c r="D28" s="96"/>
      <c r="E28" s="96"/>
      <c r="F28" s="96"/>
      <c r="G28" s="96"/>
      <c r="H28" s="30"/>
      <c r="I28" s="121"/>
      <c r="J28" s="96"/>
      <c r="K28" s="30"/>
      <c r="L28" s="96"/>
      <c r="M28" s="96"/>
      <c r="N28" s="96"/>
      <c r="O28" s="30"/>
      <c r="P28" s="96"/>
      <c r="Q28" s="96"/>
      <c r="R28" s="96"/>
    </row>
    <row r="29" spans="1:21" x14ac:dyDescent="0.25">
      <c r="A29" s="50">
        <v>44861</v>
      </c>
      <c r="B29" s="30"/>
      <c r="C29" s="30"/>
      <c r="D29" s="96"/>
      <c r="E29" s="96"/>
      <c r="F29" s="96"/>
      <c r="G29" s="96"/>
      <c r="H29" s="30"/>
      <c r="I29" s="138"/>
      <c r="J29" s="96"/>
      <c r="K29" s="30"/>
      <c r="L29" s="96"/>
      <c r="M29" s="96"/>
      <c r="N29" s="96"/>
      <c r="O29" s="30"/>
      <c r="P29" s="96"/>
      <c r="Q29" s="96"/>
      <c r="R29" s="96"/>
    </row>
    <row r="30" spans="1:21" x14ac:dyDescent="0.25">
      <c r="A30" s="50">
        <v>44862</v>
      </c>
      <c r="B30" s="30"/>
      <c r="C30" s="51"/>
      <c r="D30" s="96"/>
      <c r="E30" s="96"/>
      <c r="F30" s="96"/>
      <c r="G30" s="96"/>
      <c r="H30" s="30"/>
      <c r="I30" s="121"/>
      <c r="J30" s="96"/>
      <c r="K30" s="30"/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44863</v>
      </c>
      <c r="B31" s="30"/>
      <c r="C31" s="30"/>
      <c r="D31" s="30"/>
      <c r="F31" s="30"/>
      <c r="G31" s="30"/>
      <c r="H31" s="30"/>
      <c r="I31" s="30"/>
      <c r="K31" s="30"/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44864</v>
      </c>
      <c r="B32" s="30"/>
      <c r="C32" s="51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44865</v>
      </c>
      <c r="B33" s="30"/>
      <c r="C33" s="30"/>
      <c r="D33" s="30"/>
      <c r="E33" s="30"/>
      <c r="F33" s="30"/>
      <c r="G33" s="30"/>
      <c r="H33" s="51"/>
      <c r="I33" s="30"/>
      <c r="J33" s="30"/>
      <c r="K33" s="96"/>
      <c r="L33" s="30"/>
      <c r="M33" s="30"/>
      <c r="N33" s="30"/>
      <c r="O33" s="30"/>
      <c r="P33" s="30"/>
      <c r="Q33" s="30"/>
      <c r="R33" s="30"/>
    </row>
    <row r="34" spans="1:18" x14ac:dyDescent="0.25">
      <c r="A34" s="50">
        <v>44866</v>
      </c>
      <c r="B34" s="30"/>
      <c r="C34" s="5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7" spans="1:18" x14ac:dyDescent="0.25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7" activePane="bottomLeft" state="frozen"/>
      <selection activeCell="C25" sqref="C25"/>
      <selection pane="bottomLeft" activeCell="I18" sqref="I18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2" t="s">
        <v>30</v>
      </c>
      <c r="B2" s="173" t="s">
        <v>107</v>
      </c>
      <c r="C2" s="173" t="s">
        <v>108</v>
      </c>
      <c r="D2" s="173"/>
      <c r="E2" s="174" t="s">
        <v>96</v>
      </c>
      <c r="F2" s="175"/>
      <c r="G2" s="176" t="s">
        <v>111</v>
      </c>
      <c r="H2" s="175"/>
      <c r="I2" s="176" t="s">
        <v>109</v>
      </c>
      <c r="J2" s="175"/>
      <c r="K2" s="176" t="s">
        <v>110</v>
      </c>
      <c r="L2" s="175"/>
      <c r="M2" s="176" t="s">
        <v>106</v>
      </c>
      <c r="N2" s="175"/>
      <c r="O2" s="176" t="s">
        <v>105</v>
      </c>
      <c r="P2" s="175"/>
      <c r="Q2" s="176" t="s">
        <v>112</v>
      </c>
      <c r="R2" s="175"/>
      <c r="S2" s="176" t="s">
        <v>113</v>
      </c>
      <c r="T2" s="175"/>
      <c r="U2" s="176" t="s">
        <v>114</v>
      </c>
      <c r="V2" s="175"/>
      <c r="W2" s="176" t="s">
        <v>98</v>
      </c>
      <c r="X2" s="177"/>
      <c r="Y2" s="178" t="s">
        <v>51</v>
      </c>
      <c r="Z2" s="178"/>
    </row>
    <row r="3" spans="1:26" ht="30" x14ac:dyDescent="0.35">
      <c r="A3" s="172"/>
      <c r="B3" s="173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44835</v>
      </c>
      <c r="B4" s="58">
        <f>TOTAL!I2</f>
        <v>326</v>
      </c>
      <c r="C4" s="59">
        <f>('Water Reading'!B4-'Water Reading'!B3)+('Water Reading'!C4-'Water Reading'!C3)</f>
        <v>337</v>
      </c>
      <c r="D4" s="60">
        <f>C4/B4</f>
        <v>1.0337423312883436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180</v>
      </c>
      <c r="H4" s="78">
        <f>G4/C4</f>
        <v>0.53412462908011871</v>
      </c>
      <c r="I4" s="79">
        <f>'Water Reading'!P4-'Water Reading'!P3</f>
        <v>0</v>
      </c>
      <c r="J4" s="61">
        <f>I4/C4</f>
        <v>0</v>
      </c>
      <c r="K4" s="80">
        <f>('Water Reading'!I4-'Water Reading'!I3)-('Water Reading'!P4-'Water Reading'!P3)</f>
        <v>12</v>
      </c>
      <c r="L4" s="61">
        <f>K4/C4</f>
        <v>3.5608308605341248E-2</v>
      </c>
      <c r="M4" s="79">
        <f>'Water Reading'!R4-'Water Reading'!R3</f>
        <v>3</v>
      </c>
      <c r="N4" s="81">
        <f>M4/C4</f>
        <v>8.9020771513353119E-3</v>
      </c>
      <c r="O4" s="79">
        <f>'Water Reading'!Q4-'Water Reading'!Q3</f>
        <v>0</v>
      </c>
      <c r="P4" s="86">
        <f>O4/C4</f>
        <v>0</v>
      </c>
      <c r="Q4" s="80">
        <f>'Water Reading'!F4-'Water Reading'!F3</f>
        <v>0</v>
      </c>
      <c r="R4" s="87">
        <f>Q4/C4</f>
        <v>0</v>
      </c>
      <c r="S4" s="79">
        <f>'Water Reading'!E4-'Water Reading'!E3</f>
        <v>77</v>
      </c>
      <c r="T4" s="87">
        <f>S4/C4</f>
        <v>0.228486646884273</v>
      </c>
      <c r="U4" s="79">
        <f>'Water Reading'!G4-'Water Reading'!G3</f>
        <v>18</v>
      </c>
      <c r="V4" s="87">
        <f>U4/C4</f>
        <v>5.3412462908011868E-2</v>
      </c>
      <c r="W4" s="80">
        <f>'Water Reading'!J4-'Water Reading'!J3</f>
        <v>5</v>
      </c>
      <c r="X4" s="87">
        <f>W4/C4</f>
        <v>1.483679525222552E-2</v>
      </c>
      <c r="Y4" s="59">
        <f t="shared" ref="Y4:Y34" si="0">E4+I4+K4+M4+O4+G4+Q4+S4+U4+W4</f>
        <v>295</v>
      </c>
      <c r="Z4" s="60">
        <f t="shared" ref="Z4:Z35" si="1">Y4/B4</f>
        <v>0.90490797546012269</v>
      </c>
    </row>
    <row r="5" spans="1:26" x14ac:dyDescent="0.25">
      <c r="A5" s="8">
        <f>'Water Reading'!A4</f>
        <v>44836</v>
      </c>
      <c r="B5" s="58">
        <f>TOTAL!I3</f>
        <v>288</v>
      </c>
      <c r="C5" s="59">
        <f>('Water Reading'!B5-'Water Reading'!B4)+('Water Reading'!C5-'Water Reading'!C4)</f>
        <v>331</v>
      </c>
      <c r="D5" s="60">
        <f t="shared" ref="D5:D34" si="2">C5/B5</f>
        <v>1.1493055555555556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109</v>
      </c>
      <c r="H5" s="78">
        <f t="shared" ref="H5:H34" si="4">G5/C5</f>
        <v>0.32930513595166161</v>
      </c>
      <c r="I5" s="79">
        <f>'Water Reading'!P5-'Water Reading'!P4</f>
        <v>14</v>
      </c>
      <c r="J5" s="61">
        <f t="shared" ref="J5:J34" si="5">I5/C5</f>
        <v>4.2296072507552872E-2</v>
      </c>
      <c r="K5" s="80">
        <f>('Water Reading'!I5-'Water Reading'!I4)-('Water Reading'!P5-'Water Reading'!P4)</f>
        <v>15</v>
      </c>
      <c r="L5" s="61">
        <f t="shared" ref="L5:L34" si="6">K5/C5</f>
        <v>4.5317220543806644E-2</v>
      </c>
      <c r="M5" s="79">
        <f>'Water Reading'!R5-'Water Reading'!R4</f>
        <v>5</v>
      </c>
      <c r="N5" s="81">
        <f t="shared" ref="N5:N34" si="7">M5/C5</f>
        <v>1.5105740181268883E-2</v>
      </c>
      <c r="O5" s="79">
        <f>'Water Reading'!Q5-'Water Reading'!Q4</f>
        <v>7</v>
      </c>
      <c r="P5" s="86">
        <f t="shared" ref="P5:P34" si="8">O5/C5</f>
        <v>2.1148036253776436E-2</v>
      </c>
      <c r="Q5" s="80">
        <f>'Water Reading'!F5-'Water Reading'!F4</f>
        <v>1</v>
      </c>
      <c r="R5" s="87">
        <f t="shared" ref="R5:R34" si="9">Q5/C5</f>
        <v>3.0211480362537764E-3</v>
      </c>
      <c r="S5" s="79">
        <f>'Water Reading'!E5-'Water Reading'!E4</f>
        <v>74</v>
      </c>
      <c r="T5" s="87">
        <f t="shared" ref="T5:T34" si="10">S5/C5</f>
        <v>0.22356495468277945</v>
      </c>
      <c r="U5" s="79">
        <f>'Water Reading'!G5-'Water Reading'!G4</f>
        <v>28</v>
      </c>
      <c r="V5" s="87">
        <f t="shared" ref="V5:V34" si="11">U5/C5</f>
        <v>8.4592145015105744E-2</v>
      </c>
      <c r="W5" s="80">
        <f>'Water Reading'!J5-'Water Reading'!J4</f>
        <v>6</v>
      </c>
      <c r="X5" s="87">
        <f t="shared" ref="X5:X34" si="12">W5/C5</f>
        <v>1.812688821752266E-2</v>
      </c>
      <c r="Y5" s="59">
        <f t="shared" si="0"/>
        <v>259</v>
      </c>
      <c r="Z5" s="60">
        <f t="shared" si="1"/>
        <v>0.89930555555555558</v>
      </c>
    </row>
    <row r="6" spans="1:26" x14ac:dyDescent="0.25">
      <c r="A6" s="8">
        <f>'Water Reading'!A5</f>
        <v>44837</v>
      </c>
      <c r="B6" s="58">
        <f>TOTAL!I4</f>
        <v>357</v>
      </c>
      <c r="C6" s="59">
        <f>('Water Reading'!B6-'Water Reading'!B5)+('Water Reading'!C6-'Water Reading'!C5)</f>
        <v>404</v>
      </c>
      <c r="D6" s="60">
        <f t="shared" si="2"/>
        <v>1.1316526610644257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255</v>
      </c>
      <c r="H6" s="78">
        <f t="shared" si="4"/>
        <v>0.63118811881188119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9</v>
      </c>
      <c r="L6" s="61">
        <f t="shared" si="6"/>
        <v>2.2277227722772276E-2</v>
      </c>
      <c r="M6" s="79">
        <f>'Water Reading'!R6-'Water Reading'!R5</f>
        <v>2</v>
      </c>
      <c r="N6" s="81">
        <f t="shared" si="7"/>
        <v>4.9504950495049506E-3</v>
      </c>
      <c r="O6" s="79">
        <f>'Water Reading'!Q6-'Water Reading'!Q5</f>
        <v>5</v>
      </c>
      <c r="P6" s="86">
        <f t="shared" si="8"/>
        <v>1.2376237623762377E-2</v>
      </c>
      <c r="Q6" s="80">
        <f>'Water Reading'!F6-'Water Reading'!F5</f>
        <v>0</v>
      </c>
      <c r="R6" s="87">
        <f t="shared" si="9"/>
        <v>0</v>
      </c>
      <c r="S6" s="79">
        <f>'Water Reading'!E6-'Water Reading'!E5</f>
        <v>66</v>
      </c>
      <c r="T6" s="87">
        <f t="shared" si="10"/>
        <v>0.16336633663366337</v>
      </c>
      <c r="U6" s="79">
        <f>'Water Reading'!G6-'Water Reading'!G5</f>
        <v>18</v>
      </c>
      <c r="V6" s="87">
        <f t="shared" si="11"/>
        <v>4.4554455445544552E-2</v>
      </c>
      <c r="W6" s="80">
        <f>'Water Reading'!J6-'Water Reading'!J5</f>
        <v>4</v>
      </c>
      <c r="X6" s="87">
        <f t="shared" si="12"/>
        <v>9.9009900990099011E-3</v>
      </c>
      <c r="Y6" s="59">
        <f t="shared" si="0"/>
        <v>359</v>
      </c>
      <c r="Z6" s="60">
        <f t="shared" si="1"/>
        <v>1.0056022408963585</v>
      </c>
    </row>
    <row r="7" spans="1:26" x14ac:dyDescent="0.25">
      <c r="A7" s="8">
        <f>'Water Reading'!A6</f>
        <v>44838</v>
      </c>
      <c r="B7" s="58">
        <f>TOTAL!I5</f>
        <v>341</v>
      </c>
      <c r="C7" s="59">
        <f>('Water Reading'!B7-'Water Reading'!B6)+('Water Reading'!C7-'Water Reading'!C6)</f>
        <v>288</v>
      </c>
      <c r="D7" s="60">
        <f t="shared" si="2"/>
        <v>0.84457478005865105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146</v>
      </c>
      <c r="H7" s="78">
        <f t="shared" si="4"/>
        <v>0.50694444444444442</v>
      </c>
      <c r="I7" s="79">
        <f>'Water Reading'!P7-'Water Reading'!P6</f>
        <v>16</v>
      </c>
      <c r="J7" s="61">
        <f t="shared" si="5"/>
        <v>5.5555555555555552E-2</v>
      </c>
      <c r="K7" s="80">
        <f>('Water Reading'!I7-'Water Reading'!I6)-('Water Reading'!P7-'Water Reading'!P6)</f>
        <v>7</v>
      </c>
      <c r="L7" s="61">
        <f t="shared" si="6"/>
        <v>2.4305555555555556E-2</v>
      </c>
      <c r="M7" s="79">
        <f>'Water Reading'!R7-'Water Reading'!R6</f>
        <v>2</v>
      </c>
      <c r="N7" s="81">
        <f t="shared" si="7"/>
        <v>6.9444444444444441E-3</v>
      </c>
      <c r="O7" s="79">
        <f>'Water Reading'!Q7-'Water Reading'!Q6</f>
        <v>2</v>
      </c>
      <c r="P7" s="86">
        <f t="shared" si="8"/>
        <v>6.9444444444444441E-3</v>
      </c>
      <c r="Q7" s="80">
        <f>'Water Reading'!F7-'Water Reading'!F6</f>
        <v>1</v>
      </c>
      <c r="R7" s="87">
        <f t="shared" si="9"/>
        <v>3.472222222222222E-3</v>
      </c>
      <c r="S7" s="79">
        <f>'Water Reading'!E7-'Water Reading'!E6</f>
        <v>64</v>
      </c>
      <c r="T7" s="87">
        <f t="shared" si="10"/>
        <v>0.22222222222222221</v>
      </c>
      <c r="U7" s="79">
        <f>'Water Reading'!G7-'Water Reading'!G6</f>
        <v>16</v>
      </c>
      <c r="V7" s="87">
        <f t="shared" si="11"/>
        <v>5.5555555555555552E-2</v>
      </c>
      <c r="W7" s="80">
        <f>'Water Reading'!J7-'Water Reading'!J6</f>
        <v>6</v>
      </c>
      <c r="X7" s="87">
        <f t="shared" si="12"/>
        <v>2.0833333333333332E-2</v>
      </c>
      <c r="Y7" s="59">
        <f t="shared" si="0"/>
        <v>260</v>
      </c>
      <c r="Z7" s="60">
        <f t="shared" si="1"/>
        <v>0.76246334310850439</v>
      </c>
    </row>
    <row r="8" spans="1:26" x14ac:dyDescent="0.25">
      <c r="A8" s="8">
        <f>'Water Reading'!A7</f>
        <v>44839</v>
      </c>
      <c r="B8" s="58">
        <f>TOTAL!I6</f>
        <v>283</v>
      </c>
      <c r="C8" s="59">
        <f>('Water Reading'!B8-'Water Reading'!B7)+('Water Reading'!C8-'Water Reading'!C7)</f>
        <v>315</v>
      </c>
      <c r="D8" s="60">
        <f t="shared" si="2"/>
        <v>1.1130742049469964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143</v>
      </c>
      <c r="H8" s="78">
        <f t="shared" si="4"/>
        <v>0.45396825396825397</v>
      </c>
      <c r="I8" s="79">
        <f>'Water Reading'!P8-'Water Reading'!P7</f>
        <v>0</v>
      </c>
      <c r="J8" s="61">
        <f t="shared" si="5"/>
        <v>0</v>
      </c>
      <c r="K8" s="80">
        <f>('Water Reading'!I8-'Water Reading'!I7)-('Water Reading'!P8-'Water Reading'!P7)</f>
        <v>19</v>
      </c>
      <c r="L8" s="61">
        <f t="shared" si="6"/>
        <v>6.0317460317460318E-2</v>
      </c>
      <c r="M8" s="79">
        <f>'Water Reading'!R8-'Water Reading'!R7</f>
        <v>5</v>
      </c>
      <c r="N8" s="81">
        <f t="shared" si="7"/>
        <v>1.5873015873015872E-2</v>
      </c>
      <c r="O8" s="79">
        <f>'Water Reading'!Q8-'Water Reading'!Q7</f>
        <v>7</v>
      </c>
      <c r="P8" s="86">
        <f t="shared" si="8"/>
        <v>2.2222222222222223E-2</v>
      </c>
      <c r="Q8" s="80">
        <f>'Water Reading'!F8-'Water Reading'!F7</f>
        <v>1</v>
      </c>
      <c r="R8" s="87">
        <f t="shared" si="9"/>
        <v>3.1746031746031746E-3</v>
      </c>
      <c r="S8" s="79">
        <f>'Water Reading'!E8-'Water Reading'!E7</f>
        <v>72</v>
      </c>
      <c r="T8" s="87">
        <f t="shared" si="10"/>
        <v>0.22857142857142856</v>
      </c>
      <c r="U8" s="79">
        <f>'Water Reading'!G8-'Water Reading'!G7</f>
        <v>21</v>
      </c>
      <c r="V8" s="87">
        <f t="shared" si="11"/>
        <v>6.6666666666666666E-2</v>
      </c>
      <c r="W8" s="80">
        <f>'Water Reading'!J8-'Water Reading'!J7</f>
        <v>6</v>
      </c>
      <c r="X8" s="87">
        <f t="shared" si="12"/>
        <v>1.9047619047619049E-2</v>
      </c>
      <c r="Y8" s="59">
        <f t="shared" si="0"/>
        <v>274</v>
      </c>
      <c r="Z8" s="60">
        <f t="shared" si="1"/>
        <v>0.96819787985865724</v>
      </c>
    </row>
    <row r="9" spans="1:26" x14ac:dyDescent="0.25">
      <c r="A9" s="8">
        <f>'Water Reading'!A8</f>
        <v>44840</v>
      </c>
      <c r="B9" s="58">
        <f>TOTAL!I7</f>
        <v>300</v>
      </c>
      <c r="C9" s="59">
        <f>('Water Reading'!B9-'Water Reading'!B8)+('Water Reading'!C9-'Water Reading'!C8)</f>
        <v>351</v>
      </c>
      <c r="D9" s="60">
        <f t="shared" si="2"/>
        <v>1.17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164</v>
      </c>
      <c r="H9" s="78">
        <f t="shared" si="4"/>
        <v>0.46723646723646722</v>
      </c>
      <c r="I9" s="79">
        <f>'Water Reading'!P9-'Water Reading'!P8</f>
        <v>31</v>
      </c>
      <c r="J9" s="61">
        <f t="shared" si="5"/>
        <v>8.8319088319088315E-2</v>
      </c>
      <c r="K9" s="80">
        <f>('Water Reading'!I9-'Water Reading'!I8)-('Water Reading'!P9-'Water Reading'!P8)</f>
        <v>11</v>
      </c>
      <c r="L9" s="61">
        <f t="shared" si="6"/>
        <v>3.1339031339031341E-2</v>
      </c>
      <c r="M9" s="125">
        <f>'Water Reading'!R9-'Water Reading'!R8</f>
        <v>3</v>
      </c>
      <c r="N9" s="81">
        <f t="shared" si="7"/>
        <v>8.5470085470085479E-3</v>
      </c>
      <c r="O9" s="79">
        <f>'Water Reading'!Q9-'Water Reading'!Q8</f>
        <v>2</v>
      </c>
      <c r="P9" s="86">
        <f t="shared" si="8"/>
        <v>5.6980056980056983E-3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71</v>
      </c>
      <c r="T9" s="87">
        <f t="shared" si="10"/>
        <v>0.20227920227920229</v>
      </c>
      <c r="U9" s="79">
        <f>'Water Reading'!G9-'Water Reading'!G8</f>
        <v>17</v>
      </c>
      <c r="V9" s="87">
        <f t="shared" si="11"/>
        <v>4.843304843304843E-2</v>
      </c>
      <c r="W9" s="80">
        <f>'Water Reading'!J9-'Water Reading'!J8</f>
        <v>5</v>
      </c>
      <c r="X9" s="87">
        <f t="shared" si="12"/>
        <v>1.4245014245014245E-2</v>
      </c>
      <c r="Y9" s="59">
        <f t="shared" si="0"/>
        <v>304</v>
      </c>
      <c r="Z9" s="60">
        <f t="shared" si="1"/>
        <v>1.0133333333333334</v>
      </c>
    </row>
    <row r="10" spans="1:26" x14ac:dyDescent="0.25">
      <c r="A10" s="8">
        <f>'Water Reading'!A9</f>
        <v>44841</v>
      </c>
      <c r="B10" s="58">
        <f>TOTAL!I8</f>
        <v>380</v>
      </c>
      <c r="C10" s="59">
        <f>('Water Reading'!B10-'Water Reading'!B9)+('Water Reading'!C10-'Water Reading'!C9)</f>
        <v>333</v>
      </c>
      <c r="D10" s="60">
        <f t="shared" si="2"/>
        <v>0.87631578947368416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176</v>
      </c>
      <c r="H10" s="78">
        <f t="shared" si="4"/>
        <v>0.5285285285285285</v>
      </c>
      <c r="I10" s="79">
        <f>'Water Reading'!P10-'Water Reading'!P9</f>
        <v>1</v>
      </c>
      <c r="J10" s="61">
        <f t="shared" si="5"/>
        <v>3.003003003003003E-3</v>
      </c>
      <c r="K10" s="117">
        <f>('Water Reading'!I10-'Water Reading'!I9)-('Water Reading'!P10-'Water Reading'!P9)</f>
        <v>8</v>
      </c>
      <c r="L10" s="61">
        <f t="shared" si="6"/>
        <v>2.4024024024024024E-2</v>
      </c>
      <c r="M10" s="79">
        <f>'Water Reading'!R10-'Water Reading'!R9</f>
        <v>1</v>
      </c>
      <c r="N10" s="81">
        <f t="shared" si="7"/>
        <v>3.003003003003003E-3</v>
      </c>
      <c r="O10" s="79">
        <f>'Water Reading'!Q10-'Water Reading'!Q9</f>
        <v>3</v>
      </c>
      <c r="P10" s="86">
        <f t="shared" si="8"/>
        <v>9.0090090090090089E-3</v>
      </c>
      <c r="Q10" s="80">
        <f>'Water Reading'!F10-'Water Reading'!F9</f>
        <v>1</v>
      </c>
      <c r="R10" s="87">
        <f t="shared" si="9"/>
        <v>3.003003003003003E-3</v>
      </c>
      <c r="S10" s="79">
        <f>'Water Reading'!E10-'Water Reading'!E9</f>
        <v>69</v>
      </c>
      <c r="T10" s="87">
        <f t="shared" si="10"/>
        <v>0.2072072072072072</v>
      </c>
      <c r="U10" s="79">
        <f>'Water Reading'!G10-'Water Reading'!G9</f>
        <v>22</v>
      </c>
      <c r="V10" s="87">
        <f t="shared" si="11"/>
        <v>6.6066066066066062E-2</v>
      </c>
      <c r="W10" s="80">
        <f>'Water Reading'!J10-'Water Reading'!J9</f>
        <v>6</v>
      </c>
      <c r="X10" s="87">
        <f t="shared" si="12"/>
        <v>1.8018018018018018E-2</v>
      </c>
      <c r="Y10" s="59">
        <f t="shared" si="0"/>
        <v>287</v>
      </c>
      <c r="Z10" s="60">
        <f t="shared" si="1"/>
        <v>0.75526315789473686</v>
      </c>
    </row>
    <row r="11" spans="1:26" x14ac:dyDescent="0.25">
      <c r="A11" s="8">
        <f>'Water Reading'!A10</f>
        <v>44842</v>
      </c>
      <c r="B11" s="58">
        <f>TOTAL!I9</f>
        <v>237</v>
      </c>
      <c r="C11" s="59">
        <f>('Water Reading'!B11-'Water Reading'!B10)+('Water Reading'!C11-'Water Reading'!C10)</f>
        <v>379</v>
      </c>
      <c r="D11" s="60">
        <f t="shared" si="2"/>
        <v>1.5991561181434599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182</v>
      </c>
      <c r="H11" s="78">
        <f t="shared" si="4"/>
        <v>0.48021108179419525</v>
      </c>
      <c r="I11" s="79">
        <f>'Water Reading'!P11-'Water Reading'!P10</f>
        <v>15</v>
      </c>
      <c r="J11" s="61">
        <f t="shared" si="5"/>
        <v>3.9577836411609502E-2</v>
      </c>
      <c r="K11" s="80">
        <f>('Water Reading'!I11-'Water Reading'!I10)-('Water Reading'!P11-'Water Reading'!P10)</f>
        <v>10</v>
      </c>
      <c r="L11" s="61">
        <f t="shared" si="6"/>
        <v>2.6385224274406333E-2</v>
      </c>
      <c r="M11" s="79">
        <f>'Water Reading'!R11-'Water Reading'!R10</f>
        <v>6</v>
      </c>
      <c r="N11" s="81">
        <f t="shared" si="7"/>
        <v>1.5831134564643801E-2</v>
      </c>
      <c r="O11" s="79">
        <f>'Water Reading'!Q11-'Water Reading'!Q10</f>
        <v>6</v>
      </c>
      <c r="P11" s="86">
        <f t="shared" si="8"/>
        <v>1.5831134564643801E-2</v>
      </c>
      <c r="Q11" s="80">
        <f>'Water Reading'!F11-'Water Reading'!F10</f>
        <v>0</v>
      </c>
      <c r="R11" s="87">
        <f t="shared" si="9"/>
        <v>0</v>
      </c>
      <c r="S11" s="79">
        <f>'Water Reading'!E11-'Water Reading'!E10</f>
        <v>75</v>
      </c>
      <c r="T11" s="87">
        <f t="shared" si="10"/>
        <v>0.19788918205804748</v>
      </c>
      <c r="U11" s="79">
        <f>'Water Reading'!G11-'Water Reading'!G10</f>
        <v>25</v>
      </c>
      <c r="V11" s="87">
        <f t="shared" si="11"/>
        <v>6.5963060686015831E-2</v>
      </c>
      <c r="W11" s="80">
        <f>'Water Reading'!J11-'Water Reading'!J10</f>
        <v>6</v>
      </c>
      <c r="X11" s="87">
        <f t="shared" si="12"/>
        <v>1.5831134564643801E-2</v>
      </c>
      <c r="Y11" s="59">
        <f t="shared" si="0"/>
        <v>325</v>
      </c>
      <c r="Z11" s="60">
        <f t="shared" si="1"/>
        <v>1.371308016877637</v>
      </c>
    </row>
    <row r="12" spans="1:26" x14ac:dyDescent="0.25">
      <c r="A12" s="8">
        <f>'Water Reading'!A11</f>
        <v>44843</v>
      </c>
      <c r="B12" s="58">
        <f>TOTAL!I10</f>
        <v>383</v>
      </c>
      <c r="C12" s="59">
        <f>('Water Reading'!B12-'Water Reading'!B11)+('Water Reading'!C12-'Water Reading'!C11)</f>
        <v>326</v>
      </c>
      <c r="D12" s="60">
        <f t="shared" si="2"/>
        <v>0.8511749347258486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147</v>
      </c>
      <c r="H12" s="78">
        <f t="shared" si="4"/>
        <v>0.45092024539877301</v>
      </c>
      <c r="I12" s="79">
        <f>'Water Reading'!P12-'Water Reading'!P11</f>
        <v>13</v>
      </c>
      <c r="J12" s="61">
        <f t="shared" si="5"/>
        <v>3.9877300613496931E-2</v>
      </c>
      <c r="K12" s="80">
        <f>('Water Reading'!I12-'Water Reading'!I11)-('Water Reading'!P12-'Water Reading'!P11)</f>
        <v>13</v>
      </c>
      <c r="L12" s="61">
        <f t="shared" si="6"/>
        <v>3.9877300613496931E-2</v>
      </c>
      <c r="M12" s="79">
        <f>'Water Reading'!R12-'Water Reading'!R11</f>
        <v>3</v>
      </c>
      <c r="N12" s="81">
        <f t="shared" si="7"/>
        <v>9.202453987730062E-3</v>
      </c>
      <c r="O12" s="79">
        <f>'Water Reading'!Q12-'Water Reading'!Q11</f>
        <v>4</v>
      </c>
      <c r="P12" s="86">
        <f t="shared" si="8"/>
        <v>1.2269938650306749E-2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66</v>
      </c>
      <c r="T12" s="87">
        <f t="shared" si="10"/>
        <v>0.20245398773006135</v>
      </c>
      <c r="U12" s="79">
        <f>'Water Reading'!G12-'Water Reading'!G11</f>
        <v>18</v>
      </c>
      <c r="V12" s="87">
        <f t="shared" si="11"/>
        <v>5.5214723926380369E-2</v>
      </c>
      <c r="W12" s="80">
        <f>'Water Reading'!J12-'Water Reading'!J11</f>
        <v>5</v>
      </c>
      <c r="X12" s="87">
        <f t="shared" si="12"/>
        <v>1.5337423312883436E-2</v>
      </c>
      <c r="Y12" s="59">
        <f t="shared" si="0"/>
        <v>269</v>
      </c>
      <c r="Z12" s="60">
        <f t="shared" si="1"/>
        <v>0.70234986945169708</v>
      </c>
    </row>
    <row r="13" spans="1:26" x14ac:dyDescent="0.25">
      <c r="A13" s="8">
        <f>'Water Reading'!A12</f>
        <v>44844</v>
      </c>
      <c r="B13" s="58">
        <f>TOTAL!I11</f>
        <v>405</v>
      </c>
      <c r="C13" s="59">
        <f>('Water Reading'!B13-'Water Reading'!B12)+('Water Reading'!C13-'Water Reading'!C12)</f>
        <v>415</v>
      </c>
      <c r="D13" s="60">
        <f t="shared" si="2"/>
        <v>1.0246913580246915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233</v>
      </c>
      <c r="H13" s="78">
        <f t="shared" si="4"/>
        <v>0.56144578313253013</v>
      </c>
      <c r="I13" s="79">
        <f>'Water Reading'!P13-'Water Reading'!P12</f>
        <v>6</v>
      </c>
      <c r="J13" s="61">
        <f t="shared" si="5"/>
        <v>1.4457831325301205E-2</v>
      </c>
      <c r="K13" s="80">
        <f>('Water Reading'!I13-'Water Reading'!I12)-('Water Reading'!P13-'Water Reading'!P12)</f>
        <v>10</v>
      </c>
      <c r="L13" s="61">
        <f t="shared" si="6"/>
        <v>2.4096385542168676E-2</v>
      </c>
      <c r="M13" s="79">
        <f>'Water Reading'!R13-'Water Reading'!R12</f>
        <v>3</v>
      </c>
      <c r="N13" s="81">
        <f t="shared" si="7"/>
        <v>7.2289156626506026E-3</v>
      </c>
      <c r="O13" s="79">
        <f>'Water Reading'!Q13-'Water Reading'!Q12</f>
        <v>3</v>
      </c>
      <c r="P13" s="86">
        <f t="shared" si="8"/>
        <v>7.2289156626506026E-3</v>
      </c>
      <c r="Q13" s="80">
        <f>'Water Reading'!F13-'Water Reading'!F12</f>
        <v>2</v>
      </c>
      <c r="R13" s="87">
        <f t="shared" si="9"/>
        <v>4.8192771084337354E-3</v>
      </c>
      <c r="S13" s="79">
        <f>'Water Reading'!E13-'Water Reading'!E12</f>
        <v>67</v>
      </c>
      <c r="T13" s="87">
        <f t="shared" si="10"/>
        <v>0.16144578313253011</v>
      </c>
      <c r="U13" s="79">
        <f>'Water Reading'!G13-'Water Reading'!G12</f>
        <v>23</v>
      </c>
      <c r="V13" s="87">
        <f t="shared" si="11"/>
        <v>5.5421686746987948E-2</v>
      </c>
      <c r="W13" s="80">
        <f>'Water Reading'!J13-'Water Reading'!J12</f>
        <v>5</v>
      </c>
      <c r="X13" s="87">
        <f t="shared" si="12"/>
        <v>1.2048192771084338E-2</v>
      </c>
      <c r="Y13" s="59">
        <f t="shared" si="0"/>
        <v>352</v>
      </c>
      <c r="Z13" s="60">
        <f t="shared" si="1"/>
        <v>0.8691358024691358</v>
      </c>
    </row>
    <row r="14" spans="1:26" x14ac:dyDescent="0.25">
      <c r="A14" s="8">
        <f>'Water Reading'!A13</f>
        <v>44845</v>
      </c>
      <c r="B14" s="58">
        <f>TOTAL!I12</f>
        <v>306</v>
      </c>
      <c r="C14" s="59">
        <f>('Water Reading'!B14-'Water Reading'!B13)+('Water Reading'!C14-'Water Reading'!C13)</f>
        <v>342</v>
      </c>
      <c r="D14" s="60">
        <f t="shared" si="2"/>
        <v>1.1176470588235294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163</v>
      </c>
      <c r="H14" s="78">
        <f t="shared" si="4"/>
        <v>0.47660818713450293</v>
      </c>
      <c r="I14" s="79">
        <f>'Water Reading'!P14-'Water Reading'!P13</f>
        <v>10</v>
      </c>
      <c r="J14" s="61">
        <f t="shared" si="5"/>
        <v>2.9239766081871343E-2</v>
      </c>
      <c r="K14" s="80">
        <f>('Water Reading'!I14-'Water Reading'!I13)-('Water Reading'!P14-'Water Reading'!P13)</f>
        <v>9</v>
      </c>
      <c r="L14" s="61">
        <f t="shared" si="6"/>
        <v>2.6315789473684209E-2</v>
      </c>
      <c r="M14" s="79">
        <f>'Water Reading'!R14-'Water Reading'!R13</f>
        <v>5</v>
      </c>
      <c r="N14" s="81">
        <f t="shared" si="7"/>
        <v>1.4619883040935672E-2</v>
      </c>
      <c r="O14" s="79">
        <f>'Water Reading'!Q14-'Water Reading'!Q13</f>
        <v>2</v>
      </c>
      <c r="P14" s="86">
        <f t="shared" si="8"/>
        <v>5.8479532163742687E-3</v>
      </c>
      <c r="Q14" s="80">
        <f>'Water Reading'!F14-'Water Reading'!F13</f>
        <v>13</v>
      </c>
      <c r="R14" s="87">
        <f t="shared" si="9"/>
        <v>3.8011695906432746E-2</v>
      </c>
      <c r="S14" s="79">
        <f>'Water Reading'!E14-'Water Reading'!E13</f>
        <v>70</v>
      </c>
      <c r="T14" s="87">
        <f t="shared" si="10"/>
        <v>0.2046783625730994</v>
      </c>
      <c r="U14" s="79">
        <f>'Water Reading'!G14-'Water Reading'!G13</f>
        <v>22</v>
      </c>
      <c r="V14" s="87">
        <f t="shared" si="11"/>
        <v>6.4327485380116955E-2</v>
      </c>
      <c r="W14" s="80">
        <f>'Water Reading'!J14-'Water Reading'!J13</f>
        <v>6</v>
      </c>
      <c r="X14" s="87">
        <f t="shared" si="12"/>
        <v>1.7543859649122806E-2</v>
      </c>
      <c r="Y14" s="59">
        <f t="shared" si="0"/>
        <v>300</v>
      </c>
      <c r="Z14" s="60">
        <f t="shared" si="1"/>
        <v>0.98039215686274506</v>
      </c>
    </row>
    <row r="15" spans="1:26" s="120" customFormat="1" x14ac:dyDescent="0.25">
      <c r="A15" s="128">
        <f>'Water Reading'!A14</f>
        <v>44846</v>
      </c>
      <c r="B15" s="129">
        <f>TOTAL!I13</f>
        <v>310</v>
      </c>
      <c r="C15" s="130">
        <f>('Water Reading'!B15-'Water Reading'!B14)+('Water Reading'!C15-'Water Reading'!C14)</f>
        <v>275</v>
      </c>
      <c r="D15" s="131">
        <f t="shared" si="2"/>
        <v>0.88709677419354838</v>
      </c>
      <c r="E15" s="132">
        <f>'Water Reading'!H15-'Water Reading'!H14</f>
        <v>0</v>
      </c>
      <c r="F15" s="133">
        <f t="shared" si="3"/>
        <v>0</v>
      </c>
      <c r="G15" s="82">
        <f>('Water Reading'!D15-'Water Reading'!D14)-('Water Reading'!R15-'Water Reading'!R14)-('Water Reading'!Q15-'Water Reading'!Q14)</f>
        <v>110</v>
      </c>
      <c r="H15" s="133">
        <f t="shared" si="4"/>
        <v>0.4</v>
      </c>
      <c r="I15" s="125">
        <f>'Water Reading'!P15-'Water Reading'!P14</f>
        <v>0</v>
      </c>
      <c r="J15" s="126">
        <f t="shared" si="5"/>
        <v>0</v>
      </c>
      <c r="K15" s="117">
        <f>('Water Reading'!I15-'Water Reading'!I14)-('Water Reading'!P15-'Water Reading'!P14)</f>
        <v>9</v>
      </c>
      <c r="L15" s="126">
        <f t="shared" si="6"/>
        <v>3.272727272727273E-2</v>
      </c>
      <c r="M15" s="125">
        <f>'Water Reading'!R15-'Water Reading'!R14</f>
        <v>3</v>
      </c>
      <c r="N15" s="134">
        <f t="shared" si="7"/>
        <v>1.090909090909091E-2</v>
      </c>
      <c r="O15" s="125">
        <f>'Water Reading'!Q15-'Water Reading'!Q14</f>
        <v>0</v>
      </c>
      <c r="P15" s="135">
        <f t="shared" si="8"/>
        <v>0</v>
      </c>
      <c r="Q15" s="117">
        <f>'Water Reading'!F15-'Water Reading'!F14</f>
        <v>1</v>
      </c>
      <c r="R15" s="136">
        <f t="shared" si="9"/>
        <v>3.6363636363636364E-3</v>
      </c>
      <c r="S15" s="125">
        <f>'Water Reading'!E15-'Water Reading'!E14</f>
        <v>64</v>
      </c>
      <c r="T15" s="136">
        <f t="shared" si="10"/>
        <v>0.23272727272727273</v>
      </c>
      <c r="U15" s="125">
        <f>'Water Reading'!G15-'Water Reading'!G14</f>
        <v>25</v>
      </c>
      <c r="V15" s="136">
        <f t="shared" si="11"/>
        <v>9.0909090909090912E-2</v>
      </c>
      <c r="W15" s="117">
        <f>'Water Reading'!J15-'Water Reading'!J14</f>
        <v>6</v>
      </c>
      <c r="X15" s="136">
        <f t="shared" si="12"/>
        <v>2.181818181818182E-2</v>
      </c>
      <c r="Y15" s="130">
        <f t="shared" si="0"/>
        <v>218</v>
      </c>
      <c r="Z15" s="131">
        <f t="shared" si="1"/>
        <v>0.70322580645161292</v>
      </c>
    </row>
    <row r="16" spans="1:26" x14ac:dyDescent="0.25">
      <c r="A16" s="8">
        <f>'Water Reading'!A15</f>
        <v>44847</v>
      </c>
      <c r="B16" s="58">
        <f>TOTAL!I14</f>
        <v>235</v>
      </c>
      <c r="C16" s="59">
        <f>('Water Reading'!B16-'Water Reading'!B15)+('Water Reading'!C16-'Water Reading'!C15)</f>
        <v>295</v>
      </c>
      <c r="D16" s="60">
        <f t="shared" si="2"/>
        <v>1.2553191489361701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102</v>
      </c>
      <c r="H16" s="78">
        <f t="shared" si="4"/>
        <v>0.34576271186440677</v>
      </c>
      <c r="I16" s="79">
        <f>'Water Reading'!P16-'Water Reading'!P15</f>
        <v>19</v>
      </c>
      <c r="J16" s="61">
        <f t="shared" si="5"/>
        <v>6.4406779661016947E-2</v>
      </c>
      <c r="K16" s="80">
        <f>('Water Reading'!I16-'Water Reading'!I15)-('Water Reading'!P16-'Water Reading'!P15)</f>
        <v>12</v>
      </c>
      <c r="L16" s="61">
        <f t="shared" si="6"/>
        <v>4.0677966101694912E-2</v>
      </c>
      <c r="M16" s="79">
        <f>'Water Reading'!R16-'Water Reading'!R15</f>
        <v>6</v>
      </c>
      <c r="N16" s="81">
        <f t="shared" si="7"/>
        <v>2.0338983050847456E-2</v>
      </c>
      <c r="O16" s="79">
        <f>'Water Reading'!Q16-'Water Reading'!Q15</f>
        <v>0</v>
      </c>
      <c r="P16" s="86">
        <f t="shared" si="8"/>
        <v>0</v>
      </c>
      <c r="Q16" s="80">
        <f>'Water Reading'!F16-'Water Reading'!F15</f>
        <v>1</v>
      </c>
      <c r="R16" s="87">
        <f t="shared" si="9"/>
        <v>3.3898305084745762E-3</v>
      </c>
      <c r="S16" s="79">
        <f>'Water Reading'!E16-'Water Reading'!E15</f>
        <v>75</v>
      </c>
      <c r="T16" s="87">
        <f t="shared" si="10"/>
        <v>0.25423728813559321</v>
      </c>
      <c r="U16" s="79">
        <f>'Water Reading'!G16-'Water Reading'!G15</f>
        <v>26</v>
      </c>
      <c r="V16" s="87">
        <f t="shared" si="11"/>
        <v>8.8135593220338981E-2</v>
      </c>
      <c r="W16" s="80">
        <f>'Water Reading'!J16-'Water Reading'!J15</f>
        <v>6</v>
      </c>
      <c r="X16" s="87">
        <f t="shared" si="12"/>
        <v>2.0338983050847456E-2</v>
      </c>
      <c r="Y16" s="59">
        <f t="shared" si="0"/>
        <v>247</v>
      </c>
      <c r="Z16" s="60">
        <f t="shared" si="1"/>
        <v>1.0510638297872341</v>
      </c>
    </row>
    <row r="17" spans="1:26" x14ac:dyDescent="0.25">
      <c r="A17" s="8">
        <f>'Water Reading'!A16</f>
        <v>44848</v>
      </c>
      <c r="B17" s="58">
        <f>TOTAL!I15</f>
        <v>270</v>
      </c>
      <c r="C17" s="59">
        <f>('Water Reading'!B17-'Water Reading'!B16)+('Water Reading'!C17-'Water Reading'!C16)</f>
        <v>255</v>
      </c>
      <c r="D17" s="60">
        <f t="shared" si="2"/>
        <v>0.94444444444444442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74</v>
      </c>
      <c r="H17" s="78">
        <f t="shared" si="4"/>
        <v>0.29019607843137257</v>
      </c>
      <c r="I17" s="79">
        <f>'Water Reading'!P17-'Water Reading'!P16</f>
        <v>0</v>
      </c>
      <c r="J17" s="126">
        <f t="shared" si="5"/>
        <v>0</v>
      </c>
      <c r="K17" s="80">
        <f>('Water Reading'!I17-'Water Reading'!I16)-('Water Reading'!P17-'Water Reading'!P16)</f>
        <v>12</v>
      </c>
      <c r="L17" s="61">
        <f t="shared" si="6"/>
        <v>4.7058823529411764E-2</v>
      </c>
      <c r="M17" s="79">
        <f>'Water Reading'!R17-'Water Reading'!R16</f>
        <v>2</v>
      </c>
      <c r="N17" s="81">
        <f t="shared" si="7"/>
        <v>7.8431372549019607E-3</v>
      </c>
      <c r="O17" s="79">
        <f>'Water Reading'!Q17-'Water Reading'!Q16</f>
        <v>4</v>
      </c>
      <c r="P17" s="86">
        <f t="shared" si="8"/>
        <v>1.5686274509803921E-2</v>
      </c>
      <c r="Q17" s="80">
        <f>'Water Reading'!F17-'Water Reading'!F16</f>
        <v>3</v>
      </c>
      <c r="R17" s="87">
        <f t="shared" si="9"/>
        <v>1.1764705882352941E-2</v>
      </c>
      <c r="S17" s="79">
        <f>'Water Reading'!E17-'Water Reading'!E16</f>
        <v>64</v>
      </c>
      <c r="T17" s="87">
        <f t="shared" si="10"/>
        <v>0.25098039215686274</v>
      </c>
      <c r="U17" s="79">
        <f>'Water Reading'!G17-'Water Reading'!G16</f>
        <v>21</v>
      </c>
      <c r="V17" s="87">
        <f t="shared" si="11"/>
        <v>8.2352941176470587E-2</v>
      </c>
      <c r="W17" s="80">
        <f>'Water Reading'!J17-'Water Reading'!J16</f>
        <v>6</v>
      </c>
      <c r="X17" s="87">
        <f t="shared" si="12"/>
        <v>2.3529411764705882E-2</v>
      </c>
      <c r="Y17" s="59">
        <f t="shared" si="0"/>
        <v>186</v>
      </c>
      <c r="Z17" s="60">
        <f t="shared" si="1"/>
        <v>0.68888888888888888</v>
      </c>
    </row>
    <row r="18" spans="1:26" x14ac:dyDescent="0.25">
      <c r="A18" s="8">
        <f>'Water Reading'!A17</f>
        <v>44849</v>
      </c>
      <c r="B18" s="58">
        <f>TOTAL!I16</f>
        <v>0</v>
      </c>
      <c r="C18" s="59">
        <f>('Water Reading'!B18-'Water Reading'!B17)+('Water Reading'!C18-'Water Reading'!C17)</f>
        <v>-41894</v>
      </c>
      <c r="D18" s="60" t="e">
        <f t="shared" si="2"/>
        <v>#DIV/0!</v>
      </c>
      <c r="E18" s="77">
        <f>'Water Reading'!H18-'Water Reading'!H17</f>
        <v>-62092</v>
      </c>
      <c r="F18" s="78">
        <f t="shared" si="3"/>
        <v>1.4821215448512914</v>
      </c>
      <c r="G18" s="82">
        <f>('Water Reading'!D18-'Water Reading'!D17)-('Water Reading'!R18-'Water Reading'!R17)-('Water Reading'!Q18-'Water Reading'!Q17)</f>
        <v>-286322</v>
      </c>
      <c r="H18" s="78">
        <f t="shared" si="4"/>
        <v>6.8344392991836536</v>
      </c>
      <c r="I18" s="79">
        <f>'Water Reading'!P18-'Water Reading'!P17</f>
        <v>-32241</v>
      </c>
      <c r="J18" s="61">
        <f t="shared" si="5"/>
        <v>0.76958514345729701</v>
      </c>
      <c r="K18" s="80">
        <f>('Water Reading'!I18-'Water Reading'!I17)-('Water Reading'!P18-'Water Reading'!P17)</f>
        <v>-46792</v>
      </c>
      <c r="L18" s="61">
        <f t="shared" si="6"/>
        <v>1.1169141165799399</v>
      </c>
      <c r="M18" s="79">
        <f>'Water Reading'!R18-'Water Reading'!R17</f>
        <v>-688</v>
      </c>
      <c r="N18" s="81">
        <f t="shared" si="7"/>
        <v>1.6422399388933976E-2</v>
      </c>
      <c r="O18" s="79">
        <f>'Water Reading'!Q18-'Water Reading'!Q17</f>
        <v>-2102</v>
      </c>
      <c r="P18" s="86">
        <f t="shared" si="8"/>
        <v>5.017424929584189E-2</v>
      </c>
      <c r="Q18" s="80">
        <f>'Water Reading'!F18-'Water Reading'!F17</f>
        <v>-67288</v>
      </c>
      <c r="R18" s="87">
        <f t="shared" si="9"/>
        <v>1.6061488518642288</v>
      </c>
      <c r="S18" s="79">
        <f>'Water Reading'!E18-'Water Reading'!E17</f>
        <v>-280175</v>
      </c>
      <c r="T18" s="87">
        <f t="shared" si="10"/>
        <v>6.687711844178164</v>
      </c>
      <c r="U18" s="79">
        <f>'Water Reading'!G18-'Water Reading'!G17</f>
        <v>-122709</v>
      </c>
      <c r="V18" s="87">
        <f t="shared" si="11"/>
        <v>2.9290351840359001</v>
      </c>
      <c r="W18" s="80">
        <f>'Water Reading'!J18-'Water Reading'!J17</f>
        <v>-23593</v>
      </c>
      <c r="X18" s="87">
        <f t="shared" si="12"/>
        <v>0.56315940230104544</v>
      </c>
      <c r="Y18" s="59">
        <f t="shared" si="0"/>
        <v>-924002</v>
      </c>
      <c r="Z18" s="60" t="e">
        <f t="shared" si="1"/>
        <v>#DIV/0!</v>
      </c>
    </row>
    <row r="19" spans="1:26" x14ac:dyDescent="0.25">
      <c r="A19" s="8">
        <f>'Water Reading'!A18</f>
        <v>44850</v>
      </c>
      <c r="B19" s="58">
        <f>TOTAL!I17</f>
        <v>0</v>
      </c>
      <c r="C19" s="59">
        <f>('Water Reading'!B19-'Water Reading'!B18)+('Water Reading'!C19-'Water Reading'!C18)</f>
        <v>0</v>
      </c>
      <c r="D19" s="60" t="e">
        <f t="shared" si="2"/>
        <v>#DIV/0!</v>
      </c>
      <c r="E19" s="77">
        <f>'Water Reading'!H19-'Water Reading'!H18</f>
        <v>0</v>
      </c>
      <c r="F19" s="78" t="e">
        <f t="shared" si="3"/>
        <v>#DIV/0!</v>
      </c>
      <c r="G19" s="82">
        <f>('Water Reading'!D19-'Water Reading'!D18)-('Water Reading'!R19-'Water Reading'!R18)-('Water Reading'!Q19-'Water Reading'!Q18)</f>
        <v>0</v>
      </c>
      <c r="H19" s="78" t="e">
        <f t="shared" si="4"/>
        <v>#DIV/0!</v>
      </c>
      <c r="I19" s="79">
        <f>'Water Reading'!P19-'Water Reading'!P18</f>
        <v>0</v>
      </c>
      <c r="J19" s="61" t="e">
        <f t="shared" si="5"/>
        <v>#DIV/0!</v>
      </c>
      <c r="K19" s="80">
        <f>('Water Reading'!I19-'Water Reading'!I18)-('Water Reading'!P19-'Water Reading'!P18)</f>
        <v>0</v>
      </c>
      <c r="L19" s="61" t="e">
        <f t="shared" si="6"/>
        <v>#DIV/0!</v>
      </c>
      <c r="M19" s="79">
        <f>'Water Reading'!R19-'Water Reading'!R18</f>
        <v>0</v>
      </c>
      <c r="N19" s="81" t="e">
        <f t="shared" si="7"/>
        <v>#DIV/0!</v>
      </c>
      <c r="O19" s="79">
        <f>'Water Reading'!Q19-'Water Reading'!Q18</f>
        <v>0</v>
      </c>
      <c r="P19" s="86" t="e">
        <f t="shared" si="8"/>
        <v>#DIV/0!</v>
      </c>
      <c r="Q19" s="80">
        <f>'Water Reading'!F19-'Water Reading'!F18</f>
        <v>0</v>
      </c>
      <c r="R19" s="87" t="e">
        <f t="shared" si="9"/>
        <v>#DIV/0!</v>
      </c>
      <c r="S19" s="79">
        <f>'Water Reading'!E19-'Water Reading'!E18</f>
        <v>0</v>
      </c>
      <c r="T19" s="87" t="e">
        <f t="shared" si="10"/>
        <v>#DIV/0!</v>
      </c>
      <c r="U19" s="79">
        <f>'Water Reading'!G19-'Water Reading'!G18</f>
        <v>0</v>
      </c>
      <c r="V19" s="87" t="e">
        <f t="shared" si="11"/>
        <v>#DIV/0!</v>
      </c>
      <c r="W19" s="80">
        <f>'Water Reading'!J19-'Water Reading'!J18</f>
        <v>0</v>
      </c>
      <c r="X19" s="87" t="e">
        <f t="shared" si="12"/>
        <v>#DIV/0!</v>
      </c>
      <c r="Y19" s="59">
        <f t="shared" si="0"/>
        <v>0</v>
      </c>
      <c r="Z19" s="60" t="e">
        <f t="shared" si="1"/>
        <v>#DIV/0!</v>
      </c>
    </row>
    <row r="20" spans="1:26" x14ac:dyDescent="0.25">
      <c r="A20" s="8">
        <f>'Water Reading'!A19</f>
        <v>44851</v>
      </c>
      <c r="B20" s="58">
        <f>TOTAL!I18</f>
        <v>0</v>
      </c>
      <c r="C20" s="59">
        <f>('Water Reading'!B20-'Water Reading'!B19)+('Water Reading'!C20-'Water Reading'!C19)</f>
        <v>0</v>
      </c>
      <c r="D20" s="60" t="e">
        <f t="shared" si="2"/>
        <v>#DIV/0!</v>
      </c>
      <c r="E20" s="77">
        <f>'Water Reading'!H20-'Water Reading'!H19</f>
        <v>0</v>
      </c>
      <c r="F20" s="78" t="e">
        <f t="shared" si="3"/>
        <v>#DIV/0!</v>
      </c>
      <c r="G20" s="82">
        <f>('Water Reading'!D20-'Water Reading'!D19)-('Water Reading'!R20-'Water Reading'!R19)-('Water Reading'!Q20-'Water Reading'!Q19)</f>
        <v>0</v>
      </c>
      <c r="H20" s="78" t="e">
        <f t="shared" si="4"/>
        <v>#DIV/0!</v>
      </c>
      <c r="I20" s="79">
        <f>'Water Reading'!P20-'Water Reading'!P19</f>
        <v>0</v>
      </c>
      <c r="J20" s="61" t="e">
        <f t="shared" si="5"/>
        <v>#DIV/0!</v>
      </c>
      <c r="K20" s="80">
        <f>('Water Reading'!I20-'Water Reading'!I19)-('Water Reading'!P20-'Water Reading'!P19)</f>
        <v>0</v>
      </c>
      <c r="L20" s="61" t="e">
        <f t="shared" si="6"/>
        <v>#DIV/0!</v>
      </c>
      <c r="M20" s="79">
        <f>'Water Reading'!R20-'Water Reading'!R19</f>
        <v>0</v>
      </c>
      <c r="N20" s="81" t="e">
        <f t="shared" si="7"/>
        <v>#DIV/0!</v>
      </c>
      <c r="O20" s="79">
        <f>'Water Reading'!Q20-'Water Reading'!Q19</f>
        <v>0</v>
      </c>
      <c r="P20" s="86" t="e">
        <f t="shared" si="8"/>
        <v>#DIV/0!</v>
      </c>
      <c r="Q20" s="80">
        <f>'Water Reading'!F20-'Water Reading'!F19</f>
        <v>0</v>
      </c>
      <c r="R20" s="87" t="e">
        <f t="shared" si="9"/>
        <v>#DIV/0!</v>
      </c>
      <c r="S20" s="79">
        <f>'Water Reading'!E20-'Water Reading'!E19</f>
        <v>0</v>
      </c>
      <c r="T20" s="87" t="e">
        <f t="shared" si="10"/>
        <v>#DIV/0!</v>
      </c>
      <c r="U20" s="79">
        <f>'Water Reading'!G20-'Water Reading'!G19</f>
        <v>0</v>
      </c>
      <c r="V20" s="87" t="e">
        <f t="shared" si="11"/>
        <v>#DIV/0!</v>
      </c>
      <c r="W20" s="117">
        <f>'Water Reading'!J20-'Water Reading'!J19</f>
        <v>0</v>
      </c>
      <c r="X20" s="87" t="e">
        <f t="shared" si="12"/>
        <v>#DIV/0!</v>
      </c>
      <c r="Y20" s="59">
        <f t="shared" si="0"/>
        <v>0</v>
      </c>
      <c r="Z20" s="60" t="e">
        <f t="shared" si="1"/>
        <v>#DIV/0!</v>
      </c>
    </row>
    <row r="21" spans="1:26" x14ac:dyDescent="0.25">
      <c r="A21" s="8">
        <f>'Water Reading'!A20</f>
        <v>44852</v>
      </c>
      <c r="B21" s="58">
        <f>TOTAL!I19</f>
        <v>0</v>
      </c>
      <c r="C21" s="59">
        <f>('Water Reading'!B21-'Water Reading'!B20)+('Water Reading'!C21-'Water Reading'!C20)</f>
        <v>0</v>
      </c>
      <c r="D21" s="60" t="e">
        <f t="shared" si="2"/>
        <v>#DIV/0!</v>
      </c>
      <c r="E21" s="77">
        <f>'Water Reading'!H21-'Water Reading'!H20</f>
        <v>0</v>
      </c>
      <c r="F21" s="78" t="e">
        <f t="shared" si="3"/>
        <v>#DIV/0!</v>
      </c>
      <c r="G21" s="82">
        <f>('Water Reading'!D21-'Water Reading'!D20)-('Water Reading'!R21-'Water Reading'!R20)-('Water Reading'!Q21-'Water Reading'!Q20)</f>
        <v>0</v>
      </c>
      <c r="H21" s="78" t="e">
        <f t="shared" si="4"/>
        <v>#DIV/0!</v>
      </c>
      <c r="I21" s="79">
        <f>'Water Reading'!P21-'Water Reading'!P20</f>
        <v>0</v>
      </c>
      <c r="J21" s="61" t="e">
        <f t="shared" si="5"/>
        <v>#DIV/0!</v>
      </c>
      <c r="K21" s="80">
        <f>('Water Reading'!I21-'Water Reading'!I20)-('Water Reading'!P21-'Water Reading'!P20)</f>
        <v>0</v>
      </c>
      <c r="L21" s="61" t="e">
        <f t="shared" si="6"/>
        <v>#DIV/0!</v>
      </c>
      <c r="M21" s="79">
        <f>'Water Reading'!R21-'Water Reading'!R20</f>
        <v>0</v>
      </c>
      <c r="N21" s="81" t="e">
        <f t="shared" si="7"/>
        <v>#DIV/0!</v>
      </c>
      <c r="O21" s="79">
        <f>'Water Reading'!Q21-'Water Reading'!Q20</f>
        <v>0</v>
      </c>
      <c r="P21" s="86" t="e">
        <f t="shared" si="8"/>
        <v>#DIV/0!</v>
      </c>
      <c r="Q21" s="80">
        <f>'Water Reading'!F21-'Water Reading'!F20</f>
        <v>0</v>
      </c>
      <c r="R21" s="87" t="e">
        <f t="shared" si="9"/>
        <v>#DIV/0!</v>
      </c>
      <c r="S21" s="79">
        <f>'Water Reading'!E21-'Water Reading'!E20</f>
        <v>0</v>
      </c>
      <c r="T21" s="87" t="e">
        <f t="shared" si="10"/>
        <v>#DIV/0!</v>
      </c>
      <c r="U21" s="79">
        <f>'Water Reading'!G21-'Water Reading'!G20</f>
        <v>0</v>
      </c>
      <c r="V21" s="87" t="e">
        <f t="shared" si="11"/>
        <v>#DIV/0!</v>
      </c>
      <c r="W21" s="80">
        <f>'Water Reading'!J21-'Water Reading'!J20</f>
        <v>0</v>
      </c>
      <c r="X21" s="87" t="e">
        <f t="shared" si="12"/>
        <v>#DIV/0!</v>
      </c>
      <c r="Y21" s="59">
        <f t="shared" si="0"/>
        <v>0</v>
      </c>
      <c r="Z21" s="60" t="e">
        <f t="shared" si="1"/>
        <v>#DIV/0!</v>
      </c>
    </row>
    <row r="22" spans="1:26" x14ac:dyDescent="0.25">
      <c r="A22" s="8">
        <f>'Water Reading'!A21</f>
        <v>44853</v>
      </c>
      <c r="B22" s="58">
        <f>TOTAL!I20</f>
        <v>0</v>
      </c>
      <c r="C22" s="59">
        <f>('Water Reading'!B22-'Water Reading'!B21)+('Water Reading'!C22-'Water Reading'!C21)</f>
        <v>0</v>
      </c>
      <c r="D22" s="60" t="e">
        <f t="shared" si="2"/>
        <v>#DIV/0!</v>
      </c>
      <c r="E22" s="77">
        <f>'Water Reading'!H22-'Water Reading'!H21</f>
        <v>0</v>
      </c>
      <c r="F22" s="78" t="e">
        <f t="shared" si="3"/>
        <v>#DIV/0!</v>
      </c>
      <c r="G22" s="82">
        <f>('Water Reading'!D22-'Water Reading'!D21)-('Water Reading'!R22-'Water Reading'!R21)-('Water Reading'!Q22-'Water Reading'!Q21)</f>
        <v>0</v>
      </c>
      <c r="H22" s="78" t="e">
        <f t="shared" si="4"/>
        <v>#DIV/0!</v>
      </c>
      <c r="I22" s="125">
        <f>'Water Reading'!P22-'Water Reading'!P21</f>
        <v>0</v>
      </c>
      <c r="J22" s="61" t="e">
        <f t="shared" si="5"/>
        <v>#DIV/0!</v>
      </c>
      <c r="K22" s="80">
        <f>('Water Reading'!I22-'Water Reading'!I21)-('Water Reading'!P22-'Water Reading'!P21)</f>
        <v>0</v>
      </c>
      <c r="L22" s="61" t="e">
        <f t="shared" si="6"/>
        <v>#DIV/0!</v>
      </c>
      <c r="M22" s="79">
        <f>'Water Reading'!R22-'Water Reading'!R21</f>
        <v>0</v>
      </c>
      <c r="N22" s="81" t="e">
        <f t="shared" si="7"/>
        <v>#DIV/0!</v>
      </c>
      <c r="O22" s="79">
        <f>'Water Reading'!Q22-'Water Reading'!Q21</f>
        <v>0</v>
      </c>
      <c r="P22" s="86" t="e">
        <f t="shared" si="8"/>
        <v>#DIV/0!</v>
      </c>
      <c r="Q22" s="80">
        <f>'Water Reading'!F22-'Water Reading'!F21</f>
        <v>0</v>
      </c>
      <c r="R22" s="87" t="e">
        <f t="shared" si="9"/>
        <v>#DIV/0!</v>
      </c>
      <c r="S22" s="79">
        <f>'Water Reading'!E22-'Water Reading'!E21</f>
        <v>0</v>
      </c>
      <c r="T22" s="87" t="e">
        <f t="shared" si="10"/>
        <v>#DIV/0!</v>
      </c>
      <c r="U22" s="79">
        <f>'Water Reading'!G22-'Water Reading'!G21</f>
        <v>0</v>
      </c>
      <c r="V22" s="87" t="e">
        <f t="shared" si="11"/>
        <v>#DIV/0!</v>
      </c>
      <c r="W22" s="80">
        <f>'Water Reading'!J22-'Water Reading'!J21</f>
        <v>0</v>
      </c>
      <c r="X22" s="87" t="e">
        <f t="shared" si="12"/>
        <v>#DIV/0!</v>
      </c>
      <c r="Y22" s="59">
        <f t="shared" si="0"/>
        <v>0</v>
      </c>
      <c r="Z22" s="60" t="e">
        <f t="shared" si="1"/>
        <v>#DIV/0!</v>
      </c>
    </row>
    <row r="23" spans="1:26" x14ac:dyDescent="0.25">
      <c r="A23" s="8">
        <f>'Water Reading'!A22</f>
        <v>44854</v>
      </c>
      <c r="B23" s="58">
        <f>TOTAL!I21</f>
        <v>0</v>
      </c>
      <c r="C23" s="59">
        <f>('Water Reading'!B23-'Water Reading'!B22)+('Water Reading'!C23-'Water Reading'!C22)</f>
        <v>0</v>
      </c>
      <c r="D23" s="60" t="e">
        <f t="shared" si="2"/>
        <v>#DIV/0!</v>
      </c>
      <c r="E23" s="77">
        <f>'Water Reading'!H23-'Water Reading'!H22</f>
        <v>0</v>
      </c>
      <c r="F23" s="78" t="e">
        <f t="shared" si="3"/>
        <v>#DIV/0!</v>
      </c>
      <c r="G23" s="82">
        <f>('Water Reading'!D23-'Water Reading'!D22)-('Water Reading'!R23-'Water Reading'!R22)-('Water Reading'!Q23-'Water Reading'!Q22)</f>
        <v>0</v>
      </c>
      <c r="H23" s="78" t="e">
        <f t="shared" si="4"/>
        <v>#DIV/0!</v>
      </c>
      <c r="I23" s="125">
        <f>'Water Reading'!P23-'Water Reading'!P22</f>
        <v>0</v>
      </c>
      <c r="J23" s="61" t="e">
        <f t="shared" si="5"/>
        <v>#DIV/0!</v>
      </c>
      <c r="K23" s="80">
        <f>('Water Reading'!I23-'Water Reading'!I22)-('Water Reading'!P23-'Water Reading'!P22)</f>
        <v>0</v>
      </c>
      <c r="L23" s="61" t="e">
        <f t="shared" si="6"/>
        <v>#DIV/0!</v>
      </c>
      <c r="M23" s="79">
        <f>'Water Reading'!R23-'Water Reading'!R22</f>
        <v>0</v>
      </c>
      <c r="N23" s="81" t="e">
        <f t="shared" si="7"/>
        <v>#DIV/0!</v>
      </c>
      <c r="O23" s="79">
        <f>'Water Reading'!Q23-'Water Reading'!Q22</f>
        <v>0</v>
      </c>
      <c r="P23" s="86" t="e">
        <f t="shared" si="8"/>
        <v>#DIV/0!</v>
      </c>
      <c r="Q23" s="80">
        <f>'Water Reading'!F23-'Water Reading'!F22</f>
        <v>0</v>
      </c>
      <c r="R23" s="87" t="e">
        <f t="shared" si="9"/>
        <v>#DIV/0!</v>
      </c>
      <c r="S23" s="79">
        <f>'Water Reading'!E23-'Water Reading'!E22</f>
        <v>0</v>
      </c>
      <c r="T23" s="87" t="e">
        <f t="shared" si="10"/>
        <v>#DIV/0!</v>
      </c>
      <c r="U23" s="79">
        <f>'Water Reading'!G23-'Water Reading'!G22</f>
        <v>0</v>
      </c>
      <c r="V23" s="87" t="e">
        <f t="shared" si="11"/>
        <v>#DIV/0!</v>
      </c>
      <c r="W23" s="80">
        <f>'Water Reading'!J23-'Water Reading'!J22</f>
        <v>0</v>
      </c>
      <c r="X23" s="87" t="e">
        <f t="shared" si="12"/>
        <v>#DIV/0!</v>
      </c>
      <c r="Y23" s="59">
        <f t="shared" si="0"/>
        <v>0</v>
      </c>
      <c r="Z23" s="60" t="e">
        <f t="shared" si="1"/>
        <v>#DIV/0!</v>
      </c>
    </row>
    <row r="24" spans="1:26" x14ac:dyDescent="0.25">
      <c r="A24" s="8">
        <f>'Water Reading'!A23</f>
        <v>44855</v>
      </c>
      <c r="B24" s="58">
        <f>TOTAL!I22</f>
        <v>0</v>
      </c>
      <c r="C24" s="59">
        <f>('Water Reading'!B24-'Water Reading'!B23)+('Water Reading'!C24-'Water Reading'!C23)</f>
        <v>0</v>
      </c>
      <c r="D24" s="60" t="e">
        <f t="shared" si="2"/>
        <v>#DIV/0!</v>
      </c>
      <c r="E24" s="77">
        <f>'Water Reading'!H24-'Water Reading'!H23</f>
        <v>0</v>
      </c>
      <c r="F24" s="78" t="e">
        <f t="shared" si="3"/>
        <v>#DIV/0!</v>
      </c>
      <c r="G24" s="82">
        <f>('Water Reading'!D24-'Water Reading'!D23)-('Water Reading'!R24-'Water Reading'!R23)-('Water Reading'!Q24-'Water Reading'!Q23)</f>
        <v>0</v>
      </c>
      <c r="H24" s="78" t="e">
        <f t="shared" si="4"/>
        <v>#DIV/0!</v>
      </c>
      <c r="I24" s="79">
        <f>'Water Reading'!P24-'Water Reading'!P23</f>
        <v>0</v>
      </c>
      <c r="J24" s="61" t="e">
        <f t="shared" si="5"/>
        <v>#DIV/0!</v>
      </c>
      <c r="K24" s="80">
        <f>('Water Reading'!I24-'Water Reading'!I23)-('Water Reading'!P24-'Water Reading'!P23)</f>
        <v>0</v>
      </c>
      <c r="L24" s="61" t="e">
        <f t="shared" si="6"/>
        <v>#DIV/0!</v>
      </c>
      <c r="M24" s="79">
        <f>'Water Reading'!R24-'Water Reading'!R23</f>
        <v>0</v>
      </c>
      <c r="N24" s="81" t="e">
        <f t="shared" si="7"/>
        <v>#DIV/0!</v>
      </c>
      <c r="O24" s="79">
        <f>'Water Reading'!Q24-'Water Reading'!Q23</f>
        <v>0</v>
      </c>
      <c r="P24" s="86" t="e">
        <f t="shared" si="8"/>
        <v>#DIV/0!</v>
      </c>
      <c r="Q24" s="80">
        <f>'Water Reading'!F24-'Water Reading'!F23</f>
        <v>0</v>
      </c>
      <c r="R24" s="87" t="e">
        <f t="shared" si="9"/>
        <v>#DIV/0!</v>
      </c>
      <c r="S24" s="79">
        <f>'Water Reading'!E24-'Water Reading'!E23</f>
        <v>0</v>
      </c>
      <c r="T24" s="87" t="e">
        <f t="shared" si="10"/>
        <v>#DIV/0!</v>
      </c>
      <c r="U24" s="79">
        <f>'Water Reading'!G24-'Water Reading'!G23</f>
        <v>0</v>
      </c>
      <c r="V24" s="87" t="e">
        <f t="shared" si="11"/>
        <v>#DIV/0!</v>
      </c>
      <c r="W24" s="80">
        <f>'Water Reading'!J24-'Water Reading'!J23</f>
        <v>0</v>
      </c>
      <c r="X24" s="87" t="e">
        <f t="shared" si="12"/>
        <v>#DIV/0!</v>
      </c>
      <c r="Y24" s="59">
        <f t="shared" si="0"/>
        <v>0</v>
      </c>
      <c r="Z24" s="60" t="e">
        <f t="shared" si="1"/>
        <v>#DIV/0!</v>
      </c>
    </row>
    <row r="25" spans="1:26" x14ac:dyDescent="0.25">
      <c r="A25" s="8">
        <f>'Water Reading'!A24</f>
        <v>44856</v>
      </c>
      <c r="B25" s="58">
        <f>TOTAL!I23</f>
        <v>0</v>
      </c>
      <c r="C25" s="59">
        <f>('Water Reading'!B25-'Water Reading'!B24)+('Water Reading'!C25-'Water Reading'!C24)</f>
        <v>0</v>
      </c>
      <c r="D25" s="60" t="e">
        <f t="shared" si="2"/>
        <v>#DIV/0!</v>
      </c>
      <c r="E25" s="77">
        <f>'Water Reading'!H25-'Water Reading'!H24</f>
        <v>0</v>
      </c>
      <c r="F25" s="78" t="e">
        <f t="shared" si="3"/>
        <v>#DIV/0!</v>
      </c>
      <c r="G25" s="82">
        <f>('Water Reading'!D25-'Water Reading'!D24)-('Water Reading'!R25-'Water Reading'!R24)-('Water Reading'!Q25-'Water Reading'!Q24)</f>
        <v>0</v>
      </c>
      <c r="H25" s="78" t="e">
        <f t="shared" si="4"/>
        <v>#DIV/0!</v>
      </c>
      <c r="I25" s="79">
        <f>'Water Reading'!P25-'Water Reading'!P24</f>
        <v>0</v>
      </c>
      <c r="J25" s="61" t="e">
        <f t="shared" si="5"/>
        <v>#DIV/0!</v>
      </c>
      <c r="K25" s="80">
        <f>('Water Reading'!I25-'Water Reading'!I24)-('Water Reading'!P25-'Water Reading'!P24)</f>
        <v>0</v>
      </c>
      <c r="L25" s="61" t="e">
        <f t="shared" si="6"/>
        <v>#DIV/0!</v>
      </c>
      <c r="M25" s="79">
        <f>'Water Reading'!R25-'Water Reading'!R24</f>
        <v>0</v>
      </c>
      <c r="N25" s="81" t="e">
        <f t="shared" si="7"/>
        <v>#DIV/0!</v>
      </c>
      <c r="O25" s="79">
        <f>'Water Reading'!Q25-'Water Reading'!Q24</f>
        <v>0</v>
      </c>
      <c r="P25" s="86" t="e">
        <f t="shared" si="8"/>
        <v>#DIV/0!</v>
      </c>
      <c r="Q25" s="80">
        <f>'Water Reading'!F25-'Water Reading'!F24</f>
        <v>0</v>
      </c>
      <c r="R25" s="87" t="e">
        <f t="shared" si="9"/>
        <v>#DIV/0!</v>
      </c>
      <c r="S25" s="79">
        <f>'Water Reading'!E25-'Water Reading'!E24</f>
        <v>0</v>
      </c>
      <c r="T25" s="87" t="e">
        <f t="shared" si="10"/>
        <v>#DIV/0!</v>
      </c>
      <c r="U25" s="79">
        <f>'Water Reading'!G25-'Water Reading'!G24</f>
        <v>0</v>
      </c>
      <c r="V25" s="87" t="e">
        <f t="shared" si="11"/>
        <v>#DIV/0!</v>
      </c>
      <c r="W25" s="80">
        <f>'Water Reading'!J25-'Water Reading'!J24</f>
        <v>0</v>
      </c>
      <c r="X25" s="87" t="e">
        <f t="shared" si="12"/>
        <v>#DIV/0!</v>
      </c>
      <c r="Y25" s="59">
        <f t="shared" si="0"/>
        <v>0</v>
      </c>
      <c r="Z25" s="60" t="e">
        <f t="shared" si="1"/>
        <v>#DIV/0!</v>
      </c>
    </row>
    <row r="26" spans="1:26" x14ac:dyDescent="0.25">
      <c r="A26" s="8">
        <f>'Water Reading'!A25</f>
        <v>44857</v>
      </c>
      <c r="B26" s="58">
        <f>TOTAL!I24</f>
        <v>0</v>
      </c>
      <c r="C26" s="59">
        <f>('Water Reading'!B26-'Water Reading'!B25)+('Water Reading'!C26-'Water Reading'!C25)</f>
        <v>0</v>
      </c>
      <c r="D26" s="60" t="e">
        <f t="shared" si="2"/>
        <v>#DIV/0!</v>
      </c>
      <c r="E26" s="77">
        <f>'Water Reading'!H26-'Water Reading'!H25</f>
        <v>0</v>
      </c>
      <c r="F26" s="78" t="e">
        <f t="shared" si="3"/>
        <v>#DIV/0!</v>
      </c>
      <c r="G26" s="82">
        <f>('Water Reading'!D26-'Water Reading'!D25)-('Water Reading'!R26-'Water Reading'!R25)-('Water Reading'!Q26-'Water Reading'!Q25)</f>
        <v>0</v>
      </c>
      <c r="H26" s="78" t="e">
        <f t="shared" si="4"/>
        <v>#DIV/0!</v>
      </c>
      <c r="I26" s="79">
        <f>'Water Reading'!P26-'Water Reading'!P25</f>
        <v>0</v>
      </c>
      <c r="J26" s="61" t="e">
        <f t="shared" si="5"/>
        <v>#DIV/0!</v>
      </c>
      <c r="K26" s="80">
        <f>('Water Reading'!I26-'Water Reading'!I25)-('Water Reading'!P26-'Water Reading'!P25)</f>
        <v>0</v>
      </c>
      <c r="L26" s="61" t="e">
        <f t="shared" si="6"/>
        <v>#DIV/0!</v>
      </c>
      <c r="M26" s="79">
        <f>'Water Reading'!R26-'Water Reading'!R25</f>
        <v>0</v>
      </c>
      <c r="N26" s="81" t="e">
        <f t="shared" si="7"/>
        <v>#DIV/0!</v>
      </c>
      <c r="O26" s="79">
        <f>'Water Reading'!Q26-'Water Reading'!Q25</f>
        <v>0</v>
      </c>
      <c r="P26" s="86" t="e">
        <f t="shared" si="8"/>
        <v>#DIV/0!</v>
      </c>
      <c r="Q26" s="80">
        <f>'Water Reading'!F26-'Water Reading'!F25</f>
        <v>0</v>
      </c>
      <c r="R26" s="87" t="e">
        <f t="shared" si="9"/>
        <v>#DIV/0!</v>
      </c>
      <c r="S26" s="79">
        <f>'Water Reading'!E26-'Water Reading'!E25</f>
        <v>0</v>
      </c>
      <c r="T26" s="87" t="e">
        <f t="shared" si="10"/>
        <v>#DIV/0!</v>
      </c>
      <c r="U26" s="79">
        <f>'Water Reading'!G26-'Water Reading'!G25</f>
        <v>0</v>
      </c>
      <c r="V26" s="87" t="e">
        <f t="shared" si="11"/>
        <v>#DIV/0!</v>
      </c>
      <c r="W26" s="80">
        <f>'Water Reading'!J26-'Water Reading'!J25</f>
        <v>0</v>
      </c>
      <c r="X26" s="87" t="e">
        <f t="shared" si="12"/>
        <v>#DIV/0!</v>
      </c>
      <c r="Y26" s="59">
        <f t="shared" si="0"/>
        <v>0</v>
      </c>
      <c r="Z26" s="60" t="e">
        <f t="shared" si="1"/>
        <v>#DIV/0!</v>
      </c>
    </row>
    <row r="27" spans="1:26" x14ac:dyDescent="0.25">
      <c r="A27" s="8">
        <f>'Water Reading'!A26</f>
        <v>44858</v>
      </c>
      <c r="B27" s="58">
        <f>TOTAL!I25</f>
        <v>0</v>
      </c>
      <c r="C27" s="59">
        <f>('Water Reading'!B27-'Water Reading'!B26)+('Water Reading'!C27-'Water Reading'!C26)</f>
        <v>0</v>
      </c>
      <c r="D27" s="60" t="e">
        <f t="shared" si="2"/>
        <v>#DIV/0!</v>
      </c>
      <c r="E27" s="77">
        <f>'Water Reading'!H27-'Water Reading'!H26</f>
        <v>0</v>
      </c>
      <c r="F27" s="78" t="e">
        <f t="shared" si="3"/>
        <v>#DIV/0!</v>
      </c>
      <c r="G27" s="82">
        <f>('Water Reading'!D27-'Water Reading'!D26)-('Water Reading'!R27-'Water Reading'!R26)-('Water Reading'!Q27-'Water Reading'!Q26)</f>
        <v>0</v>
      </c>
      <c r="H27" s="78" t="e">
        <f t="shared" si="4"/>
        <v>#DIV/0!</v>
      </c>
      <c r="I27" s="79">
        <f>'Water Reading'!P27-'Water Reading'!P26</f>
        <v>0</v>
      </c>
      <c r="J27" s="61" t="e">
        <f t="shared" si="5"/>
        <v>#DIV/0!</v>
      </c>
      <c r="K27" s="80">
        <f>('Water Reading'!I27-'Water Reading'!I26)-('Water Reading'!P27-'Water Reading'!P26)</f>
        <v>0</v>
      </c>
      <c r="L27" s="61" t="e">
        <f t="shared" si="6"/>
        <v>#DIV/0!</v>
      </c>
      <c r="M27" s="79">
        <f>'Water Reading'!R27-'Water Reading'!R26</f>
        <v>0</v>
      </c>
      <c r="N27" s="81" t="e">
        <f t="shared" si="7"/>
        <v>#DIV/0!</v>
      </c>
      <c r="O27" s="79">
        <f>'Water Reading'!Q27-'Water Reading'!Q26</f>
        <v>0</v>
      </c>
      <c r="P27" s="86" t="e">
        <f t="shared" si="8"/>
        <v>#DIV/0!</v>
      </c>
      <c r="Q27" s="80">
        <f>'Water Reading'!F27-'Water Reading'!F26</f>
        <v>0</v>
      </c>
      <c r="R27" s="87" t="e">
        <f t="shared" si="9"/>
        <v>#DIV/0!</v>
      </c>
      <c r="S27" s="79">
        <f>'Water Reading'!E27-'Water Reading'!E26</f>
        <v>0</v>
      </c>
      <c r="T27" s="87" t="e">
        <f t="shared" si="10"/>
        <v>#DIV/0!</v>
      </c>
      <c r="U27" s="79">
        <f>'Water Reading'!G27-'Water Reading'!G26</f>
        <v>0</v>
      </c>
      <c r="V27" s="87" t="e">
        <f t="shared" si="11"/>
        <v>#DIV/0!</v>
      </c>
      <c r="W27" s="80">
        <f>'Water Reading'!J27-'Water Reading'!J26</f>
        <v>0</v>
      </c>
      <c r="X27" s="87" t="e">
        <f t="shared" si="12"/>
        <v>#DIV/0!</v>
      </c>
      <c r="Y27" s="59">
        <f t="shared" si="0"/>
        <v>0</v>
      </c>
      <c r="Z27" s="60" t="e">
        <f t="shared" si="1"/>
        <v>#DIV/0!</v>
      </c>
    </row>
    <row r="28" spans="1:26" x14ac:dyDescent="0.25">
      <c r="A28" s="8">
        <f>'Water Reading'!A27</f>
        <v>44859</v>
      </c>
      <c r="B28" s="58">
        <f>TOTAL!I26</f>
        <v>0</v>
      </c>
      <c r="C28" s="59">
        <f>('Water Reading'!B28-'Water Reading'!B27)+('Water Reading'!C28-'Water Reading'!C27)</f>
        <v>0</v>
      </c>
      <c r="D28" s="60" t="e">
        <f t="shared" si="2"/>
        <v>#DIV/0!</v>
      </c>
      <c r="E28" s="77">
        <f>'Water Reading'!H28-'Water Reading'!H27</f>
        <v>0</v>
      </c>
      <c r="F28" s="78" t="e">
        <f t="shared" si="3"/>
        <v>#DIV/0!</v>
      </c>
      <c r="G28" s="82">
        <f>('Water Reading'!D28-'Water Reading'!D27)-('Water Reading'!R28-'Water Reading'!R27)-('Water Reading'!Q28-'Water Reading'!Q27)</f>
        <v>0</v>
      </c>
      <c r="H28" s="78" t="e">
        <f t="shared" si="4"/>
        <v>#DIV/0!</v>
      </c>
      <c r="I28" s="79">
        <f>'Water Reading'!P28-'Water Reading'!P27</f>
        <v>0</v>
      </c>
      <c r="J28" s="61" t="e">
        <f t="shared" si="5"/>
        <v>#DIV/0!</v>
      </c>
      <c r="K28" s="117">
        <f>('Water Reading'!I28-'Water Reading'!I27)-('Water Reading'!P28-'Water Reading'!P27)</f>
        <v>0</v>
      </c>
      <c r="L28" s="126" t="e">
        <f t="shared" si="6"/>
        <v>#DIV/0!</v>
      </c>
      <c r="M28" s="79">
        <f>'Water Reading'!R28-'Water Reading'!R27</f>
        <v>0</v>
      </c>
      <c r="N28" s="81" t="e">
        <f t="shared" si="7"/>
        <v>#DIV/0!</v>
      </c>
      <c r="O28" s="79">
        <f>'Water Reading'!Q28-'Water Reading'!Q27</f>
        <v>0</v>
      </c>
      <c r="P28" s="86" t="e">
        <f t="shared" si="8"/>
        <v>#DIV/0!</v>
      </c>
      <c r="Q28" s="80">
        <f>'Water Reading'!F28-'Water Reading'!F27</f>
        <v>0</v>
      </c>
      <c r="R28" s="87" t="e">
        <f t="shared" si="9"/>
        <v>#DIV/0!</v>
      </c>
      <c r="S28" s="79">
        <f>'Water Reading'!E28-'Water Reading'!E27</f>
        <v>0</v>
      </c>
      <c r="T28" s="87" t="e">
        <f t="shared" si="10"/>
        <v>#DIV/0!</v>
      </c>
      <c r="U28" s="79">
        <f>'Water Reading'!G28-'Water Reading'!G27</f>
        <v>0</v>
      </c>
      <c r="V28" s="87" t="e">
        <f t="shared" si="11"/>
        <v>#DIV/0!</v>
      </c>
      <c r="W28" s="80">
        <f>'Water Reading'!J28-'Water Reading'!J27</f>
        <v>0</v>
      </c>
      <c r="X28" s="87" t="e">
        <f t="shared" si="12"/>
        <v>#DIV/0!</v>
      </c>
      <c r="Y28" s="59">
        <f t="shared" si="0"/>
        <v>0</v>
      </c>
      <c r="Z28" s="60" t="e">
        <f t="shared" si="1"/>
        <v>#DIV/0!</v>
      </c>
    </row>
    <row r="29" spans="1:26" x14ac:dyDescent="0.25">
      <c r="A29" s="8">
        <f>'Water Reading'!A28</f>
        <v>44860</v>
      </c>
      <c r="B29" s="58">
        <f>TOTAL!I27</f>
        <v>0</v>
      </c>
      <c r="C29" s="59">
        <f>('Water Reading'!B29-'Water Reading'!B28)+('Water Reading'!C29-'Water Reading'!C28)</f>
        <v>0</v>
      </c>
      <c r="D29" s="60" t="e">
        <f t="shared" si="2"/>
        <v>#DIV/0!</v>
      </c>
      <c r="E29" s="77">
        <f>'Water Reading'!H29-'Water Reading'!H28</f>
        <v>0</v>
      </c>
      <c r="F29" s="78" t="e">
        <f t="shared" si="3"/>
        <v>#DIV/0!</v>
      </c>
      <c r="G29" s="82">
        <f>('Water Reading'!D29-'Water Reading'!D28)-('Water Reading'!R29-'Water Reading'!R28)-('Water Reading'!Q29-'Water Reading'!Q28)</f>
        <v>0</v>
      </c>
      <c r="H29" s="78" t="e">
        <f t="shared" si="4"/>
        <v>#DIV/0!</v>
      </c>
      <c r="I29" s="79">
        <f>'Water Reading'!P29-'Water Reading'!P28</f>
        <v>0</v>
      </c>
      <c r="J29" s="61" t="e">
        <f t="shared" si="5"/>
        <v>#DIV/0!</v>
      </c>
      <c r="K29" s="80">
        <f>('Water Reading'!I29-'Water Reading'!I28)-('Water Reading'!P29-'Water Reading'!P28)</f>
        <v>0</v>
      </c>
      <c r="L29" s="61" t="e">
        <f t="shared" si="6"/>
        <v>#DIV/0!</v>
      </c>
      <c r="M29" s="79">
        <f>'Water Reading'!R29-'Water Reading'!R28</f>
        <v>0</v>
      </c>
      <c r="N29" s="81" t="e">
        <f t="shared" si="7"/>
        <v>#DIV/0!</v>
      </c>
      <c r="O29" s="79">
        <f>'Water Reading'!Q29-'Water Reading'!Q28</f>
        <v>0</v>
      </c>
      <c r="P29" s="86" t="e">
        <f t="shared" si="8"/>
        <v>#DIV/0!</v>
      </c>
      <c r="Q29" s="80">
        <f>'Water Reading'!F29-'Water Reading'!F28</f>
        <v>0</v>
      </c>
      <c r="R29" s="87" t="e">
        <f t="shared" si="9"/>
        <v>#DIV/0!</v>
      </c>
      <c r="S29" s="79">
        <f>'Water Reading'!E29-'Water Reading'!E28</f>
        <v>0</v>
      </c>
      <c r="T29" s="87" t="e">
        <f t="shared" si="10"/>
        <v>#DIV/0!</v>
      </c>
      <c r="U29" s="79">
        <f>'Water Reading'!G29-'Water Reading'!G28</f>
        <v>0</v>
      </c>
      <c r="V29" s="87" t="e">
        <f t="shared" si="11"/>
        <v>#DIV/0!</v>
      </c>
      <c r="W29" s="80">
        <f>'Water Reading'!J29-'Water Reading'!J28</f>
        <v>0</v>
      </c>
      <c r="X29" s="87" t="e">
        <f t="shared" si="12"/>
        <v>#DIV/0!</v>
      </c>
      <c r="Y29" s="59">
        <f t="shared" si="0"/>
        <v>0</v>
      </c>
      <c r="Z29" s="60" t="e">
        <f t="shared" si="1"/>
        <v>#DIV/0!</v>
      </c>
    </row>
    <row r="30" spans="1:26" x14ac:dyDescent="0.25">
      <c r="A30" s="8">
        <f>'Water Reading'!A29</f>
        <v>44861</v>
      </c>
      <c r="B30" s="58">
        <f>TOTAL!I28</f>
        <v>0</v>
      </c>
      <c r="C30" s="59">
        <f>('Water Reading'!B30-'Water Reading'!B29)+('Water Reading'!C30-'Water Reading'!C29)</f>
        <v>0</v>
      </c>
      <c r="D30" s="60" t="e">
        <f t="shared" si="2"/>
        <v>#DIV/0!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0</v>
      </c>
      <c r="H30" s="78" t="e">
        <f t="shared" si="4"/>
        <v>#DIV/0!</v>
      </c>
      <c r="I30" s="79">
        <f>'Water Reading'!P30-'Water Reading'!P29</f>
        <v>0</v>
      </c>
      <c r="J30" s="61" t="e">
        <f t="shared" si="5"/>
        <v>#DIV/0!</v>
      </c>
      <c r="K30" s="80">
        <f>('Water Reading'!I30-'Water Reading'!I29)-('Water Reading'!P30-'Water Reading'!P29)</f>
        <v>0</v>
      </c>
      <c r="L30" s="61" t="e">
        <f t="shared" si="6"/>
        <v>#DIV/0!</v>
      </c>
      <c r="M30" s="79">
        <f>'Water Reading'!R30-'Water Reading'!R29</f>
        <v>0</v>
      </c>
      <c r="N30" s="81" t="e">
        <f t="shared" si="7"/>
        <v>#DIV/0!</v>
      </c>
      <c r="O30" s="79">
        <f>'Water Reading'!Q30-'Water Reading'!Q29</f>
        <v>0</v>
      </c>
      <c r="P30" s="86" t="e">
        <f t="shared" si="8"/>
        <v>#DIV/0!</v>
      </c>
      <c r="Q30" s="80">
        <f>'Water Reading'!F30-'Water Reading'!F29</f>
        <v>0</v>
      </c>
      <c r="R30" s="87" t="e">
        <f t="shared" si="9"/>
        <v>#DIV/0!</v>
      </c>
      <c r="S30" s="79">
        <f>'Water Reading'!E30-'Water Reading'!E29</f>
        <v>0</v>
      </c>
      <c r="T30" s="87" t="e">
        <f t="shared" si="10"/>
        <v>#DIV/0!</v>
      </c>
      <c r="U30" s="79">
        <f>'Water Reading'!G30-'Water Reading'!G29</f>
        <v>0</v>
      </c>
      <c r="V30" s="87" t="e">
        <f t="shared" si="11"/>
        <v>#DIV/0!</v>
      </c>
      <c r="W30" s="80">
        <f>'Water Reading'!J30-'Water Reading'!J29</f>
        <v>0</v>
      </c>
      <c r="X30" s="87" t="e">
        <f t="shared" si="12"/>
        <v>#DIV/0!</v>
      </c>
      <c r="Y30" s="59">
        <f t="shared" si="0"/>
        <v>0</v>
      </c>
      <c r="Z30" s="60" t="e">
        <f t="shared" si="1"/>
        <v>#DIV/0!</v>
      </c>
    </row>
    <row r="31" spans="1:26" x14ac:dyDescent="0.25">
      <c r="A31" s="8">
        <f>'Water Reading'!A30</f>
        <v>44862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44863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44864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x14ac:dyDescent="0.25">
      <c r="A34" s="8">
        <f>'Water Reading'!A33</f>
        <v>44865</v>
      </c>
      <c r="B34" s="58">
        <f>TOTAL!I32</f>
        <v>0</v>
      </c>
      <c r="C34" s="59">
        <f>('Water Reading'!B34-'Water Reading'!B33)+('Water Reading'!C34-'Water Reading'!C33)</f>
        <v>0</v>
      </c>
      <c r="D34" s="60" t="e">
        <f t="shared" si="2"/>
        <v>#DIV/0!</v>
      </c>
      <c r="E34" s="77">
        <f>'Water Reading'!H34-'Water Reading'!H33</f>
        <v>0</v>
      </c>
      <c r="F34" s="78" t="e">
        <f t="shared" si="3"/>
        <v>#DIV/0!</v>
      </c>
      <c r="G34" s="82">
        <f>('Water Reading'!D34-'Water Reading'!D33)-('Water Reading'!R34-'Water Reading'!R33)-('Water Reading'!Q34-'Water Reading'!Q33)</f>
        <v>0</v>
      </c>
      <c r="H34" s="78" t="e">
        <f t="shared" si="4"/>
        <v>#DIV/0!</v>
      </c>
      <c r="I34" s="79">
        <f>'Water Reading'!P34-'Water Reading'!P33</f>
        <v>0</v>
      </c>
      <c r="J34" s="61" t="e">
        <f t="shared" si="5"/>
        <v>#DIV/0!</v>
      </c>
      <c r="K34" s="80">
        <f>('Water Reading'!I34-'Water Reading'!I33)-('Water Reading'!P34-'Water Reading'!P33)</f>
        <v>0</v>
      </c>
      <c r="L34" s="61" t="e">
        <f t="shared" si="6"/>
        <v>#DIV/0!</v>
      </c>
      <c r="M34" s="79">
        <f>'Water Reading'!R34-'Water Reading'!R33</f>
        <v>0</v>
      </c>
      <c r="N34" s="81" t="e">
        <f t="shared" si="7"/>
        <v>#DIV/0!</v>
      </c>
      <c r="O34" s="79">
        <f>'Water Reading'!Q34-'Water Reading'!Q33</f>
        <v>0</v>
      </c>
      <c r="P34" s="86" t="e">
        <f t="shared" si="8"/>
        <v>#DIV/0!</v>
      </c>
      <c r="Q34" s="80">
        <f>'Water Reading'!F34-'Water Reading'!F33</f>
        <v>0</v>
      </c>
      <c r="R34" s="87" t="e">
        <f t="shared" si="9"/>
        <v>#DIV/0!</v>
      </c>
      <c r="S34" s="79">
        <f>'Water Reading'!E34-'Water Reading'!E33</f>
        <v>0</v>
      </c>
      <c r="T34" s="87" t="e">
        <f t="shared" si="10"/>
        <v>#DIV/0!</v>
      </c>
      <c r="U34" s="79">
        <f>'Water Reading'!G34-'Water Reading'!G33</f>
        <v>0</v>
      </c>
      <c r="V34" s="87" t="e">
        <f t="shared" si="11"/>
        <v>#DIV/0!</v>
      </c>
      <c r="W34" s="80">
        <f>'Water Reading'!J34-'Water Reading'!J33</f>
        <v>0</v>
      </c>
      <c r="X34" s="87" t="e">
        <f t="shared" si="12"/>
        <v>#DIV/0!</v>
      </c>
      <c r="Y34" s="59">
        <f t="shared" si="0"/>
        <v>0</v>
      </c>
      <c r="Z34" s="60" t="e">
        <f t="shared" si="1"/>
        <v>#DIV/0!</v>
      </c>
    </row>
    <row r="35" spans="1:26" ht="24" customHeight="1" x14ac:dyDescent="0.25">
      <c r="A35" s="62" t="s">
        <v>51</v>
      </c>
      <c r="B35" s="85" t="s">
        <v>127</v>
      </c>
      <c r="C35" s="66">
        <f>SUM(C4:C34)</f>
        <v>-37248</v>
      </c>
      <c r="D35" s="84" t="e">
        <f>C35/B35</f>
        <v>#VALUE!</v>
      </c>
      <c r="E35" s="7">
        <f>SUM(E4:E34)</f>
        <v>-62092</v>
      </c>
      <c r="F35" s="83">
        <f>E35/C35</f>
        <v>1.6669888316151202</v>
      </c>
      <c r="G35" s="66">
        <f>SUM(G4:G34)</f>
        <v>-284138</v>
      </c>
      <c r="H35" s="83">
        <f>G35/C35</f>
        <v>7.6282753436426116</v>
      </c>
      <c r="I35" s="7">
        <f>SUM(I4:I34)</f>
        <v>-32116</v>
      </c>
      <c r="J35" s="83">
        <f>I35/C35</f>
        <v>0.86222079037800692</v>
      </c>
      <c r="K35" s="7">
        <f>SUM(K4:K34)</f>
        <v>-46636</v>
      </c>
      <c r="L35" s="83">
        <f>K35/C35</f>
        <v>1.252040378006873</v>
      </c>
      <c r="M35" s="7">
        <f>SUM(M4:M34)</f>
        <v>-639</v>
      </c>
      <c r="N35" s="83">
        <f>M35/C35</f>
        <v>1.7155283505154641E-2</v>
      </c>
      <c r="O35" s="7">
        <f>SUM(O4:O34)</f>
        <v>-2057</v>
      </c>
      <c r="P35" s="83">
        <f>O35/C35</f>
        <v>5.5224441580756012E-2</v>
      </c>
      <c r="Q35" s="7">
        <f>SUM(Q4:Q34)</f>
        <v>-67264</v>
      </c>
      <c r="R35" s="83">
        <f>Q35/C35</f>
        <v>1.8058419243986255</v>
      </c>
      <c r="S35" s="66">
        <f>SUM(S4:S34)</f>
        <v>-279201</v>
      </c>
      <c r="T35" s="83">
        <f>S35/C35</f>
        <v>7.49573131443299</v>
      </c>
      <c r="U35" s="7">
        <f>SUM(U4:U34)</f>
        <v>-122409</v>
      </c>
      <c r="V35" s="83">
        <f>U35/C35</f>
        <v>3.2863240979381443</v>
      </c>
      <c r="W35" s="7">
        <f>SUM(W4:W34)</f>
        <v>-23515</v>
      </c>
      <c r="X35" s="83">
        <f>W35/C35</f>
        <v>0.63130906357388317</v>
      </c>
      <c r="Y35" s="66">
        <f>SUM(Y4:Y34)</f>
        <v>-920067</v>
      </c>
      <c r="Z35" s="83" t="e">
        <f t="shared" si="1"/>
        <v>#VALUE!</v>
      </c>
    </row>
    <row r="44" spans="1:26" x14ac:dyDescent="0.25">
      <c r="Y44" s="72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  <row r="72" spans="4:4" x14ac:dyDescent="0.25">
      <c r="D72" s="63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2022-10-15T07:23:30Z</dcterms:modified>
  <cp:category/>
  <cp:contentStatus/>
</cp:coreProperties>
</file>