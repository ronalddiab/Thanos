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93" documentId="8_{570E39A5-4344-4CF9-9BBE-67993DB36049}" xr6:coauthVersionLast="36" xr6:coauthVersionMax="36" xr10:uidLastSave="{32D280E3-B043-432D-89B9-DB53775B8892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<sst xmlns="http://schemas.openxmlformats.org/spreadsheetml/2006/main" count="147" uniqueCount="43">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</sst>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6" sqref="L6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0</v>
      </c>
      <c r="F7" s="10">
        <v>0.2989</v>
      </c>
      <c r="G7" s="13">
        <f>-'Submetering '!J7+'Submetering '!K7</f>
        <v>0</v>
      </c>
      <c r="H7" s="10">
        <v>0.23150000000000001</v>
      </c>
      <c r="I7" s="13">
        <f>'Submetering '!L7+'Submetering '!M7</f>
        <v>0</v>
      </c>
      <c r="J7" s="10">
        <v>2.74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0</v>
      </c>
      <c r="F8" s="10">
        <v>0.2989</v>
      </c>
      <c r="G8" s="13">
        <f>-'Submetering '!J8+'Submetering '!K8</f>
        <v>0</v>
      </c>
      <c r="H8" s="10">
        <v>0.23150000000000001</v>
      </c>
      <c r="I8" s="13">
        <f>'Submetering '!L8+'Submetering '!M8</f>
        <v>0</v>
      </c>
      <c r="J8" s="10">
        <v>2.74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topLeftCell="K1" zoomScale="80" zoomScaleNormal="80" workbookViewId="0">
      <selection activeCell="Z14" sqref="Z14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 t="str">
        <f>IF((Electrical!E8-Electrical!E7)&lt;0,"0",(Electrical!E8-Electrical!E7))</f>
        <v>0</v>
      </c>
      <c r="I7" s="33" t="str">
        <f>IF((Electrical!F8-Electrical!F7)&lt;0,"0",(Electrical!F8-Electrical!F7))</f>
        <v>0</v>
      </c>
      <c r="J7" s="33">
        <f>IF((Gas!B8-Gas!B7)&lt;0,"0",(Gas!B8-Gas!B7))</f>
        <v>0</v>
      </c>
      <c r="K7" s="33" t="str">
        <f>IF((Gas!C8-Gas!C7)&lt;0,"0",(Gas!C8-Gas!C7))</f>
        <v>0</v>
      </c>
      <c r="L7" s="33">
        <f>(IF((Water!B8-Water!B7)&lt;0,"0",(Water!B8-Water!B7)))*10</f>
        <v>0</v>
      </c>
      <c r="M7" s="33" t="str">
        <f>IF((Water!C8-Water!C7)&lt;0,"0",(Water!C8-Water!C7))</f>
        <v>0</v>
      </c>
      <c r="N7" s="33">
        <f>IF((Water!D8-Water!D7)&lt;0,"0",(Water!D8-Water!D7))</f>
        <v>0</v>
      </c>
      <c r="O7" s="33" t="str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 t="str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 t="str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M2" sqref="M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H17" sqref="H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" zoomScale="85" zoomScaleNormal="85" workbookViewId="0">
      <selection activeCell="Q8" sqref="Q8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purl.org/dc/terms/"/>
    <ds:schemaRef ds:uri="c0c63084-832f-4b13-a501-c844d9f3bfed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2024-03-06T00:23:27Z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