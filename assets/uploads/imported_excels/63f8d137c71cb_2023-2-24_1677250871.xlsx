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200" yWindow="180" windowWidth="18640" windowHeight="16060" tabRatio="620" activeTab="1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N35" i="119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8" i="119"/>
  <c r="M38" i="119"/>
  <c r="I38" i="119"/>
  <c r="G38" i="119"/>
  <c r="E38" i="119"/>
  <c r="C38" i="119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<sst xmlns="http://schemas.openxmlformats.org/spreadsheetml/2006/main" count="66" uniqueCount="32">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</sst>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9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b/>
      <sz val="11"/>
      <color rgb="FF000000"/>
      <name val="Segoe UI Emoji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9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50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1" fontId="16" fillId="0" borderId="1" xfId="11" applyNumberFormat="1" applyFont="1" applyBorder="1" applyAlignment="1">
      <alignment horizontal="center" vertical="center"/>
    </xf>
    <xf numFmtId="1" fontId="8" fillId="0" borderId="1" xfId="11" applyNumberFormat="1" applyFont="1" applyBorder="1" applyAlignment="1">
      <alignment horizontal="center"/>
    </xf>
  </cellXfs>
  <cellStyles count="29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標準" xfId="0" builtinId="0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6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6エネルギー使用量"/>
    </sheetNames>
    <sheetDataSet>
      <sheetData sheetId="0"/>
      <sheetData sheetId="1"/>
      <sheetData sheetId="2">
        <row r="205">
          <cell r="AL205">
            <v>773538.3</v>
          </cell>
        </row>
      </sheetData>
      <sheetData sheetId="3"/>
      <sheetData sheetId="4">
        <row r="387">
          <cell r="G387">
            <v>56</v>
          </cell>
          <cell r="H387">
            <v>52</v>
          </cell>
          <cell r="I387">
            <v>120</v>
          </cell>
          <cell r="J387">
            <v>125</v>
          </cell>
          <cell r="K387">
            <v>72</v>
          </cell>
          <cell r="L387">
            <v>60</v>
          </cell>
          <cell r="M387">
            <v>69</v>
          </cell>
          <cell r="N387">
            <v>65</v>
          </cell>
          <cell r="O387">
            <v>65</v>
          </cell>
          <cell r="P387">
            <v>95</v>
          </cell>
          <cell r="Q387">
            <v>144</v>
          </cell>
          <cell r="R387">
            <v>81</v>
          </cell>
          <cell r="S387">
            <v>68</v>
          </cell>
          <cell r="T387">
            <v>78</v>
          </cell>
          <cell r="U387">
            <v>91</v>
          </cell>
          <cell r="V387">
            <v>101</v>
          </cell>
          <cell r="W387">
            <v>128</v>
          </cell>
          <cell r="X387">
            <v>165</v>
          </cell>
          <cell r="Y387">
            <v>108</v>
          </cell>
          <cell r="Z387">
            <v>87</v>
          </cell>
          <cell r="AA387">
            <v>68</v>
          </cell>
          <cell r="AB387">
            <v>85</v>
          </cell>
          <cell r="AC387">
            <v>124</v>
          </cell>
          <cell r="AD387">
            <v>161</v>
          </cell>
          <cell r="AE387">
            <v>190</v>
          </cell>
          <cell r="AF387">
            <v>114</v>
          </cell>
          <cell r="AG387">
            <v>75</v>
          </cell>
          <cell r="AH387">
            <v>81</v>
          </cell>
          <cell r="AI387">
            <v>81</v>
          </cell>
          <cell r="AJ387">
            <v>82</v>
          </cell>
          <cell r="AK387">
            <v>0</v>
          </cell>
        </row>
        <row r="388">
          <cell r="G388">
            <v>97</v>
          </cell>
          <cell r="H388">
            <v>92</v>
          </cell>
          <cell r="I388">
            <v>252</v>
          </cell>
          <cell r="J388">
            <v>257</v>
          </cell>
          <cell r="K388">
            <v>124</v>
          </cell>
          <cell r="L388">
            <v>96</v>
          </cell>
          <cell r="M388">
            <v>119</v>
          </cell>
          <cell r="N388">
            <v>112</v>
          </cell>
          <cell r="O388">
            <v>111</v>
          </cell>
          <cell r="P388">
            <v>187</v>
          </cell>
          <cell r="Q388">
            <v>295</v>
          </cell>
          <cell r="R388">
            <v>142</v>
          </cell>
          <cell r="S388">
            <v>107</v>
          </cell>
          <cell r="T388">
            <v>125</v>
          </cell>
          <cell r="U388">
            <v>152</v>
          </cell>
          <cell r="V388">
            <v>168</v>
          </cell>
          <cell r="W388">
            <v>246</v>
          </cell>
          <cell r="X388">
            <v>342</v>
          </cell>
          <cell r="Y388">
            <v>181</v>
          </cell>
          <cell r="Z388">
            <v>150</v>
          </cell>
          <cell r="AA388">
            <v>113</v>
          </cell>
          <cell r="AB388">
            <v>142</v>
          </cell>
          <cell r="AC388">
            <v>195</v>
          </cell>
          <cell r="AD388">
            <v>279</v>
          </cell>
          <cell r="AE388">
            <v>345</v>
          </cell>
          <cell r="AF388">
            <v>205</v>
          </cell>
          <cell r="AG388">
            <v>134</v>
          </cell>
          <cell r="AH388">
            <v>130</v>
          </cell>
          <cell r="AI388">
            <v>140</v>
          </cell>
          <cell r="AJ388">
            <v>142</v>
          </cell>
          <cell r="AK388">
            <v>0</v>
          </cell>
        </row>
      </sheetData>
      <sheetData sheetId="5"/>
      <sheetData sheetId="6"/>
      <sheetData sheetId="7">
        <row r="23">
          <cell r="G23">
            <v>160.1</v>
          </cell>
          <cell r="H23">
            <v>176.1</v>
          </cell>
          <cell r="I23">
            <v>184.1</v>
          </cell>
          <cell r="J23">
            <v>191.7</v>
          </cell>
          <cell r="K23">
            <v>197.7</v>
          </cell>
          <cell r="L23">
            <v>176</v>
          </cell>
          <cell r="M23">
            <v>189.6</v>
          </cell>
          <cell r="N23">
            <v>165.1</v>
          </cell>
          <cell r="O23">
            <v>186</v>
          </cell>
          <cell r="P23">
            <v>200</v>
          </cell>
          <cell r="Q23">
            <v>198.9</v>
          </cell>
          <cell r="R23">
            <v>201.1</v>
          </cell>
          <cell r="S23">
            <v>184.5</v>
          </cell>
          <cell r="T23">
            <v>178.7</v>
          </cell>
          <cell r="U23">
            <v>163.19999999999999</v>
          </cell>
          <cell r="V23">
            <v>179</v>
          </cell>
          <cell r="W23">
            <v>191.8</v>
          </cell>
          <cell r="X23">
            <v>208.9</v>
          </cell>
          <cell r="Y23">
            <v>195.5</v>
          </cell>
          <cell r="Z23">
            <v>197.1</v>
          </cell>
          <cell r="AA23">
            <v>182.2</v>
          </cell>
          <cell r="AB23">
            <v>175.4</v>
          </cell>
          <cell r="AC23">
            <v>189.4</v>
          </cell>
          <cell r="AD23">
            <v>197.2</v>
          </cell>
          <cell r="AE23">
            <v>186.3</v>
          </cell>
          <cell r="AF23">
            <v>170.7</v>
          </cell>
          <cell r="AG23">
            <v>169.6</v>
          </cell>
          <cell r="AH23">
            <v>175</v>
          </cell>
          <cell r="AI23">
            <v>161.19999999999999</v>
          </cell>
          <cell r="AJ23">
            <v>177</v>
          </cell>
          <cell r="AK23">
            <v>0</v>
          </cell>
        </row>
        <row r="41">
          <cell r="G41">
            <v>110</v>
          </cell>
          <cell r="H41">
            <v>144</v>
          </cell>
          <cell r="I41">
            <v>127</v>
          </cell>
          <cell r="J41">
            <v>170</v>
          </cell>
          <cell r="K41">
            <v>178</v>
          </cell>
          <cell r="L41">
            <v>123</v>
          </cell>
          <cell r="M41">
            <v>120</v>
          </cell>
          <cell r="N41">
            <v>113</v>
          </cell>
          <cell r="O41">
            <v>132</v>
          </cell>
          <cell r="P41">
            <v>132</v>
          </cell>
          <cell r="Q41">
            <v>174</v>
          </cell>
          <cell r="R41">
            <v>186</v>
          </cell>
          <cell r="S41">
            <v>151</v>
          </cell>
          <cell r="T41">
            <v>126</v>
          </cell>
          <cell r="U41">
            <v>114</v>
          </cell>
          <cell r="V41">
            <v>146</v>
          </cell>
          <cell r="W41">
            <v>153</v>
          </cell>
          <cell r="X41">
            <v>198</v>
          </cell>
          <cell r="Y41">
            <v>199</v>
          </cell>
          <cell r="Z41">
            <v>164</v>
          </cell>
          <cell r="AA41">
            <v>131</v>
          </cell>
          <cell r="AB41">
            <v>112</v>
          </cell>
          <cell r="AC41">
            <v>155</v>
          </cell>
          <cell r="AD41">
            <v>174</v>
          </cell>
          <cell r="AE41">
            <v>222</v>
          </cell>
          <cell r="AF41">
            <v>199</v>
          </cell>
          <cell r="AG41">
            <v>163</v>
          </cell>
          <cell r="AH41">
            <v>143</v>
          </cell>
          <cell r="AI41">
            <v>121</v>
          </cell>
          <cell r="AJ41">
            <v>153</v>
          </cell>
          <cell r="AK41">
            <v>0</v>
          </cell>
        </row>
        <row r="66">
          <cell r="G66">
            <v>6766.29126</v>
          </cell>
          <cell r="H66">
            <v>7254.58032</v>
          </cell>
          <cell r="I66">
            <v>6975.558</v>
          </cell>
          <cell r="J66">
            <v>7673.1138000000001</v>
          </cell>
          <cell r="K66">
            <v>8231.1584400000011</v>
          </cell>
          <cell r="L66">
            <v>6417.5133599999999</v>
          </cell>
          <cell r="M66">
            <v>7115.06916</v>
          </cell>
          <cell r="N66">
            <v>6905.80242</v>
          </cell>
          <cell r="O66">
            <v>6975.558</v>
          </cell>
          <cell r="P66">
            <v>7254.58032</v>
          </cell>
          <cell r="Q66">
            <v>7742.8693800000001</v>
          </cell>
          <cell r="R66">
            <v>8649.6919199999993</v>
          </cell>
          <cell r="S66">
            <v>6905.80242</v>
          </cell>
          <cell r="T66">
            <v>7394.09148</v>
          </cell>
          <cell r="U66">
            <v>6905.80242</v>
          </cell>
          <cell r="V66">
            <v>7184.8247400000009</v>
          </cell>
          <cell r="W66">
            <v>7463.8470600000001</v>
          </cell>
          <cell r="X66">
            <v>8370.6695999999993</v>
          </cell>
          <cell r="Y66">
            <v>8370.6695999999993</v>
          </cell>
          <cell r="Z66">
            <v>7463.8470600000001</v>
          </cell>
          <cell r="AA66">
            <v>6975.558</v>
          </cell>
          <cell r="AB66">
            <v>6278.0021999999999</v>
          </cell>
          <cell r="AC66">
            <v>6766.29126</v>
          </cell>
          <cell r="AD66">
            <v>7533.602640000001</v>
          </cell>
          <cell r="AE66">
            <v>8370.6695999999993</v>
          </cell>
          <cell r="AF66">
            <v>7603.3582200000001</v>
          </cell>
          <cell r="AG66">
            <v>6905.80242</v>
          </cell>
          <cell r="AH66">
            <v>6068.7354599999999</v>
          </cell>
          <cell r="AI66">
            <v>5998.9798800000008</v>
          </cell>
          <cell r="AJ66">
            <v>6487.2689400000008</v>
          </cell>
          <cell r="AK66">
            <v>0</v>
          </cell>
        </row>
        <row r="91">
          <cell r="G91">
            <v>919.24019999999996</v>
          </cell>
          <cell r="H91">
            <v>751.44899999999996</v>
          </cell>
          <cell r="I91">
            <v>1115.367</v>
          </cell>
          <cell r="J91">
            <v>1624.5744</v>
          </cell>
          <cell r="K91">
            <v>1166.76</v>
          </cell>
          <cell r="L91">
            <v>2966.904</v>
          </cell>
          <cell r="M91">
            <v>2441.3063999999999</v>
          </cell>
          <cell r="N91">
            <v>2498.8110000000001</v>
          </cell>
          <cell r="O91">
            <v>1778.7534000000001</v>
          </cell>
          <cell r="P91">
            <v>1311.4938</v>
          </cell>
          <cell r="Q91">
            <v>1371.4985999999999</v>
          </cell>
          <cell r="R91">
            <v>1257.3227999999999</v>
          </cell>
          <cell r="S91">
            <v>1425.3917999999999</v>
          </cell>
          <cell r="T91">
            <v>2797.1682000000001</v>
          </cell>
          <cell r="U91">
            <v>2128.5036</v>
          </cell>
          <cell r="V91">
            <v>1206.2076</v>
          </cell>
          <cell r="W91">
            <v>779.78459999999995</v>
          </cell>
          <cell r="X91">
            <v>1083.42</v>
          </cell>
          <cell r="Y91">
            <v>390.30899999999997</v>
          </cell>
          <cell r="Z91">
            <v>139.4556</v>
          </cell>
          <cell r="AA91">
            <v>166.68</v>
          </cell>
          <cell r="AB91">
            <v>723.11339999999996</v>
          </cell>
          <cell r="AC91">
            <v>972.3</v>
          </cell>
          <cell r="AD91">
            <v>166.68</v>
          </cell>
          <cell r="AE91">
            <v>388.92</v>
          </cell>
          <cell r="AF91">
            <v>224.4624</v>
          </cell>
          <cell r="AG91">
            <v>83.34</v>
          </cell>
          <cell r="AH91">
            <v>0</v>
          </cell>
          <cell r="AI91">
            <v>0</v>
          </cell>
          <cell r="AJ91">
            <v>2.2223999999999999</v>
          </cell>
          <cell r="AK91">
            <v>0</v>
          </cell>
        </row>
        <row r="115">
          <cell r="G115">
            <v>11492.0304</v>
          </cell>
          <cell r="H115">
            <v>11022.8262</v>
          </cell>
          <cell r="I115">
            <v>9094.3385999999991</v>
          </cell>
          <cell r="J115">
            <v>9891.6245999999992</v>
          </cell>
          <cell r="K115">
            <v>10598.3478</v>
          </cell>
          <cell r="L115">
            <v>7463.3747999999996</v>
          </cell>
          <cell r="M115">
            <v>4306.7334000000001</v>
          </cell>
          <cell r="N115">
            <v>4396.4628000000002</v>
          </cell>
          <cell r="O115">
            <v>5945.4755999999998</v>
          </cell>
          <cell r="P115">
            <v>8952.9383999999991</v>
          </cell>
          <cell r="Q115">
            <v>10838.6448</v>
          </cell>
          <cell r="R115">
            <v>10663.630799999999</v>
          </cell>
          <cell r="S115">
            <v>7713.3948</v>
          </cell>
          <cell r="T115">
            <v>4317.5676000000003</v>
          </cell>
          <cell r="U115">
            <v>4644.5382</v>
          </cell>
          <cell r="V115">
            <v>7988.1390000000001</v>
          </cell>
          <cell r="W115">
            <v>13712.4858</v>
          </cell>
          <cell r="X115">
            <v>15098.43</v>
          </cell>
          <cell r="Y115">
            <v>17695.304400000001</v>
          </cell>
          <cell r="Z115">
            <v>18050.055</v>
          </cell>
          <cell r="AA115">
            <v>16919.686799999999</v>
          </cell>
          <cell r="AB115">
            <v>14662.0062</v>
          </cell>
          <cell r="AC115">
            <v>14324.4792</v>
          </cell>
          <cell r="AD115">
            <v>25801.786199999999</v>
          </cell>
          <cell r="AE115">
            <v>33103.481399999997</v>
          </cell>
          <cell r="AF115">
            <v>27873.062999999998</v>
          </cell>
          <cell r="AG115">
            <v>28701.462599999999</v>
          </cell>
          <cell r="AH115">
            <v>29759.602800000001</v>
          </cell>
          <cell r="AI115">
            <v>31900.329599999997</v>
          </cell>
          <cell r="AJ115">
            <v>31746.706200000001</v>
          </cell>
          <cell r="AK115">
            <v>0</v>
          </cell>
        </row>
        <row r="147">
          <cell r="G147">
            <v>14526</v>
          </cell>
          <cell r="H147">
            <v>15165</v>
          </cell>
          <cell r="I147">
            <v>15306</v>
          </cell>
          <cell r="J147">
            <v>15522</v>
          </cell>
          <cell r="K147">
            <v>15515</v>
          </cell>
          <cell r="L147">
            <v>14706</v>
          </cell>
          <cell r="M147">
            <v>14460</v>
          </cell>
          <cell r="N147">
            <v>14088</v>
          </cell>
          <cell r="O147">
            <v>14353</v>
          </cell>
          <cell r="P147">
            <v>15220</v>
          </cell>
          <cell r="Q147">
            <v>15760</v>
          </cell>
          <cell r="R147">
            <v>15662</v>
          </cell>
          <cell r="S147">
            <v>14423</v>
          </cell>
          <cell r="T147">
            <v>14483</v>
          </cell>
          <cell r="U147">
            <v>14680</v>
          </cell>
          <cell r="V147">
            <v>15078</v>
          </cell>
          <cell r="W147">
            <v>15672</v>
          </cell>
          <cell r="X147">
            <v>16152</v>
          </cell>
          <cell r="Y147">
            <v>16101</v>
          </cell>
          <cell r="Z147">
            <v>16307</v>
          </cell>
          <cell r="AA147">
            <v>15837</v>
          </cell>
          <cell r="AB147">
            <v>15603</v>
          </cell>
          <cell r="AC147">
            <v>15985</v>
          </cell>
          <cell r="AD147">
            <v>16954</v>
          </cell>
          <cell r="AE147">
            <v>17626</v>
          </cell>
          <cell r="AF147">
            <v>17260</v>
          </cell>
          <cell r="AG147">
            <v>16546</v>
          </cell>
          <cell r="AH147">
            <v>16313</v>
          </cell>
          <cell r="AI147">
            <v>16758</v>
          </cell>
          <cell r="AJ147">
            <v>16592</v>
          </cell>
          <cell r="AK147">
            <v>0</v>
          </cell>
        </row>
      </sheetData>
      <sheetData sheetId="8">
        <row r="3">
          <cell r="G3">
            <v>29.11</v>
          </cell>
        </row>
        <row r="23">
          <cell r="M23">
            <v>146.80123878673481</v>
          </cell>
        </row>
      </sheetData>
      <sheetData sheetId="9"/>
      <sheetData sheetId="10"/>
      <sheetData sheetId="11">
        <row r="29">
          <cell r="C29">
            <v>413.64420000000001</v>
          </cell>
        </row>
      </sheetData>
      <sheetData sheetId="12">
        <row r="29">
          <cell r="C29">
            <v>413.64420000000001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414.19979999999998</v>
          </cell>
        </row>
      </sheetData>
      <sheetData sheetId="15">
        <row r="29">
          <cell r="C29">
            <v>413.92199999999997</v>
          </cell>
        </row>
      </sheetData>
      <sheetData sheetId="16">
        <row r="29">
          <cell r="C29">
            <v>413.3664</v>
          </cell>
        </row>
      </sheetData>
      <sheetData sheetId="17">
        <row r="29">
          <cell r="C29">
            <v>413.92199999999997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413.92199999999997</v>
          </cell>
        </row>
      </sheetData>
      <sheetData sheetId="20">
        <row r="29">
          <cell r="C29">
            <v>413.3664</v>
          </cell>
        </row>
      </sheetData>
      <sheetData sheetId="21">
        <row r="29">
          <cell r="C29">
            <v>413.64420000000001</v>
          </cell>
        </row>
      </sheetData>
      <sheetData sheetId="22">
        <row r="29">
          <cell r="C29">
            <v>413.64420000000001</v>
          </cell>
        </row>
      </sheetData>
      <sheetData sheetId="23">
        <row r="29">
          <cell r="C29">
            <v>413.92199999999997</v>
          </cell>
        </row>
      </sheetData>
      <sheetData sheetId="24">
        <row r="29">
          <cell r="C29">
            <v>413.3664</v>
          </cell>
        </row>
      </sheetData>
      <sheetData sheetId="25">
        <row r="29">
          <cell r="C29">
            <v>413.64420000000001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413.64420000000001</v>
          </cell>
        </row>
      </sheetData>
      <sheetData sheetId="29">
        <row r="29">
          <cell r="C29">
            <v>413.92199999999997</v>
          </cell>
        </row>
      </sheetData>
      <sheetData sheetId="30">
        <row r="29">
          <cell r="C29">
            <v>413.92199999999997</v>
          </cell>
        </row>
      </sheetData>
      <sheetData sheetId="31">
        <row r="29">
          <cell r="C29">
            <v>413.64420000000001</v>
          </cell>
        </row>
      </sheetData>
      <sheetData sheetId="32">
        <row r="29">
          <cell r="C29">
            <v>413.08859999999999</v>
          </cell>
        </row>
      </sheetData>
      <sheetData sheetId="33">
        <row r="29">
          <cell r="C29">
            <v>414.4776</v>
          </cell>
        </row>
      </sheetData>
      <sheetData sheetId="34">
        <row r="29">
          <cell r="C29">
            <v>413.64420000000001</v>
          </cell>
        </row>
      </sheetData>
      <sheetData sheetId="35">
        <row r="29">
          <cell r="C29">
            <v>414.19979999999998</v>
          </cell>
        </row>
      </sheetData>
      <sheetData sheetId="36">
        <row r="29">
          <cell r="C29">
            <v>413.64420000000001</v>
          </cell>
        </row>
      </sheetData>
      <sheetData sheetId="37">
        <row r="29">
          <cell r="C29">
            <v>414.19979999999998</v>
          </cell>
        </row>
      </sheetData>
      <sheetData sheetId="38">
        <row r="29">
          <cell r="C29">
            <v>413.64420000000001</v>
          </cell>
        </row>
      </sheetData>
      <sheetData sheetId="39">
        <row r="29">
          <cell r="C29">
            <v>413.92199999999997</v>
          </cell>
        </row>
      </sheetData>
      <sheetData sheetId="40">
        <row r="12">
          <cell r="C12">
            <v>16592</v>
          </cell>
        </row>
        <row r="29">
          <cell r="C29">
            <v>413.64420000000001</v>
          </cell>
        </row>
      </sheetData>
      <sheetData sheetId="41">
        <row r="29">
          <cell r="C29">
            <v>0</v>
          </cell>
        </row>
      </sheetData>
      <sheetData sheetId="4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4">
          <cell r="V24">
            <v>39.233951310595856</v>
          </cell>
        </row>
        <row r="29">
          <cell r="V29">
            <v>38.898394616585222</v>
          </cell>
          <cell r="AE29">
            <v>19.439045122367574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S11" sqref="S11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6</v>
      </c>
      <c r="D2" s="7">
        <v>2022</v>
      </c>
      <c r="E2" s="9" t="str">
        <f>'Otemachi Daily'!D5</f>
        <v>0</v>
      </c>
      <c r="F2" s="34">
        <f>[1]見込!$G$3</f>
        <v>29.11</v>
      </c>
      <c r="G2" s="9" t="str">
        <f>'Otemachi Daily'!F5</f>
        <v>0</v>
      </c>
      <c r="H2" s="34">
        <f>[1]見込!$M$23</f>
        <v>146.80123878673481</v>
      </c>
      <c r="I2" s="9">
        <f>'Otemachi Daily'!H5</f>
        <v>5640.7290000000003</v>
      </c>
      <c r="J2" s="34">
        <f>[2]Sheet1!$V$29</f>
        <v>38.898394616585222</v>
      </c>
      <c r="K2" s="9" t="str">
        <f>'Otemachi Daily'!J5</f>
        <v>0</v>
      </c>
      <c r="L2" s="34">
        <f>[2]Sheet1!$AE$29</f>
        <v>19.439045122367574</v>
      </c>
      <c r="M2" s="9" t="str">
        <f>'Otemachi Daily'!L5</f>
        <v>0</v>
      </c>
      <c r="N2" s="34">
        <v>741</v>
      </c>
      <c r="O2" s="9">
        <f>'Otemachi Daily'!M5</f>
        <v>56</v>
      </c>
      <c r="P2" s="9">
        <f>'Otemachi Daily'!N5</f>
        <v>97</v>
      </c>
    </row>
    <row r="3" spans="1:16" ht="17">
      <c r="A3" s="6" t="s">
        <v>22</v>
      </c>
      <c r="B3" s="7">
        <f>B2+1</f>
        <v>2</v>
      </c>
      <c r="C3" s="8">
        <v>6</v>
      </c>
      <c r="D3" s="7">
        <v>2022</v>
      </c>
      <c r="E3" s="9">
        <f>'Otemachi Daily'!D6</f>
        <v>639</v>
      </c>
      <c r="F3" s="34">
        <f>[1]見込!$G$3</f>
        <v>29.11</v>
      </c>
      <c r="G3" s="9">
        <f>'Otemachi Daily'!F6</f>
        <v>16</v>
      </c>
      <c r="H3" s="34">
        <f>[1]見込!$M$23</f>
        <v>146.80123878673481</v>
      </c>
      <c r="I3" s="9" t="str">
        <f>'Otemachi Daily'!H6</f>
        <v>0</v>
      </c>
      <c r="J3" s="34">
        <f>[2]Sheet1!$V$29</f>
        <v>38.898394616585222</v>
      </c>
      <c r="K3" s="9">
        <f>'Otemachi Daily'!J6</f>
        <v>320.49785999999949</v>
      </c>
      <c r="L3" s="34">
        <f>[2]Sheet1!$AE$29</f>
        <v>19.439045122367574</v>
      </c>
      <c r="M3" s="9">
        <f>'Otemachi Daily'!L6</f>
        <v>34</v>
      </c>
      <c r="N3" s="34">
        <v>741</v>
      </c>
      <c r="O3" s="9">
        <f>'Otemachi Daily'!M6</f>
        <v>52</v>
      </c>
      <c r="P3" s="9">
        <f>'Otemachi Daily'!N6</f>
        <v>92</v>
      </c>
    </row>
    <row r="4" spans="1:16" ht="17">
      <c r="A4" s="6" t="s">
        <v>22</v>
      </c>
      <c r="B4" s="7">
        <f t="shared" ref="B4:B32" si="0">B3+1</f>
        <v>3</v>
      </c>
      <c r="C4" s="8">
        <v>6</v>
      </c>
      <c r="D4" s="7">
        <v>2022</v>
      </c>
      <c r="E4" s="9">
        <f>'Otemachi Daily'!D7</f>
        <v>141</v>
      </c>
      <c r="F4" s="34">
        <f>[1]見込!$G$3</f>
        <v>29.11</v>
      </c>
      <c r="G4" s="9">
        <f>'Otemachi Daily'!F7</f>
        <v>8</v>
      </c>
      <c r="H4" s="34">
        <f>[1]見込!$M$23</f>
        <v>146.80123878673481</v>
      </c>
      <c r="I4" s="9" t="str">
        <f>'Otemachi Daily'!H7</f>
        <v>0</v>
      </c>
      <c r="J4" s="34">
        <f>[2]Sheet1!$V$29</f>
        <v>38.898394616585222</v>
      </c>
      <c r="K4" s="9">
        <f>'Otemachi Daily'!J7</f>
        <v>84.895680000000539</v>
      </c>
      <c r="L4" s="34">
        <f>[2]Sheet1!$AE$29</f>
        <v>19.439045122367574</v>
      </c>
      <c r="M4" s="9" t="str">
        <f>'Otemachi Daily'!L7</f>
        <v>0</v>
      </c>
      <c r="N4" s="34">
        <v>741</v>
      </c>
      <c r="O4" s="9">
        <f>'Otemachi Daily'!M7</f>
        <v>120</v>
      </c>
      <c r="P4" s="9">
        <f>'Otemachi Daily'!N7</f>
        <v>252</v>
      </c>
    </row>
    <row r="5" spans="1:16" ht="17">
      <c r="A5" s="6" t="s">
        <v>22</v>
      </c>
      <c r="B5" s="7">
        <f t="shared" si="0"/>
        <v>4</v>
      </c>
      <c r="C5" s="8">
        <v>6</v>
      </c>
      <c r="D5" s="7">
        <v>2022</v>
      </c>
      <c r="E5" s="9">
        <f>'Otemachi Daily'!D8</f>
        <v>216</v>
      </c>
      <c r="F5" s="34">
        <f>[1]見込!$G$3</f>
        <v>29.11</v>
      </c>
      <c r="G5" s="9">
        <f>'Otemachi Daily'!F8</f>
        <v>7.5999999999999943</v>
      </c>
      <c r="H5" s="34">
        <f>[1]見込!$M$23</f>
        <v>146.80123878673481</v>
      </c>
      <c r="I5" s="9">
        <f>'Otemachi Daily'!H8</f>
        <v>798.11939999999959</v>
      </c>
      <c r="J5" s="34">
        <f>[2]Sheet1!$V$29</f>
        <v>38.898394616585222</v>
      </c>
      <c r="K5" s="9">
        <f>'Otemachi Daily'!J8</f>
        <v>1206.7632000000003</v>
      </c>
      <c r="L5" s="34">
        <f>[2]Sheet1!$AE$29</f>
        <v>19.439045122367574</v>
      </c>
      <c r="M5" s="9">
        <f>'Otemachi Daily'!L8</f>
        <v>43</v>
      </c>
      <c r="N5" s="34">
        <v>741</v>
      </c>
      <c r="O5" s="9">
        <f>'Otemachi Daily'!M8</f>
        <v>125</v>
      </c>
      <c r="P5" s="9">
        <f>'Otemachi Daily'!N8</f>
        <v>257</v>
      </c>
    </row>
    <row r="6" spans="1:16" ht="17">
      <c r="A6" s="6" t="s">
        <v>22</v>
      </c>
      <c r="B6" s="7">
        <f t="shared" si="0"/>
        <v>5</v>
      </c>
      <c r="C6" s="8">
        <v>6</v>
      </c>
      <c r="D6" s="7">
        <v>2022</v>
      </c>
      <c r="E6" s="9" t="str">
        <f>'Otemachi Daily'!D9</f>
        <v>0</v>
      </c>
      <c r="F6" s="34">
        <f>[1]見込!$G$3</f>
        <v>29.11</v>
      </c>
      <c r="G6" s="9">
        <f>'Otemachi Daily'!F9</f>
        <v>6</v>
      </c>
      <c r="H6" s="34">
        <f>[1]見込!$M$23</f>
        <v>146.80123878673481</v>
      </c>
      <c r="I6" s="9">
        <f>'Otemachi Daily'!H9</f>
        <v>706.44540000000052</v>
      </c>
      <c r="J6" s="34">
        <f>[2]Sheet1!$V$29</f>
        <v>38.898394616585222</v>
      </c>
      <c r="K6" s="9">
        <f>'Otemachi Daily'!J9</f>
        <v>100.23024000000078</v>
      </c>
      <c r="L6" s="34">
        <f>[2]Sheet1!$AE$29</f>
        <v>19.439045122367574</v>
      </c>
      <c r="M6" s="9">
        <f>'Otemachi Daily'!L9</f>
        <v>8</v>
      </c>
      <c r="N6" s="34">
        <v>741</v>
      </c>
      <c r="O6" s="9">
        <f>'Otemachi Daily'!M9</f>
        <v>72</v>
      </c>
      <c r="P6" s="9">
        <f>'Otemachi Daily'!N9</f>
        <v>124</v>
      </c>
    </row>
    <row r="7" spans="1:16" ht="17">
      <c r="A7" s="6" t="s">
        <v>22</v>
      </c>
      <c r="B7" s="7">
        <f t="shared" si="0"/>
        <v>6</v>
      </c>
      <c r="C7" s="8">
        <v>6</v>
      </c>
      <c r="D7" s="7">
        <v>2022</v>
      </c>
      <c r="E7" s="9" t="str">
        <f>'Otemachi Daily'!D10</f>
        <v>0</v>
      </c>
      <c r="F7" s="34">
        <f>[1]見込!$G$3</f>
        <v>29.11</v>
      </c>
      <c r="G7" s="9" t="str">
        <f>'Otemachi Daily'!F10</f>
        <v>0</v>
      </c>
      <c r="H7" s="34">
        <f>[1]見込!$M$23</f>
        <v>146.80123878673481</v>
      </c>
      <c r="I7" s="9" t="str">
        <f>'Otemachi Daily'!H10</f>
        <v>0</v>
      </c>
      <c r="J7" s="34">
        <f>[2]Sheet1!$V$29</f>
        <v>38.898394616585222</v>
      </c>
      <c r="K7" s="9" t="str">
        <f>'Otemachi Daily'!J10</f>
        <v>0</v>
      </c>
      <c r="L7" s="34">
        <f>[2]Sheet1!$AE$29</f>
        <v>19.439045122367574</v>
      </c>
      <c r="M7" s="9" t="str">
        <f>'Otemachi Daily'!L10</f>
        <v>0</v>
      </c>
      <c r="N7" s="34">
        <v>741</v>
      </c>
      <c r="O7" s="9">
        <f>'Otemachi Daily'!M10</f>
        <v>60</v>
      </c>
      <c r="P7" s="9">
        <f>'Otemachi Daily'!N10</f>
        <v>96</v>
      </c>
    </row>
    <row r="8" spans="1:16" ht="17">
      <c r="A8" s="6" t="s">
        <v>22</v>
      </c>
      <c r="B8" s="7">
        <f t="shared" si="0"/>
        <v>7</v>
      </c>
      <c r="C8" s="8">
        <v>6</v>
      </c>
      <c r="D8" s="7">
        <v>2022</v>
      </c>
      <c r="E8" s="9" t="str">
        <f>'Otemachi Daily'!D11</f>
        <v>0</v>
      </c>
      <c r="F8" s="34">
        <f>[1]見込!$G$3</f>
        <v>29.11</v>
      </c>
      <c r="G8" s="9">
        <f>'Otemachi Daily'!F11</f>
        <v>13.599999999999994</v>
      </c>
      <c r="H8" s="34">
        <f>[1]見込!$M$23</f>
        <v>146.80123878673481</v>
      </c>
      <c r="I8" s="9" t="str">
        <f>'Otemachi Daily'!H11</f>
        <v>0</v>
      </c>
      <c r="J8" s="34">
        <f>[2]Sheet1!$V$29</f>
        <v>38.898394616585222</v>
      </c>
      <c r="K8" s="9">
        <f>'Otemachi Daily'!J11</f>
        <v>171.95820000000094</v>
      </c>
      <c r="L8" s="34">
        <f>[2]Sheet1!$AE$29</f>
        <v>19.439045122367574</v>
      </c>
      <c r="M8" s="9" t="str">
        <f>'Otemachi Daily'!L11</f>
        <v>0</v>
      </c>
      <c r="N8" s="34">
        <v>741</v>
      </c>
      <c r="O8" s="9">
        <f>'Otemachi Daily'!M11</f>
        <v>69</v>
      </c>
      <c r="P8" s="9">
        <f>'Otemachi Daily'!N11</f>
        <v>119</v>
      </c>
    </row>
    <row r="9" spans="1:16" ht="17">
      <c r="A9" s="6" t="s">
        <v>22</v>
      </c>
      <c r="B9" s="7">
        <f t="shared" si="0"/>
        <v>8</v>
      </c>
      <c r="C9" s="8">
        <v>6</v>
      </c>
      <c r="D9" s="7">
        <v>2022</v>
      </c>
      <c r="E9" s="9" t="str">
        <f>'Otemachi Daily'!D12</f>
        <v>0</v>
      </c>
      <c r="F9" s="34">
        <f>[1]見込!$G$3</f>
        <v>29.11</v>
      </c>
      <c r="G9" s="9" t="str">
        <f>'Otemachi Daily'!F12</f>
        <v>0</v>
      </c>
      <c r="H9" s="34">
        <f>[1]見込!$M$23</f>
        <v>146.80123878673481</v>
      </c>
      <c r="I9" s="9">
        <f>'Otemachi Daily'!H12</f>
        <v>89.173800000000483</v>
      </c>
      <c r="J9" s="34">
        <f>[2]Sheet1!$V$29</f>
        <v>38.898394616585222</v>
      </c>
      <c r="K9" s="9" t="str">
        <f>'Otemachi Daily'!J12</f>
        <v>0</v>
      </c>
      <c r="L9" s="34">
        <f>[2]Sheet1!$AE$29</f>
        <v>19.439045122367574</v>
      </c>
      <c r="M9" s="9" t="str">
        <f>'Otemachi Daily'!L12</f>
        <v>0</v>
      </c>
      <c r="N9" s="34">
        <v>741</v>
      </c>
      <c r="O9" s="9">
        <f>'Otemachi Daily'!M12</f>
        <v>65</v>
      </c>
      <c r="P9" s="9">
        <f>'Otemachi Daily'!N12</f>
        <v>112</v>
      </c>
    </row>
    <row r="10" spans="1:16" ht="17">
      <c r="A10" s="6" t="s">
        <v>22</v>
      </c>
      <c r="B10" s="7">
        <f t="shared" si="0"/>
        <v>9</v>
      </c>
      <c r="C10" s="8">
        <v>6</v>
      </c>
      <c r="D10" s="7">
        <v>2022</v>
      </c>
      <c r="E10" s="9">
        <f>'Otemachi Daily'!D13</f>
        <v>265</v>
      </c>
      <c r="F10" s="34">
        <f>[1]見込!$G$3</f>
        <v>29.11</v>
      </c>
      <c r="G10" s="9">
        <f>'Otemachi Daily'!F13</f>
        <v>20.900000000000006</v>
      </c>
      <c r="H10" s="34">
        <f>[1]見込!$M$23</f>
        <v>146.80123878673481</v>
      </c>
      <c r="I10" s="9">
        <f>'Otemachi Daily'!H13</f>
        <v>1549.5683999999992</v>
      </c>
      <c r="J10" s="34">
        <f>[2]Sheet1!$V$29</f>
        <v>38.898394616585222</v>
      </c>
      <c r="K10" s="9" t="str">
        <f>'Otemachi Daily'!J13</f>
        <v>0</v>
      </c>
      <c r="L10" s="34">
        <f>[2]Sheet1!$AE$29</f>
        <v>19.439045122367574</v>
      </c>
      <c r="M10" s="9">
        <f>'Otemachi Daily'!L13</f>
        <v>19</v>
      </c>
      <c r="N10" s="34">
        <v>741</v>
      </c>
      <c r="O10" s="9">
        <f>'Otemachi Daily'!M13</f>
        <v>65</v>
      </c>
      <c r="P10" s="9">
        <f>'Otemachi Daily'!N13</f>
        <v>111</v>
      </c>
    </row>
    <row r="11" spans="1:16" ht="17">
      <c r="A11" s="6" t="s">
        <v>22</v>
      </c>
      <c r="B11" s="7">
        <f t="shared" si="0"/>
        <v>10</v>
      </c>
      <c r="C11" s="8">
        <v>6</v>
      </c>
      <c r="D11" s="7">
        <v>2022</v>
      </c>
      <c r="E11" s="9">
        <f>'Otemachi Daily'!D14</f>
        <v>867</v>
      </c>
      <c r="F11" s="34">
        <f>[1]見込!$G$3</f>
        <v>29.11</v>
      </c>
      <c r="G11" s="9">
        <f>'Otemachi Daily'!F14</f>
        <v>14</v>
      </c>
      <c r="H11" s="34">
        <f>[1]見込!$M$23</f>
        <v>146.80123878673481</v>
      </c>
      <c r="I11" s="9">
        <f>'Otemachi Daily'!H14</f>
        <v>3006.9072000000006</v>
      </c>
      <c r="J11" s="34">
        <f>[2]Sheet1!$V$29</f>
        <v>38.898394616585222</v>
      </c>
      <c r="K11" s="9" t="str">
        <f>'Otemachi Daily'!J14</f>
        <v>0</v>
      </c>
      <c r="L11" s="34">
        <f>[2]Sheet1!$AE$29</f>
        <v>19.439045122367574</v>
      </c>
      <c r="M11" s="9">
        <f>'Otemachi Daily'!L14</f>
        <v>0</v>
      </c>
      <c r="N11" s="34">
        <v>741</v>
      </c>
      <c r="O11" s="9">
        <f>'Otemachi Daily'!M14</f>
        <v>95</v>
      </c>
      <c r="P11" s="9">
        <f>'Otemachi Daily'!N14</f>
        <v>187</v>
      </c>
    </row>
    <row r="12" spans="1:16" ht="17">
      <c r="A12" s="6" t="s">
        <v>22</v>
      </c>
      <c r="B12" s="7">
        <f t="shared" si="0"/>
        <v>11</v>
      </c>
      <c r="C12" s="8">
        <v>6</v>
      </c>
      <c r="D12" s="7">
        <v>2022</v>
      </c>
      <c r="E12" s="9">
        <f>'Otemachi Daily'!D15</f>
        <v>540</v>
      </c>
      <c r="F12" s="34">
        <f>[1]見込!$G$3</f>
        <v>29.11</v>
      </c>
      <c r="G12" s="9" t="str">
        <f>'Otemachi Daily'!F15</f>
        <v>0</v>
      </c>
      <c r="H12" s="34">
        <f>[1]見込!$M$23</f>
        <v>146.80123878673481</v>
      </c>
      <c r="I12" s="9">
        <f>'Otemachi Daily'!H15</f>
        <v>1885.9842000000008</v>
      </c>
      <c r="J12" s="34">
        <f>[2]Sheet1!$V$29</f>
        <v>38.898394616585222</v>
      </c>
      <c r="K12" s="9">
        <f>'Otemachi Daily'!J15</f>
        <v>548.29385999999977</v>
      </c>
      <c r="L12" s="34">
        <f>[2]Sheet1!$AE$29</f>
        <v>19.439045122367574</v>
      </c>
      <c r="M12" s="9">
        <f>'Otemachi Daily'!L15</f>
        <v>42</v>
      </c>
      <c r="N12" s="34">
        <v>741</v>
      </c>
      <c r="O12" s="9">
        <f>'Otemachi Daily'!M15</f>
        <v>144</v>
      </c>
      <c r="P12" s="9">
        <f>'Otemachi Daily'!N15</f>
        <v>295</v>
      </c>
    </row>
    <row r="13" spans="1:16" ht="17">
      <c r="A13" s="6" t="s">
        <v>22</v>
      </c>
      <c r="B13" s="7">
        <f t="shared" si="0"/>
        <v>12</v>
      </c>
      <c r="C13" s="8">
        <v>6</v>
      </c>
      <c r="D13" s="7">
        <v>2022</v>
      </c>
      <c r="E13" s="9" t="str">
        <f>'Otemachi Daily'!D16</f>
        <v>0</v>
      </c>
      <c r="F13" s="34">
        <f>[1]見込!$G$3</f>
        <v>29.11</v>
      </c>
      <c r="G13" s="9">
        <f>'Otemachi Daily'!F16</f>
        <v>2.1999999999999886</v>
      </c>
      <c r="H13" s="34">
        <f>[1]見込!$M$23</f>
        <v>146.80123878673481</v>
      </c>
      <c r="I13" s="9" t="str">
        <f>'Otemachi Daily'!H16</f>
        <v>0</v>
      </c>
      <c r="J13" s="34">
        <f>[2]Sheet1!$V$29</f>
        <v>38.898394616585222</v>
      </c>
      <c r="K13" s="9">
        <f>'Otemachi Daily'!J16</f>
        <v>792.64674000000014</v>
      </c>
      <c r="L13" s="34">
        <f>[2]Sheet1!$AE$29</f>
        <v>19.439045122367574</v>
      </c>
      <c r="M13" s="9">
        <f>'Otemachi Daily'!L16</f>
        <v>12</v>
      </c>
      <c r="N13" s="34">
        <v>741</v>
      </c>
      <c r="O13" s="9">
        <f>'Otemachi Daily'!M16</f>
        <v>81</v>
      </c>
      <c r="P13" s="9">
        <f>'Otemachi Daily'!N16</f>
        <v>142</v>
      </c>
    </row>
    <row r="14" spans="1:16" ht="17">
      <c r="A14" s="6" t="s">
        <v>22</v>
      </c>
      <c r="B14" s="7">
        <f t="shared" si="0"/>
        <v>13</v>
      </c>
      <c r="C14" s="8">
        <v>6</v>
      </c>
      <c r="D14" s="7">
        <v>2022</v>
      </c>
      <c r="E14" s="9" t="str">
        <f>'Otemachi Daily'!D17</f>
        <v>0</v>
      </c>
      <c r="F14" s="34">
        <f>[1]見込!$G$3</f>
        <v>29.11</v>
      </c>
      <c r="G14" s="9" t="str">
        <f>'Otemachi Daily'!F17</f>
        <v>0</v>
      </c>
      <c r="H14" s="34">
        <f>[1]見込!$M$23</f>
        <v>146.80123878673481</v>
      </c>
      <c r="I14" s="9" t="str">
        <f>'Otemachi Daily'!H17</f>
        <v>0</v>
      </c>
      <c r="J14" s="34">
        <f>[2]Sheet1!$V$29</f>
        <v>38.898394616585222</v>
      </c>
      <c r="K14" s="9" t="str">
        <f>'Otemachi Daily'!J17</f>
        <v>0</v>
      </c>
      <c r="L14" s="34">
        <f>[2]Sheet1!$AE$29</f>
        <v>19.439045122367574</v>
      </c>
      <c r="M14" s="9" t="str">
        <f>'Otemachi Daily'!L17</f>
        <v>0</v>
      </c>
      <c r="N14" s="34">
        <v>741</v>
      </c>
      <c r="O14" s="9">
        <f>'Otemachi Daily'!M17</f>
        <v>68</v>
      </c>
      <c r="P14" s="9">
        <f>'Otemachi Daily'!N17</f>
        <v>107</v>
      </c>
    </row>
    <row r="15" spans="1:16" ht="17">
      <c r="A15" s="6" t="s">
        <v>22</v>
      </c>
      <c r="B15" s="7">
        <f t="shared" si="0"/>
        <v>14</v>
      </c>
      <c r="C15" s="8">
        <v>6</v>
      </c>
      <c r="D15" s="7">
        <v>2022</v>
      </c>
      <c r="E15" s="9">
        <f>'Otemachi Daily'!D18</f>
        <v>60</v>
      </c>
      <c r="F15" s="34">
        <f>[1]見込!$G$3</f>
        <v>29.11</v>
      </c>
      <c r="G15" s="9" t="str">
        <f>'Otemachi Daily'!F18</f>
        <v>0</v>
      </c>
      <c r="H15" s="34">
        <f>[1]見込!$M$23</f>
        <v>146.80123878673481</v>
      </c>
      <c r="I15" s="9" t="str">
        <f>'Otemachi Daily'!H18</f>
        <v>0</v>
      </c>
      <c r="J15" s="34">
        <f>[2]Sheet1!$V$29</f>
        <v>38.898394616585222</v>
      </c>
      <c r="K15" s="9">
        <f>'Otemachi Daily'!J18</f>
        <v>1860.0654599999998</v>
      </c>
      <c r="L15" s="34">
        <f>[2]Sheet1!$AE$29</f>
        <v>19.439045122367574</v>
      </c>
      <c r="M15" s="9" t="str">
        <f>'Otemachi Daily'!L18</f>
        <v>0</v>
      </c>
      <c r="N15" s="34">
        <v>741</v>
      </c>
      <c r="O15" s="9">
        <f>'Otemachi Daily'!M18</f>
        <v>78</v>
      </c>
      <c r="P15" s="9">
        <f>'Otemachi Daily'!N18</f>
        <v>125</v>
      </c>
    </row>
    <row r="16" spans="1:16" ht="17">
      <c r="A16" s="6" t="s">
        <v>22</v>
      </c>
      <c r="B16" s="7">
        <f t="shared" si="0"/>
        <v>15</v>
      </c>
      <c r="C16" s="8">
        <v>6</v>
      </c>
      <c r="D16" s="7">
        <v>2022</v>
      </c>
      <c r="E16" s="9">
        <f>'Otemachi Daily'!D19</f>
        <v>197</v>
      </c>
      <c r="F16" s="34">
        <f>[1]見込!$G$3</f>
        <v>29.11</v>
      </c>
      <c r="G16" s="9" t="str">
        <f>'Otemachi Daily'!F19</f>
        <v>0</v>
      </c>
      <c r="H16" s="34">
        <f>[1]見込!$M$23</f>
        <v>146.80123878673481</v>
      </c>
      <c r="I16" s="9">
        <f>'Otemachi Daily'!H19</f>
        <v>327.24839999999949</v>
      </c>
      <c r="J16" s="34">
        <f>[2]Sheet1!$V$29</f>
        <v>38.898394616585222</v>
      </c>
      <c r="K16" s="9" t="str">
        <f>'Otemachi Daily'!J19</f>
        <v>0</v>
      </c>
      <c r="L16" s="34">
        <f>[2]Sheet1!$AE$29</f>
        <v>19.439045122367574</v>
      </c>
      <c r="M16" s="9" t="str">
        <f>'Otemachi Daily'!L19</f>
        <v>0</v>
      </c>
      <c r="N16" s="34">
        <v>741</v>
      </c>
      <c r="O16" s="9">
        <f>'Otemachi Daily'!M19</f>
        <v>91</v>
      </c>
      <c r="P16" s="9">
        <f>'Otemachi Daily'!N19</f>
        <v>152</v>
      </c>
    </row>
    <row r="17" spans="1:16" ht="17">
      <c r="A17" s="6" t="s">
        <v>22</v>
      </c>
      <c r="B17" s="7">
        <f t="shared" si="0"/>
        <v>16</v>
      </c>
      <c r="C17" s="8">
        <v>6</v>
      </c>
      <c r="D17" s="7">
        <v>2022</v>
      </c>
      <c r="E17" s="9">
        <f>'Otemachi Daily'!D20</f>
        <v>398</v>
      </c>
      <c r="F17" s="34">
        <f>[1]見込!$G$3</f>
        <v>29.11</v>
      </c>
      <c r="G17" s="9">
        <f>'Otemachi Daily'!F20</f>
        <v>15.800000000000011</v>
      </c>
      <c r="H17" s="34">
        <f>[1]見込!$M$23</f>
        <v>146.80123878673481</v>
      </c>
      <c r="I17" s="9">
        <f>'Otemachi Daily'!H20</f>
        <v>3343.6008000000002</v>
      </c>
      <c r="J17" s="34">
        <f>[2]Sheet1!$V$29</f>
        <v>38.898394616585222</v>
      </c>
      <c r="K17" s="9" t="str">
        <f>'Otemachi Daily'!J20</f>
        <v>0</v>
      </c>
      <c r="L17" s="34">
        <f>[2]Sheet1!$AE$29</f>
        <v>19.439045122367574</v>
      </c>
      <c r="M17" s="9">
        <f>'Otemachi Daily'!L20</f>
        <v>32</v>
      </c>
      <c r="N17" s="34">
        <v>741</v>
      </c>
      <c r="O17" s="9">
        <f>'Otemachi Daily'!M20</f>
        <v>101</v>
      </c>
      <c r="P17" s="9">
        <f>'Otemachi Daily'!N20</f>
        <v>168</v>
      </c>
    </row>
    <row r="18" spans="1:16" ht="17">
      <c r="A18" s="6" t="s">
        <v>22</v>
      </c>
      <c r="B18" s="7">
        <f t="shared" si="0"/>
        <v>17</v>
      </c>
      <c r="C18" s="8">
        <v>6</v>
      </c>
      <c r="D18" s="7">
        <v>2022</v>
      </c>
      <c r="E18" s="9">
        <f>'Otemachi Daily'!D21</f>
        <v>594</v>
      </c>
      <c r="F18" s="34">
        <f>[1]見込!$G$3</f>
        <v>29.11</v>
      </c>
      <c r="G18" s="9">
        <f>'Otemachi Daily'!F21</f>
        <v>12.800000000000011</v>
      </c>
      <c r="H18" s="34">
        <f>[1]見込!$M$23</f>
        <v>146.80123878673481</v>
      </c>
      <c r="I18" s="9">
        <f>'Otemachi Daily'!H21</f>
        <v>5724.3468000000012</v>
      </c>
      <c r="J18" s="34">
        <f>[2]Sheet1!$V$29</f>
        <v>38.898394616585222</v>
      </c>
      <c r="K18" s="9" t="str">
        <f>'Otemachi Daily'!J21</f>
        <v>0</v>
      </c>
      <c r="L18" s="34">
        <f>[2]Sheet1!$AE$29</f>
        <v>19.439045122367574</v>
      </c>
      <c r="M18" s="9">
        <f>'Otemachi Daily'!L21</f>
        <v>7</v>
      </c>
      <c r="N18" s="34">
        <v>741</v>
      </c>
      <c r="O18" s="9">
        <f>'Otemachi Daily'!M21</f>
        <v>128</v>
      </c>
      <c r="P18" s="9">
        <f>'Otemachi Daily'!N21</f>
        <v>246</v>
      </c>
    </row>
    <row r="19" spans="1:16" ht="17">
      <c r="A19" s="6" t="s">
        <v>22</v>
      </c>
      <c r="B19" s="7">
        <f t="shared" si="0"/>
        <v>18</v>
      </c>
      <c r="C19" s="8">
        <v>6</v>
      </c>
      <c r="D19" s="7">
        <v>2022</v>
      </c>
      <c r="E19" s="9">
        <f>'Otemachi Daily'!D22</f>
        <v>480</v>
      </c>
      <c r="F19" s="34">
        <f>[1]見込!$G$3</f>
        <v>29.11</v>
      </c>
      <c r="G19" s="9">
        <f>'Otemachi Daily'!F22</f>
        <v>17.099999999999994</v>
      </c>
      <c r="H19" s="34">
        <f>[1]見込!$M$23</f>
        <v>146.80123878673481</v>
      </c>
      <c r="I19" s="9">
        <f>'Otemachi Daily'!H22</f>
        <v>1385.9441999999999</v>
      </c>
      <c r="J19" s="34">
        <f>[2]Sheet1!$V$29</f>
        <v>38.898394616585222</v>
      </c>
      <c r="K19" s="9">
        <f>'Otemachi Daily'!J22</f>
        <v>1210.4579400000002</v>
      </c>
      <c r="L19" s="34">
        <f>[2]Sheet1!$AE$29</f>
        <v>19.439045122367574</v>
      </c>
      <c r="M19" s="9">
        <f>'Otemachi Daily'!L22</f>
        <v>45</v>
      </c>
      <c r="N19" s="34">
        <v>741</v>
      </c>
      <c r="O19" s="9">
        <f>'Otemachi Daily'!M22</f>
        <v>165</v>
      </c>
      <c r="P19" s="9">
        <f>'Otemachi Daily'!N22</f>
        <v>342</v>
      </c>
    </row>
    <row r="20" spans="1:16" ht="17">
      <c r="A20" s="6" t="s">
        <v>22</v>
      </c>
      <c r="B20" s="7">
        <f t="shared" si="0"/>
        <v>19</v>
      </c>
      <c r="C20" s="8">
        <v>6</v>
      </c>
      <c r="D20" s="7">
        <v>2022</v>
      </c>
      <c r="E20" s="9" t="str">
        <f>'Otemachi Daily'!D23</f>
        <v>0</v>
      </c>
      <c r="F20" s="34">
        <f>[1]見込!$G$3</f>
        <v>29.11</v>
      </c>
      <c r="G20" s="9" t="str">
        <f>'Otemachi Daily'!F23</f>
        <v>0</v>
      </c>
      <c r="H20" s="34">
        <f>[1]見込!$M$23</f>
        <v>146.80123878673481</v>
      </c>
      <c r="I20" s="9">
        <f>'Otemachi Daily'!H23</f>
        <v>2597.1521999999986</v>
      </c>
      <c r="J20" s="34">
        <f>[2]Sheet1!$V$29</f>
        <v>38.898394616585222</v>
      </c>
      <c r="K20" s="9" t="str">
        <f>'Otemachi Daily'!J23</f>
        <v>0</v>
      </c>
      <c r="L20" s="34">
        <f>[2]Sheet1!$AE$29</f>
        <v>19.439045122367574</v>
      </c>
      <c r="M20" s="9">
        <f>'Otemachi Daily'!L23</f>
        <v>1</v>
      </c>
      <c r="N20" s="34">
        <v>741</v>
      </c>
      <c r="O20" s="9">
        <f>'Otemachi Daily'!M23</f>
        <v>108</v>
      </c>
      <c r="P20" s="9">
        <f>'Otemachi Daily'!N23</f>
        <v>181</v>
      </c>
    </row>
    <row r="21" spans="1:16" ht="17">
      <c r="A21" s="6" t="s">
        <v>22</v>
      </c>
      <c r="B21" s="7">
        <f t="shared" si="0"/>
        <v>20</v>
      </c>
      <c r="C21" s="8">
        <v>6</v>
      </c>
      <c r="D21" s="7">
        <v>2022</v>
      </c>
      <c r="E21" s="9">
        <f>'Otemachi Daily'!D24</f>
        <v>206</v>
      </c>
      <c r="F21" s="34">
        <f>[1]見込!$G$3</f>
        <v>29.11</v>
      </c>
      <c r="G21" s="9">
        <f>'Otemachi Daily'!F24</f>
        <v>1.5999999999999943</v>
      </c>
      <c r="H21" s="34">
        <f>[1]見込!$M$23</f>
        <v>146.80123878673481</v>
      </c>
      <c r="I21" s="9">
        <f>'Otemachi Daily'!H24</f>
        <v>354.75059999999939</v>
      </c>
      <c r="J21" s="34">
        <f>[2]Sheet1!$V$29</f>
        <v>38.898394616585222</v>
      </c>
      <c r="K21" s="9" t="str">
        <f>'Otemachi Daily'!J24</f>
        <v>0</v>
      </c>
      <c r="L21" s="34">
        <f>[2]Sheet1!$AE$29</f>
        <v>19.439045122367574</v>
      </c>
      <c r="M21" s="9" t="str">
        <f>'Otemachi Daily'!L24</f>
        <v>0</v>
      </c>
      <c r="N21" s="34">
        <v>741</v>
      </c>
      <c r="O21" s="9">
        <f>'Otemachi Daily'!M24</f>
        <v>87</v>
      </c>
      <c r="P21" s="9">
        <f>'Otemachi Daily'!N24</f>
        <v>150</v>
      </c>
    </row>
    <row r="22" spans="1:16" ht="17">
      <c r="A22" s="6" t="s">
        <v>22</v>
      </c>
      <c r="B22" s="7">
        <f t="shared" si="0"/>
        <v>21</v>
      </c>
      <c r="C22" s="8">
        <v>6</v>
      </c>
      <c r="D22" s="7">
        <v>2022</v>
      </c>
      <c r="E22" s="9" t="str">
        <f>'Otemachi Daily'!D25</f>
        <v>0</v>
      </c>
      <c r="F22" s="34">
        <f>[1]見込!$G$3</f>
        <v>29.11</v>
      </c>
      <c r="G22" s="9" t="str">
        <f>'Otemachi Daily'!F25</f>
        <v>0</v>
      </c>
      <c r="H22" s="34">
        <f>[1]見込!$M$23</f>
        <v>146.80123878673481</v>
      </c>
      <c r="I22" s="9" t="str">
        <f>'Otemachi Daily'!H25</f>
        <v>0</v>
      </c>
      <c r="J22" s="34">
        <f>[2]Sheet1!$V$29</f>
        <v>38.898394616585222</v>
      </c>
      <c r="K22" s="9" t="str">
        <f>'Otemachi Daily'!J25</f>
        <v>0</v>
      </c>
      <c r="L22" s="34">
        <f>[2]Sheet1!$AE$29</f>
        <v>19.439045122367574</v>
      </c>
      <c r="M22" s="9" t="str">
        <f>'Otemachi Daily'!L25</f>
        <v>0</v>
      </c>
      <c r="N22" s="34">
        <v>741</v>
      </c>
      <c r="O22" s="9">
        <f>'Otemachi Daily'!M25</f>
        <v>68</v>
      </c>
      <c r="P22" s="9">
        <f>'Otemachi Daily'!N25</f>
        <v>113</v>
      </c>
    </row>
    <row r="23" spans="1:16" ht="17">
      <c r="A23" s="6" t="s">
        <v>22</v>
      </c>
      <c r="B23" s="7">
        <f t="shared" si="0"/>
        <v>22</v>
      </c>
      <c r="C23" s="8">
        <v>6</v>
      </c>
      <c r="D23" s="7">
        <v>2022</v>
      </c>
      <c r="E23" s="9" t="str">
        <f>'Otemachi Daily'!D26</f>
        <v>0</v>
      </c>
      <c r="F23" s="34">
        <f>[1]見込!$G$3</f>
        <v>29.11</v>
      </c>
      <c r="G23" s="9" t="str">
        <f>'Otemachi Daily'!F26</f>
        <v>0</v>
      </c>
      <c r="H23" s="34">
        <f>[1]見込!$M$23</f>
        <v>146.80123878673481</v>
      </c>
      <c r="I23" s="9" t="str">
        <f>'Otemachi Daily'!H26</f>
        <v>0</v>
      </c>
      <c r="J23" s="34">
        <f>[2]Sheet1!$V$29</f>
        <v>38.898394616585222</v>
      </c>
      <c r="K23" s="9" t="str">
        <f>'Otemachi Daily'!J26</f>
        <v>0</v>
      </c>
      <c r="L23" s="34">
        <f>[2]Sheet1!$AE$29</f>
        <v>19.439045122367574</v>
      </c>
      <c r="M23" s="9" t="str">
        <f>'Otemachi Daily'!L26</f>
        <v>0</v>
      </c>
      <c r="N23" s="34">
        <v>741</v>
      </c>
      <c r="O23" s="9">
        <f>'Otemachi Daily'!M26</f>
        <v>85</v>
      </c>
      <c r="P23" s="9">
        <f>'Otemachi Daily'!N26</f>
        <v>142</v>
      </c>
    </row>
    <row r="24" spans="1:16" ht="17">
      <c r="A24" s="6" t="s">
        <v>22</v>
      </c>
      <c r="B24" s="7">
        <f t="shared" si="0"/>
        <v>23</v>
      </c>
      <c r="C24" s="8">
        <v>6</v>
      </c>
      <c r="D24" s="7">
        <v>2022</v>
      </c>
      <c r="E24" s="9">
        <f>'Otemachi Daily'!D27</f>
        <v>382</v>
      </c>
      <c r="F24" s="34">
        <f>[1]見込!$G$3</f>
        <v>29.11</v>
      </c>
      <c r="G24" s="9">
        <f>'Otemachi Daily'!F27</f>
        <v>14</v>
      </c>
      <c r="H24" s="34">
        <f>[1]見込!$M$23</f>
        <v>146.80123878673481</v>
      </c>
      <c r="I24" s="9" t="str">
        <f>'Otemachi Daily'!H27</f>
        <v>0</v>
      </c>
      <c r="J24" s="34">
        <f>[2]Sheet1!$V$29</f>
        <v>38.898394616585222</v>
      </c>
      <c r="K24" s="9">
        <f>'Otemachi Daily'!J27</f>
        <v>737.47566000000006</v>
      </c>
      <c r="L24" s="34">
        <f>[2]Sheet1!$AE$29</f>
        <v>19.439045122367574</v>
      </c>
      <c r="M24" s="9">
        <f>'Otemachi Daily'!L27</f>
        <v>43</v>
      </c>
      <c r="N24" s="34">
        <v>741</v>
      </c>
      <c r="O24" s="9">
        <f>'Otemachi Daily'!M27</f>
        <v>124</v>
      </c>
      <c r="P24" s="9">
        <f>'Otemachi Daily'!N27</f>
        <v>195</v>
      </c>
    </row>
    <row r="25" spans="1:16" ht="17">
      <c r="A25" s="6" t="s">
        <v>22</v>
      </c>
      <c r="B25" s="7">
        <f t="shared" si="0"/>
        <v>24</v>
      </c>
      <c r="C25" s="8">
        <v>6</v>
      </c>
      <c r="D25" s="7">
        <v>2022</v>
      </c>
      <c r="E25" s="9">
        <f>'Otemachi Daily'!D28</f>
        <v>969</v>
      </c>
      <c r="F25" s="34">
        <f>[1]見込!$G$3</f>
        <v>29.11</v>
      </c>
      <c r="G25" s="9">
        <f>'Otemachi Daily'!F28</f>
        <v>7.7999999999999829</v>
      </c>
      <c r="H25" s="34">
        <f>[1]見込!$M$23</f>
        <v>146.80123878673481</v>
      </c>
      <c r="I25" s="9">
        <f>'Otemachi Daily'!H28</f>
        <v>11476.473599999998</v>
      </c>
      <c r="J25" s="34">
        <f>[2]Sheet1!$V$29</f>
        <v>38.898394616585222</v>
      </c>
      <c r="K25" s="9" t="str">
        <f>'Otemachi Daily'!J28</f>
        <v>0</v>
      </c>
      <c r="L25" s="34">
        <f>[2]Sheet1!$AE$29</f>
        <v>19.439045122367574</v>
      </c>
      <c r="M25" s="9">
        <f>'Otemachi Daily'!L28</f>
        <v>19</v>
      </c>
      <c r="N25" s="34">
        <v>741</v>
      </c>
      <c r="O25" s="9">
        <f>'Otemachi Daily'!M28</f>
        <v>161</v>
      </c>
      <c r="P25" s="9">
        <f>'Otemachi Daily'!N28</f>
        <v>279</v>
      </c>
    </row>
    <row r="26" spans="1:16" ht="17">
      <c r="A26" s="6" t="s">
        <v>22</v>
      </c>
      <c r="B26" s="7">
        <f>B25+1</f>
        <v>25</v>
      </c>
      <c r="C26" s="8">
        <v>6</v>
      </c>
      <c r="D26" s="7">
        <v>2022</v>
      </c>
      <c r="E26" s="9">
        <f>'Otemachi Daily'!D29</f>
        <v>672</v>
      </c>
      <c r="F26" s="34">
        <f>[1]見込!$G$3</f>
        <v>29.11</v>
      </c>
      <c r="G26" s="9" t="str">
        <f>'Otemachi Daily'!F29</f>
        <v>0</v>
      </c>
      <c r="H26" s="34">
        <f>[1]見込!$M$23</f>
        <v>146.80123878673481</v>
      </c>
      <c r="I26" s="9">
        <f>'Otemachi Daily'!H29</f>
        <v>7302.2508000000016</v>
      </c>
      <c r="J26" s="34">
        <f>[2]Sheet1!$V$29</f>
        <v>38.898394616585222</v>
      </c>
      <c r="K26" s="9">
        <f>'Otemachi Daily'!J29</f>
        <v>1059.3069599999981</v>
      </c>
      <c r="L26" s="34">
        <f>[2]Sheet1!$AE$29</f>
        <v>19.439045122367574</v>
      </c>
      <c r="M26" s="9">
        <f>'Otemachi Daily'!L29</f>
        <v>48</v>
      </c>
      <c r="N26" s="34">
        <v>741</v>
      </c>
      <c r="O26" s="9">
        <f>'Otemachi Daily'!M29</f>
        <v>190</v>
      </c>
      <c r="P26" s="9">
        <f>'Otemachi Daily'!N29</f>
        <v>345</v>
      </c>
    </row>
    <row r="27" spans="1:16" ht="17">
      <c r="A27" s="6" t="s">
        <v>22</v>
      </c>
      <c r="B27" s="7">
        <f t="shared" si="0"/>
        <v>26</v>
      </c>
      <c r="C27" s="8">
        <v>6</v>
      </c>
      <c r="D27" s="7">
        <v>2022</v>
      </c>
      <c r="E27" s="9" t="str">
        <f>'Otemachi Daily'!D30</f>
        <v>0</v>
      </c>
      <c r="F27" s="34">
        <f>[1]見込!$G$3</f>
        <v>29.11</v>
      </c>
      <c r="G27" s="9" t="str">
        <f>'Otemachi Daily'!F30</f>
        <v>0</v>
      </c>
      <c r="H27" s="34">
        <f>[1]見込!$M$23</f>
        <v>146.80123878673481</v>
      </c>
      <c r="I27" s="9" t="str">
        <f>'Otemachi Daily'!H30</f>
        <v>0</v>
      </c>
      <c r="J27" s="34">
        <f>[2]Sheet1!$V$29</f>
        <v>38.898394616585222</v>
      </c>
      <c r="K27" s="9" t="str">
        <f>'Otemachi Daily'!J30</f>
        <v>0</v>
      </c>
      <c r="L27" s="34">
        <f>[2]Sheet1!$AE$29</f>
        <v>19.439045122367574</v>
      </c>
      <c r="M27" s="9" t="str">
        <f>'Otemachi Daily'!L30</f>
        <v>0</v>
      </c>
      <c r="N27" s="34">
        <v>741</v>
      </c>
      <c r="O27" s="9">
        <f>'Otemachi Daily'!M30</f>
        <v>114</v>
      </c>
      <c r="P27" s="9">
        <f>'Otemachi Daily'!N30</f>
        <v>205</v>
      </c>
    </row>
    <row r="28" spans="1:16" ht="17">
      <c r="A28" s="6" t="s">
        <v>22</v>
      </c>
      <c r="B28" s="7">
        <f t="shared" si="0"/>
        <v>27</v>
      </c>
      <c r="C28" s="8">
        <v>6</v>
      </c>
      <c r="D28" s="7">
        <v>2022</v>
      </c>
      <c r="E28" s="9" t="str">
        <f>'Otemachi Daily'!D31</f>
        <v>0</v>
      </c>
      <c r="F28" s="34">
        <f>[1]見込!$G$3</f>
        <v>29.11</v>
      </c>
      <c r="G28" s="9" t="str">
        <f>'Otemachi Daily'!F31</f>
        <v>0</v>
      </c>
      <c r="H28" s="34">
        <f>[1]見込!$M$23</f>
        <v>146.80123878673481</v>
      </c>
      <c r="I28" s="9">
        <f>'Otemachi Daily'!H31</f>
        <v>828.95520000000033</v>
      </c>
      <c r="J28" s="34">
        <f>[2]Sheet1!$V$29</f>
        <v>38.898394616585222</v>
      </c>
      <c r="K28" s="9" t="str">
        <f>'Otemachi Daily'!J31</f>
        <v>0</v>
      </c>
      <c r="L28" s="34">
        <f>[2]Sheet1!$AE$29</f>
        <v>19.439045122367574</v>
      </c>
      <c r="M28" s="9" t="str">
        <f>'Otemachi Daily'!L31</f>
        <v>0</v>
      </c>
      <c r="N28" s="34">
        <v>741</v>
      </c>
      <c r="O28" s="9">
        <f>'Otemachi Daily'!M31</f>
        <v>75</v>
      </c>
      <c r="P28" s="9">
        <f>'Otemachi Daily'!N31</f>
        <v>134</v>
      </c>
    </row>
    <row r="29" spans="1:16" ht="17">
      <c r="A29" s="6" t="s">
        <v>22</v>
      </c>
      <c r="B29" s="7">
        <f t="shared" si="0"/>
        <v>28</v>
      </c>
      <c r="C29" s="8">
        <v>6</v>
      </c>
      <c r="D29" s="7">
        <v>2022</v>
      </c>
      <c r="E29" s="9" t="str">
        <f>'Otemachi Daily'!D32</f>
        <v>0</v>
      </c>
      <c r="F29" s="34">
        <f>[1]見込!$G$3</f>
        <v>29.11</v>
      </c>
      <c r="G29" s="9">
        <f>'Otemachi Daily'!F32</f>
        <v>5.4000000000000057</v>
      </c>
      <c r="H29" s="34">
        <f>[1]見込!$M$23</f>
        <v>146.80123878673481</v>
      </c>
      <c r="I29" s="9">
        <f>'Otemachi Daily'!H32</f>
        <v>1057.584600000002</v>
      </c>
      <c r="J29" s="34">
        <f>[2]Sheet1!$V$29</f>
        <v>38.898394616585222</v>
      </c>
      <c r="K29" s="9" t="str">
        <f>'Otemachi Daily'!J32</f>
        <v>0</v>
      </c>
      <c r="L29" s="34">
        <f>[2]Sheet1!$AE$29</f>
        <v>19.439045122367574</v>
      </c>
      <c r="M29" s="9" t="str">
        <f>'Otemachi Daily'!L32</f>
        <v>0</v>
      </c>
      <c r="N29" s="34">
        <v>741</v>
      </c>
      <c r="O29" s="9">
        <f>'Otemachi Daily'!M32</f>
        <v>81</v>
      </c>
      <c r="P29" s="9">
        <f>'Otemachi Daily'!N32</f>
        <v>130</v>
      </c>
    </row>
    <row r="30" spans="1:16" ht="17">
      <c r="A30" s="6" t="s">
        <v>22</v>
      </c>
      <c r="B30" s="7">
        <f t="shared" si="0"/>
        <v>29</v>
      </c>
      <c r="C30" s="8">
        <v>6</v>
      </c>
      <c r="D30" s="7">
        <v>2022</v>
      </c>
      <c r="E30" s="9">
        <f>'Otemachi Daily'!D33</f>
        <v>445</v>
      </c>
      <c r="F30" s="34">
        <f>[1]見込!$G$3</f>
        <v>29.11</v>
      </c>
      <c r="G30" s="9" t="str">
        <f>'Otemachi Daily'!F33</f>
        <v>0</v>
      </c>
      <c r="H30" s="34">
        <f>[1]見込!$M$23</f>
        <v>146.80123878673481</v>
      </c>
      <c r="I30" s="9">
        <f>'Otemachi Daily'!H33</f>
        <v>2141.0045999999966</v>
      </c>
      <c r="J30" s="34">
        <f>[2]Sheet1!$V$29</f>
        <v>38.898394616585222</v>
      </c>
      <c r="K30" s="9" t="str">
        <f>'Otemachi Daily'!J33</f>
        <v>0</v>
      </c>
      <c r="L30" s="34">
        <f>[2]Sheet1!$AE$29</f>
        <v>19.439045122367574</v>
      </c>
      <c r="M30" s="9" t="str">
        <f>'Otemachi Daily'!L33</f>
        <v>0</v>
      </c>
      <c r="N30" s="34">
        <v>741</v>
      </c>
      <c r="O30" s="9">
        <f>'Otemachi Daily'!M33</f>
        <v>81</v>
      </c>
      <c r="P30" s="9">
        <f>'Otemachi Daily'!N33</f>
        <v>140</v>
      </c>
    </row>
    <row r="31" spans="1:16" ht="17">
      <c r="A31" s="6" t="s">
        <v>22</v>
      </c>
      <c r="B31" s="7">
        <f t="shared" si="0"/>
        <v>30</v>
      </c>
      <c r="C31" s="8">
        <v>6</v>
      </c>
      <c r="D31" s="7">
        <v>2022</v>
      </c>
      <c r="E31" s="9" t="str">
        <f>'Otemachi Daily'!D34</f>
        <v>0</v>
      </c>
      <c r="F31" s="34">
        <f>[1]見込!$G$3</f>
        <v>29.11</v>
      </c>
      <c r="G31" s="9">
        <f>'Otemachi Daily'!F34</f>
        <v>15.800000000000011</v>
      </c>
      <c r="H31" s="34">
        <f>[1]見込!$M$23</f>
        <v>146.80123878673481</v>
      </c>
      <c r="I31" s="9" t="str">
        <f>'Otemachi Daily'!H34</f>
        <v>0</v>
      </c>
      <c r="J31" s="34">
        <f>[2]Sheet1!$V$29</f>
        <v>38.898394616585222</v>
      </c>
      <c r="K31" s="9">
        <f>'Otemachi Daily'!J34</f>
        <v>490.51145999999972</v>
      </c>
      <c r="L31" s="34">
        <f>[2]Sheet1!$AE$29</f>
        <v>19.439045122367574</v>
      </c>
      <c r="M31" s="9">
        <f>'Otemachi Daily'!L34</f>
        <v>32</v>
      </c>
      <c r="N31" s="34">
        <v>741</v>
      </c>
      <c r="O31" s="9">
        <f>'Otemachi Daily'!M34</f>
        <v>82</v>
      </c>
      <c r="P31" s="9">
        <f>'Otemachi Daily'!N34</f>
        <v>142</v>
      </c>
    </row>
    <row r="32" spans="1:16" ht="17">
      <c r="A32" s="6" t="s">
        <v>22</v>
      </c>
      <c r="B32" s="7">
        <f t="shared" si="0"/>
        <v>31</v>
      </c>
      <c r="C32" s="8">
        <v>6</v>
      </c>
      <c r="D32" s="7">
        <v>2022</v>
      </c>
      <c r="E32" s="9" t="str">
        <f>'Otemachi Daily'!D35</f>
        <v>0</v>
      </c>
      <c r="F32" s="34">
        <f>[1]見込!$G$3</f>
        <v>29.11</v>
      </c>
      <c r="G32" s="9" t="str">
        <f>'Otemachi Daily'!F35</f>
        <v>0</v>
      </c>
      <c r="H32" s="34">
        <f>[1]見込!$M$23</f>
        <v>146.80123878673481</v>
      </c>
      <c r="I32" s="9" t="str">
        <f>'Otemachi Daily'!H35</f>
        <v>0</v>
      </c>
      <c r="J32" s="34">
        <f>[2]Sheet1!$V$29</f>
        <v>38.898394616585222</v>
      </c>
      <c r="K32" s="9" t="str">
        <f>'Otemachi Daily'!J35</f>
        <v>0</v>
      </c>
      <c r="L32" s="34">
        <f>[2]Sheet1!$AE$29</f>
        <v>19.439045122367574</v>
      </c>
      <c r="M32" s="9" t="str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tabSelected="1" topLeftCell="A26" zoomScale="80" zoomScaleNormal="80" zoomScalePageLayoutView="80" workbookViewId="0">
      <pane xSplit="1" topLeftCell="B1" activePane="topRight" state="frozen"/>
      <selection pane="topRight" activeCell="C34" sqref="C34:N34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>
        <v>14882</v>
      </c>
      <c r="D4" s="24"/>
      <c r="E4" s="49">
        <v>181.2</v>
      </c>
      <c r="F4" s="25"/>
      <c r="G4" s="49">
        <v>6264.9456</v>
      </c>
      <c r="H4" s="25"/>
      <c r="I4" s="49">
        <v>8213.8515000000007</v>
      </c>
      <c r="J4" s="25"/>
      <c r="K4" s="23">
        <v>129</v>
      </c>
      <c r="M4" s="27"/>
      <c r="N4" s="27"/>
    </row>
    <row r="5" spans="1:17" ht="33" customHeight="1">
      <c r="A5" s="28">
        <v>44713</v>
      </c>
      <c r="B5" s="39"/>
      <c r="C5" s="35">
        <f>[1]コスト!$G$147</f>
        <v>14526</v>
      </c>
      <c r="D5" s="48" t="str">
        <f>IF((C5-C4&lt;0), "0",C5-C4)</f>
        <v>0</v>
      </c>
      <c r="E5" s="35">
        <f>[1]コスト!$G$23</f>
        <v>160.1</v>
      </c>
      <c r="F5" s="48" t="str">
        <f>IF((E5-E4&lt;0), "0",E5-E4)</f>
        <v>0</v>
      </c>
      <c r="G5" s="35">
        <f>[1]コスト!$G$115+'[1]1日'!$C$29</f>
        <v>11905.6746</v>
      </c>
      <c r="H5" s="48">
        <f>IF((G5-G4&lt;0), "0",G5-G4)</f>
        <v>5640.7290000000003</v>
      </c>
      <c r="I5" s="35">
        <f>[1]コスト!$G$91+[1]コスト!$G$66</f>
        <v>7685.5314600000002</v>
      </c>
      <c r="J5" s="48" t="str">
        <f>IF((I5-I4&lt;0), "0",I5-I4)</f>
        <v>0</v>
      </c>
      <c r="K5" s="35">
        <f>[1]コスト!$G$41</f>
        <v>110</v>
      </c>
      <c r="L5" s="48" t="str">
        <f>IF((K5-K4&lt;0), "0",K5-K4)</f>
        <v>0</v>
      </c>
      <c r="M5" s="35">
        <f>[1]使用量!$G$387</f>
        <v>56</v>
      </c>
      <c r="N5" s="35">
        <f>[1]使用量!$G$388</f>
        <v>97</v>
      </c>
      <c r="O5" s="26"/>
      <c r="P5" s="37"/>
      <c r="Q5" s="37"/>
    </row>
    <row r="6" spans="1:17" ht="45" customHeight="1">
      <c r="A6" s="28">
        <v>44714</v>
      </c>
      <c r="B6" s="39"/>
      <c r="C6" s="35">
        <f>[1]コスト!$H$147</f>
        <v>15165</v>
      </c>
      <c r="D6" s="48">
        <f>IF((C6-C5&lt;0), "0",C6-C5)</f>
        <v>639</v>
      </c>
      <c r="E6" s="35">
        <f>[1]コスト!$H$23</f>
        <v>176.1</v>
      </c>
      <c r="F6" s="48">
        <f t="shared" ref="F6:F35" si="0">IF((E6-E5&lt;0), "0",E6-E5)</f>
        <v>16</v>
      </c>
      <c r="G6" s="35">
        <f>[1]コスト!$H$115+'[1]2日'!$C$29</f>
        <v>11436.4704</v>
      </c>
      <c r="H6" s="48" t="str">
        <f t="shared" ref="H6:H35" si="1">IF((G6-G5&lt;0), "0",G6-G5)</f>
        <v>0</v>
      </c>
      <c r="I6" s="35">
        <f>[1]コスト!$H$91+[1]コスト!$H$66</f>
        <v>8006.0293199999996</v>
      </c>
      <c r="J6" s="48">
        <f t="shared" ref="J6:J35" si="2">IF((I6-I5&lt;0), "0",I6-I5)</f>
        <v>320.49785999999949</v>
      </c>
      <c r="K6" s="35">
        <f>[1]コスト!$H$41</f>
        <v>144</v>
      </c>
      <c r="L6" s="48">
        <f t="shared" ref="L6:L35" si="3">IF((K6-K5&lt;0), "0",K6-K5)</f>
        <v>34</v>
      </c>
      <c r="M6" s="35">
        <f>[1]使用量!$H$387</f>
        <v>52</v>
      </c>
      <c r="N6" s="35">
        <f>[1]使用量!$H$388</f>
        <v>92</v>
      </c>
      <c r="O6" s="26"/>
      <c r="P6" s="37"/>
      <c r="Q6" s="37"/>
    </row>
    <row r="7" spans="1:17" ht="45" customHeight="1">
      <c r="A7" s="28">
        <v>44715</v>
      </c>
      <c r="B7" s="39"/>
      <c r="C7" s="35">
        <f>[1]コスト!$I$147</f>
        <v>15306</v>
      </c>
      <c r="D7" s="48">
        <f>IF((C7-C6&lt;0), "0",C7-C6)</f>
        <v>141</v>
      </c>
      <c r="E7" s="35">
        <f>[1]コスト!$I$23</f>
        <v>184.1</v>
      </c>
      <c r="F7" s="48">
        <f t="shared" si="0"/>
        <v>8</v>
      </c>
      <c r="G7" s="35">
        <f>[1]コスト!$I$115+'[1]3日'!$C$29</f>
        <v>9507.7049999999999</v>
      </c>
      <c r="H7" s="48" t="str">
        <f t="shared" si="1"/>
        <v>0</v>
      </c>
      <c r="I7" s="35">
        <f>[1]コスト!$I$91+[1]コスト!$I$66</f>
        <v>8090.9250000000002</v>
      </c>
      <c r="J7" s="48">
        <f t="shared" si="2"/>
        <v>84.895680000000539</v>
      </c>
      <c r="K7" s="35">
        <f>[1]コスト!$I$41</f>
        <v>127</v>
      </c>
      <c r="L7" s="48" t="str">
        <f t="shared" si="3"/>
        <v>0</v>
      </c>
      <c r="M7" s="35">
        <f>[1]使用量!$I$387</f>
        <v>120</v>
      </c>
      <c r="N7" s="35">
        <f>[1]使用量!$I$388</f>
        <v>252</v>
      </c>
      <c r="P7" s="37"/>
      <c r="Q7" s="37"/>
    </row>
    <row r="8" spans="1:17" ht="45" customHeight="1">
      <c r="A8" s="28">
        <v>44716</v>
      </c>
      <c r="B8" s="39"/>
      <c r="C8" s="35">
        <f>[1]コスト!$J$147</f>
        <v>15522</v>
      </c>
      <c r="D8" s="48">
        <f t="shared" ref="D8:D25" si="4">IF((C8-C7&lt;0), "0",C8-C7)</f>
        <v>216</v>
      </c>
      <c r="E8" s="35">
        <f>[1]コスト!$J$23</f>
        <v>191.7</v>
      </c>
      <c r="F8" s="48">
        <f t="shared" si="0"/>
        <v>7.5999999999999943</v>
      </c>
      <c r="G8" s="35">
        <f>[1]コスト!$J$115+'[1]4日'!$C$29</f>
        <v>10305.8244</v>
      </c>
      <c r="H8" s="48">
        <f t="shared" si="1"/>
        <v>798.11939999999959</v>
      </c>
      <c r="I8" s="35">
        <f>[1]コスト!$J$91+[1]コスト!$J$66</f>
        <v>9297.6882000000005</v>
      </c>
      <c r="J8" s="48">
        <f t="shared" si="2"/>
        <v>1206.7632000000003</v>
      </c>
      <c r="K8" s="35">
        <f>[1]コスト!$J$41</f>
        <v>170</v>
      </c>
      <c r="L8" s="48">
        <f t="shared" si="3"/>
        <v>43</v>
      </c>
      <c r="M8" s="35">
        <f>[1]使用量!$J$387</f>
        <v>125</v>
      </c>
      <c r="N8" s="35">
        <f>[1]使用量!$J$388</f>
        <v>257</v>
      </c>
      <c r="P8" s="37"/>
      <c r="Q8" s="37"/>
    </row>
    <row r="9" spans="1:17" ht="45" customHeight="1">
      <c r="A9" s="28">
        <v>44717</v>
      </c>
      <c r="B9" s="39"/>
      <c r="C9" s="35">
        <f>[1]コスト!$K$147</f>
        <v>15515</v>
      </c>
      <c r="D9" s="48" t="str">
        <f t="shared" si="4"/>
        <v>0</v>
      </c>
      <c r="E9" s="35">
        <f>[1]コスト!$K$23</f>
        <v>197.7</v>
      </c>
      <c r="F9" s="48">
        <f t="shared" si="0"/>
        <v>6</v>
      </c>
      <c r="G9" s="35">
        <f>[1]コスト!$K$115+'[1]5日'!$C$29</f>
        <v>11012.2698</v>
      </c>
      <c r="H9" s="48">
        <f t="shared" si="1"/>
        <v>706.44540000000052</v>
      </c>
      <c r="I9" s="35">
        <f>[1]コスト!$K$91+[1]コスト!$K$66</f>
        <v>9397.9184400000013</v>
      </c>
      <c r="J9" s="48">
        <f t="shared" si="2"/>
        <v>100.23024000000078</v>
      </c>
      <c r="K9" s="35">
        <f>[1]コスト!$K$41</f>
        <v>178</v>
      </c>
      <c r="L9" s="48">
        <f>IF((K9-K8&lt;0), "0",K9-K8)</f>
        <v>8</v>
      </c>
      <c r="M9" s="35">
        <f>[1]使用量!$K$387</f>
        <v>72</v>
      </c>
      <c r="N9" s="35">
        <f>[1]使用量!$K$388</f>
        <v>124</v>
      </c>
      <c r="P9" s="37"/>
      <c r="Q9" s="37"/>
    </row>
    <row r="10" spans="1:17" ht="45" customHeight="1">
      <c r="A10" s="28">
        <v>44718</v>
      </c>
      <c r="B10" s="39"/>
      <c r="C10" s="35">
        <f>[1]コスト!$L$147</f>
        <v>14706</v>
      </c>
      <c r="D10" s="48" t="str">
        <f t="shared" si="4"/>
        <v>0</v>
      </c>
      <c r="E10" s="35">
        <f>[1]コスト!$L$23</f>
        <v>176</v>
      </c>
      <c r="F10" s="48" t="str">
        <f t="shared" si="0"/>
        <v>0</v>
      </c>
      <c r="G10" s="35">
        <f>[1]コスト!$L$115+'[1]6日'!$C$29</f>
        <v>7876.7411999999995</v>
      </c>
      <c r="H10" s="48" t="str">
        <f t="shared" si="1"/>
        <v>0</v>
      </c>
      <c r="I10" s="35">
        <f>[1]コスト!$L$91+[1]コスト!$L$66</f>
        <v>9384.4173599999995</v>
      </c>
      <c r="J10" s="48" t="str">
        <f>IF((I10-I9&lt;0), "0",I10-I9)</f>
        <v>0</v>
      </c>
      <c r="K10" s="35">
        <f>[1]コスト!$L$41</f>
        <v>123</v>
      </c>
      <c r="L10" s="48" t="str">
        <f t="shared" si="3"/>
        <v>0</v>
      </c>
      <c r="M10" s="35">
        <f>[1]使用量!$L$387</f>
        <v>60</v>
      </c>
      <c r="N10" s="35">
        <f>[1]使用量!$L$388</f>
        <v>96</v>
      </c>
      <c r="P10" s="37"/>
      <c r="Q10" s="37"/>
    </row>
    <row r="11" spans="1:17" ht="45" customHeight="1">
      <c r="A11" s="28">
        <v>44719</v>
      </c>
      <c r="B11" s="39"/>
      <c r="C11" s="35">
        <f>[1]コスト!$M$147</f>
        <v>14460</v>
      </c>
      <c r="D11" s="48" t="str">
        <f t="shared" si="4"/>
        <v>0</v>
      </c>
      <c r="E11" s="35">
        <f>[1]コスト!$M$23</f>
        <v>189.6</v>
      </c>
      <c r="F11" s="48">
        <f t="shared" si="0"/>
        <v>13.599999999999994</v>
      </c>
      <c r="G11" s="35">
        <f>[1]コスト!$M$115+'[1]7日'!$C$29</f>
        <v>4720.6553999999996</v>
      </c>
      <c r="H11" s="48" t="str">
        <f t="shared" si="1"/>
        <v>0</v>
      </c>
      <c r="I11" s="35">
        <f>[1]コスト!$M$91+[1]コスト!$M$66</f>
        <v>9556.3755600000004</v>
      </c>
      <c r="J11" s="48">
        <f t="shared" si="2"/>
        <v>171.95820000000094</v>
      </c>
      <c r="K11" s="35">
        <f>[1]コスト!$M$41</f>
        <v>120</v>
      </c>
      <c r="L11" s="48" t="str">
        <f t="shared" si="3"/>
        <v>0</v>
      </c>
      <c r="M11" s="35">
        <f>[1]使用量!$M$387</f>
        <v>69</v>
      </c>
      <c r="N11" s="35">
        <f>[1]使用量!$M$388</f>
        <v>119</v>
      </c>
      <c r="P11" s="37"/>
      <c r="Q11" s="37"/>
    </row>
    <row r="12" spans="1:17" ht="45" customHeight="1">
      <c r="A12" s="28">
        <v>44720</v>
      </c>
      <c r="B12" s="39"/>
      <c r="C12" s="35">
        <f>[1]コスト!$N$147</f>
        <v>14088</v>
      </c>
      <c r="D12" s="48" t="str">
        <f t="shared" si="4"/>
        <v>0</v>
      </c>
      <c r="E12" s="35">
        <f>[1]コスト!$N$23</f>
        <v>165.1</v>
      </c>
      <c r="F12" s="48" t="str">
        <f t="shared" si="0"/>
        <v>0</v>
      </c>
      <c r="G12" s="35">
        <f>[1]コスト!$N$115+'[1]8日'!$C$29</f>
        <v>4809.8292000000001</v>
      </c>
      <c r="H12" s="48">
        <f t="shared" si="1"/>
        <v>89.173800000000483</v>
      </c>
      <c r="I12" s="35">
        <f>[1]コスト!$N$91+[1]コスト!$N$66</f>
        <v>9404.6134199999997</v>
      </c>
      <c r="J12" s="48" t="str">
        <f t="shared" si="2"/>
        <v>0</v>
      </c>
      <c r="K12" s="35">
        <f>[1]コスト!$N$41</f>
        <v>113</v>
      </c>
      <c r="L12" s="48" t="str">
        <f t="shared" si="3"/>
        <v>0</v>
      </c>
      <c r="M12" s="35">
        <f>[1]使用量!$N$387</f>
        <v>65</v>
      </c>
      <c r="N12" s="35">
        <f>[1]使用量!$N$388</f>
        <v>112</v>
      </c>
      <c r="P12" s="37"/>
      <c r="Q12" s="37"/>
    </row>
    <row r="13" spans="1:17" ht="45" customHeight="1">
      <c r="A13" s="28">
        <v>44721</v>
      </c>
      <c r="B13" s="39"/>
      <c r="C13" s="35">
        <f>[1]コスト!$O$147</f>
        <v>14353</v>
      </c>
      <c r="D13" s="48">
        <f t="shared" si="4"/>
        <v>265</v>
      </c>
      <c r="E13" s="35">
        <f>[1]コスト!$O$23</f>
        <v>186</v>
      </c>
      <c r="F13" s="48">
        <f t="shared" si="0"/>
        <v>20.900000000000006</v>
      </c>
      <c r="G13" s="35">
        <f>[1]コスト!$O$115+'[1]9日'!$C$29</f>
        <v>6359.3975999999993</v>
      </c>
      <c r="H13" s="48">
        <f t="shared" si="1"/>
        <v>1549.5683999999992</v>
      </c>
      <c r="I13" s="35">
        <f>[1]コスト!$O$91+[1]コスト!$O$66</f>
        <v>8754.3114000000005</v>
      </c>
      <c r="J13" s="48" t="str">
        <f t="shared" si="2"/>
        <v>0</v>
      </c>
      <c r="K13" s="35">
        <f>[1]コスト!$O$41</f>
        <v>132</v>
      </c>
      <c r="L13" s="48">
        <f t="shared" si="3"/>
        <v>19</v>
      </c>
      <c r="M13" s="35">
        <f>[1]使用量!$O$387</f>
        <v>65</v>
      </c>
      <c r="N13" s="35">
        <f>[1]使用量!$O$388</f>
        <v>111</v>
      </c>
      <c r="P13" s="37"/>
      <c r="Q13" s="37"/>
    </row>
    <row r="14" spans="1:17" ht="45" customHeight="1">
      <c r="A14" s="28">
        <v>44722</v>
      </c>
      <c r="B14" s="39"/>
      <c r="C14" s="35">
        <f>[1]コスト!$P$147</f>
        <v>15220</v>
      </c>
      <c r="D14" s="48">
        <f t="shared" si="4"/>
        <v>867</v>
      </c>
      <c r="E14" s="35">
        <f>[1]コスト!$P$23</f>
        <v>200</v>
      </c>
      <c r="F14" s="48">
        <f t="shared" si="0"/>
        <v>14</v>
      </c>
      <c r="G14" s="35">
        <f>[1]コスト!$P$115+'[1]10日'!$C$29</f>
        <v>9366.3047999999999</v>
      </c>
      <c r="H14" s="48">
        <f t="shared" si="1"/>
        <v>3006.9072000000006</v>
      </c>
      <c r="I14" s="35">
        <f>[1]コスト!$P$91+[1]コスト!$P$66</f>
        <v>8566.0741199999993</v>
      </c>
      <c r="J14" s="48" t="str">
        <f t="shared" si="2"/>
        <v>0</v>
      </c>
      <c r="K14" s="35">
        <f>[1]コスト!$P$41</f>
        <v>132</v>
      </c>
      <c r="L14" s="48">
        <f t="shared" si="3"/>
        <v>0</v>
      </c>
      <c r="M14" s="35">
        <f>[1]使用量!$P$387</f>
        <v>95</v>
      </c>
      <c r="N14" s="35">
        <f>[1]使用量!$P$388</f>
        <v>187</v>
      </c>
      <c r="P14" s="37"/>
      <c r="Q14" s="37"/>
    </row>
    <row r="15" spans="1:17" ht="45" customHeight="1">
      <c r="A15" s="28">
        <v>44723</v>
      </c>
      <c r="B15" s="39"/>
      <c r="C15" s="35">
        <f>[1]コスト!$Q$147</f>
        <v>15760</v>
      </c>
      <c r="D15" s="48">
        <f t="shared" si="4"/>
        <v>540</v>
      </c>
      <c r="E15" s="35">
        <f>[1]コスト!$Q$23</f>
        <v>198.9</v>
      </c>
      <c r="F15" s="48" t="str">
        <f t="shared" si="0"/>
        <v>0</v>
      </c>
      <c r="G15" s="35">
        <f>[1]コスト!$Q$115+'[1]11日'!$C$29</f>
        <v>11252.289000000001</v>
      </c>
      <c r="H15" s="48">
        <f t="shared" si="1"/>
        <v>1885.9842000000008</v>
      </c>
      <c r="I15" s="35">
        <f>[1]コスト!$Q$91+[1]コスト!$Q$66</f>
        <v>9114.3679799999991</v>
      </c>
      <c r="J15" s="48">
        <f t="shared" si="2"/>
        <v>548.29385999999977</v>
      </c>
      <c r="K15" s="35">
        <f>[1]コスト!$Q$41</f>
        <v>174</v>
      </c>
      <c r="L15" s="48">
        <f t="shared" si="3"/>
        <v>42</v>
      </c>
      <c r="M15" s="35">
        <f>[1]使用量!$Q$387</f>
        <v>144</v>
      </c>
      <c r="N15" s="35">
        <f>[1]使用量!$Q$388</f>
        <v>295</v>
      </c>
      <c r="P15" s="37"/>
      <c r="Q15" s="37"/>
    </row>
    <row r="16" spans="1:17" ht="45" customHeight="1">
      <c r="A16" s="28">
        <v>44724</v>
      </c>
      <c r="B16" s="39"/>
      <c r="C16" s="35">
        <f>[1]コスト!$R$147</f>
        <v>15662</v>
      </c>
      <c r="D16" s="48" t="str">
        <f t="shared" si="4"/>
        <v>0</v>
      </c>
      <c r="E16" s="35">
        <f>[1]コスト!$R$23</f>
        <v>201.1</v>
      </c>
      <c r="F16" s="48">
        <f t="shared" si="0"/>
        <v>2.1999999999999886</v>
      </c>
      <c r="G16" s="35">
        <f>[1]コスト!$R$115+'[1]12日'!$C$29</f>
        <v>11077.275</v>
      </c>
      <c r="H16" s="48" t="str">
        <f t="shared" si="1"/>
        <v>0</v>
      </c>
      <c r="I16" s="35">
        <f>[1]コスト!$R$91+[1]コスト!$R$66</f>
        <v>9907.0147199999992</v>
      </c>
      <c r="J16" s="48">
        <f t="shared" si="2"/>
        <v>792.64674000000014</v>
      </c>
      <c r="K16" s="35">
        <f>[1]コスト!$R$41</f>
        <v>186</v>
      </c>
      <c r="L16" s="48">
        <f t="shared" si="3"/>
        <v>12</v>
      </c>
      <c r="M16" s="35">
        <f>[1]使用量!$R$387</f>
        <v>81</v>
      </c>
      <c r="N16" s="35">
        <f>[1]使用量!$R$388</f>
        <v>142</v>
      </c>
      <c r="P16" s="37"/>
      <c r="Q16" s="37"/>
    </row>
    <row r="17" spans="1:26" ht="45" customHeight="1">
      <c r="A17" s="28">
        <v>44725</v>
      </c>
      <c r="B17" s="39"/>
      <c r="C17" s="35">
        <f>[1]コスト!$S$147</f>
        <v>14423</v>
      </c>
      <c r="D17" s="48" t="str">
        <f t="shared" si="4"/>
        <v>0</v>
      </c>
      <c r="E17" s="35">
        <f>[1]コスト!$S$23</f>
        <v>184.5</v>
      </c>
      <c r="F17" s="48" t="str">
        <f t="shared" si="0"/>
        <v>0</v>
      </c>
      <c r="G17" s="35">
        <f>[1]コスト!$S$115+'[1]13日'!$C$29</f>
        <v>8127.3167999999996</v>
      </c>
      <c r="H17" s="48" t="str">
        <f t="shared" si="1"/>
        <v>0</v>
      </c>
      <c r="I17" s="35">
        <f>[1]コスト!$S$91+[1]コスト!$S$66</f>
        <v>8331.1942199999994</v>
      </c>
      <c r="J17" s="48" t="str">
        <f t="shared" si="2"/>
        <v>0</v>
      </c>
      <c r="K17" s="35">
        <f>[1]コスト!$S$41</f>
        <v>151</v>
      </c>
      <c r="L17" s="48" t="str">
        <f t="shared" si="3"/>
        <v>0</v>
      </c>
      <c r="M17" s="35">
        <f>[1]使用量!$S$387</f>
        <v>68</v>
      </c>
      <c r="N17" s="35">
        <f>[1]使用量!$S$388</f>
        <v>107</v>
      </c>
      <c r="P17" s="37"/>
      <c r="Q17" s="37"/>
    </row>
    <row r="18" spans="1:26" ht="45" customHeight="1">
      <c r="A18" s="28">
        <v>44726</v>
      </c>
      <c r="B18" s="39"/>
      <c r="C18" s="35">
        <f>[1]コスト!$T$147</f>
        <v>14483</v>
      </c>
      <c r="D18" s="48">
        <f t="shared" si="4"/>
        <v>60</v>
      </c>
      <c r="E18" s="35">
        <f>[1]コスト!$T$23</f>
        <v>178.7</v>
      </c>
      <c r="F18" s="48" t="str">
        <f t="shared" si="0"/>
        <v>0</v>
      </c>
      <c r="G18" s="35">
        <f>[1]コスト!$T$115+'[1]14日'!$C$29</f>
        <v>4730.9340000000002</v>
      </c>
      <c r="H18" s="48" t="str">
        <f t="shared" si="1"/>
        <v>0</v>
      </c>
      <c r="I18" s="35">
        <f>[1]コスト!$T$91+[1]コスト!$T$66</f>
        <v>10191.259679999999</v>
      </c>
      <c r="J18" s="48">
        <f t="shared" si="2"/>
        <v>1860.0654599999998</v>
      </c>
      <c r="K18" s="35">
        <f>[1]コスト!$T$41</f>
        <v>126</v>
      </c>
      <c r="L18" s="48" t="str">
        <f t="shared" si="3"/>
        <v>0</v>
      </c>
      <c r="M18" s="35">
        <f>[1]使用量!$T$387</f>
        <v>78</v>
      </c>
      <c r="N18" s="35">
        <f>[1]使用量!$T$388</f>
        <v>125</v>
      </c>
      <c r="P18" s="37"/>
      <c r="Q18" s="37"/>
      <c r="Z18" s="36"/>
    </row>
    <row r="19" spans="1:26" ht="45" customHeight="1">
      <c r="A19" s="28">
        <v>44727</v>
      </c>
      <c r="B19" s="39"/>
      <c r="C19" s="35">
        <f>[1]コスト!$U$147</f>
        <v>14680</v>
      </c>
      <c r="D19" s="48">
        <f t="shared" si="4"/>
        <v>197</v>
      </c>
      <c r="E19" s="35">
        <f>[1]コスト!$U$23</f>
        <v>163.19999999999999</v>
      </c>
      <c r="F19" s="48" t="str">
        <f t="shared" si="0"/>
        <v>0</v>
      </c>
      <c r="G19" s="35">
        <f>[1]コスト!$U$115+'[1]15日'!$C$29</f>
        <v>5058.1823999999997</v>
      </c>
      <c r="H19" s="48">
        <f t="shared" si="1"/>
        <v>327.24839999999949</v>
      </c>
      <c r="I19" s="35">
        <f>[1]コスト!$U$91+[1]コスト!$U$66</f>
        <v>9034.30602</v>
      </c>
      <c r="J19" s="48" t="str">
        <f t="shared" si="2"/>
        <v>0</v>
      </c>
      <c r="K19" s="35">
        <f>[1]コスト!$U$41</f>
        <v>114</v>
      </c>
      <c r="L19" s="48" t="str">
        <f t="shared" si="3"/>
        <v>0</v>
      </c>
      <c r="M19" s="35">
        <f>[1]使用量!$U$387</f>
        <v>91</v>
      </c>
      <c r="N19" s="35">
        <f>[1]使用量!$U$388</f>
        <v>152</v>
      </c>
      <c r="P19" s="37"/>
      <c r="Q19" s="37"/>
    </row>
    <row r="20" spans="1:26" ht="45" customHeight="1">
      <c r="A20" s="28">
        <v>44728</v>
      </c>
      <c r="B20" s="39"/>
      <c r="C20" s="35">
        <f>[1]コスト!$V$147</f>
        <v>15078</v>
      </c>
      <c r="D20" s="48">
        <f t="shared" si="4"/>
        <v>398</v>
      </c>
      <c r="E20" s="35">
        <f>[1]コスト!$V$23</f>
        <v>179</v>
      </c>
      <c r="F20" s="48">
        <f t="shared" si="0"/>
        <v>15.800000000000011</v>
      </c>
      <c r="G20" s="35">
        <f>[1]コスト!$V$115+'[1]16日'!$C$29</f>
        <v>8401.7831999999999</v>
      </c>
      <c r="H20" s="48">
        <f t="shared" si="1"/>
        <v>3343.6008000000002</v>
      </c>
      <c r="I20" s="35">
        <f>[1]コスト!$V$91+[1]コスト!$V$66</f>
        <v>8391.0323400000016</v>
      </c>
      <c r="J20" s="48" t="str">
        <f t="shared" si="2"/>
        <v>0</v>
      </c>
      <c r="K20" s="35">
        <f>[1]コスト!$V$41</f>
        <v>146</v>
      </c>
      <c r="L20" s="48">
        <f t="shared" si="3"/>
        <v>32</v>
      </c>
      <c r="M20" s="35">
        <f>[1]使用量!$V$387</f>
        <v>101</v>
      </c>
      <c r="N20" s="35">
        <f>[1]使用量!$V$388</f>
        <v>168</v>
      </c>
      <c r="P20" s="37"/>
      <c r="Q20" s="37"/>
    </row>
    <row r="21" spans="1:26" ht="45" customHeight="1">
      <c r="A21" s="28">
        <v>44729</v>
      </c>
      <c r="B21" s="39"/>
      <c r="C21" s="35">
        <f>[1]コスト!$W$147</f>
        <v>15672</v>
      </c>
      <c r="D21" s="48">
        <f t="shared" si="4"/>
        <v>594</v>
      </c>
      <c r="E21" s="35">
        <f>[1]コスト!$W$23</f>
        <v>191.8</v>
      </c>
      <c r="F21" s="48">
        <f t="shared" si="0"/>
        <v>12.800000000000011</v>
      </c>
      <c r="G21" s="35">
        <f>[1]コスト!$W$115+'[1]17日'!$C$29</f>
        <v>14126.130000000001</v>
      </c>
      <c r="H21" s="48">
        <f t="shared" si="1"/>
        <v>5724.3468000000012</v>
      </c>
      <c r="I21" s="35">
        <f>[1]コスト!$W$91+[1]コスト!$W$66</f>
        <v>8243.6316599999991</v>
      </c>
      <c r="J21" s="48" t="str">
        <f t="shared" si="2"/>
        <v>0</v>
      </c>
      <c r="K21" s="35">
        <f>[1]コスト!$W$41</f>
        <v>153</v>
      </c>
      <c r="L21" s="48">
        <f t="shared" si="3"/>
        <v>7</v>
      </c>
      <c r="M21" s="35">
        <f>[1]使用量!$W$387</f>
        <v>128</v>
      </c>
      <c r="N21" s="35">
        <f>[1]使用量!$W$388</f>
        <v>246</v>
      </c>
      <c r="P21" s="37"/>
      <c r="Q21" s="37"/>
    </row>
    <row r="22" spans="1:26" ht="45" customHeight="1">
      <c r="A22" s="28">
        <v>44730</v>
      </c>
      <c r="B22" s="39"/>
      <c r="C22" s="35">
        <f>[1]コスト!$X$147</f>
        <v>16152</v>
      </c>
      <c r="D22" s="48">
        <f t="shared" si="4"/>
        <v>480</v>
      </c>
      <c r="E22" s="35">
        <f>[1]コスト!$X$23</f>
        <v>208.9</v>
      </c>
      <c r="F22" s="48">
        <f t="shared" si="0"/>
        <v>17.099999999999994</v>
      </c>
      <c r="G22" s="35">
        <f>[1]コスト!$X$115+'[1]18日'!$C$29</f>
        <v>15512.074200000001</v>
      </c>
      <c r="H22" s="48">
        <f t="shared" si="1"/>
        <v>1385.9441999999999</v>
      </c>
      <c r="I22" s="35">
        <f>[1]コスト!$X$91+[1]コスト!$X$66</f>
        <v>9454.0895999999993</v>
      </c>
      <c r="J22" s="48">
        <f t="shared" si="2"/>
        <v>1210.4579400000002</v>
      </c>
      <c r="K22" s="35">
        <f>[1]コスト!$X$41</f>
        <v>198</v>
      </c>
      <c r="L22" s="48">
        <f t="shared" si="3"/>
        <v>45</v>
      </c>
      <c r="M22" s="35">
        <f>[1]使用量!$X$387</f>
        <v>165</v>
      </c>
      <c r="N22" s="35">
        <f>[1]使用量!$X$388</f>
        <v>342</v>
      </c>
      <c r="P22" s="37"/>
      <c r="Q22" s="37"/>
    </row>
    <row r="23" spans="1:26" ht="45" customHeight="1">
      <c r="A23" s="28">
        <v>44731</v>
      </c>
      <c r="B23" s="39"/>
      <c r="C23" s="35">
        <f>[1]コスト!$Y$147</f>
        <v>16101</v>
      </c>
      <c r="D23" s="48" t="str">
        <f>IF((C23-C22&lt;0), "0",C23-C22)</f>
        <v>0</v>
      </c>
      <c r="E23" s="35">
        <f>[1]コスト!$Y$23</f>
        <v>195.5</v>
      </c>
      <c r="F23" s="48" t="str">
        <f t="shared" si="0"/>
        <v>0</v>
      </c>
      <c r="G23" s="35">
        <f>[1]コスト!$Y$115+'[1]19日'!$C$29</f>
        <v>18109.2264</v>
      </c>
      <c r="H23" s="48">
        <f t="shared" si="1"/>
        <v>2597.1521999999986</v>
      </c>
      <c r="I23" s="35">
        <f>[1]コスト!$Y$91+[1]コスト!$Y$66</f>
        <v>8760.9785999999986</v>
      </c>
      <c r="J23" s="48" t="str">
        <f t="shared" si="2"/>
        <v>0</v>
      </c>
      <c r="K23" s="35">
        <f>[1]コスト!$Y$41</f>
        <v>199</v>
      </c>
      <c r="L23" s="48">
        <f t="shared" si="3"/>
        <v>1</v>
      </c>
      <c r="M23" s="35">
        <f>[1]使用量!$Y$387</f>
        <v>108</v>
      </c>
      <c r="N23" s="35">
        <f>[1]使用量!$Y$388</f>
        <v>181</v>
      </c>
      <c r="P23" s="37"/>
      <c r="Q23" s="37"/>
    </row>
    <row r="24" spans="1:26" ht="45" customHeight="1">
      <c r="A24" s="28">
        <v>44732</v>
      </c>
      <c r="B24" s="39"/>
      <c r="C24" s="35">
        <f>[1]コスト!$Z$147</f>
        <v>16307</v>
      </c>
      <c r="D24" s="48">
        <f t="shared" ref="D24:D35" si="5">IF((C24-C23&lt;0), "0",C24-C23)</f>
        <v>206</v>
      </c>
      <c r="E24" s="35">
        <f>[1]コスト!$Z$23</f>
        <v>197.1</v>
      </c>
      <c r="F24" s="48">
        <f t="shared" si="0"/>
        <v>1.5999999999999943</v>
      </c>
      <c r="G24" s="35">
        <f>[1]コスト!$Z$115+'[1]20日'!$C$29</f>
        <v>18463.976999999999</v>
      </c>
      <c r="H24" s="48">
        <f t="shared" si="1"/>
        <v>354.75059999999939</v>
      </c>
      <c r="I24" s="35">
        <f>[1]コスト!$Z$91+[1]コスト!$Z$66</f>
        <v>7603.3026600000003</v>
      </c>
      <c r="J24" s="48" t="str">
        <f t="shared" si="2"/>
        <v>0</v>
      </c>
      <c r="K24" s="35">
        <f>[1]コスト!$Z$41</f>
        <v>164</v>
      </c>
      <c r="L24" s="48" t="str">
        <f t="shared" si="3"/>
        <v>0</v>
      </c>
      <c r="M24" s="35">
        <f>[1]使用量!$Z$387</f>
        <v>87</v>
      </c>
      <c r="N24" s="35">
        <f>[1]使用量!$Z$388</f>
        <v>150</v>
      </c>
      <c r="P24" s="37"/>
      <c r="Q24" s="37"/>
    </row>
    <row r="25" spans="1:26" ht="45" customHeight="1">
      <c r="A25" s="28">
        <v>44733</v>
      </c>
      <c r="B25" s="39"/>
      <c r="C25" s="35">
        <f>[1]コスト!$AA$147</f>
        <v>15837</v>
      </c>
      <c r="D25" s="48" t="str">
        <f t="shared" si="5"/>
        <v>0</v>
      </c>
      <c r="E25" s="35">
        <f>[1]コスト!$AA$23</f>
        <v>182.2</v>
      </c>
      <c r="F25" s="48" t="str">
        <f t="shared" si="0"/>
        <v>0</v>
      </c>
      <c r="G25" s="35">
        <f>[1]コスト!$AA$115+'[1]21日'!$C$29</f>
        <v>17333.330999999998</v>
      </c>
      <c r="H25" s="48" t="str">
        <f t="shared" si="1"/>
        <v>0</v>
      </c>
      <c r="I25" s="35">
        <f>[1]コスト!$AA$91+[1]コスト!$AA$66</f>
        <v>7142.2380000000003</v>
      </c>
      <c r="J25" s="48" t="str">
        <f t="shared" si="2"/>
        <v>0</v>
      </c>
      <c r="K25" s="35">
        <f>[1]コスト!$AA$41</f>
        <v>131</v>
      </c>
      <c r="L25" s="48" t="str">
        <f t="shared" si="3"/>
        <v>0</v>
      </c>
      <c r="M25" s="35">
        <f>[1]使用量!$AA$387</f>
        <v>68</v>
      </c>
      <c r="N25" s="35">
        <f>[1]使用量!$AA$388</f>
        <v>113</v>
      </c>
      <c r="P25" s="37"/>
      <c r="Q25" s="37"/>
    </row>
    <row r="26" spans="1:26" ht="45" customHeight="1">
      <c r="A26" s="28">
        <v>44734</v>
      </c>
      <c r="B26" s="39"/>
      <c r="C26" s="35">
        <f>[1]コスト!$AB$147</f>
        <v>15603</v>
      </c>
      <c r="D26" s="48" t="str">
        <f t="shared" si="5"/>
        <v>0</v>
      </c>
      <c r="E26" s="35">
        <f>[1]コスト!$AB$23</f>
        <v>175.4</v>
      </c>
      <c r="F26" s="48" t="str">
        <f t="shared" si="0"/>
        <v>0</v>
      </c>
      <c r="G26" s="35">
        <f>[1]コスト!$AB$115+'[1]22日'!$C$29</f>
        <v>15075.094799999999</v>
      </c>
      <c r="H26" s="48" t="str">
        <f t="shared" si="1"/>
        <v>0</v>
      </c>
      <c r="I26" s="35">
        <f>[1]コスト!$AB$91+[1]コスト!$AB$66</f>
        <v>7001.1156000000001</v>
      </c>
      <c r="J26" s="48" t="str">
        <f t="shared" si="2"/>
        <v>0</v>
      </c>
      <c r="K26" s="35">
        <f>[1]コスト!$AB$41</f>
        <v>112</v>
      </c>
      <c r="L26" s="48" t="str">
        <f t="shared" si="3"/>
        <v>0</v>
      </c>
      <c r="M26" s="35">
        <f>[1]使用量!$AB$387</f>
        <v>85</v>
      </c>
      <c r="N26" s="35">
        <f>[1]使用量!$AB$388</f>
        <v>142</v>
      </c>
      <c r="P26" s="37"/>
      <c r="Q26" s="37"/>
    </row>
    <row r="27" spans="1:26" ht="45" customHeight="1">
      <c r="A27" s="28">
        <v>44735</v>
      </c>
      <c r="B27" s="39"/>
      <c r="C27" s="35">
        <f>[1]コスト!$AC$147</f>
        <v>15985</v>
      </c>
      <c r="D27" s="48">
        <f t="shared" si="5"/>
        <v>382</v>
      </c>
      <c r="E27" s="35">
        <f>[1]コスト!$AC$23</f>
        <v>189.4</v>
      </c>
      <c r="F27" s="48">
        <f t="shared" si="0"/>
        <v>14</v>
      </c>
      <c r="G27" s="35">
        <f>[1]コスト!$AC$115+'[1]23日'!$C$29</f>
        <v>14738.9568</v>
      </c>
      <c r="H27" s="48" t="str">
        <f t="shared" si="1"/>
        <v>0</v>
      </c>
      <c r="I27" s="35">
        <f>[1]コスト!$AC$91+[1]コスト!$AC$66</f>
        <v>7738.5912600000001</v>
      </c>
      <c r="J27" s="48">
        <f t="shared" si="2"/>
        <v>737.47566000000006</v>
      </c>
      <c r="K27" s="35">
        <f>[1]コスト!$AC$41</f>
        <v>155</v>
      </c>
      <c r="L27" s="48">
        <f t="shared" si="3"/>
        <v>43</v>
      </c>
      <c r="M27" s="35">
        <f>[1]使用量!$AC$387</f>
        <v>124</v>
      </c>
      <c r="N27" s="35">
        <f>[1]使用量!$AC$388</f>
        <v>195</v>
      </c>
      <c r="P27" s="37"/>
      <c r="Q27" s="37"/>
    </row>
    <row r="28" spans="1:26" ht="45" customHeight="1">
      <c r="A28" s="28">
        <v>44736</v>
      </c>
      <c r="B28" s="39"/>
      <c r="C28" s="35">
        <f>[1]コスト!$AD$147</f>
        <v>16954</v>
      </c>
      <c r="D28" s="48">
        <f t="shared" si="5"/>
        <v>969</v>
      </c>
      <c r="E28" s="35">
        <f>[1]コスト!$AD$23</f>
        <v>197.2</v>
      </c>
      <c r="F28" s="48">
        <f t="shared" si="0"/>
        <v>7.7999999999999829</v>
      </c>
      <c r="G28" s="35">
        <f>[1]コスト!$AD$115+'[1]24日'!$C$29</f>
        <v>26215.430399999997</v>
      </c>
      <c r="H28" s="48">
        <f t="shared" si="1"/>
        <v>11476.473599999998</v>
      </c>
      <c r="I28" s="35">
        <f>[1]コスト!$AD$91+[1]コスト!$AD$66</f>
        <v>7700.2826400000013</v>
      </c>
      <c r="J28" s="48" t="str">
        <f t="shared" si="2"/>
        <v>0</v>
      </c>
      <c r="K28" s="35">
        <f>[1]コスト!$AD$41</f>
        <v>174</v>
      </c>
      <c r="L28" s="48">
        <f t="shared" si="3"/>
        <v>19</v>
      </c>
      <c r="M28" s="35">
        <f>[1]使用量!$AD$387</f>
        <v>161</v>
      </c>
      <c r="N28" s="35">
        <f>[1]使用量!$AD$388</f>
        <v>279</v>
      </c>
      <c r="P28" s="37"/>
      <c r="Q28" s="37"/>
    </row>
    <row r="29" spans="1:26" ht="45" customHeight="1">
      <c r="A29" s="28">
        <v>44737</v>
      </c>
      <c r="B29" s="39"/>
      <c r="C29" s="35">
        <f>[1]コスト!$AE$147</f>
        <v>17626</v>
      </c>
      <c r="D29" s="48">
        <f t="shared" si="5"/>
        <v>672</v>
      </c>
      <c r="E29" s="35">
        <f>[1]コスト!$AE$23</f>
        <v>186.3</v>
      </c>
      <c r="F29" s="48" t="str">
        <f t="shared" si="0"/>
        <v>0</v>
      </c>
      <c r="G29" s="35">
        <f>[1]コスト!$AE$115+'[1]25日'!$C$29</f>
        <v>33517.681199999999</v>
      </c>
      <c r="H29" s="48">
        <f t="shared" si="1"/>
        <v>7302.2508000000016</v>
      </c>
      <c r="I29" s="35">
        <f>[1]コスト!$AE$91+[1]コスト!$AE$66</f>
        <v>8759.5895999999993</v>
      </c>
      <c r="J29" s="48">
        <f t="shared" si="2"/>
        <v>1059.3069599999981</v>
      </c>
      <c r="K29" s="35">
        <f>[1]コスト!$AE$41</f>
        <v>222</v>
      </c>
      <c r="L29" s="48">
        <f t="shared" si="3"/>
        <v>48</v>
      </c>
      <c r="M29" s="35">
        <f>[1]使用量!$AE$387</f>
        <v>190</v>
      </c>
      <c r="N29" s="35">
        <f>[1]使用量!$AE$388</f>
        <v>345</v>
      </c>
      <c r="P29" s="37"/>
      <c r="Q29" s="37"/>
    </row>
    <row r="30" spans="1:26" ht="45" customHeight="1">
      <c r="A30" s="28">
        <v>44738</v>
      </c>
      <c r="B30" s="39"/>
      <c r="C30" s="35">
        <f>[1]コスト!$AF$147</f>
        <v>17260</v>
      </c>
      <c r="D30" s="48" t="str">
        <f t="shared" si="5"/>
        <v>0</v>
      </c>
      <c r="E30" s="35">
        <f>[1]コスト!$AF$23</f>
        <v>170.7</v>
      </c>
      <c r="F30" s="48" t="str">
        <f t="shared" si="0"/>
        <v>0</v>
      </c>
      <c r="G30" s="35">
        <f>[1]コスト!$AF$115+'[1]26日'!$C$29</f>
        <v>28286.707199999997</v>
      </c>
      <c r="H30" s="48" t="str">
        <f t="shared" si="1"/>
        <v>0</v>
      </c>
      <c r="I30" s="35">
        <f>[1]コスト!$AF$91+[1]コスト!$AF$66</f>
        <v>7827.8206200000004</v>
      </c>
      <c r="J30" s="48" t="str">
        <f t="shared" si="2"/>
        <v>0</v>
      </c>
      <c r="K30" s="35">
        <f>[1]コスト!$AF$41</f>
        <v>199</v>
      </c>
      <c r="L30" s="48" t="str">
        <f t="shared" si="3"/>
        <v>0</v>
      </c>
      <c r="M30" s="35">
        <f>[1]使用量!$AF$387</f>
        <v>114</v>
      </c>
      <c r="N30" s="35">
        <f>[1]使用量!$AF$388</f>
        <v>205</v>
      </c>
      <c r="P30" s="37"/>
      <c r="Q30" s="37"/>
    </row>
    <row r="31" spans="1:26" ht="45" customHeight="1">
      <c r="A31" s="28">
        <v>44739</v>
      </c>
      <c r="B31" s="39"/>
      <c r="C31" s="35">
        <f>[1]コスト!$AG$147</f>
        <v>16546</v>
      </c>
      <c r="D31" s="48" t="str">
        <f t="shared" si="5"/>
        <v>0</v>
      </c>
      <c r="E31" s="35">
        <f>[1]コスト!$AG$23</f>
        <v>169.6</v>
      </c>
      <c r="F31" s="48" t="str">
        <f t="shared" si="0"/>
        <v>0</v>
      </c>
      <c r="G31" s="35">
        <f>[1]コスト!$AG$115+'[1]27日'!$C$29</f>
        <v>29115.662399999997</v>
      </c>
      <c r="H31" s="48">
        <f t="shared" si="1"/>
        <v>828.95520000000033</v>
      </c>
      <c r="I31" s="35">
        <f>[1]コスト!$AG$91+[1]コスト!$AG$66</f>
        <v>6989.1424200000001</v>
      </c>
      <c r="J31" s="48" t="str">
        <f t="shared" si="2"/>
        <v>0</v>
      </c>
      <c r="K31" s="35">
        <f>[1]コスト!$AG$41</f>
        <v>163</v>
      </c>
      <c r="L31" s="48" t="str">
        <f t="shared" si="3"/>
        <v>0</v>
      </c>
      <c r="M31" s="35">
        <f>[1]使用量!$AG$387</f>
        <v>75</v>
      </c>
      <c r="N31" s="35">
        <f>[1]使用量!$AG$388</f>
        <v>134</v>
      </c>
      <c r="P31" s="37"/>
      <c r="Q31" s="37"/>
    </row>
    <row r="32" spans="1:26" ht="45" customHeight="1">
      <c r="A32" s="28">
        <v>44740</v>
      </c>
      <c r="B32" s="39"/>
      <c r="C32" s="35">
        <f>[1]コスト!$AH$147</f>
        <v>16313</v>
      </c>
      <c r="D32" s="48" t="str">
        <f t="shared" si="5"/>
        <v>0</v>
      </c>
      <c r="E32" s="35">
        <f>[1]コスト!$AH$23</f>
        <v>175</v>
      </c>
      <c r="F32" s="48">
        <f t="shared" si="0"/>
        <v>5.4000000000000057</v>
      </c>
      <c r="G32" s="35">
        <f>[1]コスト!$AH$115+'[1]28日'!$C$29</f>
        <v>30173.246999999999</v>
      </c>
      <c r="H32" s="48">
        <f t="shared" si="1"/>
        <v>1057.584600000002</v>
      </c>
      <c r="I32" s="35">
        <f>[1]コスト!$AH$91+[1]コスト!$AH$66</f>
        <v>6068.7354599999999</v>
      </c>
      <c r="J32" s="48" t="str">
        <f t="shared" si="2"/>
        <v>0</v>
      </c>
      <c r="K32" s="35">
        <f>[1]コスト!$AH$41</f>
        <v>143</v>
      </c>
      <c r="L32" s="48" t="str">
        <f t="shared" si="3"/>
        <v>0</v>
      </c>
      <c r="M32" s="35">
        <f>[1]使用量!$AH$387</f>
        <v>81</v>
      </c>
      <c r="N32" s="35">
        <f>[1]使用量!$AH$388</f>
        <v>130</v>
      </c>
      <c r="P32" s="37"/>
      <c r="Q32" s="37"/>
    </row>
    <row r="33" spans="1:17" ht="36" customHeight="1">
      <c r="A33" s="28">
        <v>44741</v>
      </c>
      <c r="C33" s="35">
        <f>[1]コスト!$AI$147</f>
        <v>16758</v>
      </c>
      <c r="D33" s="48">
        <f t="shared" si="5"/>
        <v>445</v>
      </c>
      <c r="E33" s="35">
        <f>[1]コスト!$AI$23</f>
        <v>161.19999999999999</v>
      </c>
      <c r="F33" s="48" t="str">
        <f t="shared" si="0"/>
        <v>0</v>
      </c>
      <c r="G33" s="35">
        <f>[1]コスト!$AI$115+'[1]29日'!$C$29</f>
        <v>32314.251599999996</v>
      </c>
      <c r="H33" s="48">
        <f t="shared" si="1"/>
        <v>2141.0045999999966</v>
      </c>
      <c r="I33" s="35">
        <f>[1]コスト!$AI$91+[1]コスト!$AI$66</f>
        <v>5998.9798800000008</v>
      </c>
      <c r="J33" s="48" t="str">
        <f t="shared" si="2"/>
        <v>0</v>
      </c>
      <c r="K33" s="35">
        <f>[1]コスト!$AI$41</f>
        <v>121</v>
      </c>
      <c r="L33" s="48" t="str">
        <f t="shared" si="3"/>
        <v>0</v>
      </c>
      <c r="M33" s="35">
        <f>[1]使用量!$AI$387</f>
        <v>81</v>
      </c>
      <c r="N33" s="35">
        <f>[1]使用量!$AI$388</f>
        <v>140</v>
      </c>
      <c r="P33" s="37"/>
      <c r="Q33" s="37"/>
    </row>
    <row r="34" spans="1:17" ht="45.5" customHeight="1">
      <c r="A34" s="28">
        <v>44742</v>
      </c>
      <c r="C34" s="35">
        <f>[1]コスト!$AJ$147</f>
        <v>16592</v>
      </c>
      <c r="D34" s="48" t="str">
        <f t="shared" si="5"/>
        <v>0</v>
      </c>
      <c r="E34" s="35">
        <f>[1]コスト!$AJ$23</f>
        <v>177</v>
      </c>
      <c r="F34" s="48">
        <f t="shared" si="0"/>
        <v>15.800000000000011</v>
      </c>
      <c r="G34" s="35">
        <f>[1]コスト!$AJ$115+'[1]30日'!$C$29</f>
        <v>32160.350399999999</v>
      </c>
      <c r="H34" s="48" t="str">
        <f t="shared" si="1"/>
        <v>0</v>
      </c>
      <c r="I34" s="35">
        <f>[1]コスト!$AJ$91+[1]コスト!$AJ$66</f>
        <v>6489.4913400000005</v>
      </c>
      <c r="J34" s="48">
        <f t="shared" si="2"/>
        <v>490.51145999999972</v>
      </c>
      <c r="K34" s="35">
        <f>[1]コスト!$AJ$41</f>
        <v>153</v>
      </c>
      <c r="L34" s="48">
        <f t="shared" si="3"/>
        <v>32</v>
      </c>
      <c r="M34" s="35">
        <f>[1]使用量!$AJ$387</f>
        <v>82</v>
      </c>
      <c r="N34" s="35">
        <f>[1]使用量!$AJ$388</f>
        <v>142</v>
      </c>
      <c r="P34" s="37"/>
      <c r="Q34" s="37"/>
    </row>
    <row r="35" spans="1:17" ht="47.5" customHeight="1">
      <c r="A35" s="28">
        <v>44743</v>
      </c>
      <c r="C35" s="35">
        <f>[1]コスト!$AK$147</f>
        <v>0</v>
      </c>
      <c r="D35" s="48" t="str">
        <f t="shared" si="5"/>
        <v>0</v>
      </c>
      <c r="E35" s="35">
        <f>[1]コスト!$AK$23</f>
        <v>0</v>
      </c>
      <c r="F35" s="48" t="str">
        <f t="shared" si="0"/>
        <v>0</v>
      </c>
      <c r="G35" s="35">
        <f>[1]コスト!$AK$115+'[1]31日'!$C$29</f>
        <v>0</v>
      </c>
      <c r="H35" s="48" t="str">
        <f t="shared" si="1"/>
        <v>0</v>
      </c>
      <c r="I35" s="35">
        <f>[1]コスト!$AK$91+[1]コスト!$AK$66</f>
        <v>0</v>
      </c>
      <c r="J35" s="48" t="str">
        <f t="shared" si="2"/>
        <v>0</v>
      </c>
      <c r="K35" s="35">
        <f>[1]コスト!$AK$41</f>
        <v>0</v>
      </c>
      <c r="L35" s="48" t="str">
        <f t="shared" si="3"/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468653</v>
      </c>
      <c r="E38" s="38">
        <f>SUM(E5:E37)</f>
        <v>5509.0999999999995</v>
      </c>
      <c r="G38" s="38">
        <f>SUM(G5:G37)</f>
        <v>461090.7732</v>
      </c>
      <c r="H38" s="38"/>
      <c r="I38" s="38">
        <f>SUM(I5:I37)</f>
        <v>248891.04858000003</v>
      </c>
      <c r="K38" s="38">
        <f>SUM(K5:K37)</f>
        <v>4533</v>
      </c>
      <c r="M38" s="38">
        <f>SUM(M5:M37)</f>
        <v>2891</v>
      </c>
      <c r="N38" s="38">
        <f>SUM(N5:N37)</f>
        <v>5180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2023-02-24T14:48:34Z</dcterms:modified>
</cp:coreProperties>
</file>