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bltfp1.blt.fshq.fs\departments$\Engineering\Meter Readings\Meter Readings\2022\"/>
    </mc:Choice>
  </mc:AlternateContent>
  <xr:revisionPtr revIDLastSave="0" documentId="13_ncr:1_{3A432FC2-1E6A-47B3-A5BC-E8784C523D0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36" i="1" l="1"/>
  <c r="AM36" i="1"/>
  <c r="AK36" i="1"/>
  <c r="AI36" i="1"/>
  <c r="AG36" i="1"/>
  <c r="AF36" i="1"/>
  <c r="AF38" i="1" s="1"/>
  <c r="AF39" i="1" s="1"/>
  <c r="Z36" i="1"/>
  <c r="X36" i="1"/>
  <c r="V36" i="1"/>
  <c r="R36" i="1"/>
  <c r="P36" i="1"/>
  <c r="N36" i="1"/>
  <c r="K36" i="1"/>
  <c r="I36" i="1"/>
  <c r="F36" i="1"/>
  <c r="D36" i="1"/>
  <c r="B36" i="1"/>
  <c r="AN39" i="1"/>
  <c r="AL39" i="1"/>
  <c r="AJ39" i="1"/>
  <c r="AH39" i="1"/>
  <c r="Y39" i="1"/>
  <c r="W39" i="1"/>
  <c r="U39" i="1"/>
  <c r="S39" i="1"/>
  <c r="Q39" i="1"/>
  <c r="O39" i="1"/>
  <c r="L39" i="1"/>
  <c r="J39" i="1"/>
  <c r="G39" i="1"/>
  <c r="E39" i="1"/>
  <c r="C39" i="1"/>
  <c r="AN38" i="1"/>
  <c r="AL38" i="1"/>
  <c r="AJ38" i="1"/>
  <c r="AH38" i="1"/>
  <c r="Y38" i="1"/>
  <c r="W38" i="1"/>
  <c r="U38" i="1"/>
  <c r="S38" i="1"/>
  <c r="Q38" i="1"/>
  <c r="O38" i="1"/>
  <c r="L38" i="1"/>
  <c r="J38" i="1"/>
  <c r="G38" i="1"/>
  <c r="E38" i="1"/>
  <c r="C38" i="1"/>
  <c r="L28" i="1" l="1"/>
  <c r="E27" i="1"/>
  <c r="Q25" i="1"/>
  <c r="AI14" i="1"/>
  <c r="X12" i="1"/>
  <c r="C8" i="1"/>
  <c r="Q7" i="1"/>
  <c r="AO4" i="1"/>
  <c r="AM4" i="1"/>
  <c r="AK4" i="1"/>
  <c r="AI4" i="1"/>
  <c r="AG4" i="1"/>
  <c r="Z4" i="1"/>
  <c r="X4" i="1"/>
  <c r="V4" i="1"/>
  <c r="S4" i="1"/>
  <c r="Q4" i="1"/>
  <c r="O4" i="1"/>
  <c r="L4" i="1"/>
  <c r="J4" i="1"/>
  <c r="G4" i="1"/>
  <c r="E4" i="1"/>
  <c r="C4" i="1"/>
  <c r="L34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9" i="1"/>
  <c r="L30" i="1"/>
  <c r="L31" i="1"/>
  <c r="L32" i="1"/>
  <c r="L33" i="1"/>
  <c r="L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5" i="1"/>
  <c r="AE38" i="1"/>
  <c r="C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5" i="1"/>
  <c r="AI6" i="1"/>
  <c r="AI7" i="1"/>
  <c r="AI8" i="1"/>
  <c r="AI9" i="1"/>
  <c r="AI10" i="1"/>
  <c r="AI11" i="1"/>
  <c r="AI12" i="1"/>
  <c r="AI13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5" i="1"/>
  <c r="Z6" i="1"/>
  <c r="Z7" i="1"/>
  <c r="Z8" i="1"/>
  <c r="Z9" i="1"/>
  <c r="Z10" i="1"/>
  <c r="Z11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5" i="1"/>
  <c r="X6" i="1"/>
  <c r="X7" i="1"/>
  <c r="X8" i="1"/>
  <c r="X9" i="1"/>
  <c r="X10" i="1"/>
  <c r="X11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5" i="1"/>
  <c r="Q6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6" i="1"/>
  <c r="Q27" i="1"/>
  <c r="Q28" i="1"/>
  <c r="Q29" i="1"/>
  <c r="Q30" i="1"/>
  <c r="Q31" i="1"/>
  <c r="Q32" i="1"/>
  <c r="Q33" i="1"/>
  <c r="Q34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5" i="1"/>
  <c r="Q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8" i="1"/>
  <c r="E29" i="1"/>
  <c r="E30" i="1"/>
  <c r="E31" i="1"/>
  <c r="E32" i="1"/>
  <c r="E33" i="1"/>
  <c r="E34" i="1"/>
  <c r="E5" i="1"/>
  <c r="C6" i="1"/>
  <c r="C7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U36" i="1"/>
  <c r="W36" i="1"/>
  <c r="Y36" i="1"/>
  <c r="AH36" i="1"/>
  <c r="AJ36" i="1"/>
  <c r="AL36" i="1"/>
  <c r="AN36" i="1"/>
  <c r="AC38" i="1"/>
  <c r="Q36" i="1" l="1"/>
  <c r="O36" i="1"/>
  <c r="L36" i="1"/>
  <c r="J36" i="1"/>
  <c r="G36" i="1"/>
  <c r="E36" i="1"/>
  <c r="C36" i="1"/>
  <c r="S36" i="1"/>
</calcChain>
</file>

<file path=xl/sharedStrings.xml><?xml version="1.0" encoding="utf-8"?>
<sst xmlns="http://schemas.openxmlformats.org/spreadsheetml/2006/main" count="47" uniqueCount="29">
  <si>
    <t>Date</t>
  </si>
  <si>
    <t>Bygone</t>
  </si>
  <si>
    <t>Engineer</t>
  </si>
  <si>
    <t>Mina</t>
  </si>
  <si>
    <t>Main</t>
  </si>
  <si>
    <t>Electric      Main</t>
  </si>
  <si>
    <t>Electric    Chilled</t>
  </si>
  <si>
    <t>Electric        Hot</t>
  </si>
  <si>
    <t>Chilled</t>
  </si>
  <si>
    <t>Hot</t>
  </si>
  <si>
    <t>Heat</t>
  </si>
  <si>
    <t>Gas</t>
  </si>
  <si>
    <t xml:space="preserve">Water </t>
  </si>
  <si>
    <t>Electric</t>
  </si>
  <si>
    <t>Total</t>
  </si>
  <si>
    <t>Consumption</t>
  </si>
  <si>
    <t>Gas (Therm)</t>
  </si>
  <si>
    <t>Water (FT3), (THR), (MMBTU)</t>
  </si>
  <si>
    <t>Chilled (THR)</t>
  </si>
  <si>
    <t>Hot (MMBTU)</t>
  </si>
  <si>
    <t>Main (FT3)</t>
  </si>
  <si>
    <t>Electric (KWH)</t>
  </si>
  <si>
    <t>Meter 1</t>
  </si>
  <si>
    <t>Meter 2</t>
  </si>
  <si>
    <t>Meter 3</t>
  </si>
  <si>
    <t>Anthropologie (KWH, )</t>
  </si>
  <si>
    <t>February</t>
  </si>
  <si>
    <t>Varience</t>
  </si>
  <si>
    <t>Varience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</si>
</sst>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0" x14ac:knownFonts="1">
    <font>
      <sz val="11"/>
      <color theme="1"/>
      <name val="Calibri"/>
      <family val="2"/>
      <scheme val="minor"/>
    </font>
    <font>
      <b/>
      <sz val="12"/>
      <color rgb="FF000000"/>
      <name val="Garamond"/>
      <family val="1"/>
    </font>
    <font>
      <b/>
      <sz val="12"/>
      <name val="Garamond"/>
      <family val="1"/>
    </font>
    <font>
      <b/>
      <sz val="11"/>
      <color rgb="FF000000"/>
      <name val="Garamond"/>
      <family val="1"/>
    </font>
    <font>
      <b/>
      <sz val="11"/>
      <name val="Garamond"/>
      <family val="1"/>
    </font>
    <font>
      <sz val="12"/>
      <name val="Garamond"/>
      <family val="1"/>
    </font>
    <font>
      <sz val="11"/>
      <color theme="1"/>
      <name val="Calibri"/>
      <family val="2"/>
    </font>
    <font>
      <sz val="12"/>
      <color theme="1"/>
      <name val="Garamond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6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1" fontId="5" fillId="2" borderId="2" xfId="0" applyNumberFormat="1" applyFont="1" applyFill="1" applyBorder="1" applyAlignment="1">
      <alignment horizontal="center"/>
    </xf>
    <xf numFmtId="1" fontId="5" fillId="0" borderId="7" xfId="0" applyNumberFormat="1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164" fontId="5" fillId="2" borderId="2" xfId="0" applyNumberFormat="1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9" fillId="3" borderId="2" xfId="0" applyFont="1" applyFill="1" applyBorder="1" applyAlignment="1">
      <alignment horizontal="center" wrapText="1"/>
    </xf>
    <xf numFmtId="0" fontId="9" fillId="9" borderId="2" xfId="0" applyFont="1" applyFill="1" applyBorder="1" applyAlignment="1">
      <alignment horizontal="center" wrapText="1"/>
    </xf>
    <xf numFmtId="9" fontId="0" fillId="0" borderId="2" xfId="1" applyFont="1" applyBorder="1" applyAlignment="1">
      <alignment horizontal="center"/>
    </xf>
    <xf numFmtId="9" fontId="0" fillId="2" borderId="2" xfId="1" applyFont="1" applyFill="1" applyBorder="1" applyAlignment="1">
      <alignment horizontal="center"/>
    </xf>
    <xf numFmtId="9" fontId="0" fillId="9" borderId="2" xfId="1" applyFont="1" applyFill="1" applyBorder="1" applyAlignment="1">
      <alignment horizontal="center"/>
    </xf>
    <xf numFmtId="1" fontId="0" fillId="0" borderId="0" xfId="0" applyNumberFormat="1"/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42"/>
  <sheetViews>
    <sheetView tabSelected="1" zoomScale="80" zoomScaleNormal="80" workbookViewId="0">
      <selection sqref="A1:A3"/>
    </sheetView>
  </sheetViews>
  <sheetFormatPr defaultRowHeight="15" x14ac:dyDescent="0.25"/>
  <cols>
    <col min="1" max="1" width="12.42578125" bestFit="1" customWidth="1"/>
    <col min="2" max="3" width="15.7109375" customWidth="1"/>
    <col min="4" max="4" width="11.85546875" customWidth="1"/>
    <col min="5" max="5" width="13.85546875" bestFit="1" customWidth="1"/>
    <col min="6" max="6" width="11" customWidth="1"/>
    <col min="7" max="7" width="13.85546875" bestFit="1" customWidth="1"/>
    <col min="8" max="8" width="1.42578125" customWidth="1"/>
    <col min="9" max="9" width="10.140625" customWidth="1"/>
    <col min="10" max="10" width="13.85546875" bestFit="1" customWidth="1"/>
    <col min="11" max="11" width="10.28515625" customWidth="1"/>
    <col min="12" max="12" width="14.42578125" bestFit="1" customWidth="1"/>
    <col min="13" max="13" width="1.5703125" customWidth="1"/>
    <col min="14" max="14" width="11.42578125" bestFit="1" customWidth="1"/>
    <col min="15" max="15" width="14.42578125" bestFit="1" customWidth="1"/>
    <col min="16" max="16" width="14.28515625" bestFit="1" customWidth="1"/>
    <col min="17" max="17" width="13.85546875" bestFit="1" customWidth="1"/>
    <col min="18" max="18" width="15.28515625" bestFit="1" customWidth="1"/>
    <col min="19" max="19" width="14" customWidth="1"/>
    <col min="20" max="20" width="1.5703125" customWidth="1"/>
    <col min="21" max="21" width="10.7109375" customWidth="1"/>
    <col min="22" max="22" width="13.85546875" bestFit="1" customWidth="1"/>
    <col min="23" max="23" width="11.140625" customWidth="1"/>
    <col min="24" max="24" width="13.85546875" bestFit="1" customWidth="1"/>
    <col min="25" max="25" width="9.42578125" customWidth="1"/>
    <col min="26" max="26" width="13.85546875" bestFit="1" customWidth="1"/>
    <col min="28" max="28" width="13.85546875" bestFit="1" customWidth="1"/>
    <col min="30" max="30" width="13.85546875" bestFit="1" customWidth="1"/>
    <col min="31" max="31" width="1.5703125" customWidth="1"/>
    <col min="32" max="32" width="11.42578125" customWidth="1"/>
    <col min="33" max="33" width="13.85546875" bestFit="1" customWidth="1"/>
    <col min="35" max="35" width="13.85546875" bestFit="1" customWidth="1"/>
    <col min="36" max="36" width="13.42578125" bestFit="1" customWidth="1"/>
    <col min="37" max="37" width="13.85546875" bestFit="1" customWidth="1"/>
    <col min="38" max="38" width="9.140625" customWidth="1"/>
    <col min="39" max="39" width="13.85546875" bestFit="1" customWidth="1"/>
    <col min="40" max="40" width="9.140625" bestFit="1" customWidth="1"/>
    <col min="41" max="41" width="13.85546875" bestFit="1" customWidth="1"/>
    <col min="42" max="42" width="10.5703125" customWidth="1"/>
  </cols>
  <sheetData>
    <row r="1" spans="1:42" ht="15.75" customHeight="1" x14ac:dyDescent="0.25">
      <c r="A1" s="43" t="s">
        <v>0</v>
      </c>
      <c r="B1" s="55" t="s">
        <v>21</v>
      </c>
      <c r="C1" s="56"/>
      <c r="D1" s="56"/>
      <c r="E1" s="56"/>
      <c r="F1" s="56"/>
      <c r="G1" s="57"/>
      <c r="H1" s="1"/>
      <c r="I1" s="52" t="s">
        <v>16</v>
      </c>
      <c r="J1" s="53"/>
      <c r="K1" s="53"/>
      <c r="L1" s="54"/>
      <c r="M1" s="1"/>
      <c r="N1" s="58" t="s">
        <v>17</v>
      </c>
      <c r="O1" s="59"/>
      <c r="P1" s="59"/>
      <c r="Q1" s="59"/>
      <c r="R1" s="59"/>
      <c r="S1" s="60"/>
      <c r="T1" s="5"/>
      <c r="U1" s="32" t="s">
        <v>25</v>
      </c>
      <c r="V1" s="33"/>
      <c r="W1" s="33"/>
      <c r="X1" s="33"/>
      <c r="Y1" s="33"/>
      <c r="Z1" s="33"/>
      <c r="AA1" s="33"/>
      <c r="AB1" s="33"/>
      <c r="AC1" s="33"/>
      <c r="AD1" s="34"/>
      <c r="AE1" s="5"/>
      <c r="AF1" s="46" t="s">
        <v>1</v>
      </c>
      <c r="AG1" s="47"/>
      <c r="AH1" s="47"/>
      <c r="AI1" s="47"/>
      <c r="AJ1" s="47"/>
      <c r="AK1" s="47"/>
      <c r="AL1" s="47"/>
      <c r="AM1" s="47"/>
      <c r="AN1" s="48"/>
      <c r="AO1" s="6"/>
      <c r="AP1" s="43" t="s">
        <v>2</v>
      </c>
    </row>
    <row r="2" spans="1:42" ht="15" customHeight="1" x14ac:dyDescent="0.25">
      <c r="A2" s="44"/>
      <c r="B2" s="41" t="s">
        <v>22</v>
      </c>
      <c r="C2" s="41" t="s">
        <v>15</v>
      </c>
      <c r="D2" s="41" t="s">
        <v>23</v>
      </c>
      <c r="E2" s="41" t="s">
        <v>15</v>
      </c>
      <c r="F2" s="41" t="s">
        <v>24</v>
      </c>
      <c r="G2" s="41" t="s">
        <v>15</v>
      </c>
      <c r="H2" s="2"/>
      <c r="I2" s="51" t="s">
        <v>3</v>
      </c>
      <c r="J2" s="39" t="s">
        <v>15</v>
      </c>
      <c r="K2" s="51" t="s">
        <v>4</v>
      </c>
      <c r="L2" s="39" t="s">
        <v>15</v>
      </c>
      <c r="M2" s="3"/>
      <c r="N2" s="49" t="s">
        <v>20</v>
      </c>
      <c r="O2" s="41" t="s">
        <v>15</v>
      </c>
      <c r="P2" s="49" t="s">
        <v>18</v>
      </c>
      <c r="Q2" s="41" t="s">
        <v>15</v>
      </c>
      <c r="R2" s="49" t="s">
        <v>19</v>
      </c>
      <c r="S2" s="41" t="s">
        <v>15</v>
      </c>
      <c r="T2" s="3"/>
      <c r="U2" s="37" t="s">
        <v>5</v>
      </c>
      <c r="V2" s="35" t="s">
        <v>15</v>
      </c>
      <c r="W2" s="50" t="s">
        <v>6</v>
      </c>
      <c r="X2" s="35" t="s">
        <v>15</v>
      </c>
      <c r="Y2" s="50" t="s">
        <v>7</v>
      </c>
      <c r="Z2" s="35" t="s">
        <v>15</v>
      </c>
      <c r="AA2" s="37" t="s">
        <v>8</v>
      </c>
      <c r="AB2" s="35" t="s">
        <v>15</v>
      </c>
      <c r="AC2" s="37" t="s">
        <v>9</v>
      </c>
      <c r="AD2" s="35" t="s">
        <v>15</v>
      </c>
      <c r="AE2" s="3"/>
      <c r="AF2" s="35" t="s">
        <v>10</v>
      </c>
      <c r="AG2" s="35" t="s">
        <v>15</v>
      </c>
      <c r="AH2" s="35" t="s">
        <v>8</v>
      </c>
      <c r="AI2" s="35" t="s">
        <v>15</v>
      </c>
      <c r="AJ2" s="35" t="s">
        <v>11</v>
      </c>
      <c r="AK2" s="35" t="s">
        <v>15</v>
      </c>
      <c r="AL2" s="35" t="s">
        <v>12</v>
      </c>
      <c r="AM2" s="35" t="s">
        <v>15</v>
      </c>
      <c r="AN2" s="35" t="s">
        <v>13</v>
      </c>
      <c r="AO2" s="35" t="s">
        <v>15</v>
      </c>
      <c r="AP2" s="44"/>
    </row>
    <row r="3" spans="1:42" ht="15" customHeight="1" x14ac:dyDescent="0.25">
      <c r="A3" s="45"/>
      <c r="B3" s="42"/>
      <c r="C3" s="42"/>
      <c r="D3" s="42"/>
      <c r="E3" s="42"/>
      <c r="F3" s="42"/>
      <c r="G3" s="42"/>
      <c r="H3" s="2"/>
      <c r="I3" s="51"/>
      <c r="J3" s="40"/>
      <c r="K3" s="51"/>
      <c r="L3" s="40"/>
      <c r="M3" s="4"/>
      <c r="N3" s="42"/>
      <c r="O3" s="42"/>
      <c r="P3" s="42"/>
      <c r="Q3" s="42"/>
      <c r="R3" s="42"/>
      <c r="S3" s="42"/>
      <c r="T3" s="4"/>
      <c r="U3" s="38"/>
      <c r="V3" s="36"/>
      <c r="W3" s="38"/>
      <c r="X3" s="36"/>
      <c r="Y3" s="38"/>
      <c r="Z3" s="36"/>
      <c r="AA3" s="38"/>
      <c r="AB3" s="36"/>
      <c r="AC3" s="38"/>
      <c r="AD3" s="36"/>
      <c r="AE3" s="4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45"/>
    </row>
    <row r="4" spans="1:42" ht="24.75" customHeight="1" x14ac:dyDescent="0.25">
      <c r="A4" s="12">
        <v>44621</v>
      </c>
      <c r="B4" s="7">
        <v>815532</v>
      </c>
      <c r="C4" s="8">
        <f>B4-811230</f>
        <v>4302</v>
      </c>
      <c r="D4" s="7">
        <v>29225089</v>
      </c>
      <c r="E4" s="8">
        <f>D4-29216018</f>
        <v>9071</v>
      </c>
      <c r="F4" s="7">
        <v>7980042</v>
      </c>
      <c r="G4" s="8">
        <f>F4-7976486</f>
        <v>3556</v>
      </c>
      <c r="H4" s="13"/>
      <c r="I4" s="7">
        <v>76064</v>
      </c>
      <c r="J4" s="14">
        <f>I4-75975</f>
        <v>89</v>
      </c>
      <c r="K4" s="7">
        <v>20500</v>
      </c>
      <c r="L4" s="7">
        <f>K4-20494</f>
        <v>6</v>
      </c>
      <c r="M4" s="13"/>
      <c r="N4" s="7">
        <v>51759</v>
      </c>
      <c r="O4" s="7">
        <f>N4-51685</f>
        <v>74</v>
      </c>
      <c r="P4" s="14">
        <v>52005341</v>
      </c>
      <c r="Q4" s="14">
        <f>P4-52001507</f>
        <v>3834</v>
      </c>
      <c r="R4" s="14">
        <v>228870</v>
      </c>
      <c r="S4" s="14">
        <f>R4-228771</f>
        <v>99</v>
      </c>
      <c r="T4" s="15"/>
      <c r="U4" s="7">
        <v>52349</v>
      </c>
      <c r="V4" s="8">
        <f>U4-51936</f>
        <v>413</v>
      </c>
      <c r="W4" s="7">
        <v>1218</v>
      </c>
      <c r="X4" s="8">
        <f>W4-1200</f>
        <v>18</v>
      </c>
      <c r="Y4" s="7">
        <v>1057</v>
      </c>
      <c r="Z4" s="8">
        <f>Y4-1045</f>
        <v>12</v>
      </c>
      <c r="AA4" s="13"/>
      <c r="AB4" s="13"/>
      <c r="AC4" s="13"/>
      <c r="AD4" s="13"/>
      <c r="AE4" s="15"/>
      <c r="AF4" s="7">
        <v>67137</v>
      </c>
      <c r="AG4" s="7">
        <f>AF4-67137</f>
        <v>0</v>
      </c>
      <c r="AH4" s="14">
        <v>213067</v>
      </c>
      <c r="AI4" s="16">
        <f>AH4-212930</f>
        <v>137</v>
      </c>
      <c r="AJ4" s="16">
        <v>10587578</v>
      </c>
      <c r="AK4" s="16">
        <f>AJ4-10581108</f>
        <v>6470</v>
      </c>
      <c r="AL4" s="14">
        <v>28558</v>
      </c>
      <c r="AM4" s="14">
        <f>AL4-28557</f>
        <v>1</v>
      </c>
      <c r="AN4" s="14">
        <v>11730</v>
      </c>
      <c r="AO4" s="14">
        <f>AN4-11220</f>
        <v>510</v>
      </c>
      <c r="AP4" s="7"/>
    </row>
    <row r="5" spans="1:42" ht="23.25" customHeight="1" x14ac:dyDescent="0.25">
      <c r="A5" s="12">
        <v>44622</v>
      </c>
      <c r="B5" s="7">
        <v>819783</v>
      </c>
      <c r="C5" s="7">
        <f>B5-B4</f>
        <v>4251</v>
      </c>
      <c r="D5" s="7">
        <v>29234200</v>
      </c>
      <c r="E5" s="7">
        <f>D5-D4</f>
        <v>9111</v>
      </c>
      <c r="F5" s="9">
        <v>7983580</v>
      </c>
      <c r="G5" s="9">
        <f>F5-F4</f>
        <v>3538</v>
      </c>
      <c r="H5" s="17"/>
      <c r="I5" s="7">
        <v>76151</v>
      </c>
      <c r="J5" s="14">
        <f>(I5-I4)*1.129</f>
        <v>98.222999999999999</v>
      </c>
      <c r="K5" s="7">
        <v>20506</v>
      </c>
      <c r="L5" s="14">
        <f>(K5-K4)*1.129</f>
        <v>6.774</v>
      </c>
      <c r="M5" s="13"/>
      <c r="N5" s="7">
        <v>51824</v>
      </c>
      <c r="O5" s="14">
        <f>(N5-N4)*1000/7.48</f>
        <v>8689.8395721925135</v>
      </c>
      <c r="P5" s="7">
        <v>52009326</v>
      </c>
      <c r="Q5" s="14">
        <f>P5-P4</f>
        <v>3985</v>
      </c>
      <c r="R5" s="7">
        <v>228957</v>
      </c>
      <c r="S5" s="14">
        <f>R5-R4</f>
        <v>87</v>
      </c>
      <c r="T5" s="13"/>
      <c r="U5" s="7">
        <v>52771</v>
      </c>
      <c r="V5" s="7">
        <f>U5-U4</f>
        <v>422</v>
      </c>
      <c r="W5" s="7">
        <v>1237</v>
      </c>
      <c r="X5" s="7">
        <f>W5-W4</f>
        <v>19</v>
      </c>
      <c r="Y5" s="7">
        <v>1070</v>
      </c>
      <c r="Z5" s="7">
        <f>Y5-Y4</f>
        <v>13</v>
      </c>
      <c r="AA5" s="13"/>
      <c r="AB5" s="13"/>
      <c r="AC5" s="13"/>
      <c r="AD5" s="13"/>
      <c r="AE5" s="13"/>
      <c r="AF5" s="7">
        <v>67137</v>
      </c>
      <c r="AG5" s="7">
        <f>AF5-AF4</f>
        <v>0</v>
      </c>
      <c r="AH5" s="7">
        <v>213208</v>
      </c>
      <c r="AI5" s="14">
        <f>AH5-AH4</f>
        <v>141</v>
      </c>
      <c r="AJ5" s="7">
        <v>10593533</v>
      </c>
      <c r="AK5" s="14">
        <f>AJ5-AJ4</f>
        <v>5955</v>
      </c>
      <c r="AL5" s="7">
        <v>28560</v>
      </c>
      <c r="AM5" s="14">
        <f>AL5-AL4</f>
        <v>2</v>
      </c>
      <c r="AN5" s="7">
        <v>12151</v>
      </c>
      <c r="AO5" s="14">
        <f>AN5-AN4</f>
        <v>421</v>
      </c>
      <c r="AP5" s="7"/>
    </row>
    <row r="6" spans="1:42" ht="24" customHeight="1" x14ac:dyDescent="0.25">
      <c r="A6" s="12">
        <v>44623</v>
      </c>
      <c r="B6" s="10">
        <v>823952</v>
      </c>
      <c r="C6" s="7">
        <f t="shared" ref="C6:C34" si="0">B6-B5</f>
        <v>4169</v>
      </c>
      <c r="D6" s="7">
        <v>29243638</v>
      </c>
      <c r="E6" s="7">
        <f t="shared" ref="E6:E34" si="1">D6-D5</f>
        <v>9438</v>
      </c>
      <c r="F6" s="9">
        <v>7987120</v>
      </c>
      <c r="G6" s="9">
        <f t="shared" ref="G6:G34" si="2">F6-F5</f>
        <v>3540</v>
      </c>
      <c r="H6" s="17"/>
      <c r="I6" s="7">
        <v>76249</v>
      </c>
      <c r="J6" s="14">
        <f t="shared" ref="J6:J34" si="3">(I6-I5)*1.129</f>
        <v>110.642</v>
      </c>
      <c r="K6" s="7">
        <v>20513</v>
      </c>
      <c r="L6" s="14">
        <f t="shared" ref="L6:L33" si="4">(K6-K5)*1.129</f>
        <v>7.9030000000000005</v>
      </c>
      <c r="M6" s="13"/>
      <c r="N6" s="7">
        <v>51886</v>
      </c>
      <c r="O6" s="14">
        <f t="shared" ref="O6:O35" si="5">(N6-N5)*1000/7.48</f>
        <v>8288.7700534759351</v>
      </c>
      <c r="P6" s="7">
        <v>52013907</v>
      </c>
      <c r="Q6" s="14">
        <f t="shared" ref="Q6:Q34" si="6">P6-P5</f>
        <v>4581</v>
      </c>
      <c r="R6" s="7">
        <v>229033</v>
      </c>
      <c r="S6" s="14">
        <f t="shared" ref="S6:S34" si="7">R6-R5</f>
        <v>76</v>
      </c>
      <c r="T6" s="13"/>
      <c r="U6" s="7">
        <v>53202</v>
      </c>
      <c r="V6" s="7">
        <f t="shared" ref="V6:V34" si="8">U6-U5</f>
        <v>431</v>
      </c>
      <c r="W6" s="7">
        <v>1248</v>
      </c>
      <c r="X6" s="7">
        <f t="shared" ref="X6:X34" si="9">W6-W5</f>
        <v>11</v>
      </c>
      <c r="Y6" s="7">
        <v>1079</v>
      </c>
      <c r="Z6" s="7">
        <f t="shared" ref="Z6:Z34" si="10">Y6-Y5</f>
        <v>9</v>
      </c>
      <c r="AA6" s="13"/>
      <c r="AB6" s="13"/>
      <c r="AC6" s="13"/>
      <c r="AD6" s="13"/>
      <c r="AE6" s="13"/>
      <c r="AF6" s="7">
        <v>67137</v>
      </c>
      <c r="AG6" s="7">
        <f t="shared" ref="AG6:AG34" si="11">AF6-AF5</f>
        <v>0</v>
      </c>
      <c r="AH6" s="7">
        <v>213360</v>
      </c>
      <c r="AI6" s="14">
        <f t="shared" ref="AI6:AI34" si="12">AH6-AH5</f>
        <v>152</v>
      </c>
      <c r="AJ6" s="7">
        <v>10599981</v>
      </c>
      <c r="AK6" s="14">
        <f t="shared" ref="AK6:AK34" si="13">AJ6-AJ5</f>
        <v>6448</v>
      </c>
      <c r="AL6" s="7">
        <v>28562</v>
      </c>
      <c r="AM6" s="14">
        <f t="shared" ref="AM6:AM34" si="14">AL6-AL5</f>
        <v>2</v>
      </c>
      <c r="AN6" s="7">
        <v>12509</v>
      </c>
      <c r="AO6" s="14">
        <f t="shared" ref="AO6:AO34" si="15">AN6-AN5</f>
        <v>358</v>
      </c>
      <c r="AP6" s="7"/>
    </row>
    <row r="7" spans="1:42" ht="24" customHeight="1" x14ac:dyDescent="0.25">
      <c r="A7" s="12">
        <v>44624</v>
      </c>
      <c r="B7" s="7">
        <v>828150</v>
      </c>
      <c r="C7" s="7">
        <f t="shared" si="0"/>
        <v>4198</v>
      </c>
      <c r="D7" s="7">
        <v>29252837</v>
      </c>
      <c r="E7" s="7">
        <f t="shared" si="1"/>
        <v>9199</v>
      </c>
      <c r="F7" s="7">
        <v>7990783</v>
      </c>
      <c r="G7" s="9">
        <f t="shared" si="2"/>
        <v>3663</v>
      </c>
      <c r="H7" s="13"/>
      <c r="I7" s="7">
        <v>76345</v>
      </c>
      <c r="J7" s="14">
        <f t="shared" si="3"/>
        <v>108.384</v>
      </c>
      <c r="K7" s="7">
        <v>20519</v>
      </c>
      <c r="L7" s="14">
        <f t="shared" si="4"/>
        <v>6.774</v>
      </c>
      <c r="M7" s="13"/>
      <c r="N7" s="11">
        <v>51947</v>
      </c>
      <c r="O7" s="14">
        <f t="shared" si="5"/>
        <v>8155.0802139037432</v>
      </c>
      <c r="P7" s="11">
        <v>52018537</v>
      </c>
      <c r="Q7" s="14">
        <f t="shared" si="6"/>
        <v>4630</v>
      </c>
      <c r="R7" s="14">
        <v>229136</v>
      </c>
      <c r="S7" s="14">
        <f t="shared" si="7"/>
        <v>103</v>
      </c>
      <c r="T7" s="15"/>
      <c r="U7" s="14">
        <v>53617</v>
      </c>
      <c r="V7" s="7">
        <f t="shared" si="8"/>
        <v>415</v>
      </c>
      <c r="W7" s="14">
        <v>1266</v>
      </c>
      <c r="X7" s="7">
        <f t="shared" si="9"/>
        <v>18</v>
      </c>
      <c r="Y7" s="14">
        <v>1091</v>
      </c>
      <c r="Z7" s="7">
        <f t="shared" si="10"/>
        <v>12</v>
      </c>
      <c r="AA7" s="13"/>
      <c r="AB7" s="18"/>
      <c r="AC7" s="18"/>
      <c r="AD7" s="18"/>
      <c r="AE7" s="15"/>
      <c r="AF7" s="11">
        <v>67137</v>
      </c>
      <c r="AG7" s="7">
        <f t="shared" si="11"/>
        <v>0</v>
      </c>
      <c r="AH7" s="11">
        <v>213523</v>
      </c>
      <c r="AI7" s="14">
        <f t="shared" si="12"/>
        <v>163</v>
      </c>
      <c r="AJ7" s="11">
        <v>10606742</v>
      </c>
      <c r="AK7" s="14">
        <f t="shared" si="13"/>
        <v>6761</v>
      </c>
      <c r="AL7" s="11">
        <v>28564</v>
      </c>
      <c r="AM7" s="14">
        <f t="shared" si="14"/>
        <v>2</v>
      </c>
      <c r="AN7" s="14">
        <v>12950</v>
      </c>
      <c r="AO7" s="14">
        <f t="shared" si="15"/>
        <v>441</v>
      </c>
      <c r="AP7" s="7"/>
    </row>
    <row r="8" spans="1:42" ht="24" customHeight="1" x14ac:dyDescent="0.25">
      <c r="A8" s="12">
        <v>44625</v>
      </c>
      <c r="B8" s="7">
        <v>832328</v>
      </c>
      <c r="C8" s="7">
        <f t="shared" si="0"/>
        <v>4178</v>
      </c>
      <c r="D8" s="7">
        <v>29261374</v>
      </c>
      <c r="E8" s="7">
        <f t="shared" si="1"/>
        <v>8537</v>
      </c>
      <c r="F8" s="7">
        <v>7994350</v>
      </c>
      <c r="G8" s="9">
        <f t="shared" si="2"/>
        <v>3567</v>
      </c>
      <c r="H8" s="13"/>
      <c r="I8" s="7">
        <v>76439</v>
      </c>
      <c r="J8" s="14">
        <f t="shared" si="3"/>
        <v>106.126</v>
      </c>
      <c r="K8" s="14">
        <v>20524</v>
      </c>
      <c r="L8" s="14">
        <f t="shared" si="4"/>
        <v>5.6449999999999996</v>
      </c>
      <c r="M8" s="15"/>
      <c r="N8" s="11">
        <v>52009</v>
      </c>
      <c r="O8" s="14">
        <f t="shared" si="5"/>
        <v>8288.7700534759351</v>
      </c>
      <c r="P8" s="11">
        <v>52022743</v>
      </c>
      <c r="Q8" s="14">
        <f t="shared" si="6"/>
        <v>4206</v>
      </c>
      <c r="R8" s="14">
        <v>229238</v>
      </c>
      <c r="S8" s="14">
        <f t="shared" si="7"/>
        <v>102</v>
      </c>
      <c r="T8" s="15"/>
      <c r="U8" s="14">
        <v>54012</v>
      </c>
      <c r="V8" s="7">
        <f t="shared" si="8"/>
        <v>395</v>
      </c>
      <c r="W8" s="14">
        <v>1277</v>
      </c>
      <c r="X8" s="7">
        <f t="shared" si="9"/>
        <v>11</v>
      </c>
      <c r="Y8" s="14">
        <v>1101</v>
      </c>
      <c r="Z8" s="7">
        <f t="shared" si="10"/>
        <v>10</v>
      </c>
      <c r="AA8" s="19"/>
      <c r="AB8" s="19"/>
      <c r="AC8" s="19"/>
      <c r="AD8" s="19"/>
      <c r="AE8" s="15"/>
      <c r="AF8" s="11">
        <v>67137</v>
      </c>
      <c r="AG8" s="7">
        <f t="shared" si="11"/>
        <v>0</v>
      </c>
      <c r="AH8" s="11">
        <v>213677</v>
      </c>
      <c r="AI8" s="14">
        <f t="shared" si="12"/>
        <v>154</v>
      </c>
      <c r="AJ8" s="11">
        <v>10615930</v>
      </c>
      <c r="AK8" s="14">
        <f t="shared" si="13"/>
        <v>9188</v>
      </c>
      <c r="AL8" s="11">
        <v>28570</v>
      </c>
      <c r="AM8" s="14">
        <f t="shared" si="14"/>
        <v>6</v>
      </c>
      <c r="AN8" s="14">
        <v>13391</v>
      </c>
      <c r="AO8" s="14">
        <f t="shared" si="15"/>
        <v>441</v>
      </c>
      <c r="AP8" s="7"/>
    </row>
    <row r="9" spans="1:42" ht="22.5" customHeight="1" x14ac:dyDescent="0.25">
      <c r="A9" s="12">
        <v>44626</v>
      </c>
      <c r="B9" s="11">
        <v>836633</v>
      </c>
      <c r="C9" s="7">
        <f t="shared" si="0"/>
        <v>4305</v>
      </c>
      <c r="D9" s="7">
        <v>29270085</v>
      </c>
      <c r="E9" s="7">
        <f t="shared" si="1"/>
        <v>8711</v>
      </c>
      <c r="F9" s="7">
        <v>7998018</v>
      </c>
      <c r="G9" s="9">
        <f t="shared" si="2"/>
        <v>3668</v>
      </c>
      <c r="H9" s="13"/>
      <c r="I9" s="7">
        <v>76530</v>
      </c>
      <c r="J9" s="14">
        <f t="shared" si="3"/>
        <v>102.739</v>
      </c>
      <c r="K9" s="14">
        <v>20529</v>
      </c>
      <c r="L9" s="14">
        <f t="shared" si="4"/>
        <v>5.6449999999999996</v>
      </c>
      <c r="M9" s="15"/>
      <c r="N9" s="11">
        <v>52070</v>
      </c>
      <c r="O9" s="14">
        <f t="shared" si="5"/>
        <v>8155.0802139037432</v>
      </c>
      <c r="P9" s="11">
        <v>52027431</v>
      </c>
      <c r="Q9" s="14">
        <f t="shared" si="6"/>
        <v>4688</v>
      </c>
      <c r="R9" s="14">
        <v>229324</v>
      </c>
      <c r="S9" s="14">
        <f t="shared" si="7"/>
        <v>86</v>
      </c>
      <c r="T9" s="15"/>
      <c r="U9" s="14">
        <v>54411</v>
      </c>
      <c r="V9" s="7">
        <f t="shared" si="8"/>
        <v>399</v>
      </c>
      <c r="W9" s="14">
        <v>1280</v>
      </c>
      <c r="X9" s="7">
        <f t="shared" si="9"/>
        <v>3</v>
      </c>
      <c r="Y9" s="14">
        <v>1112</v>
      </c>
      <c r="Z9" s="7">
        <f t="shared" si="10"/>
        <v>11</v>
      </c>
      <c r="AA9" s="19"/>
      <c r="AB9" s="19"/>
      <c r="AC9" s="19"/>
      <c r="AD9" s="19"/>
      <c r="AE9" s="15"/>
      <c r="AF9" s="11">
        <v>67137</v>
      </c>
      <c r="AG9" s="7">
        <f t="shared" si="11"/>
        <v>0</v>
      </c>
      <c r="AH9" s="11">
        <v>213847</v>
      </c>
      <c r="AI9" s="14">
        <f t="shared" si="12"/>
        <v>170</v>
      </c>
      <c r="AJ9" s="11">
        <v>10625080</v>
      </c>
      <c r="AK9" s="14">
        <f t="shared" si="13"/>
        <v>9150</v>
      </c>
      <c r="AL9" s="11">
        <v>28576</v>
      </c>
      <c r="AM9" s="14">
        <f t="shared" si="14"/>
        <v>6</v>
      </c>
      <c r="AN9" s="14">
        <v>13896</v>
      </c>
      <c r="AO9" s="14">
        <f t="shared" si="15"/>
        <v>505</v>
      </c>
      <c r="AP9" s="7"/>
    </row>
    <row r="10" spans="1:42" ht="22.5" customHeight="1" x14ac:dyDescent="0.25">
      <c r="A10" s="12">
        <v>44627</v>
      </c>
      <c r="B10" s="11">
        <v>840509</v>
      </c>
      <c r="C10" s="7">
        <f t="shared" si="0"/>
        <v>3876</v>
      </c>
      <c r="D10" s="7">
        <v>29278852</v>
      </c>
      <c r="E10" s="7">
        <f t="shared" si="1"/>
        <v>8767</v>
      </c>
      <c r="F10" s="11">
        <v>8001760</v>
      </c>
      <c r="G10" s="9">
        <f t="shared" si="2"/>
        <v>3742</v>
      </c>
      <c r="H10" s="19"/>
      <c r="I10" s="7">
        <v>76561</v>
      </c>
      <c r="J10" s="14">
        <f t="shared" si="3"/>
        <v>34.999000000000002</v>
      </c>
      <c r="K10" s="14">
        <v>20534</v>
      </c>
      <c r="L10" s="14">
        <f t="shared" si="4"/>
        <v>5.6449999999999996</v>
      </c>
      <c r="M10" s="15"/>
      <c r="N10" s="7">
        <v>52123</v>
      </c>
      <c r="O10" s="14">
        <f t="shared" si="5"/>
        <v>7085.5614973262027</v>
      </c>
      <c r="P10" s="7">
        <v>52033453</v>
      </c>
      <c r="Q10" s="14">
        <f t="shared" si="6"/>
        <v>6022</v>
      </c>
      <c r="R10" s="14">
        <v>229379</v>
      </c>
      <c r="S10" s="14">
        <f t="shared" si="7"/>
        <v>55</v>
      </c>
      <c r="T10" s="15"/>
      <c r="U10" s="14">
        <v>54810</v>
      </c>
      <c r="V10" s="7">
        <f t="shared" si="8"/>
        <v>399</v>
      </c>
      <c r="W10" s="14">
        <v>1297</v>
      </c>
      <c r="X10" s="7">
        <f t="shared" si="9"/>
        <v>17</v>
      </c>
      <c r="Y10" s="14">
        <v>1122</v>
      </c>
      <c r="Z10" s="7">
        <f t="shared" si="10"/>
        <v>10</v>
      </c>
      <c r="AA10" s="19"/>
      <c r="AB10" s="19"/>
      <c r="AC10" s="19"/>
      <c r="AD10" s="19"/>
      <c r="AE10" s="15"/>
      <c r="AF10" s="7">
        <v>67137</v>
      </c>
      <c r="AG10" s="7">
        <f t="shared" si="11"/>
        <v>0</v>
      </c>
      <c r="AH10" s="7">
        <v>214014</v>
      </c>
      <c r="AI10" s="14">
        <f t="shared" si="12"/>
        <v>167</v>
      </c>
      <c r="AJ10" s="7">
        <v>10633036</v>
      </c>
      <c r="AK10" s="14">
        <f t="shared" si="13"/>
        <v>7956</v>
      </c>
      <c r="AL10" s="7">
        <v>28579</v>
      </c>
      <c r="AM10" s="14">
        <f t="shared" si="14"/>
        <v>3</v>
      </c>
      <c r="AN10" s="14">
        <v>14430</v>
      </c>
      <c r="AO10" s="14">
        <f t="shared" si="15"/>
        <v>534</v>
      </c>
      <c r="AP10" s="7"/>
    </row>
    <row r="11" spans="1:42" ht="23.25" customHeight="1" x14ac:dyDescent="0.25">
      <c r="A11" s="12">
        <v>44628</v>
      </c>
      <c r="B11" s="11">
        <v>844333</v>
      </c>
      <c r="C11" s="7">
        <f t="shared" si="0"/>
        <v>3824</v>
      </c>
      <c r="D11" s="7">
        <v>29287833</v>
      </c>
      <c r="E11" s="7">
        <f t="shared" si="1"/>
        <v>8981</v>
      </c>
      <c r="F11" s="7">
        <v>8005292</v>
      </c>
      <c r="G11" s="9">
        <f t="shared" si="2"/>
        <v>3532</v>
      </c>
      <c r="H11" s="13"/>
      <c r="I11" s="7">
        <v>76683</v>
      </c>
      <c r="J11" s="14">
        <f t="shared" si="3"/>
        <v>137.738</v>
      </c>
      <c r="K11" s="7">
        <v>20540</v>
      </c>
      <c r="L11" s="14">
        <f t="shared" si="4"/>
        <v>6.774</v>
      </c>
      <c r="M11" s="13"/>
      <c r="N11" s="7">
        <v>52162</v>
      </c>
      <c r="O11" s="14">
        <f t="shared" si="5"/>
        <v>5213.9037433155081</v>
      </c>
      <c r="P11" s="7">
        <v>52039690</v>
      </c>
      <c r="Q11" s="14">
        <f t="shared" si="6"/>
        <v>6237</v>
      </c>
      <c r="R11" s="7">
        <v>229437</v>
      </c>
      <c r="S11" s="14">
        <f t="shared" si="7"/>
        <v>58</v>
      </c>
      <c r="T11" s="13"/>
      <c r="U11" s="7">
        <v>55222</v>
      </c>
      <c r="V11" s="7">
        <f t="shared" si="8"/>
        <v>412</v>
      </c>
      <c r="W11" s="7">
        <v>1307</v>
      </c>
      <c r="X11" s="7">
        <f t="shared" si="9"/>
        <v>10</v>
      </c>
      <c r="Y11" s="7">
        <v>1132</v>
      </c>
      <c r="Z11" s="7">
        <f t="shared" si="10"/>
        <v>10</v>
      </c>
      <c r="AA11" s="13"/>
      <c r="AB11" s="13"/>
      <c r="AC11" s="13"/>
      <c r="AD11" s="13"/>
      <c r="AE11" s="13"/>
      <c r="AF11" s="7">
        <v>67137</v>
      </c>
      <c r="AG11" s="7">
        <f t="shared" si="11"/>
        <v>0</v>
      </c>
      <c r="AH11" s="7">
        <v>214165</v>
      </c>
      <c r="AI11" s="14">
        <f t="shared" si="12"/>
        <v>151</v>
      </c>
      <c r="AJ11" s="7">
        <v>10640320</v>
      </c>
      <c r="AK11" s="14">
        <f t="shared" si="13"/>
        <v>7284</v>
      </c>
      <c r="AL11" s="7">
        <v>28580</v>
      </c>
      <c r="AM11" s="14">
        <f t="shared" si="14"/>
        <v>1</v>
      </c>
      <c r="AN11" s="7">
        <v>15176</v>
      </c>
      <c r="AO11" s="14">
        <f t="shared" si="15"/>
        <v>746</v>
      </c>
      <c r="AP11" s="7"/>
    </row>
    <row r="12" spans="1:42" ht="21.75" customHeight="1" x14ac:dyDescent="0.25">
      <c r="A12" s="12">
        <v>44629</v>
      </c>
      <c r="B12" s="7">
        <v>848421</v>
      </c>
      <c r="C12" s="7">
        <f t="shared" si="0"/>
        <v>4088</v>
      </c>
      <c r="D12" s="7">
        <v>29296775</v>
      </c>
      <c r="E12" s="7">
        <f t="shared" si="1"/>
        <v>8942</v>
      </c>
      <c r="F12" s="7">
        <v>8008862</v>
      </c>
      <c r="G12" s="9">
        <f t="shared" si="2"/>
        <v>3570</v>
      </c>
      <c r="H12" s="13"/>
      <c r="I12" s="7">
        <v>76747</v>
      </c>
      <c r="J12" s="14">
        <f t="shared" si="3"/>
        <v>72.256</v>
      </c>
      <c r="K12" s="7">
        <v>20546</v>
      </c>
      <c r="L12" s="14">
        <f t="shared" si="4"/>
        <v>6.774</v>
      </c>
      <c r="M12" s="13"/>
      <c r="N12" s="7">
        <v>52200</v>
      </c>
      <c r="O12" s="14">
        <f t="shared" si="5"/>
        <v>5080.2139037433153</v>
      </c>
      <c r="P12" s="7">
        <v>52045168</v>
      </c>
      <c r="Q12" s="14">
        <f t="shared" si="6"/>
        <v>5478</v>
      </c>
      <c r="R12" s="7">
        <v>229520</v>
      </c>
      <c r="S12" s="14">
        <f t="shared" si="7"/>
        <v>83</v>
      </c>
      <c r="T12" s="13"/>
      <c r="U12" s="7">
        <v>55627</v>
      </c>
      <c r="V12" s="7">
        <f t="shared" si="8"/>
        <v>405</v>
      </c>
      <c r="W12" s="7">
        <v>1320</v>
      </c>
      <c r="X12" s="7">
        <f t="shared" si="9"/>
        <v>13</v>
      </c>
      <c r="Y12" s="7">
        <v>1143</v>
      </c>
      <c r="Z12" s="7">
        <v>11</v>
      </c>
      <c r="AA12" s="13"/>
      <c r="AB12" s="13"/>
      <c r="AC12" s="13"/>
      <c r="AD12" s="13"/>
      <c r="AE12" s="13"/>
      <c r="AF12" s="7">
        <v>67137</v>
      </c>
      <c r="AG12" s="7">
        <f t="shared" si="11"/>
        <v>0</v>
      </c>
      <c r="AH12" s="7">
        <v>214300</v>
      </c>
      <c r="AI12" s="14">
        <f t="shared" si="12"/>
        <v>135</v>
      </c>
      <c r="AJ12" s="7">
        <v>10644561</v>
      </c>
      <c r="AK12" s="14">
        <f t="shared" si="13"/>
        <v>4241</v>
      </c>
      <c r="AL12" s="7">
        <v>28582</v>
      </c>
      <c r="AM12" s="14">
        <f t="shared" si="14"/>
        <v>2</v>
      </c>
      <c r="AN12" s="7">
        <v>15888</v>
      </c>
      <c r="AO12" s="14">
        <f t="shared" si="15"/>
        <v>712</v>
      </c>
      <c r="AP12" s="7"/>
    </row>
    <row r="13" spans="1:42" ht="21.75" customHeight="1" x14ac:dyDescent="0.25">
      <c r="A13" s="12">
        <v>44630</v>
      </c>
      <c r="B13" s="7">
        <v>852609</v>
      </c>
      <c r="C13" s="7">
        <f t="shared" si="0"/>
        <v>4188</v>
      </c>
      <c r="D13" s="7">
        <v>29306222</v>
      </c>
      <c r="E13" s="7">
        <f t="shared" si="1"/>
        <v>9447</v>
      </c>
      <c r="F13" s="7">
        <v>8012367</v>
      </c>
      <c r="G13" s="9">
        <f t="shared" si="2"/>
        <v>3505</v>
      </c>
      <c r="H13" s="13"/>
      <c r="I13" s="7">
        <v>76813</v>
      </c>
      <c r="J13" s="14">
        <f t="shared" si="3"/>
        <v>74.513999999999996</v>
      </c>
      <c r="K13" s="7">
        <v>20553</v>
      </c>
      <c r="L13" s="14">
        <f t="shared" si="4"/>
        <v>7.9030000000000005</v>
      </c>
      <c r="M13" s="13"/>
      <c r="N13" s="7">
        <v>52239</v>
      </c>
      <c r="O13" s="14">
        <f t="shared" si="5"/>
        <v>5213.9037433155081</v>
      </c>
      <c r="P13" s="7">
        <v>52050020</v>
      </c>
      <c r="Q13" s="14">
        <f t="shared" si="6"/>
        <v>4852</v>
      </c>
      <c r="R13" s="7">
        <v>229631</v>
      </c>
      <c r="S13" s="14">
        <f t="shared" si="7"/>
        <v>111</v>
      </c>
      <c r="T13" s="13"/>
      <c r="U13" s="7">
        <v>56060</v>
      </c>
      <c r="V13" s="7">
        <f t="shared" si="8"/>
        <v>433</v>
      </c>
      <c r="W13" s="7">
        <v>1345</v>
      </c>
      <c r="X13" s="7">
        <f t="shared" si="9"/>
        <v>25</v>
      </c>
      <c r="Y13" s="7">
        <v>1155</v>
      </c>
      <c r="Z13" s="7">
        <f t="shared" si="10"/>
        <v>12</v>
      </c>
      <c r="AA13" s="13"/>
      <c r="AB13" s="13"/>
      <c r="AC13" s="13"/>
      <c r="AD13" s="13"/>
      <c r="AE13" s="13"/>
      <c r="AF13" s="7">
        <v>67137</v>
      </c>
      <c r="AG13" s="7">
        <f t="shared" si="11"/>
        <v>0</v>
      </c>
      <c r="AH13" s="7">
        <v>214439</v>
      </c>
      <c r="AI13" s="14">
        <f t="shared" si="12"/>
        <v>139</v>
      </c>
      <c r="AJ13" s="7">
        <v>10648753</v>
      </c>
      <c r="AK13" s="14">
        <f t="shared" si="13"/>
        <v>4192</v>
      </c>
      <c r="AL13" s="7">
        <v>28584</v>
      </c>
      <c r="AM13" s="14">
        <f t="shared" si="14"/>
        <v>2</v>
      </c>
      <c r="AN13" s="7">
        <v>16543</v>
      </c>
      <c r="AO13" s="14">
        <f t="shared" si="15"/>
        <v>655</v>
      </c>
      <c r="AP13" s="7"/>
    </row>
    <row r="14" spans="1:42" ht="22.5" customHeight="1" x14ac:dyDescent="0.25">
      <c r="A14" s="12">
        <v>44631</v>
      </c>
      <c r="B14" s="7">
        <v>856800</v>
      </c>
      <c r="C14" s="7">
        <f t="shared" si="0"/>
        <v>4191</v>
      </c>
      <c r="D14" s="7">
        <v>29315525</v>
      </c>
      <c r="E14" s="7">
        <f t="shared" si="1"/>
        <v>9303</v>
      </c>
      <c r="F14" s="7">
        <v>8015970</v>
      </c>
      <c r="G14" s="9">
        <f t="shared" si="2"/>
        <v>3603</v>
      </c>
      <c r="H14" s="13"/>
      <c r="I14" s="7">
        <v>76896</v>
      </c>
      <c r="J14" s="14">
        <f t="shared" si="3"/>
        <v>93.706999999999994</v>
      </c>
      <c r="K14" s="7">
        <v>20559</v>
      </c>
      <c r="L14" s="14">
        <f t="shared" si="4"/>
        <v>6.774</v>
      </c>
      <c r="M14" s="13"/>
      <c r="N14" s="7">
        <v>52280</v>
      </c>
      <c r="O14" s="14">
        <f t="shared" si="5"/>
        <v>5481.2834224598928</v>
      </c>
      <c r="P14" s="7">
        <v>52055010</v>
      </c>
      <c r="Q14" s="14">
        <f t="shared" si="6"/>
        <v>4990</v>
      </c>
      <c r="R14" s="14">
        <v>229723</v>
      </c>
      <c r="S14" s="14">
        <f t="shared" si="7"/>
        <v>92</v>
      </c>
      <c r="T14" s="15"/>
      <c r="U14" s="7">
        <v>56481</v>
      </c>
      <c r="V14" s="7">
        <f t="shared" si="8"/>
        <v>421</v>
      </c>
      <c r="W14" s="7">
        <v>1364</v>
      </c>
      <c r="X14" s="7">
        <f t="shared" si="9"/>
        <v>19</v>
      </c>
      <c r="Y14" s="7">
        <v>1165</v>
      </c>
      <c r="Z14" s="7">
        <f t="shared" si="10"/>
        <v>10</v>
      </c>
      <c r="AA14" s="13"/>
      <c r="AB14" s="13"/>
      <c r="AC14" s="13"/>
      <c r="AD14" s="13"/>
      <c r="AE14" s="15"/>
      <c r="AF14" s="7">
        <v>67137</v>
      </c>
      <c r="AG14" s="7">
        <f t="shared" si="11"/>
        <v>0</v>
      </c>
      <c r="AH14" s="7">
        <v>214577</v>
      </c>
      <c r="AI14" s="14">
        <f t="shared" si="12"/>
        <v>138</v>
      </c>
      <c r="AJ14" s="7">
        <v>10654263</v>
      </c>
      <c r="AK14" s="14">
        <f t="shared" si="13"/>
        <v>5510</v>
      </c>
      <c r="AL14" s="7">
        <v>28586</v>
      </c>
      <c r="AM14" s="14">
        <f t="shared" si="14"/>
        <v>2</v>
      </c>
      <c r="AN14" s="14">
        <v>17283</v>
      </c>
      <c r="AO14" s="14">
        <f t="shared" si="15"/>
        <v>740</v>
      </c>
      <c r="AP14" s="7"/>
    </row>
    <row r="15" spans="1:42" ht="22.5" customHeight="1" x14ac:dyDescent="0.25">
      <c r="A15" s="12">
        <v>44632</v>
      </c>
      <c r="B15" s="7">
        <v>861168</v>
      </c>
      <c r="C15" s="7">
        <f t="shared" si="0"/>
        <v>4368</v>
      </c>
      <c r="D15" s="7">
        <v>29324614</v>
      </c>
      <c r="E15" s="7">
        <f t="shared" si="1"/>
        <v>9089</v>
      </c>
      <c r="F15" s="7">
        <v>8019634</v>
      </c>
      <c r="G15" s="9">
        <f t="shared" si="2"/>
        <v>3664</v>
      </c>
      <c r="H15" s="13"/>
      <c r="I15" s="7">
        <v>77009</v>
      </c>
      <c r="J15" s="14">
        <f t="shared" si="3"/>
        <v>127.577</v>
      </c>
      <c r="K15" s="7">
        <v>20564</v>
      </c>
      <c r="L15" s="14">
        <f t="shared" si="4"/>
        <v>5.6449999999999996</v>
      </c>
      <c r="M15" s="13"/>
      <c r="N15" s="7">
        <v>52330</v>
      </c>
      <c r="O15" s="14">
        <f t="shared" si="5"/>
        <v>6684.4919786096252</v>
      </c>
      <c r="P15" s="14">
        <v>52060455</v>
      </c>
      <c r="Q15" s="14">
        <f t="shared" si="6"/>
        <v>5445</v>
      </c>
      <c r="R15" s="7">
        <v>229802</v>
      </c>
      <c r="S15" s="14">
        <f t="shared" si="7"/>
        <v>79</v>
      </c>
      <c r="T15" s="13"/>
      <c r="U15" s="7">
        <v>56887</v>
      </c>
      <c r="V15" s="7">
        <f t="shared" si="8"/>
        <v>406</v>
      </c>
      <c r="W15" s="7">
        <v>1377</v>
      </c>
      <c r="X15" s="7">
        <f t="shared" si="9"/>
        <v>13</v>
      </c>
      <c r="Y15" s="7">
        <v>1176</v>
      </c>
      <c r="Z15" s="7">
        <f t="shared" si="10"/>
        <v>11</v>
      </c>
      <c r="AA15" s="13"/>
      <c r="AB15" s="13"/>
      <c r="AC15" s="13"/>
      <c r="AD15" s="13"/>
      <c r="AE15" s="13"/>
      <c r="AF15" s="7">
        <v>67137</v>
      </c>
      <c r="AG15" s="7">
        <f t="shared" si="11"/>
        <v>0</v>
      </c>
      <c r="AH15" s="14">
        <v>214742</v>
      </c>
      <c r="AI15" s="14">
        <f t="shared" si="12"/>
        <v>165</v>
      </c>
      <c r="AJ15" s="14">
        <v>10661310</v>
      </c>
      <c r="AK15" s="14">
        <f t="shared" si="13"/>
        <v>7047</v>
      </c>
      <c r="AL15" s="14">
        <v>28594</v>
      </c>
      <c r="AM15" s="14">
        <f t="shared" si="14"/>
        <v>8</v>
      </c>
      <c r="AN15" s="7">
        <v>18162</v>
      </c>
      <c r="AO15" s="14">
        <f t="shared" si="15"/>
        <v>879</v>
      </c>
      <c r="AP15" s="7"/>
    </row>
    <row r="16" spans="1:42" ht="21" customHeight="1" x14ac:dyDescent="0.25">
      <c r="A16" s="12">
        <v>44633</v>
      </c>
      <c r="B16" s="7">
        <v>865460</v>
      </c>
      <c r="C16" s="7">
        <f t="shared" si="0"/>
        <v>4292</v>
      </c>
      <c r="D16" s="7">
        <v>29333437</v>
      </c>
      <c r="E16" s="7">
        <f t="shared" si="1"/>
        <v>8823</v>
      </c>
      <c r="F16" s="7">
        <v>8023070</v>
      </c>
      <c r="G16" s="9">
        <f t="shared" si="2"/>
        <v>3436</v>
      </c>
      <c r="H16" s="13"/>
      <c r="I16" s="7">
        <v>77123</v>
      </c>
      <c r="J16" s="14">
        <f t="shared" si="3"/>
        <v>128.70599999999999</v>
      </c>
      <c r="K16" s="7">
        <v>20569</v>
      </c>
      <c r="L16" s="14">
        <f t="shared" si="4"/>
        <v>5.6449999999999996</v>
      </c>
      <c r="M16" s="13"/>
      <c r="N16" s="7">
        <v>52386</v>
      </c>
      <c r="O16" s="14">
        <f t="shared" si="5"/>
        <v>7486.6310160427802</v>
      </c>
      <c r="P16" s="7">
        <v>52064323</v>
      </c>
      <c r="Q16" s="14">
        <f t="shared" si="6"/>
        <v>3868</v>
      </c>
      <c r="R16" s="14">
        <v>229934</v>
      </c>
      <c r="S16" s="14">
        <f t="shared" si="7"/>
        <v>132</v>
      </c>
      <c r="T16" s="15"/>
      <c r="U16" s="7">
        <v>57281</v>
      </c>
      <c r="V16" s="7">
        <f t="shared" si="8"/>
        <v>394</v>
      </c>
      <c r="W16" s="7">
        <v>1378</v>
      </c>
      <c r="X16" s="7">
        <f t="shared" si="9"/>
        <v>1</v>
      </c>
      <c r="Y16" s="7">
        <v>1186</v>
      </c>
      <c r="Z16" s="7">
        <f t="shared" si="10"/>
        <v>10</v>
      </c>
      <c r="AA16" s="13"/>
      <c r="AB16" s="13"/>
      <c r="AC16" s="13"/>
      <c r="AD16" s="13"/>
      <c r="AE16" s="15"/>
      <c r="AF16" s="7">
        <v>67137</v>
      </c>
      <c r="AG16" s="7">
        <f t="shared" si="11"/>
        <v>0</v>
      </c>
      <c r="AH16" s="7">
        <v>214888</v>
      </c>
      <c r="AI16" s="14">
        <f t="shared" si="12"/>
        <v>146</v>
      </c>
      <c r="AJ16" s="7">
        <v>10667903</v>
      </c>
      <c r="AK16" s="14">
        <f t="shared" si="13"/>
        <v>6593</v>
      </c>
      <c r="AL16" s="7">
        <v>28596</v>
      </c>
      <c r="AM16" s="14">
        <f t="shared" si="14"/>
        <v>2</v>
      </c>
      <c r="AN16" s="14">
        <v>18922</v>
      </c>
      <c r="AO16" s="14">
        <f t="shared" si="15"/>
        <v>760</v>
      </c>
      <c r="AP16" s="7"/>
    </row>
    <row r="17" spans="1:42" ht="19.5" customHeight="1" x14ac:dyDescent="0.25">
      <c r="A17" s="12">
        <v>44634</v>
      </c>
      <c r="B17" s="7">
        <v>869587</v>
      </c>
      <c r="C17" s="7">
        <f t="shared" si="0"/>
        <v>4127</v>
      </c>
      <c r="D17" s="7">
        <v>29342320</v>
      </c>
      <c r="E17" s="7">
        <f t="shared" si="1"/>
        <v>8883</v>
      </c>
      <c r="F17" s="7">
        <v>8026624</v>
      </c>
      <c r="G17" s="9">
        <f t="shared" si="2"/>
        <v>3554</v>
      </c>
      <c r="H17" s="13"/>
      <c r="I17" s="7">
        <v>77206</v>
      </c>
      <c r="J17" s="14">
        <f t="shared" si="3"/>
        <v>93.706999999999994</v>
      </c>
      <c r="K17" s="7">
        <v>20574</v>
      </c>
      <c r="L17" s="14">
        <f t="shared" si="4"/>
        <v>5.6449999999999996</v>
      </c>
      <c r="M17" s="13"/>
      <c r="N17" s="7">
        <v>52424</v>
      </c>
      <c r="O17" s="14">
        <f t="shared" si="5"/>
        <v>5080.2139037433153</v>
      </c>
      <c r="P17" s="14">
        <v>52068278</v>
      </c>
      <c r="Q17" s="14">
        <f t="shared" si="6"/>
        <v>3955</v>
      </c>
      <c r="R17" s="7">
        <v>230057</v>
      </c>
      <c r="S17" s="14">
        <f t="shared" si="7"/>
        <v>123</v>
      </c>
      <c r="T17" s="13"/>
      <c r="U17" s="7">
        <v>57691</v>
      </c>
      <c r="V17" s="7">
        <f t="shared" si="8"/>
        <v>410</v>
      </c>
      <c r="W17" s="7">
        <v>1380</v>
      </c>
      <c r="X17" s="7">
        <f t="shared" si="9"/>
        <v>2</v>
      </c>
      <c r="Y17" s="7">
        <v>1196</v>
      </c>
      <c r="Z17" s="7">
        <f t="shared" si="10"/>
        <v>10</v>
      </c>
      <c r="AA17" s="13"/>
      <c r="AB17" s="13"/>
      <c r="AC17" s="13"/>
      <c r="AD17" s="13"/>
      <c r="AE17" s="13"/>
      <c r="AF17" s="7">
        <v>67137</v>
      </c>
      <c r="AG17" s="7">
        <f t="shared" si="11"/>
        <v>0</v>
      </c>
      <c r="AH17" s="14">
        <v>215023</v>
      </c>
      <c r="AI17" s="14">
        <f t="shared" si="12"/>
        <v>135</v>
      </c>
      <c r="AJ17" s="14">
        <v>10672967</v>
      </c>
      <c r="AK17" s="14">
        <f t="shared" si="13"/>
        <v>5064</v>
      </c>
      <c r="AL17" s="14">
        <v>28599</v>
      </c>
      <c r="AM17" s="14">
        <f t="shared" si="14"/>
        <v>3</v>
      </c>
      <c r="AN17" s="7">
        <v>19377</v>
      </c>
      <c r="AO17" s="14">
        <f t="shared" si="15"/>
        <v>455</v>
      </c>
      <c r="AP17" s="7"/>
    </row>
    <row r="18" spans="1:42" ht="19.5" customHeight="1" x14ac:dyDescent="0.25">
      <c r="A18" s="12">
        <v>44635</v>
      </c>
      <c r="B18" s="7">
        <v>873795</v>
      </c>
      <c r="C18" s="7">
        <f t="shared" si="0"/>
        <v>4208</v>
      </c>
      <c r="D18" s="7">
        <v>29351577</v>
      </c>
      <c r="E18" s="7">
        <f t="shared" si="1"/>
        <v>9257</v>
      </c>
      <c r="F18" s="7">
        <v>8030200</v>
      </c>
      <c r="G18" s="9">
        <f t="shared" si="2"/>
        <v>3576</v>
      </c>
      <c r="H18" s="13"/>
      <c r="I18" s="7">
        <v>77299</v>
      </c>
      <c r="J18" s="14">
        <f t="shared" si="3"/>
        <v>104.997</v>
      </c>
      <c r="K18" s="7">
        <v>20580</v>
      </c>
      <c r="L18" s="14">
        <f t="shared" si="4"/>
        <v>6.774</v>
      </c>
      <c r="M18" s="13"/>
      <c r="N18" s="7">
        <v>52468</v>
      </c>
      <c r="O18" s="14">
        <f t="shared" si="5"/>
        <v>5882.3529411764703</v>
      </c>
      <c r="P18" s="7">
        <v>52073056</v>
      </c>
      <c r="Q18" s="14">
        <f t="shared" si="6"/>
        <v>4778</v>
      </c>
      <c r="R18" s="7">
        <v>230144</v>
      </c>
      <c r="S18" s="14">
        <f t="shared" si="7"/>
        <v>87</v>
      </c>
      <c r="T18" s="13"/>
      <c r="U18" s="7">
        <v>58113</v>
      </c>
      <c r="V18" s="7">
        <f t="shared" si="8"/>
        <v>422</v>
      </c>
      <c r="W18" s="7">
        <v>1381</v>
      </c>
      <c r="X18" s="7">
        <f t="shared" si="9"/>
        <v>1</v>
      </c>
      <c r="Y18" s="7">
        <v>1206</v>
      </c>
      <c r="Z18" s="7">
        <f t="shared" si="10"/>
        <v>10</v>
      </c>
      <c r="AA18" s="13"/>
      <c r="AB18" s="13"/>
      <c r="AC18" s="13"/>
      <c r="AD18" s="13"/>
      <c r="AE18" s="13"/>
      <c r="AF18" s="7">
        <v>67137</v>
      </c>
      <c r="AG18" s="7">
        <f t="shared" si="11"/>
        <v>0</v>
      </c>
      <c r="AH18" s="7">
        <v>215170</v>
      </c>
      <c r="AI18" s="14">
        <f t="shared" si="12"/>
        <v>147</v>
      </c>
      <c r="AJ18" s="7">
        <v>10677330</v>
      </c>
      <c r="AK18" s="14">
        <f t="shared" si="13"/>
        <v>4363</v>
      </c>
      <c r="AL18" s="7">
        <v>28600</v>
      </c>
      <c r="AM18" s="14">
        <f t="shared" si="14"/>
        <v>1</v>
      </c>
      <c r="AN18" s="7">
        <v>19784</v>
      </c>
      <c r="AO18" s="14">
        <f t="shared" si="15"/>
        <v>407</v>
      </c>
      <c r="AP18" s="7"/>
    </row>
    <row r="19" spans="1:42" ht="24" customHeight="1" x14ac:dyDescent="0.25">
      <c r="A19" s="12">
        <v>44636</v>
      </c>
      <c r="B19" s="7">
        <v>877977</v>
      </c>
      <c r="C19" s="7">
        <f t="shared" si="0"/>
        <v>4182</v>
      </c>
      <c r="D19" s="7">
        <v>29360515</v>
      </c>
      <c r="E19" s="7">
        <f t="shared" si="1"/>
        <v>8938</v>
      </c>
      <c r="F19" s="7">
        <v>8033764</v>
      </c>
      <c r="G19" s="9">
        <f t="shared" si="2"/>
        <v>3564</v>
      </c>
      <c r="H19" s="13"/>
      <c r="I19" s="7">
        <v>77391</v>
      </c>
      <c r="J19" s="14">
        <f t="shared" si="3"/>
        <v>103.86799999999999</v>
      </c>
      <c r="K19" s="7">
        <v>20585</v>
      </c>
      <c r="L19" s="14">
        <f t="shared" si="4"/>
        <v>5.6449999999999996</v>
      </c>
      <c r="M19" s="13"/>
      <c r="N19" s="7">
        <v>52529</v>
      </c>
      <c r="O19" s="14">
        <f t="shared" si="5"/>
        <v>8155.0802139037432</v>
      </c>
      <c r="P19" s="7">
        <v>52078845</v>
      </c>
      <c r="Q19" s="14">
        <f t="shared" si="6"/>
        <v>5789</v>
      </c>
      <c r="R19" s="7">
        <v>230219</v>
      </c>
      <c r="S19" s="14">
        <f t="shared" si="7"/>
        <v>75</v>
      </c>
      <c r="T19" s="13"/>
      <c r="U19" s="7">
        <v>58531</v>
      </c>
      <c r="V19" s="7">
        <f t="shared" si="8"/>
        <v>418</v>
      </c>
      <c r="W19" s="14">
        <v>1392</v>
      </c>
      <c r="X19" s="7">
        <f t="shared" si="9"/>
        <v>11</v>
      </c>
      <c r="Y19" s="14">
        <v>1216</v>
      </c>
      <c r="Z19" s="7">
        <f t="shared" si="10"/>
        <v>10</v>
      </c>
      <c r="AA19" s="13"/>
      <c r="AB19" s="13"/>
      <c r="AC19" s="13"/>
      <c r="AD19" s="13"/>
      <c r="AE19" s="13"/>
      <c r="AF19" s="7">
        <v>67137</v>
      </c>
      <c r="AG19" s="7">
        <f t="shared" si="11"/>
        <v>0</v>
      </c>
      <c r="AH19" s="7">
        <v>215313</v>
      </c>
      <c r="AI19" s="14">
        <f t="shared" si="12"/>
        <v>143</v>
      </c>
      <c r="AJ19" s="7">
        <v>10681651</v>
      </c>
      <c r="AK19" s="14">
        <f t="shared" si="13"/>
        <v>4321</v>
      </c>
      <c r="AL19" s="7">
        <v>28602</v>
      </c>
      <c r="AM19" s="14">
        <f t="shared" si="14"/>
        <v>2</v>
      </c>
      <c r="AN19" s="7">
        <v>20194</v>
      </c>
      <c r="AO19" s="14">
        <f t="shared" si="15"/>
        <v>410</v>
      </c>
      <c r="AP19" s="7"/>
    </row>
    <row r="20" spans="1:42" ht="20.25" customHeight="1" x14ac:dyDescent="0.25">
      <c r="A20" s="12">
        <v>44637</v>
      </c>
      <c r="B20" s="7">
        <v>882232</v>
      </c>
      <c r="C20" s="7">
        <f t="shared" si="0"/>
        <v>4255</v>
      </c>
      <c r="D20" s="7">
        <v>29369923</v>
      </c>
      <c r="E20" s="7">
        <f t="shared" si="1"/>
        <v>9408</v>
      </c>
      <c r="F20" s="7">
        <v>8037470</v>
      </c>
      <c r="G20" s="9">
        <f t="shared" si="2"/>
        <v>3706</v>
      </c>
      <c r="H20" s="13"/>
      <c r="I20" s="7">
        <v>77485</v>
      </c>
      <c r="J20" s="14">
        <f t="shared" si="3"/>
        <v>106.126</v>
      </c>
      <c r="K20" s="7">
        <v>20591</v>
      </c>
      <c r="L20" s="14">
        <f t="shared" si="4"/>
        <v>6.774</v>
      </c>
      <c r="M20" s="13"/>
      <c r="N20" s="7">
        <v>52621</v>
      </c>
      <c r="O20" s="14">
        <f t="shared" si="5"/>
        <v>12299.46524064171</v>
      </c>
      <c r="P20" s="7">
        <v>52085336</v>
      </c>
      <c r="Q20" s="14">
        <f t="shared" si="6"/>
        <v>6491</v>
      </c>
      <c r="R20" s="7">
        <v>230290</v>
      </c>
      <c r="S20" s="14">
        <f t="shared" si="7"/>
        <v>71</v>
      </c>
      <c r="T20" s="13"/>
      <c r="U20" s="7">
        <v>58969</v>
      </c>
      <c r="V20" s="7">
        <f t="shared" si="8"/>
        <v>438</v>
      </c>
      <c r="W20" s="7">
        <v>1411</v>
      </c>
      <c r="X20" s="7">
        <f t="shared" si="9"/>
        <v>19</v>
      </c>
      <c r="Y20" s="7">
        <v>1227</v>
      </c>
      <c r="Z20" s="7">
        <f t="shared" si="10"/>
        <v>11</v>
      </c>
      <c r="AA20" s="13"/>
      <c r="AB20" s="13"/>
      <c r="AC20" s="13"/>
      <c r="AD20" s="13"/>
      <c r="AE20" s="13"/>
      <c r="AF20" s="7">
        <v>67137</v>
      </c>
      <c r="AG20" s="7">
        <f t="shared" si="11"/>
        <v>0</v>
      </c>
      <c r="AH20" s="7">
        <v>215459</v>
      </c>
      <c r="AI20" s="14">
        <f t="shared" si="12"/>
        <v>146</v>
      </c>
      <c r="AJ20" s="7">
        <v>10685908</v>
      </c>
      <c r="AK20" s="14">
        <f t="shared" si="13"/>
        <v>4257</v>
      </c>
      <c r="AL20" s="7">
        <v>28603</v>
      </c>
      <c r="AM20" s="14">
        <f t="shared" si="14"/>
        <v>1</v>
      </c>
      <c r="AN20" s="7">
        <v>20903</v>
      </c>
      <c r="AO20" s="14">
        <f t="shared" si="15"/>
        <v>709</v>
      </c>
      <c r="AP20" s="7"/>
    </row>
    <row r="21" spans="1:42" ht="21" customHeight="1" x14ac:dyDescent="0.25">
      <c r="A21" s="12">
        <v>44638</v>
      </c>
      <c r="B21" s="7">
        <v>886443</v>
      </c>
      <c r="C21" s="7">
        <f t="shared" si="0"/>
        <v>4211</v>
      </c>
      <c r="D21" s="7">
        <v>29379183</v>
      </c>
      <c r="E21" s="7">
        <f t="shared" si="1"/>
        <v>9260</v>
      </c>
      <c r="F21" s="7">
        <v>8041148</v>
      </c>
      <c r="G21" s="9">
        <f t="shared" si="2"/>
        <v>3678</v>
      </c>
      <c r="H21" s="13"/>
      <c r="I21" s="7">
        <v>77575</v>
      </c>
      <c r="J21" s="14">
        <f t="shared" si="3"/>
        <v>101.61</v>
      </c>
      <c r="K21" s="7">
        <v>20596</v>
      </c>
      <c r="L21" s="14">
        <f t="shared" si="4"/>
        <v>5.6449999999999996</v>
      </c>
      <c r="M21" s="13"/>
      <c r="N21" s="7">
        <v>52708</v>
      </c>
      <c r="O21" s="14">
        <f t="shared" si="5"/>
        <v>11631.016042780748</v>
      </c>
      <c r="P21" s="7">
        <v>52091329</v>
      </c>
      <c r="Q21" s="14">
        <f t="shared" si="6"/>
        <v>5993</v>
      </c>
      <c r="R21" s="7">
        <v>230360</v>
      </c>
      <c r="S21" s="14">
        <f t="shared" si="7"/>
        <v>70</v>
      </c>
      <c r="T21" s="13"/>
      <c r="U21" s="7">
        <v>59387</v>
      </c>
      <c r="V21" s="7">
        <f t="shared" si="8"/>
        <v>418</v>
      </c>
      <c r="W21" s="7">
        <v>1415</v>
      </c>
      <c r="X21" s="7">
        <f t="shared" si="9"/>
        <v>4</v>
      </c>
      <c r="Y21" s="7">
        <v>1237</v>
      </c>
      <c r="Z21" s="7">
        <f t="shared" si="10"/>
        <v>10</v>
      </c>
      <c r="AA21" s="13"/>
      <c r="AB21" s="13"/>
      <c r="AC21" s="13"/>
      <c r="AD21" s="13"/>
      <c r="AE21" s="13"/>
      <c r="AF21" s="7">
        <v>67137</v>
      </c>
      <c r="AG21" s="7">
        <f t="shared" si="11"/>
        <v>0</v>
      </c>
      <c r="AH21" s="7">
        <v>215607</v>
      </c>
      <c r="AI21" s="14">
        <f t="shared" si="12"/>
        <v>148</v>
      </c>
      <c r="AJ21" s="7">
        <v>10690705</v>
      </c>
      <c r="AK21" s="14">
        <f t="shared" si="13"/>
        <v>4797</v>
      </c>
      <c r="AL21" s="7">
        <v>28605</v>
      </c>
      <c r="AM21" s="14">
        <f t="shared" si="14"/>
        <v>2</v>
      </c>
      <c r="AN21" s="7">
        <v>21530</v>
      </c>
      <c r="AO21" s="14">
        <f t="shared" si="15"/>
        <v>627</v>
      </c>
      <c r="AP21" s="7"/>
    </row>
    <row r="22" spans="1:42" ht="18.75" customHeight="1" x14ac:dyDescent="0.25">
      <c r="A22" s="12">
        <v>44639</v>
      </c>
      <c r="B22" s="7">
        <v>890473</v>
      </c>
      <c r="C22" s="7">
        <f t="shared" si="0"/>
        <v>4030</v>
      </c>
      <c r="D22" s="7">
        <v>29388323</v>
      </c>
      <c r="E22" s="7">
        <f t="shared" si="1"/>
        <v>9140</v>
      </c>
      <c r="F22" s="7">
        <v>8044915</v>
      </c>
      <c r="G22" s="9">
        <f t="shared" si="2"/>
        <v>3767</v>
      </c>
      <c r="H22" s="13"/>
      <c r="I22" s="7">
        <v>77696</v>
      </c>
      <c r="J22" s="14">
        <f t="shared" si="3"/>
        <v>136.60900000000001</v>
      </c>
      <c r="K22" s="7">
        <v>20602</v>
      </c>
      <c r="L22" s="14">
        <f t="shared" si="4"/>
        <v>6.774</v>
      </c>
      <c r="M22" s="13"/>
      <c r="N22" s="7">
        <v>52807</v>
      </c>
      <c r="O22" s="14">
        <f t="shared" si="5"/>
        <v>13235.294117647058</v>
      </c>
      <c r="P22" s="14">
        <v>52098431</v>
      </c>
      <c r="Q22" s="14">
        <f t="shared" si="6"/>
        <v>7102</v>
      </c>
      <c r="R22" s="7">
        <v>230421</v>
      </c>
      <c r="S22" s="14">
        <f t="shared" si="7"/>
        <v>61</v>
      </c>
      <c r="T22" s="13"/>
      <c r="U22" s="7">
        <v>59784</v>
      </c>
      <c r="V22" s="7">
        <f t="shared" si="8"/>
        <v>397</v>
      </c>
      <c r="W22" s="7">
        <v>1429</v>
      </c>
      <c r="X22" s="7">
        <f t="shared" si="9"/>
        <v>14</v>
      </c>
      <c r="Y22" s="7">
        <v>1247</v>
      </c>
      <c r="Z22" s="7">
        <f t="shared" si="10"/>
        <v>10</v>
      </c>
      <c r="AA22" s="13"/>
      <c r="AB22" s="13"/>
      <c r="AC22" s="13"/>
      <c r="AD22" s="13"/>
      <c r="AE22" s="13"/>
      <c r="AF22" s="7">
        <v>67137</v>
      </c>
      <c r="AG22" s="7">
        <f t="shared" si="11"/>
        <v>0</v>
      </c>
      <c r="AH22" s="14">
        <v>215781</v>
      </c>
      <c r="AI22" s="14">
        <f t="shared" si="12"/>
        <v>174</v>
      </c>
      <c r="AJ22" s="14">
        <v>10698122</v>
      </c>
      <c r="AK22" s="14">
        <f t="shared" si="13"/>
        <v>7417</v>
      </c>
      <c r="AL22" s="14">
        <v>28610</v>
      </c>
      <c r="AM22" s="14">
        <f t="shared" si="14"/>
        <v>5</v>
      </c>
      <c r="AN22" s="7">
        <v>22361</v>
      </c>
      <c r="AO22" s="14">
        <f t="shared" si="15"/>
        <v>831</v>
      </c>
      <c r="AP22" s="7"/>
    </row>
    <row r="23" spans="1:42" ht="21" customHeight="1" x14ac:dyDescent="0.25">
      <c r="A23" s="12">
        <v>44640</v>
      </c>
      <c r="B23" s="7">
        <v>894569</v>
      </c>
      <c r="C23" s="7">
        <f t="shared" si="0"/>
        <v>4096</v>
      </c>
      <c r="D23" s="7">
        <v>29397540</v>
      </c>
      <c r="E23" s="7">
        <f t="shared" si="1"/>
        <v>9217</v>
      </c>
      <c r="F23" s="7">
        <v>8048735</v>
      </c>
      <c r="G23" s="9">
        <f t="shared" si="2"/>
        <v>3820</v>
      </c>
      <c r="H23" s="13"/>
      <c r="I23" s="7">
        <v>77823</v>
      </c>
      <c r="J23" s="14">
        <f t="shared" si="3"/>
        <v>143.38300000000001</v>
      </c>
      <c r="K23" s="7">
        <v>20607</v>
      </c>
      <c r="L23" s="14">
        <f t="shared" si="4"/>
        <v>5.6449999999999996</v>
      </c>
      <c r="M23" s="13"/>
      <c r="N23" s="7">
        <v>52896</v>
      </c>
      <c r="O23" s="14">
        <f t="shared" si="5"/>
        <v>11898.395721925133</v>
      </c>
      <c r="P23" s="14">
        <v>52106222</v>
      </c>
      <c r="Q23" s="14">
        <f t="shared" si="6"/>
        <v>7791</v>
      </c>
      <c r="R23" s="7">
        <v>230480</v>
      </c>
      <c r="S23" s="14">
        <f t="shared" si="7"/>
        <v>59</v>
      </c>
      <c r="T23" s="13"/>
      <c r="U23" s="7">
        <v>60180</v>
      </c>
      <c r="V23" s="7">
        <f t="shared" si="8"/>
        <v>396</v>
      </c>
      <c r="W23" s="7">
        <v>1447</v>
      </c>
      <c r="X23" s="7">
        <f t="shared" si="9"/>
        <v>18</v>
      </c>
      <c r="Y23" s="7">
        <v>1258</v>
      </c>
      <c r="Z23" s="7">
        <f t="shared" si="10"/>
        <v>11</v>
      </c>
      <c r="AA23" s="13"/>
      <c r="AB23" s="13"/>
      <c r="AC23" s="13"/>
      <c r="AD23" s="13"/>
      <c r="AE23" s="13"/>
      <c r="AF23" s="7">
        <v>67137</v>
      </c>
      <c r="AG23" s="7">
        <f t="shared" si="11"/>
        <v>0</v>
      </c>
      <c r="AH23" s="14">
        <v>215950</v>
      </c>
      <c r="AI23" s="14">
        <f t="shared" si="12"/>
        <v>169</v>
      </c>
      <c r="AJ23" s="14">
        <v>10705857</v>
      </c>
      <c r="AK23" s="14">
        <f t="shared" si="13"/>
        <v>7735</v>
      </c>
      <c r="AL23" s="14">
        <v>28617</v>
      </c>
      <c r="AM23" s="14">
        <f t="shared" si="14"/>
        <v>7</v>
      </c>
      <c r="AN23" s="7">
        <v>23269</v>
      </c>
      <c r="AO23" s="14">
        <f t="shared" si="15"/>
        <v>908</v>
      </c>
      <c r="AP23" s="7"/>
    </row>
    <row r="24" spans="1:42" ht="22.5" customHeight="1" x14ac:dyDescent="0.25">
      <c r="A24" s="12">
        <v>44641</v>
      </c>
      <c r="B24" s="7">
        <v>898710</v>
      </c>
      <c r="C24" s="7">
        <f t="shared" si="0"/>
        <v>4141</v>
      </c>
      <c r="D24" s="7">
        <v>29406524</v>
      </c>
      <c r="E24" s="7">
        <f t="shared" si="1"/>
        <v>8984</v>
      </c>
      <c r="F24" s="7">
        <v>8052470</v>
      </c>
      <c r="G24" s="9">
        <f t="shared" si="2"/>
        <v>3735</v>
      </c>
      <c r="H24" s="13"/>
      <c r="I24" s="7">
        <v>77920</v>
      </c>
      <c r="J24" s="14">
        <f t="shared" si="3"/>
        <v>109.51300000000001</v>
      </c>
      <c r="K24" s="7">
        <v>20612</v>
      </c>
      <c r="L24" s="14">
        <f t="shared" si="4"/>
        <v>5.6449999999999996</v>
      </c>
      <c r="M24" s="13"/>
      <c r="N24" s="7">
        <v>52982</v>
      </c>
      <c r="O24" s="14">
        <f t="shared" si="5"/>
        <v>11497.326203208555</v>
      </c>
      <c r="P24" s="14">
        <v>52111491</v>
      </c>
      <c r="Q24" s="14">
        <f t="shared" si="6"/>
        <v>5269</v>
      </c>
      <c r="R24" s="7">
        <v>230555</v>
      </c>
      <c r="S24" s="14">
        <f t="shared" si="7"/>
        <v>75</v>
      </c>
      <c r="T24" s="13"/>
      <c r="U24" s="7">
        <v>60578</v>
      </c>
      <c r="V24" s="7">
        <f t="shared" si="8"/>
        <v>398</v>
      </c>
      <c r="W24" s="7">
        <v>1466</v>
      </c>
      <c r="X24" s="7">
        <f t="shared" si="9"/>
        <v>19</v>
      </c>
      <c r="Y24" s="7">
        <v>1269</v>
      </c>
      <c r="Z24" s="7">
        <f t="shared" si="10"/>
        <v>11</v>
      </c>
      <c r="AA24" s="13"/>
      <c r="AB24" s="13"/>
      <c r="AC24" s="13"/>
      <c r="AD24" s="13"/>
      <c r="AE24" s="13"/>
      <c r="AF24" s="7">
        <v>67137</v>
      </c>
      <c r="AG24" s="7">
        <f t="shared" si="11"/>
        <v>0</v>
      </c>
      <c r="AH24" s="14">
        <v>216100</v>
      </c>
      <c r="AI24" s="14">
        <f t="shared" si="12"/>
        <v>150</v>
      </c>
      <c r="AJ24" s="14">
        <v>10712187</v>
      </c>
      <c r="AK24" s="14">
        <f t="shared" si="13"/>
        <v>6330</v>
      </c>
      <c r="AL24" s="14">
        <v>28620</v>
      </c>
      <c r="AM24" s="14">
        <f t="shared" si="14"/>
        <v>3</v>
      </c>
      <c r="AN24" s="7">
        <v>24107</v>
      </c>
      <c r="AO24" s="14">
        <f t="shared" si="15"/>
        <v>838</v>
      </c>
      <c r="AP24" s="7"/>
    </row>
    <row r="25" spans="1:42" ht="22.5" customHeight="1" x14ac:dyDescent="0.25">
      <c r="A25" s="12">
        <v>44642</v>
      </c>
      <c r="B25" s="7">
        <v>903022</v>
      </c>
      <c r="C25" s="7">
        <f t="shared" si="0"/>
        <v>4312</v>
      </c>
      <c r="D25" s="7">
        <v>29415824</v>
      </c>
      <c r="E25" s="7">
        <f t="shared" si="1"/>
        <v>9300</v>
      </c>
      <c r="F25" s="7">
        <v>8056207</v>
      </c>
      <c r="G25" s="9">
        <f t="shared" si="2"/>
        <v>3737</v>
      </c>
      <c r="H25" s="13"/>
      <c r="I25" s="7">
        <v>78013</v>
      </c>
      <c r="J25" s="14">
        <f t="shared" si="3"/>
        <v>104.997</v>
      </c>
      <c r="K25" s="7">
        <v>20618</v>
      </c>
      <c r="L25" s="14">
        <f t="shared" si="4"/>
        <v>6.774</v>
      </c>
      <c r="M25" s="13"/>
      <c r="N25" s="7">
        <v>53024</v>
      </c>
      <c r="O25" s="14">
        <f t="shared" si="5"/>
        <v>5614.9732620320856</v>
      </c>
      <c r="P25" s="7">
        <v>52118007</v>
      </c>
      <c r="Q25" s="14">
        <f t="shared" si="6"/>
        <v>6516</v>
      </c>
      <c r="R25" s="7">
        <v>230621</v>
      </c>
      <c r="S25" s="14">
        <f t="shared" si="7"/>
        <v>66</v>
      </c>
      <c r="T25" s="13"/>
      <c r="U25" s="7">
        <v>61006</v>
      </c>
      <c r="V25" s="7">
        <f t="shared" si="8"/>
        <v>428</v>
      </c>
      <c r="W25" s="7">
        <v>1486</v>
      </c>
      <c r="X25" s="7">
        <f t="shared" si="9"/>
        <v>20</v>
      </c>
      <c r="Y25" s="7">
        <v>1279</v>
      </c>
      <c r="Z25" s="7">
        <f t="shared" si="10"/>
        <v>10</v>
      </c>
      <c r="AA25" s="13"/>
      <c r="AB25" s="13"/>
      <c r="AC25" s="13"/>
      <c r="AD25" s="13"/>
      <c r="AE25" s="13"/>
      <c r="AF25" s="7">
        <v>67137</v>
      </c>
      <c r="AG25" s="7">
        <f t="shared" si="11"/>
        <v>0</v>
      </c>
      <c r="AH25" s="7">
        <v>216250</v>
      </c>
      <c r="AI25" s="14">
        <f t="shared" si="12"/>
        <v>150</v>
      </c>
      <c r="AJ25" s="7">
        <v>10716844</v>
      </c>
      <c r="AK25" s="14">
        <f t="shared" si="13"/>
        <v>4657</v>
      </c>
      <c r="AL25" s="7">
        <v>28622</v>
      </c>
      <c r="AM25" s="14">
        <f t="shared" si="14"/>
        <v>2</v>
      </c>
      <c r="AN25" s="7">
        <v>24912</v>
      </c>
      <c r="AO25" s="14">
        <f t="shared" si="15"/>
        <v>805</v>
      </c>
      <c r="AP25" s="7"/>
    </row>
    <row r="26" spans="1:42" ht="22.5" customHeight="1" x14ac:dyDescent="0.25">
      <c r="A26" s="12">
        <v>44643</v>
      </c>
      <c r="B26" s="7">
        <v>907294</v>
      </c>
      <c r="C26" s="7">
        <f t="shared" si="0"/>
        <v>4272</v>
      </c>
      <c r="D26" s="7">
        <v>29425024</v>
      </c>
      <c r="E26" s="7">
        <f t="shared" si="1"/>
        <v>9200</v>
      </c>
      <c r="F26" s="7">
        <v>8059897</v>
      </c>
      <c r="G26" s="9">
        <f t="shared" si="2"/>
        <v>3690</v>
      </c>
      <c r="H26" s="13"/>
      <c r="I26" s="7">
        <v>78105</v>
      </c>
      <c r="J26" s="14">
        <f t="shared" si="3"/>
        <v>103.86799999999999</v>
      </c>
      <c r="K26" s="7">
        <v>20624</v>
      </c>
      <c r="L26" s="14">
        <f t="shared" si="4"/>
        <v>6.774</v>
      </c>
      <c r="M26" s="13"/>
      <c r="N26" s="7">
        <v>53063</v>
      </c>
      <c r="O26" s="14">
        <f t="shared" si="5"/>
        <v>5213.9037433155081</v>
      </c>
      <c r="P26" s="14">
        <v>52127872</v>
      </c>
      <c r="Q26" s="14">
        <f t="shared" si="6"/>
        <v>9865</v>
      </c>
      <c r="R26" s="7">
        <v>230695</v>
      </c>
      <c r="S26" s="14">
        <f t="shared" si="7"/>
        <v>74</v>
      </c>
      <c r="T26" s="13"/>
      <c r="U26" s="7">
        <v>61446</v>
      </c>
      <c r="V26" s="7">
        <f t="shared" si="8"/>
        <v>440</v>
      </c>
      <c r="W26" s="7">
        <v>1504</v>
      </c>
      <c r="X26" s="7">
        <f t="shared" si="9"/>
        <v>18</v>
      </c>
      <c r="Y26" s="7">
        <v>1291</v>
      </c>
      <c r="Z26" s="7">
        <f t="shared" si="10"/>
        <v>12</v>
      </c>
      <c r="AA26" s="13"/>
      <c r="AB26" s="13"/>
      <c r="AC26" s="13"/>
      <c r="AD26" s="13"/>
      <c r="AE26" s="13"/>
      <c r="AF26" s="7">
        <v>67137</v>
      </c>
      <c r="AG26" s="7">
        <f t="shared" si="11"/>
        <v>0</v>
      </c>
      <c r="AH26" s="14">
        <v>216400</v>
      </c>
      <c r="AI26" s="14">
        <f t="shared" si="12"/>
        <v>150</v>
      </c>
      <c r="AJ26" s="14">
        <v>10721192</v>
      </c>
      <c r="AK26" s="14">
        <f t="shared" si="13"/>
        <v>4348</v>
      </c>
      <c r="AL26" s="14">
        <v>28624</v>
      </c>
      <c r="AM26" s="14">
        <f t="shared" si="14"/>
        <v>2</v>
      </c>
      <c r="AN26" s="7">
        <v>25698</v>
      </c>
      <c r="AO26" s="14">
        <f t="shared" si="15"/>
        <v>786</v>
      </c>
      <c r="AP26" s="7"/>
    </row>
    <row r="27" spans="1:42" ht="21" customHeight="1" x14ac:dyDescent="0.25">
      <c r="A27" s="12">
        <v>44644</v>
      </c>
      <c r="B27" s="7">
        <v>911996</v>
      </c>
      <c r="C27" s="7">
        <f t="shared" si="0"/>
        <v>4702</v>
      </c>
      <c r="D27" s="7">
        <v>29434733</v>
      </c>
      <c r="E27" s="7">
        <f t="shared" si="1"/>
        <v>9709</v>
      </c>
      <c r="F27" s="7">
        <v>8063735</v>
      </c>
      <c r="G27" s="9">
        <f t="shared" si="2"/>
        <v>3838</v>
      </c>
      <c r="H27" s="13"/>
      <c r="I27" s="7">
        <v>78191</v>
      </c>
      <c r="J27" s="14">
        <f t="shared" si="3"/>
        <v>97.093999999999994</v>
      </c>
      <c r="K27" s="7">
        <v>20631</v>
      </c>
      <c r="L27" s="14">
        <f t="shared" si="4"/>
        <v>7.9030000000000005</v>
      </c>
      <c r="M27" s="13"/>
      <c r="N27" s="7">
        <v>53100</v>
      </c>
      <c r="O27" s="14">
        <f t="shared" si="5"/>
        <v>4946.5240641711225</v>
      </c>
      <c r="P27" s="7">
        <v>52128969</v>
      </c>
      <c r="Q27" s="14">
        <f t="shared" si="6"/>
        <v>1097</v>
      </c>
      <c r="R27" s="7">
        <v>230793</v>
      </c>
      <c r="S27" s="14">
        <f t="shared" si="7"/>
        <v>98</v>
      </c>
      <c r="T27" s="13"/>
      <c r="U27" s="7">
        <v>61990</v>
      </c>
      <c r="V27" s="7">
        <f t="shared" si="8"/>
        <v>544</v>
      </c>
      <c r="W27" s="7">
        <v>1523</v>
      </c>
      <c r="X27" s="7">
        <f t="shared" si="9"/>
        <v>19</v>
      </c>
      <c r="Y27" s="7">
        <v>1302</v>
      </c>
      <c r="Z27" s="7">
        <f t="shared" si="10"/>
        <v>11</v>
      </c>
      <c r="AA27" s="13"/>
      <c r="AB27" s="13"/>
      <c r="AC27" s="13"/>
      <c r="AD27" s="13"/>
      <c r="AE27" s="13"/>
      <c r="AF27" s="7">
        <v>67137</v>
      </c>
      <c r="AG27" s="7">
        <f t="shared" si="11"/>
        <v>0</v>
      </c>
      <c r="AH27" s="7">
        <v>216545</v>
      </c>
      <c r="AI27" s="14">
        <f t="shared" si="12"/>
        <v>145</v>
      </c>
      <c r="AJ27" s="7">
        <v>10726075</v>
      </c>
      <c r="AK27" s="14">
        <f t="shared" si="13"/>
        <v>4883</v>
      </c>
      <c r="AL27" s="7">
        <v>28626</v>
      </c>
      <c r="AM27" s="14">
        <f t="shared" si="14"/>
        <v>2</v>
      </c>
      <c r="AN27" s="7">
        <v>26499</v>
      </c>
      <c r="AO27" s="14">
        <f t="shared" si="15"/>
        <v>801</v>
      </c>
      <c r="AP27" s="7"/>
    </row>
    <row r="28" spans="1:42" ht="22.5" customHeight="1" x14ac:dyDescent="0.25">
      <c r="A28" s="12">
        <v>44645</v>
      </c>
      <c r="B28" s="7">
        <v>916354</v>
      </c>
      <c r="C28" s="7">
        <f t="shared" si="0"/>
        <v>4358</v>
      </c>
      <c r="D28" s="7">
        <v>29443682</v>
      </c>
      <c r="E28" s="7">
        <f t="shared" si="1"/>
        <v>8949</v>
      </c>
      <c r="F28" s="7">
        <v>8067324</v>
      </c>
      <c r="G28" s="9">
        <f t="shared" si="2"/>
        <v>3589</v>
      </c>
      <c r="H28" s="13"/>
      <c r="I28" s="7">
        <v>78285</v>
      </c>
      <c r="J28" s="14">
        <f t="shared" si="3"/>
        <v>106.126</v>
      </c>
      <c r="K28" s="7">
        <v>20637</v>
      </c>
      <c r="L28" s="14">
        <f t="shared" si="4"/>
        <v>6.774</v>
      </c>
      <c r="M28" s="13"/>
      <c r="N28" s="7">
        <v>53143</v>
      </c>
      <c r="O28" s="14">
        <f t="shared" si="5"/>
        <v>5748.6631016042775</v>
      </c>
      <c r="P28" s="7">
        <v>52134145</v>
      </c>
      <c r="Q28" s="14">
        <f t="shared" si="6"/>
        <v>5176</v>
      </c>
      <c r="R28" s="7">
        <v>230884</v>
      </c>
      <c r="S28" s="14">
        <f t="shared" si="7"/>
        <v>91</v>
      </c>
      <c r="T28" s="13"/>
      <c r="U28" s="7">
        <v>62331</v>
      </c>
      <c r="V28" s="7">
        <f t="shared" si="8"/>
        <v>341</v>
      </c>
      <c r="W28" s="7">
        <v>1543</v>
      </c>
      <c r="X28" s="7">
        <f t="shared" si="9"/>
        <v>20</v>
      </c>
      <c r="Y28" s="7">
        <v>1314</v>
      </c>
      <c r="Z28" s="7">
        <f t="shared" si="10"/>
        <v>12</v>
      </c>
      <c r="AA28" s="13"/>
      <c r="AB28" s="13"/>
      <c r="AC28" s="13"/>
      <c r="AD28" s="13"/>
      <c r="AE28" s="13"/>
      <c r="AF28" s="7">
        <v>67137</v>
      </c>
      <c r="AG28" s="7">
        <f t="shared" si="11"/>
        <v>0</v>
      </c>
      <c r="AH28" s="7">
        <v>216691</v>
      </c>
      <c r="AI28" s="14">
        <f t="shared" si="12"/>
        <v>146</v>
      </c>
      <c r="AJ28" s="7">
        <v>10731832</v>
      </c>
      <c r="AK28" s="14">
        <f t="shared" si="13"/>
        <v>5757</v>
      </c>
      <c r="AL28" s="7">
        <v>28628</v>
      </c>
      <c r="AM28" s="14">
        <f t="shared" si="14"/>
        <v>2</v>
      </c>
      <c r="AN28" s="7">
        <v>27260</v>
      </c>
      <c r="AO28" s="14">
        <f t="shared" si="15"/>
        <v>761</v>
      </c>
      <c r="AP28" s="7"/>
    </row>
    <row r="29" spans="1:42" ht="21" customHeight="1" x14ac:dyDescent="0.25">
      <c r="A29" s="12">
        <v>44646</v>
      </c>
      <c r="B29" s="7">
        <v>920453</v>
      </c>
      <c r="C29" s="7">
        <f t="shared" si="0"/>
        <v>4099</v>
      </c>
      <c r="D29" s="7">
        <v>29452634</v>
      </c>
      <c r="E29" s="7">
        <f t="shared" si="1"/>
        <v>8952</v>
      </c>
      <c r="F29" s="7">
        <v>8070952</v>
      </c>
      <c r="G29" s="9">
        <f t="shared" si="2"/>
        <v>3628</v>
      </c>
      <c r="H29" s="13"/>
      <c r="I29" s="7">
        <v>78400</v>
      </c>
      <c r="J29" s="14">
        <f t="shared" si="3"/>
        <v>129.83500000000001</v>
      </c>
      <c r="K29" s="7">
        <v>20643</v>
      </c>
      <c r="L29" s="14">
        <f t="shared" si="4"/>
        <v>6.774</v>
      </c>
      <c r="M29" s="13"/>
      <c r="N29" s="7">
        <v>53186</v>
      </c>
      <c r="O29" s="14">
        <f t="shared" si="5"/>
        <v>5748.6631016042775</v>
      </c>
      <c r="P29" s="14">
        <v>52139287</v>
      </c>
      <c r="Q29" s="14">
        <f t="shared" si="6"/>
        <v>5142</v>
      </c>
      <c r="R29" s="7">
        <v>230967</v>
      </c>
      <c r="S29" s="14">
        <f t="shared" si="7"/>
        <v>83</v>
      </c>
      <c r="T29" s="13"/>
      <c r="U29" s="7">
        <v>62754</v>
      </c>
      <c r="V29" s="7">
        <f t="shared" si="8"/>
        <v>423</v>
      </c>
      <c r="W29" s="7">
        <v>1559</v>
      </c>
      <c r="X29" s="7">
        <f t="shared" si="9"/>
        <v>16</v>
      </c>
      <c r="Y29" s="7">
        <v>1324</v>
      </c>
      <c r="Z29" s="7">
        <f t="shared" si="10"/>
        <v>10</v>
      </c>
      <c r="AA29" s="13"/>
      <c r="AB29" s="13"/>
      <c r="AC29" s="13"/>
      <c r="AD29" s="13"/>
      <c r="AE29" s="13"/>
      <c r="AF29" s="7">
        <v>67137</v>
      </c>
      <c r="AG29" s="7">
        <f t="shared" si="11"/>
        <v>0</v>
      </c>
      <c r="AH29" s="14">
        <v>216859</v>
      </c>
      <c r="AI29" s="14">
        <f t="shared" si="12"/>
        <v>168</v>
      </c>
      <c r="AJ29" s="14">
        <v>10737692</v>
      </c>
      <c r="AK29" s="14">
        <f t="shared" si="13"/>
        <v>5860</v>
      </c>
      <c r="AL29" s="14">
        <v>28633</v>
      </c>
      <c r="AM29" s="14">
        <f t="shared" si="14"/>
        <v>5</v>
      </c>
      <c r="AN29" s="7">
        <v>27974</v>
      </c>
      <c r="AO29" s="14">
        <f t="shared" si="15"/>
        <v>714</v>
      </c>
      <c r="AP29" s="7"/>
    </row>
    <row r="30" spans="1:42" ht="22.5" customHeight="1" x14ac:dyDescent="0.25">
      <c r="A30" s="12">
        <v>44647</v>
      </c>
      <c r="B30" s="7">
        <v>925047</v>
      </c>
      <c r="C30" s="7">
        <f t="shared" si="0"/>
        <v>4594</v>
      </c>
      <c r="D30" s="7">
        <v>29461906</v>
      </c>
      <c r="E30" s="7">
        <f t="shared" si="1"/>
        <v>9272</v>
      </c>
      <c r="F30" s="7">
        <v>8074701</v>
      </c>
      <c r="G30" s="9">
        <f t="shared" si="2"/>
        <v>3749</v>
      </c>
      <c r="H30" s="13"/>
      <c r="I30" s="7">
        <v>78521</v>
      </c>
      <c r="J30" s="14">
        <f t="shared" si="3"/>
        <v>136.60900000000001</v>
      </c>
      <c r="K30" s="7">
        <v>20650</v>
      </c>
      <c r="L30" s="14">
        <f t="shared" si="4"/>
        <v>7.9030000000000005</v>
      </c>
      <c r="M30" s="13"/>
      <c r="N30" s="7">
        <v>53243</v>
      </c>
      <c r="O30" s="14">
        <f t="shared" si="5"/>
        <v>7620.320855614973</v>
      </c>
      <c r="P30" s="14">
        <v>52144134</v>
      </c>
      <c r="Q30" s="14">
        <f t="shared" si="6"/>
        <v>4847</v>
      </c>
      <c r="R30" s="7">
        <v>231088</v>
      </c>
      <c r="S30" s="14">
        <f t="shared" si="7"/>
        <v>121</v>
      </c>
      <c r="T30" s="13"/>
      <c r="U30" s="7">
        <v>63184</v>
      </c>
      <c r="V30" s="7">
        <f t="shared" si="8"/>
        <v>430</v>
      </c>
      <c r="W30" s="7">
        <v>1577</v>
      </c>
      <c r="X30" s="7">
        <f t="shared" si="9"/>
        <v>18</v>
      </c>
      <c r="Y30" s="7">
        <v>1334</v>
      </c>
      <c r="Z30" s="7">
        <f t="shared" si="10"/>
        <v>10</v>
      </c>
      <c r="AA30" s="13"/>
      <c r="AB30" s="13"/>
      <c r="AC30" s="13"/>
      <c r="AD30" s="13"/>
      <c r="AE30" s="13"/>
      <c r="AF30" s="7">
        <v>67137</v>
      </c>
      <c r="AG30" s="7">
        <f t="shared" si="11"/>
        <v>0</v>
      </c>
      <c r="AH30" s="14">
        <v>217019</v>
      </c>
      <c r="AI30" s="14">
        <f t="shared" si="12"/>
        <v>160</v>
      </c>
      <c r="AJ30" s="14">
        <v>10745144</v>
      </c>
      <c r="AK30" s="14">
        <f t="shared" si="13"/>
        <v>7452</v>
      </c>
      <c r="AL30" s="14">
        <v>28640</v>
      </c>
      <c r="AM30" s="14">
        <f t="shared" si="14"/>
        <v>7</v>
      </c>
      <c r="AN30" s="7">
        <v>28640</v>
      </c>
      <c r="AO30" s="14">
        <f t="shared" si="15"/>
        <v>666</v>
      </c>
      <c r="AP30" s="7"/>
    </row>
    <row r="31" spans="1:42" ht="23.25" customHeight="1" x14ac:dyDescent="0.25">
      <c r="A31" s="12">
        <v>44648</v>
      </c>
      <c r="B31" s="7">
        <v>929201</v>
      </c>
      <c r="C31" s="7">
        <f t="shared" si="0"/>
        <v>4154</v>
      </c>
      <c r="D31" s="7">
        <v>29470478</v>
      </c>
      <c r="E31" s="7">
        <f t="shared" si="1"/>
        <v>8572</v>
      </c>
      <c r="F31" s="7">
        <v>8078342</v>
      </c>
      <c r="G31" s="9">
        <f t="shared" si="2"/>
        <v>3641</v>
      </c>
      <c r="H31" s="13"/>
      <c r="I31" s="7">
        <v>78609</v>
      </c>
      <c r="J31" s="14">
        <f t="shared" si="3"/>
        <v>99.352000000000004</v>
      </c>
      <c r="K31" s="7">
        <v>20655</v>
      </c>
      <c r="L31" s="14">
        <f t="shared" si="4"/>
        <v>5.6449999999999996</v>
      </c>
      <c r="M31" s="13"/>
      <c r="N31" s="7">
        <v>53289</v>
      </c>
      <c r="O31" s="14">
        <f t="shared" si="5"/>
        <v>6149.7326203208549</v>
      </c>
      <c r="P31" s="14">
        <v>52147925</v>
      </c>
      <c r="Q31" s="14">
        <f t="shared" si="6"/>
        <v>3791</v>
      </c>
      <c r="R31" s="7">
        <v>231233</v>
      </c>
      <c r="S31" s="14">
        <f t="shared" si="7"/>
        <v>145</v>
      </c>
      <c r="T31" s="13"/>
      <c r="U31" s="7">
        <v>63607</v>
      </c>
      <c r="V31" s="7">
        <f t="shared" si="8"/>
        <v>423</v>
      </c>
      <c r="W31" s="7">
        <v>1594</v>
      </c>
      <c r="X31" s="7">
        <f t="shared" si="9"/>
        <v>17</v>
      </c>
      <c r="Y31" s="7">
        <v>1346</v>
      </c>
      <c r="Z31" s="7">
        <f t="shared" si="10"/>
        <v>12</v>
      </c>
      <c r="AA31" s="13"/>
      <c r="AB31" s="13"/>
      <c r="AC31" s="13"/>
      <c r="AD31" s="13"/>
      <c r="AE31" s="13"/>
      <c r="AF31" s="7">
        <v>67137</v>
      </c>
      <c r="AG31" s="7">
        <f t="shared" si="11"/>
        <v>0</v>
      </c>
      <c r="AH31" s="14">
        <v>217164</v>
      </c>
      <c r="AI31" s="14">
        <f t="shared" si="12"/>
        <v>145</v>
      </c>
      <c r="AJ31" s="14">
        <v>10751037</v>
      </c>
      <c r="AK31" s="14">
        <f t="shared" si="13"/>
        <v>5893</v>
      </c>
      <c r="AL31" s="14">
        <v>28643</v>
      </c>
      <c r="AM31" s="14">
        <f t="shared" si="14"/>
        <v>3</v>
      </c>
      <c r="AN31" s="7">
        <v>29288</v>
      </c>
      <c r="AO31" s="14">
        <f t="shared" si="15"/>
        <v>648</v>
      </c>
      <c r="AP31" s="7"/>
    </row>
    <row r="32" spans="1:42" ht="23.25" customHeight="1" x14ac:dyDescent="0.25">
      <c r="A32" s="12">
        <v>44649</v>
      </c>
      <c r="B32" s="7">
        <v>933652</v>
      </c>
      <c r="C32" s="7">
        <f t="shared" si="0"/>
        <v>4451</v>
      </c>
      <c r="D32" s="7">
        <v>29479736</v>
      </c>
      <c r="E32" s="7">
        <f t="shared" si="1"/>
        <v>9258</v>
      </c>
      <c r="F32" s="7">
        <v>8081807</v>
      </c>
      <c r="G32" s="9">
        <f t="shared" si="2"/>
        <v>3465</v>
      </c>
      <c r="H32" s="13"/>
      <c r="I32" s="7">
        <v>78695</v>
      </c>
      <c r="J32" s="14">
        <f t="shared" si="3"/>
        <v>97.093999999999994</v>
      </c>
      <c r="K32" s="7">
        <v>20661</v>
      </c>
      <c r="L32" s="14">
        <f t="shared" si="4"/>
        <v>6.774</v>
      </c>
      <c r="M32" s="13"/>
      <c r="N32" s="7">
        <v>53325</v>
      </c>
      <c r="O32" s="14">
        <f t="shared" si="5"/>
        <v>4812.8342245989306</v>
      </c>
      <c r="P32" s="7">
        <v>52151685</v>
      </c>
      <c r="Q32" s="14">
        <f t="shared" si="6"/>
        <v>3760</v>
      </c>
      <c r="R32" s="7">
        <v>231392</v>
      </c>
      <c r="S32" s="14">
        <f t="shared" si="7"/>
        <v>159</v>
      </c>
      <c r="T32" s="13"/>
      <c r="U32" s="7">
        <v>64038</v>
      </c>
      <c r="V32" s="7">
        <f t="shared" si="8"/>
        <v>431</v>
      </c>
      <c r="W32" s="7">
        <v>1611</v>
      </c>
      <c r="X32" s="7">
        <f t="shared" si="9"/>
        <v>17</v>
      </c>
      <c r="Y32" s="7">
        <v>1357</v>
      </c>
      <c r="Z32" s="7">
        <f t="shared" si="10"/>
        <v>11</v>
      </c>
      <c r="AA32" s="13"/>
      <c r="AB32" s="13"/>
      <c r="AC32" s="13"/>
      <c r="AD32" s="13"/>
      <c r="AE32" s="13"/>
      <c r="AF32" s="7">
        <v>67137</v>
      </c>
      <c r="AG32" s="7">
        <f t="shared" si="11"/>
        <v>0</v>
      </c>
      <c r="AH32" s="7">
        <v>217297</v>
      </c>
      <c r="AI32" s="14">
        <f t="shared" si="12"/>
        <v>133</v>
      </c>
      <c r="AJ32" s="7">
        <v>10755435</v>
      </c>
      <c r="AK32" s="14">
        <f t="shared" si="13"/>
        <v>4398</v>
      </c>
      <c r="AL32" s="7">
        <v>28644</v>
      </c>
      <c r="AM32" s="14">
        <f t="shared" si="14"/>
        <v>1</v>
      </c>
      <c r="AN32" s="7">
        <v>29719</v>
      </c>
      <c r="AO32" s="14">
        <f t="shared" si="15"/>
        <v>431</v>
      </c>
      <c r="AP32" s="7"/>
    </row>
    <row r="33" spans="1:42" ht="21.75" customHeight="1" x14ac:dyDescent="0.25">
      <c r="A33" s="12">
        <v>44650</v>
      </c>
      <c r="B33" s="20">
        <v>938250</v>
      </c>
      <c r="C33" s="7">
        <f t="shared" si="0"/>
        <v>4598</v>
      </c>
      <c r="D33" s="7">
        <v>29489228</v>
      </c>
      <c r="E33" s="7">
        <f t="shared" si="1"/>
        <v>9492</v>
      </c>
      <c r="F33" s="20">
        <v>8085391</v>
      </c>
      <c r="G33" s="9">
        <f t="shared" si="2"/>
        <v>3584</v>
      </c>
      <c r="H33" s="13"/>
      <c r="I33" s="7">
        <v>78787</v>
      </c>
      <c r="J33" s="14">
        <f t="shared" si="3"/>
        <v>103.86799999999999</v>
      </c>
      <c r="K33" s="7">
        <v>20667</v>
      </c>
      <c r="L33" s="14">
        <f t="shared" si="4"/>
        <v>6.774</v>
      </c>
      <c r="M33" s="13"/>
      <c r="N33" s="7">
        <v>53364</v>
      </c>
      <c r="O33" s="14">
        <f t="shared" si="5"/>
        <v>5213.9037433155081</v>
      </c>
      <c r="P33" s="7">
        <v>52155889</v>
      </c>
      <c r="Q33" s="14">
        <f t="shared" si="6"/>
        <v>4204</v>
      </c>
      <c r="R33" s="7">
        <v>231511</v>
      </c>
      <c r="S33" s="14">
        <f t="shared" si="7"/>
        <v>119</v>
      </c>
      <c r="T33" s="13"/>
      <c r="U33" s="7">
        <v>64484</v>
      </c>
      <c r="V33" s="7">
        <f t="shared" si="8"/>
        <v>446</v>
      </c>
      <c r="W33" s="7">
        <v>1629</v>
      </c>
      <c r="X33" s="7">
        <f t="shared" si="9"/>
        <v>18</v>
      </c>
      <c r="Y33" s="7">
        <v>1367</v>
      </c>
      <c r="Z33" s="7">
        <f t="shared" si="10"/>
        <v>10</v>
      </c>
      <c r="AA33" s="13"/>
      <c r="AB33" s="13"/>
      <c r="AC33" s="13"/>
      <c r="AD33" s="13"/>
      <c r="AE33" s="13"/>
      <c r="AF33" s="7">
        <v>67137</v>
      </c>
      <c r="AG33" s="7">
        <f t="shared" si="11"/>
        <v>0</v>
      </c>
      <c r="AH33" s="7">
        <v>217434</v>
      </c>
      <c r="AI33" s="14">
        <f t="shared" si="12"/>
        <v>137</v>
      </c>
      <c r="AJ33" s="7">
        <v>10759800</v>
      </c>
      <c r="AK33" s="14">
        <f t="shared" si="13"/>
        <v>4365</v>
      </c>
      <c r="AL33" s="7">
        <v>28646</v>
      </c>
      <c r="AM33" s="14">
        <f t="shared" si="14"/>
        <v>2</v>
      </c>
      <c r="AN33" s="7">
        <v>30092</v>
      </c>
      <c r="AO33" s="14">
        <f t="shared" si="15"/>
        <v>373</v>
      </c>
      <c r="AP33" s="7"/>
    </row>
    <row r="34" spans="1:42" ht="21" customHeight="1" x14ac:dyDescent="0.25">
      <c r="A34" s="12">
        <v>44651</v>
      </c>
      <c r="B34" s="7">
        <v>942144</v>
      </c>
      <c r="C34" s="7">
        <f t="shared" si="0"/>
        <v>3894</v>
      </c>
      <c r="D34" s="7">
        <v>29497580</v>
      </c>
      <c r="E34" s="7">
        <f t="shared" si="1"/>
        <v>8352</v>
      </c>
      <c r="F34" s="7">
        <v>8088533</v>
      </c>
      <c r="G34" s="9">
        <f t="shared" si="2"/>
        <v>3142</v>
      </c>
      <c r="H34" s="13"/>
      <c r="I34" s="7">
        <v>78872</v>
      </c>
      <c r="J34" s="14">
        <f t="shared" si="3"/>
        <v>95.965000000000003</v>
      </c>
      <c r="K34" s="7">
        <v>20673</v>
      </c>
      <c r="L34" s="14">
        <f>(K34-K33)*1.129</f>
        <v>6.774</v>
      </c>
      <c r="M34" s="13"/>
      <c r="N34" s="7">
        <v>53403</v>
      </c>
      <c r="O34" s="14">
        <f t="shared" si="5"/>
        <v>5213.9037433155081</v>
      </c>
      <c r="P34" s="7">
        <v>52159805</v>
      </c>
      <c r="Q34" s="14">
        <f t="shared" si="6"/>
        <v>3916</v>
      </c>
      <c r="R34" s="7">
        <v>231590</v>
      </c>
      <c r="S34" s="14">
        <f t="shared" si="7"/>
        <v>79</v>
      </c>
      <c r="T34" s="13"/>
      <c r="U34" s="7">
        <v>64872</v>
      </c>
      <c r="V34" s="7">
        <f t="shared" si="8"/>
        <v>388</v>
      </c>
      <c r="W34" s="7">
        <v>1645</v>
      </c>
      <c r="X34" s="7">
        <f t="shared" si="9"/>
        <v>16</v>
      </c>
      <c r="Y34" s="7">
        <v>1378</v>
      </c>
      <c r="Z34" s="7">
        <f t="shared" si="10"/>
        <v>11</v>
      </c>
      <c r="AA34" s="13"/>
      <c r="AB34" s="13"/>
      <c r="AC34" s="13"/>
      <c r="AD34" s="13"/>
      <c r="AE34" s="13"/>
      <c r="AF34" s="7">
        <v>67137</v>
      </c>
      <c r="AG34" s="7">
        <f t="shared" si="11"/>
        <v>0</v>
      </c>
      <c r="AH34" s="7">
        <v>217576</v>
      </c>
      <c r="AI34" s="14">
        <f t="shared" si="12"/>
        <v>142</v>
      </c>
      <c r="AJ34" s="7">
        <v>10764219</v>
      </c>
      <c r="AK34" s="14">
        <f t="shared" si="13"/>
        <v>4419</v>
      </c>
      <c r="AL34" s="7">
        <v>28648</v>
      </c>
      <c r="AM34" s="14">
        <f t="shared" si="14"/>
        <v>2</v>
      </c>
      <c r="AN34" s="7">
        <v>30500</v>
      </c>
      <c r="AO34" s="14">
        <f t="shared" si="15"/>
        <v>408</v>
      </c>
      <c r="AP34" s="7"/>
    </row>
    <row r="35" spans="1:42" ht="19.5" customHeight="1" x14ac:dyDescent="0.25">
      <c r="A35" s="12"/>
      <c r="B35" s="21"/>
      <c r="C35" s="21"/>
      <c r="D35" s="21"/>
      <c r="E35" s="21"/>
      <c r="F35" s="21"/>
      <c r="G35" s="21"/>
      <c r="H35" s="22"/>
      <c r="I35" s="21"/>
      <c r="J35" s="21"/>
      <c r="K35" s="21"/>
      <c r="L35" s="21"/>
      <c r="M35" s="22"/>
      <c r="N35" s="21"/>
      <c r="O35" s="14">
        <f t="shared" si="5"/>
        <v>-7139438.5026737964</v>
      </c>
      <c r="P35" s="21"/>
      <c r="Q35" s="21"/>
      <c r="R35" s="21"/>
      <c r="S35" s="21"/>
      <c r="T35" s="22"/>
      <c r="U35" s="21"/>
      <c r="V35" s="21"/>
      <c r="W35" s="21"/>
      <c r="X35" s="21"/>
      <c r="Y35" s="21"/>
      <c r="Z35" s="21"/>
      <c r="AA35" s="22"/>
      <c r="AB35" s="22"/>
      <c r="AC35" s="22"/>
      <c r="AD35" s="22"/>
      <c r="AE35" s="22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</row>
    <row r="36" spans="1:42" ht="15.75" x14ac:dyDescent="0.25">
      <c r="A36" s="23" t="s">
        <v>14</v>
      </c>
      <c r="B36" s="24">
        <f>B34-B4</f>
        <v>126612</v>
      </c>
      <c r="C36" s="7">
        <f>SUM(C4:C34)</f>
        <v>130914</v>
      </c>
      <c r="D36" s="24">
        <f>D34-D4</f>
        <v>272491</v>
      </c>
      <c r="E36" s="7">
        <f t="shared" ref="E36:G36" si="16">SUM(E4:E34)</f>
        <v>281562</v>
      </c>
      <c r="F36" s="24">
        <f>F34-F4</f>
        <v>108491</v>
      </c>
      <c r="G36" s="7">
        <f t="shared" si="16"/>
        <v>112047</v>
      </c>
      <c r="H36" s="22"/>
      <c r="I36" s="24">
        <f>I34-I4</f>
        <v>2808</v>
      </c>
      <c r="J36" s="7">
        <f t="shared" ref="J36" si="17">SUM(J4:K34)</f>
        <v>641421.23199999996</v>
      </c>
      <c r="K36" s="24">
        <f>K34-K4</f>
        <v>173</v>
      </c>
      <c r="L36" s="7">
        <f>SUM(L4:M34)</f>
        <v>201.31699999999998</v>
      </c>
      <c r="M36" s="22"/>
      <c r="N36" s="24">
        <f>N34-N4</f>
        <v>1644</v>
      </c>
      <c r="O36" s="7">
        <f>SUM(O4:O35)</f>
        <v>-6919578.4064171119</v>
      </c>
      <c r="P36" s="24">
        <f>P34-P4</f>
        <v>154464</v>
      </c>
      <c r="Q36" s="7">
        <f t="shared" ref="Q36" si="18">SUM(Q4:Q35)</f>
        <v>158298</v>
      </c>
      <c r="R36" s="24">
        <f>R34-R4</f>
        <v>2720</v>
      </c>
      <c r="S36" s="14">
        <f>SUM(S4:S35)</f>
        <v>2819</v>
      </c>
      <c r="T36" s="22"/>
      <c r="U36" s="7">
        <f t="shared" ref="U36:AN36" si="19">U34-U4</f>
        <v>12523</v>
      </c>
      <c r="V36" s="24">
        <f>V34-V4</f>
        <v>-25</v>
      </c>
      <c r="W36" s="7">
        <f t="shared" si="19"/>
        <v>427</v>
      </c>
      <c r="X36" s="24">
        <f>X34-X4</f>
        <v>-2</v>
      </c>
      <c r="Y36" s="7">
        <f t="shared" si="19"/>
        <v>321</v>
      </c>
      <c r="Z36" s="24">
        <f>Z34-Z4</f>
        <v>-1</v>
      </c>
      <c r="AA36" s="22"/>
      <c r="AB36" s="22"/>
      <c r="AC36" s="22"/>
      <c r="AD36" s="22"/>
      <c r="AE36" s="22"/>
      <c r="AF36" s="7">
        <f t="shared" si="19"/>
        <v>0</v>
      </c>
      <c r="AG36" s="24">
        <f>AG34-AG4</f>
        <v>0</v>
      </c>
      <c r="AH36" s="7">
        <f t="shared" si="19"/>
        <v>4509</v>
      </c>
      <c r="AI36" s="24">
        <f>AI34-AI4</f>
        <v>5</v>
      </c>
      <c r="AJ36" s="7">
        <f t="shared" si="19"/>
        <v>176641</v>
      </c>
      <c r="AK36" s="24">
        <f>AK34-AK4</f>
        <v>-2051</v>
      </c>
      <c r="AL36" s="7">
        <f t="shared" si="19"/>
        <v>90</v>
      </c>
      <c r="AM36" s="24">
        <f>AM34-AM4</f>
        <v>1</v>
      </c>
      <c r="AN36" s="7">
        <f t="shared" si="19"/>
        <v>18770</v>
      </c>
      <c r="AO36" s="24">
        <f>AO34-AO4</f>
        <v>-102</v>
      </c>
      <c r="AP36" s="7"/>
    </row>
    <row r="37" spans="1:42" x14ac:dyDescent="0.25">
      <c r="A37" s="23" t="s">
        <v>26</v>
      </c>
      <c r="B37" s="25"/>
      <c r="C37" s="25">
        <v>115179</v>
      </c>
      <c r="D37" s="25"/>
      <c r="E37" s="25">
        <v>245370</v>
      </c>
      <c r="F37" s="25"/>
      <c r="G37" s="25">
        <v>99565</v>
      </c>
      <c r="H37" s="26"/>
      <c r="I37" s="25"/>
      <c r="J37" s="25">
        <v>2620</v>
      </c>
      <c r="K37" s="25"/>
      <c r="L37" s="25">
        <v>143</v>
      </c>
      <c r="M37" s="26"/>
      <c r="N37" s="25"/>
      <c r="O37" s="25">
        <v>1720</v>
      </c>
      <c r="P37" s="25"/>
      <c r="Q37" s="25">
        <v>116747</v>
      </c>
      <c r="R37" s="25"/>
      <c r="S37" s="25">
        <v>3039</v>
      </c>
      <c r="T37" s="26"/>
      <c r="U37" s="27">
        <v>10770</v>
      </c>
      <c r="V37" s="27"/>
      <c r="W37" s="27">
        <v>400</v>
      </c>
      <c r="X37" s="27"/>
      <c r="Y37" s="27">
        <v>310</v>
      </c>
      <c r="Z37" s="27"/>
      <c r="AA37" s="26"/>
      <c r="AB37" s="26"/>
      <c r="AC37" s="26">
        <v>0</v>
      </c>
      <c r="AD37" s="26"/>
      <c r="AE37" s="26">
        <v>12241</v>
      </c>
      <c r="AF37" s="27">
        <v>2840</v>
      </c>
      <c r="AG37" s="27"/>
      <c r="AH37" s="27">
        <v>4315</v>
      </c>
      <c r="AI37" s="27"/>
      <c r="AJ37" s="27">
        <v>216841</v>
      </c>
      <c r="AK37" s="27"/>
      <c r="AL37" s="27">
        <v>98</v>
      </c>
      <c r="AM37" s="27"/>
      <c r="AN37" s="27">
        <v>13532</v>
      </c>
      <c r="AO37" s="27"/>
      <c r="AP37" s="27"/>
    </row>
    <row r="38" spans="1:42" ht="15.75" x14ac:dyDescent="0.25">
      <c r="A38" s="23" t="s">
        <v>27</v>
      </c>
      <c r="B38" s="7"/>
      <c r="C38" s="7">
        <f>C36-C37</f>
        <v>15735</v>
      </c>
      <c r="D38" s="7"/>
      <c r="E38" s="7">
        <f>E36-E37</f>
        <v>36192</v>
      </c>
      <c r="F38" s="7"/>
      <c r="G38" s="7">
        <f>G36-G37</f>
        <v>12482</v>
      </c>
      <c r="H38" s="13"/>
      <c r="I38" s="7"/>
      <c r="J38" s="7">
        <f>J36-J37</f>
        <v>638801.23199999996</v>
      </c>
      <c r="K38" s="7"/>
      <c r="L38" s="7">
        <f>L36-L37</f>
        <v>58.316999999999979</v>
      </c>
      <c r="M38" s="13"/>
      <c r="N38" s="7"/>
      <c r="O38" s="7">
        <f>O36-O37</f>
        <v>-6921298.4064171119</v>
      </c>
      <c r="P38" s="7"/>
      <c r="Q38" s="7">
        <f>Q36-Q37</f>
        <v>41551</v>
      </c>
      <c r="R38" s="7"/>
      <c r="S38" s="7">
        <f>S36-S37</f>
        <v>-220</v>
      </c>
      <c r="T38" s="13"/>
      <c r="U38" s="7">
        <f>U36-U37</f>
        <v>1753</v>
      </c>
      <c r="V38" s="24"/>
      <c r="W38" s="7">
        <f>W36-W37</f>
        <v>27</v>
      </c>
      <c r="X38" s="24"/>
      <c r="Y38" s="7">
        <f>Y36-Y37</f>
        <v>11</v>
      </c>
      <c r="Z38" s="24"/>
      <c r="AA38" s="13"/>
      <c r="AB38" s="13"/>
      <c r="AC38" s="13">
        <f t="shared" ref="AC38" si="20">AC36-AC37</f>
        <v>0</v>
      </c>
      <c r="AD38" s="13"/>
      <c r="AE38" s="13">
        <f t="shared" ref="AE38" si="21">AE36-AE37</f>
        <v>-12241</v>
      </c>
      <c r="AF38" s="7">
        <f>AF36-AF37</f>
        <v>-2840</v>
      </c>
      <c r="AG38" s="24"/>
      <c r="AH38" s="7">
        <f>AH36-AH37</f>
        <v>194</v>
      </c>
      <c r="AI38" s="24"/>
      <c r="AJ38" s="7">
        <f>AJ36-AJ37</f>
        <v>-40200</v>
      </c>
      <c r="AK38" s="24"/>
      <c r="AL38" s="7">
        <f>AL36-AL37</f>
        <v>-8</v>
      </c>
      <c r="AM38" s="24"/>
      <c r="AN38" s="7">
        <f>AN36-AN37</f>
        <v>5238</v>
      </c>
      <c r="AO38" s="24"/>
      <c r="AP38" s="24"/>
    </row>
    <row r="39" spans="1:42" x14ac:dyDescent="0.25">
      <c r="A39" s="23" t="s">
        <v>28</v>
      </c>
      <c r="B39" s="28"/>
      <c r="C39" s="28">
        <f>C38/C37</f>
        <v>0.13661344515927382</v>
      </c>
      <c r="D39" s="28"/>
      <c r="E39" s="28">
        <f>E38/E37</f>
        <v>0.14749969433916127</v>
      </c>
      <c r="F39" s="28"/>
      <c r="G39" s="28">
        <f>G38/G37</f>
        <v>0.12536533922563151</v>
      </c>
      <c r="H39" s="29"/>
      <c r="I39" s="28"/>
      <c r="J39" s="28">
        <f>J38/J37</f>
        <v>243.8172641221374</v>
      </c>
      <c r="K39" s="28"/>
      <c r="L39" s="28">
        <f>L38/L37</f>
        <v>0.40781118881118866</v>
      </c>
      <c r="M39" s="29"/>
      <c r="N39" s="28"/>
      <c r="O39" s="28">
        <f>O38/O37</f>
        <v>-4024.0107014052978</v>
      </c>
      <c r="P39" s="28"/>
      <c r="Q39" s="28">
        <f>Q38/Q37</f>
        <v>0.35590636161957051</v>
      </c>
      <c r="R39" s="28"/>
      <c r="S39" s="28">
        <f>S38/S37</f>
        <v>-7.2392234287594601E-2</v>
      </c>
      <c r="T39" s="29"/>
      <c r="U39" s="28">
        <f>U38/U37</f>
        <v>0.16276694521819871</v>
      </c>
      <c r="V39" s="30"/>
      <c r="W39" s="28">
        <f>W38/W37</f>
        <v>6.7500000000000004E-2</v>
      </c>
      <c r="X39" s="30"/>
      <c r="Y39" s="28">
        <f>Y38/Y37</f>
        <v>3.5483870967741936E-2</v>
      </c>
      <c r="Z39" s="30"/>
      <c r="AA39" s="29"/>
      <c r="AB39" s="29"/>
      <c r="AC39" s="29"/>
      <c r="AD39" s="29"/>
      <c r="AE39" s="29"/>
      <c r="AF39" s="28">
        <f>AF38/AF37</f>
        <v>-1</v>
      </c>
      <c r="AG39" s="30"/>
      <c r="AH39" s="28">
        <f>AH38/AH37</f>
        <v>4.4959443800695248E-2</v>
      </c>
      <c r="AI39" s="30"/>
      <c r="AJ39" s="28">
        <f>AJ38/AJ37</f>
        <v>-0.18538929445999602</v>
      </c>
      <c r="AK39" s="30"/>
      <c r="AL39" s="28">
        <f>AL38/AL37</f>
        <v>-8.1632653061224483E-2</v>
      </c>
      <c r="AM39" s="30"/>
      <c r="AN39" s="28">
        <f>AN38/AN37</f>
        <v>0.38708247117942657</v>
      </c>
      <c r="AO39" s="30"/>
      <c r="AP39" s="30"/>
    </row>
    <row r="42" spans="1:42" x14ac:dyDescent="0.25">
      <c r="Q42" s="31"/>
    </row>
  </sheetData>
  <mergeCells count="43">
    <mergeCell ref="A1:A3"/>
    <mergeCell ref="R2:R3"/>
    <mergeCell ref="U2:U3"/>
    <mergeCell ref="W2:W3"/>
    <mergeCell ref="Y2:Y3"/>
    <mergeCell ref="I2:I3"/>
    <mergeCell ref="K2:K3"/>
    <mergeCell ref="N2:N3"/>
    <mergeCell ref="P2:P3"/>
    <mergeCell ref="I1:L1"/>
    <mergeCell ref="B1:G1"/>
    <mergeCell ref="N1:S1"/>
    <mergeCell ref="O2:O3"/>
    <mergeCell ref="Q2:Q3"/>
    <mergeCell ref="S2:S3"/>
    <mergeCell ref="J2:J3"/>
    <mergeCell ref="AP1:AP3"/>
    <mergeCell ref="AF2:AF3"/>
    <mergeCell ref="AH2:AH3"/>
    <mergeCell ref="AJ2:AJ3"/>
    <mergeCell ref="AL2:AL3"/>
    <mergeCell ref="AN2:AN3"/>
    <mergeCell ref="AF1:AN1"/>
    <mergeCell ref="AO2:AO3"/>
    <mergeCell ref="L2:L3"/>
    <mergeCell ref="C2:C3"/>
    <mergeCell ref="B2:B3"/>
    <mergeCell ref="E2:E3"/>
    <mergeCell ref="F2:F3"/>
    <mergeCell ref="G2:G3"/>
    <mergeCell ref="D2:D3"/>
    <mergeCell ref="U1:AD1"/>
    <mergeCell ref="AG2:AG3"/>
    <mergeCell ref="AI2:AI3"/>
    <mergeCell ref="AK2:AK3"/>
    <mergeCell ref="AM2:AM3"/>
    <mergeCell ref="Z2:Z3"/>
    <mergeCell ref="X2:X3"/>
    <mergeCell ref="V2:V3"/>
    <mergeCell ref="AB2:AB3"/>
    <mergeCell ref="AD2:AD3"/>
    <mergeCell ref="AA2:AA3"/>
    <mergeCell ref="AC2:AC3"/>
  </mergeCells>
  <pageMargins left="0" right="0" top="0" bottom="0" header="0" footer="0"/>
  <pageSetup paperSize="5" scale="7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0"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Four Seasons Hotel Baltimore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Monika Gibbons</dc:creator>
  <cp:keywords/>
  <dc:description/>
  <cp:lastModifiedBy>Robin Baugus</cp:lastModifiedBy>
  <cp:revision/>
  <dcterms:created xsi:type="dcterms:W3CDTF">2014-07-01T13:26:04Z</dcterms:created>
  <dcterms:modified xsi:type="dcterms:W3CDTF">2022-03-31T16:18:55Z</dcterms:modified>
  <cp:category/>
  <cp:contentStatus/>
</cp:coreProperties>
</file>