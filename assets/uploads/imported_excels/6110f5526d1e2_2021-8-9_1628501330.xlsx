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863\AC\Temp\"/>
    </mc:Choice>
  </mc:AlternateContent>
  <xr:revisionPtr revIDLastSave="5842" documentId="8_{5B502D95-7A37-4D5A-8B6B-374537CC2F26}" xr6:coauthVersionLast="47" xr6:coauthVersionMax="47" xr10:uidLastSave="{6BD2039D-71A6-41C3-949C-4D764A7940DC}"/>
  <bookViews>
    <workbookView xWindow="-120" yWindow="-120" windowWidth="15600" windowHeight="11760" tabRatio="764" firstSheet="2" activeTab="2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électricité" sheetId="10" r:id="rId6"/>
    <sheet name="Facture journalier D'élect" sheetId="19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5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5" i="2" l="1"/>
  <c r="V16" i="2"/>
  <c r="V17" i="2"/>
  <c r="N16" i="2"/>
  <c r="N17" i="2"/>
  <c r="N18" i="2"/>
  <c r="M16" i="2"/>
  <c r="M17" i="2"/>
  <c r="M18" i="2"/>
  <c r="L16" i="2"/>
  <c r="L17" i="2"/>
  <c r="L18" i="2"/>
  <c r="F16" i="2"/>
  <c r="F17" i="2"/>
  <c r="F18" i="2"/>
  <c r="K17" i="6"/>
  <c r="I17" i="6"/>
  <c r="G17" i="6"/>
  <c r="E17" i="6"/>
  <c r="C17" i="6"/>
  <c r="K16" i="6"/>
  <c r="I16" i="6"/>
  <c r="G16" i="6"/>
  <c r="E16" i="6"/>
  <c r="C16" i="6"/>
  <c r="K15" i="6"/>
  <c r="I15" i="6"/>
  <c r="G15" i="6"/>
  <c r="E15" i="6"/>
  <c r="C15" i="6"/>
  <c r="V14" i="2"/>
  <c r="N15" i="2"/>
  <c r="M15" i="2"/>
  <c r="L15" i="2"/>
  <c r="F15" i="2"/>
  <c r="K14" i="6"/>
  <c r="I14" i="6"/>
  <c r="G14" i="6"/>
  <c r="E14" i="6"/>
  <c r="C14" i="6"/>
  <c r="V13" i="2"/>
  <c r="N14" i="2"/>
  <c r="M14" i="2"/>
  <c r="L14" i="2"/>
  <c r="F14" i="2"/>
  <c r="K13" i="6"/>
  <c r="I13" i="6"/>
  <c r="G13" i="6"/>
  <c r="E13" i="6"/>
  <c r="C13" i="6"/>
  <c r="V12" i="2"/>
  <c r="N13" i="2"/>
  <c r="M13" i="2"/>
  <c r="L13" i="2"/>
  <c r="F13" i="2"/>
  <c r="K12" i="6"/>
  <c r="I12" i="6"/>
  <c r="G12" i="6"/>
  <c r="E12" i="6"/>
  <c r="C12" i="6"/>
  <c r="P5" i="4"/>
  <c r="P13" i="4"/>
  <c r="P14" i="4"/>
  <c r="P15" i="4"/>
  <c r="P16" i="4"/>
  <c r="P17" i="4"/>
  <c r="P18" i="4"/>
  <c r="P19" i="4"/>
  <c r="P20" i="4"/>
  <c r="P21" i="4"/>
  <c r="P22" i="4"/>
  <c r="P23" i="4"/>
  <c r="P24" i="4"/>
  <c r="P25" i="4"/>
  <c r="P26" i="4"/>
  <c r="P27" i="4"/>
  <c r="P28" i="4"/>
  <c r="P29" i="4"/>
  <c r="P30" i="4"/>
  <c r="P31" i="4"/>
  <c r="P32" i="4"/>
  <c r="P33" i="4"/>
  <c r="P34" i="4"/>
  <c r="P35" i="4"/>
  <c r="P36" i="4"/>
  <c r="P37" i="4"/>
  <c r="P38" i="4"/>
  <c r="P39" i="4"/>
  <c r="P40" i="4"/>
  <c r="P4" i="4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10" i="2"/>
  <c r="V11" i="2"/>
  <c r="N12" i="2"/>
  <c r="M12" i="2"/>
  <c r="L12" i="2"/>
  <c r="F12" i="2"/>
  <c r="K11" i="6"/>
  <c r="I11" i="6"/>
  <c r="G11" i="6"/>
  <c r="E11" i="6"/>
  <c r="C11" i="6"/>
  <c r="V10" i="2"/>
  <c r="N11" i="2"/>
  <c r="M11" i="2"/>
  <c r="L11" i="2"/>
  <c r="F11" i="2"/>
  <c r="C10" i="6"/>
  <c r="K10" i="6"/>
  <c r="I10" i="6"/>
  <c r="G10" i="6"/>
  <c r="E10" i="6"/>
  <c r="G28" i="21"/>
  <c r="G29" i="21"/>
  <c r="G30" i="21"/>
  <c r="G31" i="21"/>
  <c r="G32" i="21"/>
  <c r="F28" i="21"/>
  <c r="F29" i="21"/>
  <c r="F30" i="21"/>
  <c r="F31" i="21"/>
  <c r="F32" i="21"/>
  <c r="E26" i="21"/>
  <c r="E27" i="21"/>
  <c r="E28" i="21"/>
  <c r="E29" i="21"/>
  <c r="E30" i="21"/>
  <c r="E31" i="21"/>
  <c r="E32" i="21"/>
  <c r="E32" i="22"/>
  <c r="E11" i="22"/>
  <c r="E12" i="22"/>
  <c r="E13" i="22"/>
  <c r="E14" i="22"/>
  <c r="E15" i="22"/>
  <c r="E16" i="22"/>
  <c r="E17" i="22"/>
  <c r="E18" i="22"/>
  <c r="E19" i="22"/>
  <c r="E20" i="22"/>
  <c r="E21" i="22"/>
  <c r="E22" i="22"/>
  <c r="E23" i="22"/>
  <c r="E24" i="22"/>
  <c r="E25" i="22"/>
  <c r="E26" i="22"/>
  <c r="E27" i="22"/>
  <c r="E28" i="22"/>
  <c r="E29" i="22"/>
  <c r="E30" i="22"/>
  <c r="E31" i="22"/>
  <c r="G4" i="4"/>
  <c r="E4" i="4"/>
  <c r="C4" i="4"/>
  <c r="K39" i="6"/>
  <c r="K40" i="6"/>
  <c r="I39" i="6"/>
  <c r="I40" i="6"/>
  <c r="G39" i="6"/>
  <c r="G40" i="6"/>
  <c r="E39" i="6"/>
  <c r="E40" i="6"/>
  <c r="C39" i="6"/>
  <c r="C40" i="6"/>
  <c r="Q39" i="2"/>
  <c r="H39" i="2"/>
  <c r="H40" i="2"/>
  <c r="O39" i="2"/>
  <c r="C35" i="4"/>
  <c r="K38" i="6"/>
  <c r="I38" i="6"/>
  <c r="G38" i="6"/>
  <c r="E38" i="6"/>
  <c r="C38" i="6"/>
  <c r="K37" i="6"/>
  <c r="I37" i="6"/>
  <c r="G37" i="6"/>
  <c r="E37" i="6"/>
  <c r="C37" i="6"/>
  <c r="D29" i="10"/>
  <c r="K36" i="6"/>
  <c r="I36" i="6"/>
  <c r="G36" i="6"/>
  <c r="E36" i="6"/>
  <c r="C36" i="6"/>
  <c r="K35" i="6"/>
  <c r="I35" i="6"/>
  <c r="G35" i="6"/>
  <c r="E35" i="6"/>
  <c r="C35" i="6"/>
  <c r="K34" i="6"/>
  <c r="I34" i="6"/>
  <c r="G34" i="6"/>
  <c r="E34" i="6"/>
  <c r="C34" i="6"/>
  <c r="K33" i="6"/>
  <c r="I33" i="6"/>
  <c r="G33" i="6"/>
  <c r="E33" i="6"/>
  <c r="C33" i="6"/>
  <c r="K32" i="6"/>
  <c r="I32" i="6"/>
  <c r="G32" i="6"/>
  <c r="E32" i="6"/>
  <c r="C32" i="6"/>
  <c r="K31" i="6"/>
  <c r="I31" i="6"/>
  <c r="G31" i="6"/>
  <c r="E31" i="6"/>
  <c r="C31" i="6"/>
  <c r="K30" i="6"/>
  <c r="I30" i="6"/>
  <c r="G30" i="6"/>
  <c r="E30" i="6"/>
  <c r="C30" i="6"/>
  <c r="K29" i="6"/>
  <c r="I29" i="6"/>
  <c r="G29" i="6"/>
  <c r="E29" i="6"/>
  <c r="C29" i="6"/>
  <c r="K28" i="6"/>
  <c r="I28" i="6"/>
  <c r="G28" i="6"/>
  <c r="E28" i="6"/>
  <c r="C28" i="6"/>
  <c r="K27" i="6"/>
  <c r="I27" i="6"/>
  <c r="G27" i="6"/>
  <c r="E27" i="6"/>
  <c r="C27" i="6"/>
  <c r="K26" i="6"/>
  <c r="I26" i="6"/>
  <c r="G26" i="6"/>
  <c r="E26" i="6"/>
  <c r="C26" i="6"/>
  <c r="K25" i="6"/>
  <c r="I25" i="6"/>
  <c r="G25" i="6"/>
  <c r="E25" i="6"/>
  <c r="C25" i="6"/>
  <c r="K24" i="6"/>
  <c r="I24" i="6"/>
  <c r="G24" i="6"/>
  <c r="E24" i="6"/>
  <c r="C24" i="6"/>
  <c r="K23" i="6"/>
  <c r="I23" i="6"/>
  <c r="G23" i="6"/>
  <c r="E23" i="6"/>
  <c r="C23" i="6"/>
  <c r="K22" i="6"/>
  <c r="I22" i="6"/>
  <c r="G22" i="6"/>
  <c r="E22" i="6"/>
  <c r="C22" i="6"/>
  <c r="K21" i="6"/>
  <c r="I21" i="6"/>
  <c r="G21" i="6"/>
  <c r="E21" i="6"/>
  <c r="C21" i="6"/>
  <c r="K20" i="6"/>
  <c r="I20" i="6"/>
  <c r="G20" i="6"/>
  <c r="E20" i="6"/>
  <c r="C20" i="6"/>
  <c r="K19" i="6"/>
  <c r="I19" i="6"/>
  <c r="G19" i="6"/>
  <c r="E19" i="6"/>
  <c r="C19" i="6"/>
  <c r="P41" i="4"/>
  <c r="P42" i="4"/>
  <c r="N10" i="2"/>
  <c r="M10" i="2"/>
  <c r="L10" i="2"/>
  <c r="F10" i="2"/>
  <c r="L31" i="22"/>
  <c r="K31" i="22"/>
  <c r="I31" i="22"/>
  <c r="G32" i="22"/>
  <c r="B31" i="22"/>
  <c r="B32" i="22"/>
  <c r="I31" i="21"/>
  <c r="H31" i="21"/>
  <c r="B31" i="21"/>
  <c r="B32" i="21"/>
  <c r="C31" i="4"/>
  <c r="L28" i="22"/>
  <c r="L29" i="22"/>
  <c r="L30" i="22"/>
  <c r="K28" i="22"/>
  <c r="K29" i="22"/>
  <c r="K30" i="22"/>
  <c r="G27" i="22"/>
  <c r="G28" i="22"/>
  <c r="G29" i="22"/>
  <c r="G30" i="22"/>
  <c r="G28" i="4"/>
  <c r="G29" i="4"/>
  <c r="G30" i="4"/>
  <c r="G31" i="4"/>
  <c r="G33" i="4"/>
  <c r="G34" i="4"/>
  <c r="G35" i="4"/>
  <c r="E28" i="4"/>
  <c r="E29" i="4"/>
  <c r="E30" i="4"/>
  <c r="E31" i="4"/>
  <c r="E33" i="4"/>
  <c r="E34" i="4"/>
  <c r="E35" i="4"/>
  <c r="C28" i="4"/>
  <c r="C29" i="4"/>
  <c r="C30" i="4"/>
  <c r="C33" i="4"/>
  <c r="C34" i="4"/>
  <c r="I30" i="4"/>
  <c r="G5" i="4"/>
  <c r="G7" i="4"/>
  <c r="G8" i="4"/>
  <c r="G11" i="4"/>
  <c r="G12" i="4"/>
  <c r="G13" i="4"/>
  <c r="G14" i="4"/>
  <c r="G15" i="4"/>
  <c r="G16" i="4"/>
  <c r="G17" i="4"/>
  <c r="G18" i="4"/>
  <c r="G20" i="4"/>
  <c r="G21" i="4"/>
  <c r="G22" i="4"/>
  <c r="G24" i="4"/>
  <c r="G25" i="4"/>
  <c r="G26" i="4"/>
  <c r="G27" i="4"/>
  <c r="E5" i="4"/>
  <c r="E7" i="4"/>
  <c r="E8" i="4"/>
  <c r="E11" i="4"/>
  <c r="E12" i="4"/>
  <c r="E13" i="4"/>
  <c r="E14" i="4"/>
  <c r="E15" i="4"/>
  <c r="E16" i="4"/>
  <c r="E17" i="4"/>
  <c r="E18" i="4"/>
  <c r="E20" i="4"/>
  <c r="E21" i="4"/>
  <c r="E22" i="4"/>
  <c r="E24" i="4"/>
  <c r="E25" i="4"/>
  <c r="E26" i="4"/>
  <c r="E27" i="4"/>
  <c r="C5" i="4"/>
  <c r="C7" i="4"/>
  <c r="C8" i="4"/>
  <c r="C11" i="4"/>
  <c r="C12" i="4"/>
  <c r="C13" i="4"/>
  <c r="C14" i="4"/>
  <c r="C15" i="4"/>
  <c r="C16" i="4"/>
  <c r="C17" i="4"/>
  <c r="C18" i="4"/>
  <c r="C20" i="4"/>
  <c r="C21" i="4"/>
  <c r="C22" i="4"/>
  <c r="C24" i="4"/>
  <c r="C25" i="4"/>
  <c r="C26" i="4"/>
  <c r="C27" i="4"/>
  <c r="AC9" i="4"/>
  <c r="AC10" i="4"/>
  <c r="G6" i="21"/>
  <c r="G7" i="21"/>
  <c r="G8" i="21"/>
  <c r="O11" i="2"/>
  <c r="I23" i="21"/>
  <c r="I24" i="21"/>
  <c r="I25" i="21"/>
  <c r="I26" i="21"/>
  <c r="I27" i="21"/>
  <c r="I28" i="21"/>
  <c r="I29" i="21"/>
  <c r="I30" i="21"/>
  <c r="H23" i="21"/>
  <c r="H24" i="21"/>
  <c r="H25" i="21"/>
  <c r="H26" i="21"/>
  <c r="H27" i="21"/>
  <c r="H28" i="21"/>
  <c r="H29" i="21"/>
  <c r="H30" i="21"/>
  <c r="G23" i="21"/>
  <c r="G24" i="21"/>
  <c r="G25" i="21"/>
  <c r="G26" i="21"/>
  <c r="G27" i="21"/>
  <c r="F23" i="21"/>
  <c r="F24" i="21"/>
  <c r="F25" i="21"/>
  <c r="F26" i="21"/>
  <c r="F27" i="21"/>
  <c r="E23" i="21"/>
  <c r="E24" i="21"/>
  <c r="E25" i="21"/>
  <c r="O38" i="2"/>
  <c r="I27" i="22"/>
  <c r="I28" i="22"/>
  <c r="I29" i="22"/>
  <c r="I30" i="22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M5" i="4"/>
  <c r="M6" i="4"/>
  <c r="M7" i="4"/>
  <c r="M4" i="4"/>
  <c r="O37" i="2"/>
  <c r="H37" i="2"/>
  <c r="H38" i="2"/>
  <c r="Q37" i="2"/>
  <c r="Q38" i="2"/>
  <c r="F41" i="2"/>
  <c r="I32" i="22" s="1"/>
  <c r="L27" i="22"/>
  <c r="K27" i="22"/>
  <c r="O23" i="2"/>
  <c r="F7" i="21"/>
  <c r="G3" i="21"/>
  <c r="F3" i="21"/>
  <c r="E3" i="21"/>
  <c r="G5" i="21"/>
  <c r="F5" i="21"/>
  <c r="G4" i="21"/>
  <c r="G2" i="21"/>
  <c r="O10" i="2"/>
  <c r="I2" i="22"/>
  <c r="O17" i="2"/>
  <c r="Q18" i="2"/>
  <c r="E13" i="21"/>
  <c r="E16" i="21"/>
  <c r="O25" i="2"/>
  <c r="O26" i="2"/>
  <c r="E19" i="21"/>
  <c r="E22" i="21"/>
  <c r="Q31" i="2"/>
  <c r="Q33" i="2"/>
  <c r="O35" i="2"/>
  <c r="H35" i="2"/>
  <c r="H36" i="2"/>
  <c r="O34" i="2"/>
  <c r="Q34" i="2"/>
  <c r="H34" i="2"/>
  <c r="O32" i="2"/>
  <c r="Q32" i="2"/>
  <c r="I24" i="22"/>
  <c r="O31" i="2"/>
  <c r="H31" i="2"/>
  <c r="H30" i="2"/>
  <c r="F21" i="21"/>
  <c r="I21" i="22"/>
  <c r="G20" i="21"/>
  <c r="F20" i="21"/>
  <c r="O28" i="2"/>
  <c r="Q28" i="2"/>
  <c r="I20" i="22"/>
  <c r="G19" i="21"/>
  <c r="F19" i="21"/>
  <c r="I19" i="22"/>
  <c r="G18" i="21"/>
  <c r="F18" i="21"/>
  <c r="E18" i="21"/>
  <c r="J18" i="21"/>
  <c r="H26" i="2"/>
  <c r="F17" i="21"/>
  <c r="H25" i="2"/>
  <c r="G16" i="21"/>
  <c r="F16" i="21"/>
  <c r="J16" i="21"/>
  <c r="I16" i="22"/>
  <c r="G15" i="21"/>
  <c r="F15" i="21"/>
  <c r="Q22" i="2"/>
  <c r="Q23" i="2"/>
  <c r="I14" i="22"/>
  <c r="I15" i="22"/>
  <c r="G13" i="21"/>
  <c r="F13" i="21"/>
  <c r="J13" i="21"/>
  <c r="H21" i="2"/>
  <c r="G12" i="21"/>
  <c r="F12" i="21"/>
  <c r="Q20" i="2"/>
  <c r="E12" i="21"/>
  <c r="H20" i="2"/>
  <c r="H17" i="2"/>
  <c r="G9" i="21"/>
  <c r="G11" i="21"/>
  <c r="F10" i="21"/>
  <c r="F11" i="21"/>
  <c r="E9" i="21"/>
  <c r="I7" i="22"/>
  <c r="H18" i="2"/>
  <c r="I11" i="22"/>
  <c r="I9" i="22"/>
  <c r="I25" i="2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K3" i="22"/>
  <c r="L3" i="22"/>
  <c r="K4" i="22"/>
  <c r="L4" i="22"/>
  <c r="K5" i="22"/>
  <c r="L5" i="22"/>
  <c r="K6" i="22"/>
  <c r="L6" i="22"/>
  <c r="K7" i="22"/>
  <c r="L7" i="22"/>
  <c r="K8" i="22"/>
  <c r="L8" i="22"/>
  <c r="K9" i="22"/>
  <c r="L9" i="22"/>
  <c r="K10" i="22"/>
  <c r="L10" i="22"/>
  <c r="K11" i="22"/>
  <c r="L11" i="22"/>
  <c r="K12" i="22"/>
  <c r="L12" i="22"/>
  <c r="K13" i="22"/>
  <c r="L13" i="22"/>
  <c r="K14" i="22"/>
  <c r="L14" i="22"/>
  <c r="K15" i="22"/>
  <c r="L15" i="22"/>
  <c r="K16" i="22"/>
  <c r="L16" i="22"/>
  <c r="K17" i="22"/>
  <c r="L17" i="22"/>
  <c r="K18" i="22"/>
  <c r="L18" i="22"/>
  <c r="K19" i="22"/>
  <c r="L19" i="22"/>
  <c r="K20" i="22"/>
  <c r="L20" i="22"/>
  <c r="K21" i="22"/>
  <c r="L21" i="22"/>
  <c r="K22" i="22"/>
  <c r="L22" i="22"/>
  <c r="K23" i="22"/>
  <c r="L23" i="22"/>
  <c r="K24" i="22"/>
  <c r="L24" i="22"/>
  <c r="K25" i="22"/>
  <c r="L25" i="22"/>
  <c r="K26" i="22"/>
  <c r="L26" i="22"/>
  <c r="L2" i="22"/>
  <c r="K2" i="22"/>
  <c r="H3" i="21"/>
  <c r="I3" i="21"/>
  <c r="H4" i="21"/>
  <c r="I4" i="21"/>
  <c r="H5" i="21"/>
  <c r="I5" i="21"/>
  <c r="H6" i="21"/>
  <c r="I6" i="21"/>
  <c r="H7" i="21"/>
  <c r="I7" i="21"/>
  <c r="H8" i="21"/>
  <c r="I8" i="21"/>
  <c r="H9" i="21"/>
  <c r="I9" i="21"/>
  <c r="H10" i="21"/>
  <c r="I10" i="21"/>
  <c r="H11" i="21"/>
  <c r="I11" i="21"/>
  <c r="H12" i="21"/>
  <c r="I12" i="21"/>
  <c r="H13" i="21"/>
  <c r="I13" i="21"/>
  <c r="H14" i="21"/>
  <c r="I14" i="21"/>
  <c r="H15" i="21"/>
  <c r="I15" i="21"/>
  <c r="H16" i="21"/>
  <c r="I16" i="21"/>
  <c r="H17" i="21"/>
  <c r="I17" i="21"/>
  <c r="H18" i="21"/>
  <c r="I18" i="21"/>
  <c r="H19" i="21"/>
  <c r="I19" i="21"/>
  <c r="H20" i="21"/>
  <c r="I20" i="21"/>
  <c r="H21" i="21"/>
  <c r="I21" i="21"/>
  <c r="H22" i="21"/>
  <c r="I22" i="21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L5" i="4" s="1"/>
  <c r="N5" i="4" s="1"/>
  <c r="O5" i="4" s="1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O22" i="4" s="1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I34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E14" i="21"/>
  <c r="F14" i="21"/>
  <c r="G22" i="21"/>
  <c r="I17" i="10"/>
  <c r="F19" i="10"/>
  <c r="B13" i="11"/>
  <c r="F13" i="11"/>
  <c r="F20" i="11" s="1"/>
  <c r="I16" i="4"/>
  <c r="H19" i="2"/>
  <c r="I12" i="22"/>
  <c r="H23" i="2"/>
  <c r="E8" i="21"/>
  <c r="H27" i="2"/>
  <c r="H28" i="2"/>
  <c r="I18" i="22"/>
  <c r="I10" i="22"/>
  <c r="H22" i="2"/>
  <c r="F9" i="21"/>
  <c r="H32" i="2"/>
  <c r="G17" i="21"/>
  <c r="E20" i="21"/>
  <c r="I23" i="22"/>
  <c r="E11" i="21"/>
  <c r="J11" i="21"/>
  <c r="H24" i="2"/>
  <c r="F22" i="21"/>
  <c r="G21" i="21"/>
  <c r="Q25" i="2"/>
  <c r="G10" i="21"/>
  <c r="I19" i="10"/>
  <c r="E20" i="10"/>
  <c r="D25" i="10"/>
  <c r="F25" i="10"/>
  <c r="F32" i="10"/>
  <c r="H25" i="10"/>
  <c r="I25" i="10"/>
  <c r="I32" i="10"/>
  <c r="F18" i="10"/>
  <c r="J26" i="21"/>
  <c r="F8" i="21"/>
  <c r="G14" i="21"/>
  <c r="Q36" i="2"/>
  <c r="O16" i="2"/>
  <c r="O36" i="2"/>
  <c r="E21" i="21"/>
  <c r="J21" i="21"/>
  <c r="I17" i="22"/>
  <c r="O20" i="2"/>
  <c r="Q19" i="2"/>
  <c r="E17" i="21"/>
  <c r="I26" i="22"/>
  <c r="H15" i="2"/>
  <c r="Q17" i="2"/>
  <c r="O21" i="2"/>
  <c r="O22" i="2"/>
  <c r="H29" i="2"/>
  <c r="O30" i="2"/>
  <c r="Q35" i="2"/>
  <c r="Q30" i="2"/>
  <c r="E10" i="21"/>
  <c r="E10" i="22" s="1"/>
  <c r="O18" i="2"/>
  <c r="O29" i="2"/>
  <c r="O19" i="2"/>
  <c r="I13" i="22"/>
  <c r="E15" i="21"/>
  <c r="I22" i="22"/>
  <c r="O24" i="2"/>
  <c r="Q29" i="2"/>
  <c r="Q24" i="2"/>
  <c r="F25" i="18"/>
  <c r="F29" i="18"/>
  <c r="F21" i="11"/>
  <c r="F23" i="11"/>
  <c r="F24" i="11"/>
  <c r="F2" i="21"/>
  <c r="I21" i="4"/>
  <c r="I12" i="4"/>
  <c r="L23" i="4"/>
  <c r="N23" i="4"/>
  <c r="O23" i="4"/>
  <c r="L17" i="4"/>
  <c r="N17" i="4"/>
  <c r="O17" i="4"/>
  <c r="L13" i="4"/>
  <c r="N13" i="4"/>
  <c r="O13" i="4"/>
  <c r="L10" i="4"/>
  <c r="N10" i="4"/>
  <c r="O10" i="4"/>
  <c r="P10" i="4" s="1"/>
  <c r="L31" i="4"/>
  <c r="N31" i="4"/>
  <c r="O31" i="4"/>
  <c r="L28" i="4"/>
  <c r="N28" i="4"/>
  <c r="O28" i="4"/>
  <c r="L16" i="4"/>
  <c r="N16" i="4"/>
  <c r="O16" i="4"/>
  <c r="L14" i="4"/>
  <c r="N14" i="4"/>
  <c r="O14" i="4"/>
  <c r="L27" i="4"/>
  <c r="N27" i="4"/>
  <c r="O27" i="4"/>
  <c r="L34" i="4"/>
  <c r="N34" i="4"/>
  <c r="O34" i="4"/>
  <c r="L30" i="4"/>
  <c r="N30" i="4"/>
  <c r="O30" i="4"/>
  <c r="L18" i="4"/>
  <c r="N18" i="4"/>
  <c r="O18" i="4"/>
  <c r="L21" i="4"/>
  <c r="N21" i="4"/>
  <c r="O21" i="4"/>
  <c r="L29" i="4"/>
  <c r="N29" i="4"/>
  <c r="O29" i="4"/>
  <c r="L24" i="4"/>
  <c r="N24" i="4"/>
  <c r="O24" i="4"/>
  <c r="L12" i="4"/>
  <c r="N12" i="4"/>
  <c r="O12" i="4"/>
  <c r="P12" i="4" s="1"/>
  <c r="L11" i="4"/>
  <c r="N11" i="4"/>
  <c r="O11" i="4"/>
  <c r="P11" i="4" s="1"/>
  <c r="L32" i="4"/>
  <c r="N32" i="4"/>
  <c r="O32" i="4"/>
  <c r="L26" i="4"/>
  <c r="N26" i="4"/>
  <c r="O26" i="4"/>
  <c r="L25" i="4"/>
  <c r="N25" i="4"/>
  <c r="O25" i="4"/>
  <c r="L19" i="4"/>
  <c r="N19" i="4"/>
  <c r="O19" i="4"/>
  <c r="L20" i="4"/>
  <c r="N20" i="4"/>
  <c r="O20" i="4"/>
  <c r="L33" i="4"/>
  <c r="N33" i="4"/>
  <c r="O33" i="4"/>
  <c r="L15" i="4"/>
  <c r="N15" i="4"/>
  <c r="O15" i="4"/>
  <c r="Q21" i="2"/>
  <c r="Q26" i="2"/>
  <c r="J23" i="21"/>
  <c r="Q27" i="2"/>
  <c r="O27" i="2"/>
  <c r="J25" i="21"/>
  <c r="O33" i="2"/>
  <c r="Q10" i="2"/>
  <c r="E2" i="21"/>
  <c r="J2" i="21"/>
  <c r="Q11" i="2"/>
  <c r="F6" i="21"/>
  <c r="O7" i="4"/>
  <c r="P7" i="4" s="1"/>
  <c r="E3" i="22"/>
  <c r="J3" i="21"/>
  <c r="J22" i="21"/>
  <c r="J15" i="21"/>
  <c r="J17" i="21"/>
  <c r="J9" i="21"/>
  <c r="F4" i="21"/>
  <c r="J24" i="21"/>
  <c r="J10" i="21"/>
  <c r="J30" i="21"/>
  <c r="J20" i="21"/>
  <c r="J12" i="21"/>
  <c r="H10" i="2"/>
  <c r="E2" i="22"/>
  <c r="J19" i="21"/>
  <c r="M41" i="2"/>
  <c r="I45" i="2"/>
  <c r="L45" i="2"/>
  <c r="N41" i="2"/>
  <c r="I46" i="2"/>
  <c r="L46" i="2"/>
  <c r="Q16" i="2"/>
  <c r="J8" i="21"/>
  <c r="Q44" i="4"/>
  <c r="AC44" i="4"/>
  <c r="K48" i="4"/>
  <c r="L48" i="4"/>
  <c r="M48" i="4" s="1"/>
  <c r="L9" i="4"/>
  <c r="N9" i="4"/>
  <c r="AC43" i="4"/>
  <c r="I9" i="4"/>
  <c r="O9" i="4"/>
  <c r="P9" i="4" s="1"/>
  <c r="E8" i="22" l="1"/>
  <c r="E9" i="22"/>
  <c r="Q40" i="2"/>
  <c r="O40" i="2"/>
  <c r="G10" i="4"/>
  <c r="E10" i="4"/>
  <c r="C10" i="4"/>
  <c r="L32" i="22"/>
  <c r="I32" i="21"/>
  <c r="K32" i="22"/>
  <c r="H32" i="21"/>
  <c r="G32" i="4"/>
  <c r="E32" i="4"/>
  <c r="C32" i="4"/>
  <c r="G19" i="4"/>
  <c r="E19" i="4"/>
  <c r="C19" i="4"/>
  <c r="L6" i="4"/>
  <c r="N6" i="4" s="1"/>
  <c r="O6" i="4" s="1"/>
  <c r="P6" i="4" s="1"/>
  <c r="G6" i="4"/>
  <c r="E6" i="4"/>
  <c r="C6" i="4"/>
  <c r="G23" i="4"/>
  <c r="E23" i="4"/>
  <c r="C23" i="4"/>
  <c r="G9" i="4"/>
  <c r="E9" i="4"/>
  <c r="C9" i="4"/>
  <c r="Q14" i="2"/>
  <c r="O14" i="2"/>
  <c r="L8" i="4"/>
  <c r="N8" i="4" s="1"/>
  <c r="O8" i="4" s="1"/>
  <c r="P8" i="4" s="1"/>
  <c r="G8" i="22"/>
  <c r="G5" i="22"/>
  <c r="J14" i="21"/>
  <c r="I4" i="4"/>
  <c r="L4" i="4"/>
  <c r="N4" i="4" s="1"/>
  <c r="G7" i="22" l="1"/>
  <c r="G19" i="22"/>
  <c r="M19" i="22" s="1"/>
  <c r="G20" i="22"/>
  <c r="M20" i="22" s="1"/>
  <c r="G14" i="22"/>
  <c r="M14" i="22" s="1"/>
  <c r="G10" i="22"/>
  <c r="M10" i="22" s="1"/>
  <c r="G25" i="22"/>
  <c r="M25" i="22" s="1"/>
  <c r="G13" i="22"/>
  <c r="M13" i="22" s="1"/>
  <c r="G11" i="22"/>
  <c r="M11" i="22" s="1"/>
  <c r="G24" i="22"/>
  <c r="M24" i="22" s="1"/>
  <c r="G15" i="22"/>
  <c r="M15" i="22" s="1"/>
  <c r="G18" i="22"/>
  <c r="M18" i="22" s="1"/>
  <c r="G26" i="22"/>
  <c r="M26" i="22" s="1"/>
  <c r="G21" i="22"/>
  <c r="M21" i="22" s="1"/>
  <c r="G9" i="22"/>
  <c r="M9" i="22" s="1"/>
  <c r="G23" i="22"/>
  <c r="M23" i="22" s="1"/>
  <c r="G22" i="22"/>
  <c r="M22" i="22" s="1"/>
  <c r="G16" i="22"/>
  <c r="M16" i="22" s="1"/>
  <c r="G17" i="22"/>
  <c r="M17" i="22" s="1"/>
  <c r="G12" i="22"/>
  <c r="M12" i="22" s="1"/>
  <c r="G6" i="22"/>
  <c r="E7" i="21"/>
  <c r="E7" i="22" s="1"/>
  <c r="O15" i="2"/>
  <c r="Q15" i="2"/>
  <c r="E6" i="21"/>
  <c r="E6" i="22" s="1"/>
  <c r="O13" i="2"/>
  <c r="Q13" i="2"/>
  <c r="E5" i="21"/>
  <c r="E5" i="22" s="1"/>
  <c r="E4" i="21"/>
  <c r="E4" i="22" s="1"/>
  <c r="Q12" i="2"/>
  <c r="Q41" i="2" s="1"/>
  <c r="L41" i="2"/>
  <c r="O12" i="2"/>
  <c r="O41" i="2" s="1"/>
  <c r="I8" i="22"/>
  <c r="M8" i="22" s="1"/>
  <c r="H16" i="2"/>
  <c r="H14" i="2"/>
  <c r="I6" i="22"/>
  <c r="I5" i="22"/>
  <c r="H13" i="2"/>
  <c r="I4" i="22"/>
  <c r="H12" i="2"/>
  <c r="I3" i="22"/>
  <c r="H11" i="2"/>
  <c r="H41" i="2" s="1"/>
  <c r="O4" i="4"/>
  <c r="N43" i="4"/>
  <c r="G3" i="22"/>
  <c r="M3" i="22" s="1"/>
  <c r="G4" i="22"/>
  <c r="I48" i="2" l="1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P43" i="4" s="1"/>
  <c r="K47" i="4"/>
  <c r="X41" i="2"/>
  <c r="G2" i="22" l="1"/>
  <c r="M2" i="22" s="1"/>
  <c r="V41" i="2"/>
  <c r="G31" i="22" s="1"/>
  <c r="L47" i="4"/>
  <c r="M47" i="4"/>
  <c r="M30" i="22" l="1"/>
  <c r="I49" i="2"/>
  <c r="L49" i="2" s="1"/>
  <c r="N49" i="2" s="1"/>
</calcChain>
</file>

<file path=xl/sharedStrings.xml><?xml version="1.0" encoding="utf-8"?>
<sst xmlns="http://schemas.openxmlformats.org/spreadsheetml/2006/main" count="478" uniqueCount="185">
  <si>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</si>
  <si>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</si>
  <si>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</si>
  <si>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</si>
  <si>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</si>
  <si>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</si>
  <si>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</si>
  <si>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</si>
  <si>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</si>
  <si>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</si>
  <si>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</si>
  <si>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</si>
  <si>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</si>
  <si>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</si>
  <si>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</si>
  <si>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</si>
  <si>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</si>
  <si>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</si>
  <si>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</si>
  <si>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</si>
  <si>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</si>
  <si>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</si>
  <si>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</si>
  <si>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</si>
  <si>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</si>
  <si>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</si>
  <si>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</si>
  <si>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</si>
  <si>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</si>
  <si>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</si>
  <si>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</si>
  <si>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</si>
  <si>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</si>
  <si>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</si>
  <si>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</si>
  <si>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</si>
  <si>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</si>
  <si>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</si>
  <si>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</si>
  <si>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</si>
  <si>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</si>
  <si>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Aout 2021</t>
  </si>
  <si>
    <t>Département Engineering 2021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</si>
  <si>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</si>
  <si>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</si>
  <si>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</si>
  <si>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</si>
  <si>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</si>
  <si>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</si>
  <si>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</si>
  <si>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</si>
  <si>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</si>
  <si>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</si>
  <si>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</si>
  <si>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</si>
  <si>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</si>
  <si>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</si>
  <si>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Aout 2021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</si>
  <si>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</si>
  <si>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</si>
  <si>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</si>
  <si>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</si>
  <si>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</si>
  <si>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</si>
  <si>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</si>
  <si>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</si>
  <si>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</si>
  <si>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</si>
  <si>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</si>
  <si>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</si>
  <si>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</si>
  <si>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</si>
  <si>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</si>
  <si>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</si>
  <si>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</si>
  <si>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</si>
  <si>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</si>
  <si>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</si>
  <si>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</si>
  <si>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</si>
  <si>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</si>
  <si>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</si>
  <si>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</si>
  <si>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</si>
  <si>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</si>
  <si>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</si>
  <si>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</si>
  <si>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Aout 2021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</si>
  <si>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</si>
  <si>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</si>
  <si>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</si>
  <si>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</si>
  <si>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</si>
  <si>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</si>
  <si>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</si>
  <si>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</si>
  <si>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</si>
  <si>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30jours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</si>
  <si>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</si>
  <si>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</si>
  <si>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</si>
  <si>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</si>
  <si>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</si>
  <si>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</si>
  <si>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</si>
  <si>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</si>
  <si>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</si>
  <si>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</si>
  <si>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</si>
  <si>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</si>
  <si>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</si>
  <si>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</si>
  <si>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</si>
  <si>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</si>
  <si>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</si>
  <si>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</si>
  <si>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</si>
  <si>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</si>
  <si>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</si>
  <si>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</si>
  <si>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</si>
  <si>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</si>
  <si>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</si>
  <si>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</si>
  <si>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</si>
  <si>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</si>
  <si>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</si>
  <si>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</si>
  <si>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</si>
  <si>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</si>
  <si>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</si>
  <si>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01jours</t>
  </si>
  <si>
    <t>Estimation de la consommation d'Eau Sanitaire Aout 2021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</si>
  <si>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</si>
  <si>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</si>
  <si>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</si>
  <si>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</si>
  <si>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</si>
  <si>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</si>
  <si>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</si>
  <si>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</si>
  <si>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</si>
  <si>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</si>
  <si>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</si>
  <si>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</si>
  <si>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</si>
  <si>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</si>
  <si>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</si>
  <si>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</si>
  <si>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</si>
  <si>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</si>
  <si>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</si>
  <si>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</si>
  <si>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</si>
  <si>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Aout 2021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</si>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</sst>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4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19" fillId="15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1" fillId="25" borderId="60" xfId="0" applyFont="1" applyFill="1" applyBorder="1" applyAlignment="1">
      <alignment horizontal="center" vertical="center" wrapText="1"/>
    </xf>
    <xf numFmtId="0" fontId="21" fillId="13" borderId="42" xfId="0" applyFont="1" applyFill="1" applyBorder="1" applyAlignment="1">
      <alignment horizontal="center" vertical="center" wrapText="1"/>
    </xf>
    <xf numFmtId="0" fontId="21" fillId="7" borderId="4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27" fillId="0" borderId="10" xfId="0" applyFont="1" applyBorder="1" applyAlignment="1">
      <alignment horizont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10" xfId="0" applyFont="1" applyBorder="1" applyAlignment="1">
      <alignment horizontal="center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EAU-ELEC'!$A$9:$A$39</c:f>
              <c:numCache>
                <c:formatCode>m/d/yyyy</c:formatCode>
                <c:ptCount val="31"/>
                <c:pt idx="0">
                  <c:v>44409</c:v>
                </c:pt>
                <c:pt idx="1">
                  <c:v>44410</c:v>
                </c:pt>
                <c:pt idx="2">
                  <c:v>44411</c:v>
                </c:pt>
                <c:pt idx="3">
                  <c:v>44412</c:v>
                </c:pt>
                <c:pt idx="4">
                  <c:v>44413</c:v>
                </c:pt>
                <c:pt idx="5">
                  <c:v>44414</c:v>
                </c:pt>
                <c:pt idx="6">
                  <c:v>44415</c:v>
                </c:pt>
                <c:pt idx="7">
                  <c:v>44416</c:v>
                </c:pt>
                <c:pt idx="8">
                  <c:v>44417</c:v>
                </c:pt>
                <c:pt idx="9">
                  <c:v>44418</c:v>
                </c:pt>
                <c:pt idx="10">
                  <c:v>44419</c:v>
                </c:pt>
                <c:pt idx="11">
                  <c:v>44420</c:v>
                </c:pt>
                <c:pt idx="12">
                  <c:v>44421</c:v>
                </c:pt>
                <c:pt idx="13">
                  <c:v>44422</c:v>
                </c:pt>
                <c:pt idx="14">
                  <c:v>44423</c:v>
                </c:pt>
                <c:pt idx="15">
                  <c:v>44424</c:v>
                </c:pt>
                <c:pt idx="16">
                  <c:v>44425</c:v>
                </c:pt>
                <c:pt idx="17">
                  <c:v>44426</c:v>
                </c:pt>
                <c:pt idx="18">
                  <c:v>44427</c:v>
                </c:pt>
                <c:pt idx="19">
                  <c:v>44428</c:v>
                </c:pt>
                <c:pt idx="20">
                  <c:v>44429</c:v>
                </c:pt>
                <c:pt idx="21">
                  <c:v>44430</c:v>
                </c:pt>
                <c:pt idx="22">
                  <c:v>44431</c:v>
                </c:pt>
                <c:pt idx="23">
                  <c:v>44432</c:v>
                </c:pt>
                <c:pt idx="24">
                  <c:v>44433</c:v>
                </c:pt>
                <c:pt idx="25">
                  <c:v>44434</c:v>
                </c:pt>
                <c:pt idx="26">
                  <c:v>44435</c:v>
                </c:pt>
                <c:pt idx="27">
                  <c:v>44436</c:v>
                </c:pt>
                <c:pt idx="28">
                  <c:v>44437</c:v>
                </c:pt>
                <c:pt idx="29">
                  <c:v>44438</c:v>
                </c:pt>
                <c:pt idx="30">
                  <c:v>44439</c:v>
                </c:pt>
              </c:numCache>
            </c:numRef>
          </c:cat>
          <c:val>
            <c:numRef>
              <c:f>'Suivi EAU-ELEC'!$E$9:$E$39</c:f>
              <c:numCache>
                <c:formatCode>General</c:formatCode>
                <c:ptCount val="31"/>
                <c:pt idx="0">
                  <c:v>116.39999999999418</c:v>
                </c:pt>
                <c:pt idx="1">
                  <c:v>106.40000000000873</c:v>
                </c:pt>
                <c:pt idx="2">
                  <c:v>237.59999999999127</c:v>
                </c:pt>
                <c:pt idx="3">
                  <c:v>123.5</c:v>
                </c:pt>
                <c:pt idx="4">
                  <c:v>103.70000000001164</c:v>
                </c:pt>
                <c:pt idx="5">
                  <c:v>107.09999999999127</c:v>
                </c:pt>
                <c:pt idx="6">
                  <c:v>125.10000000000582</c:v>
                </c:pt>
                <c:pt idx="7">
                  <c:v>117.59999999999127</c:v>
                </c:pt>
                <c:pt idx="8">
                  <c:v>91.100000000005821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44409</c:v>
                </c:pt>
                <c:pt idx="1">
                  <c:v>44410</c:v>
                </c:pt>
                <c:pt idx="2">
                  <c:v>44411</c:v>
                </c:pt>
                <c:pt idx="3">
                  <c:v>44412</c:v>
                </c:pt>
                <c:pt idx="4">
                  <c:v>44413</c:v>
                </c:pt>
                <c:pt idx="5">
                  <c:v>44414</c:v>
                </c:pt>
                <c:pt idx="6">
                  <c:v>44415</c:v>
                </c:pt>
                <c:pt idx="7">
                  <c:v>44416</c:v>
                </c:pt>
                <c:pt idx="8">
                  <c:v>44417</c:v>
                </c:pt>
                <c:pt idx="9">
                  <c:v>44418</c:v>
                </c:pt>
                <c:pt idx="10">
                  <c:v>44419</c:v>
                </c:pt>
                <c:pt idx="11">
                  <c:v>44420</c:v>
                </c:pt>
                <c:pt idx="12">
                  <c:v>44421</c:v>
                </c:pt>
                <c:pt idx="13">
                  <c:v>44422</c:v>
                </c:pt>
                <c:pt idx="14">
                  <c:v>44423</c:v>
                </c:pt>
                <c:pt idx="15">
                  <c:v>44424</c:v>
                </c:pt>
                <c:pt idx="16">
                  <c:v>44425</c:v>
                </c:pt>
                <c:pt idx="17">
                  <c:v>44426</c:v>
                </c:pt>
                <c:pt idx="18">
                  <c:v>44427</c:v>
                </c:pt>
                <c:pt idx="19">
                  <c:v>44428</c:v>
                </c:pt>
                <c:pt idx="20">
                  <c:v>44429</c:v>
                </c:pt>
                <c:pt idx="21">
                  <c:v>44430</c:v>
                </c:pt>
                <c:pt idx="22">
                  <c:v>44431</c:v>
                </c:pt>
                <c:pt idx="23">
                  <c:v>44432</c:v>
                </c:pt>
                <c:pt idx="24">
                  <c:v>44433</c:v>
                </c:pt>
                <c:pt idx="25">
                  <c:v>44434</c:v>
                </c:pt>
                <c:pt idx="26">
                  <c:v>44435</c:v>
                </c:pt>
                <c:pt idx="27">
                  <c:v>44436</c:v>
                </c:pt>
                <c:pt idx="28">
                  <c:v>44437</c:v>
                </c:pt>
                <c:pt idx="29">
                  <c:v>44438</c:v>
                </c:pt>
                <c:pt idx="30">
                  <c:v>44439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3789</c:v>
                </c:pt>
                <c:pt idx="1">
                  <c:v>3323</c:v>
                </c:pt>
                <c:pt idx="2">
                  <c:v>3355</c:v>
                </c:pt>
                <c:pt idx="3">
                  <c:v>3228</c:v>
                </c:pt>
                <c:pt idx="4">
                  <c:v>4251</c:v>
                </c:pt>
                <c:pt idx="5">
                  <c:v>3759</c:v>
                </c:pt>
                <c:pt idx="6">
                  <c:v>4155</c:v>
                </c:pt>
                <c:pt idx="7">
                  <c:v>3897</c:v>
                </c:pt>
                <c:pt idx="8">
                  <c:v>3560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EAU-ELEC'!$A$9:$A$39</c:f>
              <c:numCache>
                <c:formatCode>m/d/yyyy</c:formatCode>
                <c:ptCount val="31"/>
                <c:pt idx="0">
                  <c:v>44409</c:v>
                </c:pt>
                <c:pt idx="1">
                  <c:v>44410</c:v>
                </c:pt>
                <c:pt idx="2">
                  <c:v>44411</c:v>
                </c:pt>
                <c:pt idx="3">
                  <c:v>44412</c:v>
                </c:pt>
                <c:pt idx="4">
                  <c:v>44413</c:v>
                </c:pt>
                <c:pt idx="5">
                  <c:v>44414</c:v>
                </c:pt>
                <c:pt idx="6">
                  <c:v>44415</c:v>
                </c:pt>
                <c:pt idx="7">
                  <c:v>44416</c:v>
                </c:pt>
                <c:pt idx="8">
                  <c:v>44417</c:v>
                </c:pt>
                <c:pt idx="9">
                  <c:v>44418</c:v>
                </c:pt>
                <c:pt idx="10">
                  <c:v>44419</c:v>
                </c:pt>
                <c:pt idx="11">
                  <c:v>44420</c:v>
                </c:pt>
                <c:pt idx="12">
                  <c:v>44421</c:v>
                </c:pt>
                <c:pt idx="13">
                  <c:v>44422</c:v>
                </c:pt>
                <c:pt idx="14">
                  <c:v>44423</c:v>
                </c:pt>
                <c:pt idx="15">
                  <c:v>44424</c:v>
                </c:pt>
                <c:pt idx="16">
                  <c:v>44425</c:v>
                </c:pt>
                <c:pt idx="17">
                  <c:v>44426</c:v>
                </c:pt>
                <c:pt idx="18">
                  <c:v>44427</c:v>
                </c:pt>
                <c:pt idx="19">
                  <c:v>44428</c:v>
                </c:pt>
                <c:pt idx="20">
                  <c:v>44429</c:v>
                </c:pt>
                <c:pt idx="21">
                  <c:v>44430</c:v>
                </c:pt>
                <c:pt idx="22">
                  <c:v>44431</c:v>
                </c:pt>
                <c:pt idx="23">
                  <c:v>44432</c:v>
                </c:pt>
                <c:pt idx="24">
                  <c:v>44433</c:v>
                </c:pt>
                <c:pt idx="25">
                  <c:v>44434</c:v>
                </c:pt>
                <c:pt idx="26">
                  <c:v>44435</c:v>
                </c:pt>
                <c:pt idx="27">
                  <c:v>44436</c:v>
                </c:pt>
                <c:pt idx="28">
                  <c:v>44437</c:v>
                </c:pt>
                <c:pt idx="29">
                  <c:v>44438</c:v>
                </c:pt>
                <c:pt idx="30">
                  <c:v>44439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8010</c:v>
                </c:pt>
                <c:pt idx="1">
                  <c:v>7812</c:v>
                </c:pt>
                <c:pt idx="2">
                  <c:v>7827</c:v>
                </c:pt>
                <c:pt idx="3">
                  <c:v>7581</c:v>
                </c:pt>
                <c:pt idx="4">
                  <c:v>7941</c:v>
                </c:pt>
                <c:pt idx="5">
                  <c:v>8185</c:v>
                </c:pt>
                <c:pt idx="6">
                  <c:v>8948</c:v>
                </c:pt>
                <c:pt idx="7">
                  <c:v>8099</c:v>
                </c:pt>
                <c:pt idx="8">
                  <c:v>7480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EAU-ELEC'!$A$9:$A$39</c:f>
              <c:numCache>
                <c:formatCode>m/d/yyyy</c:formatCode>
                <c:ptCount val="31"/>
                <c:pt idx="0">
                  <c:v>44409</c:v>
                </c:pt>
                <c:pt idx="1">
                  <c:v>44410</c:v>
                </c:pt>
                <c:pt idx="2">
                  <c:v>44411</c:v>
                </c:pt>
                <c:pt idx="3">
                  <c:v>44412</c:v>
                </c:pt>
                <c:pt idx="4">
                  <c:v>44413</c:v>
                </c:pt>
                <c:pt idx="5">
                  <c:v>44414</c:v>
                </c:pt>
                <c:pt idx="6">
                  <c:v>44415</c:v>
                </c:pt>
                <c:pt idx="7">
                  <c:v>44416</c:v>
                </c:pt>
                <c:pt idx="8">
                  <c:v>44417</c:v>
                </c:pt>
                <c:pt idx="9">
                  <c:v>44418</c:v>
                </c:pt>
                <c:pt idx="10">
                  <c:v>44419</c:v>
                </c:pt>
                <c:pt idx="11">
                  <c:v>44420</c:v>
                </c:pt>
                <c:pt idx="12">
                  <c:v>44421</c:v>
                </c:pt>
                <c:pt idx="13">
                  <c:v>44422</c:v>
                </c:pt>
                <c:pt idx="14">
                  <c:v>44423</c:v>
                </c:pt>
                <c:pt idx="15">
                  <c:v>44424</c:v>
                </c:pt>
                <c:pt idx="16">
                  <c:v>44425</c:v>
                </c:pt>
                <c:pt idx="17">
                  <c:v>44426</c:v>
                </c:pt>
                <c:pt idx="18">
                  <c:v>44427</c:v>
                </c:pt>
                <c:pt idx="19">
                  <c:v>44428</c:v>
                </c:pt>
                <c:pt idx="20">
                  <c:v>44429</c:v>
                </c:pt>
                <c:pt idx="21">
                  <c:v>44430</c:v>
                </c:pt>
                <c:pt idx="22">
                  <c:v>44431</c:v>
                </c:pt>
                <c:pt idx="23">
                  <c:v>44432</c:v>
                </c:pt>
                <c:pt idx="24">
                  <c:v>44433</c:v>
                </c:pt>
                <c:pt idx="25">
                  <c:v>44434</c:v>
                </c:pt>
                <c:pt idx="26">
                  <c:v>44435</c:v>
                </c:pt>
                <c:pt idx="27">
                  <c:v>44436</c:v>
                </c:pt>
                <c:pt idx="28">
                  <c:v>44437</c:v>
                </c:pt>
                <c:pt idx="29">
                  <c:v>44438</c:v>
                </c:pt>
                <c:pt idx="30">
                  <c:v>44439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2981</c:v>
                </c:pt>
                <c:pt idx="1">
                  <c:v>2885</c:v>
                </c:pt>
                <c:pt idx="2">
                  <c:v>3276</c:v>
                </c:pt>
                <c:pt idx="3">
                  <c:v>3114</c:v>
                </c:pt>
                <c:pt idx="4">
                  <c:v>2925</c:v>
                </c:pt>
                <c:pt idx="5">
                  <c:v>3363</c:v>
                </c:pt>
                <c:pt idx="6">
                  <c:v>3364</c:v>
                </c:pt>
                <c:pt idx="7">
                  <c:v>2782</c:v>
                </c:pt>
                <c:pt idx="8">
                  <c:v>2610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44409</c:v>
                </c:pt>
                <c:pt idx="1">
                  <c:v>44410</c:v>
                </c:pt>
                <c:pt idx="2">
                  <c:v>44411</c:v>
                </c:pt>
                <c:pt idx="3">
                  <c:v>44412</c:v>
                </c:pt>
                <c:pt idx="4">
                  <c:v>44413</c:v>
                </c:pt>
                <c:pt idx="5">
                  <c:v>44414</c:v>
                </c:pt>
                <c:pt idx="6">
                  <c:v>44415</c:v>
                </c:pt>
                <c:pt idx="7">
                  <c:v>44416</c:v>
                </c:pt>
                <c:pt idx="8">
                  <c:v>44417</c:v>
                </c:pt>
                <c:pt idx="9">
                  <c:v>44418</c:v>
                </c:pt>
                <c:pt idx="10">
                  <c:v>44419</c:v>
                </c:pt>
                <c:pt idx="11">
                  <c:v>44420</c:v>
                </c:pt>
                <c:pt idx="12">
                  <c:v>44421</c:v>
                </c:pt>
                <c:pt idx="13">
                  <c:v>44422</c:v>
                </c:pt>
                <c:pt idx="14">
                  <c:v>44423</c:v>
                </c:pt>
                <c:pt idx="15">
                  <c:v>44424</c:v>
                </c:pt>
                <c:pt idx="16">
                  <c:v>44425</c:v>
                </c:pt>
                <c:pt idx="17">
                  <c:v>44426</c:v>
                </c:pt>
                <c:pt idx="18">
                  <c:v>44427</c:v>
                </c:pt>
                <c:pt idx="19">
                  <c:v>44428</c:v>
                </c:pt>
                <c:pt idx="20">
                  <c:v>44429</c:v>
                </c:pt>
                <c:pt idx="21">
                  <c:v>44430</c:v>
                </c:pt>
                <c:pt idx="22">
                  <c:v>44431</c:v>
                </c:pt>
                <c:pt idx="23">
                  <c:v>44432</c:v>
                </c:pt>
                <c:pt idx="24">
                  <c:v>44433</c:v>
                </c:pt>
                <c:pt idx="25">
                  <c:v>44434</c:v>
                </c:pt>
                <c:pt idx="26">
                  <c:v>44435</c:v>
                </c:pt>
                <c:pt idx="27">
                  <c:v>44436</c:v>
                </c:pt>
                <c:pt idx="28">
                  <c:v>44437</c:v>
                </c:pt>
                <c:pt idx="29">
                  <c:v>44438</c:v>
                </c:pt>
                <c:pt idx="30">
                  <c:v>44439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333.27000000000004</c:v>
                </c:pt>
                <c:pt idx="1">
                  <c:v>370.3</c:v>
                </c:pt>
                <c:pt idx="2">
                  <c:v>407.33000000000004</c:v>
                </c:pt>
                <c:pt idx="3">
                  <c:v>148.4</c:v>
                </c:pt>
                <c:pt idx="4">
                  <c:v>191.99526</c:v>
                </c:pt>
                <c:pt idx="5">
                  <c:v>287.99288999999999</c:v>
                </c:pt>
                <c:pt idx="6">
                  <c:v>255.99368000000001</c:v>
                </c:pt>
                <c:pt idx="7">
                  <c:v>287.99288999999999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électr'!$C$14:$N$14</c:f>
              <c:numCache>
                <c:formatCode>General</c:formatCode>
                <c:ptCount val="12"/>
                <c:pt idx="0">
                  <c:v>239911</c:v>
                </c:pt>
                <c:pt idx="1">
                  <c:v>247692</c:v>
                </c:pt>
                <c:pt idx="2">
                  <c:v>242350</c:v>
                </c:pt>
                <c:pt idx="3">
                  <c:v>282564</c:v>
                </c:pt>
                <c:pt idx="4">
                  <c:v>272836</c:v>
                </c:pt>
                <c:pt idx="5">
                  <c:v>362809</c:v>
                </c:pt>
                <c:pt idx="6">
                  <c:v>454598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électr'!$C$18:$N$18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électr'!$C$17:$N$17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électr'!$C$24:$N$24</c:f>
              <c:numCache>
                <c:formatCode>General</c:formatCode>
                <c:ptCount val="12"/>
                <c:pt idx="0">
                  <c:v>274561.56439999997</c:v>
                </c:pt>
                <c:pt idx="1">
                  <c:v>283692.47039999999</c:v>
                </c:pt>
                <c:pt idx="2">
                  <c:v>278888.13439999998</c:v>
                </c:pt>
                <c:pt idx="3">
                  <c:v>318224.91959999996</c:v>
                </c:pt>
                <c:pt idx="4">
                  <c:v>309500.67789999995</c:v>
                </c:pt>
                <c:pt idx="5">
                  <c:v>396582.05849999998</c:v>
                </c:pt>
                <c:pt idx="6">
                  <c:v>498105.10527500004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'!$C$14:$N$14</c:f>
              <c:numCache>
                <c:formatCode>General</c:formatCode>
                <c:ptCount val="12"/>
                <c:pt idx="0">
                  <c:v>2083.1999999999971</c:v>
                </c:pt>
                <c:pt idx="1">
                  <c:v>2115.3000000000029</c:v>
                </c:pt>
                <c:pt idx="2">
                  <c:v>2406.3000000000029</c:v>
                </c:pt>
                <c:pt idx="3">
                  <c:v>2166.1999999999971</c:v>
                </c:pt>
                <c:pt idx="4">
                  <c:v>2527.1999999999971</c:v>
                </c:pt>
                <c:pt idx="5">
                  <c:v>2925.2000000000116</c:v>
                </c:pt>
                <c:pt idx="6">
                  <c:v>3819.2999999999884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'!$C$18:$N$18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'cons annuel EAU  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'!$C$24:$N$24</c:f>
              <c:numCache>
                <c:formatCode>General</c:formatCode>
                <c:ptCount val="12"/>
                <c:pt idx="0">
                  <c:v>23771.479999999963</c:v>
                </c:pt>
                <c:pt idx="1">
                  <c:v>24137.420000000031</c:v>
                </c:pt>
                <c:pt idx="2">
                  <c:v>27454.820000000029</c:v>
                </c:pt>
                <c:pt idx="3">
                  <c:v>24717.679999999964</c:v>
                </c:pt>
                <c:pt idx="4">
                  <c:v>28833.079999999962</c:v>
                </c:pt>
                <c:pt idx="5">
                  <c:v>33370.28000000013</c:v>
                </c:pt>
                <c:pt idx="6">
                  <c:v>43563.019999999866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GAZ'!$C$14:$N$14</c:f>
              <c:numCache>
                <c:formatCode>General</c:formatCode>
                <c:ptCount val="12"/>
                <c:pt idx="0">
                  <c:v>16222.314</c:v>
                </c:pt>
                <c:pt idx="1">
                  <c:v>13578.901</c:v>
                </c:pt>
                <c:pt idx="2">
                  <c:v>18500.717000000001</c:v>
                </c:pt>
                <c:pt idx="3">
                  <c:v>11555.476000000001</c:v>
                </c:pt>
                <c:pt idx="4">
                  <c:v>10801.651</c:v>
                </c:pt>
                <c:pt idx="5">
                  <c:v>13800.552000000001</c:v>
                </c:pt>
                <c:pt idx="6">
                  <c:v>9448.469000000001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GAZ'!$C$18:$N$18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GAZ'!$B$19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GAZ'!$B$24</c:f>
              <c:strCache>
                <c:ptCount val="1"/>
                <c:pt idx="0">
                  <c:v>Année 2021</c:v>
                </c:pt>
              </c:strCache>
            </c:strRef>
          </c:tx>
          <c:cat>
            <c:strRef>
              <c:f>'livraison annuel GAZ'!$C$17:$N$17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GAZ'!$C$24:$M$24</c:f>
              <c:numCache>
                <c:formatCode>General</c:formatCode>
                <c:ptCount val="11"/>
                <c:pt idx="0">
                  <c:v>175249.65814200003</c:v>
                </c:pt>
                <c:pt idx="1">
                  <c:v>133357.0288309</c:v>
                </c:pt>
                <c:pt idx="2">
                  <c:v>160956.23789999998</c:v>
                </c:pt>
                <c:pt idx="3">
                  <c:v>100532.6412</c:v>
                </c:pt>
                <c:pt idx="4">
                  <c:v>93974.363699999987</c:v>
                </c:pt>
                <c:pt idx="5">
                  <c:v>120064.8024</c:v>
                </c:pt>
                <c:pt idx="6">
                  <c:v>79461.624290000007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3</xdr:row>
      <xdr:rowOff>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952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25</xdr:row>
      <xdr:rowOff>28575</xdr:rowOff>
    </xdr:from>
    <xdr:to>
      <xdr:col>13</xdr:col>
      <xdr:colOff>447675</xdr:colOff>
      <xdr:row>46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25</xdr:row>
      <xdr:rowOff>47625</xdr:rowOff>
    </xdr:from>
    <xdr:to>
      <xdr:col>6</xdr:col>
      <xdr:colOff>638175</xdr:colOff>
      <xdr:row>46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26</xdr:row>
      <xdr:rowOff>28575</xdr:rowOff>
    </xdr:from>
    <xdr:to>
      <xdr:col>13</xdr:col>
      <xdr:colOff>981075</xdr:colOff>
      <xdr:row>49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26</xdr:row>
      <xdr:rowOff>9525</xdr:rowOff>
    </xdr:from>
    <xdr:to>
      <xdr:col>6</xdr:col>
      <xdr:colOff>238125</xdr:colOff>
      <xdr:row>49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26</xdr:row>
      <xdr:rowOff>28575</xdr:rowOff>
    </xdr:from>
    <xdr:to>
      <xdr:col>13</xdr:col>
      <xdr:colOff>1114425</xdr:colOff>
      <xdr:row>50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26</xdr:row>
      <xdr:rowOff>9525</xdr:rowOff>
    </xdr:from>
    <xdr:to>
      <xdr:col>7</xdr:col>
      <xdr:colOff>66675</xdr:colOff>
      <xdr:row>50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1"/>
  <sheetViews>
    <sheetView topLeftCell="A13" workbookViewId="0">
      <selection activeCell="E31" sqref="E31:E32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>
      <c r="A2" s="136" t="s">
        <v>13</v>
      </c>
      <c r="B2" s="140">
        <v>1</v>
      </c>
      <c r="C2" s="140">
        <v>8</v>
      </c>
      <c r="D2" s="141">
        <v>2021</v>
      </c>
      <c r="E2" s="137">
        <f>submetering!E2+submetering!F2+submetering!G2</f>
        <v>14780</v>
      </c>
      <c r="F2" s="134">
        <v>1.05</v>
      </c>
      <c r="G2" s="134">
        <f>'Consommation mensuel énergie'!V10</f>
        <v>333.27000000000004</v>
      </c>
      <c r="H2" s="134">
        <v>8.6999999999999993</v>
      </c>
      <c r="I2" s="134">
        <f>'Consommation mensuel énergie'!F10</f>
        <v>116.39999999999418</v>
      </c>
      <c r="J2" s="134">
        <v>11.4</v>
      </c>
      <c r="K2" s="137">
        <f>'Consommation mensuel énergie'!D10</f>
        <v>107</v>
      </c>
      <c r="L2" s="137">
        <f>'Consommation mensuel énergie'!E10</f>
        <v>174</v>
      </c>
      <c r="M2" s="133" t="e">
        <f>E2*F2+G2*H2+#REF!*#REF!+I2*J2</f>
        <v>#REF!</v>
      </c>
    </row>
    <row r="3" spans="1:13">
      <c r="A3" s="136" t="s">
        <v>13</v>
      </c>
      <c r="B3" s="140">
        <f>B2+1</f>
        <v>2</v>
      </c>
      <c r="C3" s="140">
        <v>8</v>
      </c>
      <c r="D3" s="141">
        <v>2021</v>
      </c>
      <c r="E3" s="137">
        <f>submetering!E3+submetering!F3+submetering!G3</f>
        <v>14060</v>
      </c>
      <c r="F3" s="134">
        <v>1.05</v>
      </c>
      <c r="G3" s="134">
        <f>'Consommation mensuel énergie'!V11</f>
        <v>370.3</v>
      </c>
      <c r="H3" s="134">
        <v>8.6999999999999993</v>
      </c>
      <c r="I3" s="134">
        <f>'Consommation mensuel énergie'!F11</f>
        <v>106.40000000000873</v>
      </c>
      <c r="J3" s="134">
        <v>11.4</v>
      </c>
      <c r="K3" s="137">
        <f>'Consommation mensuel énergie'!D11</f>
        <v>91</v>
      </c>
      <c r="L3" s="137">
        <f>'Consommation mensuel énergie'!E11</f>
        <v>155</v>
      </c>
      <c r="M3" s="133" t="e">
        <f>E3*F3+G3*H3+#REF!*#REF!+I3*J3</f>
        <v>#REF!</v>
      </c>
    </row>
    <row r="4" spans="1:13">
      <c r="A4" s="136" t="s">
        <v>13</v>
      </c>
      <c r="B4" s="140">
        <f t="shared" ref="B4:B25" si="0">B3+1</f>
        <v>3</v>
      </c>
      <c r="C4" s="140">
        <v>8</v>
      </c>
      <c r="D4" s="141">
        <v>2021</v>
      </c>
      <c r="E4" s="137">
        <f>submetering!E4+submetering!F4+submetering!G4</f>
        <v>14458</v>
      </c>
      <c r="F4" s="134">
        <v>1.05</v>
      </c>
      <c r="G4" s="134">
        <f>'Consommation mensuel énergie'!V12</f>
        <v>407.33000000000004</v>
      </c>
      <c r="H4" s="134">
        <v>8.6999999999999993</v>
      </c>
      <c r="I4" s="134">
        <f>'Consommation mensuel énergie'!F12</f>
        <v>237.59999999999127</v>
      </c>
      <c r="J4" s="134">
        <v>11.4</v>
      </c>
      <c r="K4" s="137">
        <f>'Consommation mensuel énergie'!D12</f>
        <v>84</v>
      </c>
      <c r="L4" s="137">
        <f>'Consommation mensuel énergie'!E12</f>
        <v>144</v>
      </c>
      <c r="M4" s="133" t="e">
        <f>E4*F4+G4*H4+#REF!*#REF!+I4*J4</f>
        <v>#REF!</v>
      </c>
    </row>
    <row r="5" spans="1:13">
      <c r="A5" s="136" t="s">
        <v>13</v>
      </c>
      <c r="B5" s="140">
        <f t="shared" si="0"/>
        <v>4</v>
      </c>
      <c r="C5" s="140">
        <v>8</v>
      </c>
      <c r="D5" s="141">
        <v>2021</v>
      </c>
      <c r="E5" s="137">
        <f>submetering!E5+submetering!F5+submetering!G5</f>
        <v>13923</v>
      </c>
      <c r="F5" s="134">
        <v>1.05</v>
      </c>
      <c r="G5" s="134">
        <f>'Consommation mensuel énergie'!V13</f>
        <v>148.4</v>
      </c>
      <c r="H5" s="134">
        <v>8.6999999999999993</v>
      </c>
      <c r="I5" s="134">
        <f>'Consommation mensuel énergie'!F13</f>
        <v>123.5</v>
      </c>
      <c r="J5" s="134">
        <v>11.4</v>
      </c>
      <c r="K5" s="137">
        <f>'Consommation mensuel énergie'!D13</f>
        <v>96</v>
      </c>
      <c r="L5" s="137">
        <f>'Consommation mensuel énergie'!E13</f>
        <v>152</v>
      </c>
      <c r="M5" s="133" t="e">
        <f>E5*F5+G5*H5+#REF!*#REF!+I5*J5</f>
        <v>#REF!</v>
      </c>
    </row>
    <row r="6" spans="1:13">
      <c r="A6" s="136" t="s">
        <v>13</v>
      </c>
      <c r="B6" s="140">
        <f t="shared" si="0"/>
        <v>5</v>
      </c>
      <c r="C6" s="140">
        <v>8</v>
      </c>
      <c r="D6" s="141">
        <v>2021</v>
      </c>
      <c r="E6" s="137">
        <f>submetering!E6+submetering!F6+submetering!G6</f>
        <v>15117</v>
      </c>
      <c r="F6" s="134">
        <v>1.05</v>
      </c>
      <c r="G6" s="134">
        <f>'Consommation mensuel énergie'!V14</f>
        <v>191.99526</v>
      </c>
      <c r="H6" s="134">
        <v>8.6999999999999993</v>
      </c>
      <c r="I6" s="134">
        <f>'Consommation mensuel énergie'!F14</f>
        <v>103.70000000001164</v>
      </c>
      <c r="J6" s="134">
        <v>11.4</v>
      </c>
      <c r="K6" s="137">
        <f>'Consommation mensuel énergie'!D14</f>
        <v>107</v>
      </c>
      <c r="L6" s="137">
        <f>'Consommation mensuel énergie'!E14</f>
        <v>168</v>
      </c>
      <c r="M6" s="133" t="e">
        <f>E6*F6+G6*H6+#REF!*#REF!+I6*J6</f>
        <v>#REF!</v>
      </c>
    </row>
    <row r="7" spans="1:13">
      <c r="A7" s="136" t="s">
        <v>13</v>
      </c>
      <c r="B7" s="140">
        <f t="shared" si="0"/>
        <v>6</v>
      </c>
      <c r="C7" s="140">
        <v>8</v>
      </c>
      <c r="D7" s="141">
        <v>2021</v>
      </c>
      <c r="E7" s="137">
        <f>submetering!E7+submetering!F7+submetering!G7</f>
        <v>15307</v>
      </c>
      <c r="F7" s="134">
        <v>1.05</v>
      </c>
      <c r="G7" s="134">
        <f>'Consommation mensuel énergie'!V15</f>
        <v>287.99288999999999</v>
      </c>
      <c r="H7" s="134">
        <v>8.6999999999999993</v>
      </c>
      <c r="I7" s="134">
        <f>'Consommation mensuel énergie'!F15</f>
        <v>107.09999999999127</v>
      </c>
      <c r="J7" s="134">
        <v>11.4</v>
      </c>
      <c r="K7" s="137">
        <f>'Consommation mensuel énergie'!D15</f>
        <v>98</v>
      </c>
      <c r="L7" s="137">
        <f>'Consommation mensuel énergie'!E15</f>
        <v>173</v>
      </c>
      <c r="M7" s="133" t="e">
        <f>E7*F7+G7*H7+#REF!*#REF!+I7*J7</f>
        <v>#REF!</v>
      </c>
    </row>
    <row r="8" spans="1:13">
      <c r="A8" s="136" t="s">
        <v>13</v>
      </c>
      <c r="B8" s="140">
        <f t="shared" si="0"/>
        <v>7</v>
      </c>
      <c r="C8" s="140">
        <v>8</v>
      </c>
      <c r="D8" s="141">
        <v>2021</v>
      </c>
      <c r="E8" s="137">
        <f>submetering!E8+submetering!F8+submetering!G8</f>
        <v>16467</v>
      </c>
      <c r="F8" s="134">
        <v>1.05</v>
      </c>
      <c r="G8" s="134">
        <f>'Consommation mensuel énergie'!V16</f>
        <v>255.99368000000001</v>
      </c>
      <c r="H8" s="134">
        <v>8.6999999999999993</v>
      </c>
      <c r="I8" s="134">
        <f>'Consommation mensuel énergie'!F16</f>
        <v>125.10000000000582</v>
      </c>
      <c r="J8" s="134">
        <v>11.4</v>
      </c>
      <c r="K8" s="137">
        <f>'Consommation mensuel énergie'!D16</f>
        <v>100</v>
      </c>
      <c r="L8" s="137">
        <f>'Consommation mensuel énergie'!E16</f>
        <v>182</v>
      </c>
      <c r="M8" s="133" t="e">
        <f>E8*F8+G8*H8+#REF!*#REF!+I8*J8</f>
        <v>#REF!</v>
      </c>
    </row>
    <row r="9" spans="1:13">
      <c r="A9" s="136" t="s">
        <v>13</v>
      </c>
      <c r="B9" s="140">
        <f t="shared" si="0"/>
        <v>8</v>
      </c>
      <c r="C9" s="140">
        <v>8</v>
      </c>
      <c r="D9" s="141">
        <v>2021</v>
      </c>
      <c r="E9" s="137">
        <f>submetering!E9+submetering!F9+submetering!G9</f>
        <v>14778</v>
      </c>
      <c r="F9" s="134">
        <v>1.05</v>
      </c>
      <c r="G9" s="134">
        <f>'Consommation mensuel énergie'!V17</f>
        <v>287.99288999999999</v>
      </c>
      <c r="H9" s="134">
        <v>8.6999999999999993</v>
      </c>
      <c r="I9" s="134">
        <f>'Consommation mensuel énergie'!F17</f>
        <v>117.59999999999127</v>
      </c>
      <c r="J9" s="134">
        <v>11.4</v>
      </c>
      <c r="K9" s="137">
        <f>'Consommation mensuel énergie'!D17</f>
        <v>66</v>
      </c>
      <c r="L9" s="137">
        <f>'Consommation mensuel énergie'!E17</f>
        <v>115</v>
      </c>
      <c r="M9" s="133" t="e">
        <f>E9*F9+G9*H9+#REF!*#REF!+I9*J9</f>
        <v>#REF!</v>
      </c>
    </row>
    <row r="10" spans="1:13">
      <c r="A10" s="136" t="s">
        <v>13</v>
      </c>
      <c r="B10" s="140">
        <f t="shared" si="0"/>
        <v>9</v>
      </c>
      <c r="C10" s="140">
        <v>8</v>
      </c>
      <c r="D10" s="141">
        <v>2021</v>
      </c>
      <c r="E10" s="137">
        <f>submetering!E10+submetering!F10+submetering!G10</f>
        <v>13650</v>
      </c>
      <c r="F10" s="134">
        <v>1.05</v>
      </c>
      <c r="G10" s="134">
        <f>'Consommation mensuel énergie'!V19</f>
        <v>0</v>
      </c>
      <c r="H10" s="134">
        <v>8.6999999999999993</v>
      </c>
      <c r="I10" s="134">
        <f>'Consommation mensuel énergie'!F18</f>
        <v>91.100000000005821</v>
      </c>
      <c r="J10" s="134">
        <v>11.4</v>
      </c>
      <c r="K10" s="137">
        <f>'Consommation mensuel énergie'!D18</f>
        <v>0</v>
      </c>
      <c r="L10" s="137">
        <f>'Consommation mensuel énergie'!E18</f>
        <v>0</v>
      </c>
      <c r="M10" s="133" t="e">
        <f>E10*F10+G10*H10+#REF!*#REF!+I10*J10</f>
        <v>#REF!</v>
      </c>
    </row>
    <row r="11" spans="1:13">
      <c r="A11" s="136" t="s">
        <v>13</v>
      </c>
      <c r="B11" s="140">
        <f t="shared" si="0"/>
        <v>10</v>
      </c>
      <c r="C11" s="140">
        <v>8</v>
      </c>
      <c r="D11" s="141">
        <v>2021</v>
      </c>
      <c r="E11" s="137">
        <f>submetering!E11+submetering!F11+submetering!G11</f>
        <v>0</v>
      </c>
      <c r="F11" s="134">
        <v>1.05</v>
      </c>
      <c r="G11" s="134">
        <f>'Consommation mensuel énergie'!V20</f>
        <v>0</v>
      </c>
      <c r="H11" s="134">
        <v>8.6999999999999993</v>
      </c>
      <c r="I11" s="134">
        <f>'Consommation mensuel énergie'!F19</f>
        <v>0</v>
      </c>
      <c r="J11" s="134">
        <v>11.4</v>
      </c>
      <c r="K11" s="137">
        <f>'Consommation mensuel énergie'!D19</f>
        <v>0</v>
      </c>
      <c r="L11" s="137">
        <f>'Consommation mensuel énergie'!E19</f>
        <v>0</v>
      </c>
      <c r="M11" s="133" t="e">
        <f>E11*F11+G11*H11+#REF!*#REF!+I11*J11</f>
        <v>#REF!</v>
      </c>
    </row>
    <row r="12" spans="1:13">
      <c r="A12" s="136" t="s">
        <v>13</v>
      </c>
      <c r="B12" s="140">
        <f t="shared" si="0"/>
        <v>11</v>
      </c>
      <c r="C12" s="140">
        <v>8</v>
      </c>
      <c r="D12" s="141">
        <v>2021</v>
      </c>
      <c r="E12" s="137">
        <f>submetering!E12+submetering!F12+submetering!G12</f>
        <v>0</v>
      </c>
      <c r="F12" s="134">
        <v>1.05</v>
      </c>
      <c r="G12" s="134">
        <f>'Consommation mensuel énergie'!V21</f>
        <v>0</v>
      </c>
      <c r="H12" s="134">
        <v>8.6999999999999993</v>
      </c>
      <c r="I12" s="134">
        <f>'Consommation mensuel énergie'!F20</f>
        <v>0</v>
      </c>
      <c r="J12" s="134">
        <v>11.4</v>
      </c>
      <c r="K12" s="137">
        <f>'Consommation mensuel énergie'!D20</f>
        <v>0</v>
      </c>
      <c r="L12" s="137">
        <f>'Consommation mensuel énergie'!E20</f>
        <v>0</v>
      </c>
      <c r="M12" s="133" t="e">
        <f>E12*F12+G12*H12+#REF!*#REF!+I12*J12</f>
        <v>#REF!</v>
      </c>
    </row>
    <row r="13" spans="1:13">
      <c r="A13" s="136" t="s">
        <v>13</v>
      </c>
      <c r="B13" s="140">
        <f t="shared" si="0"/>
        <v>12</v>
      </c>
      <c r="C13" s="140">
        <v>8</v>
      </c>
      <c r="D13" s="141">
        <v>2021</v>
      </c>
      <c r="E13" s="137">
        <f>submetering!E13+submetering!F13+submetering!G13</f>
        <v>0</v>
      </c>
      <c r="F13" s="134">
        <v>1.05</v>
      </c>
      <c r="G13" s="134">
        <f>'Consommation mensuel énergie'!V22</f>
        <v>0</v>
      </c>
      <c r="H13" s="134">
        <v>8.6999999999999993</v>
      </c>
      <c r="I13" s="134">
        <f>'Consommation mensuel énergie'!F21</f>
        <v>0</v>
      </c>
      <c r="J13" s="134">
        <v>11.4</v>
      </c>
      <c r="K13" s="137">
        <f>'Consommation mensuel énergie'!D21</f>
        <v>0</v>
      </c>
      <c r="L13" s="137">
        <f>'Consommation mensuel énergie'!E21</f>
        <v>0</v>
      </c>
      <c r="M13" s="133" t="e">
        <f>E13*F13+G13*H13+#REF!*#REF!+I13*J13</f>
        <v>#REF!</v>
      </c>
    </row>
    <row r="14" spans="1:13">
      <c r="A14" s="136" t="s">
        <v>13</v>
      </c>
      <c r="B14" s="140">
        <f t="shared" si="0"/>
        <v>13</v>
      </c>
      <c r="C14" s="140">
        <v>8</v>
      </c>
      <c r="D14" s="141">
        <v>2021</v>
      </c>
      <c r="E14" s="137">
        <f>submetering!E14+submetering!F14+submetering!G14</f>
        <v>0</v>
      </c>
      <c r="F14" s="134">
        <v>1.05</v>
      </c>
      <c r="G14" s="134">
        <f>'Consommation mensuel énergie'!V23</f>
        <v>0</v>
      </c>
      <c r="H14" s="134">
        <v>8.6999999999999993</v>
      </c>
      <c r="I14" s="134">
        <f>'Consommation mensuel énergie'!F22</f>
        <v>0</v>
      </c>
      <c r="J14" s="134">
        <v>11.4</v>
      </c>
      <c r="K14" s="137">
        <f>'Consommation mensuel énergie'!D22</f>
        <v>0</v>
      </c>
      <c r="L14" s="137">
        <f>'Consommation mensuel énergie'!E22</f>
        <v>0</v>
      </c>
      <c r="M14" s="133" t="e">
        <f>E14*F14+G14*H14+#REF!*#REF!+I14*J14</f>
        <v>#REF!</v>
      </c>
    </row>
    <row r="15" spans="1:13">
      <c r="A15" s="136" t="s">
        <v>13</v>
      </c>
      <c r="B15" s="140">
        <f t="shared" si="0"/>
        <v>14</v>
      </c>
      <c r="C15" s="140">
        <v>8</v>
      </c>
      <c r="D15" s="141">
        <v>2021</v>
      </c>
      <c r="E15" s="137">
        <f>submetering!E15+submetering!F15+submetering!G15</f>
        <v>0</v>
      </c>
      <c r="F15" s="134">
        <v>1.05</v>
      </c>
      <c r="G15" s="134">
        <f>'Consommation mensuel énergie'!V24</f>
        <v>0</v>
      </c>
      <c r="H15" s="134">
        <v>8.6999999999999993</v>
      </c>
      <c r="I15" s="134">
        <f>'Consommation mensuel énergie'!F23</f>
        <v>0</v>
      </c>
      <c r="J15" s="134">
        <v>11.4</v>
      </c>
      <c r="K15" s="137">
        <f>'Consommation mensuel énergie'!D23</f>
        <v>0</v>
      </c>
      <c r="L15" s="137">
        <f>'Consommation mensuel énergie'!E23</f>
        <v>0</v>
      </c>
      <c r="M15" s="133" t="e">
        <f>E15*F15+G15*H15+#REF!*#REF!+I15*J15</f>
        <v>#REF!</v>
      </c>
    </row>
    <row r="16" spans="1:13">
      <c r="A16" s="136" t="s">
        <v>13</v>
      </c>
      <c r="B16" s="140">
        <f t="shared" si="0"/>
        <v>15</v>
      </c>
      <c r="C16" s="140">
        <v>8</v>
      </c>
      <c r="D16" s="141">
        <v>2021</v>
      </c>
      <c r="E16" s="137">
        <f>submetering!E16+submetering!F16+submetering!G16</f>
        <v>0</v>
      </c>
      <c r="F16" s="134">
        <v>1.05</v>
      </c>
      <c r="G16" s="134">
        <f>'Consommation mensuel énergie'!V25</f>
        <v>0</v>
      </c>
      <c r="H16" s="134">
        <v>8.6999999999999993</v>
      </c>
      <c r="I16" s="134">
        <f>'Consommation mensuel énergie'!F24</f>
        <v>0</v>
      </c>
      <c r="J16" s="134">
        <v>11.4</v>
      </c>
      <c r="K16" s="137">
        <f>'Consommation mensuel énergie'!D24</f>
        <v>0</v>
      </c>
      <c r="L16" s="137">
        <f>'Consommation mensuel énergie'!E24</f>
        <v>0</v>
      </c>
      <c r="M16" s="133" t="e">
        <f>E16*F16+G16*H16+#REF!*#REF!+I16*J16</f>
        <v>#REF!</v>
      </c>
    </row>
    <row r="17" spans="1:13">
      <c r="A17" s="136" t="s">
        <v>13</v>
      </c>
      <c r="B17" s="140">
        <f t="shared" si="0"/>
        <v>16</v>
      </c>
      <c r="C17" s="140">
        <v>8</v>
      </c>
      <c r="D17" s="141">
        <v>2021</v>
      </c>
      <c r="E17" s="137">
        <f>submetering!E17+submetering!F17+submetering!G17</f>
        <v>0</v>
      </c>
      <c r="F17" s="134">
        <v>1.05</v>
      </c>
      <c r="G17" s="134">
        <f>'Consommation mensuel énergie'!V26</f>
        <v>0</v>
      </c>
      <c r="H17" s="134">
        <v>8.6999999999999993</v>
      </c>
      <c r="I17" s="134">
        <f>'Consommation mensuel énergie'!F25</f>
        <v>0</v>
      </c>
      <c r="J17" s="134">
        <v>11.4</v>
      </c>
      <c r="K17" s="137">
        <f>'Consommation mensuel énergie'!D25</f>
        <v>0</v>
      </c>
      <c r="L17" s="137">
        <f>'Consommation mensuel énergie'!E25</f>
        <v>0</v>
      </c>
      <c r="M17" s="133" t="e">
        <f>E17*F17+G17*H17+#REF!*#REF!+I17*J17</f>
        <v>#REF!</v>
      </c>
    </row>
    <row r="18" spans="1:13">
      <c r="A18" s="136" t="s">
        <v>13</v>
      </c>
      <c r="B18" s="140">
        <f t="shared" si="0"/>
        <v>17</v>
      </c>
      <c r="C18" s="140">
        <v>8</v>
      </c>
      <c r="D18" s="141">
        <v>2021</v>
      </c>
      <c r="E18" s="137">
        <f>submetering!E18+submetering!F18+submetering!G18</f>
        <v>0</v>
      </c>
      <c r="F18" s="134">
        <v>1.05</v>
      </c>
      <c r="G18" s="134">
        <f>'Consommation mensuel énergie'!V27</f>
        <v>0</v>
      </c>
      <c r="H18" s="134">
        <v>8.6999999999999993</v>
      </c>
      <c r="I18" s="134">
        <f>'Consommation mensuel énergie'!F26</f>
        <v>0</v>
      </c>
      <c r="J18" s="134">
        <v>11.4</v>
      </c>
      <c r="K18" s="137">
        <f>'Consommation mensuel énergie'!D26</f>
        <v>0</v>
      </c>
      <c r="L18" s="137">
        <f>'Consommation mensuel énergie'!E26</f>
        <v>0</v>
      </c>
      <c r="M18" s="133" t="e">
        <f>E18*F18+G18*H18+#REF!*#REF!+I18*J18</f>
        <v>#REF!</v>
      </c>
    </row>
    <row r="19" spans="1:13">
      <c r="A19" s="136" t="s">
        <v>13</v>
      </c>
      <c r="B19" s="140">
        <f t="shared" si="0"/>
        <v>18</v>
      </c>
      <c r="C19" s="140">
        <v>8</v>
      </c>
      <c r="D19" s="141">
        <v>2021</v>
      </c>
      <c r="E19" s="137">
        <f>submetering!E19+submetering!F19+submetering!G19</f>
        <v>0</v>
      </c>
      <c r="F19" s="134">
        <v>1.05</v>
      </c>
      <c r="G19" s="134">
        <f>'Consommation mensuel énergie'!V28</f>
        <v>0</v>
      </c>
      <c r="H19" s="134">
        <v>8.6999999999999993</v>
      </c>
      <c r="I19" s="134">
        <f>'Consommation mensuel énergie'!F27</f>
        <v>0</v>
      </c>
      <c r="J19" s="134">
        <v>11.4</v>
      </c>
      <c r="K19" s="137">
        <f>'Consommation mensuel énergie'!D27</f>
        <v>0</v>
      </c>
      <c r="L19" s="137">
        <f>'Consommation mensuel énergie'!E27</f>
        <v>0</v>
      </c>
      <c r="M19" s="133" t="e">
        <f>E19*F19+G19*H19+#REF!*#REF!+I19*J19</f>
        <v>#REF!</v>
      </c>
    </row>
    <row r="20" spans="1:13">
      <c r="A20" s="136" t="s">
        <v>13</v>
      </c>
      <c r="B20" s="140">
        <f t="shared" si="0"/>
        <v>19</v>
      </c>
      <c r="C20" s="140">
        <v>8</v>
      </c>
      <c r="D20" s="141">
        <v>2021</v>
      </c>
      <c r="E20" s="137">
        <f>submetering!E20+submetering!F20+submetering!G20</f>
        <v>0</v>
      </c>
      <c r="F20" s="134">
        <v>1.05</v>
      </c>
      <c r="G20" s="134">
        <f>'Consommation mensuel énergie'!V29</f>
        <v>0</v>
      </c>
      <c r="H20" s="134">
        <v>8.6999999999999993</v>
      </c>
      <c r="I20" s="134">
        <f>'Consommation mensuel énergie'!F28</f>
        <v>0</v>
      </c>
      <c r="J20" s="134">
        <v>11.4</v>
      </c>
      <c r="K20" s="137">
        <f>'Consommation mensuel énergie'!D28</f>
        <v>0</v>
      </c>
      <c r="L20" s="137">
        <f>'Consommation mensuel énergie'!E28</f>
        <v>0</v>
      </c>
      <c r="M20" s="133" t="e">
        <f>E20*F20+G20*H20+#REF!*#REF!+I20*J20</f>
        <v>#REF!</v>
      </c>
    </row>
    <row r="21" spans="1:13">
      <c r="A21" s="136" t="s">
        <v>13</v>
      </c>
      <c r="B21" s="140">
        <f t="shared" si="0"/>
        <v>20</v>
      </c>
      <c r="C21" s="140">
        <v>8</v>
      </c>
      <c r="D21" s="141">
        <v>2021</v>
      </c>
      <c r="E21" s="137">
        <f>submetering!E21+submetering!F21+submetering!G21</f>
        <v>0</v>
      </c>
      <c r="F21" s="134">
        <v>1.05</v>
      </c>
      <c r="G21" s="134">
        <f>'Consommation mensuel énergie'!V30</f>
        <v>0</v>
      </c>
      <c r="H21" s="134">
        <v>8.6999999999999993</v>
      </c>
      <c r="I21" s="134">
        <f>'Consommation mensuel énergie'!F29</f>
        <v>0</v>
      </c>
      <c r="J21" s="134">
        <v>11.4</v>
      </c>
      <c r="K21" s="137">
        <f>'Consommation mensuel énergie'!D29</f>
        <v>0</v>
      </c>
      <c r="L21" s="137">
        <f>'Consommation mensuel énergie'!E29</f>
        <v>0</v>
      </c>
      <c r="M21" s="133" t="e">
        <f>E21*F21+G21*H21+#REF!*#REF!+I21*J21</f>
        <v>#REF!</v>
      </c>
    </row>
    <row r="22" spans="1:13">
      <c r="A22" s="136" t="s">
        <v>13</v>
      </c>
      <c r="B22" s="140">
        <f t="shared" si="0"/>
        <v>21</v>
      </c>
      <c r="C22" s="140">
        <v>8</v>
      </c>
      <c r="D22" s="141">
        <v>2021</v>
      </c>
      <c r="E22" s="137">
        <f>submetering!E22+submetering!F22+submetering!G22</f>
        <v>0</v>
      </c>
      <c r="F22" s="134">
        <v>1.05</v>
      </c>
      <c r="G22" s="134">
        <f>'Consommation mensuel énergie'!V31</f>
        <v>0</v>
      </c>
      <c r="H22" s="134">
        <v>8.6999999999999993</v>
      </c>
      <c r="I22" s="134">
        <f>'Consommation mensuel énergie'!F30</f>
        <v>0</v>
      </c>
      <c r="J22" s="134">
        <v>11.4</v>
      </c>
      <c r="K22" s="137">
        <f>'Consommation mensuel énergie'!D30</f>
        <v>0</v>
      </c>
      <c r="L22" s="137">
        <f>'Consommation mensuel énergie'!E30</f>
        <v>0</v>
      </c>
      <c r="M22" s="133" t="e">
        <f>E22*F22+G22*H22+#REF!*#REF!+I22*J22</f>
        <v>#REF!</v>
      </c>
    </row>
    <row r="23" spans="1:13">
      <c r="A23" s="136" t="s">
        <v>13</v>
      </c>
      <c r="B23" s="140">
        <f t="shared" si="0"/>
        <v>22</v>
      </c>
      <c r="C23" s="140">
        <v>8</v>
      </c>
      <c r="D23" s="141">
        <v>2021</v>
      </c>
      <c r="E23" s="137">
        <f>submetering!E23+submetering!F23+submetering!G23</f>
        <v>0</v>
      </c>
      <c r="F23" s="134">
        <v>1.05</v>
      </c>
      <c r="G23" s="134">
        <f>'Consommation mensuel énergie'!V32</f>
        <v>0</v>
      </c>
      <c r="H23" s="134">
        <v>8.6999999999999993</v>
      </c>
      <c r="I23" s="134">
        <f>'Consommation mensuel énergie'!F31</f>
        <v>0</v>
      </c>
      <c r="J23" s="134">
        <v>11.4</v>
      </c>
      <c r="K23" s="137">
        <f>'Consommation mensuel énergie'!D31</f>
        <v>0</v>
      </c>
      <c r="L23" s="137">
        <f>'Consommation mensuel énergie'!E31</f>
        <v>0</v>
      </c>
      <c r="M23" s="133" t="e">
        <f>E23*F23+G23*H23+#REF!*#REF!+I23*J23</f>
        <v>#REF!</v>
      </c>
    </row>
    <row r="24" spans="1:13">
      <c r="A24" s="136" t="s">
        <v>13</v>
      </c>
      <c r="B24" s="140">
        <f t="shared" si="0"/>
        <v>23</v>
      </c>
      <c r="C24" s="140">
        <v>8</v>
      </c>
      <c r="D24" s="141">
        <v>2021</v>
      </c>
      <c r="E24" s="137">
        <f>submetering!E24+submetering!F24+submetering!G24</f>
        <v>0</v>
      </c>
      <c r="F24" s="134">
        <v>1.05</v>
      </c>
      <c r="G24" s="134">
        <f>'Consommation mensuel énergie'!V33</f>
        <v>0</v>
      </c>
      <c r="H24" s="134">
        <v>8.6999999999999993</v>
      </c>
      <c r="I24" s="134">
        <f>'Consommation mensuel énergie'!F32</f>
        <v>0</v>
      </c>
      <c r="J24" s="134">
        <v>11.4</v>
      </c>
      <c r="K24" s="137">
        <f>'Consommation mensuel énergie'!D32</f>
        <v>0</v>
      </c>
      <c r="L24" s="137">
        <f>'Consommation mensuel énergie'!E32</f>
        <v>0</v>
      </c>
      <c r="M24" s="133" t="e">
        <f>E24*F24+G24*H24+#REF!*#REF!+I24*J24</f>
        <v>#REF!</v>
      </c>
    </row>
    <row r="25" spans="1:13">
      <c r="A25" s="136" t="s">
        <v>13</v>
      </c>
      <c r="B25" s="140">
        <f t="shared" si="0"/>
        <v>24</v>
      </c>
      <c r="C25" s="140">
        <v>8</v>
      </c>
      <c r="D25" s="141">
        <v>2021</v>
      </c>
      <c r="E25" s="137">
        <f>submetering!E25+submetering!F25+submetering!G25</f>
        <v>0</v>
      </c>
      <c r="F25" s="134">
        <v>1.05</v>
      </c>
      <c r="G25" s="134">
        <f>'Consommation mensuel énergie'!V34</f>
        <v>0</v>
      </c>
      <c r="H25" s="134">
        <v>8.6999999999999993</v>
      </c>
      <c r="I25" s="134">
        <f>'Consommation mensuel énergie'!F33</f>
        <v>0</v>
      </c>
      <c r="J25" s="134">
        <v>11.4</v>
      </c>
      <c r="K25" s="137">
        <f>'Consommation mensuel énergie'!D33</f>
        <v>0</v>
      </c>
      <c r="L25" s="137">
        <f>'Consommation mensuel énergie'!E33</f>
        <v>0</v>
      </c>
      <c r="M25" s="133" t="e">
        <f>E25*F25+G25*H25+#REF!*#REF!+I25*J25</f>
        <v>#REF!</v>
      </c>
    </row>
    <row r="26" spans="1:13">
      <c r="A26" s="136" t="s">
        <v>13</v>
      </c>
      <c r="B26" s="140">
        <f>B25+1</f>
        <v>25</v>
      </c>
      <c r="C26" s="140">
        <v>8</v>
      </c>
      <c r="D26" s="141">
        <v>2021</v>
      </c>
      <c r="E26" s="137">
        <f>submetering!E26+submetering!F26+submetering!G26</f>
        <v>0</v>
      </c>
      <c r="F26" s="134">
        <v>1.05</v>
      </c>
      <c r="G26" s="134">
        <f>'Consommation mensuel énergie'!V35</f>
        <v>0</v>
      </c>
      <c r="H26" s="134">
        <v>8.6999999999999993</v>
      </c>
      <c r="I26" s="134">
        <f>'Consommation mensuel énergie'!F34</f>
        <v>0</v>
      </c>
      <c r="J26" s="134">
        <v>11.4</v>
      </c>
      <c r="K26" s="137">
        <f>'Consommation mensuel énergie'!D34</f>
        <v>0</v>
      </c>
      <c r="L26" s="137">
        <f>'Consommation mensuel énergie'!E34</f>
        <v>0</v>
      </c>
      <c r="M26" s="133" t="e">
        <f>E26*F26+G26*H26+#REF!*#REF!+I26*J26</f>
        <v>#REF!</v>
      </c>
    </row>
    <row r="27" spans="1:13">
      <c r="A27" s="136" t="s">
        <v>13</v>
      </c>
      <c r="B27" s="140">
        <f t="shared" ref="B27:B32" si="1">B26+1</f>
        <v>26</v>
      </c>
      <c r="C27" s="140">
        <v>8</v>
      </c>
      <c r="D27" s="141">
        <v>2021</v>
      </c>
      <c r="E27" s="137">
        <f>submetering!E27+submetering!F27+submetering!G27</f>
        <v>0</v>
      </c>
      <c r="F27" s="134">
        <v>1.05</v>
      </c>
      <c r="G27" s="134">
        <f>'Consommation mensuel énergie'!V36</f>
        <v>0</v>
      </c>
      <c r="H27" s="134">
        <v>8.6999999999999993</v>
      </c>
      <c r="I27" s="134">
        <f>'Consommation mensuel énergie'!F35</f>
        <v>0</v>
      </c>
      <c r="J27" s="134">
        <v>11.4</v>
      </c>
      <c r="K27" s="137">
        <f>'Consommation mensuel énergie'!D35</f>
        <v>0</v>
      </c>
      <c r="L27" s="137">
        <f>'Consommation mensuel énergie'!E35</f>
        <v>0</v>
      </c>
      <c r="M27" s="133"/>
    </row>
    <row r="28" spans="1:13">
      <c r="A28" s="136" t="s">
        <v>13</v>
      </c>
      <c r="B28" s="140">
        <f t="shared" si="1"/>
        <v>27</v>
      </c>
      <c r="C28" s="140">
        <v>8</v>
      </c>
      <c r="D28" s="141">
        <v>2021</v>
      </c>
      <c r="E28" s="137">
        <f>submetering!E28+submetering!F28+submetering!G28</f>
        <v>0</v>
      </c>
      <c r="F28" s="134">
        <v>1.05</v>
      </c>
      <c r="G28" s="134">
        <f>'Consommation mensuel énergie'!V37</f>
        <v>0</v>
      </c>
      <c r="H28" s="134">
        <v>8.6999999999999993</v>
      </c>
      <c r="I28" s="134">
        <f>'Consommation mensuel énergie'!F36</f>
        <v>0</v>
      </c>
      <c r="J28" s="134">
        <v>11.4</v>
      </c>
      <c r="K28" s="137">
        <f>'Consommation mensuel énergie'!D36</f>
        <v>0</v>
      </c>
      <c r="L28" s="137">
        <f>'Consommation mensuel énergie'!E36</f>
        <v>0</v>
      </c>
      <c r="M28" s="133"/>
    </row>
    <row r="29" spans="1:13">
      <c r="A29" s="136" t="s">
        <v>13</v>
      </c>
      <c r="B29" s="140">
        <f t="shared" si="1"/>
        <v>28</v>
      </c>
      <c r="C29" s="140">
        <v>8</v>
      </c>
      <c r="D29" s="141">
        <v>2021</v>
      </c>
      <c r="E29" s="137">
        <f>submetering!E29+submetering!F29+submetering!G29</f>
        <v>0</v>
      </c>
      <c r="F29" s="134">
        <v>1.05</v>
      </c>
      <c r="G29" s="134">
        <f>'Consommation mensuel énergie'!V38</f>
        <v>0</v>
      </c>
      <c r="H29" s="134">
        <v>8.6999999999999993</v>
      </c>
      <c r="I29" s="134">
        <f>'Consommation mensuel énergie'!F37</f>
        <v>0</v>
      </c>
      <c r="J29" s="134">
        <v>11.4</v>
      </c>
      <c r="K29" s="137">
        <f>'Consommation mensuel énergie'!D37</f>
        <v>0</v>
      </c>
      <c r="L29" s="137">
        <f>'Consommation mensuel énergie'!E37</f>
        <v>0</v>
      </c>
      <c r="M29" s="133"/>
    </row>
    <row r="30" spans="1:13">
      <c r="A30" s="136" t="s">
        <v>13</v>
      </c>
      <c r="B30" s="140">
        <f t="shared" si="1"/>
        <v>29</v>
      </c>
      <c r="C30" s="140">
        <v>8</v>
      </c>
      <c r="D30" s="141">
        <v>2021</v>
      </c>
      <c r="E30" s="137">
        <f>submetering!E30+submetering!F30+submetering!G30</f>
        <v>0</v>
      </c>
      <c r="F30" s="134">
        <v>1.05</v>
      </c>
      <c r="G30" s="134">
        <f>'Consommation mensuel énergie'!V40</f>
        <v>0</v>
      </c>
      <c r="H30" s="134">
        <v>8.6999999999999993</v>
      </c>
      <c r="I30" s="134">
        <f>'Consommation mensuel énergie'!F38</f>
        <v>0</v>
      </c>
      <c r="J30" s="134">
        <v>11.4</v>
      </c>
      <c r="K30" s="137">
        <f>'Consommation mensuel énergie'!D38</f>
        <v>0</v>
      </c>
      <c r="L30" s="137">
        <f>'Consommation mensuel énergie'!E38</f>
        <v>0</v>
      </c>
      <c r="M30" s="133" t="e">
        <f>E30*F30+G30*H30+#REF!*#REF!+I30*J30</f>
        <v>#REF!</v>
      </c>
    </row>
    <row r="31" spans="1:13">
      <c r="A31" s="136" t="s">
        <v>13</v>
      </c>
      <c r="B31" s="140">
        <f t="shared" si="1"/>
        <v>30</v>
      </c>
      <c r="C31" s="140">
        <v>8</v>
      </c>
      <c r="D31" s="141">
        <v>2021</v>
      </c>
      <c r="E31" s="137">
        <f>submetering!E31+submetering!F31+submetering!G31</f>
        <v>0</v>
      </c>
      <c r="F31" s="134">
        <v>1.05</v>
      </c>
      <c r="G31" s="134">
        <f>'Consommation mensuel énergie'!V41</f>
        <v>2283.2747200000003</v>
      </c>
      <c r="H31" s="134">
        <v>8.6999999999999993</v>
      </c>
      <c r="I31" s="134">
        <f>'Consommation mensuel énergie'!F40</f>
        <v>0</v>
      </c>
      <c r="J31" s="134">
        <v>11.4</v>
      </c>
      <c r="K31" s="137">
        <f>'Consommation mensuel énergie'!D40</f>
        <v>0</v>
      </c>
      <c r="L31" s="137">
        <f>'Consommation mensuel énergie'!E40</f>
        <v>0</v>
      </c>
      <c r="M31" s="133"/>
    </row>
    <row r="32" spans="1:13">
      <c r="A32" s="136" t="s">
        <v>13</v>
      </c>
      <c r="B32" s="140">
        <f t="shared" si="1"/>
        <v>31</v>
      </c>
      <c r="C32" s="140">
        <v>8</v>
      </c>
      <c r="D32" s="141">
        <v>2021</v>
      </c>
      <c r="E32" s="137">
        <f>submetering!E32+submetering!F32+submetering!G32</f>
        <v>0</v>
      </c>
      <c r="F32" s="134">
        <v>1.05</v>
      </c>
      <c r="G32" s="134">
        <f>'Consommation mensuel énergie'!V42</f>
        <v>0</v>
      </c>
      <c r="H32" s="134">
        <v>8.6999999999999993</v>
      </c>
      <c r="I32" s="134">
        <f>'Consommation mensuel énergie'!F41</f>
        <v>1128.5</v>
      </c>
      <c r="J32" s="134">
        <v>11.4</v>
      </c>
      <c r="K32" s="137">
        <f>'Consommation mensuel énergie'!D41</f>
        <v>749</v>
      </c>
      <c r="L32" s="137">
        <f>'Consommation mensuel énergie'!E41</f>
        <v>1263</v>
      </c>
      <c r="M32" s="133"/>
    </row>
    <row r="33" spans="1:13">
      <c r="A33" s="136"/>
      <c r="F33" s="134"/>
      <c r="G33" s="134"/>
      <c r="H33" s="134"/>
      <c r="I33" s="134"/>
      <c r="J33" s="134"/>
      <c r="M33" s="133"/>
    </row>
    <row r="34" spans="1:13">
      <c r="A34" s="136"/>
      <c r="F34" s="134"/>
      <c r="G34" s="134"/>
      <c r="H34" s="134"/>
      <c r="I34" s="134"/>
      <c r="J34" s="134"/>
      <c r="M34" s="133"/>
    </row>
    <row r="35" spans="1:13">
      <c r="A35" s="169"/>
      <c r="F35" s="134"/>
      <c r="G35" s="134"/>
      <c r="H35" s="134"/>
      <c r="I35" s="134"/>
      <c r="J35" s="134"/>
    </row>
    <row r="36" spans="1:13">
      <c r="A36" s="169"/>
      <c r="F36" s="134"/>
      <c r="G36" s="134"/>
      <c r="H36" s="134"/>
      <c r="I36" s="134"/>
      <c r="J36" s="134"/>
    </row>
    <row r="37" spans="1:13">
      <c r="A37" s="169"/>
      <c r="F37" s="134"/>
      <c r="G37" s="134"/>
      <c r="H37" s="134"/>
      <c r="I37" s="134"/>
      <c r="J37" s="134"/>
    </row>
    <row r="38" spans="1:13">
      <c r="A38" s="169"/>
      <c r="F38" s="134"/>
      <c r="G38" s="134"/>
      <c r="H38" s="134"/>
      <c r="I38" s="134"/>
      <c r="J38" s="134"/>
    </row>
    <row r="39" spans="1:13">
      <c r="A39" s="169"/>
      <c r="F39" s="134"/>
      <c r="G39" s="134"/>
      <c r="H39" s="134"/>
      <c r="I39" s="134"/>
      <c r="J39" s="134"/>
    </row>
    <row r="40" spans="1:13">
      <c r="A40" s="169"/>
      <c r="F40" s="134"/>
      <c r="G40" s="134"/>
      <c r="H40" s="134"/>
      <c r="I40" s="134"/>
      <c r="J40" s="134"/>
    </row>
    <row r="41" spans="1:13">
      <c r="A41" s="169"/>
      <c r="F41" s="134"/>
      <c r="G41" s="134"/>
      <c r="H41" s="134"/>
      <c r="I41" s="134"/>
      <c r="J41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9"/>
  <sheetViews>
    <sheetView workbookViewId="0">
      <selection activeCell="E15" sqref="E15"/>
    </sheetView>
  </sheetViews>
  <sheetFormatPr defaultColWidth="8.85546875" defaultRowHeight="12.75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>
      <c r="A2" s="136" t="s">
        <v>13</v>
      </c>
      <c r="B2" s="140">
        <v>1</v>
      </c>
      <c r="C2" s="140">
        <v>8</v>
      </c>
      <c r="D2" s="141">
        <v>2021</v>
      </c>
      <c r="E2" s="137">
        <f>'Consommation mensuel énergie'!L10</f>
        <v>3789</v>
      </c>
      <c r="F2" s="137">
        <f>'Consommation mensuel énergie'!M10</f>
        <v>8010</v>
      </c>
      <c r="G2" s="137">
        <f>'Consommation mensuel énergie'!N10</f>
        <v>2981</v>
      </c>
      <c r="H2" s="137">
        <f>'Consommation mensuel énergie'!D10</f>
        <v>107</v>
      </c>
      <c r="I2" s="137">
        <f>'Consommation mensuel énergie'!E10</f>
        <v>174</v>
      </c>
      <c r="J2" s="133" t="e">
        <f>E2*F2+G2*#REF!+#REF!*#REF!+#REF!*#REF!</f>
        <v>#REF!</v>
      </c>
    </row>
    <row r="3" spans="1:10">
      <c r="A3" s="136" t="s">
        <v>13</v>
      </c>
      <c r="B3" s="140">
        <f>B2+1</f>
        <v>2</v>
      </c>
      <c r="C3" s="140">
        <v>8</v>
      </c>
      <c r="D3" s="141">
        <v>2021</v>
      </c>
      <c r="E3" s="137">
        <f>'Consommation mensuel énergie'!L11</f>
        <v>3323</v>
      </c>
      <c r="F3" s="137">
        <f>'Consommation mensuel énergie'!M11</f>
        <v>7812</v>
      </c>
      <c r="G3" s="137">
        <f>'Consommation mensuel énergie'!N14</f>
        <v>2925</v>
      </c>
      <c r="H3" s="137">
        <f>'Consommation mensuel énergie'!D11</f>
        <v>91</v>
      </c>
      <c r="I3" s="137">
        <f>'Consommation mensuel énergie'!E11</f>
        <v>155</v>
      </c>
      <c r="J3" s="133" t="e">
        <f>E3*F3+G3*#REF!+#REF!*#REF!+#REF!*#REF!</f>
        <v>#REF!</v>
      </c>
    </row>
    <row r="4" spans="1:10">
      <c r="A4" s="136" t="s">
        <v>13</v>
      </c>
      <c r="B4" s="140">
        <f t="shared" ref="B4:B25" si="0">B3+1</f>
        <v>3</v>
      </c>
      <c r="C4" s="140">
        <v>8</v>
      </c>
      <c r="D4" s="141">
        <v>2021</v>
      </c>
      <c r="E4" s="137">
        <f>'Consommation mensuel énergie'!L12</f>
        <v>3355</v>
      </c>
      <c r="F4" s="137">
        <f>'Consommation mensuel énergie'!M12</f>
        <v>7827</v>
      </c>
      <c r="G4" s="137">
        <f>'Consommation mensuel énergie'!N12</f>
        <v>3276</v>
      </c>
      <c r="H4" s="137">
        <f>'Consommation mensuel énergie'!D12</f>
        <v>84</v>
      </c>
      <c r="I4" s="137">
        <f>'Consommation mensuel énergie'!E12</f>
        <v>144</v>
      </c>
      <c r="J4" s="133" t="e">
        <f>E4*F4+G4*#REF!+#REF!*#REF!+#REF!*#REF!</f>
        <v>#REF!</v>
      </c>
    </row>
    <row r="5" spans="1:10">
      <c r="A5" s="136" t="s">
        <v>13</v>
      </c>
      <c r="B5" s="140">
        <f t="shared" si="0"/>
        <v>4</v>
      </c>
      <c r="C5" s="140">
        <v>8</v>
      </c>
      <c r="D5" s="141">
        <v>2021</v>
      </c>
      <c r="E5" s="137">
        <f>'Consommation mensuel énergie'!L13</f>
        <v>3228</v>
      </c>
      <c r="F5" s="137">
        <f>'Consommation mensuel énergie'!M13</f>
        <v>7581</v>
      </c>
      <c r="G5" s="137">
        <f>'Consommation mensuel énergie'!N13</f>
        <v>3114</v>
      </c>
      <c r="H5" s="137">
        <f>'Consommation mensuel énergie'!D13</f>
        <v>96</v>
      </c>
      <c r="I5" s="137">
        <f>'Consommation mensuel énergie'!E13</f>
        <v>152</v>
      </c>
      <c r="J5" s="133" t="e">
        <f>E5*F5+G5*#REF!+#REF!*#REF!+#REF!*#REF!</f>
        <v>#REF!</v>
      </c>
    </row>
    <row r="6" spans="1:10">
      <c r="A6" s="136" t="s">
        <v>13</v>
      </c>
      <c r="B6" s="140">
        <f t="shared" si="0"/>
        <v>5</v>
      </c>
      <c r="C6" s="140">
        <v>8</v>
      </c>
      <c r="D6" s="141">
        <v>2021</v>
      </c>
      <c r="E6" s="137">
        <f>'Consommation mensuel énergie'!L14</f>
        <v>4251</v>
      </c>
      <c r="F6" s="137">
        <f>'Consommation mensuel énergie'!M14</f>
        <v>7941</v>
      </c>
      <c r="G6" s="137">
        <f>'Consommation mensuel énergie'!N14</f>
        <v>2925</v>
      </c>
      <c r="H6" s="137">
        <f>'Consommation mensuel énergie'!D14</f>
        <v>107</v>
      </c>
      <c r="I6" s="137">
        <f>'Consommation mensuel énergie'!E14</f>
        <v>168</v>
      </c>
      <c r="J6" s="133" t="e">
        <f>E6*F6+G6*#REF!+#REF!*#REF!+#REF!*#REF!</f>
        <v>#REF!</v>
      </c>
    </row>
    <row r="7" spans="1:10">
      <c r="A7" s="136" t="s">
        <v>13</v>
      </c>
      <c r="B7" s="140">
        <f t="shared" si="0"/>
        <v>6</v>
      </c>
      <c r="C7" s="140">
        <v>8</v>
      </c>
      <c r="D7" s="141">
        <v>2021</v>
      </c>
      <c r="E7" s="137">
        <f>'Consommation mensuel énergie'!L15</f>
        <v>3759</v>
      </c>
      <c r="F7" s="137">
        <f>'Consommation mensuel énergie'!M15</f>
        <v>8185</v>
      </c>
      <c r="G7" s="137">
        <f>'Consommation mensuel énergie'!N15</f>
        <v>3363</v>
      </c>
      <c r="H7" s="137">
        <f>'Consommation mensuel énergie'!D15</f>
        <v>98</v>
      </c>
      <c r="I7" s="137">
        <f>'Consommation mensuel énergie'!E15</f>
        <v>173</v>
      </c>
      <c r="J7" s="133" t="e">
        <f>E7*F7+G7*#REF!+#REF!*#REF!+#REF!*#REF!</f>
        <v>#REF!</v>
      </c>
    </row>
    <row r="8" spans="1:10">
      <c r="A8" s="136" t="s">
        <v>13</v>
      </c>
      <c r="B8" s="140">
        <f t="shared" si="0"/>
        <v>7</v>
      </c>
      <c r="C8" s="140">
        <v>8</v>
      </c>
      <c r="D8" s="141">
        <v>2021</v>
      </c>
      <c r="E8" s="137">
        <f>'Consommation mensuel énergie'!L16</f>
        <v>4155</v>
      </c>
      <c r="F8" s="137">
        <f>'Consommation mensuel énergie'!M16</f>
        <v>8948</v>
      </c>
      <c r="G8" s="137">
        <f>'Consommation mensuel énergie'!N16</f>
        <v>3364</v>
      </c>
      <c r="H8" s="137">
        <f>'Consommation mensuel énergie'!D16</f>
        <v>100</v>
      </c>
      <c r="I8" s="137">
        <f>'Consommation mensuel énergie'!E16</f>
        <v>182</v>
      </c>
      <c r="J8" s="133" t="e">
        <f>E8*F8+G8*#REF!+#REF!*#REF!+#REF!*#REF!</f>
        <v>#REF!</v>
      </c>
    </row>
    <row r="9" spans="1:10">
      <c r="A9" s="136" t="s">
        <v>13</v>
      </c>
      <c r="B9" s="140">
        <f t="shared" si="0"/>
        <v>8</v>
      </c>
      <c r="C9" s="140">
        <v>8</v>
      </c>
      <c r="D9" s="141">
        <v>2021</v>
      </c>
      <c r="E9" s="137">
        <f>'Consommation mensuel énergie'!L17</f>
        <v>3897</v>
      </c>
      <c r="F9" s="137">
        <f>'Consommation mensuel énergie'!M17</f>
        <v>8099</v>
      </c>
      <c r="G9" s="137">
        <f>'Consommation mensuel énergie'!N17</f>
        <v>2782</v>
      </c>
      <c r="H9" s="137">
        <f>'Consommation mensuel énergie'!D17</f>
        <v>66</v>
      </c>
      <c r="I9" s="137">
        <f>'Consommation mensuel énergie'!E17</f>
        <v>115</v>
      </c>
      <c r="J9" s="133" t="e">
        <f>E9*F9+G9*#REF!+#REF!*#REF!+#REF!*#REF!</f>
        <v>#REF!</v>
      </c>
    </row>
    <row r="10" spans="1:10">
      <c r="A10" s="136" t="s">
        <v>13</v>
      </c>
      <c r="B10" s="140">
        <f t="shared" si="0"/>
        <v>9</v>
      </c>
      <c r="C10" s="140">
        <v>8</v>
      </c>
      <c r="D10" s="141">
        <v>2021</v>
      </c>
      <c r="E10" s="137">
        <f>'Consommation mensuel énergie'!L18</f>
        <v>3560</v>
      </c>
      <c r="F10" s="137">
        <f>'Consommation mensuel énergie'!M18</f>
        <v>7480</v>
      </c>
      <c r="G10" s="137">
        <f>'Consommation mensuel énergie'!N18</f>
        <v>2610</v>
      </c>
      <c r="H10" s="137">
        <f>'Consommation mensuel énergie'!D18</f>
        <v>0</v>
      </c>
      <c r="I10" s="137">
        <f>'Consommation mensuel énergie'!E18</f>
        <v>0</v>
      </c>
      <c r="J10" s="133" t="e">
        <f>E10*F10+G10*#REF!+#REF!*#REF!+#REF!*#REF!</f>
        <v>#REF!</v>
      </c>
    </row>
    <row r="11" spans="1:10">
      <c r="A11" s="136" t="s">
        <v>13</v>
      </c>
      <c r="B11" s="140">
        <f t="shared" si="0"/>
        <v>10</v>
      </c>
      <c r="C11" s="140">
        <v>8</v>
      </c>
      <c r="D11" s="141">
        <v>2021</v>
      </c>
      <c r="E11" s="137">
        <f>'Consommation mensuel énergie'!L19</f>
        <v>0</v>
      </c>
      <c r="F11" s="137">
        <f>'Consommation mensuel énergie'!M19</f>
        <v>0</v>
      </c>
      <c r="G11" s="137">
        <f>'Consommation mensuel énergie'!N19</f>
        <v>0</v>
      </c>
      <c r="H11" s="137">
        <f>'Consommation mensuel énergie'!D19</f>
        <v>0</v>
      </c>
      <c r="I11" s="137">
        <f>'Consommation mensuel énergie'!E19</f>
        <v>0</v>
      </c>
      <c r="J11" s="133" t="e">
        <f>E11*F11+G11*#REF!+#REF!*#REF!+#REF!*#REF!</f>
        <v>#REF!</v>
      </c>
    </row>
    <row r="12" spans="1:10">
      <c r="A12" s="136" t="s">
        <v>13</v>
      </c>
      <c r="B12" s="140">
        <f t="shared" si="0"/>
        <v>11</v>
      </c>
      <c r="C12" s="140">
        <v>8</v>
      </c>
      <c r="D12" s="141">
        <v>2021</v>
      </c>
      <c r="E12" s="137">
        <f>'Consommation mensuel énergie'!L20</f>
        <v>0</v>
      </c>
      <c r="F12" s="137">
        <f>'Consommation mensuel énergie'!M20</f>
        <v>0</v>
      </c>
      <c r="G12" s="137">
        <f>'Consommation mensuel énergie'!N20</f>
        <v>0</v>
      </c>
      <c r="H12" s="137">
        <f>'Consommation mensuel énergie'!D20</f>
        <v>0</v>
      </c>
      <c r="I12" s="137">
        <f>'Consommation mensuel énergie'!E20</f>
        <v>0</v>
      </c>
      <c r="J12" s="133" t="e">
        <f>E12*F12+G12*#REF!+#REF!*#REF!+#REF!*#REF!</f>
        <v>#REF!</v>
      </c>
    </row>
    <row r="13" spans="1:10">
      <c r="A13" s="136" t="s">
        <v>13</v>
      </c>
      <c r="B13" s="140">
        <f t="shared" si="0"/>
        <v>12</v>
      </c>
      <c r="C13" s="140">
        <v>8</v>
      </c>
      <c r="D13" s="141">
        <v>2021</v>
      </c>
      <c r="E13" s="137">
        <f>'Consommation mensuel énergie'!L21</f>
        <v>0</v>
      </c>
      <c r="F13" s="137">
        <f>'Consommation mensuel énergie'!M21</f>
        <v>0</v>
      </c>
      <c r="G13" s="137">
        <f>'Consommation mensuel énergie'!N21</f>
        <v>0</v>
      </c>
      <c r="H13" s="137">
        <f>'Consommation mensuel énergie'!D21</f>
        <v>0</v>
      </c>
      <c r="I13" s="137">
        <f>'Consommation mensuel énergie'!E21</f>
        <v>0</v>
      </c>
      <c r="J13" s="133" t="e">
        <f>E13*F13+G13*#REF!+#REF!*#REF!+#REF!*#REF!</f>
        <v>#REF!</v>
      </c>
    </row>
    <row r="14" spans="1:10">
      <c r="A14" s="136" t="s">
        <v>13</v>
      </c>
      <c r="B14" s="140">
        <f t="shared" si="0"/>
        <v>13</v>
      </c>
      <c r="C14" s="140">
        <v>8</v>
      </c>
      <c r="D14" s="141">
        <v>2021</v>
      </c>
      <c r="E14" s="137">
        <f>'Consommation mensuel énergie'!L22</f>
        <v>0</v>
      </c>
      <c r="F14" s="137">
        <f>'Consommation mensuel énergie'!M22</f>
        <v>0</v>
      </c>
      <c r="G14" s="137">
        <f>'Consommation mensuel énergie'!N22</f>
        <v>0</v>
      </c>
      <c r="H14" s="137">
        <f>'Consommation mensuel énergie'!D22</f>
        <v>0</v>
      </c>
      <c r="I14" s="137">
        <f>'Consommation mensuel énergie'!E22</f>
        <v>0</v>
      </c>
      <c r="J14" s="133" t="e">
        <f>E14*F14+G14*#REF!+#REF!*#REF!+#REF!*#REF!</f>
        <v>#REF!</v>
      </c>
    </row>
    <row r="15" spans="1:10">
      <c r="A15" s="136" t="s">
        <v>13</v>
      </c>
      <c r="B15" s="140">
        <f t="shared" si="0"/>
        <v>14</v>
      </c>
      <c r="C15" s="140">
        <v>8</v>
      </c>
      <c r="D15" s="141">
        <v>2021</v>
      </c>
      <c r="E15" s="137">
        <f>'Consommation mensuel énergie'!L23</f>
        <v>0</v>
      </c>
      <c r="F15" s="137">
        <f>'Consommation mensuel énergie'!M23</f>
        <v>0</v>
      </c>
      <c r="G15" s="137">
        <f>'Consommation mensuel énergie'!N23</f>
        <v>0</v>
      </c>
      <c r="H15" s="137">
        <f>'Consommation mensuel énergie'!D23</f>
        <v>0</v>
      </c>
      <c r="I15" s="137">
        <f>'Consommation mensuel énergie'!E23</f>
        <v>0</v>
      </c>
      <c r="J15" s="133" t="e">
        <f>E15*F15+G15*#REF!+#REF!*#REF!+#REF!*#REF!</f>
        <v>#REF!</v>
      </c>
    </row>
    <row r="16" spans="1:10">
      <c r="A16" s="136" t="s">
        <v>13</v>
      </c>
      <c r="B16" s="140">
        <f t="shared" si="0"/>
        <v>15</v>
      </c>
      <c r="C16" s="140">
        <v>8</v>
      </c>
      <c r="D16" s="141">
        <v>2021</v>
      </c>
      <c r="E16" s="137">
        <f>'Consommation mensuel énergie'!L24</f>
        <v>0</v>
      </c>
      <c r="F16" s="137">
        <f>'Consommation mensuel énergie'!M24</f>
        <v>0</v>
      </c>
      <c r="G16" s="137">
        <f>'Consommation mensuel énergie'!N24</f>
        <v>0</v>
      </c>
      <c r="H16" s="137">
        <f>'Consommation mensuel énergie'!D24</f>
        <v>0</v>
      </c>
      <c r="I16" s="137">
        <f>'Consommation mensuel énergie'!E24</f>
        <v>0</v>
      </c>
      <c r="J16" s="133" t="e">
        <f>E16*F16+G16*#REF!+#REF!*#REF!+#REF!*#REF!</f>
        <v>#REF!</v>
      </c>
    </row>
    <row r="17" spans="1:10">
      <c r="A17" s="136" t="s">
        <v>13</v>
      </c>
      <c r="B17" s="140">
        <f t="shared" si="0"/>
        <v>16</v>
      </c>
      <c r="C17" s="140">
        <v>8</v>
      </c>
      <c r="D17" s="141">
        <v>2021</v>
      </c>
      <c r="E17" s="137">
        <f>'Consommation mensuel énergie'!L25</f>
        <v>0</v>
      </c>
      <c r="F17" s="137">
        <f>'Consommation mensuel énergie'!M25</f>
        <v>0</v>
      </c>
      <c r="G17" s="137">
        <f>'Consommation mensuel énergie'!N25</f>
        <v>0</v>
      </c>
      <c r="H17" s="137">
        <f>'Consommation mensuel énergie'!D25</f>
        <v>0</v>
      </c>
      <c r="I17" s="137">
        <f>'Consommation mensuel énergie'!E25</f>
        <v>0</v>
      </c>
      <c r="J17" s="133" t="e">
        <f>E17*F17+G17*#REF!+#REF!*#REF!+#REF!*#REF!</f>
        <v>#REF!</v>
      </c>
    </row>
    <row r="18" spans="1:10">
      <c r="A18" s="136" t="s">
        <v>13</v>
      </c>
      <c r="B18" s="140">
        <f t="shared" si="0"/>
        <v>17</v>
      </c>
      <c r="C18" s="140">
        <v>8</v>
      </c>
      <c r="D18" s="141">
        <v>2021</v>
      </c>
      <c r="E18" s="137">
        <f>'Consommation mensuel énergie'!L26</f>
        <v>0</v>
      </c>
      <c r="F18" s="137">
        <f>'Consommation mensuel énergie'!M26</f>
        <v>0</v>
      </c>
      <c r="G18" s="137">
        <f>'Consommation mensuel énergie'!N26</f>
        <v>0</v>
      </c>
      <c r="H18" s="137">
        <f>'Consommation mensuel énergie'!D26</f>
        <v>0</v>
      </c>
      <c r="I18" s="137">
        <f>'Consommation mensuel énergie'!E26</f>
        <v>0</v>
      </c>
      <c r="J18" s="133" t="e">
        <f>E18*F18+G18*#REF!+#REF!*#REF!+#REF!*#REF!</f>
        <v>#REF!</v>
      </c>
    </row>
    <row r="19" spans="1:10">
      <c r="A19" s="136" t="s">
        <v>13</v>
      </c>
      <c r="B19" s="140">
        <f t="shared" si="0"/>
        <v>18</v>
      </c>
      <c r="C19" s="140">
        <v>8</v>
      </c>
      <c r="D19" s="141">
        <v>2021</v>
      </c>
      <c r="E19" s="137">
        <f>'Consommation mensuel énergie'!L27</f>
        <v>0</v>
      </c>
      <c r="F19" s="137">
        <f>'Consommation mensuel énergie'!M27</f>
        <v>0</v>
      </c>
      <c r="G19" s="137">
        <f>'Consommation mensuel énergie'!N27</f>
        <v>0</v>
      </c>
      <c r="H19" s="137">
        <f>'Consommation mensuel énergie'!D27</f>
        <v>0</v>
      </c>
      <c r="I19" s="137">
        <f>'Consommation mensuel énergie'!E27</f>
        <v>0</v>
      </c>
      <c r="J19" s="133" t="e">
        <f>E19*F19+G19*#REF!+#REF!*#REF!+#REF!*#REF!</f>
        <v>#REF!</v>
      </c>
    </row>
    <row r="20" spans="1:10">
      <c r="A20" s="136" t="s">
        <v>13</v>
      </c>
      <c r="B20" s="140">
        <f t="shared" si="0"/>
        <v>19</v>
      </c>
      <c r="C20" s="140">
        <v>8</v>
      </c>
      <c r="D20" s="141">
        <v>2021</v>
      </c>
      <c r="E20" s="137">
        <f>'Consommation mensuel énergie'!L28</f>
        <v>0</v>
      </c>
      <c r="F20" s="137">
        <f>'Consommation mensuel énergie'!M28</f>
        <v>0</v>
      </c>
      <c r="G20" s="137">
        <f>'Consommation mensuel énergie'!N28</f>
        <v>0</v>
      </c>
      <c r="H20" s="137">
        <f>'Consommation mensuel énergie'!D28</f>
        <v>0</v>
      </c>
      <c r="I20" s="137">
        <f>'Consommation mensuel énergie'!E28</f>
        <v>0</v>
      </c>
      <c r="J20" s="133" t="e">
        <f>E20*F20+G20*#REF!+#REF!*#REF!+#REF!*#REF!</f>
        <v>#REF!</v>
      </c>
    </row>
    <row r="21" spans="1:10">
      <c r="A21" s="136" t="s">
        <v>13</v>
      </c>
      <c r="B21" s="140">
        <f t="shared" si="0"/>
        <v>20</v>
      </c>
      <c r="C21" s="140">
        <v>8</v>
      </c>
      <c r="D21" s="141">
        <v>2021</v>
      </c>
      <c r="E21" s="137">
        <f>'Consommation mensuel énergie'!L29</f>
        <v>0</v>
      </c>
      <c r="F21" s="137">
        <f>'Consommation mensuel énergie'!M29</f>
        <v>0</v>
      </c>
      <c r="G21" s="137">
        <f>'Consommation mensuel énergie'!N29</f>
        <v>0</v>
      </c>
      <c r="H21" s="137">
        <f>'Consommation mensuel énergie'!D29</f>
        <v>0</v>
      </c>
      <c r="I21" s="137">
        <f>'Consommation mensuel énergie'!E29</f>
        <v>0</v>
      </c>
      <c r="J21" s="133" t="e">
        <f>E21*F21+G21*#REF!+#REF!*#REF!+#REF!*#REF!</f>
        <v>#REF!</v>
      </c>
    </row>
    <row r="22" spans="1:10">
      <c r="A22" s="136" t="s">
        <v>13</v>
      </c>
      <c r="B22" s="140">
        <f t="shared" si="0"/>
        <v>21</v>
      </c>
      <c r="C22" s="140">
        <v>8</v>
      </c>
      <c r="D22" s="141">
        <v>2021</v>
      </c>
      <c r="E22" s="137">
        <f>'Consommation mensuel énergie'!L30</f>
        <v>0</v>
      </c>
      <c r="F22" s="137">
        <f>'Consommation mensuel énergie'!M30</f>
        <v>0</v>
      </c>
      <c r="G22" s="137">
        <f>'Consommation mensuel énergie'!N30</f>
        <v>0</v>
      </c>
      <c r="H22" s="137">
        <f>'Consommation mensuel énergie'!D30</f>
        <v>0</v>
      </c>
      <c r="I22" s="137">
        <f>'Consommation mensuel énergie'!E30</f>
        <v>0</v>
      </c>
      <c r="J22" s="133" t="e">
        <f>E22*F22+G22*#REF!+#REF!*#REF!+#REF!*#REF!</f>
        <v>#REF!</v>
      </c>
    </row>
    <row r="23" spans="1:10">
      <c r="A23" s="136" t="s">
        <v>13</v>
      </c>
      <c r="B23" s="140">
        <f t="shared" si="0"/>
        <v>22</v>
      </c>
      <c r="C23" s="140">
        <v>8</v>
      </c>
      <c r="D23" s="141">
        <v>2021</v>
      </c>
      <c r="E23" s="137">
        <f>'Consommation mensuel énergie'!L31</f>
        <v>0</v>
      </c>
      <c r="F23" s="137">
        <f>'Consommation mensuel énergie'!M31</f>
        <v>0</v>
      </c>
      <c r="G23" s="137">
        <f>'Consommation mensuel énergie'!N31</f>
        <v>0</v>
      </c>
      <c r="H23" s="137">
        <f>'Consommation mensuel énergie'!D31</f>
        <v>0</v>
      </c>
      <c r="I23" s="137">
        <f>'Consommation mensuel énergie'!E31</f>
        <v>0</v>
      </c>
      <c r="J23" s="133" t="e">
        <f>E23*F23+G23*#REF!+#REF!*#REF!+#REF!*#REF!</f>
        <v>#REF!</v>
      </c>
    </row>
    <row r="24" spans="1:10">
      <c r="A24" s="136" t="s">
        <v>13</v>
      </c>
      <c r="B24" s="140">
        <f t="shared" si="0"/>
        <v>23</v>
      </c>
      <c r="C24" s="140">
        <v>8</v>
      </c>
      <c r="D24" s="141">
        <v>2021</v>
      </c>
      <c r="E24" s="137">
        <f>'Consommation mensuel énergie'!L32</f>
        <v>0</v>
      </c>
      <c r="F24" s="137">
        <f>'Consommation mensuel énergie'!M32</f>
        <v>0</v>
      </c>
      <c r="G24" s="137">
        <f>'Consommation mensuel énergie'!N32</f>
        <v>0</v>
      </c>
      <c r="H24" s="137">
        <f>'Consommation mensuel énergie'!D32</f>
        <v>0</v>
      </c>
      <c r="I24" s="137">
        <f>'Consommation mensuel énergie'!E32</f>
        <v>0</v>
      </c>
      <c r="J24" s="133" t="e">
        <f>E24*F24+G24*#REF!+#REF!*#REF!+#REF!*#REF!</f>
        <v>#REF!</v>
      </c>
    </row>
    <row r="25" spans="1:10">
      <c r="A25" s="136" t="s">
        <v>13</v>
      </c>
      <c r="B25" s="140">
        <f t="shared" si="0"/>
        <v>24</v>
      </c>
      <c r="C25" s="140">
        <v>8</v>
      </c>
      <c r="D25" s="141">
        <v>2021</v>
      </c>
      <c r="E25" s="137">
        <f>'Consommation mensuel énergie'!L33</f>
        <v>0</v>
      </c>
      <c r="F25" s="137">
        <f>'Consommation mensuel énergie'!M33</f>
        <v>0</v>
      </c>
      <c r="G25" s="137">
        <f>'Consommation mensuel énergie'!N33</f>
        <v>0</v>
      </c>
      <c r="H25" s="137">
        <f>'Consommation mensuel énergie'!D33</f>
        <v>0</v>
      </c>
      <c r="I25" s="137">
        <f>'Consommation mensuel énergie'!E33</f>
        <v>0</v>
      </c>
      <c r="J25" s="133" t="e">
        <f>E25*F25+G25*#REF!+#REF!*#REF!+#REF!*#REF!</f>
        <v>#REF!</v>
      </c>
    </row>
    <row r="26" spans="1:10">
      <c r="A26" s="136" t="s">
        <v>13</v>
      </c>
      <c r="B26" s="140">
        <f>B25+1</f>
        <v>25</v>
      </c>
      <c r="C26" s="140">
        <v>8</v>
      </c>
      <c r="D26" s="141">
        <v>2021</v>
      </c>
      <c r="E26" s="137">
        <f>'Consommation mensuel énergie'!L34</f>
        <v>0</v>
      </c>
      <c r="F26" s="137">
        <f>'Consommation mensuel énergie'!M34</f>
        <v>0</v>
      </c>
      <c r="G26" s="137">
        <f>'Consommation mensuel énergie'!N34</f>
        <v>0</v>
      </c>
      <c r="H26" s="137">
        <f>'Consommation mensuel énergie'!D34</f>
        <v>0</v>
      </c>
      <c r="I26" s="137">
        <f>'Consommation mensuel énergie'!E34</f>
        <v>0</v>
      </c>
      <c r="J26" s="133" t="e">
        <f>E26*F26+G26*#REF!+#REF!*#REF!+#REF!*#REF!</f>
        <v>#REF!</v>
      </c>
    </row>
    <row r="27" spans="1:10">
      <c r="A27" s="136" t="s">
        <v>13</v>
      </c>
      <c r="B27" s="140">
        <f t="shared" ref="B27:B32" si="1">B26+1</f>
        <v>26</v>
      </c>
      <c r="C27" s="140">
        <v>8</v>
      </c>
      <c r="D27" s="141">
        <v>2021</v>
      </c>
      <c r="E27" s="137">
        <f>'Consommation mensuel énergie'!L35</f>
        <v>0</v>
      </c>
      <c r="F27" s="137">
        <f>'Consommation mensuel énergie'!M35</f>
        <v>0</v>
      </c>
      <c r="G27" s="137">
        <f>'Consommation mensuel énergie'!N35</f>
        <v>0</v>
      </c>
      <c r="H27" s="137">
        <f>'Consommation mensuel énergie'!D35</f>
        <v>0</v>
      </c>
      <c r="I27" s="137">
        <f>'Consommation mensuel énergie'!E35</f>
        <v>0</v>
      </c>
      <c r="J27" s="133"/>
    </row>
    <row r="28" spans="1:10">
      <c r="A28" s="136" t="s">
        <v>13</v>
      </c>
      <c r="B28" s="140">
        <f t="shared" si="1"/>
        <v>27</v>
      </c>
      <c r="C28" s="140">
        <v>8</v>
      </c>
      <c r="D28" s="141">
        <v>2021</v>
      </c>
      <c r="E28" s="137">
        <f>'Consommation mensuel énergie'!L36</f>
        <v>0</v>
      </c>
      <c r="F28" s="137">
        <f>'Consommation mensuel énergie'!M36</f>
        <v>0</v>
      </c>
      <c r="G28" s="137">
        <f>'Consommation mensuel énergie'!N36</f>
        <v>0</v>
      </c>
      <c r="H28" s="137">
        <f>'Consommation mensuel énergie'!D36</f>
        <v>0</v>
      </c>
      <c r="I28" s="137">
        <f>'Consommation mensuel énergie'!E36</f>
        <v>0</v>
      </c>
      <c r="J28" s="133"/>
    </row>
    <row r="29" spans="1:10">
      <c r="A29" s="136" t="s">
        <v>13</v>
      </c>
      <c r="B29" s="140">
        <f t="shared" si="1"/>
        <v>28</v>
      </c>
      <c r="C29" s="140">
        <v>8</v>
      </c>
      <c r="D29" s="141">
        <v>2021</v>
      </c>
      <c r="E29" s="137">
        <f>'Consommation mensuel énergie'!L37</f>
        <v>0</v>
      </c>
      <c r="F29" s="137">
        <f>'Consommation mensuel énergie'!M37</f>
        <v>0</v>
      </c>
      <c r="G29" s="137">
        <f>'Consommation mensuel énergie'!N37</f>
        <v>0</v>
      </c>
      <c r="H29" s="137">
        <f>'Consommation mensuel énergie'!D37</f>
        <v>0</v>
      </c>
      <c r="I29" s="137">
        <f>'Consommation mensuel énergie'!E37</f>
        <v>0</v>
      </c>
      <c r="J29" s="133"/>
    </row>
    <row r="30" spans="1:10">
      <c r="A30" s="136" t="s">
        <v>13</v>
      </c>
      <c r="B30" s="140">
        <f t="shared" si="1"/>
        <v>29</v>
      </c>
      <c r="C30" s="140">
        <v>8</v>
      </c>
      <c r="D30" s="141">
        <v>2021</v>
      </c>
      <c r="E30" s="137">
        <f>'Consommation mensuel énergie'!L38</f>
        <v>0</v>
      </c>
      <c r="F30" s="137">
        <f>'Consommation mensuel énergie'!M38</f>
        <v>0</v>
      </c>
      <c r="G30" s="137">
        <f>'Consommation mensuel énergie'!N38</f>
        <v>0</v>
      </c>
      <c r="H30" s="137">
        <f>'Consommation mensuel énergie'!D38</f>
        <v>0</v>
      </c>
      <c r="I30" s="137">
        <f>'Consommation mensuel énergie'!E38</f>
        <v>0</v>
      </c>
      <c r="J30" s="133" t="e">
        <f>E30*F30+G30*#REF!+#REF!*#REF!+#REF!*#REF!</f>
        <v>#REF!</v>
      </c>
    </row>
    <row r="31" spans="1:10">
      <c r="A31" s="136" t="s">
        <v>13</v>
      </c>
      <c r="B31" s="140">
        <f t="shared" si="1"/>
        <v>30</v>
      </c>
      <c r="C31" s="140">
        <v>8</v>
      </c>
      <c r="D31" s="141">
        <v>2021</v>
      </c>
      <c r="E31" s="137">
        <f>'Consommation mensuel énergie'!L39</f>
        <v>0</v>
      </c>
      <c r="F31" s="137">
        <f>'Consommation mensuel énergie'!M39</f>
        <v>0</v>
      </c>
      <c r="G31" s="137">
        <f>'Consommation mensuel énergie'!N39</f>
        <v>0</v>
      </c>
      <c r="H31" s="137">
        <f>'Consommation mensuel énergie'!D40</f>
        <v>0</v>
      </c>
      <c r="I31" s="137">
        <f>'Consommation mensuel énergie'!E40</f>
        <v>0</v>
      </c>
      <c r="J31" s="133"/>
    </row>
    <row r="32" spans="1:10">
      <c r="A32" s="136" t="s">
        <v>13</v>
      </c>
      <c r="B32" s="140">
        <f t="shared" si="1"/>
        <v>31</v>
      </c>
      <c r="C32" s="140">
        <v>8</v>
      </c>
      <c r="D32" s="141">
        <v>2021</v>
      </c>
      <c r="E32" s="137">
        <f>'Consommation mensuel énergie'!L40</f>
        <v>0</v>
      </c>
      <c r="F32" s="137">
        <f>'Consommation mensuel énergie'!M40</f>
        <v>0</v>
      </c>
      <c r="G32" s="137">
        <f>'Consommation mensuel énergie'!N40</f>
        <v>0</v>
      </c>
      <c r="H32" s="137">
        <f>'Consommation mensuel énergie'!D41</f>
        <v>749</v>
      </c>
      <c r="I32" s="137">
        <f>'Consommation mensuel énergie'!E41</f>
        <v>1263</v>
      </c>
      <c r="J32" s="133"/>
    </row>
    <row r="33" spans="1:9">
      <c r="A33" s="169"/>
      <c r="E33" s="134"/>
      <c r="F33" s="134"/>
      <c r="G33" s="134"/>
      <c r="H33" s="133"/>
      <c r="I33" s="133"/>
    </row>
    <row r="34" spans="1:9">
      <c r="A34" s="169"/>
      <c r="E34" s="134"/>
      <c r="F34" s="134"/>
      <c r="G34" s="134"/>
      <c r="H34" s="133"/>
      <c r="I34" s="133"/>
    </row>
    <row r="35" spans="1:9">
      <c r="A35" s="169"/>
      <c r="E35" s="134"/>
      <c r="F35" s="134"/>
      <c r="G35" s="134"/>
      <c r="H35" s="133"/>
      <c r="I35" s="133"/>
    </row>
    <row r="36" spans="1:9">
      <c r="A36" s="169"/>
      <c r="E36" s="134"/>
      <c r="F36" s="134"/>
      <c r="G36" s="134"/>
      <c r="H36" s="133"/>
      <c r="I36" s="133"/>
    </row>
    <row r="37" spans="1:9">
      <c r="A37" s="169"/>
      <c r="E37" s="134"/>
      <c r="F37" s="134"/>
      <c r="G37" s="134"/>
      <c r="H37" s="133"/>
      <c r="I37" s="133"/>
    </row>
    <row r="38" spans="1:9">
      <c r="A38" s="169"/>
      <c r="E38" s="134"/>
      <c r="F38" s="134"/>
      <c r="G38" s="134"/>
      <c r="H38" s="133"/>
      <c r="I38" s="133"/>
    </row>
    <row r="39" spans="1:9">
      <c r="A39" s="169"/>
      <c r="E39" s="134"/>
      <c r="F39" s="134"/>
      <c r="G39" s="134"/>
      <c r="H39" s="133"/>
      <c r="I39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tabSelected="1" zoomScale="55" zoomScaleNormal="55" workbookViewId="0">
      <pane xSplit="3" ySplit="9" topLeftCell="D13" activePane="bottomRight" state="frozen"/>
      <selection pane="bottomRight" activeCell="E18" sqref="E18"/>
      <selection pane="bottomLeft" activeCell="B21" sqref="A21:IV21"/>
      <selection pane="topRight" activeCell="B21" sqref="A21:IV21"/>
    </sheetView>
  </sheetViews>
  <sheetFormatPr defaultColWidth="11.42578125" defaultRowHeight="18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2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>
      <c r="A1" s="157"/>
      <c r="B1" s="157"/>
      <c r="C1" s="157"/>
      <c r="D1" s="157"/>
      <c r="E1" s="157"/>
      <c r="F1" s="157"/>
      <c r="G1" s="157"/>
      <c r="H1" s="157"/>
      <c r="I1" s="157"/>
      <c r="J1" s="157"/>
      <c r="K1" s="157"/>
      <c r="L1" s="157"/>
      <c r="M1" s="157"/>
      <c r="N1" s="157"/>
      <c r="O1" s="157"/>
      <c r="P1" s="157"/>
      <c r="Q1" s="157"/>
      <c r="R1" s="157"/>
      <c r="S1" s="157"/>
      <c r="T1" s="157"/>
      <c r="U1" s="157"/>
      <c r="V1" s="157"/>
      <c r="W1" s="157"/>
      <c r="X1" s="157"/>
    </row>
    <row r="2" spans="1:24" ht="100.5" customHeight="1" thickBot="1">
      <c r="A2" s="184"/>
      <c r="B2" s="185"/>
      <c r="C2" s="185"/>
      <c r="D2" s="185"/>
      <c r="E2" s="185"/>
      <c r="F2" s="185"/>
      <c r="G2" s="185"/>
      <c r="H2" s="186"/>
      <c r="I2" s="195" t="s">
        <v>17</v>
      </c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196"/>
      <c r="X2" s="196"/>
    </row>
    <row r="3" spans="1:24" ht="15" hidden="1" customHeight="1" thickBot="1">
      <c r="A3" s="157"/>
      <c r="B3" s="157"/>
      <c r="C3" s="157"/>
      <c r="D3" s="157"/>
      <c r="E3" s="157"/>
      <c r="F3" s="157"/>
      <c r="G3" s="157"/>
      <c r="H3" s="157"/>
      <c r="I3" s="157"/>
      <c r="J3" s="157"/>
      <c r="K3" s="157"/>
      <c r="L3" s="157"/>
      <c r="M3" s="157"/>
      <c r="N3" s="157"/>
      <c r="O3" s="157"/>
      <c r="P3" s="157"/>
      <c r="Q3" s="157"/>
      <c r="R3" s="157"/>
      <c r="S3" s="157"/>
      <c r="T3" s="157"/>
      <c r="U3" s="157"/>
      <c r="V3" s="157"/>
      <c r="W3" s="157"/>
      <c r="X3" s="157"/>
    </row>
    <row r="4" spans="1:24" ht="39" hidden="1" customHeight="1" thickBot="1">
      <c r="A4" s="187"/>
      <c r="B4" s="187"/>
      <c r="C4" s="187"/>
      <c r="D4" s="168"/>
      <c r="E4" s="168"/>
      <c r="F4" s="168"/>
      <c r="G4" s="168"/>
      <c r="H4" s="168"/>
      <c r="I4" s="168"/>
      <c r="J4" s="168"/>
      <c r="K4" s="168"/>
      <c r="L4" s="168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>
      <c r="A5" s="187"/>
      <c r="B5" s="187"/>
      <c r="C5" s="187"/>
      <c r="D5" s="168"/>
      <c r="E5" s="168"/>
      <c r="F5" s="168"/>
      <c r="G5" s="168"/>
      <c r="H5" s="168"/>
      <c r="I5" s="168"/>
      <c r="J5" s="168"/>
      <c r="K5" s="168"/>
      <c r="L5" s="16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</row>
    <row r="6" spans="1:24" s="5" customFormat="1" ht="44.25" hidden="1" customHeight="1" thickBot="1">
      <c r="A6" s="3"/>
      <c r="B6" s="3"/>
      <c r="C6" s="3"/>
      <c r="D6" s="168"/>
      <c r="E6" s="168"/>
      <c r="F6" s="168"/>
      <c r="G6" s="168"/>
      <c r="H6" s="168"/>
      <c r="I6" s="168"/>
      <c r="J6" s="168"/>
      <c r="K6" s="168"/>
      <c r="L6" s="168"/>
      <c r="M6" s="188"/>
      <c r="N6" s="188"/>
      <c r="O6" s="188"/>
      <c r="P6" s="188"/>
      <c r="Q6" s="188"/>
      <c r="R6" s="188"/>
      <c r="S6" s="188"/>
      <c r="T6" s="188"/>
      <c r="U6" s="188"/>
      <c r="V6" s="188"/>
      <c r="W6" s="188"/>
      <c r="X6" s="188"/>
    </row>
    <row r="7" spans="1:24" s="5" customFormat="1" ht="18.75" hidden="1" customHeight="1" thickBot="1">
      <c r="A7" s="168"/>
      <c r="B7" s="168"/>
      <c r="C7" s="168"/>
      <c r="D7" s="168"/>
      <c r="E7" s="168"/>
      <c r="F7" s="188"/>
      <c r="G7" s="188"/>
      <c r="H7" s="188"/>
      <c r="I7" s="188"/>
      <c r="J7" s="188"/>
      <c r="K7" s="188"/>
      <c r="L7" s="188"/>
      <c r="M7" s="188"/>
      <c r="N7" s="197"/>
      <c r="O7" s="197"/>
      <c r="P7" s="188"/>
      <c r="Q7" s="188"/>
      <c r="R7" s="188"/>
      <c r="S7" s="188"/>
      <c r="T7" s="188"/>
      <c r="U7" s="188"/>
      <c r="V7" s="188"/>
      <c r="W7" s="188"/>
      <c r="X7" s="188"/>
    </row>
    <row r="8" spans="1:24" ht="18.75" customHeight="1" thickBot="1">
      <c r="A8" s="188"/>
      <c r="B8" s="199" t="s">
        <v>19</v>
      </c>
      <c r="C8" s="4"/>
      <c r="D8" s="200" t="s">
        <v>20</v>
      </c>
      <c r="E8" s="200" t="s">
        <v>21</v>
      </c>
      <c r="F8" s="182" t="s">
        <v>22</v>
      </c>
      <c r="G8" s="2"/>
      <c r="H8" s="189" t="s">
        <v>23</v>
      </c>
      <c r="I8" s="190"/>
      <c r="J8" s="191"/>
      <c r="K8" s="177" t="s">
        <v>24</v>
      </c>
      <c r="L8" s="181" t="s">
        <v>25</v>
      </c>
      <c r="M8" s="181"/>
      <c r="N8" s="181"/>
      <c r="O8" s="181" t="s">
        <v>26</v>
      </c>
      <c r="P8" s="2"/>
      <c r="Q8" s="179" t="s">
        <v>23</v>
      </c>
      <c r="R8" s="2"/>
      <c r="S8" s="179" t="s">
        <v>27</v>
      </c>
      <c r="T8" s="2"/>
      <c r="U8" s="179" t="s">
        <v>28</v>
      </c>
      <c r="V8" s="202" t="s">
        <v>29</v>
      </c>
      <c r="W8" s="2"/>
      <c r="X8" s="179" t="s">
        <v>23</v>
      </c>
    </row>
    <row r="9" spans="1:24" ht="59.25" customHeight="1" thickBot="1">
      <c r="A9" s="188"/>
      <c r="B9" s="199"/>
      <c r="C9" s="4"/>
      <c r="D9" s="201"/>
      <c r="E9" s="201"/>
      <c r="F9" s="183"/>
      <c r="G9" s="2"/>
      <c r="H9" s="192"/>
      <c r="I9" s="193"/>
      <c r="J9" s="194"/>
      <c r="K9" s="178"/>
      <c r="L9" s="167" t="s">
        <v>30</v>
      </c>
      <c r="M9" s="167" t="s">
        <v>31</v>
      </c>
      <c r="N9" s="167" t="s">
        <v>32</v>
      </c>
      <c r="O9" s="198"/>
      <c r="P9" s="2"/>
      <c r="Q9" s="180"/>
      <c r="R9" s="2"/>
      <c r="S9" s="180"/>
      <c r="T9" s="2"/>
      <c r="U9" s="180"/>
      <c r="V9" s="203"/>
      <c r="W9" s="2"/>
      <c r="X9" s="180"/>
    </row>
    <row r="10" spans="1:24" ht="32.25" customHeight="1">
      <c r="A10" s="2"/>
      <c r="B10" s="6">
        <v>44409</v>
      </c>
      <c r="C10" s="7"/>
      <c r="D10" s="143">
        <v>107</v>
      </c>
      <c r="E10" s="143">
        <v>174</v>
      </c>
      <c r="F10" s="13">
        <f>'Suivi EAU-ELEC'!E9</f>
        <v>116.39999999999418</v>
      </c>
      <c r="G10" s="11"/>
      <c r="H10" s="173">
        <f>F10*8.79</f>
        <v>1023.1559999999488</v>
      </c>
      <c r="I10" s="174"/>
      <c r="J10" s="174"/>
      <c r="K10" s="60">
        <v>42278</v>
      </c>
      <c r="L10" s="90">
        <f>'Suivi EAU-ELEC'!G9</f>
        <v>3789</v>
      </c>
      <c r="M10" s="91">
        <f>'Suivi EAU-ELEC'!I9</f>
        <v>8010</v>
      </c>
      <c r="N10" s="91">
        <f>'Suivi EAU-ELEC'!K9</f>
        <v>2981</v>
      </c>
      <c r="O10" s="91">
        <f>L10+M10+N10</f>
        <v>14780</v>
      </c>
      <c r="P10" s="11"/>
      <c r="Q10" s="34">
        <f>L10*0.6985+M10*0.9514+N10*1.3304</f>
        <v>14233.252899999999</v>
      </c>
      <c r="R10" s="11"/>
      <c r="S10" s="28"/>
      <c r="T10" s="11"/>
      <c r="U10" s="28"/>
      <c r="V10" s="146">
        <f>'Suvi Gaz'!O4</f>
        <v>333.27000000000004</v>
      </c>
      <c r="W10" s="11"/>
      <c r="X10" s="34">
        <f>V10*9.01</f>
        <v>3002.7627000000002</v>
      </c>
    </row>
    <row r="11" spans="1:24" ht="32.25" customHeight="1">
      <c r="A11" s="2"/>
      <c r="B11" s="6">
        <v>44410</v>
      </c>
      <c r="C11" s="7"/>
      <c r="D11" s="143">
        <v>91</v>
      </c>
      <c r="E11" s="143">
        <v>155</v>
      </c>
      <c r="F11" s="13">
        <f>'Suivi EAU-ELEC'!E10</f>
        <v>106.40000000000873</v>
      </c>
      <c r="G11" s="11"/>
      <c r="H11" s="173">
        <f t="shared" ref="H11:H21" si="0">F11*8.79</f>
        <v>935.25600000007671</v>
      </c>
      <c r="I11" s="174"/>
      <c r="J11" s="174"/>
      <c r="K11" s="60">
        <v>42279</v>
      </c>
      <c r="L11" s="90">
        <f>'Suivi EAU-ELEC'!G10</f>
        <v>3323</v>
      </c>
      <c r="M11" s="91">
        <f>'Suivi EAU-ELEC'!I10</f>
        <v>7812</v>
      </c>
      <c r="N11" s="91">
        <f>'Suivi EAU-ELEC'!K10</f>
        <v>2885</v>
      </c>
      <c r="O11" s="91">
        <f>L11+M11+N11</f>
        <v>14020</v>
      </c>
      <c r="P11" s="11"/>
      <c r="Q11" s="34">
        <f>L11*0.6985+M11*0.9514+N14*1.3304</f>
        <v>13644.872300000001</v>
      </c>
      <c r="R11" s="11"/>
      <c r="S11" s="28"/>
      <c r="T11" s="11"/>
      <c r="U11" s="28"/>
      <c r="V11" s="146">
        <f>'Suvi Gaz'!O5</f>
        <v>370.3</v>
      </c>
      <c r="W11" s="11"/>
      <c r="X11" s="34">
        <f t="shared" ref="X11:X40" si="1">V11*9.01</f>
        <v>3336.4030000000002</v>
      </c>
    </row>
    <row r="12" spans="1:24" ht="32.25" customHeight="1">
      <c r="A12" s="2"/>
      <c r="B12" s="6">
        <v>44411</v>
      </c>
      <c r="C12" s="7"/>
      <c r="D12" s="143">
        <v>84</v>
      </c>
      <c r="E12" s="143">
        <v>144</v>
      </c>
      <c r="F12" s="13">
        <f>'Suivi EAU-ELEC'!E11</f>
        <v>237.59999999999127</v>
      </c>
      <c r="G12" s="11"/>
      <c r="H12" s="173">
        <f t="shared" si="0"/>
        <v>2088.5039999999231</v>
      </c>
      <c r="I12" s="174"/>
      <c r="J12" s="174"/>
      <c r="K12" s="60">
        <v>42280</v>
      </c>
      <c r="L12" s="90">
        <f>'Suivi EAU-ELEC'!G11</f>
        <v>3355</v>
      </c>
      <c r="M12" s="91">
        <f>'Suivi EAU-ELEC'!I11</f>
        <v>7827</v>
      </c>
      <c r="N12" s="91">
        <f>'Suivi EAU-ELEC'!K11</f>
        <v>3276</v>
      </c>
      <c r="O12" s="91">
        <f>L12+M12+N12</f>
        <v>14458</v>
      </c>
      <c r="P12" s="11"/>
      <c r="Q12" s="34">
        <f>L12*0.6985+M12*0.9514+N12*1.3304</f>
        <v>14148.465700000001</v>
      </c>
      <c r="R12" s="11"/>
      <c r="S12" s="28"/>
      <c r="T12" s="11"/>
      <c r="U12" s="28"/>
      <c r="V12" s="146">
        <f>'Suvi Gaz'!O6</f>
        <v>407.33000000000004</v>
      </c>
      <c r="W12" s="11"/>
      <c r="X12" s="34">
        <f t="shared" si="1"/>
        <v>3670.0433000000003</v>
      </c>
    </row>
    <row r="13" spans="1:24" ht="32.25" customHeight="1">
      <c r="A13" s="2"/>
      <c r="B13" s="6">
        <v>44412</v>
      </c>
      <c r="C13" s="7"/>
      <c r="D13" s="143">
        <v>96</v>
      </c>
      <c r="E13" s="143">
        <v>152</v>
      </c>
      <c r="F13" s="13">
        <f>'Suivi EAU-ELEC'!E12</f>
        <v>123.5</v>
      </c>
      <c r="G13" s="11"/>
      <c r="H13" s="173">
        <f t="shared" si="0"/>
        <v>1085.5649999999998</v>
      </c>
      <c r="I13" s="174"/>
      <c r="J13" s="174"/>
      <c r="K13" s="60">
        <v>42281</v>
      </c>
      <c r="L13" s="90">
        <f>'Suivi EAU-ELEC'!G12</f>
        <v>3228</v>
      </c>
      <c r="M13" s="91">
        <f>'Suivi EAU-ELEC'!I12</f>
        <v>7581</v>
      </c>
      <c r="N13" s="91">
        <f>'Suivi EAU-ELEC'!K12</f>
        <v>3114</v>
      </c>
      <c r="O13" s="91">
        <f t="shared" ref="O13:O40" si="2">L13+M13+N13</f>
        <v>13923</v>
      </c>
      <c r="P13" s="11"/>
      <c r="Q13" s="34">
        <f t="shared" ref="Q13:Q40" si="3">L13*0.6985+M13*0.9514+N13*1.3304</f>
        <v>13610.187000000002</v>
      </c>
      <c r="R13" s="11"/>
      <c r="S13" s="28"/>
      <c r="T13" s="11"/>
      <c r="U13" s="28"/>
      <c r="V13" s="146">
        <f>'Suvi Gaz'!O7</f>
        <v>148.4</v>
      </c>
      <c r="W13" s="11"/>
      <c r="X13" s="34">
        <f t="shared" si="1"/>
        <v>1337.0840000000001</v>
      </c>
    </row>
    <row r="14" spans="1:24" ht="32.25" customHeight="1">
      <c r="A14" s="2"/>
      <c r="B14" s="6">
        <v>44413</v>
      </c>
      <c r="C14" s="7"/>
      <c r="D14" s="143">
        <v>107</v>
      </c>
      <c r="E14" s="143">
        <v>168</v>
      </c>
      <c r="F14" s="13">
        <f>'Suivi EAU-ELEC'!E13</f>
        <v>103.70000000001164</v>
      </c>
      <c r="G14" s="12"/>
      <c r="H14" s="173">
        <f t="shared" si="0"/>
        <v>911.52300000010223</v>
      </c>
      <c r="I14" s="174"/>
      <c r="J14" s="174"/>
      <c r="K14" s="60">
        <v>42282</v>
      </c>
      <c r="L14" s="90">
        <f>'Suivi EAU-ELEC'!G13</f>
        <v>4251</v>
      </c>
      <c r="M14" s="91">
        <f>'Suivi EAU-ELEC'!I13</f>
        <v>7941</v>
      </c>
      <c r="N14" s="91">
        <f>'Suivi EAU-ELEC'!K13</f>
        <v>2925</v>
      </c>
      <c r="O14" s="91">
        <f t="shared" si="2"/>
        <v>15117</v>
      </c>
      <c r="P14" s="12"/>
      <c r="Q14" s="34">
        <f t="shared" si="3"/>
        <v>14415.8109</v>
      </c>
      <c r="R14" s="12"/>
      <c r="S14" s="28"/>
      <c r="T14" s="12"/>
      <c r="U14" s="28"/>
      <c r="V14" s="146">
        <f>'Suvi Gaz'!O8</f>
        <v>191.99526</v>
      </c>
      <c r="W14" s="11"/>
      <c r="X14" s="34">
        <f t="shared" si="1"/>
        <v>1729.8772925999999</v>
      </c>
    </row>
    <row r="15" spans="1:24" ht="32.25" customHeight="1">
      <c r="A15" s="168"/>
      <c r="B15" s="6">
        <v>44414</v>
      </c>
      <c r="C15" s="7"/>
      <c r="D15" s="143">
        <v>98</v>
      </c>
      <c r="E15" s="143">
        <v>173</v>
      </c>
      <c r="F15" s="13">
        <f>'Suivi EAU-ELEC'!E14</f>
        <v>107.09999999999127</v>
      </c>
      <c r="G15" s="11"/>
      <c r="H15" s="173">
        <f t="shared" si="0"/>
        <v>941.40899999992314</v>
      </c>
      <c r="I15" s="174"/>
      <c r="J15" s="174"/>
      <c r="K15" s="60">
        <v>42283</v>
      </c>
      <c r="L15" s="90">
        <f>'Suivi EAU-ELEC'!G14</f>
        <v>3759</v>
      </c>
      <c r="M15" s="91">
        <f>'Suivi EAU-ELEC'!I14</f>
        <v>8185</v>
      </c>
      <c r="N15" s="91">
        <f>'Suivi EAU-ELEC'!K14</f>
        <v>3363</v>
      </c>
      <c r="O15" s="91">
        <f t="shared" si="2"/>
        <v>15307</v>
      </c>
      <c r="P15" s="12"/>
      <c r="Q15" s="34">
        <f>L15*0.6985+M15*0.9514+N15*1.3304</f>
        <v>14887.005700000002</v>
      </c>
      <c r="R15" s="12"/>
      <c r="S15" s="28"/>
      <c r="T15" s="12"/>
      <c r="U15" s="28"/>
      <c r="V15" s="146">
        <f>'Suvi Gaz'!O9</f>
        <v>287.99288999999999</v>
      </c>
      <c r="W15" s="11"/>
      <c r="X15" s="34">
        <f t="shared" si="1"/>
        <v>2594.8159388999998</v>
      </c>
    </row>
    <row r="16" spans="1:24" ht="32.25" customHeight="1">
      <c r="A16" s="168"/>
      <c r="B16" s="6">
        <v>44415</v>
      </c>
      <c r="C16" s="7"/>
      <c r="D16" s="143">
        <v>100</v>
      </c>
      <c r="E16" s="143">
        <v>182</v>
      </c>
      <c r="F16" s="13">
        <f>'Suivi EAU-ELEC'!E15</f>
        <v>125.10000000000582</v>
      </c>
      <c r="G16" s="11"/>
      <c r="H16" s="173">
        <f t="shared" si="0"/>
        <v>1099.6290000000511</v>
      </c>
      <c r="I16" s="174"/>
      <c r="J16" s="174"/>
      <c r="K16" s="60">
        <v>42284</v>
      </c>
      <c r="L16" s="90">
        <f>'Suivi EAU-ELEC'!G15</f>
        <v>4155</v>
      </c>
      <c r="M16" s="91">
        <f>'Suivi EAU-ELEC'!I15</f>
        <v>8948</v>
      </c>
      <c r="N16" s="91">
        <f>'Suivi EAU-ELEC'!K15</f>
        <v>3364</v>
      </c>
      <c r="O16" s="91">
        <f t="shared" si="2"/>
        <v>16467</v>
      </c>
      <c r="P16" s="11"/>
      <c r="Q16" s="34">
        <f t="shared" si="3"/>
        <v>15890.8603</v>
      </c>
      <c r="R16" s="11"/>
      <c r="S16" s="28"/>
      <c r="T16" s="11"/>
      <c r="U16" s="28"/>
      <c r="V16" s="146">
        <f>'Suvi Gaz'!O10</f>
        <v>255.99368000000001</v>
      </c>
      <c r="W16" s="11"/>
      <c r="X16" s="34">
        <f t="shared" si="1"/>
        <v>2306.5030568000002</v>
      </c>
    </row>
    <row r="17" spans="1:24" s="5" customFormat="1" ht="32.25" customHeight="1">
      <c r="A17" s="2"/>
      <c r="B17" s="6">
        <v>44416</v>
      </c>
      <c r="C17" s="7"/>
      <c r="D17" s="143">
        <v>66</v>
      </c>
      <c r="E17" s="143">
        <v>115</v>
      </c>
      <c r="F17" s="13">
        <f>'Suivi EAU-ELEC'!E16</f>
        <v>117.59999999999127</v>
      </c>
      <c r="G17" s="11"/>
      <c r="H17" s="173">
        <f t="shared" si="0"/>
        <v>1033.7039999999231</v>
      </c>
      <c r="I17" s="174"/>
      <c r="J17" s="174"/>
      <c r="K17" s="60">
        <v>42285</v>
      </c>
      <c r="L17" s="90">
        <f>'Suivi EAU-ELEC'!G16</f>
        <v>3897</v>
      </c>
      <c r="M17" s="91">
        <f>'Suivi EAU-ELEC'!I16</f>
        <v>8099</v>
      </c>
      <c r="N17" s="91">
        <f>'Suivi EAU-ELEC'!K16</f>
        <v>2782</v>
      </c>
      <c r="O17" s="91">
        <f t="shared" si="2"/>
        <v>14778</v>
      </c>
      <c r="P17" s="12"/>
      <c r="Q17" s="34">
        <f t="shared" si="3"/>
        <v>14128.615900000001</v>
      </c>
      <c r="R17" s="12"/>
      <c r="S17" s="28"/>
      <c r="T17" s="12"/>
      <c r="U17" s="28"/>
      <c r="V17" s="146">
        <f>'Suvi Gaz'!O11</f>
        <v>287.99288999999999</v>
      </c>
      <c r="W17" s="11"/>
      <c r="X17" s="34">
        <f t="shared" si="1"/>
        <v>2594.8159388999998</v>
      </c>
    </row>
    <row r="18" spans="1:24" ht="32.25" customHeight="1">
      <c r="A18" s="2"/>
      <c r="B18" s="6">
        <v>44417</v>
      </c>
      <c r="C18" s="7"/>
      <c r="D18" s="143"/>
      <c r="E18" s="143"/>
      <c r="F18" s="13">
        <f>'Suivi EAU-ELEC'!E17</f>
        <v>91.100000000005821</v>
      </c>
      <c r="G18" s="11"/>
      <c r="H18" s="173">
        <f t="shared" si="0"/>
        <v>800.76900000005105</v>
      </c>
      <c r="I18" s="174"/>
      <c r="J18" s="174"/>
      <c r="K18" s="60">
        <v>42286</v>
      </c>
      <c r="L18" s="90">
        <f>'Suivi EAU-ELEC'!G17</f>
        <v>3560</v>
      </c>
      <c r="M18" s="91">
        <f>'Suivi EAU-ELEC'!I17</f>
        <v>7480</v>
      </c>
      <c r="N18" s="91">
        <f>'Suivi EAU-ELEC'!K17</f>
        <v>2610</v>
      </c>
      <c r="O18" s="91">
        <f t="shared" si="2"/>
        <v>13650</v>
      </c>
      <c r="P18" s="12"/>
      <c r="Q18" s="34">
        <f t="shared" si="3"/>
        <v>13075.475999999999</v>
      </c>
      <c r="R18" s="12"/>
      <c r="S18" s="28"/>
      <c r="T18" s="12"/>
      <c r="U18" s="28"/>
      <c r="V18" s="146"/>
      <c r="W18" s="11"/>
      <c r="X18" s="34">
        <f t="shared" si="1"/>
        <v>0</v>
      </c>
    </row>
    <row r="19" spans="1:24" ht="32.25" customHeight="1">
      <c r="A19" s="2"/>
      <c r="B19" s="6">
        <v>44418</v>
      </c>
      <c r="C19" s="7"/>
      <c r="D19" s="143"/>
      <c r="E19" s="143"/>
      <c r="F19" s="13"/>
      <c r="G19" s="12"/>
      <c r="H19" s="173">
        <f t="shared" si="0"/>
        <v>0</v>
      </c>
      <c r="I19" s="174"/>
      <c r="J19" s="174"/>
      <c r="K19" s="60">
        <v>42287</v>
      </c>
      <c r="L19" s="90"/>
      <c r="M19" s="91"/>
      <c r="N19" s="91"/>
      <c r="O19" s="91">
        <f t="shared" si="2"/>
        <v>0</v>
      </c>
      <c r="P19" s="12"/>
      <c r="Q19" s="34">
        <f t="shared" si="3"/>
        <v>0</v>
      </c>
      <c r="R19" s="12"/>
      <c r="S19" s="28"/>
      <c r="T19" s="12"/>
      <c r="U19" s="28"/>
      <c r="V19" s="146"/>
      <c r="W19" s="11"/>
      <c r="X19" s="34">
        <f t="shared" si="1"/>
        <v>0</v>
      </c>
    </row>
    <row r="20" spans="1:24" ht="32.25" customHeight="1">
      <c r="A20" s="2"/>
      <c r="B20" s="6">
        <v>44419</v>
      </c>
      <c r="C20" s="7"/>
      <c r="D20" s="143"/>
      <c r="E20" s="143"/>
      <c r="F20" s="13"/>
      <c r="G20" s="12"/>
      <c r="H20" s="173">
        <f t="shared" si="0"/>
        <v>0</v>
      </c>
      <c r="I20" s="174"/>
      <c r="J20" s="174"/>
      <c r="K20" s="60">
        <v>42288</v>
      </c>
      <c r="L20" s="90"/>
      <c r="M20" s="91"/>
      <c r="N20" s="91"/>
      <c r="O20" s="91">
        <f t="shared" si="2"/>
        <v>0</v>
      </c>
      <c r="P20" s="12"/>
      <c r="Q20" s="34">
        <f t="shared" si="3"/>
        <v>0</v>
      </c>
      <c r="R20" s="12"/>
      <c r="S20" s="28"/>
      <c r="T20" s="12"/>
      <c r="U20" s="28"/>
      <c r="V20" s="146"/>
      <c r="W20" s="11"/>
      <c r="X20" s="34">
        <f t="shared" si="1"/>
        <v>0</v>
      </c>
    </row>
    <row r="21" spans="1:24" ht="32.25" customHeight="1">
      <c r="A21" s="2"/>
      <c r="B21" s="6">
        <v>44420</v>
      </c>
      <c r="C21" s="7"/>
      <c r="D21" s="143"/>
      <c r="E21" s="143"/>
      <c r="F21" s="13"/>
      <c r="G21" s="12"/>
      <c r="H21" s="173">
        <f t="shared" si="0"/>
        <v>0</v>
      </c>
      <c r="I21" s="174"/>
      <c r="J21" s="174"/>
      <c r="K21" s="60">
        <v>42289</v>
      </c>
      <c r="L21" s="90"/>
      <c r="M21" s="91"/>
      <c r="N21" s="91"/>
      <c r="O21" s="91">
        <f>L21+M21+N21</f>
        <v>0</v>
      </c>
      <c r="P21" s="12"/>
      <c r="Q21" s="34">
        <f t="shared" si="3"/>
        <v>0</v>
      </c>
      <c r="R21" s="12"/>
      <c r="S21" s="28"/>
      <c r="T21" s="12"/>
      <c r="U21" s="28"/>
      <c r="V21" s="146"/>
      <c r="W21" s="11"/>
      <c r="X21" s="34">
        <f t="shared" si="1"/>
        <v>0</v>
      </c>
    </row>
    <row r="22" spans="1:24" ht="32.25" customHeight="1">
      <c r="A22" s="2"/>
      <c r="B22" s="6">
        <v>44421</v>
      </c>
      <c r="C22" s="7"/>
      <c r="D22" s="143"/>
      <c r="E22" s="143"/>
      <c r="F22" s="13"/>
      <c r="G22" s="12"/>
      <c r="H22" s="173">
        <f t="shared" ref="H22:H35" si="4">F22*8.79</f>
        <v>0</v>
      </c>
      <c r="I22" s="174"/>
      <c r="J22" s="174"/>
      <c r="K22" s="60">
        <v>42290</v>
      </c>
      <c r="L22" s="90"/>
      <c r="M22" s="91"/>
      <c r="N22" s="91"/>
      <c r="O22" s="91">
        <f t="shared" si="2"/>
        <v>0</v>
      </c>
      <c r="P22" s="12"/>
      <c r="Q22" s="34">
        <f t="shared" si="3"/>
        <v>0</v>
      </c>
      <c r="R22" s="12"/>
      <c r="S22" s="28"/>
      <c r="T22" s="12"/>
      <c r="U22" s="28"/>
      <c r="V22" s="146"/>
      <c r="W22" s="11"/>
      <c r="X22" s="34">
        <f t="shared" si="1"/>
        <v>0</v>
      </c>
    </row>
    <row r="23" spans="1:24" ht="32.25" customHeight="1">
      <c r="A23" s="2"/>
      <c r="B23" s="6">
        <v>44422</v>
      </c>
      <c r="C23" s="7"/>
      <c r="D23" s="143"/>
      <c r="E23" s="143"/>
      <c r="F23" s="13"/>
      <c r="G23" s="14"/>
      <c r="H23" s="173">
        <f t="shared" si="4"/>
        <v>0</v>
      </c>
      <c r="I23" s="174"/>
      <c r="J23" s="174"/>
      <c r="K23" s="60">
        <v>42291</v>
      </c>
      <c r="L23" s="90"/>
      <c r="M23" s="91"/>
      <c r="N23" s="91"/>
      <c r="O23" s="91">
        <f t="shared" si="2"/>
        <v>0</v>
      </c>
      <c r="P23" s="12"/>
      <c r="Q23" s="34">
        <f t="shared" si="3"/>
        <v>0</v>
      </c>
      <c r="R23" s="12"/>
      <c r="S23" s="28"/>
      <c r="T23" s="14"/>
      <c r="U23" s="28"/>
      <c r="V23" s="146"/>
      <c r="W23" s="11"/>
      <c r="X23" s="34">
        <f t="shared" si="1"/>
        <v>0</v>
      </c>
    </row>
    <row r="24" spans="1:24" ht="32.25" customHeight="1">
      <c r="A24" s="2"/>
      <c r="B24" s="6">
        <v>44423</v>
      </c>
      <c r="C24" s="7"/>
      <c r="D24" s="143"/>
      <c r="E24" s="143"/>
      <c r="F24" s="13"/>
      <c r="G24" s="14"/>
      <c r="H24" s="173">
        <f t="shared" si="4"/>
        <v>0</v>
      </c>
      <c r="I24" s="174"/>
      <c r="J24" s="174"/>
      <c r="K24" s="60">
        <v>42292</v>
      </c>
      <c r="L24" s="90"/>
      <c r="M24" s="91"/>
      <c r="N24" s="91"/>
      <c r="O24" s="91">
        <f t="shared" si="2"/>
        <v>0</v>
      </c>
      <c r="P24" s="12"/>
      <c r="Q24" s="34">
        <f t="shared" si="3"/>
        <v>0</v>
      </c>
      <c r="R24" s="12"/>
      <c r="S24" s="28"/>
      <c r="T24" s="14"/>
      <c r="U24" s="28"/>
      <c r="V24" s="146"/>
      <c r="W24" s="11"/>
      <c r="X24" s="34">
        <f t="shared" si="1"/>
        <v>0</v>
      </c>
    </row>
    <row r="25" spans="1:24" ht="32.25" customHeight="1">
      <c r="A25" s="2"/>
      <c r="B25" s="6">
        <v>44424</v>
      </c>
      <c r="C25" s="7"/>
      <c r="D25" s="143"/>
      <c r="E25" s="143"/>
      <c r="F25" s="13"/>
      <c r="G25" s="14"/>
      <c r="H25" s="173">
        <f t="shared" si="4"/>
        <v>0</v>
      </c>
      <c r="I25" s="174"/>
      <c r="J25" s="174"/>
      <c r="K25" s="60">
        <v>42293</v>
      </c>
      <c r="L25" s="90"/>
      <c r="M25" s="91"/>
      <c r="N25" s="91"/>
      <c r="O25" s="91">
        <f t="shared" si="2"/>
        <v>0</v>
      </c>
      <c r="P25" s="12"/>
      <c r="Q25" s="34">
        <f t="shared" si="3"/>
        <v>0</v>
      </c>
      <c r="R25" s="12"/>
      <c r="S25" s="28"/>
      <c r="T25" s="14"/>
      <c r="U25" s="28"/>
      <c r="V25" s="146"/>
      <c r="W25" s="11"/>
      <c r="X25" s="34">
        <f t="shared" si="1"/>
        <v>0</v>
      </c>
    </row>
    <row r="26" spans="1:24" ht="32.25" customHeight="1">
      <c r="A26" s="2"/>
      <c r="B26" s="6">
        <v>44425</v>
      </c>
      <c r="C26" s="7"/>
      <c r="D26" s="143"/>
      <c r="E26" s="143"/>
      <c r="F26" s="13"/>
      <c r="G26" s="14"/>
      <c r="H26" s="173">
        <f t="shared" si="4"/>
        <v>0</v>
      </c>
      <c r="I26" s="174"/>
      <c r="J26" s="174"/>
      <c r="K26" s="60">
        <v>42294</v>
      </c>
      <c r="L26" s="90"/>
      <c r="M26" s="91"/>
      <c r="N26" s="91"/>
      <c r="O26" s="91">
        <f t="shared" si="2"/>
        <v>0</v>
      </c>
      <c r="P26" s="14"/>
      <c r="Q26" s="34">
        <f t="shared" si="3"/>
        <v>0</v>
      </c>
      <c r="R26" s="14"/>
      <c r="S26" s="28"/>
      <c r="T26" s="14"/>
      <c r="U26" s="28"/>
      <c r="V26" s="146"/>
      <c r="W26" s="11"/>
      <c r="X26" s="34">
        <f t="shared" si="1"/>
        <v>0</v>
      </c>
    </row>
    <row r="27" spans="1:24" ht="32.25" customHeight="1">
      <c r="A27" s="2"/>
      <c r="B27" s="6">
        <v>44426</v>
      </c>
      <c r="C27" s="7"/>
      <c r="D27" s="143"/>
      <c r="E27" s="143"/>
      <c r="F27" s="13"/>
      <c r="G27" s="14"/>
      <c r="H27" s="173">
        <f t="shared" si="4"/>
        <v>0</v>
      </c>
      <c r="I27" s="174"/>
      <c r="J27" s="174"/>
      <c r="K27" s="60">
        <v>42295</v>
      </c>
      <c r="L27" s="90"/>
      <c r="M27" s="91"/>
      <c r="N27" s="91"/>
      <c r="O27" s="91">
        <f t="shared" si="2"/>
        <v>0</v>
      </c>
      <c r="P27" s="14"/>
      <c r="Q27" s="34">
        <f t="shared" si="3"/>
        <v>0</v>
      </c>
      <c r="R27" s="14"/>
      <c r="S27" s="28"/>
      <c r="T27" s="14"/>
      <c r="U27" s="28"/>
      <c r="V27" s="146"/>
      <c r="W27" s="11"/>
      <c r="X27" s="34">
        <f t="shared" si="1"/>
        <v>0</v>
      </c>
    </row>
    <row r="28" spans="1:24" ht="32.25" customHeight="1">
      <c r="A28" s="2"/>
      <c r="B28" s="6">
        <v>44427</v>
      </c>
      <c r="C28" s="7"/>
      <c r="D28" s="143"/>
      <c r="E28" s="143"/>
      <c r="F28" s="13"/>
      <c r="G28" s="11"/>
      <c r="H28" s="173">
        <f t="shared" si="4"/>
        <v>0</v>
      </c>
      <c r="I28" s="174"/>
      <c r="J28" s="174"/>
      <c r="K28" s="60">
        <v>42296</v>
      </c>
      <c r="L28" s="90"/>
      <c r="M28" s="91"/>
      <c r="N28" s="91"/>
      <c r="O28" s="91">
        <f t="shared" si="2"/>
        <v>0</v>
      </c>
      <c r="P28" s="11"/>
      <c r="Q28" s="34">
        <f>L28*0.6985+M28*0.9514+N28*1.3304</f>
        <v>0</v>
      </c>
      <c r="R28" s="11"/>
      <c r="S28" s="28"/>
      <c r="T28" s="11"/>
      <c r="U28" s="28"/>
      <c r="V28" s="146"/>
      <c r="W28" s="11"/>
      <c r="X28" s="34">
        <f t="shared" si="1"/>
        <v>0</v>
      </c>
    </row>
    <row r="29" spans="1:24" ht="32.25" customHeight="1">
      <c r="A29" s="2"/>
      <c r="B29" s="6">
        <v>44428</v>
      </c>
      <c r="C29" s="7"/>
      <c r="D29" s="143"/>
      <c r="E29" s="143"/>
      <c r="F29" s="13"/>
      <c r="G29" s="11"/>
      <c r="H29" s="173">
        <f t="shared" si="4"/>
        <v>0</v>
      </c>
      <c r="I29" s="174"/>
      <c r="J29" s="174"/>
      <c r="K29" s="60">
        <v>42297</v>
      </c>
      <c r="L29" s="90"/>
      <c r="M29" s="91"/>
      <c r="N29" s="91"/>
      <c r="O29" s="91">
        <f>L29+M29+N29</f>
        <v>0</v>
      </c>
      <c r="P29" s="11"/>
      <c r="Q29" s="34">
        <f t="shared" si="3"/>
        <v>0</v>
      </c>
      <c r="R29" s="11"/>
      <c r="S29" s="28"/>
      <c r="T29" s="11"/>
      <c r="U29" s="28"/>
      <c r="V29" s="146"/>
      <c r="W29" s="11"/>
      <c r="X29" s="34">
        <f t="shared" si="1"/>
        <v>0</v>
      </c>
    </row>
    <row r="30" spans="1:24" ht="32.25" customHeight="1">
      <c r="A30" s="2"/>
      <c r="B30" s="6">
        <v>44429</v>
      </c>
      <c r="C30" s="7"/>
      <c r="D30" s="143"/>
      <c r="E30" s="143"/>
      <c r="F30" s="13"/>
      <c r="G30" s="11"/>
      <c r="H30" s="173">
        <f t="shared" si="4"/>
        <v>0</v>
      </c>
      <c r="I30" s="174"/>
      <c r="J30" s="174"/>
      <c r="K30" s="60">
        <v>42298</v>
      </c>
      <c r="L30" s="90"/>
      <c r="M30" s="91"/>
      <c r="N30" s="91"/>
      <c r="O30" s="91">
        <f>L30+M30+N30</f>
        <v>0</v>
      </c>
      <c r="P30" s="11"/>
      <c r="Q30" s="34">
        <f>L30*0.6985+M30*0.9514+N30*1.3304</f>
        <v>0</v>
      </c>
      <c r="R30" s="11"/>
      <c r="S30" s="28"/>
      <c r="T30" s="11"/>
      <c r="U30" s="28"/>
      <c r="V30" s="146"/>
      <c r="W30" s="11"/>
      <c r="X30" s="34">
        <f t="shared" si="1"/>
        <v>0</v>
      </c>
    </row>
    <row r="31" spans="1:24" ht="27.75" customHeight="1">
      <c r="A31" s="2"/>
      <c r="B31" s="6">
        <v>44430</v>
      </c>
      <c r="C31" s="7"/>
      <c r="D31" s="143"/>
      <c r="E31" s="143"/>
      <c r="F31" s="13"/>
      <c r="G31" s="11"/>
      <c r="H31" s="173">
        <f t="shared" si="4"/>
        <v>0</v>
      </c>
      <c r="I31" s="174"/>
      <c r="J31" s="174"/>
      <c r="K31" s="60">
        <v>42299</v>
      </c>
      <c r="L31" s="90"/>
      <c r="M31" s="91"/>
      <c r="N31" s="91"/>
      <c r="O31" s="91">
        <f>L31+M31+N31</f>
        <v>0</v>
      </c>
      <c r="P31" s="11"/>
      <c r="Q31" s="34">
        <f>L31*0.6985+M31*0.9514+N31*1.3304</f>
        <v>0</v>
      </c>
      <c r="R31" s="11"/>
      <c r="S31" s="28"/>
      <c r="T31" s="11"/>
      <c r="U31" s="28"/>
      <c r="V31" s="146"/>
      <c r="W31" s="11"/>
      <c r="X31" s="34">
        <f t="shared" si="1"/>
        <v>0</v>
      </c>
    </row>
    <row r="32" spans="1:24" ht="37.5" customHeight="1">
      <c r="A32" s="2"/>
      <c r="B32" s="6">
        <v>44431</v>
      </c>
      <c r="C32" s="7"/>
      <c r="D32" s="143"/>
      <c r="E32" s="143"/>
      <c r="F32" s="13"/>
      <c r="G32" s="11"/>
      <c r="H32" s="173">
        <f t="shared" si="4"/>
        <v>0</v>
      </c>
      <c r="I32" s="174"/>
      <c r="J32" s="174"/>
      <c r="K32" s="60">
        <v>42300</v>
      </c>
      <c r="L32" s="90"/>
      <c r="M32" s="91"/>
      <c r="N32" s="91"/>
      <c r="O32" s="91">
        <f t="shared" si="2"/>
        <v>0</v>
      </c>
      <c r="P32" s="11"/>
      <c r="Q32" s="34">
        <f t="shared" si="3"/>
        <v>0</v>
      </c>
      <c r="R32" s="11"/>
      <c r="S32" s="28"/>
      <c r="T32" s="11"/>
      <c r="U32" s="28"/>
      <c r="V32" s="146"/>
      <c r="W32" s="11"/>
      <c r="X32" s="34">
        <f t="shared" si="1"/>
        <v>0</v>
      </c>
    </row>
    <row r="33" spans="1:24" ht="37.5" customHeight="1">
      <c r="A33" s="2"/>
      <c r="B33" s="6">
        <v>44432</v>
      </c>
      <c r="C33" s="7"/>
      <c r="D33" s="143"/>
      <c r="E33" s="143"/>
      <c r="F33" s="13"/>
      <c r="G33" s="11"/>
      <c r="H33" s="173">
        <f t="shared" si="4"/>
        <v>0</v>
      </c>
      <c r="I33" s="174"/>
      <c r="J33" s="174"/>
      <c r="K33" s="60">
        <v>42301</v>
      </c>
      <c r="L33" s="90"/>
      <c r="M33" s="91"/>
      <c r="N33" s="91"/>
      <c r="O33" s="91">
        <f t="shared" si="2"/>
        <v>0</v>
      </c>
      <c r="P33" s="11"/>
      <c r="Q33" s="34">
        <f t="shared" si="3"/>
        <v>0</v>
      </c>
      <c r="R33" s="11"/>
      <c r="S33" s="28"/>
      <c r="T33" s="11"/>
      <c r="U33" s="28"/>
      <c r="V33" s="146"/>
      <c r="W33" s="11"/>
      <c r="X33" s="34">
        <f t="shared" si="1"/>
        <v>0</v>
      </c>
    </row>
    <row r="34" spans="1:24" ht="37.5" customHeight="1">
      <c r="A34" s="2"/>
      <c r="B34" s="6">
        <v>44433</v>
      </c>
      <c r="C34" s="7"/>
      <c r="D34" s="143"/>
      <c r="E34" s="143"/>
      <c r="F34" s="13"/>
      <c r="G34" s="11"/>
      <c r="H34" s="173">
        <f t="shared" si="4"/>
        <v>0</v>
      </c>
      <c r="I34" s="174"/>
      <c r="J34" s="174"/>
      <c r="K34" s="60">
        <v>42302</v>
      </c>
      <c r="L34" s="90"/>
      <c r="M34" s="91"/>
      <c r="N34" s="91"/>
      <c r="O34" s="91">
        <f t="shared" si="2"/>
        <v>0</v>
      </c>
      <c r="P34" s="11"/>
      <c r="Q34" s="34">
        <f t="shared" si="3"/>
        <v>0</v>
      </c>
      <c r="R34" s="11"/>
      <c r="S34" s="28"/>
      <c r="T34" s="11"/>
      <c r="U34" s="28"/>
      <c r="V34" s="146"/>
      <c r="W34" s="11"/>
      <c r="X34" s="34">
        <f t="shared" si="1"/>
        <v>0</v>
      </c>
    </row>
    <row r="35" spans="1:24" ht="33.75" customHeight="1">
      <c r="A35" s="2"/>
      <c r="B35" s="6">
        <v>44434</v>
      </c>
      <c r="C35" s="7"/>
      <c r="D35" s="143"/>
      <c r="E35" s="143"/>
      <c r="F35" s="13"/>
      <c r="G35" s="11"/>
      <c r="H35" s="173">
        <f t="shared" si="4"/>
        <v>0</v>
      </c>
      <c r="I35" s="174"/>
      <c r="J35" s="174"/>
      <c r="K35" s="60">
        <v>42303</v>
      </c>
      <c r="L35" s="90"/>
      <c r="M35" s="91"/>
      <c r="N35" s="91"/>
      <c r="O35" s="91">
        <f t="shared" si="2"/>
        <v>0</v>
      </c>
      <c r="P35" s="11"/>
      <c r="Q35" s="34">
        <f t="shared" si="3"/>
        <v>0</v>
      </c>
      <c r="R35" s="11"/>
      <c r="S35" s="28"/>
      <c r="T35" s="11"/>
      <c r="U35" s="28"/>
      <c r="V35" s="146"/>
      <c r="W35" s="11"/>
      <c r="X35" s="34">
        <f t="shared" si="1"/>
        <v>0</v>
      </c>
    </row>
    <row r="36" spans="1:24" ht="33.75" customHeight="1">
      <c r="A36" s="2"/>
      <c r="B36" s="6">
        <v>44435</v>
      </c>
      <c r="C36" s="7"/>
      <c r="D36" s="143"/>
      <c r="E36" s="143"/>
      <c r="F36" s="13"/>
      <c r="G36" s="11"/>
      <c r="H36" s="173">
        <f>F36*8.79</f>
        <v>0</v>
      </c>
      <c r="I36" s="174"/>
      <c r="J36" s="174"/>
      <c r="K36" s="60">
        <v>42304</v>
      </c>
      <c r="L36" s="90"/>
      <c r="M36" s="91"/>
      <c r="N36" s="91"/>
      <c r="O36" s="91">
        <f t="shared" si="2"/>
        <v>0</v>
      </c>
      <c r="P36" s="11"/>
      <c r="Q36" s="34">
        <f t="shared" si="3"/>
        <v>0</v>
      </c>
      <c r="R36" s="11"/>
      <c r="S36" s="28"/>
      <c r="T36" s="11"/>
      <c r="U36" s="28"/>
      <c r="V36" s="146"/>
      <c r="W36" s="11"/>
      <c r="X36" s="34">
        <f t="shared" si="1"/>
        <v>0</v>
      </c>
    </row>
    <row r="37" spans="1:24" ht="33.75" customHeight="1">
      <c r="A37" s="2"/>
      <c r="B37" s="6">
        <v>44436</v>
      </c>
      <c r="C37" s="7"/>
      <c r="D37" s="143"/>
      <c r="E37" s="143"/>
      <c r="F37" s="13"/>
      <c r="G37" s="11"/>
      <c r="H37" s="173">
        <f t="shared" ref="H37:H38" si="5">F37*8.79</f>
        <v>0</v>
      </c>
      <c r="I37" s="174"/>
      <c r="J37" s="174"/>
      <c r="K37" s="60"/>
      <c r="L37" s="90"/>
      <c r="M37" s="91"/>
      <c r="N37" s="91"/>
      <c r="O37" s="91">
        <f t="shared" si="2"/>
        <v>0</v>
      </c>
      <c r="P37" s="11"/>
      <c r="Q37" s="34">
        <f t="shared" si="3"/>
        <v>0</v>
      </c>
      <c r="R37" s="11"/>
      <c r="S37" s="28"/>
      <c r="T37" s="11"/>
      <c r="U37" s="28"/>
      <c r="V37" s="146"/>
      <c r="W37" s="11"/>
      <c r="X37" s="34">
        <f t="shared" si="1"/>
        <v>0</v>
      </c>
    </row>
    <row r="38" spans="1:24" ht="33.75" customHeight="1">
      <c r="A38" s="2"/>
      <c r="B38" s="6">
        <v>44437</v>
      </c>
      <c r="C38" s="7"/>
      <c r="D38" s="143"/>
      <c r="E38" s="143"/>
      <c r="F38" s="13"/>
      <c r="G38" s="11"/>
      <c r="H38" s="173">
        <f t="shared" si="5"/>
        <v>0</v>
      </c>
      <c r="I38" s="174"/>
      <c r="J38" s="174"/>
      <c r="K38" s="60"/>
      <c r="L38" s="90"/>
      <c r="M38" s="91"/>
      <c r="N38" s="91"/>
      <c r="O38" s="91">
        <f t="shared" si="2"/>
        <v>0</v>
      </c>
      <c r="P38" s="11"/>
      <c r="Q38" s="34">
        <f t="shared" si="3"/>
        <v>0</v>
      </c>
      <c r="R38" s="11"/>
      <c r="S38" s="28"/>
      <c r="T38" s="11"/>
      <c r="U38" s="28"/>
      <c r="V38" s="146"/>
      <c r="W38" s="11"/>
      <c r="X38" s="34">
        <f t="shared" si="1"/>
        <v>0</v>
      </c>
    </row>
    <row r="39" spans="1:24" s="153" customFormat="1" ht="33.75" customHeight="1">
      <c r="A39" s="2"/>
      <c r="B39" s="6">
        <v>44438</v>
      </c>
      <c r="C39" s="7"/>
      <c r="D39" s="143"/>
      <c r="E39" s="143"/>
      <c r="F39" s="13"/>
      <c r="G39" s="11"/>
      <c r="H39" s="173">
        <f t="shared" ref="H39:H40" si="6">F39*8.79</f>
        <v>0</v>
      </c>
      <c r="I39" s="174"/>
      <c r="J39" s="174"/>
      <c r="K39" s="60"/>
      <c r="L39" s="90"/>
      <c r="M39" s="91"/>
      <c r="N39" s="91"/>
      <c r="O39" s="91">
        <f t="shared" si="2"/>
        <v>0</v>
      </c>
      <c r="P39" s="11"/>
      <c r="Q39" s="34">
        <f t="shared" si="3"/>
        <v>0</v>
      </c>
      <c r="R39" s="11"/>
      <c r="S39" s="28"/>
      <c r="T39" s="11"/>
      <c r="U39" s="28"/>
      <c r="V39" s="146"/>
      <c r="W39" s="11"/>
      <c r="X39" s="34">
        <f t="shared" si="1"/>
        <v>0</v>
      </c>
    </row>
    <row r="40" spans="1:24" ht="33.75" customHeight="1">
      <c r="A40" s="2"/>
      <c r="B40" s="6">
        <v>44439</v>
      </c>
      <c r="C40" s="7"/>
      <c r="D40" s="143"/>
      <c r="E40" s="143"/>
      <c r="F40" s="13"/>
      <c r="G40" s="11"/>
      <c r="H40" s="173">
        <f t="shared" si="6"/>
        <v>0</v>
      </c>
      <c r="I40" s="174"/>
      <c r="J40" s="174"/>
      <c r="K40" s="60"/>
      <c r="L40" s="90"/>
      <c r="M40" s="91"/>
      <c r="N40" s="91"/>
      <c r="O40" s="91">
        <f t="shared" si="2"/>
        <v>0</v>
      </c>
      <c r="P40" s="11"/>
      <c r="Q40" s="34">
        <f t="shared" si="3"/>
        <v>0</v>
      </c>
      <c r="R40" s="11"/>
      <c r="S40" s="28"/>
      <c r="T40" s="11"/>
      <c r="U40" s="28"/>
      <c r="V40" s="146"/>
      <c r="W40" s="11"/>
      <c r="X40" s="34">
        <f t="shared" si="1"/>
        <v>0</v>
      </c>
    </row>
    <row r="41" spans="1:24" ht="42.75" customHeight="1">
      <c r="A41" s="2"/>
      <c r="B41" s="10"/>
      <c r="C41" s="10"/>
      <c r="D41" s="8">
        <f>SUM(D10:D40)</f>
        <v>749</v>
      </c>
      <c r="E41" s="8">
        <f>SUM(E10:E40)</f>
        <v>1263</v>
      </c>
      <c r="F41" s="152">
        <f>SUM(F10:F40)</f>
        <v>1128.5</v>
      </c>
      <c r="G41" s="1"/>
      <c r="H41" s="254">
        <f>SUM(H10:H40)</f>
        <v>9919.5149999999976</v>
      </c>
      <c r="I41" s="255"/>
      <c r="J41" s="256"/>
      <c r="K41" s="1"/>
      <c r="L41" s="53">
        <f>SUM(L10:L40)</f>
        <v>33317</v>
      </c>
      <c r="M41" s="53">
        <f>SUM(M10:M40)</f>
        <v>71883</v>
      </c>
      <c r="N41" s="54">
        <f>SUM(N10:N40)</f>
        <v>27300</v>
      </c>
      <c r="O41" s="55">
        <f>SUM(O10:O40)</f>
        <v>132500</v>
      </c>
      <c r="P41" s="31"/>
      <c r="Q41" s="32">
        <f>SUM(Q10:Q40)</f>
        <v>128034.54670000001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2283.2747200000003</v>
      </c>
      <c r="W41" s="31"/>
      <c r="X41" s="32">
        <f>SUM(X10:X40)</f>
        <v>20572.305227199999</v>
      </c>
    </row>
    <row r="42" spans="1:24" s="5" customFormat="1" ht="12.75" customHeight="1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L42" s="168"/>
      <c r="M42" s="168"/>
      <c r="N42" s="168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>
      <c r="A43" s="209" t="s">
        <v>33</v>
      </c>
      <c r="B43" s="210"/>
      <c r="C43" s="210"/>
      <c r="D43" s="210"/>
      <c r="E43" s="210"/>
      <c r="F43" s="211"/>
      <c r="G43" s="26"/>
      <c r="H43" s="27" t="s">
        <v>34</v>
      </c>
      <c r="I43" s="248" t="s">
        <v>35</v>
      </c>
      <c r="J43" s="249"/>
      <c r="K43" s="250"/>
      <c r="L43" s="223" t="s">
        <v>36</v>
      </c>
      <c r="M43" s="224"/>
      <c r="N43" s="209" t="s">
        <v>37</v>
      </c>
      <c r="O43" s="210"/>
      <c r="P43" s="210"/>
      <c r="Q43" s="210"/>
      <c r="R43" s="210"/>
      <c r="S43" s="210"/>
      <c r="T43" s="210"/>
      <c r="U43" s="210"/>
      <c r="V43" s="210"/>
      <c r="W43" s="210"/>
      <c r="X43" s="211"/>
    </row>
    <row r="44" spans="1:24" s="18" customFormat="1" ht="29.25" customHeight="1" thickBot="1">
      <c r="A44" s="217" t="s">
        <v>38</v>
      </c>
      <c r="B44" s="218"/>
      <c r="C44" s="219"/>
      <c r="D44" s="164" t="s">
        <v>30</v>
      </c>
      <c r="E44" s="164" t="s">
        <v>30</v>
      </c>
      <c r="F44" s="164" t="s">
        <v>30</v>
      </c>
      <c r="G44" s="16"/>
      <c r="H44" s="17">
        <v>0.69850000000000001</v>
      </c>
      <c r="I44" s="214">
        <f>L41</f>
        <v>33317</v>
      </c>
      <c r="J44" s="215"/>
      <c r="K44" s="216"/>
      <c r="L44" s="175">
        <f>I44*H44</f>
        <v>23271.924500000001</v>
      </c>
      <c r="M44" s="176"/>
      <c r="N44" s="232">
        <f>L44+L45+L46</f>
        <v>127981.33070000001</v>
      </c>
      <c r="O44" s="233"/>
      <c r="P44" s="233"/>
      <c r="Q44" s="233"/>
      <c r="R44" s="233"/>
      <c r="S44" s="233"/>
      <c r="T44" s="233"/>
      <c r="U44" s="233"/>
      <c r="V44" s="233"/>
      <c r="W44" s="233"/>
      <c r="X44" s="234"/>
    </row>
    <row r="45" spans="1:24" s="18" customFormat="1" ht="29.25" customHeight="1" thickBot="1">
      <c r="A45" s="220"/>
      <c r="B45" s="221"/>
      <c r="C45" s="222"/>
      <c r="D45" s="163" t="s">
        <v>31</v>
      </c>
      <c r="E45" s="163" t="s">
        <v>31</v>
      </c>
      <c r="F45" s="163" t="s">
        <v>31</v>
      </c>
      <c r="G45" s="16"/>
      <c r="H45" s="19">
        <v>0.95140000000000002</v>
      </c>
      <c r="I45" s="214">
        <f>M41</f>
        <v>71883</v>
      </c>
      <c r="J45" s="215"/>
      <c r="K45" s="216"/>
      <c r="L45" s="175">
        <f>I45*H45</f>
        <v>68389.486199999999</v>
      </c>
      <c r="M45" s="176"/>
      <c r="N45" s="235"/>
      <c r="O45" s="236"/>
      <c r="P45" s="236"/>
      <c r="Q45" s="236"/>
      <c r="R45" s="236"/>
      <c r="S45" s="236"/>
      <c r="T45" s="236"/>
      <c r="U45" s="236"/>
      <c r="V45" s="236"/>
      <c r="W45" s="236"/>
      <c r="X45" s="237"/>
    </row>
    <row r="46" spans="1:24" s="18" customFormat="1" ht="24.75" customHeight="1" thickBot="1">
      <c r="A46" s="220"/>
      <c r="B46" s="221"/>
      <c r="C46" s="222"/>
      <c r="D46" s="160" t="s">
        <v>32</v>
      </c>
      <c r="E46" s="160" t="s">
        <v>32</v>
      </c>
      <c r="F46" s="160" t="s">
        <v>32</v>
      </c>
      <c r="G46" s="20"/>
      <c r="H46" s="20">
        <v>1.3304</v>
      </c>
      <c r="I46" s="245">
        <f>N41</f>
        <v>27300</v>
      </c>
      <c r="J46" s="246"/>
      <c r="K46" s="247"/>
      <c r="L46" s="175">
        <f>I46*H46</f>
        <v>36319.919999999998</v>
      </c>
      <c r="M46" s="176"/>
      <c r="N46" s="238"/>
      <c r="O46" s="239"/>
      <c r="P46" s="239"/>
      <c r="Q46" s="239"/>
      <c r="R46" s="239"/>
      <c r="S46" s="239"/>
      <c r="T46" s="239"/>
      <c r="U46" s="239"/>
      <c r="V46" s="239"/>
      <c r="W46" s="239"/>
      <c r="X46" s="240"/>
    </row>
    <row r="47" spans="1:24" s="18" customFormat="1" ht="43.5" customHeight="1" thickBot="1">
      <c r="A47" s="165"/>
      <c r="B47" s="166"/>
      <c r="C47" s="166"/>
      <c r="D47" s="160"/>
      <c r="E47" s="160"/>
      <c r="F47" s="160"/>
      <c r="G47" s="16"/>
      <c r="H47" s="16"/>
      <c r="I47" s="158"/>
      <c r="J47" s="159"/>
      <c r="K47" s="160"/>
      <c r="L47" s="161"/>
      <c r="M47" s="162"/>
      <c r="N47" s="251">
        <f>N44*1.3</f>
        <v>166375.72991000002</v>
      </c>
      <c r="O47" s="252"/>
      <c r="P47" s="252"/>
      <c r="Q47" s="252"/>
      <c r="R47" s="252"/>
      <c r="S47" s="252"/>
      <c r="T47" s="252"/>
      <c r="U47" s="252"/>
      <c r="V47" s="252"/>
      <c r="W47" s="252"/>
      <c r="X47" s="253"/>
    </row>
    <row r="48" spans="1:24" s="23" customFormat="1" ht="32.25" customHeight="1" thickBot="1">
      <c r="A48" s="206" t="s">
        <v>39</v>
      </c>
      <c r="B48" s="207"/>
      <c r="C48" s="207"/>
      <c r="D48" s="207"/>
      <c r="E48" s="207"/>
      <c r="F48" s="208"/>
      <c r="G48" s="21"/>
      <c r="H48" s="22">
        <v>8.7899999999999991</v>
      </c>
      <c r="I48" s="206">
        <f>F41</f>
        <v>1128.5</v>
      </c>
      <c r="J48" s="207"/>
      <c r="K48" s="208"/>
      <c r="L48" s="212">
        <f>I48*H48</f>
        <v>9919.5149999999994</v>
      </c>
      <c r="M48" s="213"/>
      <c r="N48" s="229">
        <f>L48</f>
        <v>9919.5149999999994</v>
      </c>
      <c r="O48" s="230"/>
      <c r="P48" s="230"/>
      <c r="Q48" s="230"/>
      <c r="R48" s="230"/>
      <c r="S48" s="230"/>
      <c r="T48" s="230"/>
      <c r="U48" s="230"/>
      <c r="V48" s="230"/>
      <c r="W48" s="230"/>
      <c r="X48" s="231"/>
    </row>
    <row r="49" spans="1:24" s="23" customFormat="1" ht="36.75" customHeight="1">
      <c r="A49" s="241" t="s">
        <v>40</v>
      </c>
      <c r="B49" s="242"/>
      <c r="C49" s="242"/>
      <c r="D49" s="242"/>
      <c r="E49" s="242"/>
      <c r="F49" s="243"/>
      <c r="G49" s="24"/>
      <c r="H49" s="25">
        <v>9.01</v>
      </c>
      <c r="I49" s="204">
        <f>V41</f>
        <v>2283.2747200000003</v>
      </c>
      <c r="J49" s="244"/>
      <c r="K49" s="205"/>
      <c r="L49" s="204">
        <f>I49*H49</f>
        <v>20572.305227200002</v>
      </c>
      <c r="M49" s="205"/>
      <c r="N49" s="226">
        <f>L49</f>
        <v>20572.305227200002</v>
      </c>
      <c r="O49" s="227"/>
      <c r="P49" s="227"/>
      <c r="Q49" s="227"/>
      <c r="R49" s="227"/>
      <c r="S49" s="227"/>
      <c r="T49" s="227"/>
      <c r="U49" s="227"/>
      <c r="V49" s="227"/>
      <c r="W49" s="227"/>
      <c r="X49" s="228"/>
    </row>
    <row r="50" spans="1:24" ht="27" customHeight="1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>
      <c r="A51" s="157"/>
      <c r="B51" s="157"/>
      <c r="C51" s="157"/>
      <c r="D51" s="157"/>
      <c r="E51" s="157"/>
      <c r="F51" s="157"/>
      <c r="G51" s="157"/>
      <c r="H51" s="157"/>
      <c r="I51" s="157"/>
      <c r="J51" s="157"/>
      <c r="K51" s="157"/>
      <c r="L51" s="157"/>
      <c r="M51" s="157"/>
      <c r="N51" s="157"/>
      <c r="O51" s="157"/>
      <c r="P51" s="157"/>
      <c r="Q51" s="157"/>
      <c r="R51" s="157"/>
      <c r="S51" s="157"/>
      <c r="T51" s="157"/>
      <c r="U51" s="157"/>
      <c r="V51" s="157"/>
      <c r="W51" s="157"/>
      <c r="X51" s="157"/>
    </row>
    <row r="55" spans="1:24" ht="39" customHeight="1">
      <c r="A55" s="157"/>
      <c r="B55" s="225"/>
      <c r="C55" s="225"/>
      <c r="D55" s="225"/>
      <c r="E55" s="225"/>
      <c r="F55" s="225"/>
      <c r="G55" s="225"/>
      <c r="H55" s="225"/>
      <c r="I55" s="225"/>
      <c r="J55" s="225"/>
      <c r="K55" s="225"/>
      <c r="L55" s="225"/>
      <c r="M55" s="225"/>
      <c r="N55" s="225"/>
      <c r="O55" s="225"/>
      <c r="P55" s="225"/>
      <c r="Q55" s="225"/>
      <c r="R55" s="225"/>
      <c r="S55" s="225"/>
      <c r="T55" s="225"/>
      <c r="U55" s="225"/>
      <c r="V55" s="225"/>
      <c r="W55" s="225"/>
      <c r="X55" s="225"/>
    </row>
  </sheetData>
  <mergeCells count="73"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H25:J25"/>
    <mergeCell ref="H20:J20"/>
    <mergeCell ref="H24:J24"/>
    <mergeCell ref="H21:J21"/>
    <mergeCell ref="H19:J19"/>
    <mergeCell ref="H23:J23"/>
    <mergeCell ref="H36:J36"/>
    <mergeCell ref="L44:M44"/>
    <mergeCell ref="H33:J33"/>
    <mergeCell ref="H31:J31"/>
    <mergeCell ref="H35:J35"/>
    <mergeCell ref="H37:J37"/>
    <mergeCell ref="H38:J38"/>
    <mergeCell ref="H40:J40"/>
    <mergeCell ref="H39:J39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13" activePane="bottomRight" state="frozen"/>
      <selection pane="bottomRight" activeCell="K16" sqref="K16:K17"/>
      <selection pane="bottomLeft" activeCell="A9" sqref="A9"/>
      <selection pane="topRight" activeCell="B1" sqref="B1"/>
    </sheetView>
  </sheetViews>
  <sheetFormatPr defaultColWidth="11.42578125" defaultRowHeight="18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>
      <c r="A1" s="276"/>
      <c r="B1" s="277"/>
      <c r="C1" s="277"/>
      <c r="D1" s="278"/>
      <c r="E1" s="259" t="s">
        <v>41</v>
      </c>
      <c r="F1" s="260"/>
      <c r="G1" s="260"/>
      <c r="H1" s="260"/>
      <c r="I1" s="261"/>
      <c r="J1" s="268" t="s">
        <v>42</v>
      </c>
      <c r="K1" s="269"/>
      <c r="L1" s="49"/>
    </row>
    <row r="2" spans="1:12" ht="16.5" customHeight="1">
      <c r="A2" s="279"/>
      <c r="B2" s="280"/>
      <c r="C2" s="280"/>
      <c r="D2" s="281"/>
      <c r="E2" s="262"/>
      <c r="F2" s="263"/>
      <c r="G2" s="263"/>
      <c r="H2" s="263"/>
      <c r="I2" s="264"/>
      <c r="J2" s="270"/>
      <c r="K2" s="271"/>
      <c r="L2" s="49"/>
    </row>
    <row r="3" spans="1:12" ht="48" customHeight="1">
      <c r="A3" s="282"/>
      <c r="B3" s="283"/>
      <c r="C3" s="283"/>
      <c r="D3" s="284"/>
      <c r="E3" s="265"/>
      <c r="F3" s="266"/>
      <c r="G3" s="266"/>
      <c r="H3" s="266"/>
      <c r="I3" s="267"/>
      <c r="J3" s="272"/>
      <c r="K3" s="273"/>
      <c r="L3" s="49"/>
    </row>
    <row r="6" spans="1:12" ht="10.5" customHeight="1">
      <c r="A6" s="169"/>
      <c r="B6" s="169"/>
      <c r="C6" s="169"/>
    </row>
    <row r="7" spans="1:12" ht="16.5" customHeight="1">
      <c r="A7" s="257" t="s">
        <v>43</v>
      </c>
      <c r="B7" s="285" t="s">
        <v>44</v>
      </c>
      <c r="C7" s="286"/>
      <c r="D7" s="274" t="s">
        <v>45</v>
      </c>
      <c r="E7" s="274"/>
      <c r="F7" s="275" t="s">
        <v>46</v>
      </c>
      <c r="G7" s="275"/>
      <c r="H7" s="275"/>
      <c r="I7" s="275"/>
      <c r="J7" s="275"/>
      <c r="K7" s="275"/>
    </row>
    <row r="8" spans="1:12" s="29" customFormat="1" ht="28.5" customHeight="1">
      <c r="A8" s="258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>
      <c r="A9" s="59">
        <v>44409</v>
      </c>
      <c r="B9" s="116">
        <v>2559</v>
      </c>
      <c r="C9" s="115">
        <v>0</v>
      </c>
      <c r="D9" s="57">
        <v>117748.9</v>
      </c>
      <c r="E9" s="50">
        <v>116.39999999999418</v>
      </c>
      <c r="F9" s="51">
        <v>10808905</v>
      </c>
      <c r="G9" s="50">
        <v>3789</v>
      </c>
      <c r="H9" s="51">
        <v>18313415</v>
      </c>
      <c r="I9" s="50">
        <v>8010</v>
      </c>
      <c r="J9" s="51">
        <v>8072575</v>
      </c>
      <c r="K9" s="50">
        <v>2981</v>
      </c>
    </row>
    <row r="10" spans="1:12" ht="19.5">
      <c r="A10" s="59">
        <v>44410</v>
      </c>
      <c r="B10" s="116">
        <v>2559</v>
      </c>
      <c r="C10" s="115">
        <f>B10-B9</f>
        <v>0</v>
      </c>
      <c r="D10" s="57">
        <v>117855.3</v>
      </c>
      <c r="E10" s="50">
        <f>D10-D9</f>
        <v>106.40000000000873</v>
      </c>
      <c r="F10" s="51">
        <v>10812228</v>
      </c>
      <c r="G10" s="50">
        <f>F10-F9</f>
        <v>3323</v>
      </c>
      <c r="H10" s="51">
        <v>18321227</v>
      </c>
      <c r="I10" s="50">
        <f>H10-H9</f>
        <v>7812</v>
      </c>
      <c r="J10" s="51">
        <v>8075460</v>
      </c>
      <c r="K10" s="50">
        <f>J10-J9</f>
        <v>2885</v>
      </c>
    </row>
    <row r="11" spans="1:12" ht="19.5">
      <c r="A11" s="59">
        <v>44411</v>
      </c>
      <c r="B11" s="116">
        <v>2559</v>
      </c>
      <c r="C11" s="115">
        <f>B11-B10</f>
        <v>0</v>
      </c>
      <c r="D11" s="57">
        <v>118092.9</v>
      </c>
      <c r="E11" s="50">
        <f>D11-D10</f>
        <v>237.59999999999127</v>
      </c>
      <c r="F11" s="51">
        <v>10815583</v>
      </c>
      <c r="G11" s="50">
        <f>F11-F10</f>
        <v>3355</v>
      </c>
      <c r="H11" s="51">
        <v>18329054</v>
      </c>
      <c r="I11" s="50">
        <f>H11-H10</f>
        <v>7827</v>
      </c>
      <c r="J11" s="51">
        <v>8078736</v>
      </c>
      <c r="K11" s="50">
        <f>J11-J10</f>
        <v>3276</v>
      </c>
    </row>
    <row r="12" spans="1:12" ht="19.5">
      <c r="A12" s="59">
        <v>44412</v>
      </c>
      <c r="B12" s="116">
        <v>2559</v>
      </c>
      <c r="C12" s="115">
        <f>B12-B11</f>
        <v>0</v>
      </c>
      <c r="D12" s="57">
        <v>118216.4</v>
      </c>
      <c r="E12" s="50">
        <f>D12-D11</f>
        <v>123.5</v>
      </c>
      <c r="F12" s="51">
        <v>10818811</v>
      </c>
      <c r="G12" s="50">
        <f>F12-F11</f>
        <v>3228</v>
      </c>
      <c r="H12" s="51">
        <v>18336635</v>
      </c>
      <c r="I12" s="50">
        <f>H12-H11</f>
        <v>7581</v>
      </c>
      <c r="J12" s="51">
        <v>8081850</v>
      </c>
      <c r="K12" s="50">
        <f>J12-J11</f>
        <v>3114</v>
      </c>
    </row>
    <row r="13" spans="1:12" ht="19.5">
      <c r="A13" s="59">
        <v>44413</v>
      </c>
      <c r="B13" s="116">
        <v>2559</v>
      </c>
      <c r="C13" s="115">
        <f>B13-B12</f>
        <v>0</v>
      </c>
      <c r="D13" s="57">
        <v>118320.1</v>
      </c>
      <c r="E13" s="50">
        <f>D13-D12</f>
        <v>103.70000000001164</v>
      </c>
      <c r="F13" s="51">
        <v>10823062</v>
      </c>
      <c r="G13" s="50">
        <f>F13-F12</f>
        <v>4251</v>
      </c>
      <c r="H13" s="51">
        <v>18344576</v>
      </c>
      <c r="I13" s="50">
        <f>H13-H12</f>
        <v>7941</v>
      </c>
      <c r="J13" s="51">
        <v>8084775</v>
      </c>
      <c r="K13" s="50">
        <f>J13-J12</f>
        <v>2925</v>
      </c>
    </row>
    <row r="14" spans="1:12" ht="19.5">
      <c r="A14" s="59">
        <v>44414</v>
      </c>
      <c r="B14" s="116">
        <v>2559</v>
      </c>
      <c r="C14" s="115">
        <f>B14-B13</f>
        <v>0</v>
      </c>
      <c r="D14" s="57">
        <v>118427.2</v>
      </c>
      <c r="E14" s="50">
        <f>D14-D13</f>
        <v>107.09999999999127</v>
      </c>
      <c r="F14" s="51">
        <v>10826821</v>
      </c>
      <c r="G14" s="50">
        <f>F14-F13</f>
        <v>3759</v>
      </c>
      <c r="H14" s="51">
        <v>18352761</v>
      </c>
      <c r="I14" s="50">
        <f>H14-H13</f>
        <v>8185</v>
      </c>
      <c r="J14" s="51">
        <v>8088138</v>
      </c>
      <c r="K14" s="50">
        <f>J14-J13</f>
        <v>3363</v>
      </c>
    </row>
    <row r="15" spans="1:12" ht="19.5">
      <c r="A15" s="59">
        <v>44415</v>
      </c>
      <c r="B15" s="116">
        <v>2559</v>
      </c>
      <c r="C15" s="115">
        <f>B15-B14</f>
        <v>0</v>
      </c>
      <c r="D15" s="57">
        <v>118552.3</v>
      </c>
      <c r="E15" s="50">
        <f>D15-D14</f>
        <v>125.10000000000582</v>
      </c>
      <c r="F15" s="51">
        <v>10830976</v>
      </c>
      <c r="G15" s="50">
        <f>F15-F14</f>
        <v>4155</v>
      </c>
      <c r="H15" s="51">
        <v>18361709</v>
      </c>
      <c r="I15" s="50">
        <f>H15-H14</f>
        <v>8948</v>
      </c>
      <c r="J15" s="51">
        <v>8091502</v>
      </c>
      <c r="K15" s="50">
        <f>J15-J14</f>
        <v>3364</v>
      </c>
    </row>
    <row r="16" spans="1:12" ht="19.5">
      <c r="A16" s="59">
        <v>44416</v>
      </c>
      <c r="B16" s="116">
        <v>2559</v>
      </c>
      <c r="C16" s="115">
        <f>B16-B15</f>
        <v>0</v>
      </c>
      <c r="D16" s="57">
        <v>118669.9</v>
      </c>
      <c r="E16" s="50">
        <f>D16-D15</f>
        <v>117.59999999999127</v>
      </c>
      <c r="F16" s="51">
        <v>10834873</v>
      </c>
      <c r="G16" s="50">
        <f>F16-F15</f>
        <v>3897</v>
      </c>
      <c r="H16" s="51">
        <v>18369808</v>
      </c>
      <c r="I16" s="50">
        <f>H16-H15</f>
        <v>8099</v>
      </c>
      <c r="J16" s="51">
        <v>8094284</v>
      </c>
      <c r="K16" s="50">
        <f>J16-J15</f>
        <v>2782</v>
      </c>
    </row>
    <row r="17" spans="1:29" ht="19.5">
      <c r="A17" s="59">
        <v>44417</v>
      </c>
      <c r="B17" s="116">
        <v>2559</v>
      </c>
      <c r="C17" s="115">
        <f>B17-B16</f>
        <v>0</v>
      </c>
      <c r="D17" s="57">
        <v>118761</v>
      </c>
      <c r="E17" s="50">
        <f>D17-D16</f>
        <v>91.100000000005821</v>
      </c>
      <c r="F17" s="51">
        <v>10838433</v>
      </c>
      <c r="G17" s="50">
        <f>F17-F16</f>
        <v>3560</v>
      </c>
      <c r="H17" s="51">
        <v>18377288</v>
      </c>
      <c r="I17" s="50">
        <f>H17-H16</f>
        <v>7480</v>
      </c>
      <c r="J17" s="51">
        <v>8096894</v>
      </c>
      <c r="K17" s="50">
        <f>J17-J16</f>
        <v>2610</v>
      </c>
    </row>
    <row r="18" spans="1:29" ht="19.5">
      <c r="A18" s="59">
        <v>44418</v>
      </c>
      <c r="B18" s="116"/>
      <c r="C18" s="115"/>
      <c r="D18" s="57"/>
      <c r="E18" s="50"/>
      <c r="F18" s="51"/>
      <c r="G18" s="50"/>
      <c r="H18" s="51"/>
      <c r="I18" s="50"/>
      <c r="J18" s="51"/>
      <c r="K18" s="50"/>
    </row>
    <row r="19" spans="1:29" ht="19.5">
      <c r="A19" s="59">
        <v>44419</v>
      </c>
      <c r="B19" s="116"/>
      <c r="C19" s="115">
        <f t="shared" ref="C11:D40" si="0">B19-B18</f>
        <v>0</v>
      </c>
      <c r="D19" s="57"/>
      <c r="E19" s="50">
        <f t="shared" ref="E11:E40" si="1">D19-D18</f>
        <v>0</v>
      </c>
      <c r="F19" s="51"/>
      <c r="G19" s="50">
        <f t="shared" ref="G11:G40" si="2">F19-F18</f>
        <v>0</v>
      </c>
      <c r="H19" s="51"/>
      <c r="I19" s="50">
        <f t="shared" ref="I11:I40" si="3">H19-H18</f>
        <v>0</v>
      </c>
      <c r="J19" s="51"/>
      <c r="K19" s="50">
        <f t="shared" ref="K11:K40" si="4">J19-J18</f>
        <v>0</v>
      </c>
    </row>
    <row r="20" spans="1:29" ht="25.5">
      <c r="A20" s="59">
        <v>44420</v>
      </c>
      <c r="B20" s="116"/>
      <c r="C20" s="115">
        <f t="shared" si="0"/>
        <v>0</v>
      </c>
      <c r="D20" s="57"/>
      <c r="E20" s="50">
        <f t="shared" si="1"/>
        <v>0</v>
      </c>
      <c r="F20" s="51"/>
      <c r="G20" s="50">
        <f t="shared" si="2"/>
        <v>0</v>
      </c>
      <c r="H20" s="51"/>
      <c r="I20" s="50">
        <f t="shared" si="3"/>
        <v>0</v>
      </c>
      <c r="J20" s="51"/>
      <c r="K20" s="50">
        <f t="shared" si="4"/>
        <v>0</v>
      </c>
      <c r="L20" s="117" t="s">
        <v>18</v>
      </c>
      <c r="AC20" t="s">
        <v>56</v>
      </c>
    </row>
    <row r="21" spans="1:29" ht="19.5">
      <c r="A21" s="59">
        <v>44421</v>
      </c>
      <c r="B21" s="116"/>
      <c r="C21" s="115">
        <f t="shared" si="0"/>
        <v>0</v>
      </c>
      <c r="D21" s="57"/>
      <c r="E21" s="50">
        <f t="shared" si="1"/>
        <v>0</v>
      </c>
      <c r="F21" s="51"/>
      <c r="G21" s="50">
        <f t="shared" si="2"/>
        <v>0</v>
      </c>
      <c r="H21" s="51"/>
      <c r="I21" s="50">
        <f t="shared" si="3"/>
        <v>0</v>
      </c>
      <c r="J21" s="51"/>
      <c r="K21" s="50">
        <f t="shared" si="4"/>
        <v>0</v>
      </c>
    </row>
    <row r="22" spans="1:29" ht="19.5">
      <c r="A22" s="59">
        <v>44422</v>
      </c>
      <c r="B22" s="116"/>
      <c r="C22" s="115">
        <f t="shared" si="0"/>
        <v>0</v>
      </c>
      <c r="D22" s="57"/>
      <c r="E22" s="50">
        <f t="shared" si="1"/>
        <v>0</v>
      </c>
      <c r="F22" s="51"/>
      <c r="G22" s="50">
        <f t="shared" si="2"/>
        <v>0</v>
      </c>
      <c r="H22" s="51"/>
      <c r="I22" s="50">
        <f t="shared" si="3"/>
        <v>0</v>
      </c>
      <c r="J22" s="51"/>
      <c r="K22" s="50">
        <f t="shared" si="4"/>
        <v>0</v>
      </c>
    </row>
    <row r="23" spans="1:29" ht="19.5">
      <c r="A23" s="59">
        <v>44423</v>
      </c>
      <c r="B23" s="116"/>
      <c r="C23" s="115">
        <f t="shared" si="0"/>
        <v>0</v>
      </c>
      <c r="D23" s="57"/>
      <c r="E23" s="50">
        <f t="shared" si="1"/>
        <v>0</v>
      </c>
      <c r="F23" s="51"/>
      <c r="G23" s="50">
        <f t="shared" si="2"/>
        <v>0</v>
      </c>
      <c r="H23" s="51"/>
      <c r="I23" s="50">
        <f t="shared" si="3"/>
        <v>0</v>
      </c>
      <c r="J23" s="51"/>
      <c r="K23" s="50">
        <f t="shared" si="4"/>
        <v>0</v>
      </c>
    </row>
    <row r="24" spans="1:29" ht="19.5">
      <c r="A24" s="59">
        <v>44424</v>
      </c>
      <c r="B24" s="116"/>
      <c r="C24" s="115">
        <f t="shared" si="0"/>
        <v>0</v>
      </c>
      <c r="D24" s="57"/>
      <c r="E24" s="50">
        <f t="shared" si="1"/>
        <v>0</v>
      </c>
      <c r="F24" s="51"/>
      <c r="G24" s="50">
        <f t="shared" si="2"/>
        <v>0</v>
      </c>
      <c r="H24" s="51"/>
      <c r="I24" s="50">
        <f t="shared" si="3"/>
        <v>0</v>
      </c>
      <c r="J24" s="51"/>
      <c r="K24" s="50">
        <f t="shared" si="4"/>
        <v>0</v>
      </c>
    </row>
    <row r="25" spans="1:29" ht="19.5">
      <c r="A25" s="59">
        <v>44425</v>
      </c>
      <c r="B25" s="116"/>
      <c r="C25" s="115">
        <f t="shared" si="0"/>
        <v>0</v>
      </c>
      <c r="D25" s="57"/>
      <c r="E25" s="50">
        <f t="shared" si="1"/>
        <v>0</v>
      </c>
      <c r="F25" s="51"/>
      <c r="G25" s="50">
        <f t="shared" si="2"/>
        <v>0</v>
      </c>
      <c r="H25" s="51"/>
      <c r="I25" s="50">
        <f t="shared" si="3"/>
        <v>0</v>
      </c>
      <c r="J25" s="51"/>
      <c r="K25" s="50">
        <f t="shared" si="4"/>
        <v>0</v>
      </c>
    </row>
    <row r="26" spans="1:29" ht="19.5">
      <c r="A26" s="59">
        <v>44426</v>
      </c>
      <c r="B26" s="116"/>
      <c r="C26" s="115">
        <f t="shared" si="0"/>
        <v>0</v>
      </c>
      <c r="D26" s="57"/>
      <c r="E26" s="50">
        <f t="shared" si="1"/>
        <v>0</v>
      </c>
      <c r="F26" s="51"/>
      <c r="G26" s="50">
        <f t="shared" si="2"/>
        <v>0</v>
      </c>
      <c r="H26" s="51"/>
      <c r="I26" s="50">
        <f t="shared" si="3"/>
        <v>0</v>
      </c>
      <c r="J26" s="51"/>
      <c r="K26" s="50">
        <f t="shared" si="4"/>
        <v>0</v>
      </c>
    </row>
    <row r="27" spans="1:29" ht="19.5">
      <c r="A27" s="59">
        <v>44427</v>
      </c>
      <c r="B27" s="116"/>
      <c r="C27" s="115">
        <f t="shared" si="0"/>
        <v>0</v>
      </c>
      <c r="D27" s="57"/>
      <c r="E27" s="50">
        <f t="shared" si="1"/>
        <v>0</v>
      </c>
      <c r="F27" s="51"/>
      <c r="G27" s="50">
        <f t="shared" si="2"/>
        <v>0</v>
      </c>
      <c r="H27" s="51"/>
      <c r="I27" s="50">
        <f t="shared" si="3"/>
        <v>0</v>
      </c>
      <c r="J27" s="51"/>
      <c r="K27" s="50">
        <f t="shared" si="4"/>
        <v>0</v>
      </c>
    </row>
    <row r="28" spans="1:29" ht="19.5">
      <c r="A28" s="59">
        <v>44428</v>
      </c>
      <c r="B28" s="116"/>
      <c r="C28" s="115">
        <f t="shared" si="0"/>
        <v>0</v>
      </c>
      <c r="D28" s="57"/>
      <c r="E28" s="50">
        <f t="shared" si="1"/>
        <v>0</v>
      </c>
      <c r="F28" s="51"/>
      <c r="G28" s="50">
        <f t="shared" si="2"/>
        <v>0</v>
      </c>
      <c r="H28" s="51"/>
      <c r="I28" s="50">
        <f t="shared" si="3"/>
        <v>0</v>
      </c>
      <c r="J28" s="51"/>
      <c r="K28" s="50">
        <f t="shared" si="4"/>
        <v>0</v>
      </c>
    </row>
    <row r="29" spans="1:29" ht="19.5">
      <c r="A29" s="59">
        <v>44429</v>
      </c>
      <c r="B29" s="116"/>
      <c r="C29" s="115">
        <f t="shared" si="0"/>
        <v>0</v>
      </c>
      <c r="D29" s="57"/>
      <c r="E29" s="50">
        <f t="shared" si="1"/>
        <v>0</v>
      </c>
      <c r="F29" s="51"/>
      <c r="G29" s="50">
        <f t="shared" si="2"/>
        <v>0</v>
      </c>
      <c r="H29" s="51"/>
      <c r="I29" s="50">
        <f t="shared" si="3"/>
        <v>0</v>
      </c>
      <c r="J29" s="51"/>
      <c r="K29" s="50">
        <f t="shared" si="4"/>
        <v>0</v>
      </c>
    </row>
    <row r="30" spans="1:29" ht="19.5">
      <c r="A30" s="59">
        <v>44430</v>
      </c>
      <c r="B30" s="116"/>
      <c r="C30" s="115">
        <f t="shared" si="0"/>
        <v>0</v>
      </c>
      <c r="D30" s="57"/>
      <c r="E30" s="50">
        <f t="shared" si="1"/>
        <v>0</v>
      </c>
      <c r="F30" s="51"/>
      <c r="G30" s="50">
        <f t="shared" si="2"/>
        <v>0</v>
      </c>
      <c r="H30" s="51"/>
      <c r="I30" s="50">
        <f t="shared" si="3"/>
        <v>0</v>
      </c>
      <c r="J30" s="51"/>
      <c r="K30" s="50">
        <f t="shared" si="4"/>
        <v>0</v>
      </c>
    </row>
    <row r="31" spans="1:29" ht="19.5">
      <c r="A31" s="59">
        <v>44431</v>
      </c>
      <c r="B31" s="116"/>
      <c r="C31" s="115">
        <f t="shared" si="0"/>
        <v>0</v>
      </c>
      <c r="D31" s="57"/>
      <c r="E31" s="50">
        <f t="shared" si="1"/>
        <v>0</v>
      </c>
      <c r="F31" s="51"/>
      <c r="G31" s="50">
        <f t="shared" si="2"/>
        <v>0</v>
      </c>
      <c r="H31" s="51"/>
      <c r="I31" s="50">
        <f t="shared" si="3"/>
        <v>0</v>
      </c>
      <c r="J31" s="51"/>
      <c r="K31" s="50">
        <f t="shared" si="4"/>
        <v>0</v>
      </c>
    </row>
    <row r="32" spans="1:29" ht="19.5">
      <c r="A32" s="59">
        <v>44432</v>
      </c>
      <c r="B32" s="116"/>
      <c r="C32" s="115">
        <f t="shared" si="0"/>
        <v>0</v>
      </c>
      <c r="D32" s="57"/>
      <c r="E32" s="50">
        <f t="shared" si="1"/>
        <v>0</v>
      </c>
      <c r="F32" s="51"/>
      <c r="G32" s="50">
        <f t="shared" si="2"/>
        <v>0</v>
      </c>
      <c r="H32" s="51"/>
      <c r="I32" s="50">
        <f t="shared" si="3"/>
        <v>0</v>
      </c>
      <c r="J32" s="51"/>
      <c r="K32" s="50">
        <f t="shared" si="4"/>
        <v>0</v>
      </c>
    </row>
    <row r="33" spans="1:11" ht="19.5">
      <c r="A33" s="59">
        <v>44433</v>
      </c>
      <c r="B33" s="116"/>
      <c r="C33" s="115">
        <f t="shared" si="0"/>
        <v>0</v>
      </c>
      <c r="D33" s="57"/>
      <c r="E33" s="50">
        <f t="shared" si="1"/>
        <v>0</v>
      </c>
      <c r="F33" s="51"/>
      <c r="G33" s="50">
        <f t="shared" si="2"/>
        <v>0</v>
      </c>
      <c r="H33" s="51"/>
      <c r="I33" s="50">
        <f t="shared" si="3"/>
        <v>0</v>
      </c>
      <c r="J33" s="51"/>
      <c r="K33" s="50">
        <f t="shared" si="4"/>
        <v>0</v>
      </c>
    </row>
    <row r="34" spans="1:11" ht="19.5">
      <c r="A34" s="59">
        <v>44434</v>
      </c>
      <c r="B34" s="116"/>
      <c r="C34" s="115">
        <f t="shared" si="0"/>
        <v>0</v>
      </c>
      <c r="D34" s="57"/>
      <c r="E34" s="50">
        <f t="shared" si="1"/>
        <v>0</v>
      </c>
      <c r="F34" s="51"/>
      <c r="G34" s="50">
        <f t="shared" si="2"/>
        <v>0</v>
      </c>
      <c r="H34" s="51"/>
      <c r="I34" s="50">
        <f t="shared" si="3"/>
        <v>0</v>
      </c>
      <c r="J34" s="51"/>
      <c r="K34" s="50">
        <f t="shared" si="4"/>
        <v>0</v>
      </c>
    </row>
    <row r="35" spans="1:11" ht="19.5">
      <c r="A35" s="59">
        <v>44435</v>
      </c>
      <c r="B35" s="116"/>
      <c r="C35" s="115">
        <f t="shared" si="0"/>
        <v>0</v>
      </c>
      <c r="D35" s="57"/>
      <c r="E35" s="50">
        <f t="shared" si="1"/>
        <v>0</v>
      </c>
      <c r="F35" s="51"/>
      <c r="G35" s="50">
        <f t="shared" si="2"/>
        <v>0</v>
      </c>
      <c r="H35" s="51"/>
      <c r="I35" s="50">
        <f t="shared" si="3"/>
        <v>0</v>
      </c>
      <c r="J35" s="51"/>
      <c r="K35" s="50">
        <f t="shared" si="4"/>
        <v>0</v>
      </c>
    </row>
    <row r="36" spans="1:11" ht="19.5">
      <c r="A36" s="59">
        <v>44436</v>
      </c>
      <c r="B36" s="116"/>
      <c r="C36" s="115">
        <f t="shared" si="0"/>
        <v>0</v>
      </c>
      <c r="D36" s="57"/>
      <c r="E36" s="50">
        <f t="shared" si="1"/>
        <v>0</v>
      </c>
      <c r="F36" s="51"/>
      <c r="G36" s="50">
        <f t="shared" si="2"/>
        <v>0</v>
      </c>
      <c r="H36" s="51"/>
      <c r="I36" s="50">
        <f t="shared" si="3"/>
        <v>0</v>
      </c>
      <c r="J36" s="51"/>
      <c r="K36" s="50">
        <f t="shared" si="4"/>
        <v>0</v>
      </c>
    </row>
    <row r="37" spans="1:11" ht="19.5">
      <c r="A37" s="59">
        <v>44437</v>
      </c>
      <c r="B37" s="116"/>
      <c r="C37" s="115">
        <f t="shared" si="0"/>
        <v>0</v>
      </c>
      <c r="D37" s="57"/>
      <c r="E37" s="50">
        <f t="shared" si="1"/>
        <v>0</v>
      </c>
      <c r="F37" s="51"/>
      <c r="G37" s="50">
        <f t="shared" si="2"/>
        <v>0</v>
      </c>
      <c r="H37" s="51"/>
      <c r="I37" s="50">
        <f t="shared" si="3"/>
        <v>0</v>
      </c>
      <c r="J37" s="51"/>
      <c r="K37" s="50">
        <f t="shared" si="4"/>
        <v>0</v>
      </c>
    </row>
    <row r="38" spans="1:11" ht="19.5">
      <c r="A38" s="59">
        <v>44438</v>
      </c>
      <c r="B38" s="116"/>
      <c r="C38" s="115">
        <f t="shared" si="0"/>
        <v>0</v>
      </c>
      <c r="D38" s="57"/>
      <c r="E38" s="50">
        <f t="shared" si="1"/>
        <v>0</v>
      </c>
      <c r="F38" s="51"/>
      <c r="G38" s="50">
        <f t="shared" si="2"/>
        <v>0</v>
      </c>
      <c r="H38" s="51"/>
      <c r="I38" s="50">
        <f t="shared" si="3"/>
        <v>0</v>
      </c>
      <c r="J38" s="51"/>
      <c r="K38" s="50">
        <f t="shared" si="4"/>
        <v>0</v>
      </c>
    </row>
    <row r="39" spans="1:11" ht="19.5">
      <c r="A39" s="59">
        <v>44439</v>
      </c>
      <c r="B39" s="154"/>
      <c r="C39" s="115">
        <f t="shared" si="0"/>
        <v>0</v>
      </c>
      <c r="D39" s="155"/>
      <c r="E39" s="50">
        <f t="shared" si="1"/>
        <v>0</v>
      </c>
      <c r="F39" s="156"/>
      <c r="G39" s="50">
        <f t="shared" si="2"/>
        <v>0</v>
      </c>
      <c r="H39" s="156"/>
      <c r="I39" s="50">
        <f t="shared" si="3"/>
        <v>0</v>
      </c>
      <c r="J39" s="156"/>
      <c r="K39" s="50">
        <f t="shared" si="4"/>
        <v>0</v>
      </c>
    </row>
    <row r="40" spans="1:11" ht="21.75" customHeight="1">
      <c r="A40" s="59">
        <v>44440</v>
      </c>
      <c r="B40" s="154"/>
      <c r="C40" s="115">
        <f t="shared" si="0"/>
        <v>0</v>
      </c>
      <c r="D40" s="155"/>
      <c r="E40" s="50">
        <f t="shared" si="1"/>
        <v>0</v>
      </c>
      <c r="F40" s="156"/>
      <c r="G40" s="50">
        <f t="shared" si="2"/>
        <v>0</v>
      </c>
      <c r="H40" s="156"/>
      <c r="I40" s="50">
        <f t="shared" si="3"/>
        <v>0</v>
      </c>
      <c r="J40" s="156"/>
      <c r="K40" s="50">
        <f t="shared" si="4"/>
        <v>0</v>
      </c>
    </row>
    <row r="41" spans="1:11" ht="24" customHeight="1">
      <c r="A41" s="52"/>
      <c r="B41" s="52"/>
      <c r="C41" s="52"/>
    </row>
    <row r="42" spans="1:11">
      <c r="A42" s="48"/>
      <c r="B42" s="48"/>
      <c r="C42" s="48"/>
    </row>
    <row r="43" spans="1:11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2" priority="55" stopIfTrue="1" operator="lessThanOrEqual">
      <formula>0</formula>
    </cfRule>
  </conditionalFormatting>
  <conditionalFormatting sqref="E9:E40">
    <cfRule type="cellIs" dxfId="1" priority="2" stopIfTrue="1" operator="lessThanOrEqual">
      <formula>0</formula>
    </cfRule>
  </conditionalFormatting>
  <conditionalFormatting sqref="E9:E40">
    <cfRule type="cellIs" dxfId="0" priority="1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6" activePane="bottomRight" state="frozen"/>
      <selection pane="bottomRight" activeCell="I12" sqref="I12"/>
      <selection pane="bottomLeft" activeCell="A4" sqref="A4"/>
      <selection pane="topRight" activeCell="B1" sqref="B1"/>
    </sheetView>
  </sheetViews>
  <sheetFormatPr defaultColWidth="11.42578125" defaultRowHeight="15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>
      <c r="F1" s="290" t="s">
        <v>57</v>
      </c>
      <c r="G1" s="290"/>
      <c r="H1" s="290"/>
      <c r="I1" s="290"/>
      <c r="J1" s="290"/>
      <c r="K1" s="290"/>
      <c r="L1" s="290"/>
      <c r="M1" s="290"/>
      <c r="N1" s="290"/>
      <c r="O1" s="290"/>
      <c r="P1" s="290"/>
      <c r="Q1" s="290"/>
      <c r="R1" s="290"/>
      <c r="S1" s="290"/>
      <c r="T1" s="290"/>
      <c r="U1" s="290"/>
      <c r="V1" s="290"/>
      <c r="W1" s="290"/>
      <c r="X1" s="290"/>
      <c r="Y1" s="290"/>
      <c r="Z1" s="290"/>
    </row>
    <row r="2" spans="1:31" ht="41.25" customHeight="1" thickBot="1">
      <c r="Q2" s="295">
        <v>803</v>
      </c>
      <c r="R2" s="296"/>
      <c r="S2" s="297"/>
      <c r="T2" s="298">
        <v>519</v>
      </c>
      <c r="U2" s="296"/>
      <c r="V2" s="297"/>
      <c r="W2" s="298">
        <v>800</v>
      </c>
      <c r="X2" s="296"/>
      <c r="Y2" s="297"/>
      <c r="Z2" s="298">
        <v>802</v>
      </c>
      <c r="AA2" s="296"/>
      <c r="AB2" s="299"/>
      <c r="AC2" s="36"/>
    </row>
    <row r="3" spans="1:31" s="130" customFormat="1" ht="50.25" customHeight="1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>
      <c r="A4" s="40">
        <v>44409</v>
      </c>
      <c r="B4" s="41">
        <v>60</v>
      </c>
      <c r="C4" s="39">
        <f t="shared" ref="C4" si="0">IF(AC4&gt;0,((B4-R4)+(S4-B5)),IF(B5=0, ,(B4-B5)))</f>
        <v>0</v>
      </c>
      <c r="D4" s="41">
        <v>62</v>
      </c>
      <c r="E4" s="39">
        <f t="shared" ref="E4" si="1">IF(AC4&gt;0,((D4-U4)+(V4-D5)),IF(D5=0, ,(D4-D5)))</f>
        <v>2</v>
      </c>
      <c r="F4" s="41">
        <v>64</v>
      </c>
      <c r="G4" s="39">
        <f t="shared" ref="G4" si="2">IF(AC4&gt;0,((F4-X4)+(Y4-F5)),IF(F5=0, ,(F4-F5)))</f>
        <v>4</v>
      </c>
      <c r="H4" s="41">
        <v>64</v>
      </c>
      <c r="I4" s="39">
        <f>IF(AC4&gt;0,((H4-AA4)+(AB4-H5)),IF(H5=0, ,(H4-H5)))</f>
        <v>3</v>
      </c>
      <c r="J4" s="39">
        <f>B4+D4+F4+H4</f>
        <v>250</v>
      </c>
      <c r="K4" s="39">
        <f>J4/4</f>
        <v>62.5</v>
      </c>
      <c r="L4" s="39">
        <f>IF(AC4&gt;0,((K4-AD4)+(AE4-K5)),IF(K5=0, ,(K4-K5)))</f>
        <v>2.25</v>
      </c>
      <c r="M4" s="149">
        <f>7000*4</f>
        <v>28000</v>
      </c>
      <c r="N4" s="39">
        <f>L4*M4/100</f>
        <v>630</v>
      </c>
      <c r="O4" s="39">
        <f>N4*0.529</f>
        <v>333.27000000000004</v>
      </c>
      <c r="P4" s="42">
        <f>O4*9.01</f>
        <v>3002.7627000000002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3">Q4+T4+W4+Z4</f>
        <v>0</v>
      </c>
      <c r="AD4" s="38">
        <f t="shared" ref="AD4:AD24" si="4">(R4+U4+X4+AA4)/4</f>
        <v>0</v>
      </c>
      <c r="AE4" s="38">
        <f t="shared" ref="AE4:AE24" si="5">(S4+V4+Y4+AB4)/4</f>
        <v>0</v>
      </c>
    </row>
    <row r="5" spans="1:31" ht="32.25" customHeight="1">
      <c r="A5" s="40">
        <v>44410</v>
      </c>
      <c r="B5" s="41">
        <v>60</v>
      </c>
      <c r="C5" s="39">
        <f t="shared" ref="C4:C35" si="6">IF(AC5&gt;0,((B5-R5)+(S5-B6)),IF(B6=0, ,(B5-B6)))</f>
        <v>4</v>
      </c>
      <c r="D5" s="41">
        <v>60</v>
      </c>
      <c r="E5" s="39">
        <f t="shared" ref="E4:E35" si="7">IF(AC5&gt;0,((D5-U5)+(V5-D6)),IF(D6=0, ,(D5-D6)))</f>
        <v>2</v>
      </c>
      <c r="F5" s="41">
        <v>60</v>
      </c>
      <c r="G5" s="39">
        <f t="shared" ref="G4:G35" si="8">IF(AC5&gt;0,((F5-X5)+(Y5-F6)),IF(F6=0, ,(F5-F6)))</f>
        <v>1</v>
      </c>
      <c r="H5" s="41">
        <v>61</v>
      </c>
      <c r="I5" s="39">
        <f>IF(AC5&gt;0,((H5-AA5)+(AB5-H6)),IF(H6=0, ,(H5-H6)))</f>
        <v>3</v>
      </c>
      <c r="J5" s="39">
        <f>B5+D5+F5+H5</f>
        <v>241</v>
      </c>
      <c r="K5" s="39">
        <f>J5/4</f>
        <v>60.25</v>
      </c>
      <c r="L5" s="39">
        <f>IF(AC5&gt;0,((K5-AD5)+(AE5-K6)),IF(K6=0, ,(K5-K6)))</f>
        <v>2.5</v>
      </c>
      <c r="M5" s="149">
        <f t="shared" ref="M5:M42" si="9">7000*4</f>
        <v>28000</v>
      </c>
      <c r="N5" s="39">
        <f>L5*M5/100</f>
        <v>700</v>
      </c>
      <c r="O5" s="39">
        <f>N5*0.529</f>
        <v>370.3</v>
      </c>
      <c r="P5" s="42">
        <f t="shared" ref="P5:P40" si="10">O5*9.01</f>
        <v>3336.4030000000002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3"/>
        <v>0</v>
      </c>
      <c r="AD5" s="38">
        <f t="shared" si="4"/>
        <v>0</v>
      </c>
      <c r="AE5" s="38">
        <f t="shared" si="5"/>
        <v>0</v>
      </c>
    </row>
    <row r="6" spans="1:31" ht="32.25" customHeight="1">
      <c r="A6" s="40">
        <v>44411</v>
      </c>
      <c r="B6" s="41">
        <v>56</v>
      </c>
      <c r="C6" s="39">
        <f t="shared" si="6"/>
        <v>1</v>
      </c>
      <c r="D6" s="41">
        <v>58</v>
      </c>
      <c r="E6" s="39">
        <f t="shared" si="7"/>
        <v>3</v>
      </c>
      <c r="F6" s="41">
        <v>59</v>
      </c>
      <c r="G6" s="39">
        <f t="shared" si="8"/>
        <v>4</v>
      </c>
      <c r="H6" s="41">
        <v>58</v>
      </c>
      <c r="I6" s="39">
        <f t="shared" ref="I6:I36" si="11">IF(AC6&gt;0,((H6-AA6)+(AB6-H7)),IF(H7=0, ,(H6-H7)))</f>
        <v>3</v>
      </c>
      <c r="J6" s="39">
        <f t="shared" ref="J6:J42" si="12">B6+D6+F6+H6</f>
        <v>231</v>
      </c>
      <c r="K6" s="39">
        <f t="shared" ref="K6:K42" si="13">J6/4</f>
        <v>57.75</v>
      </c>
      <c r="L6" s="39">
        <f t="shared" ref="L6:L19" si="14">IF(AC6&gt;0,((K6-AD6)+(AE6-K7)),IF(K7=0, ,(K6-K7)))</f>
        <v>2.75</v>
      </c>
      <c r="M6" s="149">
        <f t="shared" si="9"/>
        <v>28000</v>
      </c>
      <c r="N6" s="39">
        <f t="shared" ref="N6:N42" si="15">L6*M6/100</f>
        <v>770</v>
      </c>
      <c r="O6" s="39">
        <f>N6*0.529</f>
        <v>407.33000000000004</v>
      </c>
      <c r="P6" s="42">
        <f t="shared" si="10"/>
        <v>3670.0433000000003</v>
      </c>
      <c r="Q6" s="39">
        <v>1907</v>
      </c>
      <c r="R6" s="39">
        <v>55</v>
      </c>
      <c r="S6" s="39">
        <v>83</v>
      </c>
      <c r="T6" s="39">
        <v>2139</v>
      </c>
      <c r="U6" s="39">
        <v>55</v>
      </c>
      <c r="V6" s="39">
        <v>85</v>
      </c>
      <c r="W6" s="39">
        <v>2180</v>
      </c>
      <c r="X6" s="39">
        <v>55</v>
      </c>
      <c r="Y6" s="39">
        <v>85</v>
      </c>
      <c r="Z6" s="39">
        <v>2197</v>
      </c>
      <c r="AA6" s="39">
        <v>55</v>
      </c>
      <c r="AB6" s="39">
        <v>85</v>
      </c>
      <c r="AC6" s="39">
        <f t="shared" si="3"/>
        <v>8423</v>
      </c>
      <c r="AD6" s="38">
        <f t="shared" si="4"/>
        <v>55</v>
      </c>
      <c r="AE6" s="38">
        <f t="shared" si="5"/>
        <v>84.5</v>
      </c>
    </row>
    <row r="7" spans="1:31" ht="32.25" customHeight="1">
      <c r="A7" s="40">
        <v>44412</v>
      </c>
      <c r="B7" s="41">
        <v>83</v>
      </c>
      <c r="C7" s="39">
        <f t="shared" si="6"/>
        <v>2</v>
      </c>
      <c r="D7" s="41">
        <v>85</v>
      </c>
      <c r="E7" s="39">
        <f t="shared" si="7"/>
        <v>1</v>
      </c>
      <c r="F7" s="41">
        <v>85</v>
      </c>
      <c r="G7" s="39">
        <f t="shared" si="8"/>
        <v>0</v>
      </c>
      <c r="H7" s="41">
        <v>85</v>
      </c>
      <c r="I7" s="39">
        <f t="shared" si="11"/>
        <v>1</v>
      </c>
      <c r="J7" s="39">
        <f t="shared" si="12"/>
        <v>338</v>
      </c>
      <c r="K7" s="39">
        <f t="shared" si="13"/>
        <v>84.5</v>
      </c>
      <c r="L7" s="39">
        <f t="shared" si="14"/>
        <v>1</v>
      </c>
      <c r="M7" s="149">
        <f t="shared" si="9"/>
        <v>28000</v>
      </c>
      <c r="N7" s="39">
        <f t="shared" si="15"/>
        <v>280</v>
      </c>
      <c r="O7" s="39">
        <f>N7*0.53</f>
        <v>148.4</v>
      </c>
      <c r="P7" s="42">
        <f t="shared" si="10"/>
        <v>1337.0840000000001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3"/>
        <v>0</v>
      </c>
      <c r="AD7" s="38">
        <f t="shared" si="4"/>
        <v>0</v>
      </c>
      <c r="AE7" s="38">
        <f t="shared" si="5"/>
        <v>0</v>
      </c>
    </row>
    <row r="8" spans="1:31" ht="32.25" customHeight="1">
      <c r="A8" s="40">
        <v>44413</v>
      </c>
      <c r="B8" s="41">
        <v>81</v>
      </c>
      <c r="C8" s="39">
        <f t="shared" si="6"/>
        <v>0</v>
      </c>
      <c r="D8" s="41">
        <v>84</v>
      </c>
      <c r="E8" s="39">
        <f t="shared" si="7"/>
        <v>2</v>
      </c>
      <c r="F8" s="41">
        <v>85</v>
      </c>
      <c r="G8" s="39">
        <f t="shared" si="8"/>
        <v>2</v>
      </c>
      <c r="H8" s="41">
        <v>84</v>
      </c>
      <c r="I8" s="39">
        <f t="shared" si="11"/>
        <v>2</v>
      </c>
      <c r="J8" s="39">
        <f t="shared" si="12"/>
        <v>334</v>
      </c>
      <c r="K8" s="39">
        <f t="shared" si="13"/>
        <v>83.5</v>
      </c>
      <c r="L8" s="39">
        <f t="shared" si="14"/>
        <v>1.5</v>
      </c>
      <c r="M8" s="149">
        <f>6049*4</f>
        <v>24196</v>
      </c>
      <c r="N8" s="39">
        <f t="shared" si="15"/>
        <v>362.94</v>
      </c>
      <c r="O8" s="148">
        <f t="shared" ref="O8:O37" si="16">N8*0.529</f>
        <v>191.99526</v>
      </c>
      <c r="P8" s="42">
        <f t="shared" si="10"/>
        <v>1729.8772925999999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3"/>
        <v>0</v>
      </c>
      <c r="AD8" s="38">
        <f t="shared" si="4"/>
        <v>0</v>
      </c>
      <c r="AE8" s="38">
        <f t="shared" si="5"/>
        <v>0</v>
      </c>
    </row>
    <row r="9" spans="1:31" ht="32.25" customHeight="1">
      <c r="A9" s="40">
        <v>44414</v>
      </c>
      <c r="B9" s="41">
        <v>81</v>
      </c>
      <c r="C9" s="39">
        <f t="shared" si="6"/>
        <v>1</v>
      </c>
      <c r="D9" s="41">
        <v>82</v>
      </c>
      <c r="E9" s="39">
        <f t="shared" si="7"/>
        <v>2</v>
      </c>
      <c r="F9" s="41">
        <v>83</v>
      </c>
      <c r="G9" s="39">
        <f t="shared" si="8"/>
        <v>3</v>
      </c>
      <c r="H9" s="41">
        <v>82</v>
      </c>
      <c r="I9" s="39">
        <f t="shared" si="11"/>
        <v>3</v>
      </c>
      <c r="J9" s="39">
        <f t="shared" si="12"/>
        <v>328</v>
      </c>
      <c r="K9" s="39">
        <f t="shared" si="13"/>
        <v>82</v>
      </c>
      <c r="L9" s="39">
        <f t="shared" si="14"/>
        <v>2.25</v>
      </c>
      <c r="M9" s="149">
        <f t="shared" ref="M9:M42" si="17">6049*4</f>
        <v>24196</v>
      </c>
      <c r="N9" s="39">
        <f t="shared" si="15"/>
        <v>544.41</v>
      </c>
      <c r="O9" s="39">
        <f t="shared" si="16"/>
        <v>287.99288999999999</v>
      </c>
      <c r="P9" s="42">
        <f t="shared" si="10"/>
        <v>2594.8159388999998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3"/>
        <v>0</v>
      </c>
      <c r="AD9" s="38">
        <f t="shared" si="4"/>
        <v>0</v>
      </c>
      <c r="AE9" s="38">
        <f t="shared" si="5"/>
        <v>0</v>
      </c>
    </row>
    <row r="10" spans="1:31" ht="32.25" customHeight="1">
      <c r="A10" s="40">
        <v>44415</v>
      </c>
      <c r="B10" s="41">
        <v>80</v>
      </c>
      <c r="C10" s="39">
        <f t="shared" si="6"/>
        <v>1</v>
      </c>
      <c r="D10" s="41">
        <v>80</v>
      </c>
      <c r="E10" s="39">
        <f t="shared" si="7"/>
        <v>2</v>
      </c>
      <c r="F10" s="41">
        <v>80</v>
      </c>
      <c r="G10" s="39">
        <f t="shared" si="8"/>
        <v>1</v>
      </c>
      <c r="H10" s="41">
        <v>79</v>
      </c>
      <c r="I10" s="39">
        <f t="shared" si="11"/>
        <v>4</v>
      </c>
      <c r="J10" s="39">
        <f t="shared" si="12"/>
        <v>319</v>
      </c>
      <c r="K10" s="39">
        <f t="shared" si="13"/>
        <v>79.75</v>
      </c>
      <c r="L10" s="39">
        <f t="shared" si="14"/>
        <v>2</v>
      </c>
      <c r="M10" s="149">
        <f t="shared" si="17"/>
        <v>24196</v>
      </c>
      <c r="N10" s="39">
        <f t="shared" si="15"/>
        <v>483.92</v>
      </c>
      <c r="O10" s="148">
        <f t="shared" si="16"/>
        <v>255.99368000000001</v>
      </c>
      <c r="P10" s="42">
        <f t="shared" si="10"/>
        <v>2306.5030568000002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3"/>
        <v>0</v>
      </c>
      <c r="AD10" s="38">
        <f t="shared" si="4"/>
        <v>0</v>
      </c>
      <c r="AE10" s="38">
        <f t="shared" si="5"/>
        <v>0</v>
      </c>
    </row>
    <row r="11" spans="1:31" ht="32.25" customHeight="1">
      <c r="A11" s="40">
        <v>44416</v>
      </c>
      <c r="B11" s="41">
        <v>79</v>
      </c>
      <c r="C11" s="39">
        <f t="shared" si="6"/>
        <v>2</v>
      </c>
      <c r="D11" s="41">
        <v>78</v>
      </c>
      <c r="E11" s="39">
        <f t="shared" si="7"/>
        <v>2</v>
      </c>
      <c r="F11" s="41">
        <v>79</v>
      </c>
      <c r="G11" s="39">
        <f t="shared" si="8"/>
        <v>4</v>
      </c>
      <c r="H11" s="41">
        <v>75</v>
      </c>
      <c r="I11" s="39">
        <f t="shared" si="11"/>
        <v>1</v>
      </c>
      <c r="J11" s="39">
        <f t="shared" si="12"/>
        <v>311</v>
      </c>
      <c r="K11" s="39">
        <f t="shared" si="13"/>
        <v>77.75</v>
      </c>
      <c r="L11" s="39">
        <f t="shared" si="14"/>
        <v>2.25</v>
      </c>
      <c r="M11" s="149">
        <f t="shared" si="17"/>
        <v>24196</v>
      </c>
      <c r="N11" s="39">
        <f t="shared" si="15"/>
        <v>544.41</v>
      </c>
      <c r="O11" s="39">
        <f t="shared" si="16"/>
        <v>287.99288999999999</v>
      </c>
      <c r="P11" s="42">
        <f t="shared" si="10"/>
        <v>2594.8159388999998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3"/>
        <v>0</v>
      </c>
      <c r="AD11" s="38">
        <f t="shared" si="4"/>
        <v>0</v>
      </c>
      <c r="AE11" s="38">
        <f t="shared" si="5"/>
        <v>0</v>
      </c>
    </row>
    <row r="12" spans="1:31" ht="32.25" customHeight="1">
      <c r="A12" s="40">
        <v>44417</v>
      </c>
      <c r="B12" s="41">
        <v>77</v>
      </c>
      <c r="C12" s="39">
        <f t="shared" si="6"/>
        <v>0</v>
      </c>
      <c r="D12" s="41">
        <v>76</v>
      </c>
      <c r="E12" s="39">
        <f t="shared" si="7"/>
        <v>0</v>
      </c>
      <c r="F12" s="41">
        <v>75</v>
      </c>
      <c r="G12" s="39">
        <f t="shared" si="8"/>
        <v>0</v>
      </c>
      <c r="H12" s="41">
        <v>74</v>
      </c>
      <c r="I12" s="39">
        <f t="shared" si="11"/>
        <v>0</v>
      </c>
      <c r="J12" s="39">
        <f t="shared" si="12"/>
        <v>302</v>
      </c>
      <c r="K12" s="39">
        <f t="shared" si="13"/>
        <v>75.5</v>
      </c>
      <c r="L12" s="39">
        <f t="shared" si="14"/>
        <v>0</v>
      </c>
      <c r="M12" s="149">
        <f t="shared" si="17"/>
        <v>24196</v>
      </c>
      <c r="N12" s="39">
        <f t="shared" si="15"/>
        <v>0</v>
      </c>
      <c r="O12" s="39">
        <f t="shared" si="16"/>
        <v>0</v>
      </c>
      <c r="P12" s="42">
        <f t="shared" si="10"/>
        <v>0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3"/>
        <v>0</v>
      </c>
      <c r="AD12" s="38">
        <f t="shared" si="4"/>
        <v>0</v>
      </c>
      <c r="AE12" s="38">
        <f t="shared" si="5"/>
        <v>0</v>
      </c>
    </row>
    <row r="13" spans="1:31" ht="32.25" customHeight="1">
      <c r="A13" s="40">
        <v>44418</v>
      </c>
      <c r="B13" s="41"/>
      <c r="C13" s="39">
        <f t="shared" si="6"/>
        <v>0</v>
      </c>
      <c r="D13" s="41"/>
      <c r="E13" s="39">
        <f t="shared" si="7"/>
        <v>0</v>
      </c>
      <c r="F13" s="41"/>
      <c r="G13" s="39">
        <f t="shared" si="8"/>
        <v>0</v>
      </c>
      <c r="H13" s="41"/>
      <c r="I13" s="39">
        <f t="shared" si="11"/>
        <v>0</v>
      </c>
      <c r="J13" s="39">
        <f t="shared" si="12"/>
        <v>0</v>
      </c>
      <c r="K13" s="39">
        <f t="shared" si="13"/>
        <v>0</v>
      </c>
      <c r="L13" s="39">
        <f t="shared" si="14"/>
        <v>0</v>
      </c>
      <c r="M13" s="149">
        <f t="shared" si="17"/>
        <v>24196</v>
      </c>
      <c r="N13" s="39">
        <f t="shared" si="15"/>
        <v>0</v>
      </c>
      <c r="O13" s="39">
        <f t="shared" si="16"/>
        <v>0</v>
      </c>
      <c r="P13" s="42">
        <f t="shared" si="10"/>
        <v>0</v>
      </c>
      <c r="Q13" s="39"/>
      <c r="R13" s="39"/>
      <c r="S13" s="39"/>
      <c r="T13" s="39"/>
      <c r="U13" s="39"/>
      <c r="V13" s="39"/>
      <c r="W13" s="39"/>
      <c r="X13" s="39"/>
      <c r="Y13" s="39"/>
      <c r="Z13" s="39"/>
      <c r="AA13" s="39"/>
      <c r="AB13" s="39"/>
      <c r="AC13" s="39">
        <f t="shared" si="3"/>
        <v>0</v>
      </c>
      <c r="AD13" s="38">
        <f t="shared" si="4"/>
        <v>0</v>
      </c>
      <c r="AE13" s="38">
        <f t="shared" si="5"/>
        <v>0</v>
      </c>
    </row>
    <row r="14" spans="1:31" ht="32.25" customHeight="1">
      <c r="A14" s="40">
        <v>44419</v>
      </c>
      <c r="B14" s="41"/>
      <c r="C14" s="39">
        <f t="shared" si="6"/>
        <v>0</v>
      </c>
      <c r="D14" s="41"/>
      <c r="E14" s="39">
        <f t="shared" si="7"/>
        <v>0</v>
      </c>
      <c r="F14" s="41"/>
      <c r="G14" s="39">
        <f t="shared" si="8"/>
        <v>0</v>
      </c>
      <c r="H14" s="41"/>
      <c r="I14" s="39">
        <f>IF(AC14&gt;0,((H14-AA14)+(AB14-H15)),IF(H15=0, ,(H14-H15)))</f>
        <v>0</v>
      </c>
      <c r="J14" s="39">
        <f t="shared" si="12"/>
        <v>0</v>
      </c>
      <c r="K14" s="39">
        <f t="shared" si="13"/>
        <v>0</v>
      </c>
      <c r="L14" s="39">
        <f t="shared" si="14"/>
        <v>0</v>
      </c>
      <c r="M14" s="149">
        <f t="shared" si="17"/>
        <v>24196</v>
      </c>
      <c r="N14" s="39">
        <f t="shared" si="15"/>
        <v>0</v>
      </c>
      <c r="O14" s="39">
        <f t="shared" si="16"/>
        <v>0</v>
      </c>
      <c r="P14" s="42">
        <f t="shared" si="10"/>
        <v>0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>
      <c r="A15" s="40">
        <v>44420</v>
      </c>
      <c r="B15" s="41"/>
      <c r="C15" s="39">
        <f t="shared" si="6"/>
        <v>0</v>
      </c>
      <c r="D15" s="41"/>
      <c r="E15" s="39">
        <f t="shared" si="7"/>
        <v>0</v>
      </c>
      <c r="F15" s="41"/>
      <c r="G15" s="39">
        <f t="shared" si="8"/>
        <v>0</v>
      </c>
      <c r="H15" s="41"/>
      <c r="I15" s="39">
        <f>IF(AC15&gt;0,((H15-AA15)+(AB15-H16)),IF(H16=0, ,(H15-H16)))</f>
        <v>0</v>
      </c>
      <c r="J15" s="39">
        <f t="shared" si="12"/>
        <v>0</v>
      </c>
      <c r="K15" s="39">
        <f t="shared" si="13"/>
        <v>0</v>
      </c>
      <c r="L15" s="39">
        <f t="shared" si="14"/>
        <v>0</v>
      </c>
      <c r="M15" s="149">
        <f t="shared" si="17"/>
        <v>24196</v>
      </c>
      <c r="N15" s="39">
        <f t="shared" si="15"/>
        <v>0</v>
      </c>
      <c r="O15" s="39">
        <f t="shared" si="16"/>
        <v>0</v>
      </c>
      <c r="P15" s="42">
        <f t="shared" si="10"/>
        <v>0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>
      <c r="A16" s="40">
        <v>44421</v>
      </c>
      <c r="B16" s="41"/>
      <c r="C16" s="39">
        <f t="shared" si="6"/>
        <v>0</v>
      </c>
      <c r="D16" s="41"/>
      <c r="E16" s="39">
        <f t="shared" si="7"/>
        <v>0</v>
      </c>
      <c r="F16" s="41"/>
      <c r="G16" s="39">
        <f t="shared" si="8"/>
        <v>0</v>
      </c>
      <c r="H16" s="41"/>
      <c r="I16" s="39">
        <f t="shared" si="11"/>
        <v>0</v>
      </c>
      <c r="J16" s="39">
        <f t="shared" si="12"/>
        <v>0</v>
      </c>
      <c r="K16" s="39">
        <f t="shared" si="13"/>
        <v>0</v>
      </c>
      <c r="L16" s="39">
        <f t="shared" si="14"/>
        <v>0</v>
      </c>
      <c r="M16" s="149">
        <f t="shared" si="17"/>
        <v>24196</v>
      </c>
      <c r="N16" s="39">
        <f t="shared" si="15"/>
        <v>0</v>
      </c>
      <c r="O16" s="39">
        <f t="shared" si="16"/>
        <v>0</v>
      </c>
      <c r="P16" s="42">
        <f t="shared" si="10"/>
        <v>0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3"/>
        <v>0</v>
      </c>
      <c r="AD16" s="38">
        <f t="shared" si="4"/>
        <v>0</v>
      </c>
      <c r="AE16" s="38">
        <f t="shared" si="5"/>
        <v>0</v>
      </c>
    </row>
    <row r="17" spans="1:31" ht="32.25" customHeight="1">
      <c r="A17" s="40">
        <v>44422</v>
      </c>
      <c r="B17" s="41"/>
      <c r="C17" s="39">
        <f t="shared" si="6"/>
        <v>0</v>
      </c>
      <c r="D17" s="41"/>
      <c r="E17" s="39">
        <f t="shared" si="7"/>
        <v>0</v>
      </c>
      <c r="F17" s="41"/>
      <c r="G17" s="39">
        <f t="shared" si="8"/>
        <v>0</v>
      </c>
      <c r="H17" s="41"/>
      <c r="I17" s="39">
        <f t="shared" si="11"/>
        <v>0</v>
      </c>
      <c r="J17" s="39">
        <f t="shared" si="12"/>
        <v>0</v>
      </c>
      <c r="K17" s="39">
        <f t="shared" si="13"/>
        <v>0</v>
      </c>
      <c r="L17" s="39">
        <f t="shared" si="14"/>
        <v>0</v>
      </c>
      <c r="M17" s="149">
        <f t="shared" si="17"/>
        <v>24196</v>
      </c>
      <c r="N17" s="39">
        <f t="shared" si="15"/>
        <v>0</v>
      </c>
      <c r="O17" s="39">
        <f t="shared" si="16"/>
        <v>0</v>
      </c>
      <c r="P17" s="42">
        <f t="shared" si="10"/>
        <v>0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3"/>
        <v>0</v>
      </c>
      <c r="AD17" s="38">
        <f t="shared" si="4"/>
        <v>0</v>
      </c>
      <c r="AE17" s="38">
        <f t="shared" si="5"/>
        <v>0</v>
      </c>
    </row>
    <row r="18" spans="1:31" ht="32.25" customHeight="1">
      <c r="A18" s="40">
        <v>44423</v>
      </c>
      <c r="B18" s="41"/>
      <c r="C18" s="39">
        <f t="shared" si="6"/>
        <v>0</v>
      </c>
      <c r="D18" s="41"/>
      <c r="E18" s="39">
        <f t="shared" si="7"/>
        <v>0</v>
      </c>
      <c r="F18" s="41"/>
      <c r="G18" s="39">
        <f t="shared" si="8"/>
        <v>0</v>
      </c>
      <c r="H18" s="41"/>
      <c r="I18" s="39">
        <f t="shared" si="11"/>
        <v>0</v>
      </c>
      <c r="J18" s="39">
        <f t="shared" si="12"/>
        <v>0</v>
      </c>
      <c r="K18" s="39">
        <f t="shared" si="13"/>
        <v>0</v>
      </c>
      <c r="L18" s="39">
        <f t="shared" si="14"/>
        <v>0</v>
      </c>
      <c r="M18" s="149">
        <f t="shared" si="17"/>
        <v>24196</v>
      </c>
      <c r="N18" s="39">
        <f t="shared" si="15"/>
        <v>0</v>
      </c>
      <c r="O18" s="39">
        <f t="shared" si="16"/>
        <v>0</v>
      </c>
      <c r="P18" s="42">
        <f t="shared" si="10"/>
        <v>0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3"/>
        <v>0</v>
      </c>
      <c r="AD18" s="38">
        <f t="shared" si="4"/>
        <v>0</v>
      </c>
      <c r="AE18" s="38">
        <f t="shared" si="5"/>
        <v>0</v>
      </c>
    </row>
    <row r="19" spans="1:31" ht="32.25" customHeight="1">
      <c r="A19" s="40">
        <v>44424</v>
      </c>
      <c r="B19" s="41"/>
      <c r="C19" s="39">
        <f t="shared" si="6"/>
        <v>0</v>
      </c>
      <c r="D19" s="41"/>
      <c r="E19" s="39">
        <f t="shared" si="7"/>
        <v>0</v>
      </c>
      <c r="F19" s="41"/>
      <c r="G19" s="39">
        <f t="shared" si="8"/>
        <v>0</v>
      </c>
      <c r="H19" s="41"/>
      <c r="I19" s="39">
        <f t="shared" si="11"/>
        <v>0</v>
      </c>
      <c r="J19" s="39">
        <f t="shared" si="12"/>
        <v>0</v>
      </c>
      <c r="K19" s="39">
        <f t="shared" si="13"/>
        <v>0</v>
      </c>
      <c r="L19" s="39">
        <f t="shared" si="14"/>
        <v>0</v>
      </c>
      <c r="M19" s="149">
        <f t="shared" si="17"/>
        <v>24196</v>
      </c>
      <c r="N19" s="39">
        <f t="shared" si="15"/>
        <v>0</v>
      </c>
      <c r="O19" s="39">
        <f t="shared" si="16"/>
        <v>0</v>
      </c>
      <c r="P19" s="42">
        <f t="shared" si="10"/>
        <v>0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3"/>
        <v>0</v>
      </c>
      <c r="AD19" s="38">
        <f t="shared" si="4"/>
        <v>0</v>
      </c>
      <c r="AE19" s="38">
        <f t="shared" si="5"/>
        <v>0</v>
      </c>
    </row>
    <row r="20" spans="1:31" ht="32.25" customHeight="1">
      <c r="A20" s="40">
        <v>44425</v>
      </c>
      <c r="B20" s="41"/>
      <c r="C20" s="39">
        <f t="shared" si="6"/>
        <v>0</v>
      </c>
      <c r="D20" s="41"/>
      <c r="E20" s="39">
        <f t="shared" si="7"/>
        <v>0</v>
      </c>
      <c r="F20" s="41"/>
      <c r="G20" s="39">
        <f t="shared" si="8"/>
        <v>0</v>
      </c>
      <c r="H20" s="41"/>
      <c r="I20" s="39">
        <f t="shared" si="11"/>
        <v>0</v>
      </c>
      <c r="J20" s="39">
        <f t="shared" si="12"/>
        <v>0</v>
      </c>
      <c r="K20" s="39">
        <f t="shared" si="13"/>
        <v>0</v>
      </c>
      <c r="L20" s="39">
        <f t="shared" ref="L20:L42" si="18">IF(AC20&gt;0,((K20-AD20)+(AE20-K21)),IF(K21=0, ,(K20-K21)))</f>
        <v>0</v>
      </c>
      <c r="M20" s="149">
        <f t="shared" si="17"/>
        <v>24196</v>
      </c>
      <c r="N20" s="39">
        <f t="shared" si="15"/>
        <v>0</v>
      </c>
      <c r="O20" s="39">
        <f t="shared" si="16"/>
        <v>0</v>
      </c>
      <c r="P20" s="42">
        <f t="shared" si="10"/>
        <v>0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3"/>
        <v>0</v>
      </c>
      <c r="AD20" s="38">
        <f t="shared" si="4"/>
        <v>0</v>
      </c>
      <c r="AE20" s="38">
        <f t="shared" si="5"/>
        <v>0</v>
      </c>
    </row>
    <row r="21" spans="1:31" ht="32.25" customHeight="1">
      <c r="A21" s="40">
        <v>44426</v>
      </c>
      <c r="B21" s="41"/>
      <c r="C21" s="39">
        <f t="shared" si="6"/>
        <v>0</v>
      </c>
      <c r="D21" s="41"/>
      <c r="E21" s="39">
        <f t="shared" si="7"/>
        <v>0</v>
      </c>
      <c r="F21" s="41"/>
      <c r="G21" s="39">
        <f t="shared" si="8"/>
        <v>0</v>
      </c>
      <c r="H21" s="41"/>
      <c r="I21" s="39">
        <f t="shared" si="11"/>
        <v>0</v>
      </c>
      <c r="J21" s="39">
        <f t="shared" si="12"/>
        <v>0</v>
      </c>
      <c r="K21" s="39">
        <f t="shared" si="13"/>
        <v>0</v>
      </c>
      <c r="L21" s="39">
        <f>IF(AC21&gt;0,((K21-AD21)+(AE21-K22)),IF(K22=0, ,(K21-K22)))</f>
        <v>0</v>
      </c>
      <c r="M21" s="149">
        <f t="shared" si="17"/>
        <v>24196</v>
      </c>
      <c r="N21" s="39">
        <f t="shared" si="15"/>
        <v>0</v>
      </c>
      <c r="O21" s="39">
        <f t="shared" si="16"/>
        <v>0</v>
      </c>
      <c r="P21" s="42">
        <f t="shared" si="10"/>
        <v>0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3"/>
        <v>0</v>
      </c>
      <c r="AD21" s="38">
        <f t="shared" si="4"/>
        <v>0</v>
      </c>
      <c r="AE21" s="38">
        <f t="shared" si="5"/>
        <v>0</v>
      </c>
    </row>
    <row r="22" spans="1:31" ht="32.25" customHeight="1">
      <c r="A22" s="40">
        <v>44427</v>
      </c>
      <c r="B22" s="41"/>
      <c r="C22" s="39">
        <f t="shared" si="6"/>
        <v>0</v>
      </c>
      <c r="D22" s="41"/>
      <c r="E22" s="39">
        <f t="shared" si="7"/>
        <v>0</v>
      </c>
      <c r="F22" s="41"/>
      <c r="G22" s="39">
        <f t="shared" si="8"/>
        <v>0</v>
      </c>
      <c r="H22" s="41"/>
      <c r="I22" s="39">
        <f t="shared" si="11"/>
        <v>0</v>
      </c>
      <c r="J22" s="39">
        <f t="shared" si="12"/>
        <v>0</v>
      </c>
      <c r="K22" s="39">
        <f t="shared" si="13"/>
        <v>0</v>
      </c>
      <c r="L22" s="39">
        <f>IF(AC22&gt;0,((K22-AD22)+(AE22-K23)),IF(K23=0, ,(K22-K23)))</f>
        <v>0</v>
      </c>
      <c r="M22" s="149">
        <f t="shared" si="17"/>
        <v>24196</v>
      </c>
      <c r="N22" s="39">
        <f t="shared" si="15"/>
        <v>0</v>
      </c>
      <c r="O22" s="39">
        <f t="shared" si="16"/>
        <v>0</v>
      </c>
      <c r="P22" s="42">
        <f t="shared" si="10"/>
        <v>0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4"/>
        <v>0</v>
      </c>
      <c r="AE22" s="38">
        <f t="shared" si="5"/>
        <v>0</v>
      </c>
    </row>
    <row r="23" spans="1:31" ht="32.25" customHeight="1">
      <c r="A23" s="40">
        <v>44428</v>
      </c>
      <c r="B23" s="41"/>
      <c r="C23" s="39">
        <f t="shared" si="6"/>
        <v>0</v>
      </c>
      <c r="D23" s="41"/>
      <c r="E23" s="39">
        <f t="shared" si="7"/>
        <v>0</v>
      </c>
      <c r="F23" s="41"/>
      <c r="G23" s="39">
        <f t="shared" si="8"/>
        <v>0</v>
      </c>
      <c r="H23" s="41"/>
      <c r="I23" s="39">
        <f t="shared" si="11"/>
        <v>0</v>
      </c>
      <c r="J23" s="39">
        <f t="shared" si="12"/>
        <v>0</v>
      </c>
      <c r="K23" s="39">
        <f t="shared" si="13"/>
        <v>0</v>
      </c>
      <c r="L23" s="39">
        <f t="shared" si="18"/>
        <v>0</v>
      </c>
      <c r="M23" s="149">
        <f t="shared" si="17"/>
        <v>24196</v>
      </c>
      <c r="N23" s="39">
        <f t="shared" si="15"/>
        <v>0</v>
      </c>
      <c r="O23" s="39">
        <f t="shared" si="16"/>
        <v>0</v>
      </c>
      <c r="P23" s="42">
        <f t="shared" si="10"/>
        <v>0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3"/>
        <v>0</v>
      </c>
      <c r="AD23" s="38">
        <f t="shared" si="4"/>
        <v>0</v>
      </c>
      <c r="AE23" s="38">
        <f t="shared" si="5"/>
        <v>0</v>
      </c>
    </row>
    <row r="24" spans="1:31" ht="32.25" customHeight="1">
      <c r="A24" s="40">
        <v>44429</v>
      </c>
      <c r="B24" s="41"/>
      <c r="C24" s="39">
        <f t="shared" si="6"/>
        <v>0</v>
      </c>
      <c r="D24" s="41"/>
      <c r="E24" s="39">
        <f t="shared" si="7"/>
        <v>0</v>
      </c>
      <c r="F24" s="41"/>
      <c r="G24" s="39">
        <f t="shared" si="8"/>
        <v>0</v>
      </c>
      <c r="H24" s="41"/>
      <c r="I24" s="39">
        <f t="shared" si="11"/>
        <v>0</v>
      </c>
      <c r="J24" s="39">
        <f t="shared" si="12"/>
        <v>0</v>
      </c>
      <c r="K24" s="39">
        <f t="shared" si="13"/>
        <v>0</v>
      </c>
      <c r="L24" s="39">
        <f t="shared" si="18"/>
        <v>0</v>
      </c>
      <c r="M24" s="149">
        <f t="shared" si="17"/>
        <v>24196</v>
      </c>
      <c r="N24" s="39">
        <f t="shared" si="15"/>
        <v>0</v>
      </c>
      <c r="O24" s="39">
        <f t="shared" si="16"/>
        <v>0</v>
      </c>
      <c r="P24" s="42">
        <f t="shared" si="10"/>
        <v>0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3"/>
        <v>0</v>
      </c>
      <c r="AD24" s="38">
        <f t="shared" si="4"/>
        <v>0</v>
      </c>
      <c r="AE24" s="38">
        <f t="shared" si="5"/>
        <v>0</v>
      </c>
    </row>
    <row r="25" spans="1:31" ht="32.25" customHeight="1">
      <c r="A25" s="40">
        <v>44430</v>
      </c>
      <c r="B25" s="41"/>
      <c r="C25" s="39">
        <f t="shared" si="6"/>
        <v>0</v>
      </c>
      <c r="D25" s="41"/>
      <c r="E25" s="39">
        <f t="shared" si="7"/>
        <v>0</v>
      </c>
      <c r="F25" s="41"/>
      <c r="G25" s="39">
        <f t="shared" si="8"/>
        <v>0</v>
      </c>
      <c r="H25" s="41"/>
      <c r="I25" s="39">
        <f t="shared" si="11"/>
        <v>0</v>
      </c>
      <c r="J25" s="39">
        <f t="shared" si="12"/>
        <v>0</v>
      </c>
      <c r="K25" s="39">
        <f t="shared" si="13"/>
        <v>0</v>
      </c>
      <c r="L25" s="39">
        <f t="shared" si="18"/>
        <v>0</v>
      </c>
      <c r="M25" s="149">
        <f t="shared" si="17"/>
        <v>24196</v>
      </c>
      <c r="N25" s="39">
        <f t="shared" si="15"/>
        <v>0</v>
      </c>
      <c r="O25" s="39">
        <f t="shared" si="16"/>
        <v>0</v>
      </c>
      <c r="P25" s="42">
        <f t="shared" si="10"/>
        <v>0</v>
      </c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3"/>
        <v>0</v>
      </c>
      <c r="AD25" s="38">
        <f t="shared" ref="AD25:AD42" si="19">(R25+U25+X25+AA25)/4</f>
        <v>0</v>
      </c>
      <c r="AE25" s="38">
        <f>(S25+V25+Y25+AB25)/4</f>
        <v>0</v>
      </c>
    </row>
    <row r="26" spans="1:31" ht="32.25" customHeight="1">
      <c r="A26" s="40">
        <v>44431</v>
      </c>
      <c r="B26" s="41"/>
      <c r="C26" s="39">
        <f t="shared" si="6"/>
        <v>0</v>
      </c>
      <c r="D26" s="41"/>
      <c r="E26" s="39">
        <f t="shared" si="7"/>
        <v>0</v>
      </c>
      <c r="F26" s="41"/>
      <c r="G26" s="39">
        <f t="shared" si="8"/>
        <v>0</v>
      </c>
      <c r="H26" s="41"/>
      <c r="I26" s="39">
        <f t="shared" si="11"/>
        <v>0</v>
      </c>
      <c r="J26" s="39">
        <f t="shared" si="12"/>
        <v>0</v>
      </c>
      <c r="K26" s="39">
        <f t="shared" si="13"/>
        <v>0</v>
      </c>
      <c r="L26" s="39">
        <f t="shared" si="18"/>
        <v>0</v>
      </c>
      <c r="M26" s="149">
        <f t="shared" si="17"/>
        <v>24196</v>
      </c>
      <c r="N26" s="39">
        <f t="shared" si="15"/>
        <v>0</v>
      </c>
      <c r="O26" s="39">
        <f t="shared" si="16"/>
        <v>0</v>
      </c>
      <c r="P26" s="42">
        <f t="shared" si="10"/>
        <v>0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>
      <c r="A27" s="40">
        <v>44432</v>
      </c>
      <c r="B27" s="41"/>
      <c r="C27" s="39">
        <f t="shared" si="6"/>
        <v>0</v>
      </c>
      <c r="D27" s="41"/>
      <c r="E27" s="39">
        <f t="shared" si="7"/>
        <v>0</v>
      </c>
      <c r="F27" s="41"/>
      <c r="G27" s="39">
        <f t="shared" si="8"/>
        <v>0</v>
      </c>
      <c r="H27" s="41"/>
      <c r="I27" s="39">
        <f t="shared" si="11"/>
        <v>0</v>
      </c>
      <c r="J27" s="39">
        <f t="shared" si="12"/>
        <v>0</v>
      </c>
      <c r="K27" s="39">
        <f t="shared" si="13"/>
        <v>0</v>
      </c>
      <c r="L27" s="39">
        <f t="shared" si="18"/>
        <v>0</v>
      </c>
      <c r="M27" s="149">
        <f t="shared" si="17"/>
        <v>24196</v>
      </c>
      <c r="N27" s="39">
        <f t="shared" si="15"/>
        <v>0</v>
      </c>
      <c r="O27" s="39">
        <f t="shared" si="16"/>
        <v>0</v>
      </c>
      <c r="P27" s="42">
        <f t="shared" si="10"/>
        <v>0</v>
      </c>
      <c r="Q27" s="39"/>
      <c r="R27" s="39"/>
      <c r="S27" s="39"/>
      <c r="T27" s="39"/>
      <c r="U27" s="39"/>
      <c r="V27" s="39"/>
      <c r="W27" s="39"/>
      <c r="X27" s="39"/>
      <c r="Y27" s="39"/>
      <c r="Z27" s="39"/>
      <c r="AA27" s="39"/>
      <c r="AB27" s="39"/>
      <c r="AC27" s="39">
        <f t="shared" si="20"/>
        <v>0</v>
      </c>
      <c r="AD27" s="38">
        <f t="shared" si="19"/>
        <v>0</v>
      </c>
      <c r="AE27" s="38">
        <f>(S27+V27+Y27+AB27)/4</f>
        <v>0</v>
      </c>
    </row>
    <row r="28" spans="1:31" ht="32.25" customHeight="1">
      <c r="A28" s="40">
        <v>44433</v>
      </c>
      <c r="B28" s="41"/>
      <c r="C28" s="39">
        <f t="shared" si="6"/>
        <v>0</v>
      </c>
      <c r="D28" s="41"/>
      <c r="E28" s="39">
        <f t="shared" si="7"/>
        <v>0</v>
      </c>
      <c r="F28" s="41"/>
      <c r="G28" s="39">
        <f t="shared" si="8"/>
        <v>0</v>
      </c>
      <c r="H28" s="41"/>
      <c r="I28" s="39">
        <f>IF(AC28&gt;0,((H28-AA28)+(AB28-H29)),IF(H29=0, ,(H28-H29)))</f>
        <v>0</v>
      </c>
      <c r="J28" s="39">
        <f t="shared" si="12"/>
        <v>0</v>
      </c>
      <c r="K28" s="39">
        <f t="shared" si="13"/>
        <v>0</v>
      </c>
      <c r="L28" s="39">
        <f t="shared" si="18"/>
        <v>0</v>
      </c>
      <c r="M28" s="149">
        <f t="shared" si="17"/>
        <v>24196</v>
      </c>
      <c r="N28" s="39">
        <f t="shared" si="15"/>
        <v>0</v>
      </c>
      <c r="O28" s="39">
        <f t="shared" si="16"/>
        <v>0</v>
      </c>
      <c r="P28" s="42">
        <f t="shared" si="10"/>
        <v>0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>
      <c r="A29" s="40">
        <v>44434</v>
      </c>
      <c r="B29" s="41"/>
      <c r="C29" s="39">
        <f t="shared" si="6"/>
        <v>0</v>
      </c>
      <c r="D29" s="41"/>
      <c r="E29" s="39">
        <f t="shared" si="7"/>
        <v>0</v>
      </c>
      <c r="F29" s="41"/>
      <c r="G29" s="39">
        <f t="shared" si="8"/>
        <v>0</v>
      </c>
      <c r="H29" s="41"/>
      <c r="I29" s="39">
        <f t="shared" si="11"/>
        <v>0</v>
      </c>
      <c r="J29" s="39">
        <f t="shared" si="12"/>
        <v>0</v>
      </c>
      <c r="K29" s="39">
        <f t="shared" si="13"/>
        <v>0</v>
      </c>
      <c r="L29" s="39">
        <f t="shared" si="18"/>
        <v>0</v>
      </c>
      <c r="M29" s="149">
        <f t="shared" si="17"/>
        <v>24196</v>
      </c>
      <c r="N29" s="39">
        <f t="shared" si="15"/>
        <v>0</v>
      </c>
      <c r="O29" s="39">
        <f t="shared" si="16"/>
        <v>0</v>
      </c>
      <c r="P29" s="42">
        <f t="shared" si="10"/>
        <v>0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>
      <c r="A30" s="40">
        <v>44435</v>
      </c>
      <c r="B30" s="41"/>
      <c r="C30" s="39">
        <f t="shared" si="6"/>
        <v>0</v>
      </c>
      <c r="D30" s="41"/>
      <c r="E30" s="39">
        <f t="shared" si="7"/>
        <v>0</v>
      </c>
      <c r="F30" s="41"/>
      <c r="G30" s="39">
        <f t="shared" si="8"/>
        <v>0</v>
      </c>
      <c r="H30" s="41"/>
      <c r="I30" s="39">
        <f t="shared" si="11"/>
        <v>0</v>
      </c>
      <c r="J30" s="39">
        <f t="shared" si="12"/>
        <v>0</v>
      </c>
      <c r="K30" s="39">
        <f t="shared" si="13"/>
        <v>0</v>
      </c>
      <c r="L30" s="39">
        <f t="shared" si="18"/>
        <v>0</v>
      </c>
      <c r="M30" s="149">
        <f t="shared" si="17"/>
        <v>24196</v>
      </c>
      <c r="N30" s="39">
        <f t="shared" si="15"/>
        <v>0</v>
      </c>
      <c r="O30" s="39">
        <f t="shared" si="16"/>
        <v>0</v>
      </c>
      <c r="P30" s="42">
        <f t="shared" si="10"/>
        <v>0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1">(S30+V30+Y30+AB30)/4</f>
        <v>0</v>
      </c>
    </row>
    <row r="31" spans="1:31" ht="32.25" customHeight="1">
      <c r="A31" s="40">
        <v>44436</v>
      </c>
      <c r="B31" s="41"/>
      <c r="C31" s="39">
        <f t="shared" si="6"/>
        <v>0</v>
      </c>
      <c r="D31" s="41"/>
      <c r="E31" s="39">
        <f t="shared" si="7"/>
        <v>0</v>
      </c>
      <c r="F31" s="41"/>
      <c r="G31" s="39">
        <f t="shared" si="8"/>
        <v>0</v>
      </c>
      <c r="H31" s="41"/>
      <c r="I31" s="39">
        <f t="shared" si="11"/>
        <v>0</v>
      </c>
      <c r="J31" s="39">
        <f t="shared" si="12"/>
        <v>0</v>
      </c>
      <c r="K31" s="39">
        <f t="shared" si="13"/>
        <v>0</v>
      </c>
      <c r="L31" s="39">
        <f t="shared" si="18"/>
        <v>0</v>
      </c>
      <c r="M31" s="149">
        <f t="shared" si="17"/>
        <v>24196</v>
      </c>
      <c r="N31" s="39">
        <f t="shared" si="15"/>
        <v>0</v>
      </c>
      <c r="O31" s="39">
        <f t="shared" si="16"/>
        <v>0</v>
      </c>
      <c r="P31" s="42">
        <f t="shared" si="10"/>
        <v>0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1"/>
        <v>0</v>
      </c>
    </row>
    <row r="32" spans="1:31" ht="32.25" customHeight="1">
      <c r="A32" s="40">
        <v>44437</v>
      </c>
      <c r="B32" s="41"/>
      <c r="C32" s="39">
        <f t="shared" si="6"/>
        <v>0</v>
      </c>
      <c r="D32" s="41"/>
      <c r="E32" s="39">
        <f t="shared" si="7"/>
        <v>0</v>
      </c>
      <c r="F32" s="41"/>
      <c r="G32" s="39">
        <f t="shared" si="8"/>
        <v>0</v>
      </c>
      <c r="H32" s="41"/>
      <c r="I32" s="39">
        <f t="shared" si="11"/>
        <v>0</v>
      </c>
      <c r="J32" s="39">
        <f t="shared" si="12"/>
        <v>0</v>
      </c>
      <c r="K32" s="39">
        <f t="shared" si="13"/>
        <v>0</v>
      </c>
      <c r="L32" s="39">
        <f t="shared" si="18"/>
        <v>0</v>
      </c>
      <c r="M32" s="149">
        <f t="shared" si="17"/>
        <v>24196</v>
      </c>
      <c r="N32" s="39">
        <f t="shared" si="15"/>
        <v>0</v>
      </c>
      <c r="O32" s="149">
        <f t="shared" si="16"/>
        <v>0</v>
      </c>
      <c r="P32" s="42">
        <f t="shared" si="10"/>
        <v>0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1"/>
        <v>0</v>
      </c>
    </row>
    <row r="33" spans="1:31" ht="32.25" customHeight="1">
      <c r="A33" s="40">
        <v>44438</v>
      </c>
      <c r="B33" s="41"/>
      <c r="C33" s="39">
        <f t="shared" si="6"/>
        <v>0</v>
      </c>
      <c r="D33" s="41"/>
      <c r="E33" s="39">
        <f t="shared" si="7"/>
        <v>0</v>
      </c>
      <c r="F33" s="41"/>
      <c r="G33" s="39">
        <f t="shared" si="8"/>
        <v>0</v>
      </c>
      <c r="H33" s="41"/>
      <c r="I33" s="39">
        <f t="shared" si="11"/>
        <v>0</v>
      </c>
      <c r="J33" s="39">
        <f t="shared" si="12"/>
        <v>0</v>
      </c>
      <c r="K33" s="39">
        <f t="shared" si="13"/>
        <v>0</v>
      </c>
      <c r="L33" s="39">
        <f t="shared" si="18"/>
        <v>0</v>
      </c>
      <c r="M33" s="149">
        <f t="shared" si="17"/>
        <v>24196</v>
      </c>
      <c r="N33" s="39">
        <f t="shared" si="15"/>
        <v>0</v>
      </c>
      <c r="O33" s="39">
        <f t="shared" si="16"/>
        <v>0</v>
      </c>
      <c r="P33" s="42">
        <f t="shared" si="10"/>
        <v>0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1"/>
        <v>0</v>
      </c>
    </row>
    <row r="34" spans="1:31" ht="32.25" customHeight="1">
      <c r="A34" s="40">
        <v>44439</v>
      </c>
      <c r="B34" s="41"/>
      <c r="C34" s="39">
        <f t="shared" si="6"/>
        <v>0</v>
      </c>
      <c r="D34" s="41"/>
      <c r="E34" s="39">
        <f t="shared" si="7"/>
        <v>0</v>
      </c>
      <c r="F34" s="41"/>
      <c r="G34" s="39">
        <f t="shared" si="8"/>
        <v>0</v>
      </c>
      <c r="H34" s="41"/>
      <c r="I34" s="39">
        <f t="shared" si="11"/>
        <v>0</v>
      </c>
      <c r="J34" s="39">
        <f>B34+D34+F34+H34</f>
        <v>0</v>
      </c>
      <c r="K34" s="39">
        <f>J34/4</f>
        <v>0</v>
      </c>
      <c r="L34" s="39">
        <f>IF(AC34&gt;0,((K34-AD34)+(AE34-K35)),IF(K35=0, ,(K34-K35)))</f>
        <v>0</v>
      </c>
      <c r="M34" s="149">
        <f t="shared" si="17"/>
        <v>24196</v>
      </c>
      <c r="N34" s="39">
        <f>L34*M34/100</f>
        <v>0</v>
      </c>
      <c r="O34" s="39">
        <f>N34*0.529</f>
        <v>0</v>
      </c>
      <c r="P34" s="42">
        <f t="shared" si="10"/>
        <v>0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1"/>
        <v>0</v>
      </c>
    </row>
    <row r="35" spans="1:31" ht="32.25" customHeight="1">
      <c r="A35" s="40">
        <v>44440</v>
      </c>
      <c r="B35" s="41"/>
      <c r="C35" s="39">
        <f t="shared" si="6"/>
        <v>0</v>
      </c>
      <c r="D35" s="41"/>
      <c r="E35" s="39">
        <f t="shared" si="7"/>
        <v>0</v>
      </c>
      <c r="F35" s="41"/>
      <c r="G35" s="39">
        <f t="shared" si="8"/>
        <v>0</v>
      </c>
      <c r="H35" s="41"/>
      <c r="I35" s="39">
        <f t="shared" si="11"/>
        <v>0</v>
      </c>
      <c r="J35" s="39">
        <f>B35+D35+F35+H35</f>
        <v>0</v>
      </c>
      <c r="K35" s="39">
        <f>J35/4</f>
        <v>0</v>
      </c>
      <c r="L35" s="39">
        <f t="shared" si="18"/>
        <v>0</v>
      </c>
      <c r="M35" s="149">
        <f t="shared" si="17"/>
        <v>24196</v>
      </c>
      <c r="N35" s="39">
        <f t="shared" si="15"/>
        <v>0</v>
      </c>
      <c r="O35" s="39">
        <f t="shared" si="16"/>
        <v>0</v>
      </c>
      <c r="P35" s="42">
        <f t="shared" si="10"/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1"/>
        <v>0</v>
      </c>
    </row>
    <row r="36" spans="1:31" ht="32.25" customHeight="1">
      <c r="A36" s="40"/>
      <c r="B36" s="41"/>
      <c r="C36" s="39">
        <f>IF(AC36&gt;0,((B36-R36)+(S36-B37)),IF(B37=0, ,(B36-B37)))</f>
        <v>0</v>
      </c>
      <c r="D36" s="41"/>
      <c r="E36" s="39">
        <f t="shared" ref="E27:E36" si="22">IF(AC36&gt;0,((D36-U36)+(V36-D37)),IF(D37=0, ,(D36-D37)))</f>
        <v>0</v>
      </c>
      <c r="F36" s="41"/>
      <c r="G36" s="39">
        <f t="shared" ref="G27:G36" si="23">IF(AC36&gt;0,((F36-X36)+(Y36-F37)),IF(F37=0, ,(F36-F37)))</f>
        <v>0</v>
      </c>
      <c r="H36" s="41"/>
      <c r="I36" s="39">
        <f t="shared" si="11"/>
        <v>0</v>
      </c>
      <c r="J36" s="39">
        <f t="shared" si="12"/>
        <v>0</v>
      </c>
      <c r="K36" s="39">
        <f t="shared" si="13"/>
        <v>0</v>
      </c>
      <c r="L36" s="39">
        <f t="shared" si="18"/>
        <v>0</v>
      </c>
      <c r="M36" s="149">
        <f t="shared" si="17"/>
        <v>24196</v>
      </c>
      <c r="N36" s="39">
        <f t="shared" si="15"/>
        <v>0</v>
      </c>
      <c r="O36" s="39">
        <f t="shared" si="16"/>
        <v>0</v>
      </c>
      <c r="P36" s="42">
        <f t="shared" si="10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1"/>
        <v>0</v>
      </c>
    </row>
    <row r="37" spans="1:31" ht="32.25" customHeight="1">
      <c r="A37" s="40"/>
      <c r="B37" s="41"/>
      <c r="C37" s="39">
        <f t="shared" ref="C37:C42" si="24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25">IF(AC37&gt;0,((F37-X37)+(Y37-F38)),IF(F38=0, ,(F37-F38)))</f>
        <v>0</v>
      </c>
      <c r="H37" s="41"/>
      <c r="I37" s="39">
        <f t="shared" ref="I37:I42" si="26">IF(AC37&gt;0,((H37-AA37)+(AB37-H38)),IF(H38=0, ,(H37-H38)))</f>
        <v>0</v>
      </c>
      <c r="J37" s="39">
        <f t="shared" si="12"/>
        <v>0</v>
      </c>
      <c r="K37" s="39">
        <f t="shared" si="13"/>
        <v>0</v>
      </c>
      <c r="L37" s="39">
        <f t="shared" si="18"/>
        <v>0</v>
      </c>
      <c r="M37" s="149">
        <f t="shared" si="17"/>
        <v>24196</v>
      </c>
      <c r="N37" s="39">
        <f t="shared" si="15"/>
        <v>0</v>
      </c>
      <c r="O37" s="39">
        <f t="shared" si="16"/>
        <v>0</v>
      </c>
      <c r="P37" s="42">
        <f t="shared" si="10"/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1"/>
        <v>0</v>
      </c>
    </row>
    <row r="38" spans="1:31" ht="32.25" customHeight="1">
      <c r="A38" s="40"/>
      <c r="B38" s="41"/>
      <c r="C38" s="39">
        <f t="shared" si="24"/>
        <v>0</v>
      </c>
      <c r="D38" s="41"/>
      <c r="E38" s="39">
        <f>IF(AC38:AC61&gt;0,((D38-U38)+(V38-D39)),IF(D39=0, ,(D38-D39)))</f>
        <v>0</v>
      </c>
      <c r="F38" s="41"/>
      <c r="G38" s="39">
        <f t="shared" si="25"/>
        <v>0</v>
      </c>
      <c r="H38" s="41"/>
      <c r="I38" s="39">
        <f t="shared" si="26"/>
        <v>0</v>
      </c>
      <c r="J38" s="39">
        <f t="shared" si="12"/>
        <v>0</v>
      </c>
      <c r="K38" s="39">
        <f t="shared" si="13"/>
        <v>0</v>
      </c>
      <c r="L38" s="39">
        <f t="shared" si="18"/>
        <v>0</v>
      </c>
      <c r="M38" s="149">
        <f t="shared" si="17"/>
        <v>24196</v>
      </c>
      <c r="N38" s="39">
        <f t="shared" si="15"/>
        <v>0</v>
      </c>
      <c r="O38" s="39">
        <f>N38*0.53</f>
        <v>0</v>
      </c>
      <c r="P38" s="42">
        <f t="shared" si="10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1"/>
        <v>0</v>
      </c>
    </row>
    <row r="39" spans="1:31" ht="32.25" customHeight="1">
      <c r="A39" s="40"/>
      <c r="B39" s="41"/>
      <c r="C39" s="39">
        <f t="shared" si="24"/>
        <v>0</v>
      </c>
      <c r="D39" s="41"/>
      <c r="E39" s="39">
        <f>IF(AC39&gt;0,((D39-U39)+(V39-D40)),IF(D40=0, ,(D39-D40)))</f>
        <v>0</v>
      </c>
      <c r="F39" s="41"/>
      <c r="G39" s="39">
        <f t="shared" si="25"/>
        <v>0</v>
      </c>
      <c r="H39" s="41"/>
      <c r="I39" s="39">
        <f t="shared" si="26"/>
        <v>0</v>
      </c>
      <c r="J39" s="39">
        <f t="shared" si="12"/>
        <v>0</v>
      </c>
      <c r="K39" s="39">
        <f t="shared" si="13"/>
        <v>0</v>
      </c>
      <c r="L39" s="39">
        <f t="shared" si="18"/>
        <v>0</v>
      </c>
      <c r="M39" s="149">
        <f t="shared" si="17"/>
        <v>24196</v>
      </c>
      <c r="N39" s="39">
        <f t="shared" si="15"/>
        <v>0</v>
      </c>
      <c r="O39" s="39">
        <f>N39*0.53</f>
        <v>0</v>
      </c>
      <c r="P39" s="42">
        <f t="shared" si="10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1"/>
        <v>0</v>
      </c>
    </row>
    <row r="40" spans="1:31" ht="32.25" customHeight="1">
      <c r="A40" s="40"/>
      <c r="B40" s="41"/>
      <c r="C40" s="39">
        <f t="shared" si="24"/>
        <v>0</v>
      </c>
      <c r="D40" s="41"/>
      <c r="E40" s="39">
        <f>IF(AC40&gt;0,((D40-U40)+(V40-D41)),IF(D41=0, ,(D40-D41)))</f>
        <v>0</v>
      </c>
      <c r="F40" s="41"/>
      <c r="G40" s="39">
        <f t="shared" si="25"/>
        <v>0</v>
      </c>
      <c r="H40" s="41"/>
      <c r="I40" s="39">
        <f t="shared" si="26"/>
        <v>0</v>
      </c>
      <c r="J40" s="39">
        <f t="shared" si="12"/>
        <v>0</v>
      </c>
      <c r="K40" s="39">
        <f t="shared" si="13"/>
        <v>0</v>
      </c>
      <c r="L40" s="39">
        <f t="shared" si="18"/>
        <v>0</v>
      </c>
      <c r="M40" s="149">
        <f t="shared" si="17"/>
        <v>24196</v>
      </c>
      <c r="N40" s="39">
        <f t="shared" si="15"/>
        <v>0</v>
      </c>
      <c r="O40" s="39">
        <f>N40*0.53</f>
        <v>0</v>
      </c>
      <c r="P40" s="42">
        <f t="shared" si="10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1"/>
        <v>0</v>
      </c>
    </row>
    <row r="41" spans="1:31" ht="32.25" customHeight="1">
      <c r="A41" s="40"/>
      <c r="B41" s="41"/>
      <c r="C41" s="39">
        <f t="shared" si="24"/>
        <v>0</v>
      </c>
      <c r="D41" s="41"/>
      <c r="E41" s="39">
        <f>IF(AC41&gt;0,((D41-U41)+(V41-D42)),IF(D42=0, ,(D41-D42)))</f>
        <v>0</v>
      </c>
      <c r="F41" s="41"/>
      <c r="G41" s="39">
        <f t="shared" si="25"/>
        <v>0</v>
      </c>
      <c r="H41" s="41"/>
      <c r="I41" s="39">
        <f t="shared" si="26"/>
        <v>0</v>
      </c>
      <c r="J41" s="39">
        <f t="shared" si="12"/>
        <v>0</v>
      </c>
      <c r="K41" s="39">
        <f t="shared" si="13"/>
        <v>0</v>
      </c>
      <c r="L41" s="39">
        <f t="shared" si="18"/>
        <v>0</v>
      </c>
      <c r="M41" s="149">
        <f t="shared" si="17"/>
        <v>24196</v>
      </c>
      <c r="N41" s="39">
        <f t="shared" si="15"/>
        <v>0</v>
      </c>
      <c r="O41" s="39">
        <f>N41*0.53</f>
        <v>0</v>
      </c>
      <c r="P41" s="42">
        <f t="shared" ref="P5:P42" si="27">O41*8.41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1"/>
        <v>0</v>
      </c>
    </row>
    <row r="42" spans="1:31" ht="32.25" customHeight="1">
      <c r="A42" s="40"/>
      <c r="B42" s="41"/>
      <c r="C42" s="39">
        <f t="shared" si="24"/>
        <v>0</v>
      </c>
      <c r="D42" s="41"/>
      <c r="E42" s="39">
        <f>IF(AC42&gt;0,((D42-U42)+(V42-D43)),IF(D43=0, ,(D42-D43)))</f>
        <v>0</v>
      </c>
      <c r="F42" s="41"/>
      <c r="G42" s="39">
        <f t="shared" si="25"/>
        <v>0</v>
      </c>
      <c r="H42" s="41"/>
      <c r="I42" s="39">
        <f t="shared" si="26"/>
        <v>0</v>
      </c>
      <c r="J42" s="39">
        <f t="shared" si="12"/>
        <v>0</v>
      </c>
      <c r="K42" s="39">
        <f t="shared" si="13"/>
        <v>0</v>
      </c>
      <c r="L42" s="39">
        <f t="shared" si="18"/>
        <v>0</v>
      </c>
      <c r="M42" s="149">
        <f t="shared" si="17"/>
        <v>24196</v>
      </c>
      <c r="N42" s="39">
        <f t="shared" si="15"/>
        <v>0</v>
      </c>
      <c r="O42" s="39">
        <f>N42*0.53</f>
        <v>0</v>
      </c>
      <c r="P42" s="42">
        <f t="shared" si="27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1"/>
        <v>0</v>
      </c>
    </row>
    <row r="43" spans="1:31" ht="32.25" customHeight="1" thickBot="1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4315.68</v>
      </c>
      <c r="O43" s="39">
        <f>N43*0.529</f>
        <v>2282.9947200000001</v>
      </c>
      <c r="P43" s="42">
        <f>O43*9.01</f>
        <v>20569.7824272</v>
      </c>
      <c r="Q43" s="291">
        <f>SUM(Q4:Q42)</f>
        <v>1907</v>
      </c>
      <c r="R43" s="292"/>
      <c r="S43" s="293"/>
      <c r="T43" s="294">
        <f>SUM(T4:T42)</f>
        <v>2139</v>
      </c>
      <c r="U43" s="292"/>
      <c r="V43" s="293"/>
      <c r="W43" s="294">
        <f>SUM(W4:W42)</f>
        <v>2180</v>
      </c>
      <c r="X43" s="292"/>
      <c r="Y43" s="293"/>
      <c r="Z43" s="294">
        <f>SUM(Z4:Z42)</f>
        <v>2197</v>
      </c>
      <c r="AA43" s="292"/>
      <c r="AB43" s="293"/>
      <c r="AC43" s="39">
        <f t="shared" si="20"/>
        <v>8423</v>
      </c>
    </row>
    <row r="44" spans="1:31" ht="35.25" customHeight="1" thickBot="1">
      <c r="B44" s="300"/>
      <c r="C44" s="301"/>
      <c r="D44" s="301"/>
      <c r="E44" s="301"/>
      <c r="F44" s="301"/>
      <c r="G44" s="301"/>
      <c r="H44" s="301"/>
      <c r="I44" s="302"/>
      <c r="J44" s="37"/>
      <c r="K44" s="37"/>
      <c r="L44" s="37"/>
      <c r="M44" s="37"/>
      <c r="N44" s="37"/>
      <c r="O44" s="37"/>
      <c r="P44" s="37"/>
      <c r="Q44" s="303">
        <f>Q43+T43+W43+Z43</f>
        <v>8423</v>
      </c>
      <c r="R44" s="304"/>
      <c r="S44" s="304"/>
      <c r="T44" s="304"/>
      <c r="U44" s="304"/>
      <c r="V44" s="304"/>
      <c r="W44" s="304"/>
      <c r="X44" s="304"/>
      <c r="Y44" s="304"/>
      <c r="Z44" s="304"/>
      <c r="AA44" s="304"/>
      <c r="AB44" s="305"/>
      <c r="AC44" s="39">
        <f>Q44+T44+W44+Z44</f>
        <v>8423</v>
      </c>
    </row>
    <row r="45" spans="1:31" ht="7.5" customHeight="1" thickBot="1">
      <c r="D45" s="36" t="s">
        <v>18</v>
      </c>
    </row>
    <row r="46" spans="1:31" ht="51" customHeight="1" thickBot="1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>
      <c r="H47" s="287" t="s">
        <v>85</v>
      </c>
      <c r="I47" s="288"/>
      <c r="J47" s="289"/>
      <c r="K47" s="45">
        <f>N43</f>
        <v>4315.68</v>
      </c>
      <c r="L47" s="46">
        <f>O43</f>
        <v>2282.9947200000001</v>
      </c>
      <c r="M47" s="46">
        <f>P43</f>
        <v>20569.7824272</v>
      </c>
    </row>
    <row r="48" spans="1:31" ht="54.75" customHeight="1" thickBot="1">
      <c r="H48" s="287" t="s">
        <v>86</v>
      </c>
      <c r="I48" s="288"/>
      <c r="J48" s="289"/>
      <c r="K48" s="43">
        <f>AC44</f>
        <v>8423</v>
      </c>
      <c r="L48" s="44">
        <f>K48*0.529</f>
        <v>4455.7669999999998</v>
      </c>
      <c r="M48" s="44">
        <f>L48*9.01</f>
        <v>40146.46067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zoomScaleNormal="100"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>
      <c r="A1" s="276"/>
      <c r="B1" s="278"/>
      <c r="C1" s="306" t="s">
        <v>87</v>
      </c>
      <c r="D1" s="307"/>
      <c r="E1" s="307"/>
      <c r="F1" s="307"/>
      <c r="G1" s="307"/>
      <c r="H1" s="312" t="s">
        <v>88</v>
      </c>
      <c r="I1" s="313"/>
      <c r="J1" s="314"/>
    </row>
    <row r="2" spans="1:10" ht="16.5" customHeight="1" thickBot="1">
      <c r="A2" s="279"/>
      <c r="B2" s="281"/>
      <c r="C2" s="308"/>
      <c r="D2" s="309"/>
      <c r="E2" s="309"/>
      <c r="F2" s="309"/>
      <c r="G2" s="309"/>
      <c r="H2" s="315"/>
      <c r="I2" s="316"/>
      <c r="J2" s="317"/>
    </row>
    <row r="3" spans="1:10" ht="15" customHeight="1">
      <c r="A3" s="279"/>
      <c r="B3" s="281"/>
      <c r="C3" s="308"/>
      <c r="D3" s="309"/>
      <c r="E3" s="309"/>
      <c r="F3" s="309"/>
      <c r="G3" s="309"/>
      <c r="H3" s="318" t="s">
        <v>89</v>
      </c>
      <c r="I3" s="319"/>
      <c r="J3" s="320"/>
    </row>
    <row r="4" spans="1:10" ht="15.75" customHeight="1" thickBot="1">
      <c r="A4" s="282"/>
      <c r="B4" s="284"/>
      <c r="C4" s="310"/>
      <c r="D4" s="311"/>
      <c r="E4" s="311"/>
      <c r="F4" s="311"/>
      <c r="G4" s="311"/>
      <c r="H4" s="321"/>
      <c r="I4" s="322"/>
      <c r="J4" s="323"/>
    </row>
    <row r="6" spans="1:10" ht="33" customHeight="1" thickBot="1"/>
    <row r="7" spans="1:10" ht="36.75" thickTop="1">
      <c r="A7" s="324" t="s">
        <v>90</v>
      </c>
      <c r="B7" s="324"/>
      <c r="C7" s="325" t="s">
        <v>91</v>
      </c>
      <c r="D7" s="326"/>
      <c r="E7" s="61" t="s">
        <v>92</v>
      </c>
      <c r="F7" s="61" t="s">
        <v>93</v>
      </c>
      <c r="G7" s="61" t="s">
        <v>94</v>
      </c>
      <c r="H7" s="61" t="s">
        <v>95</v>
      </c>
      <c r="I7" s="327" t="s">
        <v>96</v>
      </c>
      <c r="J7" s="328"/>
    </row>
    <row r="8" spans="1:10">
      <c r="A8" s="329">
        <v>95670781</v>
      </c>
      <c r="B8" s="329"/>
      <c r="C8" s="330">
        <v>44375</v>
      </c>
      <c r="D8" s="331"/>
      <c r="E8" s="113">
        <v>44405</v>
      </c>
      <c r="F8" s="171" t="s">
        <v>97</v>
      </c>
      <c r="G8" s="62"/>
      <c r="H8" s="62"/>
      <c r="I8" s="332"/>
      <c r="J8" s="333"/>
    </row>
    <row r="10" spans="1:10" ht="23.25" customHeight="1" thickBot="1"/>
    <row r="11" spans="1:10" ht="24.75" customHeight="1" thickTop="1">
      <c r="A11" s="334" t="s">
        <v>98</v>
      </c>
      <c r="B11" s="334"/>
      <c r="C11" s="335" t="s">
        <v>99</v>
      </c>
      <c r="D11" s="336"/>
      <c r="E11" s="334" t="s">
        <v>100</v>
      </c>
      <c r="F11" s="334"/>
      <c r="G11" s="335" t="s">
        <v>101</v>
      </c>
      <c r="H11" s="336"/>
      <c r="I11" s="337" t="s">
        <v>102</v>
      </c>
      <c r="J11" s="337"/>
    </row>
    <row r="12" spans="1:10">
      <c r="A12" s="329" t="s">
        <v>103</v>
      </c>
      <c r="B12" s="329"/>
      <c r="C12" s="329">
        <v>3750</v>
      </c>
      <c r="D12" s="329"/>
      <c r="E12" s="329">
        <v>1000</v>
      </c>
      <c r="F12" s="329"/>
      <c r="G12" s="341">
        <v>1155</v>
      </c>
      <c r="H12" s="341"/>
      <c r="I12" s="342"/>
      <c r="J12" s="342"/>
    </row>
    <row r="13" spans="1:10">
      <c r="A13" s="343"/>
      <c r="B13" s="344"/>
      <c r="C13" s="344"/>
      <c r="D13" s="344"/>
      <c r="E13" s="344"/>
      <c r="F13" s="344"/>
      <c r="G13" s="344"/>
      <c r="H13" s="344"/>
      <c r="I13" s="344"/>
      <c r="J13" s="344"/>
    </row>
    <row r="15" spans="1:10" ht="13.5" thickBot="1"/>
    <row r="16" spans="1:10" ht="26.25" thickTop="1">
      <c r="A16" s="334" t="s">
        <v>104</v>
      </c>
      <c r="B16" s="334"/>
      <c r="C16" s="63" t="s">
        <v>105</v>
      </c>
      <c r="D16" s="64" t="s">
        <v>106</v>
      </c>
      <c r="E16" s="64" t="s">
        <v>48</v>
      </c>
      <c r="F16" s="64" t="s">
        <v>107</v>
      </c>
      <c r="G16" s="338" t="s">
        <v>108</v>
      </c>
      <c r="H16" s="338"/>
      <c r="I16" s="339" t="s">
        <v>109</v>
      </c>
      <c r="J16" s="340"/>
    </row>
    <row r="17" spans="1:10">
      <c r="A17" s="345" t="s">
        <v>110</v>
      </c>
      <c r="B17" s="346"/>
      <c r="C17" s="66">
        <v>18279374</v>
      </c>
      <c r="D17" s="66">
        <v>18027836</v>
      </c>
      <c r="E17" s="67">
        <f>MIN(C17-D17)</f>
        <v>251538</v>
      </c>
      <c r="F17" s="67">
        <f>+E17</f>
        <v>251538</v>
      </c>
      <c r="G17" s="347"/>
      <c r="H17" s="348"/>
      <c r="I17" s="347">
        <f>+E17</f>
        <v>251538</v>
      </c>
      <c r="J17" s="348"/>
    </row>
    <row r="18" spans="1:10">
      <c r="A18" s="345" t="s">
        <v>111</v>
      </c>
      <c r="B18" s="346"/>
      <c r="C18" s="66">
        <v>10791230</v>
      </c>
      <c r="D18" s="66">
        <v>10683972</v>
      </c>
      <c r="E18" s="67">
        <f>MIN(C18-D18)</f>
        <v>107258</v>
      </c>
      <c r="F18" s="67">
        <f>+E18</f>
        <v>107258</v>
      </c>
      <c r="G18" s="347"/>
      <c r="H18" s="348"/>
      <c r="I18" s="347">
        <f>+E18</f>
        <v>107258</v>
      </c>
      <c r="J18" s="348"/>
    </row>
    <row r="19" spans="1:10">
      <c r="A19" s="345" t="s">
        <v>112</v>
      </c>
      <c r="B19" s="346"/>
      <c r="C19" s="66">
        <v>8059869</v>
      </c>
      <c r="D19" s="66">
        <v>7964067</v>
      </c>
      <c r="E19" s="67">
        <f>AVERAGE(C19-D19)</f>
        <v>95802</v>
      </c>
      <c r="F19" s="67">
        <f>+E19</f>
        <v>95802</v>
      </c>
      <c r="G19" s="347"/>
      <c r="H19" s="348"/>
      <c r="I19" s="347">
        <f>+E19</f>
        <v>95802</v>
      </c>
      <c r="J19" s="348"/>
    </row>
    <row r="20" spans="1:10" ht="15">
      <c r="A20" s="349" t="s">
        <v>113</v>
      </c>
      <c r="B20" s="350"/>
      <c r="C20" s="68"/>
      <c r="D20" s="69"/>
      <c r="E20" s="68">
        <f>SUM(E17:E19)</f>
        <v>454598</v>
      </c>
      <c r="F20" s="70"/>
      <c r="G20" s="351"/>
      <c r="H20" s="352"/>
      <c r="I20" s="351"/>
      <c r="J20" s="352"/>
    </row>
    <row r="21" spans="1:10">
      <c r="C21" s="110" t="s">
        <v>18</v>
      </c>
      <c r="D21" t="s">
        <v>114</v>
      </c>
      <c r="G21" s="353"/>
      <c r="H21" s="353"/>
    </row>
    <row r="22" spans="1:10" ht="13.5" thickBot="1">
      <c r="G22" s="354"/>
      <c r="H22" s="354"/>
    </row>
    <row r="23" spans="1:10" ht="13.5" thickTop="1">
      <c r="A23" s="355" t="s">
        <v>115</v>
      </c>
      <c r="B23" s="356"/>
      <c r="C23" s="357"/>
      <c r="D23" s="334" t="s">
        <v>116</v>
      </c>
      <c r="E23" s="334" t="s">
        <v>117</v>
      </c>
      <c r="F23" s="362" t="s">
        <v>118</v>
      </c>
      <c r="G23" s="364" t="s">
        <v>119</v>
      </c>
      <c r="H23" s="364"/>
      <c r="I23" s="365" t="s">
        <v>120</v>
      </c>
      <c r="J23" s="365"/>
    </row>
    <row r="24" spans="1:10">
      <c r="A24" s="358"/>
      <c r="B24" s="359"/>
      <c r="C24" s="360"/>
      <c r="D24" s="361"/>
      <c r="E24" s="361"/>
      <c r="F24" s="363"/>
      <c r="G24" s="170" t="s">
        <v>121</v>
      </c>
      <c r="H24" s="71" t="s">
        <v>122</v>
      </c>
      <c r="I24" s="365"/>
      <c r="J24" s="365"/>
    </row>
    <row r="25" spans="1:10" ht="15">
      <c r="A25" s="366" t="s">
        <v>123</v>
      </c>
      <c r="B25" s="367"/>
      <c r="C25" s="368"/>
      <c r="D25" s="67">
        <f>+E17</f>
        <v>251538</v>
      </c>
      <c r="E25" s="72">
        <v>0.95140000000000002</v>
      </c>
      <c r="F25" s="73">
        <f>PRODUCT(D25*E25)</f>
        <v>239313.25320000001</v>
      </c>
      <c r="G25" s="151">
        <v>14</v>
      </c>
      <c r="H25" s="65">
        <f>PRODUCT(0.14,F25)</f>
        <v>33503.855448000002</v>
      </c>
      <c r="I25" s="369">
        <f>SUM(H25,F25)</f>
        <v>272817.10864799999</v>
      </c>
      <c r="J25" s="370"/>
    </row>
    <row r="26" spans="1:10" ht="15">
      <c r="A26" s="371" t="s">
        <v>124</v>
      </c>
      <c r="B26" s="372"/>
      <c r="C26" s="373"/>
      <c r="D26" s="67">
        <f>+E18</f>
        <v>107258</v>
      </c>
      <c r="E26" s="74">
        <v>0.69850000000000001</v>
      </c>
      <c r="F26" s="73">
        <f>PRODUCT(D26*E26)</f>
        <v>74919.713000000003</v>
      </c>
      <c r="G26">
        <v>14</v>
      </c>
      <c r="H26" s="67">
        <f>PRODUCT(0.14,F26)</f>
        <v>10488.759820000001</v>
      </c>
      <c r="I26" s="369">
        <f t="shared" ref="I26:I31" si="0">SUM(H26,F26)</f>
        <v>85408.47282000001</v>
      </c>
      <c r="J26" s="370"/>
    </row>
    <row r="27" spans="1:10" ht="15">
      <c r="A27" s="371" t="s">
        <v>125</v>
      </c>
      <c r="B27" s="372"/>
      <c r="C27" s="373"/>
      <c r="D27" s="67">
        <f>+E19</f>
        <v>95802</v>
      </c>
      <c r="E27" s="74">
        <v>1.3304</v>
      </c>
      <c r="F27" s="73">
        <f>PRODUCT(D27*E27)</f>
        <v>127454.9808</v>
      </c>
      <c r="G27">
        <v>14</v>
      </c>
      <c r="H27" s="67">
        <f>PRODUCT(0.14,F27)</f>
        <v>17843.697312000004</v>
      </c>
      <c r="I27" s="369">
        <f>SUM(H27,F27)</f>
        <v>145298.67811199999</v>
      </c>
      <c r="J27" s="370"/>
    </row>
    <row r="28" spans="1:10" ht="15">
      <c r="A28" s="371" t="s">
        <v>126</v>
      </c>
      <c r="B28" s="372"/>
      <c r="C28" s="37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9">
        <f t="shared" si="0"/>
        <v>50025.103799999997</v>
      </c>
      <c r="J28" s="370"/>
    </row>
    <row r="29" spans="1:10" ht="15">
      <c r="A29" s="382" t="s">
        <v>127</v>
      </c>
      <c r="B29" s="383"/>
      <c r="C29" s="384"/>
      <c r="D29" s="75">
        <f>G12-E12</f>
        <v>155</v>
      </c>
      <c r="E29" s="76">
        <f>E28*1.5</f>
        <v>65.822505000000007</v>
      </c>
      <c r="F29" s="77">
        <f>PRODUCT(D29,E29)</f>
        <v>10202.488275000002</v>
      </c>
      <c r="G29" s="78">
        <v>14</v>
      </c>
      <c r="H29" s="75">
        <f>PRODUCT(0.14,F29)</f>
        <v>1428.3483585000004</v>
      </c>
      <c r="I29" s="385">
        <f t="shared" si="0"/>
        <v>11630.836633500003</v>
      </c>
      <c r="J29" s="386"/>
    </row>
    <row r="30" spans="1:10" ht="15">
      <c r="A30" s="371" t="s">
        <v>128</v>
      </c>
      <c r="B30" s="372"/>
      <c r="C30" s="37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9">
        <f>SUM(H30,F30)</f>
        <v>1009.2</v>
      </c>
      <c r="J30" s="370"/>
    </row>
    <row r="31" spans="1:10" ht="15.75" thickBot="1">
      <c r="A31" s="374" t="s">
        <v>129</v>
      </c>
      <c r="B31" s="375"/>
      <c r="C31" s="376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9">
        <f t="shared" si="0"/>
        <v>1596.44</v>
      </c>
      <c r="J31" s="370"/>
    </row>
    <row r="32" spans="1:10" ht="21">
      <c r="A32" s="377" t="s">
        <v>130</v>
      </c>
      <c r="B32" s="378"/>
      <c r="C32" s="378"/>
      <c r="D32" s="378"/>
      <c r="E32" s="378"/>
      <c r="F32" s="84">
        <f>SUM(F25:F31)</f>
        <v>498105.10527500004</v>
      </c>
      <c r="G32" s="85"/>
      <c r="H32" s="86"/>
      <c r="I32" s="381">
        <f>SUM(I25:J31)</f>
        <v>567785.84001349984</v>
      </c>
      <c r="J32" s="381"/>
    </row>
    <row r="33" spans="1:10" ht="21.75" thickBot="1">
      <c r="A33" s="379"/>
      <c r="B33" s="380"/>
      <c r="C33" s="380"/>
      <c r="D33" s="380"/>
      <c r="E33" s="380"/>
      <c r="F33" s="87"/>
      <c r="G33" s="88"/>
      <c r="H33" s="89"/>
      <c r="I33" s="381"/>
      <c r="J33" s="381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3:J24"/>
    <mergeCell ref="A25:C25"/>
    <mergeCell ref="I25:J25"/>
    <mergeCell ref="A26:C26"/>
    <mergeCell ref="I26:J26"/>
    <mergeCell ref="G21:H21"/>
    <mergeCell ref="G22:H22"/>
    <mergeCell ref="A23:C24"/>
    <mergeCell ref="D23:D24"/>
    <mergeCell ref="E23:E24"/>
    <mergeCell ref="F23:F24"/>
    <mergeCell ref="G23:H23"/>
    <mergeCell ref="A19:B19"/>
    <mergeCell ref="G19:H19"/>
    <mergeCell ref="I19:J19"/>
    <mergeCell ref="A20:B20"/>
    <mergeCell ref="G20:H20"/>
    <mergeCell ref="I20:J20"/>
    <mergeCell ref="A17:B17"/>
    <mergeCell ref="G17:H17"/>
    <mergeCell ref="I17:J17"/>
    <mergeCell ref="A18:B18"/>
    <mergeCell ref="G18:H18"/>
    <mergeCell ref="I18:J18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:B4"/>
    <mergeCell ref="C1:G4"/>
    <mergeCell ref="H1:J2"/>
    <mergeCell ref="H3:J4"/>
    <mergeCell ref="A7:B7"/>
    <mergeCell ref="C7:D7"/>
    <mergeCell ref="I7:J7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workbookViewId="0">
      <selection activeCell="C5" sqref="C5"/>
    </sheetView>
  </sheetViews>
  <sheetFormatPr defaultColWidth="11.42578125" defaultRowHeight="12.75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>
      <c r="A1" s="276"/>
      <c r="B1" s="278"/>
      <c r="C1" s="306" t="s">
        <v>87</v>
      </c>
      <c r="D1" s="307"/>
      <c r="E1" s="307"/>
      <c r="F1" s="307"/>
      <c r="G1" s="307"/>
      <c r="H1" s="312" t="s">
        <v>88</v>
      </c>
      <c r="I1" s="313"/>
      <c r="J1" s="314"/>
    </row>
    <row r="2" spans="1:10" ht="16.5" customHeight="1" thickBot="1">
      <c r="A2" s="279"/>
      <c r="B2" s="281"/>
      <c r="C2" s="308"/>
      <c r="D2" s="309"/>
      <c r="E2" s="309"/>
      <c r="F2" s="309"/>
      <c r="G2" s="309"/>
      <c r="H2" s="315"/>
      <c r="I2" s="316"/>
      <c r="J2" s="317"/>
    </row>
    <row r="3" spans="1:10" ht="15" customHeight="1">
      <c r="A3" s="279"/>
      <c r="B3" s="281"/>
      <c r="C3" s="308"/>
      <c r="D3" s="309"/>
      <c r="E3" s="309"/>
      <c r="F3" s="309"/>
      <c r="G3" s="309"/>
      <c r="H3" s="318" t="s">
        <v>89</v>
      </c>
      <c r="I3" s="319"/>
      <c r="J3" s="320"/>
    </row>
    <row r="4" spans="1:10" ht="15.75" customHeight="1" thickBot="1">
      <c r="A4" s="282"/>
      <c r="B4" s="284"/>
      <c r="C4" s="310"/>
      <c r="D4" s="311"/>
      <c r="E4" s="311"/>
      <c r="F4" s="311"/>
      <c r="G4" s="311"/>
      <c r="H4" s="321"/>
      <c r="I4" s="322"/>
      <c r="J4" s="323"/>
    </row>
    <row r="6" spans="1:10" ht="33" customHeight="1" thickBot="1"/>
    <row r="7" spans="1:10" ht="36.75" thickTop="1">
      <c r="A7" s="324" t="s">
        <v>90</v>
      </c>
      <c r="B7" s="324"/>
      <c r="C7" s="325" t="s">
        <v>91</v>
      </c>
      <c r="D7" s="326"/>
      <c r="E7" s="61" t="s">
        <v>92</v>
      </c>
      <c r="F7" s="61" t="s">
        <v>93</v>
      </c>
      <c r="G7" s="61" t="s">
        <v>94</v>
      </c>
      <c r="H7" s="61" t="s">
        <v>95</v>
      </c>
      <c r="I7" s="327" t="s">
        <v>96</v>
      </c>
      <c r="J7" s="328"/>
    </row>
    <row r="8" spans="1:10">
      <c r="A8" s="329">
        <v>95670781</v>
      </c>
      <c r="B8" s="329"/>
      <c r="C8" s="330">
        <v>44293</v>
      </c>
      <c r="D8" s="331"/>
      <c r="E8" s="113">
        <v>44323</v>
      </c>
      <c r="F8" s="171" t="s">
        <v>131</v>
      </c>
      <c r="G8" s="62"/>
      <c r="H8" s="62"/>
      <c r="I8" s="332"/>
      <c r="J8" s="333"/>
    </row>
    <row r="10" spans="1:10" ht="23.25" customHeight="1" thickBot="1"/>
    <row r="11" spans="1:10" ht="24.75" customHeight="1" thickTop="1">
      <c r="A11" s="334" t="s">
        <v>98</v>
      </c>
      <c r="B11" s="334"/>
      <c r="C11" s="335" t="s">
        <v>99</v>
      </c>
      <c r="D11" s="336"/>
      <c r="E11" s="334" t="s">
        <v>100</v>
      </c>
      <c r="F11" s="334"/>
      <c r="G11" s="335" t="s">
        <v>101</v>
      </c>
      <c r="H11" s="336"/>
      <c r="I11" s="337" t="s">
        <v>102</v>
      </c>
      <c r="J11" s="337"/>
    </row>
    <row r="12" spans="1:10">
      <c r="A12" s="329" t="s">
        <v>103</v>
      </c>
      <c r="B12" s="329"/>
      <c r="C12" s="329">
        <v>3750</v>
      </c>
      <c r="D12" s="329"/>
      <c r="E12" s="329">
        <v>1000</v>
      </c>
      <c r="F12" s="329"/>
      <c r="G12" s="341">
        <v>712</v>
      </c>
      <c r="H12" s="341"/>
      <c r="I12" s="342"/>
      <c r="J12" s="342"/>
    </row>
    <row r="13" spans="1:10">
      <c r="A13" s="343"/>
      <c r="B13" s="344"/>
      <c r="C13" s="344"/>
      <c r="D13" s="344"/>
      <c r="E13" s="344"/>
      <c r="F13" s="344"/>
      <c r="G13" s="344"/>
      <c r="H13" s="344"/>
      <c r="I13" s="344"/>
      <c r="J13" s="344"/>
    </row>
    <row r="15" spans="1:10" ht="13.5" thickBot="1"/>
    <row r="16" spans="1:10" ht="26.25" thickTop="1">
      <c r="A16" s="334" t="s">
        <v>104</v>
      </c>
      <c r="B16" s="334"/>
      <c r="C16" s="63" t="s">
        <v>105</v>
      </c>
      <c r="D16" s="64" t="s">
        <v>106</v>
      </c>
      <c r="E16" s="64" t="s">
        <v>48</v>
      </c>
      <c r="F16" s="64" t="s">
        <v>107</v>
      </c>
      <c r="G16" s="338" t="s">
        <v>108</v>
      </c>
      <c r="H16" s="338"/>
      <c r="I16" s="339" t="s">
        <v>109</v>
      </c>
      <c r="J16" s="340"/>
    </row>
    <row r="17" spans="1:10">
      <c r="A17" s="345" t="s">
        <v>110</v>
      </c>
      <c r="B17" s="346"/>
      <c r="C17" s="66">
        <v>18079872</v>
      </c>
      <c r="D17" s="66">
        <v>18072240</v>
      </c>
      <c r="E17" s="67">
        <f>MIN(C17-D17)</f>
        <v>7632</v>
      </c>
      <c r="F17" s="67">
        <f>+E17</f>
        <v>7632</v>
      </c>
      <c r="G17" s="347"/>
      <c r="H17" s="348"/>
      <c r="I17" s="347">
        <f>+E17</f>
        <v>7632</v>
      </c>
      <c r="J17" s="348"/>
    </row>
    <row r="18" spans="1:10">
      <c r="A18" s="345" t="s">
        <v>111</v>
      </c>
      <c r="B18" s="346"/>
      <c r="C18" s="66">
        <v>10708852</v>
      </c>
      <c r="D18" s="66">
        <v>10705464</v>
      </c>
      <c r="E18" s="67">
        <f>MIN(C18-D18)</f>
        <v>3388</v>
      </c>
      <c r="F18" s="67">
        <f>+E18</f>
        <v>3388</v>
      </c>
      <c r="G18" s="347"/>
      <c r="H18" s="348"/>
      <c r="I18" s="347">
        <f>+E18</f>
        <v>3388</v>
      </c>
      <c r="J18" s="348"/>
    </row>
    <row r="19" spans="1:10">
      <c r="A19" s="345" t="s">
        <v>112</v>
      </c>
      <c r="B19" s="346"/>
      <c r="C19" s="66">
        <v>7983770</v>
      </c>
      <c r="D19" s="66">
        <v>7981093</v>
      </c>
      <c r="E19" s="67">
        <f>AVERAGE(C19-D19)</f>
        <v>2677</v>
      </c>
      <c r="F19" s="67">
        <f>+E19</f>
        <v>2677</v>
      </c>
      <c r="G19" s="347"/>
      <c r="H19" s="348"/>
      <c r="I19" s="347">
        <f>+E19</f>
        <v>2677</v>
      </c>
      <c r="J19" s="348"/>
    </row>
    <row r="20" spans="1:10" ht="15">
      <c r="A20" s="349" t="s">
        <v>113</v>
      </c>
      <c r="B20" s="350"/>
      <c r="C20" s="68"/>
      <c r="D20" s="69"/>
      <c r="E20" s="68">
        <f>SUM(E17:E19)</f>
        <v>13697</v>
      </c>
      <c r="F20" s="70"/>
      <c r="G20" s="351"/>
      <c r="H20" s="352"/>
      <c r="I20" s="351"/>
      <c r="J20" s="352"/>
    </row>
    <row r="21" spans="1:10">
      <c r="C21" s="110" t="s">
        <v>18</v>
      </c>
      <c r="D21" t="s">
        <v>114</v>
      </c>
      <c r="G21" s="353"/>
      <c r="H21" s="353"/>
    </row>
    <row r="22" spans="1:10" ht="13.5" thickBot="1">
      <c r="G22" s="354"/>
      <c r="H22" s="354"/>
    </row>
    <row r="23" spans="1:10" ht="13.5" thickTop="1">
      <c r="A23" s="355" t="s">
        <v>115</v>
      </c>
      <c r="B23" s="356"/>
      <c r="C23" s="357"/>
      <c r="D23" s="334" t="s">
        <v>116</v>
      </c>
      <c r="E23" s="334" t="s">
        <v>117</v>
      </c>
      <c r="F23" s="362" t="s">
        <v>118</v>
      </c>
      <c r="G23" s="364" t="s">
        <v>119</v>
      </c>
      <c r="H23" s="364"/>
      <c r="I23" s="365" t="s">
        <v>120</v>
      </c>
      <c r="J23" s="365"/>
    </row>
    <row r="24" spans="1:10">
      <c r="A24" s="358"/>
      <c r="B24" s="359"/>
      <c r="C24" s="360"/>
      <c r="D24" s="361"/>
      <c r="E24" s="361"/>
      <c r="F24" s="363"/>
      <c r="G24" s="170" t="s">
        <v>121</v>
      </c>
      <c r="H24" s="71" t="s">
        <v>122</v>
      </c>
      <c r="I24" s="365"/>
      <c r="J24" s="365"/>
    </row>
    <row r="25" spans="1:10" ht="15">
      <c r="A25" s="366" t="s">
        <v>123</v>
      </c>
      <c r="B25" s="367"/>
      <c r="C25" s="368"/>
      <c r="D25" s="67">
        <f>+E17</f>
        <v>7632</v>
      </c>
      <c r="E25" s="72">
        <v>0.95140000000000002</v>
      </c>
      <c r="F25" s="73">
        <f>PRODUCT(D25*E25)</f>
        <v>7261.0848000000005</v>
      </c>
      <c r="G25" s="151">
        <v>14</v>
      </c>
      <c r="H25" s="65">
        <f>PRODUCT(0.14,F25)</f>
        <v>1016.5518720000001</v>
      </c>
      <c r="I25" s="369">
        <f>SUM(H25,F25)</f>
        <v>8277.6366720000005</v>
      </c>
      <c r="J25" s="370"/>
    </row>
    <row r="26" spans="1:10" ht="15">
      <c r="A26" s="371" t="s">
        <v>124</v>
      </c>
      <c r="B26" s="372"/>
      <c r="C26" s="373"/>
      <c r="D26" s="67">
        <f>+E18</f>
        <v>3388</v>
      </c>
      <c r="E26" s="74">
        <v>0.69850000000000001</v>
      </c>
      <c r="F26" s="73">
        <f>PRODUCT(D26*E26)</f>
        <v>2366.518</v>
      </c>
      <c r="G26">
        <v>14</v>
      </c>
      <c r="H26" s="67">
        <f>PRODUCT(0.14,F26)</f>
        <v>331.31252000000006</v>
      </c>
      <c r="I26" s="369">
        <f t="shared" ref="I26:I31" si="0">SUM(H26,F26)</f>
        <v>2697.83052</v>
      </c>
      <c r="J26" s="370"/>
    </row>
    <row r="27" spans="1:10" ht="15">
      <c r="A27" s="371" t="s">
        <v>125</v>
      </c>
      <c r="B27" s="372"/>
      <c r="C27" s="373"/>
      <c r="D27" s="67">
        <f>+E19</f>
        <v>2677</v>
      </c>
      <c r="E27" s="74">
        <v>1.3304</v>
      </c>
      <c r="F27" s="73">
        <f>PRODUCT(D27*E27)</f>
        <v>3561.4808000000003</v>
      </c>
      <c r="G27">
        <v>14</v>
      </c>
      <c r="H27" s="67">
        <f>PRODUCT(0.14,F27)</f>
        <v>498.60731200000009</v>
      </c>
      <c r="I27" s="369">
        <f>SUM(H27,F27)</f>
        <v>4060.0881120000004</v>
      </c>
      <c r="J27" s="370"/>
    </row>
    <row r="28" spans="1:10" ht="15">
      <c r="A28" s="371" t="s">
        <v>126</v>
      </c>
      <c r="B28" s="372"/>
      <c r="C28" s="373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69">
        <f t="shared" si="0"/>
        <v>50025.103799999997</v>
      </c>
      <c r="J28" s="370"/>
    </row>
    <row r="29" spans="1:10" ht="15">
      <c r="A29" s="382" t="s">
        <v>127</v>
      </c>
      <c r="B29" s="383"/>
      <c r="C29" s="384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85">
        <f t="shared" si="0"/>
        <v>0</v>
      </c>
      <c r="J29" s="386"/>
    </row>
    <row r="30" spans="1:10" ht="15">
      <c r="A30" s="371" t="s">
        <v>128</v>
      </c>
      <c r="B30" s="372"/>
      <c r="C30" s="373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69">
        <f>SUM(H30,F30)</f>
        <v>1009.2</v>
      </c>
      <c r="J30" s="370"/>
    </row>
    <row r="31" spans="1:10" ht="15.75" thickBot="1">
      <c r="A31" s="374" t="s">
        <v>129</v>
      </c>
      <c r="B31" s="375"/>
      <c r="C31" s="376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69">
        <f t="shared" si="0"/>
        <v>1596.44</v>
      </c>
      <c r="J31" s="370"/>
    </row>
    <row r="32" spans="1:10" ht="21">
      <c r="A32" s="377" t="s">
        <v>130</v>
      </c>
      <c r="B32" s="378"/>
      <c r="C32" s="378"/>
      <c r="D32" s="378"/>
      <c r="E32" s="378"/>
      <c r="F32" s="84">
        <f>SUM(F25:F31)</f>
        <v>59403.753599999996</v>
      </c>
      <c r="G32" s="85"/>
      <c r="H32" s="86"/>
      <c r="I32" s="381">
        <f>SUM(I25:J31)</f>
        <v>67666.299104000005</v>
      </c>
      <c r="J32" s="381"/>
    </row>
    <row r="33" spans="1:10" ht="21.75" thickBot="1">
      <c r="A33" s="379"/>
      <c r="B33" s="380"/>
      <c r="C33" s="380"/>
      <c r="D33" s="380"/>
      <c r="E33" s="380"/>
      <c r="F33" s="87"/>
      <c r="G33" s="88"/>
      <c r="H33" s="89"/>
      <c r="I33" s="381"/>
      <c r="J33" s="381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6:B16"/>
    <mergeCell ref="G16:H16"/>
    <mergeCell ref="I16:J16"/>
    <mergeCell ref="A17:B17"/>
    <mergeCell ref="G17:H17"/>
    <mergeCell ref="I17:J17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I20:J20"/>
    <mergeCell ref="G21:H21"/>
    <mergeCell ref="G22:H22"/>
    <mergeCell ref="I26:J26"/>
    <mergeCell ref="I23:J24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7"/>
      <c r="B1" s="306" t="s">
        <v>132</v>
      </c>
      <c r="C1" s="307"/>
      <c r="D1" s="307"/>
      <c r="E1" s="307"/>
      <c r="F1" s="390" t="s">
        <v>88</v>
      </c>
      <c r="G1" s="391"/>
      <c r="H1" s="392"/>
    </row>
    <row r="2" spans="1:8" ht="15.75" customHeight="1" thickBot="1">
      <c r="A2" s="388"/>
      <c r="B2" s="308"/>
      <c r="C2" s="309"/>
      <c r="D2" s="309"/>
      <c r="E2" s="309"/>
      <c r="F2" s="393"/>
      <c r="G2" s="394"/>
      <c r="H2" s="395"/>
    </row>
    <row r="3" spans="1:8" ht="15" customHeight="1">
      <c r="A3" s="388"/>
      <c r="B3" s="308"/>
      <c r="C3" s="309"/>
      <c r="D3" s="309"/>
      <c r="E3" s="309"/>
      <c r="F3" s="390" t="s">
        <v>89</v>
      </c>
      <c r="G3" s="391"/>
      <c r="H3" s="392"/>
    </row>
    <row r="4" spans="1:8" ht="15.75" customHeight="1" thickBot="1">
      <c r="A4" s="389"/>
      <c r="B4" s="310"/>
      <c r="C4" s="311"/>
      <c r="D4" s="311"/>
      <c r="E4" s="311"/>
      <c r="F4" s="396"/>
      <c r="G4" s="397"/>
      <c r="H4" s="398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72"/>
      <c r="B8" s="95" t="s">
        <v>137</v>
      </c>
      <c r="C8" s="96">
        <v>113929.60000000001</v>
      </c>
      <c r="D8" s="97">
        <v>44013</v>
      </c>
      <c r="E8" s="96">
        <v>117748.9</v>
      </c>
      <c r="F8" s="97">
        <v>44409</v>
      </c>
      <c r="G8" s="98">
        <f>E8-C8</f>
        <v>3819.2999999999884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9" t="s">
        <v>116</v>
      </c>
      <c r="C10" s="400"/>
      <c r="D10" s="401" t="s">
        <v>138</v>
      </c>
      <c r="E10" s="401"/>
      <c r="F10" s="399" t="s">
        <v>139</v>
      </c>
      <c r="G10" s="402"/>
      <c r="H10" s="400"/>
    </row>
    <row r="11" spans="1:8" ht="15">
      <c r="A11" s="102" t="s">
        <v>140</v>
      </c>
      <c r="B11" s="403"/>
      <c r="C11" s="403"/>
      <c r="D11" s="403"/>
      <c r="E11" s="403"/>
      <c r="F11" s="403">
        <v>23</v>
      </c>
      <c r="G11" s="403"/>
      <c r="H11" s="403"/>
    </row>
    <row r="12" spans="1:8" ht="21">
      <c r="A12" s="404" t="s">
        <v>141</v>
      </c>
      <c r="B12" s="404"/>
      <c r="C12" s="404"/>
      <c r="D12" s="404"/>
      <c r="E12" s="404"/>
      <c r="F12" s="404"/>
      <c r="G12" s="404"/>
      <c r="H12" s="404"/>
    </row>
    <row r="13" spans="1:8" ht="15">
      <c r="A13" s="102" t="s">
        <v>142</v>
      </c>
      <c r="B13" s="403">
        <f>G8</f>
        <v>3819.2999999999884</v>
      </c>
      <c r="C13" s="403"/>
      <c r="D13" s="403">
        <v>8.7899999999999991</v>
      </c>
      <c r="E13" s="403"/>
      <c r="F13" s="405">
        <f>PRODUCT(D13,B13)</f>
        <v>33571.646999999895</v>
      </c>
      <c r="G13" s="405"/>
      <c r="H13" s="405"/>
    </row>
    <row r="14" spans="1:8" ht="45" customHeight="1">
      <c r="A14" s="406" t="s">
        <v>143</v>
      </c>
      <c r="B14" s="406"/>
      <c r="C14" s="406"/>
      <c r="D14" s="406"/>
      <c r="E14" s="406"/>
      <c r="F14" s="406"/>
      <c r="G14" s="406"/>
      <c r="H14" s="406"/>
    </row>
    <row r="15" spans="1:8">
      <c r="A15" s="407"/>
      <c r="B15" s="407"/>
      <c r="C15" s="407"/>
      <c r="D15" s="407"/>
      <c r="E15" s="407"/>
      <c r="F15" s="407"/>
      <c r="G15" s="407"/>
      <c r="H15" s="407"/>
    </row>
    <row r="16" spans="1:8" ht="15">
      <c r="A16" s="103" t="s">
        <v>144</v>
      </c>
      <c r="B16" s="403">
        <v>0</v>
      </c>
      <c r="C16" s="403"/>
      <c r="D16" s="403">
        <v>0</v>
      </c>
      <c r="E16" s="403"/>
      <c r="F16" s="403">
        <f>PRODUCT(D16,B16)</f>
        <v>0</v>
      </c>
      <c r="G16" s="403"/>
      <c r="H16" s="403"/>
    </row>
    <row r="17" spans="1:8" ht="15">
      <c r="A17" s="103" t="s">
        <v>145</v>
      </c>
      <c r="B17" s="403">
        <v>0</v>
      </c>
      <c r="C17" s="403"/>
      <c r="D17" s="403">
        <v>0</v>
      </c>
      <c r="E17" s="403"/>
      <c r="F17" s="403">
        <f>PRODUCT(D17,B17)</f>
        <v>0</v>
      </c>
      <c r="G17" s="403"/>
      <c r="H17" s="403"/>
    </row>
    <row r="18" spans="1:8" ht="15">
      <c r="A18" s="103" t="s">
        <v>146</v>
      </c>
      <c r="B18" s="403">
        <v>0</v>
      </c>
      <c r="C18" s="403"/>
      <c r="D18" s="403">
        <v>0</v>
      </c>
      <c r="E18" s="403"/>
      <c r="F18" s="403">
        <f>PRODUCT(D18,B18)</f>
        <v>0</v>
      </c>
      <c r="G18" s="403"/>
      <c r="H18" s="403"/>
    </row>
    <row r="19" spans="1:8" ht="15">
      <c r="A19" s="103" t="s">
        <v>147</v>
      </c>
      <c r="B19" s="403">
        <f>G8</f>
        <v>3819.2999999999884</v>
      </c>
      <c r="C19" s="403"/>
      <c r="D19" s="403">
        <v>2.61</v>
      </c>
      <c r="E19" s="403"/>
      <c r="F19" s="403">
        <f>PRODUCT(D19,B19)</f>
        <v>9968.3729999999687</v>
      </c>
      <c r="G19" s="403"/>
      <c r="H19" s="403"/>
    </row>
    <row r="20" spans="1:8" ht="18.75">
      <c r="A20" s="419" t="s">
        <v>148</v>
      </c>
      <c r="B20" s="420"/>
      <c r="C20" s="420"/>
      <c r="D20" s="420"/>
      <c r="E20" s="421"/>
      <c r="F20" s="422">
        <f>SUM(F11+F13+F16+F17+F18+F19)</f>
        <v>43563.019999999866</v>
      </c>
      <c r="G20" s="422"/>
      <c r="H20" s="422"/>
    </row>
    <row r="21" spans="1:8" ht="15">
      <c r="A21" s="408" t="s">
        <v>149</v>
      </c>
      <c r="B21" s="409"/>
      <c r="C21" s="409"/>
      <c r="D21" s="409"/>
      <c r="E21" s="410"/>
      <c r="F21" s="403">
        <f>PRODUCT(F20,0.07)</f>
        <v>3049.4113999999909</v>
      </c>
      <c r="G21" s="403"/>
      <c r="H21" s="403"/>
    </row>
    <row r="22" spans="1:8" ht="15">
      <c r="A22" s="423" t="s">
        <v>150</v>
      </c>
      <c r="B22" s="424"/>
      <c r="C22" s="424"/>
      <c r="D22" s="424"/>
      <c r="E22" s="425"/>
      <c r="F22" s="403">
        <v>208.26</v>
      </c>
      <c r="G22" s="403"/>
      <c r="H22" s="403"/>
    </row>
    <row r="23" spans="1:8" ht="15.75">
      <c r="A23" s="408" t="s">
        <v>151</v>
      </c>
      <c r="B23" s="409"/>
      <c r="C23" s="409"/>
      <c r="D23" s="409"/>
      <c r="E23" s="410"/>
      <c r="F23" s="411">
        <f>SUM(F21:H22)</f>
        <v>3257.6713999999911</v>
      </c>
      <c r="G23" s="411"/>
      <c r="H23" s="411"/>
    </row>
    <row r="24" spans="1:8">
      <c r="A24" s="412" t="s">
        <v>152</v>
      </c>
      <c r="B24" s="413"/>
      <c r="C24" s="413"/>
      <c r="D24" s="413"/>
      <c r="E24" s="414"/>
      <c r="F24" s="418">
        <f>SUM(F20,F23)</f>
        <v>46820.691399999858</v>
      </c>
      <c r="G24" s="418"/>
      <c r="H24" s="418"/>
    </row>
    <row r="25" spans="1:8">
      <c r="A25" s="415"/>
      <c r="B25" s="416"/>
      <c r="C25" s="416"/>
      <c r="D25" s="416"/>
      <c r="E25" s="417"/>
      <c r="F25" s="418"/>
      <c r="G25" s="418"/>
      <c r="H25" s="418"/>
    </row>
  </sheetData>
  <mergeCells count="37"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  <mergeCell ref="B18:C18"/>
    <mergeCell ref="D18:E18"/>
    <mergeCell ref="F18:H18"/>
    <mergeCell ref="B19:C19"/>
    <mergeCell ref="D19:E19"/>
    <mergeCell ref="F19:H19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B5" sqref="B5"/>
    </sheetView>
  </sheetViews>
  <sheetFormatPr defaultColWidth="11.42578125" defaultRowHeight="12.75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7"/>
      <c r="B1" s="306" t="s">
        <v>132</v>
      </c>
      <c r="C1" s="307"/>
      <c r="D1" s="307"/>
      <c r="E1" s="307"/>
      <c r="F1" s="390" t="s">
        <v>88</v>
      </c>
      <c r="G1" s="391"/>
      <c r="H1" s="392"/>
    </row>
    <row r="2" spans="1:8" ht="15.75" customHeight="1" thickBot="1">
      <c r="A2" s="388"/>
      <c r="B2" s="308"/>
      <c r="C2" s="309"/>
      <c r="D2" s="309"/>
      <c r="E2" s="309"/>
      <c r="F2" s="393"/>
      <c r="G2" s="394"/>
      <c r="H2" s="395"/>
    </row>
    <row r="3" spans="1:8" ht="15" customHeight="1">
      <c r="A3" s="388"/>
      <c r="B3" s="308"/>
      <c r="C3" s="309"/>
      <c r="D3" s="309"/>
      <c r="E3" s="309"/>
      <c r="F3" s="390" t="s">
        <v>89</v>
      </c>
      <c r="G3" s="391"/>
      <c r="H3" s="392"/>
    </row>
    <row r="4" spans="1:8" ht="15.75" customHeight="1" thickBot="1">
      <c r="A4" s="389"/>
      <c r="B4" s="310"/>
      <c r="C4" s="311"/>
      <c r="D4" s="311"/>
      <c r="E4" s="311"/>
      <c r="F4" s="396"/>
      <c r="G4" s="397"/>
      <c r="H4" s="398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72"/>
      <c r="B8" s="95" t="s">
        <v>137</v>
      </c>
      <c r="C8" s="96">
        <v>114269</v>
      </c>
      <c r="D8" s="97">
        <v>44381</v>
      </c>
      <c r="E8" s="96">
        <v>114367</v>
      </c>
      <c r="F8" s="97">
        <v>44382</v>
      </c>
      <c r="G8" s="98">
        <f>E8-C8</f>
        <v>98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9" t="s">
        <v>116</v>
      </c>
      <c r="C10" s="400"/>
      <c r="D10" s="401" t="s">
        <v>138</v>
      </c>
      <c r="E10" s="401"/>
      <c r="F10" s="399" t="s">
        <v>139</v>
      </c>
      <c r="G10" s="402"/>
      <c r="H10" s="400"/>
    </row>
    <row r="11" spans="1:8" ht="15">
      <c r="A11" s="102" t="s">
        <v>140</v>
      </c>
      <c r="B11" s="403"/>
      <c r="C11" s="403"/>
      <c r="D11" s="403"/>
      <c r="E11" s="403"/>
      <c r="F11" s="403">
        <v>23</v>
      </c>
      <c r="G11" s="403"/>
      <c r="H11" s="403"/>
    </row>
    <row r="12" spans="1:8" ht="21">
      <c r="A12" s="404" t="s">
        <v>141</v>
      </c>
      <c r="B12" s="404"/>
      <c r="C12" s="404"/>
      <c r="D12" s="404"/>
      <c r="E12" s="404"/>
      <c r="F12" s="404"/>
      <c r="G12" s="404"/>
      <c r="H12" s="404"/>
    </row>
    <row r="13" spans="1:8" ht="15">
      <c r="A13" s="102" t="s">
        <v>142</v>
      </c>
      <c r="B13" s="403">
        <f>G8</f>
        <v>98</v>
      </c>
      <c r="C13" s="403"/>
      <c r="D13" s="403">
        <v>8.5</v>
      </c>
      <c r="E13" s="403"/>
      <c r="F13" s="405">
        <f>PRODUCT(D13,B13)</f>
        <v>833</v>
      </c>
      <c r="G13" s="405"/>
      <c r="H13" s="405"/>
    </row>
    <row r="14" spans="1:8" ht="45" customHeight="1">
      <c r="A14" s="406" t="s">
        <v>143</v>
      </c>
      <c r="B14" s="406"/>
      <c r="C14" s="406"/>
      <c r="D14" s="406"/>
      <c r="E14" s="406"/>
      <c r="F14" s="406"/>
      <c r="G14" s="406"/>
      <c r="H14" s="406"/>
    </row>
    <row r="15" spans="1:8">
      <c r="A15" s="407"/>
      <c r="B15" s="407"/>
      <c r="C15" s="407"/>
      <c r="D15" s="407"/>
      <c r="E15" s="407"/>
      <c r="F15" s="407"/>
      <c r="G15" s="407"/>
      <c r="H15" s="407"/>
    </row>
    <row r="16" spans="1:8" ht="15">
      <c r="A16" s="103" t="s">
        <v>144</v>
      </c>
      <c r="B16" s="403">
        <v>0</v>
      </c>
      <c r="C16" s="403"/>
      <c r="D16" s="403">
        <v>0</v>
      </c>
      <c r="E16" s="403"/>
      <c r="F16" s="403">
        <f>PRODUCT(D16,B16)</f>
        <v>0</v>
      </c>
      <c r="G16" s="403"/>
      <c r="H16" s="403"/>
    </row>
    <row r="17" spans="1:8" ht="15">
      <c r="A17" s="103" t="s">
        <v>145</v>
      </c>
      <c r="B17" s="403">
        <v>0</v>
      </c>
      <c r="C17" s="403"/>
      <c r="D17" s="403">
        <v>0</v>
      </c>
      <c r="E17" s="403"/>
      <c r="F17" s="403">
        <f>PRODUCT(D17,B17)</f>
        <v>0</v>
      </c>
      <c r="G17" s="403"/>
      <c r="H17" s="403"/>
    </row>
    <row r="18" spans="1:8" ht="15">
      <c r="A18" s="103" t="s">
        <v>146</v>
      </c>
      <c r="B18" s="403">
        <v>0</v>
      </c>
      <c r="C18" s="403"/>
      <c r="D18" s="403">
        <v>0</v>
      </c>
      <c r="E18" s="403"/>
      <c r="F18" s="403">
        <f>PRODUCT(D18,B18)</f>
        <v>0</v>
      </c>
      <c r="G18" s="403"/>
      <c r="H18" s="403"/>
    </row>
    <row r="19" spans="1:8" ht="15">
      <c r="A19" s="103" t="s">
        <v>147</v>
      </c>
      <c r="B19" s="403">
        <v>0</v>
      </c>
      <c r="C19" s="403"/>
      <c r="D19" s="426">
        <v>0</v>
      </c>
      <c r="E19" s="427"/>
      <c r="F19" s="426">
        <v>0</v>
      </c>
      <c r="G19" s="427"/>
      <c r="H19" s="172"/>
    </row>
    <row r="20" spans="1:8" ht="15">
      <c r="A20" s="103" t="s">
        <v>153</v>
      </c>
      <c r="B20" s="403">
        <f>G8</f>
        <v>98</v>
      </c>
      <c r="C20" s="403"/>
      <c r="D20" s="403">
        <v>2.54</v>
      </c>
      <c r="E20" s="403"/>
      <c r="F20" s="403">
        <f>PRODUCT(D20,B20)</f>
        <v>248.92000000000002</v>
      </c>
      <c r="G20" s="403"/>
      <c r="H20" s="403"/>
    </row>
    <row r="21" spans="1:8" ht="18.75">
      <c r="A21" s="419" t="s">
        <v>148</v>
      </c>
      <c r="B21" s="420"/>
      <c r="C21" s="420"/>
      <c r="D21" s="420"/>
      <c r="E21" s="421"/>
      <c r="F21" s="422">
        <f>SUM(F11+F13+F16+F17+F18+F20)</f>
        <v>1104.92</v>
      </c>
      <c r="G21" s="422"/>
      <c r="H21" s="422"/>
    </row>
    <row r="22" spans="1:8" ht="15">
      <c r="A22" s="408" t="s">
        <v>149</v>
      </c>
      <c r="B22" s="409"/>
      <c r="C22" s="409"/>
      <c r="D22" s="409"/>
      <c r="E22" s="410"/>
      <c r="F22" s="403">
        <f>PRODUCT(F21,0.07)</f>
        <v>77.344400000000007</v>
      </c>
      <c r="G22" s="403"/>
      <c r="H22" s="403"/>
    </row>
    <row r="23" spans="1:8" ht="15">
      <c r="A23" s="423" t="s">
        <v>150</v>
      </c>
      <c r="B23" s="424"/>
      <c r="C23" s="424"/>
      <c r="D23" s="424"/>
      <c r="E23" s="425"/>
      <c r="F23" s="403">
        <v>208.26</v>
      </c>
      <c r="G23" s="403"/>
      <c r="H23" s="403"/>
    </row>
    <row r="24" spans="1:8" ht="15.75">
      <c r="A24" s="408" t="s">
        <v>151</v>
      </c>
      <c r="B24" s="409"/>
      <c r="C24" s="409"/>
      <c r="D24" s="409"/>
      <c r="E24" s="410"/>
      <c r="F24" s="411">
        <f>SUM(F22:H23)</f>
        <v>285.6044</v>
      </c>
      <c r="G24" s="411"/>
      <c r="H24" s="411"/>
    </row>
    <row r="25" spans="1:8">
      <c r="A25" s="412" t="s">
        <v>152</v>
      </c>
      <c r="B25" s="413"/>
      <c r="C25" s="413"/>
      <c r="D25" s="413"/>
      <c r="E25" s="414"/>
      <c r="F25" s="418">
        <f>SUM(F21,F24)</f>
        <v>1390.5244</v>
      </c>
      <c r="G25" s="418"/>
      <c r="H25" s="418"/>
    </row>
    <row r="26" spans="1:8">
      <c r="A26" s="415"/>
      <c r="B26" s="416"/>
      <c r="C26" s="416"/>
      <c r="D26" s="416"/>
      <c r="E26" s="417"/>
      <c r="F26" s="418"/>
      <c r="G26" s="418"/>
      <c r="H26" s="418"/>
    </row>
  </sheetData>
  <mergeCells count="40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20:C20"/>
    <mergeCell ref="D20:E20"/>
    <mergeCell ref="F20:H20"/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B5" sqref="B5"/>
    </sheetView>
  </sheetViews>
  <sheetFormatPr defaultColWidth="11.42578125" defaultRowHeight="12.75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>
      <c r="A1" s="387"/>
      <c r="B1" s="306" t="s">
        <v>154</v>
      </c>
      <c r="C1" s="307"/>
      <c r="D1" s="307"/>
      <c r="E1" s="307"/>
      <c r="F1" s="390" t="s">
        <v>88</v>
      </c>
      <c r="G1" s="391"/>
      <c r="H1" s="392"/>
    </row>
    <row r="2" spans="1:8" ht="15.75" customHeight="1" thickBot="1">
      <c r="A2" s="388"/>
      <c r="B2" s="308"/>
      <c r="C2" s="309"/>
      <c r="D2" s="309"/>
      <c r="E2" s="309"/>
      <c r="F2" s="393"/>
      <c r="G2" s="394"/>
      <c r="H2" s="395"/>
    </row>
    <row r="3" spans="1:8" ht="15" customHeight="1">
      <c r="A3" s="388"/>
      <c r="B3" s="308"/>
      <c r="C3" s="309"/>
      <c r="D3" s="309"/>
      <c r="E3" s="309"/>
      <c r="F3" s="390" t="s">
        <v>89</v>
      </c>
      <c r="G3" s="391"/>
      <c r="H3" s="392"/>
    </row>
    <row r="4" spans="1:8" ht="15.75" customHeight="1" thickBot="1">
      <c r="A4" s="389"/>
      <c r="B4" s="310"/>
      <c r="C4" s="311"/>
      <c r="D4" s="311"/>
      <c r="E4" s="311"/>
      <c r="F4" s="396"/>
      <c r="G4" s="397"/>
      <c r="H4" s="398"/>
    </row>
    <row r="6" spans="1:8" ht="42.75" customHeight="1"/>
    <row r="7" spans="1:8" ht="42.75" customHeight="1">
      <c r="A7" s="92" t="s">
        <v>90</v>
      </c>
      <c r="B7" s="92" t="s">
        <v>133</v>
      </c>
      <c r="C7" s="92" t="s">
        <v>134</v>
      </c>
      <c r="D7" s="94" t="s">
        <v>91</v>
      </c>
      <c r="E7" s="92" t="s">
        <v>135</v>
      </c>
      <c r="F7" s="94" t="s">
        <v>92</v>
      </c>
      <c r="G7" s="94" t="s">
        <v>136</v>
      </c>
      <c r="H7" s="93" t="s">
        <v>93</v>
      </c>
    </row>
    <row r="8" spans="1:8" ht="15">
      <c r="A8" s="172"/>
      <c r="B8" s="95" t="s">
        <v>137</v>
      </c>
      <c r="C8" s="96">
        <v>2559</v>
      </c>
      <c r="D8" s="97">
        <v>44348</v>
      </c>
      <c r="E8" s="96">
        <v>2559</v>
      </c>
      <c r="F8" s="97">
        <v>44409</v>
      </c>
      <c r="G8" s="98">
        <f>E8-C8</f>
        <v>0</v>
      </c>
      <c r="H8" s="99"/>
    </row>
    <row r="9" spans="1:8" ht="36" customHeight="1">
      <c r="A9" s="100"/>
      <c r="B9" s="100"/>
      <c r="C9" s="100"/>
      <c r="D9" s="100"/>
      <c r="E9" s="100"/>
      <c r="F9" s="100"/>
      <c r="G9" s="100"/>
      <c r="H9" s="100"/>
    </row>
    <row r="10" spans="1:8" ht="15">
      <c r="A10" s="101"/>
      <c r="B10" s="399" t="s">
        <v>116</v>
      </c>
      <c r="C10" s="400"/>
      <c r="D10" s="401" t="s">
        <v>138</v>
      </c>
      <c r="E10" s="401"/>
      <c r="F10" s="399" t="s">
        <v>139</v>
      </c>
      <c r="G10" s="402"/>
      <c r="H10" s="400"/>
    </row>
    <row r="11" spans="1:8" ht="15">
      <c r="A11" s="102" t="s">
        <v>140</v>
      </c>
      <c r="B11" s="403"/>
      <c r="C11" s="403"/>
      <c r="D11" s="403"/>
      <c r="E11" s="403"/>
      <c r="F11" s="403">
        <v>15</v>
      </c>
      <c r="G11" s="403"/>
      <c r="H11" s="403"/>
    </row>
    <row r="12" spans="1:8" ht="21">
      <c r="A12" s="404" t="s">
        <v>141</v>
      </c>
      <c r="B12" s="404"/>
      <c r="C12" s="404"/>
      <c r="D12" s="404"/>
      <c r="E12" s="404"/>
      <c r="F12" s="404"/>
      <c r="G12" s="404"/>
      <c r="H12" s="404"/>
    </row>
    <row r="13" spans="1:8" ht="15">
      <c r="A13" s="102" t="s">
        <v>155</v>
      </c>
      <c r="B13" s="403">
        <f>G8</f>
        <v>0</v>
      </c>
      <c r="C13" s="403"/>
      <c r="D13" s="403">
        <v>16.48</v>
      </c>
      <c r="E13" s="403"/>
      <c r="F13" s="405">
        <f>PRODUCT(D13,B13)</f>
        <v>0</v>
      </c>
      <c r="G13" s="405"/>
      <c r="H13" s="405"/>
    </row>
    <row r="14" spans="1:8" ht="15">
      <c r="A14" s="102" t="s">
        <v>156</v>
      </c>
      <c r="B14" s="426"/>
      <c r="C14" s="427"/>
      <c r="D14" s="426"/>
      <c r="E14" s="427"/>
      <c r="F14" s="426"/>
      <c r="G14" s="427"/>
      <c r="H14" s="111"/>
    </row>
    <row r="15" spans="1:8" ht="15">
      <c r="A15" s="102" t="s">
        <v>157</v>
      </c>
      <c r="B15" s="426"/>
      <c r="C15" s="427"/>
      <c r="D15" s="426"/>
      <c r="E15" s="427"/>
      <c r="F15" s="426"/>
      <c r="G15" s="427"/>
      <c r="H15" s="111"/>
    </row>
    <row r="16" spans="1:8" ht="15">
      <c r="A16" s="102" t="s">
        <v>158</v>
      </c>
      <c r="B16" s="426"/>
      <c r="C16" s="427"/>
      <c r="D16" s="426"/>
      <c r="E16" s="427"/>
      <c r="F16" s="426"/>
      <c r="G16" s="427"/>
      <c r="H16" s="111"/>
    </row>
    <row r="17" spans="1:8" ht="15">
      <c r="A17" s="102" t="s">
        <v>159</v>
      </c>
      <c r="B17" s="426"/>
      <c r="C17" s="427"/>
      <c r="D17" s="426"/>
      <c r="E17" s="427"/>
      <c r="F17" s="426"/>
      <c r="G17" s="427"/>
      <c r="H17" s="111"/>
    </row>
    <row r="18" spans="1:8" ht="45" customHeight="1">
      <c r="A18" s="406" t="s">
        <v>143</v>
      </c>
      <c r="B18" s="406"/>
      <c r="C18" s="406"/>
      <c r="D18" s="406"/>
      <c r="E18" s="406"/>
      <c r="F18" s="406"/>
      <c r="G18" s="406"/>
      <c r="H18" s="406"/>
    </row>
    <row r="19" spans="1:8">
      <c r="A19" s="407"/>
      <c r="B19" s="407"/>
      <c r="C19" s="407"/>
      <c r="D19" s="407"/>
      <c r="E19" s="407"/>
      <c r="F19" s="407"/>
      <c r="G19" s="407"/>
      <c r="H19" s="407"/>
    </row>
    <row r="20" spans="1:8" ht="15">
      <c r="A20" s="103" t="s">
        <v>144</v>
      </c>
      <c r="B20" s="403">
        <v>0</v>
      </c>
      <c r="C20" s="403"/>
      <c r="D20" s="403">
        <v>0</v>
      </c>
      <c r="E20" s="403"/>
      <c r="F20" s="403">
        <f>PRODUCT(D20,B20)</f>
        <v>0</v>
      </c>
      <c r="G20" s="403"/>
      <c r="H20" s="403"/>
    </row>
    <row r="21" spans="1:8" ht="15">
      <c r="A21" s="103" t="s">
        <v>145</v>
      </c>
      <c r="B21" s="403">
        <v>0</v>
      </c>
      <c r="C21" s="403"/>
      <c r="D21" s="403">
        <v>0</v>
      </c>
      <c r="E21" s="403"/>
      <c r="F21" s="403">
        <f>PRODUCT(D21,B21)</f>
        <v>0</v>
      </c>
      <c r="G21" s="403"/>
      <c r="H21" s="403"/>
    </row>
    <row r="22" spans="1:8" ht="15">
      <c r="A22" s="103" t="s">
        <v>146</v>
      </c>
      <c r="B22" s="403">
        <v>0</v>
      </c>
      <c r="C22" s="403"/>
      <c r="D22" s="403">
        <v>0</v>
      </c>
      <c r="E22" s="403"/>
      <c r="F22" s="403">
        <f>PRODUCT(D22,B22)</f>
        <v>0</v>
      </c>
      <c r="G22" s="403"/>
      <c r="H22" s="403"/>
    </row>
    <row r="23" spans="1:8" ht="15">
      <c r="A23" s="103" t="s">
        <v>147</v>
      </c>
      <c r="B23" s="403">
        <f>G8</f>
        <v>0</v>
      </c>
      <c r="C23" s="403"/>
      <c r="D23" s="403">
        <v>0</v>
      </c>
      <c r="E23" s="403"/>
      <c r="F23" s="403">
        <f>PRODUCT(D23,B23)</f>
        <v>0</v>
      </c>
      <c r="G23" s="403"/>
      <c r="H23" s="403"/>
    </row>
    <row r="24" spans="1:8" ht="15">
      <c r="A24" s="103" t="s">
        <v>153</v>
      </c>
      <c r="B24" s="426">
        <v>0</v>
      </c>
      <c r="C24" s="427"/>
      <c r="D24" s="426">
        <v>2.54</v>
      </c>
      <c r="E24" s="427"/>
      <c r="F24" s="426">
        <f>B24*D24</f>
        <v>0</v>
      </c>
      <c r="G24" s="427"/>
      <c r="H24" s="172"/>
    </row>
    <row r="25" spans="1:8" ht="18.75">
      <c r="A25" s="419" t="s">
        <v>148</v>
      </c>
      <c r="B25" s="420"/>
      <c r="C25" s="420"/>
      <c r="D25" s="420"/>
      <c r="E25" s="421"/>
      <c r="F25" s="428">
        <f>SUM(F11+F13+F20+F21+F22+F23)</f>
        <v>15</v>
      </c>
      <c r="G25" s="422"/>
      <c r="H25" s="422"/>
    </row>
    <row r="26" spans="1:8" ht="15">
      <c r="A26" s="408" t="s">
        <v>149</v>
      </c>
      <c r="B26" s="409"/>
      <c r="C26" s="409"/>
      <c r="D26" s="409"/>
      <c r="E26" s="410"/>
      <c r="F26" s="403">
        <v>63.63</v>
      </c>
      <c r="G26" s="403"/>
      <c r="H26" s="403"/>
    </row>
    <row r="27" spans="1:8" ht="15">
      <c r="A27" s="423" t="s">
        <v>150</v>
      </c>
      <c r="B27" s="424"/>
      <c r="C27" s="424"/>
      <c r="D27" s="424"/>
      <c r="E27" s="425"/>
      <c r="F27" s="403">
        <v>2.4300000000000002</v>
      </c>
      <c r="G27" s="403"/>
      <c r="H27" s="403"/>
    </row>
    <row r="28" spans="1:8" ht="15.75">
      <c r="A28" s="408" t="s">
        <v>151</v>
      </c>
      <c r="B28" s="409"/>
      <c r="C28" s="409"/>
      <c r="D28" s="409"/>
      <c r="E28" s="410"/>
      <c r="F28" s="411">
        <f>SUM(F26:H27)</f>
        <v>66.06</v>
      </c>
      <c r="G28" s="411"/>
      <c r="H28" s="411"/>
    </row>
    <row r="29" spans="1:8">
      <c r="A29" s="412" t="s">
        <v>152</v>
      </c>
      <c r="B29" s="413"/>
      <c r="C29" s="413"/>
      <c r="D29" s="413"/>
      <c r="E29" s="414"/>
      <c r="F29" s="418">
        <f>SUM(F25,F28)</f>
        <v>81.06</v>
      </c>
      <c r="G29" s="418"/>
      <c r="H29" s="418"/>
    </row>
    <row r="30" spans="1:8">
      <c r="A30" s="415"/>
      <c r="B30" s="416"/>
      <c r="C30" s="416"/>
      <c r="D30" s="416"/>
      <c r="E30" s="417"/>
      <c r="F30" s="418"/>
      <c r="G30" s="418"/>
      <c r="H30" s="418"/>
    </row>
  </sheetData>
  <mergeCells count="52"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1"/>
  <sheetViews>
    <sheetView topLeftCell="A6" zoomScaleNormal="100" workbookViewId="0">
      <selection activeCell="I24" sqref="I24"/>
    </sheetView>
  </sheetViews>
  <sheetFormatPr defaultColWidth="14.140625" defaultRowHeight="12.75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/>
    <row r="5" spans="2:14" ht="21" thickBot="1">
      <c r="C5" s="429" t="s">
        <v>160</v>
      </c>
      <c r="D5" s="430"/>
      <c r="E5" s="430"/>
      <c r="F5" s="430"/>
      <c r="G5" s="430"/>
      <c r="H5" s="430"/>
      <c r="I5" s="430"/>
      <c r="J5" s="430"/>
      <c r="K5" s="430"/>
      <c r="L5" s="430"/>
      <c r="M5" s="430"/>
      <c r="N5" s="431"/>
    </row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2.25" customHeight="1">
      <c r="B8" s="106" t="s">
        <v>173</v>
      </c>
      <c r="C8" s="435"/>
      <c r="D8" s="436"/>
      <c r="E8" s="436"/>
      <c r="F8" s="436"/>
      <c r="G8" s="436"/>
      <c r="H8" s="436"/>
      <c r="I8" s="436"/>
      <c r="J8" s="436"/>
      <c r="K8" s="437"/>
      <c r="L8" s="104">
        <v>544520</v>
      </c>
      <c r="M8" s="104">
        <v>561765</v>
      </c>
      <c r="N8" s="104">
        <v>546771</v>
      </c>
    </row>
    <row r="9" spans="2:14" ht="33" customHeight="1">
      <c r="B9" s="107" t="s">
        <v>174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>
      <c r="B10" s="112" t="s">
        <v>175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>
      <c r="B11" s="108" t="s">
        <v>176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>
      <c r="B12" s="118" t="s">
        <v>177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>
      <c r="B13" s="147" t="s">
        <v>178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>
      <c r="B14" s="150" t="s">
        <v>179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/>
      <c r="K14" s="104"/>
      <c r="L14" s="104"/>
      <c r="M14" s="104"/>
      <c r="N14" s="104"/>
    </row>
    <row r="15" spans="2:14" ht="21" thickBot="1">
      <c r="C15" s="432" t="s">
        <v>180</v>
      </c>
      <c r="D15" s="433"/>
      <c r="E15" s="433"/>
      <c r="F15" s="433"/>
      <c r="G15" s="433"/>
      <c r="H15" s="433"/>
      <c r="I15" s="433"/>
      <c r="J15" s="433"/>
      <c r="K15" s="433"/>
      <c r="L15" s="433"/>
      <c r="M15" s="433"/>
      <c r="N15" s="434"/>
    </row>
    <row r="17" spans="2:14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4" ht="28.5" customHeight="1">
      <c r="B18" s="106" t="s">
        <v>173</v>
      </c>
      <c r="C18" s="435"/>
      <c r="D18" s="436"/>
      <c r="E18" s="436"/>
      <c r="F18" s="436"/>
      <c r="G18" s="436"/>
      <c r="H18" s="436"/>
      <c r="I18" s="436"/>
      <c r="J18" s="436"/>
      <c r="K18" s="437"/>
      <c r="L18" s="104">
        <v>527344.76260000002</v>
      </c>
      <c r="M18" s="104">
        <v>542887.95270000002</v>
      </c>
      <c r="N18" s="104">
        <v>530789.10450000002</v>
      </c>
    </row>
    <row r="19" spans="2:14" ht="26.25" customHeight="1">
      <c r="B19" s="107" t="s">
        <v>174</v>
      </c>
      <c r="C19" s="104">
        <v>577599.26069999998</v>
      </c>
      <c r="D19" s="104">
        <v>549500.304</v>
      </c>
      <c r="E19" s="104">
        <v>437038.73300000001</v>
      </c>
      <c r="F19" s="104">
        <v>498381.28909999994</v>
      </c>
      <c r="G19" s="104">
        <v>567710.58700000006</v>
      </c>
      <c r="H19" s="104">
        <v>626665.41229999997</v>
      </c>
      <c r="I19" s="104">
        <v>732996.54229999997</v>
      </c>
      <c r="J19" s="104">
        <v>807380.11509999994</v>
      </c>
      <c r="K19" s="104">
        <v>765103.69790000003</v>
      </c>
      <c r="L19" s="104">
        <v>674808.60869999998</v>
      </c>
      <c r="M19" s="104">
        <v>636029.23249999993</v>
      </c>
      <c r="N19" s="104">
        <v>575999.90890000004</v>
      </c>
    </row>
    <row r="20" spans="2:14" ht="28.5" customHeight="1">
      <c r="B20" s="112" t="s">
        <v>175</v>
      </c>
      <c r="C20" s="104">
        <v>565777.06310000003</v>
      </c>
      <c r="D20" s="104">
        <v>589465.87030000007</v>
      </c>
      <c r="E20" s="104">
        <v>559348.96649999998</v>
      </c>
      <c r="F20" s="104">
        <v>706566.82740000007</v>
      </c>
      <c r="G20" s="104">
        <v>750048.77370000002</v>
      </c>
      <c r="H20" s="104">
        <v>823657.03619999997</v>
      </c>
      <c r="I20" s="104">
        <v>863911.20730000001</v>
      </c>
      <c r="J20" s="104">
        <v>948371.73810000008</v>
      </c>
      <c r="K20" s="104">
        <v>870086.49040000001</v>
      </c>
      <c r="L20" s="104">
        <v>828237.32940000005</v>
      </c>
      <c r="M20" s="104">
        <v>728226.36450000003</v>
      </c>
      <c r="N20" s="104">
        <v>620794.43210000009</v>
      </c>
    </row>
    <row r="21" spans="2:14" ht="30" customHeight="1">
      <c r="B21" s="108" t="s">
        <v>176</v>
      </c>
      <c r="C21" s="104">
        <v>629018.45440000005</v>
      </c>
      <c r="D21" s="104">
        <v>609232.05440000002</v>
      </c>
      <c r="E21" s="104">
        <v>564099.54039999994</v>
      </c>
      <c r="F21" s="104">
        <v>625412.74040000001</v>
      </c>
      <c r="G21" s="104">
        <v>591310.6496</v>
      </c>
      <c r="H21" s="104">
        <v>627578.14100000006</v>
      </c>
      <c r="I21" s="104">
        <v>723790.51</v>
      </c>
      <c r="J21" s="104">
        <v>756208.25020000001</v>
      </c>
      <c r="K21" s="104">
        <v>734211.55240000004</v>
      </c>
      <c r="L21" s="104">
        <v>634725.01650000003</v>
      </c>
      <c r="M21" s="104">
        <v>492313.53600000002</v>
      </c>
      <c r="N21" s="104">
        <v>430486.08379999996</v>
      </c>
    </row>
    <row r="22" spans="2:14" ht="32.25" customHeight="1">
      <c r="B22" s="118" t="s">
        <v>177</v>
      </c>
      <c r="C22" s="104">
        <v>417767.50199999998</v>
      </c>
      <c r="D22" s="104">
        <v>437511.45040000003</v>
      </c>
      <c r="E22" s="104">
        <v>422948.91399999999</v>
      </c>
      <c r="F22" s="104">
        <v>483026.4265</v>
      </c>
      <c r="G22" s="104">
        <v>494466.65997999994</v>
      </c>
      <c r="H22" s="104">
        <v>589026.66199500009</v>
      </c>
      <c r="I22" s="104">
        <v>597445.77220000012</v>
      </c>
      <c r="J22" s="104">
        <v>624719.21129500004</v>
      </c>
      <c r="K22" s="104">
        <v>662255.2733900001</v>
      </c>
      <c r="L22" s="104">
        <v>572138.68634500005</v>
      </c>
      <c r="M22" s="104">
        <v>536725.71495000005</v>
      </c>
      <c r="N22" s="104">
        <v>473017.45039999997</v>
      </c>
    </row>
    <row r="23" spans="2:14" ht="32.25" customHeight="1">
      <c r="B23" s="147" t="s">
        <v>178</v>
      </c>
      <c r="C23" s="104">
        <v>445089.4596</v>
      </c>
      <c r="D23" s="104">
        <v>464838.33001999994</v>
      </c>
      <c r="E23" s="104">
        <v>310234.47700000001</v>
      </c>
      <c r="F23" s="104">
        <v>132086.1189</v>
      </c>
      <c r="G23" s="104">
        <v>81934.237999999998</v>
      </c>
      <c r="H23" s="104">
        <v>88016.122900000017</v>
      </c>
      <c r="I23" s="104">
        <v>290744.43883500004</v>
      </c>
      <c r="J23" s="104">
        <v>372885.53719999996</v>
      </c>
      <c r="K23" s="104">
        <v>328998.32740000001</v>
      </c>
      <c r="L23" s="104">
        <v>350713.83590000001</v>
      </c>
      <c r="M23" s="104">
        <v>329624.08839999995</v>
      </c>
      <c r="N23" s="104">
        <v>294931.19809999998</v>
      </c>
    </row>
    <row r="24" spans="2:14" ht="32.25" customHeight="1">
      <c r="B24" s="150" t="s">
        <v>179</v>
      </c>
      <c r="C24" s="104">
        <v>274561.56439999997</v>
      </c>
      <c r="D24" s="104">
        <v>283692.47039999999</v>
      </c>
      <c r="E24" s="104">
        <v>278888.13439999998</v>
      </c>
      <c r="F24" s="104">
        <v>318224.91959999996</v>
      </c>
      <c r="G24" s="104">
        <v>309500.67789999995</v>
      </c>
      <c r="H24" s="104">
        <v>396582.05849999998</v>
      </c>
      <c r="I24" s="104">
        <v>498105.10527500004</v>
      </c>
      <c r="J24" s="104"/>
      <c r="K24" s="104"/>
      <c r="L24" s="104"/>
      <c r="M24" s="104"/>
      <c r="N24" s="104"/>
    </row>
    <row r="30" spans="2:14" ht="16.5" customHeight="1"/>
    <row r="31" spans="2:14" ht="15.75" customHeight="1"/>
  </sheetData>
  <mergeCells count="4">
    <mergeCell ref="C5:N5"/>
    <mergeCell ref="C15:N15"/>
    <mergeCell ref="C8:K8"/>
    <mergeCell ref="C18:K18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0"/>
  <sheetViews>
    <sheetView topLeftCell="A11" zoomScaleNormal="100" workbookViewId="0">
      <selection activeCell="I24" sqref="I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9" t="s">
        <v>181</v>
      </c>
      <c r="D5" s="438"/>
      <c r="E5" s="438"/>
      <c r="F5" s="438"/>
      <c r="G5" s="438"/>
      <c r="H5" s="438"/>
      <c r="I5" s="438"/>
      <c r="J5" s="438"/>
      <c r="K5" s="438"/>
      <c r="L5" s="438"/>
      <c r="M5" s="438"/>
      <c r="N5" s="439"/>
    </row>
    <row r="6" spans="2:14" ht="21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" customHeight="1">
      <c r="B8" s="106" t="s">
        <v>173</v>
      </c>
      <c r="C8" s="435"/>
      <c r="D8" s="436"/>
      <c r="E8" s="436"/>
      <c r="F8" s="436"/>
      <c r="G8" s="436"/>
      <c r="H8" s="436"/>
      <c r="I8" s="436"/>
      <c r="J8" s="436"/>
      <c r="K8" s="437"/>
      <c r="L8" s="104"/>
      <c r="M8" s="104">
        <v>3298</v>
      </c>
      <c r="N8" s="104">
        <v>3866</v>
      </c>
    </row>
    <row r="9" spans="2:14" ht="39" customHeight="1">
      <c r="B9" s="107" t="s">
        <v>174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>
      <c r="B10" s="112" t="s">
        <v>175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>
      <c r="B11" s="108" t="s">
        <v>176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>
      <c r="B12" s="118" t="s">
        <v>177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>
      <c r="B13" s="147" t="s">
        <v>178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>
      <c r="B14" s="150" t="s">
        <v>179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/>
      <c r="K14" s="104"/>
      <c r="L14" s="104"/>
      <c r="M14" s="104"/>
      <c r="N14" s="104"/>
    </row>
    <row r="15" spans="2:14" ht="21" thickBot="1">
      <c r="C15" s="432" t="s">
        <v>182</v>
      </c>
      <c r="D15" s="440"/>
      <c r="E15" s="440"/>
      <c r="F15" s="440"/>
      <c r="G15" s="440"/>
      <c r="H15" s="440"/>
      <c r="I15" s="440"/>
      <c r="J15" s="440"/>
      <c r="K15" s="440"/>
      <c r="L15" s="440"/>
      <c r="M15" s="440"/>
      <c r="N15" s="441"/>
    </row>
    <row r="17" spans="2:15" ht="18" customHeight="1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5" ht="30" customHeight="1">
      <c r="B18" s="106" t="s">
        <v>173</v>
      </c>
      <c r="C18" s="435"/>
      <c r="D18" s="436"/>
      <c r="E18" s="436"/>
      <c r="F18" s="436"/>
      <c r="G18" s="436"/>
      <c r="H18" s="436"/>
      <c r="I18" s="436"/>
      <c r="J18" s="436"/>
      <c r="K18" s="437"/>
      <c r="L18" s="104"/>
      <c r="M18" s="104">
        <v>43165.84</v>
      </c>
      <c r="N18" s="104">
        <v>50595.28</v>
      </c>
    </row>
    <row r="19" spans="2:15" ht="31.5" customHeight="1">
      <c r="B19" s="107" t="s">
        <v>174</v>
      </c>
      <c r="C19" s="104">
        <v>53565.520000000004</v>
      </c>
      <c r="D19" s="104">
        <v>48294.28</v>
      </c>
      <c r="E19" s="104">
        <v>51250.36</v>
      </c>
      <c r="F19" s="104">
        <v>62603.8</v>
      </c>
      <c r="G19" s="104">
        <v>68202.040000000008</v>
      </c>
      <c r="H19" s="104">
        <v>53683.240000000005</v>
      </c>
      <c r="I19" s="104">
        <v>73551.760000000009</v>
      </c>
      <c r="J19" s="104">
        <v>85925.440000000002</v>
      </c>
      <c r="K19" s="104">
        <v>57158.52</v>
      </c>
      <c r="L19" s="104">
        <v>67234.52</v>
      </c>
      <c r="M19" s="104">
        <v>53224.76</v>
      </c>
      <c r="N19" s="104">
        <v>58005.08</v>
      </c>
    </row>
    <row r="20" spans="2:15" ht="34.5" customHeight="1">
      <c r="B20" s="112" t="s">
        <v>175</v>
      </c>
      <c r="C20" s="104">
        <v>56680.28</v>
      </c>
      <c r="D20" s="104">
        <v>50685.56</v>
      </c>
      <c r="E20" s="104">
        <v>68360.600000000006</v>
      </c>
      <c r="F20" s="104">
        <v>68139.8</v>
      </c>
      <c r="G20" s="104">
        <v>66042.2</v>
      </c>
      <c r="H20" s="104">
        <v>67342.712</v>
      </c>
      <c r="I20" s="104">
        <v>77855</v>
      </c>
      <c r="J20" s="104">
        <v>88895</v>
      </c>
      <c r="K20" s="104">
        <v>73748.12</v>
      </c>
      <c r="L20" s="104">
        <v>75746.36</v>
      </c>
      <c r="M20" s="104">
        <v>65821.399999999994</v>
      </c>
      <c r="N20" s="104">
        <v>57542.503999999986</v>
      </c>
    </row>
    <row r="21" spans="2:15" ht="36" customHeight="1">
      <c r="B21" s="108" t="s">
        <v>176</v>
      </c>
      <c r="C21" s="104">
        <v>61834.856000000014</v>
      </c>
      <c r="D21" s="104">
        <v>58501.880000000005</v>
      </c>
      <c r="E21" s="104">
        <v>64684.28</v>
      </c>
      <c r="F21" s="104">
        <v>69398.36</v>
      </c>
      <c r="G21" s="104">
        <v>60743</v>
      </c>
      <c r="H21" s="104">
        <v>61668.152000000031</v>
      </c>
      <c r="I21" s="104">
        <v>69209.575999999943</v>
      </c>
      <c r="J21" s="104">
        <v>68231.43200000003</v>
      </c>
      <c r="K21" s="104">
        <v>67858.28</v>
      </c>
      <c r="L21" s="104">
        <v>67560.2</v>
      </c>
      <c r="M21" s="104">
        <v>55476.92</v>
      </c>
      <c r="N21" s="104">
        <v>52659.512000000002</v>
      </c>
    </row>
    <row r="22" spans="2:15" ht="32.25" customHeight="1">
      <c r="B22" s="118" t="s">
        <v>177</v>
      </c>
      <c r="C22" s="104">
        <v>55717.592000000004</v>
      </c>
      <c r="D22" s="104">
        <v>57718.399999999994</v>
      </c>
      <c r="E22" s="104">
        <v>62768.599999999991</v>
      </c>
      <c r="F22" s="104">
        <v>61267.219999999987</v>
      </c>
      <c r="G22" s="104">
        <v>51406.219999999987</v>
      </c>
      <c r="H22" s="104">
        <v>60091.880000000041</v>
      </c>
      <c r="I22" s="104">
        <v>62827.879999999961</v>
      </c>
      <c r="J22" s="104">
        <v>63874.400000000001</v>
      </c>
      <c r="K22" s="104">
        <v>61434.799999999996</v>
      </c>
      <c r="L22" s="104">
        <v>69004.399999999994</v>
      </c>
      <c r="M22" s="104">
        <v>63087.799999999996</v>
      </c>
      <c r="N22" s="104">
        <v>63466.279999999962</v>
      </c>
    </row>
    <row r="23" spans="2:15" ht="32.25" customHeight="1">
      <c r="B23" s="147" t="s">
        <v>178</v>
      </c>
      <c r="C23" s="104">
        <v>65725.760000000097</v>
      </c>
      <c r="D23" s="104">
        <v>64232.359999999928</v>
      </c>
      <c r="E23" s="104">
        <v>34892.179999999964</v>
      </c>
      <c r="F23" s="104">
        <v>8168.2999999999993</v>
      </c>
      <c r="G23" s="104">
        <v>5036.7200000000321</v>
      </c>
      <c r="H23" s="104">
        <v>15793.759999999933</v>
      </c>
      <c r="I23" s="104">
        <v>39829.519999999997</v>
      </c>
      <c r="J23" s="104">
        <v>29876.179999999964</v>
      </c>
      <c r="K23" s="104">
        <v>20881.580000000129</v>
      </c>
      <c r="L23" s="104">
        <v>34223</v>
      </c>
      <c r="M23" s="104">
        <v>21637.4</v>
      </c>
      <c r="N23" s="104">
        <v>20321.839999999898</v>
      </c>
    </row>
    <row r="24" spans="2:15" ht="32.25" customHeight="1">
      <c r="B24" s="150" t="s">
        <v>179</v>
      </c>
      <c r="C24" s="104">
        <v>23771.479999999963</v>
      </c>
      <c r="D24" s="104">
        <v>24137.420000000031</v>
      </c>
      <c r="E24" s="104">
        <v>27454.820000000029</v>
      </c>
      <c r="F24" s="104">
        <v>24717.679999999964</v>
      </c>
      <c r="G24" s="104">
        <v>28833.079999999962</v>
      </c>
      <c r="H24" s="104">
        <v>33370.28000000013</v>
      </c>
      <c r="I24" s="104">
        <v>43563.019999999866</v>
      </c>
      <c r="J24" s="104"/>
      <c r="K24" s="104"/>
      <c r="L24" s="104"/>
      <c r="M24" s="104"/>
      <c r="N24" s="104"/>
    </row>
    <row r="29" spans="2:15" ht="16.5" customHeight="1">
      <c r="O29" t="s">
        <v>18</v>
      </c>
    </row>
    <row r="30" spans="2:15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0"/>
  <sheetViews>
    <sheetView topLeftCell="A13" zoomScaleNormal="100" workbookViewId="0">
      <selection activeCell="I24" sqref="I24"/>
    </sheetView>
  </sheetViews>
  <sheetFormatPr defaultColWidth="14.140625" defaultRowHeight="12.75"/>
  <cols>
    <col min="1" max="1" width="8" customWidth="1"/>
    <col min="2" max="2" width="20.28515625" customWidth="1"/>
  </cols>
  <sheetData>
    <row r="4" spans="2:14" ht="13.5" thickBot="1"/>
    <row r="5" spans="2:14" ht="21" thickBot="1">
      <c r="C5" s="429" t="s">
        <v>183</v>
      </c>
      <c r="D5" s="430"/>
      <c r="E5" s="430"/>
      <c r="F5" s="430"/>
      <c r="G5" s="430"/>
      <c r="H5" s="430"/>
      <c r="I5" s="430"/>
      <c r="J5" s="430"/>
      <c r="K5" s="430"/>
      <c r="L5" s="430"/>
      <c r="M5" s="430"/>
      <c r="N5" s="431"/>
    </row>
    <row r="6" spans="2:14" ht="23.25" customHeight="1"/>
    <row r="7" spans="2:14">
      <c r="C7" s="105" t="s">
        <v>161</v>
      </c>
      <c r="D7" s="105" t="s">
        <v>162</v>
      </c>
      <c r="E7" s="105" t="s">
        <v>163</v>
      </c>
      <c r="F7" s="105" t="s">
        <v>164</v>
      </c>
      <c r="G7" s="105" t="s">
        <v>165</v>
      </c>
      <c r="H7" s="105" t="s">
        <v>166</v>
      </c>
      <c r="I7" s="105" t="s">
        <v>167</v>
      </c>
      <c r="J7" s="105" t="s">
        <v>168</v>
      </c>
      <c r="K7" s="105" t="s">
        <v>169</v>
      </c>
      <c r="L7" s="105" t="s">
        <v>170</v>
      </c>
      <c r="M7" s="105" t="s">
        <v>171</v>
      </c>
      <c r="N7" s="105" t="s">
        <v>172</v>
      </c>
    </row>
    <row r="8" spans="2:14" ht="33.75" customHeight="1">
      <c r="B8" s="106" t="s">
        <v>173</v>
      </c>
      <c r="C8" s="435"/>
      <c r="D8" s="436"/>
      <c r="E8" s="436"/>
      <c r="F8" s="436"/>
      <c r="G8" s="436"/>
      <c r="H8" s="436"/>
      <c r="I8" s="436"/>
      <c r="J8" s="436"/>
      <c r="K8" s="437"/>
      <c r="L8" s="104">
        <v>19365</v>
      </c>
      <c r="M8" s="104">
        <v>21235</v>
      </c>
      <c r="N8" s="104">
        <v>34053</v>
      </c>
    </row>
    <row r="9" spans="2:14" ht="35.25" customHeight="1">
      <c r="B9" s="107" t="s">
        <v>174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>
      <c r="B10" s="112" t="s">
        <v>175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>
      <c r="B11" s="108" t="s">
        <v>176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>
      <c r="B12" s="118" t="s">
        <v>177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>
      <c r="B13" s="147" t="s">
        <v>178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>
      <c r="B14" s="150" t="s">
        <v>179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/>
      <c r="K14" s="104"/>
      <c r="L14" s="104"/>
      <c r="M14" s="104"/>
      <c r="N14" s="104"/>
    </row>
    <row r="15" spans="2:14" ht="21" thickBot="1">
      <c r="C15" s="432" t="s">
        <v>184</v>
      </c>
      <c r="D15" s="433"/>
      <c r="E15" s="433"/>
      <c r="F15" s="433"/>
      <c r="G15" s="433"/>
      <c r="H15" s="433"/>
      <c r="I15" s="433"/>
      <c r="J15" s="433"/>
      <c r="K15" s="433"/>
      <c r="L15" s="433"/>
      <c r="M15" s="433"/>
      <c r="N15" s="434"/>
    </row>
    <row r="17" spans="2:14" ht="17.25" customHeight="1">
      <c r="C17" s="105" t="s">
        <v>161</v>
      </c>
      <c r="D17" s="105" t="s">
        <v>162</v>
      </c>
      <c r="E17" s="105" t="s">
        <v>163</v>
      </c>
      <c r="F17" s="105" t="s">
        <v>164</v>
      </c>
      <c r="G17" s="105" t="s">
        <v>165</v>
      </c>
      <c r="H17" s="105" t="s">
        <v>166</v>
      </c>
      <c r="I17" s="105" t="s">
        <v>167</v>
      </c>
      <c r="J17" s="105" t="s">
        <v>168</v>
      </c>
      <c r="K17" s="105" t="s">
        <v>169</v>
      </c>
      <c r="L17" s="105" t="s">
        <v>170</v>
      </c>
      <c r="M17" s="105" t="s">
        <v>171</v>
      </c>
      <c r="N17" s="105" t="s">
        <v>172</v>
      </c>
    </row>
    <row r="18" spans="2:14" ht="30" customHeight="1">
      <c r="B18" s="106" t="s">
        <v>173</v>
      </c>
      <c r="C18" s="435"/>
      <c r="D18" s="436"/>
      <c r="E18" s="436"/>
      <c r="F18" s="436"/>
      <c r="G18" s="436"/>
      <c r="H18" s="436"/>
      <c r="I18" s="436"/>
      <c r="J18" s="436"/>
      <c r="K18" s="437"/>
      <c r="L18" s="104">
        <v>222503.85</v>
      </c>
      <c r="M18" s="104">
        <v>248385.8</v>
      </c>
      <c r="N18" s="104">
        <v>412790.47</v>
      </c>
    </row>
    <row r="19" spans="2:14" ht="30" customHeight="1">
      <c r="B19" s="107" t="s">
        <v>174</v>
      </c>
      <c r="C19" s="104">
        <v>281335.36</v>
      </c>
      <c r="D19" s="104">
        <v>329491.88</v>
      </c>
      <c r="E19" s="109">
        <v>263166</v>
      </c>
      <c r="F19" s="104">
        <v>334402.89</v>
      </c>
      <c r="G19" s="104">
        <v>287763.5</v>
      </c>
      <c r="H19" s="104">
        <v>200206.44</v>
      </c>
      <c r="I19" s="104">
        <v>128985.95</v>
      </c>
      <c r="J19" s="104">
        <v>174687.16</v>
      </c>
      <c r="K19" s="104">
        <v>221708.41</v>
      </c>
      <c r="L19" s="104">
        <v>257125.33</v>
      </c>
      <c r="M19" s="104">
        <v>290283.33</v>
      </c>
      <c r="N19" s="104">
        <v>491751.17</v>
      </c>
    </row>
    <row r="20" spans="2:14" ht="38.25" customHeight="1">
      <c r="B20" s="112" t="s">
        <v>175</v>
      </c>
      <c r="C20" s="104">
        <v>534222.91</v>
      </c>
      <c r="D20" s="104">
        <v>397841.39</v>
      </c>
      <c r="E20" s="109">
        <v>463317.85</v>
      </c>
      <c r="F20" s="104">
        <v>473982.96</v>
      </c>
      <c r="G20" s="104">
        <v>288617.67497200001</v>
      </c>
      <c r="H20" s="104">
        <v>262138.08</v>
      </c>
      <c r="I20" s="104">
        <v>290959.32</v>
      </c>
      <c r="J20" s="104">
        <v>277268.19</v>
      </c>
      <c r="K20" s="104">
        <v>269109.64</v>
      </c>
      <c r="L20" s="104">
        <v>279753.59999999998</v>
      </c>
      <c r="M20" s="104">
        <v>411233.26</v>
      </c>
      <c r="N20" s="104">
        <v>393575.4632766</v>
      </c>
    </row>
    <row r="21" spans="2:14" ht="36" customHeight="1">
      <c r="B21" s="108" t="s">
        <v>176</v>
      </c>
      <c r="C21" s="104">
        <v>433913.35561000003</v>
      </c>
      <c r="D21" s="104">
        <v>365261.32551950007</v>
      </c>
      <c r="E21" s="104">
        <v>291312.20312600001</v>
      </c>
      <c r="F21" s="104">
        <v>213834.17997540004</v>
      </c>
      <c r="G21" s="104">
        <v>197886.11041990001</v>
      </c>
      <c r="H21" s="104">
        <v>143537.16720000003</v>
      </c>
      <c r="I21" s="104">
        <v>111050.00760000001</v>
      </c>
      <c r="J21" s="104">
        <v>129846.43560000001</v>
      </c>
      <c r="K21" s="104">
        <v>97997.8848</v>
      </c>
      <c r="L21" s="104">
        <v>117195.50640000001</v>
      </c>
      <c r="M21" s="104">
        <v>207280.60920000004</v>
      </c>
      <c r="N21" s="104">
        <v>182965.23</v>
      </c>
    </row>
    <row r="22" spans="2:14" ht="36.75" customHeight="1">
      <c r="B22" s="118" t="s">
        <v>177</v>
      </c>
      <c r="C22" s="104">
        <v>224024.09400000001</v>
      </c>
      <c r="D22" s="104">
        <v>223450.86960000003</v>
      </c>
      <c r="E22" s="104">
        <v>209182.84030000001</v>
      </c>
      <c r="F22" s="104">
        <v>188907.98955000003</v>
      </c>
      <c r="G22" s="104">
        <v>129176.0868</v>
      </c>
      <c r="H22" s="104">
        <v>94335.247499999998</v>
      </c>
      <c r="I22" s="104">
        <v>144957.53220000002</v>
      </c>
      <c r="J22" s="104">
        <v>77405.108330000003</v>
      </c>
      <c r="K22" s="104">
        <v>62646.875572400008</v>
      </c>
      <c r="L22" s="104">
        <v>128403.6047106</v>
      </c>
      <c r="M22" s="104">
        <v>149916.6565598</v>
      </c>
      <c r="N22" s="104">
        <v>217831.38909150002</v>
      </c>
    </row>
    <row r="23" spans="2:14" ht="36.75" customHeight="1">
      <c r="B23" s="147" t="s">
        <v>178</v>
      </c>
      <c r="C23" s="104">
        <v>244876.45098180004</v>
      </c>
      <c r="D23" s="104">
        <v>193260.64492800002</v>
      </c>
      <c r="E23" s="104">
        <v>87871.212408000007</v>
      </c>
      <c r="F23" s="104">
        <v>35579.549712</v>
      </c>
      <c r="G23" s="104">
        <v>0</v>
      </c>
      <c r="H23" s="104">
        <v>23675.145312000001</v>
      </c>
      <c r="I23" s="104">
        <v>72782.559159000011</v>
      </c>
      <c r="J23" s="104">
        <v>40462.519659999998</v>
      </c>
      <c r="K23" s="104">
        <v>41321.980665000003</v>
      </c>
      <c r="L23" s="104">
        <v>111951.58177100001</v>
      </c>
      <c r="M23" s="104">
        <v>151252.43276699999</v>
      </c>
      <c r="N23" s="104">
        <v>147090.494056</v>
      </c>
    </row>
    <row r="24" spans="2:14" ht="36.75" customHeight="1">
      <c r="B24" s="150" t="s">
        <v>179</v>
      </c>
      <c r="C24" s="104">
        <v>175249.65814200003</v>
      </c>
      <c r="D24" s="104">
        <v>133357.0288309</v>
      </c>
      <c r="E24" s="104">
        <v>160956.23789999998</v>
      </c>
      <c r="F24" s="104">
        <v>100532.6412</v>
      </c>
      <c r="G24" s="104">
        <v>93974.363699999987</v>
      </c>
      <c r="H24" s="104">
        <v>120064.8024</v>
      </c>
      <c r="I24" s="104">
        <v>79461.624290000007</v>
      </c>
      <c r="J24" s="104"/>
      <c r="K24" s="104"/>
      <c r="L24" s="104"/>
      <c r="M24" s="104"/>
      <c r="N24" s="104"/>
    </row>
    <row r="29" spans="2:14" ht="16.5" customHeight="1"/>
    <row r="30" spans="2:14" ht="15.75" customHeight="1"/>
  </sheetData>
  <mergeCells count="4">
    <mergeCell ref="C5:N5"/>
    <mergeCell ref="C8:K8"/>
    <mergeCell ref="C15:N15"/>
    <mergeCell ref="C18:K18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defaultColWidth="11.42578125" defaultRowHeight="12.7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Anouar Jamai hamdane</cp:lastModifiedBy>
  <cp:revision/>
  <dcterms:created xsi:type="dcterms:W3CDTF">1996-10-21T11:03:58Z</dcterms:created>
  <dcterms:modified xsi:type="dcterms:W3CDTF">2021-08-09T09:13:08Z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