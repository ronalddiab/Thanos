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September 2019" sheetId="14" r:id="rId2"/>
    <sheet name="RNs &amp; Covers September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R46" i="14" l="1"/>
  <c r="Q46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W49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<sst xmlns="http://schemas.openxmlformats.org/spreadsheetml/2006/main" count="100" uniqueCount="55">
  <si>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</si>
  <si>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</si>
  <si>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</si>
  <si>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</si>
  <si>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</si>
  <si>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</si>
  <si>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</si>
  <si>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</si>
  <si>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</si>
  <si>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</si>
  <si>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</si>
  <si>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</si>
  <si>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</si>
  <si>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</si>
  <si>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</si>
  <si>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</si>
  <si>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</si>
  <si>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</si>
  <si>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</si>
  <si>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</si>
  <si>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</si>
  <si>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</si>
  <si>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</si>
  <si>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</si>
  <si>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</si>
  <si>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</si>
  <si>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</si>
  <si>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</si>
  <si>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</si>
  <si>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</si>
  <si>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</si>
  <si>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</si>
  <si>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</si>
  <si>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</si>
  <si>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</si>
  <si>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</si>
  <si>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</si>
  <si>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</si>
  <si>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</si>
  <si>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</si>
  <si>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</si>
  <si>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</si>
  <si>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</si>
  <si>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</si>
  <si>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</si>
  <si>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</si>
  <si>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</si>
  <si>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</si>
  <si>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</si>
  <si>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</si>
  <si>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</si>
  <si>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</si>
  <si>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</si>
  <si>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</si>
  <si>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SEPTEMBER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</si>
</sst>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5" xfId="2" applyNumberFormat="1" applyFont="1" applyBorder="1"/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5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7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9" fontId="0" fillId="0" borderId="0" xfId="5" applyFont="1" applyBorder="1"/>
    <xf numFmtId="169" fontId="20" fillId="0" borderId="8" xfId="0" applyNumberFormat="1" applyFont="1" applyBorder="1"/>
    <xf numFmtId="37" fontId="20" fillId="0" borderId="8" xfId="0" applyNumberFormat="1" applyFont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221120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3" sqref="D3:D31"/>
    </sheetView>
  </sheetViews>
  <sheetFormatPr defaultColWidth="11.5703125" defaultRowHeight="15" x14ac:dyDescent="0.25"/>
  <cols>
    <col min="1" max="1" width="18.42578125" style="164" customWidth="1"/>
    <col min="2" max="2" width="11.5703125" style="165"/>
    <col min="3" max="3" width="11.5703125" style="166"/>
    <col min="4" max="4" width="13.42578125" style="165" customWidth="1"/>
    <col min="5" max="5" width="12.5703125" style="163" customWidth="1"/>
    <col min="6" max="6" width="12.5703125" style="167" customWidth="1"/>
    <col min="7" max="7" width="11.5703125" style="163"/>
    <col min="8" max="8" width="11.5703125" style="167"/>
    <col min="9" max="9" width="11.5703125" style="168"/>
    <col min="10" max="10" width="11.5703125" style="169"/>
    <col min="11" max="11" width="11.5703125" style="163"/>
    <col min="12" max="12" width="11.5703125" style="169"/>
    <col min="13" max="26" width="11.5703125" style="163"/>
  </cols>
  <sheetData>
    <row r="1" spans="1:15" s="157" customFormat="1" ht="43.15" x14ac:dyDescent="0.3">
      <c r="A1" s="153" t="s">
        <v>37</v>
      </c>
      <c r="B1" s="153" t="s">
        <v>38</v>
      </c>
      <c r="C1" s="154" t="s">
        <v>39</v>
      </c>
      <c r="D1" s="153" t="s">
        <v>40</v>
      </c>
      <c r="E1" s="152" t="s">
        <v>41</v>
      </c>
      <c r="F1" s="155" t="s">
        <v>42</v>
      </c>
      <c r="G1" s="152" t="s">
        <v>47</v>
      </c>
      <c r="H1" s="155" t="s">
        <v>48</v>
      </c>
      <c r="I1" s="171" t="s">
        <v>50</v>
      </c>
      <c r="J1" s="155" t="s">
        <v>51</v>
      </c>
      <c r="K1" s="152" t="s">
        <v>43</v>
      </c>
      <c r="L1" s="156" t="s">
        <v>44</v>
      </c>
      <c r="M1" s="152" t="s">
        <v>45</v>
      </c>
      <c r="N1" s="152" t="s">
        <v>3</v>
      </c>
    </row>
    <row r="2" spans="1:15" ht="14.45" x14ac:dyDescent="0.3">
      <c r="A2" s="158" t="s">
        <v>49</v>
      </c>
      <c r="B2" s="159">
        <v>1</v>
      </c>
      <c r="C2" s="160">
        <v>9</v>
      </c>
      <c r="D2" s="159">
        <v>2019</v>
      </c>
      <c r="E2" s="161">
        <f>'FS Jimbaran September 2019'!P12</f>
        <v>21199.999999999593</v>
      </c>
      <c r="F2" s="170">
        <f>'FS Jimbaran September 2019'!O12/'FS Jimbaran September 2019'!P12</f>
        <v>1124.7007358490607</v>
      </c>
      <c r="G2" s="161">
        <f>'FS Jimbaran September 2019'!AG12</f>
        <v>498.75060000004692</v>
      </c>
      <c r="H2" s="170">
        <f>'FS Jimbaran September 2019'!AH12/'FS Jimbaran September 2019'!AG12</f>
        <v>17453.439251500869</v>
      </c>
      <c r="I2" s="161">
        <f>'FS Jimbaran September 2019'!AJ12</f>
        <v>438.95999999999185</v>
      </c>
      <c r="J2" s="162">
        <f>'FS Jimbaran September 2019'!AK12/'FS Jimbaran September 2019'!AJ12</f>
        <v>10300</v>
      </c>
      <c r="K2" s="161">
        <f>'FS Jimbaran September 2019'!V12</f>
        <v>772.52</v>
      </c>
      <c r="L2" s="170">
        <f>'FS Jimbaran September 2019'!AA12/'FS Jimbaran September 2019'!V12</f>
        <v>1991.1195852534563</v>
      </c>
      <c r="M2" s="161">
        <f>+'RNs &amp; Covers September 2019'!B6</f>
        <v>48</v>
      </c>
      <c r="N2" s="172">
        <f>+'RNs &amp; Covers September 2019'!C6</f>
        <v>374</v>
      </c>
    </row>
    <row r="3" spans="1:15" ht="14.45" x14ac:dyDescent="0.3">
      <c r="A3" s="158" t="s">
        <v>49</v>
      </c>
      <c r="B3" s="159">
        <f>B2+1</f>
        <v>2</v>
      </c>
      <c r="C3" s="160">
        <v>9</v>
      </c>
      <c r="D3" s="159">
        <v>2019</v>
      </c>
      <c r="E3" s="172">
        <f>'FS Jimbaran September 2019'!P13</f>
        <v>21160.00000000099</v>
      </c>
      <c r="F3" s="170">
        <f>'FS Jimbaran September 2019'!O13/'FS Jimbaran September 2019'!P13</f>
        <v>1130.2533175803335</v>
      </c>
      <c r="G3" s="172">
        <f>'FS Jimbaran September 2019'!AG13</f>
        <v>272.53691999999762</v>
      </c>
      <c r="H3" s="170">
        <f>'FS Jimbaran September 2019'!AH13/'FS Jimbaran September 2019'!AG13</f>
        <v>10345.513783050028</v>
      </c>
      <c r="I3" s="172">
        <f>'FS Jimbaran September 2019'!AJ13</f>
        <v>388.83999999999651</v>
      </c>
      <c r="J3" s="162">
        <f>'FS Jimbaran September 2019'!AK13/'FS Jimbaran September 2019'!AJ13</f>
        <v>10300</v>
      </c>
      <c r="K3" s="172">
        <f>'FS Jimbaran September 2019'!V13</f>
        <v>823.25</v>
      </c>
      <c r="L3" s="170">
        <f>'FS Jimbaran September 2019'!AA13/'FS Jimbaran September 2019'!V13</f>
        <v>441.79314594594604</v>
      </c>
      <c r="M3" s="172">
        <f>+'RNs &amp; Covers September 2019'!B7</f>
        <v>62</v>
      </c>
      <c r="N3" s="172">
        <f>+'RNs &amp; Covers September 2019'!C7</f>
        <v>430</v>
      </c>
    </row>
    <row r="4" spans="1:15" ht="14.45" x14ac:dyDescent="0.3">
      <c r="A4" s="158" t="s">
        <v>49</v>
      </c>
      <c r="B4" s="159">
        <f t="shared" ref="B4:B31" si="0">B3+1</f>
        <v>3</v>
      </c>
      <c r="C4" s="160">
        <v>9</v>
      </c>
      <c r="D4" s="159">
        <v>2019</v>
      </c>
      <c r="E4" s="172">
        <f>'FS Jimbaran September 2019'!P14</f>
        <v>22319.999999998116</v>
      </c>
      <c r="F4" s="170">
        <f>'FS Jimbaran September 2019'!O14/'FS Jimbaran September 2019'!P14</f>
        <v>1124.4152956989305</v>
      </c>
      <c r="G4" s="172">
        <f>'FS Jimbaran September 2019'!AG14</f>
        <v>141.62447999995544</v>
      </c>
      <c r="H4" s="170">
        <f>'FS Jimbaran September 2019'!AH14/'FS Jimbaran September 2019'!AG14</f>
        <v>9143.75</v>
      </c>
      <c r="I4" s="172">
        <f>'FS Jimbaran September 2019'!AJ14</f>
        <v>526.10000000000582</v>
      </c>
      <c r="J4" s="162">
        <f>'FS Jimbaran September 2019'!AK14/'FS Jimbaran September 2019'!AJ14</f>
        <v>10300</v>
      </c>
      <c r="K4" s="172">
        <f>'FS Jimbaran September 2019'!V14</f>
        <v>808.12</v>
      </c>
      <c r="L4" s="170">
        <f>'FS Jimbaran September 2019'!AA14/'FS Jimbaran September 2019'!V14</f>
        <v>2247.1977533039649</v>
      </c>
      <c r="M4" s="172">
        <f>+'RNs &amp; Covers September 2019'!B8</f>
        <v>72</v>
      </c>
      <c r="N4" s="172">
        <f>+'RNs &amp; Covers September 2019'!C8</f>
        <v>401</v>
      </c>
    </row>
    <row r="5" spans="1:15" ht="14.45" x14ac:dyDescent="0.3">
      <c r="A5" s="158" t="s">
        <v>49</v>
      </c>
      <c r="B5" s="159">
        <f t="shared" si="0"/>
        <v>4</v>
      </c>
      <c r="C5" s="160">
        <v>9</v>
      </c>
      <c r="D5" s="159">
        <v>2019</v>
      </c>
      <c r="E5" s="172">
        <f>'FS Jimbaran September 2019'!P15</f>
        <v>22060.000000001994</v>
      </c>
      <c r="F5" s="170">
        <f>'FS Jimbaran September 2019'!O15/'FS Jimbaran September 2019'!P15</f>
        <v>1129.2161831368967</v>
      </c>
      <c r="G5" s="172">
        <f>'FS Jimbaran September 2019'!AG15</f>
        <v>24</v>
      </c>
      <c r="H5" s="170">
        <f>'FS Jimbaran September 2019'!AH15/'FS Jimbaran September 2019'!AG15</f>
        <v>11625</v>
      </c>
      <c r="I5" s="172">
        <f>'FS Jimbaran September 2019'!AJ15</f>
        <v>530.39999999999418</v>
      </c>
      <c r="J5" s="162">
        <f>'FS Jimbaran September 2019'!AK15/'FS Jimbaran September 2019'!AJ15</f>
        <v>10300</v>
      </c>
      <c r="K5" s="172">
        <f>'FS Jimbaran September 2019'!V15</f>
        <v>791.20999999999992</v>
      </c>
      <c r="L5" s="170">
        <f>'FS Jimbaran September 2019'!AA15/'FS Jimbaran September 2019'!V15</f>
        <v>2215.7778852643423</v>
      </c>
      <c r="M5" s="172">
        <f>+'RNs &amp; Covers September 2019'!B9</f>
        <v>81</v>
      </c>
      <c r="N5" s="172">
        <f>+'RNs &amp; Covers September 2019'!C9</f>
        <v>968</v>
      </c>
    </row>
    <row r="6" spans="1:15" ht="14.45" x14ac:dyDescent="0.3">
      <c r="A6" s="158" t="s">
        <v>49</v>
      </c>
      <c r="B6" s="159">
        <f t="shared" si="0"/>
        <v>5</v>
      </c>
      <c r="C6" s="160">
        <v>9</v>
      </c>
      <c r="D6" s="159">
        <v>2019</v>
      </c>
      <c r="E6" s="172">
        <f>'FS Jimbaran September 2019'!P16</f>
        <v>22819.999999998116</v>
      </c>
      <c r="F6" s="170">
        <f>'FS Jimbaran September 2019'!O16/'FS Jimbaran September 2019'!P16</f>
        <v>1132.0049605609199</v>
      </c>
      <c r="G6" s="172">
        <f>'FS Jimbaran September 2019'!AG16</f>
        <v>374.40896000002812</v>
      </c>
      <c r="H6" s="170">
        <f>'FS Jimbaran September 2019'!AH16/'FS Jimbaran September 2019'!AG16</f>
        <v>9921.0417613936861</v>
      </c>
      <c r="I6" s="172">
        <f>'FS Jimbaran September 2019'!AJ16</f>
        <v>708.35000000000582</v>
      </c>
      <c r="J6" s="162">
        <f>'FS Jimbaran September 2019'!AK16/'FS Jimbaran September 2019'!AJ16</f>
        <v>10300</v>
      </c>
      <c r="K6" s="172">
        <f>'FS Jimbaran September 2019'!V16</f>
        <v>822.3599999999999</v>
      </c>
      <c r="L6" s="170">
        <f>'FS Jimbaran September 2019'!AA16/'FS Jimbaran September 2019'!V16</f>
        <v>2522.6515584415588</v>
      </c>
      <c r="M6" s="172">
        <f>+'RNs &amp; Covers September 2019'!B10</f>
        <v>125</v>
      </c>
      <c r="N6" s="172">
        <f>+'RNs &amp; Covers September 2019'!C10</f>
        <v>727</v>
      </c>
    </row>
    <row r="7" spans="1:15" ht="14.45" x14ac:dyDescent="0.3">
      <c r="A7" s="158" t="s">
        <v>49</v>
      </c>
      <c r="B7" s="159">
        <f t="shared" si="0"/>
        <v>6</v>
      </c>
      <c r="C7" s="160">
        <v>9</v>
      </c>
      <c r="D7" s="159">
        <v>2019</v>
      </c>
      <c r="E7" s="172">
        <f>'FS Jimbaran September 2019'!P17</f>
        <v>23260.000000000902</v>
      </c>
      <c r="F7" s="170">
        <f>'FS Jimbaran September 2019'!O17/'FS Jimbaran September 2019'!P17</f>
        <v>1131.5206276870115</v>
      </c>
      <c r="G7" s="172">
        <f>'FS Jimbaran September 2019'!AG17</f>
        <v>176.70491999999763</v>
      </c>
      <c r="H7" s="170">
        <f>'FS Jimbaran September 2019'!AH17/'FS Jimbaran September 2019'!AG17</f>
        <v>9312.2512505594095</v>
      </c>
      <c r="I7" s="172">
        <f>'FS Jimbaran September 2019'!AJ17</f>
        <v>530.99000000000524</v>
      </c>
      <c r="J7" s="162">
        <f>'FS Jimbaran September 2019'!AK17/'FS Jimbaran September 2019'!AJ17</f>
        <v>10300</v>
      </c>
      <c r="K7" s="172">
        <f>'FS Jimbaran September 2019'!V17</f>
        <v>814.34999999999991</v>
      </c>
      <c r="L7" s="170">
        <f>'FS Jimbaran September 2019'!AA17/'FS Jimbaran September 2019'!V17</f>
        <v>2956.5132240437165</v>
      </c>
      <c r="M7" s="172">
        <f>+'RNs &amp; Covers September 2019'!B11</f>
        <v>125</v>
      </c>
      <c r="N7" s="172">
        <f>+'RNs &amp; Covers September 2019'!C11</f>
        <v>932</v>
      </c>
    </row>
    <row r="8" spans="1:15" ht="14.45" x14ac:dyDescent="0.3">
      <c r="A8" s="158" t="s">
        <v>49</v>
      </c>
      <c r="B8" s="159">
        <f t="shared" si="0"/>
        <v>7</v>
      </c>
      <c r="C8" s="160">
        <v>9</v>
      </c>
      <c r="D8" s="159">
        <v>2019</v>
      </c>
      <c r="E8" s="172">
        <f>'FS Jimbaran September 2019'!P18</f>
        <v>23619.999999999891</v>
      </c>
      <c r="F8" s="170">
        <f>'FS Jimbaran September 2019'!O18/'FS Jimbaran September 2019'!P18</f>
        <v>1126.9917866215046</v>
      </c>
      <c r="G8" s="172">
        <f>'FS Jimbaran September 2019'!AG18</f>
        <v>393.29340000001173</v>
      </c>
      <c r="H8" s="170">
        <f>'FS Jimbaran September 2019'!AH18/'FS Jimbaran September 2019'!AG18</f>
        <v>10035.132870905003</v>
      </c>
      <c r="I8" s="172">
        <f>'FS Jimbaran September 2019'!AJ18</f>
        <v>533.85999999998603</v>
      </c>
      <c r="J8" s="162">
        <f>'FS Jimbaran September 2019'!AK18/'FS Jimbaran September 2019'!AJ18</f>
        <v>10300</v>
      </c>
      <c r="K8" s="172">
        <f>'FS Jimbaran September 2019'!V18</f>
        <v>843.72</v>
      </c>
      <c r="L8" s="170">
        <f>'FS Jimbaran September 2019'!AA18/'FS Jimbaran September 2019'!V18</f>
        <v>1827.7094725738395</v>
      </c>
      <c r="M8" s="172">
        <f>+'RNs &amp; Covers September 2019'!B12</f>
        <v>116</v>
      </c>
      <c r="N8" s="172">
        <f>+'RNs &amp; Covers September 2019'!C12</f>
        <v>639</v>
      </c>
    </row>
    <row r="9" spans="1:15" ht="14.45" x14ac:dyDescent="0.3">
      <c r="A9" s="158" t="s">
        <v>49</v>
      </c>
      <c r="B9" s="159">
        <f t="shared" si="0"/>
        <v>8</v>
      </c>
      <c r="C9" s="160">
        <v>9</v>
      </c>
      <c r="D9" s="159">
        <v>2019</v>
      </c>
      <c r="E9" s="172">
        <f>'FS Jimbaran September 2019'!P19</f>
        <v>23399.999999999862</v>
      </c>
      <c r="F9" s="170">
        <f>'FS Jimbaran September 2019'!O19/'FS Jimbaran September 2019'!P19</f>
        <v>1128.734615384617</v>
      </c>
      <c r="G9" s="172">
        <f>'FS Jimbaran September 2019'!AG19</f>
        <v>150.00271999996247</v>
      </c>
      <c r="H9" s="170">
        <f>'FS Jimbaran September 2019'!AH19/'FS Jimbaran September 2019'!AG19</f>
        <v>9143.75</v>
      </c>
      <c r="I9" s="172">
        <f>'FS Jimbaran September 2019'!AJ19</f>
        <v>314.09999999999127</v>
      </c>
      <c r="J9" s="162">
        <f>'FS Jimbaran September 2019'!AK19/'FS Jimbaran September 2019'!AJ19</f>
        <v>10300</v>
      </c>
      <c r="K9" s="172">
        <f>'FS Jimbaran September 2019'!V19</f>
        <v>858.85</v>
      </c>
      <c r="L9" s="170">
        <f>'FS Jimbaran September 2019'!AA19/'FS Jimbaran September 2019'!V19</f>
        <v>2068.4188601036271</v>
      </c>
      <c r="M9" s="172">
        <f>+'RNs &amp; Covers September 2019'!B13</f>
        <v>114</v>
      </c>
      <c r="N9" s="172">
        <f>+'RNs &amp; Covers September 2019'!C13</f>
        <v>707</v>
      </c>
      <c r="O9" s="163" t="s">
        <v>46</v>
      </c>
    </row>
    <row r="10" spans="1:15" ht="14.45" x14ac:dyDescent="0.3">
      <c r="A10" s="158" t="s">
        <v>49</v>
      </c>
      <c r="B10" s="159">
        <f t="shared" si="0"/>
        <v>9</v>
      </c>
      <c r="C10" s="160">
        <v>9</v>
      </c>
      <c r="D10" s="159">
        <v>2019</v>
      </c>
      <c r="E10" s="172">
        <f>'FS Jimbaran September 2019'!P20</f>
        <v>23180.000000000065</v>
      </c>
      <c r="F10" s="170">
        <f>'FS Jimbaran September 2019'!O20/'FS Jimbaran September 2019'!P20</f>
        <v>1130.0636842105266</v>
      </c>
      <c r="G10" s="172">
        <f>'FS Jimbaran September 2019'!AG20</f>
        <v>179.51764000001873</v>
      </c>
      <c r="H10" s="170">
        <f>'FS Jimbaran September 2019'!AH20/'FS Jimbaran September 2019'!AG20</f>
        <v>9641.3334129726227</v>
      </c>
      <c r="I10" s="172">
        <f>'FS Jimbaran September 2019'!AJ20</f>
        <v>413</v>
      </c>
      <c r="J10" s="162">
        <f>'FS Jimbaran September 2019'!AK20/'FS Jimbaran September 2019'!AJ20</f>
        <v>10300</v>
      </c>
      <c r="K10" s="172">
        <f>'FS Jimbaran September 2019'!V20</f>
        <v>776.07999999999993</v>
      </c>
      <c r="L10" s="170">
        <f>'FS Jimbaran September 2019'!AA20/'FS Jimbaran September 2019'!V20</f>
        <v>2305.5656422018351</v>
      </c>
      <c r="M10" s="172">
        <f>+'RNs &amp; Covers September 2019'!B14</f>
        <v>115</v>
      </c>
      <c r="N10" s="172">
        <f>+'RNs &amp; Covers September 2019'!C14</f>
        <v>553</v>
      </c>
    </row>
    <row r="11" spans="1:15" ht="14.45" x14ac:dyDescent="0.3">
      <c r="A11" s="158" t="s">
        <v>49</v>
      </c>
      <c r="B11" s="159">
        <f t="shared" si="0"/>
        <v>10</v>
      </c>
      <c r="C11" s="160">
        <v>9</v>
      </c>
      <c r="D11" s="159">
        <v>2019</v>
      </c>
      <c r="E11" s="172">
        <f>'FS Jimbaran September 2019'!P21</f>
        <v>23540.000000001099</v>
      </c>
      <c r="F11" s="170">
        <f>'FS Jimbaran September 2019'!O21/'FS Jimbaran September 2019'!P21</f>
        <v>1129.9418181818132</v>
      </c>
      <c r="G11" s="172">
        <f>'FS Jimbaran September 2019'!AG21</f>
        <v>167.68564000001874</v>
      </c>
      <c r="H11" s="170">
        <f>'FS Jimbaran September 2019'!AH21/'FS Jimbaran September 2019'!AG21</f>
        <v>9143.75</v>
      </c>
      <c r="I11" s="172">
        <f>'FS Jimbaran September 2019'!AJ21</f>
        <v>216.5</v>
      </c>
      <c r="J11" s="162">
        <f>'FS Jimbaran September 2019'!AK21/'FS Jimbaran September 2019'!AJ21</f>
        <v>10300</v>
      </c>
      <c r="K11" s="172">
        <f>'FS Jimbaran September 2019'!V21</f>
        <v>917.59</v>
      </c>
      <c r="L11" s="170">
        <f>'FS Jimbaran September 2019'!AA21/'FS Jimbaran September 2019'!V21</f>
        <v>3655.1516003879733</v>
      </c>
      <c r="M11" s="172">
        <f>+'RNs &amp; Covers September 2019'!B15</f>
        <v>119</v>
      </c>
      <c r="N11" s="172">
        <f>+'RNs &amp; Covers September 2019'!C15</f>
        <v>700</v>
      </c>
    </row>
    <row r="12" spans="1:15" ht="14.45" x14ac:dyDescent="0.3">
      <c r="A12" s="158" t="s">
        <v>49</v>
      </c>
      <c r="B12" s="159">
        <f t="shared" si="0"/>
        <v>11</v>
      </c>
      <c r="C12" s="160">
        <v>9</v>
      </c>
      <c r="D12" s="159">
        <v>2019</v>
      </c>
      <c r="E12" s="172">
        <f>'FS Jimbaran September 2019'!P22</f>
        <v>23479.999999998654</v>
      </c>
      <c r="F12" s="170">
        <f>'FS Jimbaran September 2019'!O22/'FS Jimbaran September 2019'!P22</f>
        <v>1129.7413032368074</v>
      </c>
      <c r="G12" s="172">
        <f>'FS Jimbaran September 2019'!AG22</f>
        <v>180.61551999998591</v>
      </c>
      <c r="H12" s="170">
        <f>'FS Jimbaran September 2019'!AH22/'FS Jimbaran September 2019'!AG22</f>
        <v>9143.75</v>
      </c>
      <c r="I12" s="172">
        <f>'FS Jimbaran September 2019'!AJ22</f>
        <v>987.45000000001164</v>
      </c>
      <c r="J12" s="162">
        <f>'FS Jimbaran September 2019'!AK22/'FS Jimbaran September 2019'!AJ22</f>
        <v>10300</v>
      </c>
      <c r="K12" s="172">
        <f>'FS Jimbaran September 2019'!V22</f>
        <v>845.5</v>
      </c>
      <c r="L12" s="170">
        <f>'FS Jimbaran September 2019'!AA22/'FS Jimbaran September 2019'!V22</f>
        <v>3291.161894736842</v>
      </c>
      <c r="M12" s="172">
        <f>+'RNs &amp; Covers September 2019'!B16</f>
        <v>125</v>
      </c>
      <c r="N12" s="172">
        <f>+'RNs &amp; Covers September 2019'!C16</f>
        <v>656</v>
      </c>
    </row>
    <row r="13" spans="1:15" ht="14.45" x14ac:dyDescent="0.3">
      <c r="A13" s="158" t="s">
        <v>49</v>
      </c>
      <c r="B13" s="159">
        <f t="shared" si="0"/>
        <v>12</v>
      </c>
      <c r="C13" s="160">
        <v>9</v>
      </c>
      <c r="D13" s="159">
        <v>2019</v>
      </c>
      <c r="E13" s="172">
        <f>'FS Jimbaran September 2019'!P23</f>
        <v>23020.000000000437</v>
      </c>
      <c r="F13" s="170">
        <f>'FS Jimbaran September 2019'!O23/'FS Jimbaran September 2019'!P23</f>
        <v>1128.4692615117247</v>
      </c>
      <c r="G13" s="172">
        <f>'FS Jimbaran September 2019'!AG23</f>
        <v>174.81175999999294</v>
      </c>
      <c r="H13" s="170">
        <f>'FS Jimbaran September 2019'!AH23/'FS Jimbaran September 2019'!AG23</f>
        <v>9314.0760695962399</v>
      </c>
      <c r="I13" s="172">
        <f>'FS Jimbaran September 2019'!AJ23</f>
        <v>800.84999999997672</v>
      </c>
      <c r="J13" s="162">
        <f>'FS Jimbaran September 2019'!AK23/'FS Jimbaran September 2019'!AJ23</f>
        <v>10300</v>
      </c>
      <c r="K13" s="172">
        <f>'FS Jimbaran September 2019'!V23</f>
        <v>835.71</v>
      </c>
      <c r="L13" s="170">
        <f>'FS Jimbaran September 2019'!AA23/'FS Jimbaran September 2019'!V23</f>
        <v>3665.930798722045</v>
      </c>
      <c r="M13" s="172">
        <f>+'RNs &amp; Covers September 2019'!B17</f>
        <v>128</v>
      </c>
      <c r="N13" s="172">
        <f>+'RNs &amp; Covers September 2019'!C17</f>
        <v>709</v>
      </c>
    </row>
    <row r="14" spans="1:15" ht="14.45" x14ac:dyDescent="0.3">
      <c r="A14" s="158" t="s">
        <v>49</v>
      </c>
      <c r="B14" s="159">
        <f t="shared" si="0"/>
        <v>13</v>
      </c>
      <c r="C14" s="160">
        <v>9</v>
      </c>
      <c r="D14" s="159">
        <v>2019</v>
      </c>
      <c r="E14" s="172">
        <f>'FS Jimbaran September 2019'!P24</f>
        <v>22800.000000001091</v>
      </c>
      <c r="F14" s="170">
        <f>'FS Jimbaran September 2019'!O24/'FS Jimbaran September 2019'!P24</f>
        <v>1127.5464736842052</v>
      </c>
      <c r="G14" s="172">
        <f>'FS Jimbaran September 2019'!AG24</f>
        <v>169.13227999997889</v>
      </c>
      <c r="H14" s="170">
        <f>'FS Jimbaran September 2019'!AH24/'FS Jimbaran September 2019'!AG24</f>
        <v>9319.7956371782111</v>
      </c>
      <c r="I14" s="172">
        <f>'FS Jimbaran September 2019'!AJ24</f>
        <v>469.82000000000698</v>
      </c>
      <c r="J14" s="162">
        <f>'FS Jimbaran September 2019'!AK24/'FS Jimbaran September 2019'!AJ24</f>
        <v>10300</v>
      </c>
      <c r="K14" s="172">
        <f>'FS Jimbaran September 2019'!V24</f>
        <v>835.71</v>
      </c>
      <c r="L14" s="170">
        <f>'FS Jimbaran September 2019'!AA24/'FS Jimbaran September 2019'!V24</f>
        <v>3943.9575718849842</v>
      </c>
      <c r="M14" s="172">
        <f>+'RNs &amp; Covers September 2019'!B18</f>
        <v>119</v>
      </c>
      <c r="N14" s="172">
        <f>+'RNs &amp; Covers September 2019'!C18</f>
        <v>670</v>
      </c>
    </row>
    <row r="15" spans="1:15" ht="14.45" x14ac:dyDescent="0.3">
      <c r="A15" s="158" t="s">
        <v>49</v>
      </c>
      <c r="B15" s="159">
        <f t="shared" si="0"/>
        <v>14</v>
      </c>
      <c r="C15" s="160">
        <v>9</v>
      </c>
      <c r="D15" s="159">
        <v>2019</v>
      </c>
      <c r="E15" s="172">
        <f>'FS Jimbaran September 2019'!P25</f>
        <v>22739.999999998872</v>
      </c>
      <c r="F15" s="170">
        <f>'FS Jimbaran September 2019'!O25/'FS Jimbaran September 2019'!P25</f>
        <v>1125.9666490765223</v>
      </c>
      <c r="G15" s="172">
        <f>'FS Jimbaran September 2019'!AG25</f>
        <v>469.41080000002341</v>
      </c>
      <c r="H15" s="170">
        <f>'FS Jimbaran September 2019'!AH25/'FS Jimbaran September 2019'!AG25</f>
        <v>10105.434307220836</v>
      </c>
      <c r="I15" s="172">
        <f>'FS Jimbaran September 2019'!AJ25</f>
        <v>529.08000000000175</v>
      </c>
      <c r="J15" s="162">
        <f>'FS Jimbaran September 2019'!AK25/'FS Jimbaran September 2019'!AJ25</f>
        <v>10300</v>
      </c>
      <c r="K15" s="172">
        <f>'FS Jimbaran September 2019'!V25</f>
        <v>818.80000000000007</v>
      </c>
      <c r="L15" s="170">
        <f>'FS Jimbaran September 2019'!AA25/'FS Jimbaran September 2019'!V25</f>
        <v>3135.1797173913037</v>
      </c>
      <c r="M15" s="172">
        <f>+'RNs &amp; Covers September 2019'!B19</f>
        <v>116</v>
      </c>
      <c r="N15" s="172">
        <f>+'RNs &amp; Covers September 2019'!C19</f>
        <v>620</v>
      </c>
    </row>
    <row r="16" spans="1:15" ht="14.45" x14ac:dyDescent="0.3">
      <c r="A16" s="158" t="s">
        <v>49</v>
      </c>
      <c r="B16" s="159">
        <f t="shared" si="0"/>
        <v>15</v>
      </c>
      <c r="C16" s="160">
        <v>9</v>
      </c>
      <c r="D16" s="159">
        <v>2019</v>
      </c>
      <c r="E16" s="172">
        <f>'FS Jimbaran September 2019'!P26</f>
        <v>22400.00000000032</v>
      </c>
      <c r="F16" s="170">
        <f>'FS Jimbaran September 2019'!O26/'FS Jimbaran September 2019'!P26</f>
        <v>1128.2603571428506</v>
      </c>
      <c r="G16" s="172">
        <f>'FS Jimbaran September 2019'!AG26</f>
        <v>164.98</v>
      </c>
      <c r="H16" s="170">
        <f>'FS Jimbaran September 2019'!AH26/'FS Jimbaran September 2019'!AG26</f>
        <v>9504.7028427688219</v>
      </c>
      <c r="I16" s="172">
        <f>'FS Jimbaran September 2019'!AJ26</f>
        <v>538.5</v>
      </c>
      <c r="J16" s="162">
        <f>'FS Jimbaran September 2019'!AK26/'FS Jimbaran September 2019'!AJ26</f>
        <v>10300</v>
      </c>
      <c r="K16" s="172">
        <f>'FS Jimbaran September 2019'!V26</f>
        <v>800.11000000000013</v>
      </c>
      <c r="L16" s="170">
        <f>'FS Jimbaran September 2019'!AA26/'FS Jimbaran September 2019'!V26</f>
        <v>3352.4270300333696</v>
      </c>
      <c r="M16" s="172">
        <f>+'RNs &amp; Covers September 2019'!B20</f>
        <v>105</v>
      </c>
      <c r="N16" s="172">
        <f>+'RNs &amp; Covers September 2019'!C20</f>
        <v>591</v>
      </c>
    </row>
    <row r="17" spans="1:14" ht="14.45" x14ac:dyDescent="0.3">
      <c r="A17" s="158" t="s">
        <v>49</v>
      </c>
      <c r="B17" s="159">
        <f t="shared" si="0"/>
        <v>16</v>
      </c>
      <c r="C17" s="160">
        <v>9</v>
      </c>
      <c r="D17" s="159">
        <v>2019</v>
      </c>
      <c r="E17" s="172">
        <f>'FS Jimbaran September 2019'!P27</f>
        <v>22159.999999999171</v>
      </c>
      <c r="F17" s="170">
        <f>'FS Jimbaran September 2019'!O27/'FS Jimbaran September 2019'!P27</f>
        <v>1130.1967689530766</v>
      </c>
      <c r="G17" s="172">
        <f>'FS Jimbaran September 2019'!AG27</f>
        <v>137.87843999998358</v>
      </c>
      <c r="H17" s="170">
        <f>'FS Jimbaran September 2019'!AH27/'FS Jimbaran September 2019'!AG27</f>
        <v>9143.75</v>
      </c>
      <c r="I17" s="172">
        <f>'FS Jimbaran September 2019'!AJ27</f>
        <v>483.70000000001164</v>
      </c>
      <c r="J17" s="162">
        <f>'FS Jimbaran September 2019'!AK27/'FS Jimbaran September 2019'!AJ27</f>
        <v>10300</v>
      </c>
      <c r="K17" s="172">
        <f>'FS Jimbaran September 2019'!V27</f>
        <v>736.03</v>
      </c>
      <c r="L17" s="170">
        <f>'FS Jimbaran September 2019'!AA27/'FS Jimbaran September 2019'!V27</f>
        <v>2882.5569770253937</v>
      </c>
      <c r="M17" s="172">
        <f>+'RNs &amp; Covers September 2019'!B21</f>
        <v>103</v>
      </c>
      <c r="N17" s="172">
        <f>+'RNs &amp; Covers September 2019'!C21</f>
        <v>596</v>
      </c>
    </row>
    <row r="18" spans="1:14" ht="14.45" x14ac:dyDescent="0.3">
      <c r="A18" s="158" t="s">
        <v>49</v>
      </c>
      <c r="B18" s="159">
        <f t="shared" si="0"/>
        <v>17</v>
      </c>
      <c r="C18" s="160">
        <v>9</v>
      </c>
      <c r="D18" s="159">
        <v>2019</v>
      </c>
      <c r="E18" s="172">
        <f>'FS Jimbaran September 2019'!P28</f>
        <v>23720.000000001848</v>
      </c>
      <c r="F18" s="170">
        <f>'FS Jimbaran September 2019'!O28/'FS Jimbaran September 2019'!P28</f>
        <v>1127.917259696452</v>
      </c>
      <c r="G18" s="172">
        <f>'FS Jimbaran September 2019'!AG28</f>
        <v>159.79075999999296</v>
      </c>
      <c r="H18" s="170">
        <f>'FS Jimbaran September 2019'!AH28/'FS Jimbaran September 2019'!AG28</f>
        <v>9143.75</v>
      </c>
      <c r="I18" s="172">
        <f>'FS Jimbaran September 2019'!AJ28</f>
        <v>382.59999999999127</v>
      </c>
      <c r="J18" s="162">
        <f>'FS Jimbaran September 2019'!AK28/'FS Jimbaran September 2019'!AJ28</f>
        <v>10300</v>
      </c>
      <c r="K18" s="172">
        <f>'FS Jimbaran September 2019'!V28</f>
        <v>879.32</v>
      </c>
      <c r="L18" s="170">
        <f>'FS Jimbaran September 2019'!AA28/'FS Jimbaran September 2019'!V28</f>
        <v>3625.3318218623485</v>
      </c>
      <c r="M18" s="172">
        <f>+'RNs &amp; Covers September 2019'!B22</f>
        <v>104</v>
      </c>
      <c r="N18" s="172">
        <f>+'RNs &amp; Covers September 2019'!C22</f>
        <v>563</v>
      </c>
    </row>
    <row r="19" spans="1:14" ht="14.45" x14ac:dyDescent="0.3">
      <c r="A19" s="158" t="s">
        <v>49</v>
      </c>
      <c r="B19" s="159">
        <f t="shared" si="0"/>
        <v>18</v>
      </c>
      <c r="C19" s="160">
        <v>9</v>
      </c>
      <c r="D19" s="159">
        <v>2019</v>
      </c>
      <c r="E19" s="172">
        <f>'FS Jimbaran September 2019'!P29</f>
        <v>24419.999999998938</v>
      </c>
      <c r="F19" s="170">
        <f>'FS Jimbaran September 2019'!O29/'FS Jimbaran September 2019'!P29</f>
        <v>1129.5176658476666</v>
      </c>
      <c r="G19" s="172">
        <f>'FS Jimbaran September 2019'!AG29</f>
        <v>175.81875999999295</v>
      </c>
      <c r="H19" s="170">
        <f>'FS Jimbaran September 2019'!AH29/'FS Jimbaran September 2019'!AG29</f>
        <v>9313.1005289196728</v>
      </c>
      <c r="I19" s="172">
        <f>'FS Jimbaran September 2019'!AJ29</f>
        <v>536.35000000000582</v>
      </c>
      <c r="J19" s="162">
        <f>'FS Jimbaran September 2019'!AK29/'FS Jimbaran September 2019'!AJ29</f>
        <v>10300</v>
      </c>
      <c r="K19" s="172">
        <f>'FS Jimbaran September 2019'!V29</f>
        <v>814.35000000000014</v>
      </c>
      <c r="L19" s="170">
        <f>'FS Jimbaran September 2019'!AA29/'FS Jimbaran September 2019'!V29</f>
        <v>2729.8259672131139</v>
      </c>
      <c r="M19" s="172">
        <f>+'RNs &amp; Covers September 2019'!B23</f>
        <v>132</v>
      </c>
      <c r="N19" s="172">
        <f>+'RNs &amp; Covers September 2019'!C23</f>
        <v>729</v>
      </c>
    </row>
    <row r="20" spans="1:14" ht="14.45" x14ac:dyDescent="0.3">
      <c r="A20" s="158" t="s">
        <v>49</v>
      </c>
      <c r="B20" s="159">
        <f t="shared" si="0"/>
        <v>19</v>
      </c>
      <c r="C20" s="160">
        <v>9</v>
      </c>
      <c r="D20" s="159">
        <v>2019</v>
      </c>
      <c r="E20" s="172">
        <f>'FS Jimbaran September 2019'!P30</f>
        <v>23719.9999999998</v>
      </c>
      <c r="F20" s="170">
        <f>'FS Jimbaran September 2019'!O30/'FS Jimbaran September 2019'!P30</f>
        <v>1128.353929173699</v>
      </c>
      <c r="G20" s="172">
        <f>'FS Jimbaran September 2019'!AG30</f>
        <v>454.74691999999766</v>
      </c>
      <c r="H20" s="170">
        <f>'FS Jimbaran September 2019'!AH30/'FS Jimbaran September 2019'!AG30</f>
        <v>10176.577226185505</v>
      </c>
      <c r="I20" s="172">
        <f>'FS Jimbaran September 2019'!AJ30</f>
        <v>508.05000000000655</v>
      </c>
      <c r="J20" s="162">
        <f>'FS Jimbaran September 2019'!AK30/'FS Jimbaran September 2019'!AJ30</f>
        <v>10300</v>
      </c>
      <c r="K20" s="172">
        <f>'FS Jimbaran September 2019'!V30</f>
        <v>777.86000000000013</v>
      </c>
      <c r="L20" s="170">
        <f>'FS Jimbaran September 2019'!AA30/'FS Jimbaran September 2019'!V30</f>
        <v>2019.0770251716247</v>
      </c>
      <c r="M20" s="172">
        <f>+'RNs &amp; Covers September 2019'!B24</f>
        <v>137</v>
      </c>
      <c r="N20" s="172">
        <f>+'RNs &amp; Covers September 2019'!C24</f>
        <v>679</v>
      </c>
    </row>
    <row r="21" spans="1:14" x14ac:dyDescent="0.25">
      <c r="A21" s="158" t="s">
        <v>49</v>
      </c>
      <c r="B21" s="159">
        <f t="shared" si="0"/>
        <v>20</v>
      </c>
      <c r="C21" s="160">
        <v>9</v>
      </c>
      <c r="D21" s="159">
        <v>2019</v>
      </c>
      <c r="E21" s="172">
        <f>'FS Jimbaran September 2019'!P31</f>
        <v>23840.000000000829</v>
      </c>
      <c r="F21" s="170">
        <f>'FS Jimbaran September 2019'!O31/'FS Jimbaran September 2019'!P31</f>
        <v>1127.4534815436216</v>
      </c>
      <c r="G21" s="172">
        <f>'FS Jimbaran September 2019'!AG31</f>
        <v>154.43352000004452</v>
      </c>
      <c r="H21" s="170">
        <f>'FS Jimbaran September 2019'!AH31/'FS Jimbaran September 2019'!AG31</f>
        <v>9143.75</v>
      </c>
      <c r="I21" s="172">
        <f>'FS Jimbaran September 2019'!AJ31</f>
        <v>472.83999999999651</v>
      </c>
      <c r="J21" s="162">
        <f>'FS Jimbaran September 2019'!AK31/'FS Jimbaran September 2019'!AJ31</f>
        <v>10300</v>
      </c>
      <c r="K21" s="172">
        <f>'FS Jimbaran September 2019'!V31</f>
        <v>813.45999999999992</v>
      </c>
      <c r="L21" s="170">
        <f>'FS Jimbaran September 2019'!AA31/'FS Jimbaran September 2019'!V31</f>
        <v>1749.8877024070023</v>
      </c>
      <c r="M21" s="172">
        <f>+'RNs &amp; Covers September 2019'!B25</f>
        <v>115</v>
      </c>
      <c r="N21" s="172">
        <f>+'RNs &amp; Covers September 2019'!C25</f>
        <v>756</v>
      </c>
    </row>
    <row r="22" spans="1:14" x14ac:dyDescent="0.25">
      <c r="A22" s="158" t="s">
        <v>49</v>
      </c>
      <c r="B22" s="159">
        <f t="shared" si="0"/>
        <v>21</v>
      </c>
      <c r="C22" s="160">
        <v>9</v>
      </c>
      <c r="D22" s="159">
        <v>2019</v>
      </c>
      <c r="E22" s="172">
        <f>'FS Jimbaran September 2019'!P32</f>
        <v>23979.999999999338</v>
      </c>
      <c r="F22" s="170">
        <f>'FS Jimbaran September 2019'!O32/'FS Jimbaran September 2019'!P32</f>
        <v>1126.0544036697283</v>
      </c>
      <c r="G22" s="172">
        <f>'FS Jimbaran September 2019'!AG32</f>
        <v>148.35124000000701</v>
      </c>
      <c r="H22" s="170">
        <f>'FS Jimbaran September 2019'!AH32/'FS Jimbaran September 2019'!AG32</f>
        <v>9143.75</v>
      </c>
      <c r="I22" s="172">
        <f>'FS Jimbaran September 2019'!AJ32</f>
        <v>442.59999999999127</v>
      </c>
      <c r="J22" s="162">
        <f>'FS Jimbaran September 2019'!AK32/'FS Jimbaran September 2019'!AJ32</f>
        <v>10299.999999999998</v>
      </c>
      <c r="K22" s="172">
        <f>'FS Jimbaran September 2019'!V32</f>
        <v>841.94</v>
      </c>
      <c r="L22" s="170">
        <f>'FS Jimbaran September 2019'!AA32/'FS Jimbaran September 2019'!V32</f>
        <v>3933.9093657505287</v>
      </c>
      <c r="M22" s="172">
        <f>+'RNs &amp; Covers September 2019'!B26</f>
        <v>117</v>
      </c>
      <c r="N22" s="172">
        <f>+'RNs &amp; Covers September 2019'!C26</f>
        <v>652</v>
      </c>
    </row>
    <row r="23" spans="1:14" x14ac:dyDescent="0.25">
      <c r="A23" s="158" t="s">
        <v>49</v>
      </c>
      <c r="B23" s="159">
        <f t="shared" si="0"/>
        <v>22</v>
      </c>
      <c r="C23" s="160">
        <v>9</v>
      </c>
      <c r="D23" s="159">
        <v>2019</v>
      </c>
      <c r="E23" s="172">
        <f>'FS Jimbaran September 2019'!P33</f>
        <v>23359.999999999447</v>
      </c>
      <c r="F23" s="170">
        <f>'FS Jimbaran September 2019'!O33/'FS Jimbaran September 2019'!P33</f>
        <v>1130.2239811643856</v>
      </c>
      <c r="G23" s="172">
        <f>'FS Jimbaran September 2019'!AG33</f>
        <v>161.47908000000234</v>
      </c>
      <c r="H23" s="170">
        <f>'FS Jimbaran September 2019'!AH33/'FS Jimbaran September 2019'!AG33</f>
        <v>9328.1392100450375</v>
      </c>
      <c r="I23" s="172">
        <f>'FS Jimbaran September 2019'!AJ33</f>
        <v>470.70000000001164</v>
      </c>
      <c r="J23" s="162">
        <f>'FS Jimbaran September 2019'!AK33/'FS Jimbaran September 2019'!AJ33</f>
        <v>10300</v>
      </c>
      <c r="K23" s="172">
        <f>'FS Jimbaran September 2019'!V33</f>
        <v>837.49</v>
      </c>
      <c r="L23" s="170">
        <f>'FS Jimbaran September 2019'!AA33/'FS Jimbaran September 2019'!V33</f>
        <v>2293.4924123273113</v>
      </c>
      <c r="M23" s="172">
        <f>+'RNs &amp; Covers September 2019'!B27</f>
        <v>122</v>
      </c>
      <c r="N23" s="172">
        <f>+'RNs &amp; Covers September 2019'!C27</f>
        <v>759</v>
      </c>
    </row>
    <row r="24" spans="1:14" x14ac:dyDescent="0.25">
      <c r="A24" s="158" t="s">
        <v>49</v>
      </c>
      <c r="B24" s="159">
        <f t="shared" si="0"/>
        <v>23</v>
      </c>
      <c r="C24" s="160">
        <v>9</v>
      </c>
      <c r="D24" s="159">
        <v>2019</v>
      </c>
      <c r="E24" s="172">
        <f>'FS Jimbaran September 2019'!P34</f>
        <v>24120.0000000008</v>
      </c>
      <c r="F24" s="170">
        <f>'FS Jimbaran September 2019'!O34/'FS Jimbaran September 2019'!P34</f>
        <v>1130.2541293532229</v>
      </c>
      <c r="G24" s="172">
        <f>'FS Jimbaran September 2019'!AG34</f>
        <v>147.02199999999999</v>
      </c>
      <c r="H24" s="170">
        <f>'FS Jimbaran September 2019'!AH34/'FS Jimbaran September 2019'!AG34</f>
        <v>9143.75</v>
      </c>
      <c r="I24" s="172">
        <f>'FS Jimbaran September 2019'!AJ34</f>
        <v>386</v>
      </c>
      <c r="J24" s="162">
        <f>'FS Jimbaran September 2019'!AK34/'FS Jimbaran September 2019'!AJ34</f>
        <v>10300</v>
      </c>
      <c r="K24" s="172">
        <f>'FS Jimbaran September 2019'!V34</f>
        <v>833.04000000000008</v>
      </c>
      <c r="L24" s="170">
        <f>'FS Jimbaran September 2019'!AA34/'FS Jimbaran September 2019'!V34</f>
        <v>2614.4356837606833</v>
      </c>
      <c r="M24" s="172">
        <f>+'RNs &amp; Covers September 2019'!B28</f>
        <v>120</v>
      </c>
      <c r="N24" s="172">
        <f>+'RNs &amp; Covers September 2019'!C28</f>
        <v>734</v>
      </c>
    </row>
    <row r="25" spans="1:14" x14ac:dyDescent="0.25">
      <c r="A25" s="158" t="s">
        <v>49</v>
      </c>
      <c r="B25" s="159">
        <f t="shared" si="0"/>
        <v>24</v>
      </c>
      <c r="C25" s="160">
        <v>9</v>
      </c>
      <c r="D25" s="159">
        <v>2019</v>
      </c>
      <c r="E25" s="172">
        <f>'FS Jimbaran September 2019'!P35</f>
        <v>24199.999999999818</v>
      </c>
      <c r="F25" s="170">
        <f>'FS Jimbaran September 2019'!O35/'FS Jimbaran September 2019'!P35</f>
        <v>1127.8017768595087</v>
      </c>
      <c r="G25" s="172">
        <f>'FS Jimbaran September 2019'!AG35</f>
        <v>506.89059999998824</v>
      </c>
      <c r="H25" s="170">
        <f>'FS Jimbaran September 2019'!AH35/'FS Jimbaran September 2019'!AG35</f>
        <v>10045.695113995034</v>
      </c>
      <c r="I25" s="172">
        <f>'FS Jimbaran September 2019'!AJ35</f>
        <v>372</v>
      </c>
      <c r="J25" s="162">
        <f>'FS Jimbaran September 2019'!AK35/'FS Jimbaran September 2019'!AJ35</f>
        <v>10300</v>
      </c>
      <c r="K25" s="172">
        <f>'FS Jimbaran September 2019'!V35</f>
        <v>914.03000000000009</v>
      </c>
      <c r="L25" s="170">
        <f>'FS Jimbaran September 2019'!AA35/'FS Jimbaran September 2019'!V35</f>
        <v>2032.9439143135344</v>
      </c>
      <c r="M25" s="172">
        <f>+'RNs &amp; Covers September 2019'!B29</f>
        <v>120</v>
      </c>
      <c r="N25" s="172">
        <f>+'RNs &amp; Covers September 2019'!C29</f>
        <v>682</v>
      </c>
    </row>
    <row r="26" spans="1:14" x14ac:dyDescent="0.25">
      <c r="A26" s="158" t="s">
        <v>49</v>
      </c>
      <c r="B26" s="159">
        <f>B25+1</f>
        <v>25</v>
      </c>
      <c r="C26" s="160">
        <v>9</v>
      </c>
      <c r="D26" s="159">
        <v>2019</v>
      </c>
      <c r="E26" s="172">
        <f>'FS Jimbaran September 2019'!P36</f>
        <v>25060.000000000175</v>
      </c>
      <c r="F26" s="170">
        <f>'FS Jimbaran September 2019'!O36/'FS Jimbaran September 2019'!P36</f>
        <v>1127.9503671189098</v>
      </c>
      <c r="G26" s="172">
        <f>'FS Jimbaran September 2019'!AG36</f>
        <v>222.20411999997418</v>
      </c>
      <c r="H26" s="170">
        <f>'FS Jimbaran September 2019'!AH36/'FS Jimbaran September 2019'!AG36</f>
        <v>9947.7404930656594</v>
      </c>
      <c r="I26" s="172">
        <f>'FS Jimbaran September 2019'!AJ36</f>
        <v>564.79999999998836</v>
      </c>
      <c r="J26" s="162">
        <f>'FS Jimbaran September 2019'!AK36/'FS Jimbaran September 2019'!AJ36</f>
        <v>10300</v>
      </c>
      <c r="K26" s="172">
        <f>'FS Jimbaran September 2019'!V36</f>
        <v>879.31999999999994</v>
      </c>
      <c r="L26" s="170">
        <f>'FS Jimbaran September 2019'!AA36/'FS Jimbaran September 2019'!V36</f>
        <v>1422.754028340081</v>
      </c>
      <c r="M26" s="172">
        <f>+'RNs &amp; Covers September 2019'!B30</f>
        <v>127</v>
      </c>
      <c r="N26" s="172">
        <f>+'RNs &amp; Covers September 2019'!C30</f>
        <v>580</v>
      </c>
    </row>
    <row r="27" spans="1:14" x14ac:dyDescent="0.25">
      <c r="A27" s="158" t="s">
        <v>49</v>
      </c>
      <c r="B27" s="159">
        <f t="shared" si="0"/>
        <v>26</v>
      </c>
      <c r="C27" s="160">
        <v>9</v>
      </c>
      <c r="D27" s="159">
        <v>2019</v>
      </c>
      <c r="E27" s="172">
        <f>'FS Jimbaran September 2019'!P37</f>
        <v>24960.00000000072</v>
      </c>
      <c r="F27" s="170">
        <f>'FS Jimbaran September 2019'!O37/'FS Jimbaran September 2019'!P37</f>
        <v>1127.0747115384654</v>
      </c>
      <c r="G27" s="172">
        <f>'FS Jimbaran September 2019'!AG37</f>
        <v>163.77504000003046</v>
      </c>
      <c r="H27" s="170">
        <f>'FS Jimbaran September 2019'!AH37/'FS Jimbaran September 2019'!AG37</f>
        <v>9325.5542602828518</v>
      </c>
      <c r="I27" s="172">
        <f>'FS Jimbaran September 2019'!AJ37</f>
        <v>13244.540000000023</v>
      </c>
      <c r="J27" s="162">
        <f>'FS Jimbaran September 2019'!AK37/'FS Jimbaran September 2019'!AJ37</f>
        <v>10300</v>
      </c>
      <c r="K27" s="172">
        <f>'FS Jimbaran September 2019'!V37</f>
        <v>849.95</v>
      </c>
      <c r="L27" s="170">
        <f>'FS Jimbaran September 2019'!AA37/'FS Jimbaran September 2019'!V37</f>
        <v>2482.1312670157067</v>
      </c>
      <c r="M27" s="172">
        <f>+'RNs &amp; Covers September 2019'!B31</f>
        <v>130</v>
      </c>
      <c r="N27" s="172">
        <f>+'RNs &amp; Covers September 2019'!C31</f>
        <v>709</v>
      </c>
    </row>
    <row r="28" spans="1:14" x14ac:dyDescent="0.25">
      <c r="A28" s="158" t="s">
        <v>49</v>
      </c>
      <c r="B28" s="159">
        <f t="shared" si="0"/>
        <v>27</v>
      </c>
      <c r="C28" s="160">
        <v>9</v>
      </c>
      <c r="D28" s="159">
        <v>2019</v>
      </c>
      <c r="E28" s="172">
        <f>'FS Jimbaran September 2019'!P38</f>
        <v>24779.999999999745</v>
      </c>
      <c r="F28" s="170">
        <f>'FS Jimbaran September 2019'!O38/'FS Jimbaran September 2019'!P38</f>
        <v>1128.9918401937064</v>
      </c>
      <c r="G28" s="172">
        <f>'FS Jimbaran September 2019'!AG38</f>
        <v>163.13055999995777</v>
      </c>
      <c r="H28" s="170">
        <f>'FS Jimbaran September 2019'!AH38/'FS Jimbaran September 2019'!AG38</f>
        <v>9326.2725144816995</v>
      </c>
      <c r="I28" s="172">
        <f>'FS Jimbaran September 2019'!AJ38</f>
        <v>502.86000000000058</v>
      </c>
      <c r="J28" s="162">
        <f>'FS Jimbaran September 2019'!AK38/'FS Jimbaran September 2019'!AJ38</f>
        <v>10300</v>
      </c>
      <c r="K28" s="172">
        <f>'FS Jimbaran September 2019'!V38</f>
        <v>834.82</v>
      </c>
      <c r="L28" s="170">
        <f>'FS Jimbaran September 2019'!AA38/'FS Jimbaran September 2019'!V38</f>
        <v>2493.6307036247331</v>
      </c>
      <c r="M28" s="172">
        <f>+'RNs &amp; Covers September 2019'!B32</f>
        <v>128</v>
      </c>
      <c r="N28" s="172">
        <f>+'RNs &amp; Covers September 2019'!C32</f>
        <v>775</v>
      </c>
    </row>
    <row r="29" spans="1:14" x14ac:dyDescent="0.25">
      <c r="A29" s="158" t="s">
        <v>49</v>
      </c>
      <c r="B29" s="159">
        <f t="shared" si="0"/>
        <v>28</v>
      </c>
      <c r="C29" s="160">
        <v>9</v>
      </c>
      <c r="D29" s="159">
        <v>2019</v>
      </c>
      <c r="E29" s="172">
        <f>'FS Jimbaran September 2019'!P39</f>
        <v>25839.999999998552</v>
      </c>
      <c r="F29" s="170">
        <f>'FS Jimbaran September 2019'!O39/'FS Jimbaran September 2019'!P39</f>
        <v>1125.5689783281744</v>
      </c>
      <c r="G29" s="172">
        <f>'FS Jimbaran September 2019'!AG39</f>
        <v>208.43868000004923</v>
      </c>
      <c r="H29" s="170">
        <f>'FS Jimbaran September 2019'!AH39/'FS Jimbaran September 2019'!AG39</f>
        <v>9572.2933010801025</v>
      </c>
      <c r="I29" s="172">
        <f>'FS Jimbaran September 2019'!AJ39</f>
        <v>487</v>
      </c>
      <c r="J29" s="162">
        <f>'FS Jimbaran September 2019'!AK39/'FS Jimbaran September 2019'!AJ39</f>
        <v>10300</v>
      </c>
      <c r="K29" s="172">
        <f>'FS Jimbaran September 2019'!V39</f>
        <v>890.89</v>
      </c>
      <c r="L29" s="170">
        <f>'FS Jimbaran September 2019'!AA39/'FS Jimbaran September 2019'!V39</f>
        <v>2433.3731868131867</v>
      </c>
      <c r="M29" s="172">
        <f>+'RNs &amp; Covers September 2019'!B33</f>
        <v>137</v>
      </c>
      <c r="N29" s="172">
        <f>+'RNs &amp; Covers September 2019'!C33</f>
        <v>907</v>
      </c>
    </row>
    <row r="30" spans="1:14" x14ac:dyDescent="0.25">
      <c r="A30" s="158" t="s">
        <v>49</v>
      </c>
      <c r="B30" s="159">
        <f t="shared" si="0"/>
        <v>29</v>
      </c>
      <c r="C30" s="160">
        <v>9</v>
      </c>
      <c r="D30" s="159">
        <v>2019</v>
      </c>
      <c r="E30" s="172">
        <f>'FS Jimbaran September 2019'!P40</f>
        <v>24780.00000000088</v>
      </c>
      <c r="F30" s="170">
        <f>'FS Jimbaran September 2019'!O40/'FS Jimbaran September 2019'!P40</f>
        <v>1131.4997820823244</v>
      </c>
      <c r="G30" s="172">
        <f>'FS Jimbaran September 2019'!AG40</f>
        <v>158.13583999999528</v>
      </c>
      <c r="H30" s="170">
        <f>'FS Jimbaran September 2019'!AH40/'FS Jimbaran September 2019'!AG40</f>
        <v>9332.0374875170673</v>
      </c>
      <c r="I30" s="172">
        <f>'FS Jimbaran September 2019'!AJ40</f>
        <v>426.69999999999709</v>
      </c>
      <c r="J30" s="162">
        <f>'FS Jimbaran September 2019'!AK40/'FS Jimbaran September 2019'!AJ40</f>
        <v>10300</v>
      </c>
      <c r="K30" s="172">
        <f>'FS Jimbaran September 2019'!V40</f>
        <v>892.67000000000007</v>
      </c>
      <c r="L30" s="170">
        <f>'FS Jimbaran September 2019'!AA40/'FS Jimbaran September 2019'!V40</f>
        <v>2306.0642073778663</v>
      </c>
      <c r="M30" s="172">
        <f>+'RNs &amp; Covers September 2019'!B34</f>
        <v>129</v>
      </c>
      <c r="N30" s="172">
        <f>+'RNs &amp; Covers September 2019'!C34</f>
        <v>882</v>
      </c>
    </row>
    <row r="31" spans="1:14" x14ac:dyDescent="0.25">
      <c r="A31" s="158" t="s">
        <v>49</v>
      </c>
      <c r="B31" s="159">
        <f t="shared" si="0"/>
        <v>30</v>
      </c>
      <c r="C31" s="160">
        <v>9</v>
      </c>
      <c r="D31" s="159">
        <v>2019</v>
      </c>
      <c r="E31" s="172">
        <f>'FS Jimbaran September 2019'!P41</f>
        <v>24640.000000001011</v>
      </c>
      <c r="F31" s="170">
        <f>'FS Jimbaran September 2019'!O41/'FS Jimbaran September 2019'!P41</f>
        <v>1128.6807224025902</v>
      </c>
      <c r="G31" s="172">
        <f>'FS Jimbaran September 2019'!AG41</f>
        <v>133.44763999996013</v>
      </c>
      <c r="H31" s="170">
        <f>'FS Jimbaran September 2019'!AH41/'FS Jimbaran September 2019'!AG41</f>
        <v>9143.75</v>
      </c>
      <c r="I31" s="172">
        <f>'FS Jimbaran September 2019'!AJ41</f>
        <v>426</v>
      </c>
      <c r="J31" s="162">
        <f>'FS Jimbaran September 2019'!AK41/'FS Jimbaran September 2019'!AJ41</f>
        <v>10300</v>
      </c>
      <c r="K31" s="172">
        <f>'FS Jimbaran September 2019'!V41</f>
        <v>873.98</v>
      </c>
      <c r="L31" s="170">
        <f>'FS Jimbaran September 2019'!AA41/'FS Jimbaran September 2019'!V41</f>
        <v>1656.9593279022404</v>
      </c>
      <c r="M31" s="172">
        <f>+'RNs &amp; Covers September 2019'!B35</f>
        <v>127</v>
      </c>
      <c r="N31" s="172">
        <f>+'RNs &amp; Covers September 2019'!C35</f>
        <v>836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Q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0.5703125" style="4" customWidth="1"/>
    <col min="4" max="4" width="10.57031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3"/>
      <c r="X5" s="174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26" t="s">
        <v>54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8"/>
      <c r="AM7" s="32"/>
    </row>
    <row r="8" spans="1:39" s="8" customFormat="1" ht="15.75" customHeight="1" thickBot="1" x14ac:dyDescent="0.3">
      <c r="A8" s="28"/>
      <c r="B8" s="229" t="s">
        <v>1</v>
      </c>
      <c r="C8" s="232" t="s">
        <v>2</v>
      </c>
      <c r="D8" s="235" t="s">
        <v>3</v>
      </c>
      <c r="E8" s="238" t="s">
        <v>34</v>
      </c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9"/>
      <c r="V8" s="240" t="s">
        <v>19</v>
      </c>
      <c r="W8" s="241"/>
      <c r="X8" s="241"/>
      <c r="Y8" s="241"/>
      <c r="Z8" s="241"/>
      <c r="AA8" s="241"/>
      <c r="AB8" s="242"/>
      <c r="AC8" s="243" t="s">
        <v>24</v>
      </c>
      <c r="AD8" s="243"/>
      <c r="AE8" s="243"/>
      <c r="AF8" s="243"/>
      <c r="AG8" s="243"/>
      <c r="AH8" s="243"/>
      <c r="AI8" s="243"/>
      <c r="AJ8" s="243"/>
      <c r="AK8" s="243"/>
      <c r="AL8" s="244"/>
      <c r="AM8" s="30"/>
    </row>
    <row r="9" spans="1:39" ht="15" customHeight="1" thickBot="1" x14ac:dyDescent="0.3">
      <c r="A9" s="31"/>
      <c r="B9" s="230"/>
      <c r="C9" s="233"/>
      <c r="D9" s="236"/>
      <c r="E9" s="245" t="s">
        <v>33</v>
      </c>
      <c r="F9" s="246"/>
      <c r="G9" s="246"/>
      <c r="H9" s="246"/>
      <c r="I9" s="247"/>
      <c r="J9" s="248" t="s">
        <v>5</v>
      </c>
      <c r="K9" s="248"/>
      <c r="L9" s="248"/>
      <c r="M9" s="248"/>
      <c r="N9" s="249"/>
      <c r="O9" s="235" t="s">
        <v>12</v>
      </c>
      <c r="P9" s="250" t="s">
        <v>32</v>
      </c>
      <c r="Q9" s="252" t="s">
        <v>52</v>
      </c>
      <c r="R9" s="257" t="s">
        <v>21</v>
      </c>
      <c r="S9" s="259" t="s">
        <v>13</v>
      </c>
      <c r="T9" s="222" t="s">
        <v>18</v>
      </c>
      <c r="U9" s="223"/>
      <c r="V9" s="53"/>
      <c r="W9" s="53" t="s">
        <v>4</v>
      </c>
      <c r="X9" s="53"/>
      <c r="Y9" s="54"/>
      <c r="Z9" s="177"/>
      <c r="AA9" s="224" t="s">
        <v>27</v>
      </c>
      <c r="AB9" s="225"/>
      <c r="AC9" s="243" t="s">
        <v>22</v>
      </c>
      <c r="AD9" s="243"/>
      <c r="AE9" s="243"/>
      <c r="AF9" s="243"/>
      <c r="AG9" s="243"/>
      <c r="AH9" s="243"/>
      <c r="AI9" s="244"/>
      <c r="AJ9" s="254" t="s">
        <v>20</v>
      </c>
      <c r="AK9" s="255"/>
      <c r="AL9" s="256"/>
      <c r="AM9" s="31"/>
    </row>
    <row r="10" spans="1:39" ht="61.5" customHeight="1" thickBot="1" x14ac:dyDescent="0.3">
      <c r="A10" s="29"/>
      <c r="B10" s="231"/>
      <c r="C10" s="234"/>
      <c r="D10" s="237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37"/>
      <c r="P10" s="251"/>
      <c r="Q10" s="253"/>
      <c r="R10" s="258"/>
      <c r="S10" s="260"/>
      <c r="T10" s="178" t="s">
        <v>16</v>
      </c>
      <c r="U10" s="24" t="s">
        <v>17</v>
      </c>
      <c r="V10" s="179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0"/>
      <c r="E11" s="181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2"/>
      <c r="R11" s="113"/>
      <c r="S11" s="183"/>
      <c r="T11" s="183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220">
        <v>48</v>
      </c>
      <c r="D12" s="221">
        <v>374</v>
      </c>
      <c r="E12" s="106">
        <v>15479.999999999563</v>
      </c>
      <c r="F12" s="3">
        <v>16033874.399999548</v>
      </c>
      <c r="G12" s="37">
        <v>3120.0000000001182</v>
      </c>
      <c r="H12" s="3">
        <v>4847450.4000001838</v>
      </c>
      <c r="I12" s="103">
        <f>F12+H12</f>
        <v>20881324.799999733</v>
      </c>
      <c r="J12" s="106">
        <v>2079.9999999999272</v>
      </c>
      <c r="K12" s="3">
        <v>2154422.3999999245</v>
      </c>
      <c r="L12" s="184">
        <v>519.99999999998181</v>
      </c>
      <c r="M12" s="185">
        <v>807908.39999997173</v>
      </c>
      <c r="N12" s="94">
        <f>+K12+M12</f>
        <v>2962330.7999998964</v>
      </c>
      <c r="O12" s="108">
        <f>N12+I12</f>
        <v>23843655.599999629</v>
      </c>
      <c r="P12" s="111">
        <f>L12+J12+G12+E12</f>
        <v>21199.999999999593</v>
      </c>
      <c r="Q12" s="135"/>
      <c r="R12" s="199"/>
      <c r="S12" s="213"/>
      <c r="T12" s="210"/>
      <c r="U12" s="208">
        <v>0</v>
      </c>
      <c r="V12" s="186">
        <f>Y12+W12</f>
        <v>772.52</v>
      </c>
      <c r="W12" s="3">
        <v>72.98</v>
      </c>
      <c r="X12" s="3">
        <v>1311487.0900000001</v>
      </c>
      <c r="Y12" s="33">
        <v>699.54</v>
      </c>
      <c r="Z12" s="33">
        <v>226692.61200000002</v>
      </c>
      <c r="AA12" s="33">
        <f t="shared" ref="AA12:AA39" si="0">Z12+X12</f>
        <v>1538179.702</v>
      </c>
      <c r="AB12" s="128">
        <f t="shared" ref="AB12:AB41" si="1">AA12/$AL$47</f>
        <v>118.53953710247077</v>
      </c>
      <c r="AC12" s="134">
        <v>136.75060000004689</v>
      </c>
      <c r="AD12" s="3">
        <v>0</v>
      </c>
      <c r="AE12" s="3">
        <v>350</v>
      </c>
      <c r="AF12" s="3">
        <v>12</v>
      </c>
      <c r="AG12" s="3">
        <f>AC12+AD12+AE12+AF12</f>
        <v>498.75060000004692</v>
      </c>
      <c r="AH12" s="3">
        <v>8704913.2987504285</v>
      </c>
      <c r="AI12" s="43">
        <f t="shared" ref="AI12:AI41" si="2">AH12/$AL$47</f>
        <v>670.8425495469304</v>
      </c>
      <c r="AJ12" s="142">
        <v>438.95999999999185</v>
      </c>
      <c r="AK12" s="3">
        <v>4521287.9999999162</v>
      </c>
      <c r="AL12" s="39">
        <f t="shared" ref="AL12:AL41" si="3">AK12/$AL$47</f>
        <v>348.43223189727536</v>
      </c>
      <c r="AM12" s="7"/>
    </row>
    <row r="13" spans="1:39" x14ac:dyDescent="0.25">
      <c r="A13" s="35"/>
      <c r="B13" s="58">
        <v>2</v>
      </c>
      <c r="C13" s="220">
        <v>62</v>
      </c>
      <c r="D13" s="221">
        <v>430</v>
      </c>
      <c r="E13" s="106">
        <v>15280.000000000655</v>
      </c>
      <c r="F13" s="3">
        <v>15826718.400000678</v>
      </c>
      <c r="G13" s="37">
        <v>3359.9999999999</v>
      </c>
      <c r="H13" s="3">
        <v>5220331.1999998447</v>
      </c>
      <c r="I13" s="103">
        <f t="shared" ref="I13:I41" si="4">F13+H13</f>
        <v>21047049.600000523</v>
      </c>
      <c r="J13" s="106">
        <v>2020.0000000004366</v>
      </c>
      <c r="K13" s="3">
        <v>2092275.600000452</v>
      </c>
      <c r="L13" s="184">
        <v>500</v>
      </c>
      <c r="M13" s="185">
        <v>776835</v>
      </c>
      <c r="N13" s="94">
        <f t="shared" ref="N13:N41" si="5">+K13+M13</f>
        <v>2869110.6000004523</v>
      </c>
      <c r="O13" s="108">
        <f t="shared" ref="O13:O39" si="6">N13+I13</f>
        <v>23916160.200000975</v>
      </c>
      <c r="P13" s="111">
        <f t="shared" ref="P13:P39" si="7">L13+J13+G13+E13</f>
        <v>21160.00000000099</v>
      </c>
      <c r="Q13" s="189"/>
      <c r="R13" s="200"/>
      <c r="S13" s="213"/>
      <c r="T13" s="210"/>
      <c r="U13" s="208">
        <v>0</v>
      </c>
      <c r="V13" s="186">
        <f t="shared" ref="V13:V41" si="8">Y13+W13</f>
        <v>823.25</v>
      </c>
      <c r="W13" s="3">
        <v>12.46</v>
      </c>
      <c r="X13" s="3">
        <v>223912.43000000002</v>
      </c>
      <c r="Y13" s="33">
        <v>810.79</v>
      </c>
      <c r="Z13" s="33">
        <v>139793.77740000002</v>
      </c>
      <c r="AA13" s="33">
        <f t="shared" si="0"/>
        <v>363706.20740000007</v>
      </c>
      <c r="AB13" s="128">
        <f t="shared" si="1"/>
        <v>28.028952280694728</v>
      </c>
      <c r="AC13" s="134">
        <v>140.53691999999765</v>
      </c>
      <c r="AD13" s="3">
        <v>0</v>
      </c>
      <c r="AE13" s="3">
        <v>0</v>
      </c>
      <c r="AF13" s="3">
        <v>132</v>
      </c>
      <c r="AG13" s="3">
        <f t="shared" ref="AG13:AG41" si="9">AC13+AD13+AE13+AF13</f>
        <v>272.53691999999762</v>
      </c>
      <c r="AH13" s="3">
        <v>2819534.4622499784</v>
      </c>
      <c r="AI13" s="43">
        <f t="shared" si="2"/>
        <v>217.28690709219637</v>
      </c>
      <c r="AJ13" s="142">
        <v>388.83999999999651</v>
      </c>
      <c r="AK13" s="3">
        <v>4005051.9999999641</v>
      </c>
      <c r="AL13" s="39">
        <f t="shared" si="3"/>
        <v>308.64859907722314</v>
      </c>
      <c r="AM13" s="7"/>
    </row>
    <row r="14" spans="1:39" x14ac:dyDescent="0.25">
      <c r="A14" s="35"/>
      <c r="B14" s="58">
        <v>3</v>
      </c>
      <c r="C14" s="220">
        <v>72</v>
      </c>
      <c r="D14" s="221">
        <v>401</v>
      </c>
      <c r="E14" s="106">
        <v>16519.999999998618</v>
      </c>
      <c r="F14" s="3">
        <v>17111085.599998567</v>
      </c>
      <c r="G14" s="37">
        <v>3359.9999999999</v>
      </c>
      <c r="H14" s="3">
        <v>5220331.1999998447</v>
      </c>
      <c r="I14" s="103">
        <f t="shared" si="4"/>
        <v>22331416.79999841</v>
      </c>
      <c r="J14" s="106">
        <v>1979.9999999995634</v>
      </c>
      <c r="K14" s="3">
        <v>2050844.3999995477</v>
      </c>
      <c r="L14" s="184">
        <v>460.00000000003638</v>
      </c>
      <c r="M14" s="185">
        <v>714688.20000005653</v>
      </c>
      <c r="N14" s="94">
        <f t="shared" si="5"/>
        <v>2765532.5999996043</v>
      </c>
      <c r="O14" s="108">
        <f t="shared" si="6"/>
        <v>25096949.399998013</v>
      </c>
      <c r="P14" s="111">
        <f t="shared" si="7"/>
        <v>22319.999999998116</v>
      </c>
      <c r="Q14" s="189"/>
      <c r="R14" s="200"/>
      <c r="S14" s="213"/>
      <c r="T14" s="210"/>
      <c r="U14" s="208">
        <v>0</v>
      </c>
      <c r="V14" s="186">
        <f t="shared" si="8"/>
        <v>808.12</v>
      </c>
      <c r="W14" s="3">
        <v>71.2</v>
      </c>
      <c r="X14" s="3">
        <v>1279499.6000000001</v>
      </c>
      <c r="Y14" s="33">
        <v>736.92</v>
      </c>
      <c r="Z14" s="33">
        <v>536505.84840000002</v>
      </c>
      <c r="AA14" s="33">
        <f t="shared" si="0"/>
        <v>1816005.4484000001</v>
      </c>
      <c r="AB14" s="128">
        <f t="shared" si="1"/>
        <v>139.95012738043587</v>
      </c>
      <c r="AC14" s="134">
        <v>141.62447999995544</v>
      </c>
      <c r="AD14" s="3">
        <v>0</v>
      </c>
      <c r="AE14" s="3">
        <v>0</v>
      </c>
      <c r="AF14" s="3">
        <v>0</v>
      </c>
      <c r="AG14" s="3">
        <f t="shared" si="9"/>
        <v>141.62447999995544</v>
      </c>
      <c r="AH14" s="3">
        <v>1294978.8389995925</v>
      </c>
      <c r="AI14" s="43">
        <f t="shared" si="2"/>
        <v>99.797307124071466</v>
      </c>
      <c r="AJ14" s="142">
        <v>526.10000000000582</v>
      </c>
      <c r="AK14" s="3">
        <v>5418830.0000000596</v>
      </c>
      <c r="AL14" s="39">
        <f t="shared" si="3"/>
        <v>417.60114179233187</v>
      </c>
      <c r="AM14" s="7"/>
    </row>
    <row r="15" spans="1:39" x14ac:dyDescent="0.25">
      <c r="A15" s="35"/>
      <c r="B15" s="58">
        <v>4</v>
      </c>
      <c r="C15" s="220">
        <v>81</v>
      </c>
      <c r="D15" s="221">
        <v>968</v>
      </c>
      <c r="E15" s="106">
        <v>16320.000000001528</v>
      </c>
      <c r="F15" s="3">
        <v>16903929.600001581</v>
      </c>
      <c r="G15" s="37">
        <v>3520.0000000002092</v>
      </c>
      <c r="H15" s="3">
        <v>5468918.4000003254</v>
      </c>
      <c r="I15" s="103">
        <f t="shared" si="4"/>
        <v>22372848.000001907</v>
      </c>
      <c r="J15" s="106">
        <v>1760.0000000002183</v>
      </c>
      <c r="K15" s="3">
        <v>1822972.8000002261</v>
      </c>
      <c r="L15" s="184">
        <v>460.00000000003638</v>
      </c>
      <c r="M15" s="185">
        <v>714688.20000005653</v>
      </c>
      <c r="N15" s="94">
        <f t="shared" si="5"/>
        <v>2537661.0000002827</v>
      </c>
      <c r="O15" s="108">
        <f t="shared" si="6"/>
        <v>24910509.00000219</v>
      </c>
      <c r="P15" s="111">
        <f t="shared" si="7"/>
        <v>22060.000000001994</v>
      </c>
      <c r="Q15" s="189"/>
      <c r="R15" s="200"/>
      <c r="S15" s="213"/>
      <c r="T15" s="210"/>
      <c r="U15" s="208">
        <v>0</v>
      </c>
      <c r="V15" s="186">
        <f t="shared" si="8"/>
        <v>791.20999999999992</v>
      </c>
      <c r="W15" s="3">
        <v>91.67</v>
      </c>
      <c r="X15" s="3">
        <v>1647355.7350000001</v>
      </c>
      <c r="Y15" s="33">
        <v>699.54</v>
      </c>
      <c r="Z15" s="33">
        <v>105789.88560000001</v>
      </c>
      <c r="AA15" s="33">
        <f t="shared" si="0"/>
        <v>1753145.6206</v>
      </c>
      <c r="AB15" s="128">
        <f t="shared" si="1"/>
        <v>135.10584626031417</v>
      </c>
      <c r="AC15" s="134">
        <v>0</v>
      </c>
      <c r="AD15" s="3">
        <v>0</v>
      </c>
      <c r="AE15" s="3">
        <v>0</v>
      </c>
      <c r="AF15" s="3">
        <v>24</v>
      </c>
      <c r="AG15" s="3">
        <f t="shared" si="9"/>
        <v>24</v>
      </c>
      <c r="AH15" s="3">
        <v>279000</v>
      </c>
      <c r="AI15" s="43">
        <f t="shared" si="2"/>
        <v>21.501083916649776</v>
      </c>
      <c r="AJ15" s="142">
        <v>530.39999999999418</v>
      </c>
      <c r="AK15" s="3">
        <v>5463119.9999999404</v>
      </c>
      <c r="AL15" s="39">
        <f t="shared" si="3"/>
        <v>421.01434253306968</v>
      </c>
      <c r="AM15" s="7"/>
    </row>
    <row r="16" spans="1:39" x14ac:dyDescent="0.25">
      <c r="A16" s="35"/>
      <c r="B16" s="58">
        <v>5</v>
      </c>
      <c r="C16" s="220">
        <v>125</v>
      </c>
      <c r="D16" s="221">
        <v>727</v>
      </c>
      <c r="E16" s="106">
        <v>16759.999999998399</v>
      </c>
      <c r="F16" s="3">
        <v>17359672.799998343</v>
      </c>
      <c r="G16" s="37">
        <v>3759.9999999999909</v>
      </c>
      <c r="H16" s="3">
        <v>5841799.1999999862</v>
      </c>
      <c r="I16" s="103">
        <f t="shared" si="4"/>
        <v>23201471.999998331</v>
      </c>
      <c r="J16" s="106">
        <v>1819.999999999709</v>
      </c>
      <c r="K16" s="3">
        <v>1885119.5999996986</v>
      </c>
      <c r="L16" s="184">
        <v>480.00000000001819</v>
      </c>
      <c r="M16" s="185">
        <v>745761.60000002827</v>
      </c>
      <c r="N16" s="94">
        <f t="shared" si="5"/>
        <v>2630881.1999997268</v>
      </c>
      <c r="O16" s="108">
        <f t="shared" si="6"/>
        <v>25832353.199998058</v>
      </c>
      <c r="P16" s="111">
        <f t="shared" si="7"/>
        <v>22819.999999998116</v>
      </c>
      <c r="Q16" s="189"/>
      <c r="R16" s="200"/>
      <c r="S16" s="213"/>
      <c r="T16" s="210"/>
      <c r="U16" s="208">
        <v>0</v>
      </c>
      <c r="V16" s="186">
        <f t="shared" si="8"/>
        <v>822.3599999999999</v>
      </c>
      <c r="W16" s="3">
        <v>114.81</v>
      </c>
      <c r="X16" s="3">
        <v>2063193.105</v>
      </c>
      <c r="Y16" s="33">
        <v>707.55</v>
      </c>
      <c r="Z16" s="33">
        <v>11334.6306</v>
      </c>
      <c r="AA16" s="33">
        <f t="shared" si="0"/>
        <v>2074527.7356</v>
      </c>
      <c r="AB16" s="128">
        <f t="shared" si="1"/>
        <v>159.8731001095091</v>
      </c>
      <c r="AC16" s="134">
        <v>162.40896000002812</v>
      </c>
      <c r="AD16" s="3">
        <v>0</v>
      </c>
      <c r="AE16" s="3">
        <v>200</v>
      </c>
      <c r="AF16" s="3">
        <v>12</v>
      </c>
      <c r="AG16" s="3">
        <f t="shared" si="9"/>
        <v>374.40896000002812</v>
      </c>
      <c r="AH16" s="3">
        <v>3714526.9280002574</v>
      </c>
      <c r="AI16" s="43">
        <f t="shared" si="2"/>
        <v>286.25933759709261</v>
      </c>
      <c r="AJ16" s="142">
        <v>708.35000000000582</v>
      </c>
      <c r="AK16" s="3">
        <v>7296005.0000000596</v>
      </c>
      <c r="AL16" s="39">
        <f t="shared" si="3"/>
        <v>562.2652894670166</v>
      </c>
      <c r="AM16" s="7"/>
    </row>
    <row r="17" spans="1:39" x14ac:dyDescent="0.25">
      <c r="A17" s="35"/>
      <c r="B17" s="58">
        <v>6</v>
      </c>
      <c r="C17" s="220">
        <v>125</v>
      </c>
      <c r="D17" s="221">
        <v>932</v>
      </c>
      <c r="E17" s="106">
        <v>16960.000000000946</v>
      </c>
      <c r="F17" s="3">
        <v>17566828.80000098</v>
      </c>
      <c r="G17" s="37">
        <v>3799.9999999999545</v>
      </c>
      <c r="H17" s="3">
        <v>5903945.9999999292</v>
      </c>
      <c r="I17" s="103">
        <f t="shared" si="4"/>
        <v>23470774.80000091</v>
      </c>
      <c r="J17" s="106">
        <v>2000</v>
      </c>
      <c r="K17" s="3">
        <v>2071560</v>
      </c>
      <c r="L17" s="184">
        <v>500</v>
      </c>
      <c r="M17" s="185">
        <v>776835</v>
      </c>
      <c r="N17" s="94">
        <f t="shared" si="5"/>
        <v>2848395</v>
      </c>
      <c r="O17" s="108">
        <f t="shared" si="6"/>
        <v>26319169.80000091</v>
      </c>
      <c r="P17" s="111">
        <f t="shared" si="7"/>
        <v>23260.000000000902</v>
      </c>
      <c r="Q17" s="189"/>
      <c r="R17" s="200"/>
      <c r="S17" s="213"/>
      <c r="T17" s="210"/>
      <c r="U17" s="208">
        <v>0</v>
      </c>
      <c r="V17" s="186">
        <f t="shared" si="8"/>
        <v>814.34999999999991</v>
      </c>
      <c r="W17" s="3">
        <v>119.26</v>
      </c>
      <c r="X17" s="3">
        <v>2143161.83</v>
      </c>
      <c r="Y17" s="33">
        <v>695.08999999999992</v>
      </c>
      <c r="Z17" s="33">
        <v>264474.71400000004</v>
      </c>
      <c r="AA17" s="33">
        <f t="shared" si="0"/>
        <v>2407636.5440000002</v>
      </c>
      <c r="AB17" s="128">
        <f t="shared" si="1"/>
        <v>185.54406943848264</v>
      </c>
      <c r="AC17" s="134">
        <v>164.70491999999763</v>
      </c>
      <c r="AD17" s="3">
        <v>0</v>
      </c>
      <c r="AE17" s="3">
        <v>0</v>
      </c>
      <c r="AF17" s="3">
        <v>12</v>
      </c>
      <c r="AG17" s="3">
        <f t="shared" si="9"/>
        <v>176.70491999999763</v>
      </c>
      <c r="AH17" s="3">
        <v>1645520.6122499784</v>
      </c>
      <c r="AI17" s="43">
        <f t="shared" si="2"/>
        <v>126.81174469736094</v>
      </c>
      <c r="AJ17" s="142">
        <v>530.99000000000524</v>
      </c>
      <c r="AK17" s="3">
        <v>5469197.000000054</v>
      </c>
      <c r="AL17" s="39">
        <f t="shared" si="3"/>
        <v>421.48266542541353</v>
      </c>
      <c r="AM17" s="7"/>
    </row>
    <row r="18" spans="1:39" x14ac:dyDescent="0.25">
      <c r="A18" s="35"/>
      <c r="B18" s="58">
        <v>7</v>
      </c>
      <c r="C18" s="220">
        <v>116</v>
      </c>
      <c r="D18" s="221">
        <v>639</v>
      </c>
      <c r="E18" s="106">
        <v>17399.999999999636</v>
      </c>
      <c r="F18" s="3">
        <v>18022571.999999624</v>
      </c>
      <c r="G18" s="37">
        <v>3639.9999999998727</v>
      </c>
      <c r="H18" s="3">
        <v>5655358.7999998024</v>
      </c>
      <c r="I18" s="103">
        <f t="shared" si="4"/>
        <v>23677930.799999427</v>
      </c>
      <c r="J18" s="106">
        <v>2060.0000000004002</v>
      </c>
      <c r="K18" s="3">
        <v>2133706.8000004143</v>
      </c>
      <c r="L18" s="184">
        <v>519.99999999998181</v>
      </c>
      <c r="M18" s="185">
        <v>807908.39999997173</v>
      </c>
      <c r="N18" s="94">
        <f t="shared" si="5"/>
        <v>2941615.2000003858</v>
      </c>
      <c r="O18" s="108">
        <f t="shared" si="6"/>
        <v>26619545.999999814</v>
      </c>
      <c r="P18" s="111">
        <f t="shared" si="7"/>
        <v>23619.999999999891</v>
      </c>
      <c r="Q18" s="189"/>
      <c r="R18" s="200"/>
      <c r="S18" s="213"/>
      <c r="T18" s="210"/>
      <c r="U18" s="208">
        <v>0</v>
      </c>
      <c r="V18" s="186">
        <f t="shared" si="8"/>
        <v>843.72</v>
      </c>
      <c r="W18" s="3">
        <v>84.55</v>
      </c>
      <c r="X18" s="3">
        <v>1519405.7749999999</v>
      </c>
      <c r="Y18" s="33">
        <v>759.17000000000007</v>
      </c>
      <c r="Z18" s="33">
        <v>22669.261200000001</v>
      </c>
      <c r="AA18" s="33">
        <f t="shared" si="0"/>
        <v>1542075.0362</v>
      </c>
      <c r="AB18" s="128">
        <f t="shared" si="1"/>
        <v>118.83973031937971</v>
      </c>
      <c r="AC18" s="134">
        <v>157.2934000000117</v>
      </c>
      <c r="AD18" s="3">
        <v>0</v>
      </c>
      <c r="AE18" s="3">
        <v>200</v>
      </c>
      <c r="AF18" s="3">
        <v>36</v>
      </c>
      <c r="AG18" s="3">
        <f t="shared" si="9"/>
        <v>393.29340000001173</v>
      </c>
      <c r="AH18" s="3">
        <v>3946751.5262501072</v>
      </c>
      <c r="AI18" s="43">
        <f t="shared" si="2"/>
        <v>304.15568374218327</v>
      </c>
      <c r="AJ18" s="142">
        <v>533.85999999998603</v>
      </c>
      <c r="AK18" s="3">
        <v>5498757.9999998566</v>
      </c>
      <c r="AL18" s="39">
        <f t="shared" si="3"/>
        <v>423.7607784779434</v>
      </c>
      <c r="AM18" s="7"/>
    </row>
    <row r="19" spans="1:39" x14ac:dyDescent="0.25">
      <c r="A19" s="35"/>
      <c r="B19" s="58">
        <v>8</v>
      </c>
      <c r="C19" s="220">
        <v>114</v>
      </c>
      <c r="D19" s="221">
        <v>707</v>
      </c>
      <c r="E19" s="106">
        <v>17159.999999999854</v>
      </c>
      <c r="F19" s="3">
        <v>17773984.799999848</v>
      </c>
      <c r="G19" s="37">
        <v>3720.0000000000273</v>
      </c>
      <c r="H19" s="3">
        <v>5779652.4000000423</v>
      </c>
      <c r="I19" s="103">
        <f t="shared" si="4"/>
        <v>23553637.199999891</v>
      </c>
      <c r="J19" s="106">
        <v>2039.9999999999636</v>
      </c>
      <c r="K19" s="3">
        <v>2112991.1999999625</v>
      </c>
      <c r="L19" s="184">
        <v>480.00000000001819</v>
      </c>
      <c r="M19" s="185">
        <v>745761.60000002827</v>
      </c>
      <c r="N19" s="94">
        <f t="shared" si="5"/>
        <v>2858752.7999999905</v>
      </c>
      <c r="O19" s="108">
        <f t="shared" si="6"/>
        <v>26412389.999999881</v>
      </c>
      <c r="P19" s="111">
        <f t="shared" si="7"/>
        <v>23399.999999999862</v>
      </c>
      <c r="Q19" s="189"/>
      <c r="R19" s="200"/>
      <c r="S19" s="213"/>
      <c r="T19" s="210"/>
      <c r="U19" s="208">
        <v>0</v>
      </c>
      <c r="V19" s="186">
        <f t="shared" si="8"/>
        <v>858.85</v>
      </c>
      <c r="W19" s="3">
        <v>69.42</v>
      </c>
      <c r="X19" s="3">
        <v>1247512.1100000001</v>
      </c>
      <c r="Y19" s="33">
        <v>789.43000000000006</v>
      </c>
      <c r="Z19" s="33">
        <v>528949.42800000007</v>
      </c>
      <c r="AA19" s="33">
        <f t="shared" si="0"/>
        <v>1776461.5380000002</v>
      </c>
      <c r="AB19" s="128">
        <f t="shared" si="1"/>
        <v>136.90268316573022</v>
      </c>
      <c r="AC19" s="134">
        <v>150.00271999996247</v>
      </c>
      <c r="AD19" s="3">
        <v>0</v>
      </c>
      <c r="AE19" s="3">
        <v>0</v>
      </c>
      <c r="AF19" s="3">
        <v>0</v>
      </c>
      <c r="AG19" s="3">
        <f t="shared" si="9"/>
        <v>150.00271999996247</v>
      </c>
      <c r="AH19" s="3">
        <v>1371587.3709996569</v>
      </c>
      <c r="AI19" s="43">
        <f t="shared" si="2"/>
        <v>105.70112961605976</v>
      </c>
      <c r="AJ19" s="142">
        <v>314.09999999999127</v>
      </c>
      <c r="AK19" s="3">
        <v>3235229.9999999101</v>
      </c>
      <c r="AL19" s="39">
        <f t="shared" si="3"/>
        <v>249.32240759735097</v>
      </c>
      <c r="AM19" s="7"/>
    </row>
    <row r="20" spans="1:39" x14ac:dyDescent="0.25">
      <c r="A20" s="35"/>
      <c r="B20" s="58">
        <v>9</v>
      </c>
      <c r="C20" s="220">
        <v>115</v>
      </c>
      <c r="D20" s="221">
        <v>553</v>
      </c>
      <c r="E20" s="106">
        <v>17000</v>
      </c>
      <c r="F20" s="3">
        <v>17608260</v>
      </c>
      <c r="G20" s="37">
        <v>3759.9999999999909</v>
      </c>
      <c r="H20" s="3">
        <v>5841799.1999999862</v>
      </c>
      <c r="I20" s="103">
        <f t="shared" si="4"/>
        <v>23450059.199999988</v>
      </c>
      <c r="J20" s="106">
        <v>1960.0000000000364</v>
      </c>
      <c r="K20" s="3">
        <v>2030128.8000000375</v>
      </c>
      <c r="L20" s="184">
        <v>460.00000000003638</v>
      </c>
      <c r="M20" s="185">
        <v>714688.20000005653</v>
      </c>
      <c r="N20" s="94">
        <f t="shared" si="5"/>
        <v>2744817.0000000941</v>
      </c>
      <c r="O20" s="108">
        <f t="shared" si="6"/>
        <v>26194876.200000081</v>
      </c>
      <c r="P20" s="111">
        <f t="shared" si="7"/>
        <v>23180.000000000065</v>
      </c>
      <c r="Q20" s="189"/>
      <c r="R20" s="200"/>
      <c r="S20" s="213"/>
      <c r="T20" s="210"/>
      <c r="U20" s="208">
        <v>0</v>
      </c>
      <c r="V20" s="186">
        <f t="shared" si="8"/>
        <v>776.07999999999993</v>
      </c>
      <c r="W20" s="3">
        <v>74.760000000000005</v>
      </c>
      <c r="X20" s="3">
        <v>1343474.58</v>
      </c>
      <c r="Y20" s="33">
        <v>701.31999999999994</v>
      </c>
      <c r="Z20" s="33">
        <v>445828.80359999998</v>
      </c>
      <c r="AA20" s="33">
        <f t="shared" si="0"/>
        <v>1789303.3836000001</v>
      </c>
      <c r="AB20" s="128">
        <f t="shared" si="1"/>
        <v>137.8923376456236</v>
      </c>
      <c r="AC20" s="134">
        <v>143.51764000001873</v>
      </c>
      <c r="AD20" s="3">
        <v>0</v>
      </c>
      <c r="AE20" s="3">
        <v>0</v>
      </c>
      <c r="AF20" s="3">
        <v>36</v>
      </c>
      <c r="AG20" s="3">
        <f t="shared" si="9"/>
        <v>179.51764000001873</v>
      </c>
      <c r="AH20" s="3">
        <v>1730789.4207501712</v>
      </c>
      <c r="AI20" s="43">
        <f t="shared" si="2"/>
        <v>133.38296981218312</v>
      </c>
      <c r="AJ20" s="142">
        <v>413</v>
      </c>
      <c r="AK20" s="3">
        <v>4253900</v>
      </c>
      <c r="AL20" s="39">
        <f t="shared" si="3"/>
        <v>327.82602463453935</v>
      </c>
      <c r="AM20" s="7"/>
    </row>
    <row r="21" spans="1:39" x14ac:dyDescent="0.25">
      <c r="A21" s="35"/>
      <c r="B21" s="58">
        <v>10</v>
      </c>
      <c r="C21" s="220">
        <v>119</v>
      </c>
      <c r="D21" s="221">
        <v>700</v>
      </c>
      <c r="E21" s="106">
        <v>17280.000000000655</v>
      </c>
      <c r="F21" s="3">
        <v>17898278.400000677</v>
      </c>
      <c r="G21" s="37">
        <v>3799.9999999999545</v>
      </c>
      <c r="H21" s="3">
        <v>5903945.9999999292</v>
      </c>
      <c r="I21" s="103">
        <f t="shared" si="4"/>
        <v>23802224.400000606</v>
      </c>
      <c r="J21" s="106">
        <v>1980.0000000004729</v>
      </c>
      <c r="K21" s="3">
        <v>2050844.4000004898</v>
      </c>
      <c r="L21" s="184">
        <v>480.00000000001819</v>
      </c>
      <c r="M21" s="185">
        <v>745761.60000002827</v>
      </c>
      <c r="N21" s="94">
        <f t="shared" si="5"/>
        <v>2796606.0000005178</v>
      </c>
      <c r="O21" s="108">
        <f t="shared" si="6"/>
        <v>26598830.400001124</v>
      </c>
      <c r="P21" s="111">
        <f t="shared" si="7"/>
        <v>23540.000000001099</v>
      </c>
      <c r="Q21" s="189"/>
      <c r="R21" s="200"/>
      <c r="S21" s="213"/>
      <c r="T21" s="210"/>
      <c r="U21" s="208">
        <v>0</v>
      </c>
      <c r="V21" s="186">
        <f t="shared" si="8"/>
        <v>917.59</v>
      </c>
      <c r="W21" s="3">
        <v>147.74</v>
      </c>
      <c r="X21" s="3">
        <v>2654961.6700000004</v>
      </c>
      <c r="Y21" s="33">
        <v>769.85</v>
      </c>
      <c r="Z21" s="33">
        <v>698968.8870000001</v>
      </c>
      <c r="AA21" s="33">
        <f t="shared" si="0"/>
        <v>3353930.5570000005</v>
      </c>
      <c r="AB21" s="128">
        <f t="shared" si="1"/>
        <v>258.47004428915034</v>
      </c>
      <c r="AC21" s="134">
        <v>167.68564000001874</v>
      </c>
      <c r="AD21" s="3">
        <v>0</v>
      </c>
      <c r="AE21" s="3">
        <v>0</v>
      </c>
      <c r="AF21" s="3">
        <v>0</v>
      </c>
      <c r="AG21" s="3">
        <f t="shared" si="9"/>
        <v>167.68564000001874</v>
      </c>
      <c r="AH21" s="3">
        <v>1533275.5707501713</v>
      </c>
      <c r="AI21" s="43">
        <f t="shared" si="2"/>
        <v>118.16160112562191</v>
      </c>
      <c r="AJ21" s="142">
        <v>216.5</v>
      </c>
      <c r="AK21" s="3">
        <v>2229950</v>
      </c>
      <c r="AL21" s="39">
        <f t="shared" si="3"/>
        <v>171.85068845854181</v>
      </c>
      <c r="AM21" s="7"/>
    </row>
    <row r="22" spans="1:39" x14ac:dyDescent="0.25">
      <c r="A22" s="35"/>
      <c r="B22" s="58">
        <v>11</v>
      </c>
      <c r="C22" s="220">
        <v>125</v>
      </c>
      <c r="D22" s="221">
        <v>656</v>
      </c>
      <c r="E22" s="106">
        <v>17199.999999998909</v>
      </c>
      <c r="F22" s="3">
        <v>17815415.999998868</v>
      </c>
      <c r="G22" s="37">
        <v>3760.0000000002183</v>
      </c>
      <c r="H22" s="3">
        <v>5841799.2000003392</v>
      </c>
      <c r="I22" s="103">
        <f t="shared" si="4"/>
        <v>23657215.199999206</v>
      </c>
      <c r="J22" s="106">
        <v>2019.9999999995271</v>
      </c>
      <c r="K22" s="3">
        <v>2092275.59999951</v>
      </c>
      <c r="L22" s="184">
        <v>500</v>
      </c>
      <c r="M22" s="185">
        <v>776835</v>
      </c>
      <c r="N22" s="94">
        <f t="shared" si="5"/>
        <v>2869110.5999995098</v>
      </c>
      <c r="O22" s="108">
        <f t="shared" si="6"/>
        <v>26526325.799998716</v>
      </c>
      <c r="P22" s="111">
        <f t="shared" si="7"/>
        <v>23479.999999998654</v>
      </c>
      <c r="Q22" s="189"/>
      <c r="R22" s="200"/>
      <c r="S22" s="213"/>
      <c r="T22" s="210"/>
      <c r="U22" s="208">
        <v>0</v>
      </c>
      <c r="V22" s="186">
        <f t="shared" si="8"/>
        <v>845.5</v>
      </c>
      <c r="W22" s="3">
        <v>131.72</v>
      </c>
      <c r="X22" s="3">
        <v>2367074.2599999998</v>
      </c>
      <c r="Y22" s="33">
        <v>713.78</v>
      </c>
      <c r="Z22" s="33">
        <v>415603.12200000003</v>
      </c>
      <c r="AA22" s="33">
        <f t="shared" si="0"/>
        <v>2782677.3819999998</v>
      </c>
      <c r="AB22" s="128">
        <f t="shared" si="1"/>
        <v>214.44652295105843</v>
      </c>
      <c r="AC22" s="134">
        <v>180.61551999998591</v>
      </c>
      <c r="AD22" s="3">
        <v>0</v>
      </c>
      <c r="AE22" s="3">
        <v>0</v>
      </c>
      <c r="AF22" s="3">
        <v>0</v>
      </c>
      <c r="AG22" s="3">
        <f t="shared" si="9"/>
        <v>180.61551999998591</v>
      </c>
      <c r="AH22" s="3">
        <v>1651503.1609998711</v>
      </c>
      <c r="AI22" s="43">
        <f t="shared" si="2"/>
        <v>127.27278872139998</v>
      </c>
      <c r="AJ22" s="142">
        <v>987.45000000001164</v>
      </c>
      <c r="AK22" s="3">
        <v>10170735.000000119</v>
      </c>
      <c r="AL22" s="39">
        <f t="shared" si="3"/>
        <v>783.80583056992657</v>
      </c>
      <c r="AM22" s="7"/>
    </row>
    <row r="23" spans="1:39" x14ac:dyDescent="0.25">
      <c r="A23" s="35"/>
      <c r="B23" s="58">
        <v>12</v>
      </c>
      <c r="C23" s="220">
        <v>128</v>
      </c>
      <c r="D23" s="221">
        <v>709</v>
      </c>
      <c r="E23" s="106">
        <v>16760.000000000218</v>
      </c>
      <c r="F23" s="3">
        <v>17359672.800000224</v>
      </c>
      <c r="G23" s="37">
        <v>3639.9999999998727</v>
      </c>
      <c r="H23" s="3">
        <v>5655358.7999998024</v>
      </c>
      <c r="I23" s="103">
        <f t="shared" si="4"/>
        <v>23015031.600000028</v>
      </c>
      <c r="J23" s="106">
        <v>2140.0000000003274</v>
      </c>
      <c r="K23" s="3">
        <v>2216569.2000003392</v>
      </c>
      <c r="L23" s="184">
        <v>480.00000000001819</v>
      </c>
      <c r="M23" s="185">
        <v>745761.60000002827</v>
      </c>
      <c r="N23" s="94">
        <f t="shared" si="5"/>
        <v>2962330.8000003677</v>
      </c>
      <c r="O23" s="108">
        <f t="shared" si="6"/>
        <v>25977362.400000393</v>
      </c>
      <c r="P23" s="111">
        <f t="shared" si="7"/>
        <v>23020.000000000437</v>
      </c>
      <c r="Q23" s="189"/>
      <c r="R23" s="200"/>
      <c r="S23" s="213"/>
      <c r="T23" s="210"/>
      <c r="U23" s="208">
        <v>0</v>
      </c>
      <c r="V23" s="186">
        <f t="shared" si="8"/>
        <v>835.71</v>
      </c>
      <c r="W23" s="3">
        <v>125.49</v>
      </c>
      <c r="X23" s="3">
        <v>2255118.0449999999</v>
      </c>
      <c r="Y23" s="33">
        <v>710.22</v>
      </c>
      <c r="Z23" s="33">
        <v>808536.98280000011</v>
      </c>
      <c r="AA23" s="33">
        <f t="shared" si="0"/>
        <v>3063655.0278000003</v>
      </c>
      <c r="AB23" s="128">
        <f t="shared" si="1"/>
        <v>236.10001377918928</v>
      </c>
      <c r="AC23" s="134">
        <v>162.81175999999294</v>
      </c>
      <c r="AD23" s="3">
        <v>0</v>
      </c>
      <c r="AE23" s="3">
        <v>0</v>
      </c>
      <c r="AF23" s="3">
        <v>12</v>
      </c>
      <c r="AG23" s="3">
        <f t="shared" si="9"/>
        <v>174.81175999999294</v>
      </c>
      <c r="AH23" s="3">
        <v>1628210.0304999354</v>
      </c>
      <c r="AI23" s="43">
        <f t="shared" si="2"/>
        <v>125.47770788426524</v>
      </c>
      <c r="AJ23" s="142">
        <v>800.84999999997672</v>
      </c>
      <c r="AK23" s="3">
        <v>8248754.9999997597</v>
      </c>
      <c r="AL23" s="39">
        <f t="shared" si="3"/>
        <v>635.68879377376084</v>
      </c>
      <c r="AM23" s="7"/>
    </row>
    <row r="24" spans="1:39" x14ac:dyDescent="0.25">
      <c r="A24" s="35"/>
      <c r="B24" s="58">
        <v>13</v>
      </c>
      <c r="C24" s="220">
        <v>119</v>
      </c>
      <c r="D24" s="221">
        <v>670</v>
      </c>
      <c r="E24" s="106">
        <v>16720.000000001164</v>
      </c>
      <c r="F24" s="3">
        <v>17318241.600001205</v>
      </c>
      <c r="G24" s="37">
        <v>3559.9999999999454</v>
      </c>
      <c r="H24" s="3">
        <v>5531065.1999999154</v>
      </c>
      <c r="I24" s="103">
        <f t="shared" si="4"/>
        <v>22849306.800001122</v>
      </c>
      <c r="J24" s="106">
        <v>2039.9999999999636</v>
      </c>
      <c r="K24" s="3">
        <v>2112991.1999999625</v>
      </c>
      <c r="L24" s="184">
        <v>480.00000000001819</v>
      </c>
      <c r="M24" s="185">
        <v>745761.60000002827</v>
      </c>
      <c r="N24" s="94">
        <f t="shared" si="5"/>
        <v>2858752.7999999905</v>
      </c>
      <c r="O24" s="108">
        <f t="shared" si="6"/>
        <v>25708059.600001112</v>
      </c>
      <c r="P24" s="111">
        <f t="shared" si="7"/>
        <v>22800.000000001091</v>
      </c>
      <c r="Q24" s="189"/>
      <c r="R24" s="200"/>
      <c r="S24" s="213"/>
      <c r="T24" s="210"/>
      <c r="U24" s="208">
        <v>0</v>
      </c>
      <c r="V24" s="186">
        <f>Y24+W24</f>
        <v>835.71</v>
      </c>
      <c r="W24" s="3">
        <v>138.84</v>
      </c>
      <c r="X24" s="3">
        <v>2495024.2200000002</v>
      </c>
      <c r="Y24" s="33">
        <v>696.87</v>
      </c>
      <c r="Z24" s="33">
        <v>800980.56240000005</v>
      </c>
      <c r="AA24" s="33">
        <f t="shared" si="0"/>
        <v>3296004.7824000004</v>
      </c>
      <c r="AB24" s="128">
        <f t="shared" si="1"/>
        <v>254.00600507548887</v>
      </c>
      <c r="AC24" s="134">
        <v>157.13227999997889</v>
      </c>
      <c r="AD24" s="3">
        <v>0</v>
      </c>
      <c r="AE24" s="3">
        <v>0</v>
      </c>
      <c r="AF24" s="3">
        <v>12</v>
      </c>
      <c r="AG24" s="3">
        <f t="shared" si="9"/>
        <v>169.13227999997889</v>
      </c>
      <c r="AH24" s="3">
        <v>1576278.2852498069</v>
      </c>
      <c r="AI24" s="43">
        <f t="shared" si="2"/>
        <v>121.47559744497818</v>
      </c>
      <c r="AJ24" s="142">
        <v>469.82000000000698</v>
      </c>
      <c r="AK24" s="3">
        <v>4839146.0000000717</v>
      </c>
      <c r="AL24" s="39">
        <f t="shared" si="3"/>
        <v>372.92790046925319</v>
      </c>
      <c r="AM24" s="7"/>
    </row>
    <row r="25" spans="1:39" x14ac:dyDescent="0.25">
      <c r="A25" s="35"/>
      <c r="B25" s="58">
        <v>14</v>
      </c>
      <c r="C25" s="220">
        <v>116</v>
      </c>
      <c r="D25" s="221">
        <v>620</v>
      </c>
      <c r="E25" s="106">
        <v>16719.999999999345</v>
      </c>
      <c r="F25" s="3">
        <v>17318241.59999932</v>
      </c>
      <c r="G25" s="37">
        <v>3480.0000000000182</v>
      </c>
      <c r="H25" s="3">
        <v>5406771.6000000285</v>
      </c>
      <c r="I25" s="103">
        <f t="shared" si="4"/>
        <v>22725013.199999347</v>
      </c>
      <c r="J25" s="106">
        <v>2059.9999999994907</v>
      </c>
      <c r="K25" s="3">
        <v>2133706.7999994722</v>
      </c>
      <c r="L25" s="184">
        <v>480.00000000001819</v>
      </c>
      <c r="M25" s="185">
        <v>745761.60000002827</v>
      </c>
      <c r="N25" s="94">
        <f t="shared" si="5"/>
        <v>2879468.3999995003</v>
      </c>
      <c r="O25" s="108">
        <f t="shared" si="6"/>
        <v>25604481.599998847</v>
      </c>
      <c r="P25" s="111">
        <f t="shared" si="7"/>
        <v>22739.999999998872</v>
      </c>
      <c r="Q25" s="189"/>
      <c r="R25" s="200"/>
      <c r="S25" s="213"/>
      <c r="T25" s="210"/>
      <c r="U25" s="208">
        <v>0</v>
      </c>
      <c r="V25" s="186">
        <f t="shared" si="8"/>
        <v>818.80000000000007</v>
      </c>
      <c r="W25" s="3">
        <v>108.58</v>
      </c>
      <c r="X25" s="3">
        <v>1951236.89</v>
      </c>
      <c r="Y25" s="33">
        <v>710.22</v>
      </c>
      <c r="Z25" s="33">
        <v>615848.26260000002</v>
      </c>
      <c r="AA25" s="33">
        <f t="shared" si="0"/>
        <v>2567085.1525999997</v>
      </c>
      <c r="AB25" s="128">
        <f t="shared" si="1"/>
        <v>197.83194726608707</v>
      </c>
      <c r="AC25" s="134">
        <v>145.41080000002344</v>
      </c>
      <c r="AD25" s="3">
        <v>0</v>
      </c>
      <c r="AE25" s="3">
        <v>300</v>
      </c>
      <c r="AF25" s="3">
        <v>24</v>
      </c>
      <c r="AG25" s="3">
        <f t="shared" si="9"/>
        <v>469.41080000002341</v>
      </c>
      <c r="AH25" s="3">
        <v>4743600.0025002146</v>
      </c>
      <c r="AI25" s="43">
        <f t="shared" si="2"/>
        <v>365.56466566586812</v>
      </c>
      <c r="AJ25" s="142">
        <v>529.08000000000175</v>
      </c>
      <c r="AK25" s="3">
        <v>5449524.0000000177</v>
      </c>
      <c r="AL25" s="39">
        <f t="shared" si="3"/>
        <v>419.96656928242771</v>
      </c>
      <c r="AM25" s="7"/>
    </row>
    <row r="26" spans="1:39" x14ac:dyDescent="0.25">
      <c r="A26" s="35"/>
      <c r="B26" s="58">
        <v>15</v>
      </c>
      <c r="C26" s="220">
        <v>105</v>
      </c>
      <c r="D26" s="221">
        <v>591</v>
      </c>
      <c r="E26" s="106">
        <v>16440.000000000509</v>
      </c>
      <c r="F26" s="3">
        <v>17028223.200000528</v>
      </c>
      <c r="G26" s="37">
        <v>3559.9999999999454</v>
      </c>
      <c r="H26" s="3">
        <v>5531065.1999999154</v>
      </c>
      <c r="I26" s="103">
        <f t="shared" si="4"/>
        <v>22559288.400000446</v>
      </c>
      <c r="J26" s="106">
        <v>1960.0000000000364</v>
      </c>
      <c r="K26" s="3">
        <v>2030128.8000000375</v>
      </c>
      <c r="L26" s="184">
        <v>439.9999999998272</v>
      </c>
      <c r="M26" s="185">
        <v>683614.79999973159</v>
      </c>
      <c r="N26" s="94">
        <f t="shared" si="5"/>
        <v>2713743.5999997691</v>
      </c>
      <c r="O26" s="108">
        <f t="shared" si="6"/>
        <v>25273032.000000216</v>
      </c>
      <c r="P26" s="111">
        <f t="shared" si="7"/>
        <v>22400.00000000032</v>
      </c>
      <c r="Q26" s="189"/>
      <c r="R26" s="200"/>
      <c r="S26" s="213"/>
      <c r="T26" s="210"/>
      <c r="U26" s="208">
        <v>0</v>
      </c>
      <c r="V26" s="186">
        <f t="shared" si="8"/>
        <v>800.11000000000013</v>
      </c>
      <c r="W26" s="3">
        <v>121.93</v>
      </c>
      <c r="X26" s="3">
        <v>2191143.0649999999</v>
      </c>
      <c r="Y26" s="33">
        <v>678.18000000000006</v>
      </c>
      <c r="Z26" s="33">
        <v>491167.32600000006</v>
      </c>
      <c r="AA26" s="33">
        <f t="shared" si="0"/>
        <v>2682310.3909999998</v>
      </c>
      <c r="AB26" s="128">
        <f t="shared" si="1"/>
        <v>206.71175916628198</v>
      </c>
      <c r="AC26" s="134">
        <v>140.97999999999999</v>
      </c>
      <c r="AD26" s="3">
        <v>0</v>
      </c>
      <c r="AE26" s="3">
        <v>0</v>
      </c>
      <c r="AF26" s="3">
        <v>24</v>
      </c>
      <c r="AG26" s="3">
        <f t="shared" si="9"/>
        <v>164.98</v>
      </c>
      <c r="AH26" s="3">
        <v>1568085.875</v>
      </c>
      <c r="AI26" s="43">
        <f t="shared" si="2"/>
        <v>120.84425084906162</v>
      </c>
      <c r="AJ26" s="142">
        <v>538.5</v>
      </c>
      <c r="AK26" s="3">
        <v>5546550</v>
      </c>
      <c r="AL26" s="39">
        <f t="shared" si="3"/>
        <v>427.44386020750471</v>
      </c>
      <c r="AM26" s="7"/>
    </row>
    <row r="27" spans="1:39" x14ac:dyDescent="0.25">
      <c r="A27" s="35"/>
      <c r="B27" s="58">
        <v>16</v>
      </c>
      <c r="C27" s="220">
        <v>103</v>
      </c>
      <c r="D27" s="221">
        <v>596</v>
      </c>
      <c r="E27" s="106">
        <v>16199.999999998909</v>
      </c>
      <c r="F27" s="3">
        <v>16779635.999998868</v>
      </c>
      <c r="G27" s="37">
        <v>3560.0000000001728</v>
      </c>
      <c r="H27" s="3">
        <v>5531065.2000002684</v>
      </c>
      <c r="I27" s="103">
        <f t="shared" si="4"/>
        <v>22310701.199999135</v>
      </c>
      <c r="J27" s="106">
        <v>1920.0000000000728</v>
      </c>
      <c r="K27" s="3">
        <v>1988697.6000000753</v>
      </c>
      <c r="L27" s="184">
        <v>480.00000000001819</v>
      </c>
      <c r="M27" s="185">
        <v>745761.60000002827</v>
      </c>
      <c r="N27" s="94">
        <f t="shared" si="5"/>
        <v>2734459.2000001036</v>
      </c>
      <c r="O27" s="108">
        <f t="shared" si="6"/>
        <v>25045160.399999239</v>
      </c>
      <c r="P27" s="111">
        <f t="shared" si="7"/>
        <v>22159.999999999171</v>
      </c>
      <c r="Q27" s="189"/>
      <c r="R27" s="200"/>
      <c r="S27" s="213"/>
      <c r="T27" s="210"/>
      <c r="U27" s="208">
        <v>0</v>
      </c>
      <c r="V27" s="186">
        <f t="shared" si="8"/>
        <v>736.03</v>
      </c>
      <c r="W27" s="3">
        <v>89.89</v>
      </c>
      <c r="X27" s="3">
        <v>1615368.2450000001</v>
      </c>
      <c r="Y27" s="33">
        <v>646.14</v>
      </c>
      <c r="Z27" s="33">
        <v>506280.16680000006</v>
      </c>
      <c r="AA27" s="33">
        <f t="shared" si="0"/>
        <v>2121648.4118000004</v>
      </c>
      <c r="AB27" s="128">
        <f t="shared" si="1"/>
        <v>163.50444639332807</v>
      </c>
      <c r="AC27" s="134">
        <v>137.87843999998358</v>
      </c>
      <c r="AD27" s="3">
        <v>0</v>
      </c>
      <c r="AE27" s="3">
        <v>0</v>
      </c>
      <c r="AF27" s="3">
        <v>0</v>
      </c>
      <c r="AG27" s="3">
        <f t="shared" si="9"/>
        <v>137.87843999998358</v>
      </c>
      <c r="AH27" s="3">
        <v>1260725.9857498498</v>
      </c>
      <c r="AI27" s="43">
        <f t="shared" si="2"/>
        <v>97.157617259887203</v>
      </c>
      <c r="AJ27" s="142">
        <v>483.70000000001164</v>
      </c>
      <c r="AK27" s="3">
        <v>4982110.0000001201</v>
      </c>
      <c r="AL27" s="39">
        <f t="shared" si="3"/>
        <v>383.94539495334266</v>
      </c>
      <c r="AM27" s="7"/>
    </row>
    <row r="28" spans="1:39" x14ac:dyDescent="0.25">
      <c r="A28" s="35"/>
      <c r="B28" s="58">
        <v>17</v>
      </c>
      <c r="C28" s="220">
        <v>104</v>
      </c>
      <c r="D28" s="221">
        <v>563</v>
      </c>
      <c r="E28" s="106">
        <v>17480.000000001382</v>
      </c>
      <c r="F28" s="3">
        <v>18105434.400001433</v>
      </c>
      <c r="G28" s="37">
        <v>3720.0000000000273</v>
      </c>
      <c r="H28" s="3">
        <v>5779652.4000000423</v>
      </c>
      <c r="I28" s="103">
        <f t="shared" si="4"/>
        <v>23885086.800001476</v>
      </c>
      <c r="J28" s="106">
        <v>2020.0000000004366</v>
      </c>
      <c r="K28" s="3">
        <v>2092275.600000452</v>
      </c>
      <c r="L28" s="184">
        <v>500</v>
      </c>
      <c r="M28" s="185">
        <v>776835</v>
      </c>
      <c r="N28" s="94">
        <f t="shared" si="5"/>
        <v>2869110.6000004523</v>
      </c>
      <c r="O28" s="108">
        <f t="shared" si="6"/>
        <v>26754197.400001928</v>
      </c>
      <c r="P28" s="111">
        <f t="shared" si="7"/>
        <v>23720.000000001848</v>
      </c>
      <c r="Q28" s="189"/>
      <c r="R28" s="202"/>
      <c r="S28" s="213"/>
      <c r="T28" s="210"/>
      <c r="U28" s="208">
        <v>0</v>
      </c>
      <c r="V28" s="186">
        <f t="shared" si="8"/>
        <v>879.32</v>
      </c>
      <c r="W28" s="3">
        <v>132.61000000000001</v>
      </c>
      <c r="X28" s="3">
        <v>2383068.0050000004</v>
      </c>
      <c r="Y28" s="33">
        <v>746.71</v>
      </c>
      <c r="Z28" s="33">
        <v>804758.77260000003</v>
      </c>
      <c r="AA28" s="33">
        <f t="shared" si="0"/>
        <v>3187826.7776000006</v>
      </c>
      <c r="AB28" s="128">
        <f t="shared" si="1"/>
        <v>245.66928694236867</v>
      </c>
      <c r="AC28" s="134">
        <v>159.79075999999296</v>
      </c>
      <c r="AD28" s="3">
        <v>0</v>
      </c>
      <c r="AE28" s="3">
        <v>0</v>
      </c>
      <c r="AF28" s="3">
        <v>0</v>
      </c>
      <c r="AG28" s="3">
        <f t="shared" si="9"/>
        <v>159.79075999999296</v>
      </c>
      <c r="AH28" s="3">
        <v>1461086.7617499356</v>
      </c>
      <c r="AI28" s="43">
        <f t="shared" si="2"/>
        <v>112.59838377738869</v>
      </c>
      <c r="AJ28" s="142">
        <v>382.59999999999127</v>
      </c>
      <c r="AK28" s="3">
        <v>3940779.9999999101</v>
      </c>
      <c r="AL28" s="39">
        <f t="shared" si="3"/>
        <v>303.69548916506511</v>
      </c>
      <c r="AM28" s="7"/>
    </row>
    <row r="29" spans="1:39" x14ac:dyDescent="0.25">
      <c r="A29" s="35"/>
      <c r="B29" s="58">
        <v>18</v>
      </c>
      <c r="C29" s="220">
        <v>132</v>
      </c>
      <c r="D29" s="221">
        <v>729</v>
      </c>
      <c r="E29" s="106">
        <v>17879.9999999992</v>
      </c>
      <c r="F29" s="3">
        <v>18519746.399999171</v>
      </c>
      <c r="G29" s="37">
        <v>3879.9999999998818</v>
      </c>
      <c r="H29" s="3">
        <v>6028239.5999998162</v>
      </c>
      <c r="I29" s="103">
        <f t="shared" si="4"/>
        <v>24547985.999998987</v>
      </c>
      <c r="J29" s="106">
        <v>2119.9999999998909</v>
      </c>
      <c r="K29" s="3">
        <v>2195853.5999998869</v>
      </c>
      <c r="L29" s="184">
        <v>539.99999999996362</v>
      </c>
      <c r="M29" s="185">
        <v>838981.79999994347</v>
      </c>
      <c r="N29" s="94">
        <f t="shared" si="5"/>
        <v>3034835.3999998304</v>
      </c>
      <c r="O29" s="108">
        <f t="shared" si="6"/>
        <v>27582821.399998818</v>
      </c>
      <c r="P29" s="111">
        <f t="shared" si="7"/>
        <v>24419.999999998938</v>
      </c>
      <c r="Q29" s="190"/>
      <c r="R29" s="203"/>
      <c r="S29" s="213"/>
      <c r="T29" s="210"/>
      <c r="U29" s="208">
        <v>0</v>
      </c>
      <c r="V29" s="186">
        <f t="shared" si="8"/>
        <v>814.35000000000014</v>
      </c>
      <c r="W29" s="3">
        <v>85.44</v>
      </c>
      <c r="X29" s="3">
        <v>1535399.52</v>
      </c>
      <c r="Y29" s="33">
        <v>728.91000000000008</v>
      </c>
      <c r="Z29" s="33">
        <v>687634.25639999995</v>
      </c>
      <c r="AA29" s="33">
        <f t="shared" si="0"/>
        <v>2223033.7763999999</v>
      </c>
      <c r="AB29" s="128">
        <f t="shared" si="1"/>
        <v>171.31769095312993</v>
      </c>
      <c r="AC29" s="134">
        <v>163.81875999999295</v>
      </c>
      <c r="AD29" s="3">
        <v>0</v>
      </c>
      <c r="AE29" s="3">
        <v>0</v>
      </c>
      <c r="AF29" s="3">
        <v>12</v>
      </c>
      <c r="AG29" s="3">
        <f t="shared" si="9"/>
        <v>175.81875999999295</v>
      </c>
      <c r="AH29" s="3">
        <v>1637417.7867499355</v>
      </c>
      <c r="AI29" s="43">
        <f t="shared" si="2"/>
        <v>126.18730193378248</v>
      </c>
      <c r="AJ29" s="142">
        <v>536.35000000000582</v>
      </c>
      <c r="AK29" s="3">
        <v>5524405.0000000596</v>
      </c>
      <c r="AL29" s="39">
        <f t="shared" si="3"/>
        <v>425.73725983713581</v>
      </c>
      <c r="AM29" s="7"/>
    </row>
    <row r="30" spans="1:39" x14ac:dyDescent="0.25">
      <c r="A30" s="35"/>
      <c r="B30" s="58">
        <v>19</v>
      </c>
      <c r="C30" s="220">
        <v>137</v>
      </c>
      <c r="D30" s="221">
        <v>679</v>
      </c>
      <c r="E30" s="106">
        <v>17479.999999999563</v>
      </c>
      <c r="F30" s="3">
        <v>18105434.399999548</v>
      </c>
      <c r="G30" s="37">
        <v>3720.0000000000273</v>
      </c>
      <c r="H30" s="3">
        <v>5779652.4000000423</v>
      </c>
      <c r="I30" s="103">
        <f t="shared" si="4"/>
        <v>23885086.799999591</v>
      </c>
      <c r="J30" s="106">
        <v>2000</v>
      </c>
      <c r="K30" s="3">
        <v>2071560</v>
      </c>
      <c r="L30" s="184">
        <v>520.00000000020918</v>
      </c>
      <c r="M30" s="185">
        <v>807908.40000032505</v>
      </c>
      <c r="N30" s="94">
        <f t="shared" si="5"/>
        <v>2879468.4000003249</v>
      </c>
      <c r="O30" s="108">
        <f t="shared" si="6"/>
        <v>26764555.199999917</v>
      </c>
      <c r="P30" s="111">
        <f t="shared" si="7"/>
        <v>23719.9999999998</v>
      </c>
      <c r="Q30" s="189"/>
      <c r="R30" s="189"/>
      <c r="S30" s="213"/>
      <c r="T30" s="210"/>
      <c r="U30" s="208">
        <v>0</v>
      </c>
      <c r="V30" s="186">
        <f t="shared" si="8"/>
        <v>777.86000000000013</v>
      </c>
      <c r="W30" s="3">
        <v>56.07</v>
      </c>
      <c r="X30" s="3">
        <v>1007605.9350000001</v>
      </c>
      <c r="Y30" s="33">
        <v>721.79000000000008</v>
      </c>
      <c r="Z30" s="33">
        <v>562953.31980000006</v>
      </c>
      <c r="AA30" s="33">
        <f t="shared" si="0"/>
        <v>1570559.2548000002</v>
      </c>
      <c r="AB30" s="128">
        <f t="shared" si="1"/>
        <v>121.03486141048653</v>
      </c>
      <c r="AC30" s="134">
        <v>170.74691999999763</v>
      </c>
      <c r="AD30" s="3">
        <v>0</v>
      </c>
      <c r="AE30" s="3">
        <v>200</v>
      </c>
      <c r="AF30" s="3">
        <v>84</v>
      </c>
      <c r="AG30" s="3">
        <f t="shared" si="9"/>
        <v>454.74691999999766</v>
      </c>
      <c r="AH30" s="3">
        <v>4627767.1497499784</v>
      </c>
      <c r="AI30" s="43">
        <f t="shared" si="2"/>
        <v>356.63802807702308</v>
      </c>
      <c r="AJ30" s="142">
        <v>508.05000000000655</v>
      </c>
      <c r="AK30" s="3">
        <v>5232915.0000000671</v>
      </c>
      <c r="AL30" s="39">
        <f t="shared" si="3"/>
        <v>403.27363635733622</v>
      </c>
      <c r="AM30" s="7"/>
    </row>
    <row r="31" spans="1:39" x14ac:dyDescent="0.25">
      <c r="A31" s="35"/>
      <c r="B31" s="58">
        <v>20</v>
      </c>
      <c r="C31" s="220">
        <v>115</v>
      </c>
      <c r="D31" s="221">
        <v>756</v>
      </c>
      <c r="E31" s="106">
        <v>17560.00000000131</v>
      </c>
      <c r="F31" s="3">
        <v>18188296.800001357</v>
      </c>
      <c r="G31" s="37">
        <v>3720.0000000000273</v>
      </c>
      <c r="H31" s="3">
        <v>5779652.4000000423</v>
      </c>
      <c r="I31" s="103">
        <f t="shared" si="4"/>
        <v>23967949.2000014</v>
      </c>
      <c r="J31" s="106">
        <v>2059.9999999994907</v>
      </c>
      <c r="K31" s="3">
        <v>2133706.7999994722</v>
      </c>
      <c r="L31" s="184">
        <v>500</v>
      </c>
      <c r="M31" s="185">
        <v>776835</v>
      </c>
      <c r="N31" s="94">
        <f t="shared" si="5"/>
        <v>2910541.7999994722</v>
      </c>
      <c r="O31" s="108">
        <f t="shared" si="6"/>
        <v>26878491.000000872</v>
      </c>
      <c r="P31" s="111">
        <f t="shared" si="7"/>
        <v>23840.000000000829</v>
      </c>
      <c r="Q31" s="190"/>
      <c r="R31" s="190"/>
      <c r="S31" s="213"/>
      <c r="T31" s="210"/>
      <c r="U31" s="208">
        <v>0</v>
      </c>
      <c r="V31" s="186">
        <f t="shared" si="8"/>
        <v>813.45999999999992</v>
      </c>
      <c r="W31" s="3">
        <v>52.51</v>
      </c>
      <c r="X31" s="3">
        <v>943630.95499999996</v>
      </c>
      <c r="Y31" s="33">
        <v>760.94999999999993</v>
      </c>
      <c r="Z31" s="33">
        <v>479832.69540000003</v>
      </c>
      <c r="AA31" s="33">
        <f t="shared" si="0"/>
        <v>1423463.6503999999</v>
      </c>
      <c r="AB31" s="128">
        <f t="shared" si="1"/>
        <v>109.6989655897886</v>
      </c>
      <c r="AC31" s="134">
        <v>154.43352000004452</v>
      </c>
      <c r="AD31" s="3">
        <v>0</v>
      </c>
      <c r="AE31" s="3">
        <v>0</v>
      </c>
      <c r="AF31" s="3">
        <v>0</v>
      </c>
      <c r="AG31" s="3">
        <f t="shared" si="9"/>
        <v>154.43352000004452</v>
      </c>
      <c r="AH31" s="3">
        <v>1412101.4985004072</v>
      </c>
      <c r="AI31" s="43">
        <f t="shared" si="2"/>
        <v>108.82334343399339</v>
      </c>
      <c r="AJ31" s="142">
        <v>472.83999999999651</v>
      </c>
      <c r="AK31" s="3">
        <v>4870251.9999999637</v>
      </c>
      <c r="AL31" s="39">
        <f t="shared" si="3"/>
        <v>375.32507866390904</v>
      </c>
      <c r="AM31" s="7"/>
    </row>
    <row r="32" spans="1:39" x14ac:dyDescent="0.25">
      <c r="A32" s="35"/>
      <c r="B32" s="58">
        <v>21</v>
      </c>
      <c r="C32" s="220">
        <v>117</v>
      </c>
      <c r="D32" s="221">
        <v>652</v>
      </c>
      <c r="E32" s="106">
        <v>17719.999999999345</v>
      </c>
      <c r="F32" s="3">
        <v>18354021.59999932</v>
      </c>
      <c r="G32" s="37">
        <v>3680.0000000000637</v>
      </c>
      <c r="H32" s="3">
        <v>5717505.6000000993</v>
      </c>
      <c r="I32" s="103">
        <f t="shared" si="4"/>
        <v>24071527.199999418</v>
      </c>
      <c r="J32" s="106">
        <v>2079.9999999999272</v>
      </c>
      <c r="K32" s="3">
        <v>2154422.3999999245</v>
      </c>
      <c r="L32" s="184">
        <v>500</v>
      </c>
      <c r="M32" s="185">
        <v>776835</v>
      </c>
      <c r="N32" s="94">
        <f>+K32+M32</f>
        <v>2931257.3999999245</v>
      </c>
      <c r="O32" s="108">
        <f t="shared" si="6"/>
        <v>27002784.599999342</v>
      </c>
      <c r="P32" s="111">
        <f t="shared" si="7"/>
        <v>23979.999999999338</v>
      </c>
      <c r="Q32" s="189"/>
      <c r="R32" s="201"/>
      <c r="S32" s="213"/>
      <c r="T32" s="210"/>
      <c r="U32" s="208">
        <v>0</v>
      </c>
      <c r="V32" s="186">
        <f t="shared" si="8"/>
        <v>841.94</v>
      </c>
      <c r="W32" s="3">
        <v>151.30000000000001</v>
      </c>
      <c r="X32" s="3">
        <v>2718936.6500000004</v>
      </c>
      <c r="Y32" s="33">
        <v>690.64</v>
      </c>
      <c r="Z32" s="33">
        <v>593179.00139999995</v>
      </c>
      <c r="AA32" s="33">
        <f t="shared" si="0"/>
        <v>3312115.6514000003</v>
      </c>
      <c r="AB32" s="128">
        <f t="shared" si="1"/>
        <v>255.24758624516323</v>
      </c>
      <c r="AC32" s="134">
        <v>148.35124000000701</v>
      </c>
      <c r="AD32" s="3">
        <v>0</v>
      </c>
      <c r="AE32" s="3">
        <v>0</v>
      </c>
      <c r="AF32" s="3">
        <v>0</v>
      </c>
      <c r="AG32" s="3">
        <f t="shared" si="9"/>
        <v>148.35124000000701</v>
      </c>
      <c r="AH32" s="3">
        <v>1356486.6507500641</v>
      </c>
      <c r="AI32" s="43">
        <f t="shared" si="2"/>
        <v>104.53739537488289</v>
      </c>
      <c r="AJ32" s="142">
        <v>442.59999999999127</v>
      </c>
      <c r="AK32" s="3">
        <v>4558779.9999999097</v>
      </c>
      <c r="AL32" s="39">
        <f t="shared" si="3"/>
        <v>351.32154601269792</v>
      </c>
      <c r="AM32" s="7"/>
    </row>
    <row r="33" spans="1:39" x14ac:dyDescent="0.25">
      <c r="A33" s="35"/>
      <c r="B33" s="58">
        <v>22</v>
      </c>
      <c r="C33" s="220">
        <v>122</v>
      </c>
      <c r="D33" s="221">
        <v>759</v>
      </c>
      <c r="E33" s="106">
        <v>16959.999999999127</v>
      </c>
      <c r="F33" s="3">
        <v>17566828.799999095</v>
      </c>
      <c r="G33" s="37">
        <v>3759.9999999999909</v>
      </c>
      <c r="H33" s="3">
        <v>5841799.1999999862</v>
      </c>
      <c r="I33" s="103">
        <f t="shared" si="4"/>
        <v>23408627.999999084</v>
      </c>
      <c r="J33" s="106">
        <v>2140.0000000003274</v>
      </c>
      <c r="K33" s="3">
        <v>2216569.2000003392</v>
      </c>
      <c r="L33" s="184">
        <v>500</v>
      </c>
      <c r="M33" s="185">
        <v>776835</v>
      </c>
      <c r="N33" s="94">
        <f t="shared" si="5"/>
        <v>2993404.2000003392</v>
      </c>
      <c r="O33" s="108">
        <f t="shared" si="6"/>
        <v>26402032.199999422</v>
      </c>
      <c r="P33" s="111">
        <f t="shared" si="7"/>
        <v>23359.999999999447</v>
      </c>
      <c r="Q33" s="189"/>
      <c r="R33" s="202"/>
      <c r="S33" s="213"/>
      <c r="T33" s="210"/>
      <c r="U33" s="208">
        <v>0</v>
      </c>
      <c r="V33" s="186">
        <f t="shared" si="8"/>
        <v>837.49</v>
      </c>
      <c r="W33" s="3">
        <v>85.44</v>
      </c>
      <c r="X33" s="3">
        <v>1535399.52</v>
      </c>
      <c r="Y33" s="33">
        <v>752.05</v>
      </c>
      <c r="Z33" s="33">
        <v>385377.44040000002</v>
      </c>
      <c r="AA33" s="33">
        <f t="shared" si="0"/>
        <v>1920776.9604</v>
      </c>
      <c r="AB33" s="128">
        <f t="shared" si="1"/>
        <v>148.02432476963401</v>
      </c>
      <c r="AC33" s="134">
        <v>149.47908000000234</v>
      </c>
      <c r="AD33" s="3">
        <v>0</v>
      </c>
      <c r="AE33" s="3">
        <v>0</v>
      </c>
      <c r="AF33" s="3">
        <v>12</v>
      </c>
      <c r="AG33" s="3">
        <f t="shared" si="9"/>
        <v>161.47908000000234</v>
      </c>
      <c r="AH33" s="3">
        <v>1506299.3377500214</v>
      </c>
      <c r="AI33" s="43">
        <f t="shared" si="2"/>
        <v>116.08268266866378</v>
      </c>
      <c r="AJ33" s="142">
        <v>470.70000000001164</v>
      </c>
      <c r="AK33" s="3">
        <v>4848210.0000001201</v>
      </c>
      <c r="AL33" s="39">
        <f t="shared" si="3"/>
        <v>373.62641596968888</v>
      </c>
      <c r="AM33" s="7"/>
    </row>
    <row r="34" spans="1:39" x14ac:dyDescent="0.25">
      <c r="A34" s="35"/>
      <c r="B34" s="58">
        <v>23</v>
      </c>
      <c r="C34" s="220">
        <v>120</v>
      </c>
      <c r="D34" s="221">
        <v>734</v>
      </c>
      <c r="E34" s="106">
        <v>17720.000000001164</v>
      </c>
      <c r="F34" s="3">
        <v>18354021.600001205</v>
      </c>
      <c r="G34" s="37">
        <v>3919.9999999998454</v>
      </c>
      <c r="H34" s="3">
        <v>6090386.3999997601</v>
      </c>
      <c r="I34" s="103">
        <f t="shared" si="4"/>
        <v>24444408.000000965</v>
      </c>
      <c r="J34" s="106">
        <v>2000</v>
      </c>
      <c r="K34" s="3">
        <v>2071560</v>
      </c>
      <c r="L34" s="184">
        <v>479.99999999979082</v>
      </c>
      <c r="M34" s="185">
        <v>745761.59999967506</v>
      </c>
      <c r="N34" s="94">
        <f t="shared" si="5"/>
        <v>2817321.5999996751</v>
      </c>
      <c r="O34" s="108">
        <f t="shared" si="6"/>
        <v>27261729.600000639</v>
      </c>
      <c r="P34" s="111">
        <f t="shared" si="7"/>
        <v>24120.0000000008</v>
      </c>
      <c r="Q34" s="190"/>
      <c r="R34" s="203"/>
      <c r="S34" s="213"/>
      <c r="T34" s="210"/>
      <c r="U34" s="208">
        <v>0</v>
      </c>
      <c r="V34" s="186">
        <f t="shared" si="8"/>
        <v>833.04000000000008</v>
      </c>
      <c r="W34" s="3">
        <v>108.58</v>
      </c>
      <c r="X34" s="3">
        <v>1951236.89</v>
      </c>
      <c r="Y34" s="33">
        <v>724.46</v>
      </c>
      <c r="Z34" s="33">
        <v>226692.61200000002</v>
      </c>
      <c r="AA34" s="33">
        <f t="shared" si="0"/>
        <v>2177929.5019999999</v>
      </c>
      <c r="AB34" s="128">
        <f t="shared" si="1"/>
        <v>167.84173830483604</v>
      </c>
      <c r="AC34" s="134">
        <v>147.02199999999999</v>
      </c>
      <c r="AD34" s="3">
        <v>0</v>
      </c>
      <c r="AE34" s="3">
        <v>0</v>
      </c>
      <c r="AF34" s="3">
        <v>0</v>
      </c>
      <c r="AG34" s="3">
        <f t="shared" si="9"/>
        <v>147.02199999999999</v>
      </c>
      <c r="AH34" s="3">
        <v>1344332.4124999999</v>
      </c>
      <c r="AI34" s="43">
        <f t="shared" si="2"/>
        <v>103.60073122951519</v>
      </c>
      <c r="AJ34" s="142">
        <v>386</v>
      </c>
      <c r="AK34" s="3">
        <v>3975800</v>
      </c>
      <c r="AL34" s="39">
        <f t="shared" si="3"/>
        <v>306.39429905310459</v>
      </c>
      <c r="AM34" s="7"/>
    </row>
    <row r="35" spans="1:39" x14ac:dyDescent="0.25">
      <c r="A35" s="35"/>
      <c r="B35" s="58">
        <v>24</v>
      </c>
      <c r="C35" s="220">
        <v>120</v>
      </c>
      <c r="D35" s="221">
        <v>682</v>
      </c>
      <c r="E35" s="106">
        <v>17879.9999999992</v>
      </c>
      <c r="F35" s="3">
        <v>18519746.399999171</v>
      </c>
      <c r="G35" s="37">
        <v>3800.0000000001819</v>
      </c>
      <c r="H35" s="3">
        <v>5903946.0000002831</v>
      </c>
      <c r="I35" s="103">
        <f t="shared" si="4"/>
        <v>24423692.399999455</v>
      </c>
      <c r="J35" s="106">
        <v>2020.0000000004366</v>
      </c>
      <c r="K35" s="3">
        <v>2092275.600000452</v>
      </c>
      <c r="L35" s="184">
        <v>500</v>
      </c>
      <c r="M35" s="185">
        <v>776835</v>
      </c>
      <c r="N35" s="94">
        <f t="shared" si="5"/>
        <v>2869110.6000004523</v>
      </c>
      <c r="O35" s="108">
        <f t="shared" si="6"/>
        <v>27292802.999999907</v>
      </c>
      <c r="P35" s="111">
        <f t="shared" si="7"/>
        <v>24199.999999999818</v>
      </c>
      <c r="Q35" s="189"/>
      <c r="R35" s="201"/>
      <c r="S35" s="213"/>
      <c r="T35" s="210"/>
      <c r="U35" s="208">
        <v>0</v>
      </c>
      <c r="V35" s="186">
        <f t="shared" si="8"/>
        <v>914.03000000000009</v>
      </c>
      <c r="W35" s="3">
        <v>102.35000000000001</v>
      </c>
      <c r="X35" s="3">
        <v>1839280.675</v>
      </c>
      <c r="Y35" s="33">
        <v>811.68000000000006</v>
      </c>
      <c r="Z35" s="33">
        <v>18891.051000000003</v>
      </c>
      <c r="AA35" s="33">
        <f t="shared" si="0"/>
        <v>1858171.726</v>
      </c>
      <c r="AB35" s="128">
        <f t="shared" si="1"/>
        <v>143.19966384326867</v>
      </c>
      <c r="AC35" s="134">
        <v>156.89059999998827</v>
      </c>
      <c r="AD35" s="3">
        <v>0</v>
      </c>
      <c r="AE35" s="3">
        <v>350</v>
      </c>
      <c r="AF35" s="3">
        <v>0</v>
      </c>
      <c r="AG35" s="3">
        <f t="shared" si="9"/>
        <v>506.89059999998824</v>
      </c>
      <c r="AH35" s="3">
        <v>5092068.423749893</v>
      </c>
      <c r="AI35" s="43">
        <f t="shared" si="2"/>
        <v>392.41932074684229</v>
      </c>
      <c r="AJ35" s="142">
        <v>372</v>
      </c>
      <c r="AK35" s="3">
        <v>3831600</v>
      </c>
      <c r="AL35" s="39">
        <f t="shared" si="3"/>
        <v>295.28155245532361</v>
      </c>
      <c r="AM35" s="7"/>
    </row>
    <row r="36" spans="1:39" x14ac:dyDescent="0.25">
      <c r="A36" s="35"/>
      <c r="B36" s="58">
        <v>25</v>
      </c>
      <c r="C36" s="220">
        <v>127</v>
      </c>
      <c r="D36" s="221">
        <v>580</v>
      </c>
      <c r="E36" s="106">
        <v>18600.000000000364</v>
      </c>
      <c r="F36" s="3">
        <v>19265508.000000376</v>
      </c>
      <c r="G36" s="37">
        <v>3959.999999999809</v>
      </c>
      <c r="H36" s="3">
        <v>6152533.1999997031</v>
      </c>
      <c r="I36" s="103">
        <f t="shared" si="4"/>
        <v>25418041.200000077</v>
      </c>
      <c r="J36" s="106">
        <v>2000</v>
      </c>
      <c r="K36" s="3">
        <v>2071560</v>
      </c>
      <c r="L36" s="184">
        <v>500</v>
      </c>
      <c r="M36" s="185">
        <v>776835</v>
      </c>
      <c r="N36" s="94">
        <f t="shared" si="5"/>
        <v>2848395</v>
      </c>
      <c r="O36" s="108">
        <f t="shared" si="6"/>
        <v>28266436.200000077</v>
      </c>
      <c r="P36" s="111">
        <f t="shared" si="7"/>
        <v>25060.000000000175</v>
      </c>
      <c r="Q36" s="189"/>
      <c r="R36" s="201"/>
      <c r="S36" s="213"/>
      <c r="T36" s="210"/>
      <c r="U36" s="208">
        <v>0</v>
      </c>
      <c r="V36" s="186">
        <f t="shared" si="8"/>
        <v>879.31999999999994</v>
      </c>
      <c r="W36" s="3">
        <v>46.28</v>
      </c>
      <c r="X36" s="3">
        <v>831674.74</v>
      </c>
      <c r="Y36" s="33">
        <v>833.04</v>
      </c>
      <c r="Z36" s="33">
        <v>419381.33220000006</v>
      </c>
      <c r="AA36" s="33">
        <f t="shared" si="0"/>
        <v>1251056.0722000001</v>
      </c>
      <c r="AB36" s="128">
        <f t="shared" si="1"/>
        <v>96.412407142675491</v>
      </c>
      <c r="AC36" s="134">
        <v>150.20411999997418</v>
      </c>
      <c r="AD36" s="3">
        <v>0</v>
      </c>
      <c r="AE36" s="3">
        <v>0</v>
      </c>
      <c r="AF36" s="3">
        <v>72</v>
      </c>
      <c r="AG36" s="3">
        <f t="shared" si="9"/>
        <v>222.20411999997418</v>
      </c>
      <c r="AH36" s="3">
        <v>2210428.9222497642</v>
      </c>
      <c r="AI36" s="43">
        <f t="shared" si="2"/>
        <v>170.34630017592082</v>
      </c>
      <c r="AJ36" s="142">
        <v>564.79999999998836</v>
      </c>
      <c r="AK36" s="3">
        <v>5817439.9999998799</v>
      </c>
      <c r="AL36" s="39">
        <f t="shared" si="3"/>
        <v>448.3199484590412</v>
      </c>
      <c r="AM36" s="7"/>
    </row>
    <row r="37" spans="1:39" x14ac:dyDescent="0.25">
      <c r="A37" s="35"/>
      <c r="B37" s="58">
        <v>26</v>
      </c>
      <c r="C37" s="220">
        <v>130</v>
      </c>
      <c r="D37" s="221">
        <v>709</v>
      </c>
      <c r="E37" s="106">
        <v>18440.000000000509</v>
      </c>
      <c r="F37" s="3">
        <v>19099783.200000528</v>
      </c>
      <c r="G37" s="37">
        <v>3880.0000000001091</v>
      </c>
      <c r="H37" s="3">
        <v>6028239.6000001701</v>
      </c>
      <c r="I37" s="103">
        <f t="shared" si="4"/>
        <v>25128022.800000697</v>
      </c>
      <c r="J37" s="106">
        <v>2119.9999999998909</v>
      </c>
      <c r="K37" s="3">
        <v>2195853.5999998869</v>
      </c>
      <c r="L37" s="184">
        <v>520.00000000020918</v>
      </c>
      <c r="M37" s="185">
        <v>807908.40000032505</v>
      </c>
      <c r="N37" s="94">
        <f t="shared" si="5"/>
        <v>3003762.0000002119</v>
      </c>
      <c r="O37" s="108">
        <f t="shared" si="6"/>
        <v>28131784.80000091</v>
      </c>
      <c r="P37" s="111">
        <f t="shared" si="7"/>
        <v>24960.00000000072</v>
      </c>
      <c r="Q37" s="189"/>
      <c r="R37" s="201"/>
      <c r="S37" s="213"/>
      <c r="T37" s="210"/>
      <c r="U37" s="208">
        <v>0</v>
      </c>
      <c r="V37" s="186">
        <f t="shared" si="8"/>
        <v>849.95</v>
      </c>
      <c r="W37" s="3">
        <v>85.44</v>
      </c>
      <c r="X37" s="3">
        <v>1535399.52</v>
      </c>
      <c r="Y37" s="33">
        <v>764.51</v>
      </c>
      <c r="Z37" s="33">
        <v>574287.95040000009</v>
      </c>
      <c r="AA37" s="33">
        <f t="shared" si="0"/>
        <v>2109687.4704</v>
      </c>
      <c r="AB37" s="128">
        <f t="shared" si="1"/>
        <v>162.58267863431897</v>
      </c>
      <c r="AC37" s="134">
        <v>151.77504000003046</v>
      </c>
      <c r="AD37" s="3">
        <v>0</v>
      </c>
      <c r="AE37" s="3">
        <v>0</v>
      </c>
      <c r="AF37" s="3">
        <v>12</v>
      </c>
      <c r="AG37" s="3">
        <f t="shared" si="9"/>
        <v>163.77504000003046</v>
      </c>
      <c r="AH37" s="3">
        <v>1527293.0220002786</v>
      </c>
      <c r="AI37" s="43">
        <f t="shared" si="2"/>
        <v>117.70055710158287</v>
      </c>
      <c r="AJ37" s="142">
        <v>13244.540000000023</v>
      </c>
      <c r="AK37" s="3">
        <v>136418762.00000024</v>
      </c>
      <c r="AL37" s="39">
        <f t="shared" si="3"/>
        <v>10513.086916012469</v>
      </c>
      <c r="AM37" s="7"/>
    </row>
    <row r="38" spans="1:39" x14ac:dyDescent="0.25">
      <c r="A38" s="35"/>
      <c r="B38" s="58">
        <v>27</v>
      </c>
      <c r="C38" s="220">
        <v>128</v>
      </c>
      <c r="D38" s="221">
        <v>775</v>
      </c>
      <c r="E38" s="106">
        <v>18479.999999999563</v>
      </c>
      <c r="F38" s="3">
        <v>19141214.399999548</v>
      </c>
      <c r="G38" s="37">
        <v>3920.0000000000728</v>
      </c>
      <c r="H38" s="3">
        <v>6090386.4000001131</v>
      </c>
      <c r="I38" s="103">
        <f t="shared" si="4"/>
        <v>25231600.799999662</v>
      </c>
      <c r="J38" s="106">
        <v>1840.0000000001455</v>
      </c>
      <c r="K38" s="3">
        <v>1905835.2000001506</v>
      </c>
      <c r="L38" s="184">
        <v>539.99999999996362</v>
      </c>
      <c r="M38" s="185">
        <v>838981.79999994347</v>
      </c>
      <c r="N38" s="94">
        <f t="shared" si="5"/>
        <v>2744817.0000000941</v>
      </c>
      <c r="O38" s="108">
        <f t="shared" si="6"/>
        <v>27976417.799999755</v>
      </c>
      <c r="P38" s="111">
        <f t="shared" si="7"/>
        <v>24779.999999999745</v>
      </c>
      <c r="Q38" s="189"/>
      <c r="R38" s="201"/>
      <c r="S38" s="213"/>
      <c r="T38" s="210"/>
      <c r="U38" s="208">
        <v>0</v>
      </c>
      <c r="V38" s="186">
        <f t="shared" si="8"/>
        <v>834.82</v>
      </c>
      <c r="W38" s="3">
        <v>80.099999999999994</v>
      </c>
      <c r="X38" s="3">
        <v>1439437.0499999998</v>
      </c>
      <c r="Y38" s="33">
        <v>754.72</v>
      </c>
      <c r="Z38" s="33">
        <v>642295.73400000005</v>
      </c>
      <c r="AA38" s="33">
        <f t="shared" si="0"/>
        <v>2081732.784</v>
      </c>
      <c r="AB38" s="128">
        <f t="shared" si="1"/>
        <v>160.42835584525076</v>
      </c>
      <c r="AC38" s="134">
        <v>151.13055999995777</v>
      </c>
      <c r="AD38" s="3">
        <v>0</v>
      </c>
      <c r="AE38" s="3">
        <v>0</v>
      </c>
      <c r="AF38" s="3">
        <v>12</v>
      </c>
      <c r="AG38" s="3">
        <f t="shared" si="9"/>
        <v>163.13055999995777</v>
      </c>
      <c r="AH38" s="3">
        <v>1521400.0579996139</v>
      </c>
      <c r="AI38" s="43">
        <f t="shared" si="2"/>
        <v>117.24641690984063</v>
      </c>
      <c r="AJ38" s="142">
        <v>502.86000000000058</v>
      </c>
      <c r="AK38" s="3">
        <v>5179458.0000000056</v>
      </c>
      <c r="AL38" s="39">
        <f t="shared" si="3"/>
        <v>399.15398244001125</v>
      </c>
      <c r="AM38" s="7"/>
    </row>
    <row r="39" spans="1:39" x14ac:dyDescent="0.25">
      <c r="A39" s="35"/>
      <c r="B39" s="58">
        <v>28</v>
      </c>
      <c r="C39" s="220">
        <v>137</v>
      </c>
      <c r="D39" s="221">
        <v>907</v>
      </c>
      <c r="E39" s="106">
        <v>18799.999999999272</v>
      </c>
      <c r="F39" s="3">
        <v>19472663.999999247</v>
      </c>
      <c r="G39" s="37">
        <v>3959.999999999809</v>
      </c>
      <c r="H39" s="3">
        <v>6152533.1999997031</v>
      </c>
      <c r="I39" s="103">
        <f t="shared" si="4"/>
        <v>25625197.199998952</v>
      </c>
      <c r="J39" s="106">
        <v>2559.9999999994907</v>
      </c>
      <c r="K39" s="3">
        <v>2651596.7999994722</v>
      </c>
      <c r="L39" s="184">
        <v>519.99999999998181</v>
      </c>
      <c r="M39" s="185">
        <v>807908.39999997173</v>
      </c>
      <c r="N39" s="94">
        <f t="shared" si="5"/>
        <v>3459505.1999994442</v>
      </c>
      <c r="O39" s="108">
        <f t="shared" si="6"/>
        <v>29084702.399998397</v>
      </c>
      <c r="P39" s="111">
        <f t="shared" si="7"/>
        <v>25839.999999998552</v>
      </c>
      <c r="Q39" s="189"/>
      <c r="R39" s="204"/>
      <c r="S39" s="213"/>
      <c r="T39" s="210"/>
      <c r="U39" s="208">
        <v>0</v>
      </c>
      <c r="V39" s="186">
        <f t="shared" si="8"/>
        <v>890.89</v>
      </c>
      <c r="W39" s="3">
        <v>90.78</v>
      </c>
      <c r="X39" s="3">
        <v>1631361.99</v>
      </c>
      <c r="Y39" s="33">
        <v>800.11</v>
      </c>
      <c r="Z39" s="33">
        <v>536505.84840000002</v>
      </c>
      <c r="AA39" s="33">
        <f t="shared" si="0"/>
        <v>2167867.8383999998</v>
      </c>
      <c r="AB39" s="128">
        <f t="shared" si="1"/>
        <v>167.06633804173674</v>
      </c>
      <c r="AC39" s="134">
        <v>172.43868000004923</v>
      </c>
      <c r="AD39" s="3">
        <v>0</v>
      </c>
      <c r="AE39" s="3">
        <v>0</v>
      </c>
      <c r="AF39" s="3">
        <v>36</v>
      </c>
      <c r="AG39" s="3">
        <f t="shared" si="9"/>
        <v>208.43868000004923</v>
      </c>
      <c r="AH39" s="3">
        <v>1995236.1802504503</v>
      </c>
      <c r="AI39" s="43">
        <f t="shared" si="2"/>
        <v>153.7625109143394</v>
      </c>
      <c r="AJ39" s="142">
        <v>487</v>
      </c>
      <c r="AK39" s="3">
        <v>5016100</v>
      </c>
      <c r="AL39" s="39">
        <f t="shared" si="3"/>
        <v>386.5648280799532</v>
      </c>
      <c r="AM39" s="7"/>
    </row>
    <row r="40" spans="1:39" x14ac:dyDescent="0.25">
      <c r="A40" s="35"/>
      <c r="B40" s="58">
        <v>29</v>
      </c>
      <c r="C40" s="220">
        <v>129</v>
      </c>
      <c r="D40" s="221">
        <v>882</v>
      </c>
      <c r="E40" s="106">
        <v>18200.000000000728</v>
      </c>
      <c r="F40" s="3">
        <v>18851196.000000753</v>
      </c>
      <c r="G40" s="37">
        <v>4080.0000000001546</v>
      </c>
      <c r="H40" s="3">
        <v>6338973.6000002408</v>
      </c>
      <c r="I40" s="103">
        <f t="shared" si="4"/>
        <v>25190169.600000992</v>
      </c>
      <c r="J40" s="106">
        <v>2000</v>
      </c>
      <c r="K40" s="3">
        <v>2071560</v>
      </c>
      <c r="L40" s="184">
        <v>500</v>
      </c>
      <c r="M40" s="185">
        <v>776835</v>
      </c>
      <c r="N40" s="94">
        <f t="shared" si="5"/>
        <v>2848395</v>
      </c>
      <c r="O40" s="108">
        <f t="shared" ref="O40:O41" si="10">N40+I40</f>
        <v>28038564.600000992</v>
      </c>
      <c r="P40" s="111">
        <f t="shared" ref="P40:P41" si="11">L40+J40+G40+E40</f>
        <v>24780.00000000088</v>
      </c>
      <c r="Q40" s="190"/>
      <c r="R40" s="205"/>
      <c r="S40" s="213"/>
      <c r="T40" s="210"/>
      <c r="U40" s="208">
        <v>0</v>
      </c>
      <c r="V40" s="186">
        <f t="shared" si="8"/>
        <v>892.67000000000007</v>
      </c>
      <c r="W40" s="3">
        <v>87.22</v>
      </c>
      <c r="X40" s="3">
        <v>1567387.01</v>
      </c>
      <c r="Y40" s="33">
        <v>805.45</v>
      </c>
      <c r="Z40" s="33">
        <v>491167.32600000006</v>
      </c>
      <c r="AA40" s="33">
        <f t="shared" ref="AA40:AA41" si="12">Z40+X40</f>
        <v>2058554.3360000001</v>
      </c>
      <c r="AB40" s="128">
        <f t="shared" si="1"/>
        <v>158.64211299397584</v>
      </c>
      <c r="AC40" s="134">
        <v>146.13583999999528</v>
      </c>
      <c r="AD40" s="3">
        <v>0</v>
      </c>
      <c r="AE40" s="3">
        <v>0</v>
      </c>
      <c r="AF40" s="3">
        <v>12</v>
      </c>
      <c r="AG40" s="3">
        <f t="shared" si="9"/>
        <v>158.13583999999528</v>
      </c>
      <c r="AH40" s="3">
        <v>1475729.586999957</v>
      </c>
      <c r="AI40" s="43">
        <f t="shared" si="2"/>
        <v>113.72683042426162</v>
      </c>
      <c r="AJ40" s="142">
        <v>426.69999999999709</v>
      </c>
      <c r="AK40" s="3">
        <v>4395009.9999999702</v>
      </c>
      <c r="AL40" s="39">
        <f t="shared" si="3"/>
        <v>338.70064094807992</v>
      </c>
      <c r="AM40" s="7"/>
    </row>
    <row r="41" spans="1:39" ht="17.25" customHeight="1" x14ac:dyDescent="0.25">
      <c r="A41" s="35"/>
      <c r="B41" s="58">
        <v>30</v>
      </c>
      <c r="C41" s="220">
        <v>127</v>
      </c>
      <c r="D41" s="221">
        <v>836</v>
      </c>
      <c r="E41" s="106">
        <v>18200.000000000728</v>
      </c>
      <c r="F41" s="3">
        <v>18851196.000000753</v>
      </c>
      <c r="G41" s="37">
        <v>3919.9999999998454</v>
      </c>
      <c r="H41" s="3">
        <v>6090386.3999997601</v>
      </c>
      <c r="I41" s="103">
        <f t="shared" si="4"/>
        <v>24941582.400000513</v>
      </c>
      <c r="J41" s="106">
        <v>2020.0000000004366</v>
      </c>
      <c r="K41" s="3">
        <v>2092275.600000452</v>
      </c>
      <c r="L41" s="184">
        <v>500</v>
      </c>
      <c r="M41" s="185">
        <v>776835</v>
      </c>
      <c r="N41" s="94">
        <f t="shared" si="5"/>
        <v>2869110.6000004523</v>
      </c>
      <c r="O41" s="108">
        <f t="shared" si="10"/>
        <v>27810693.000000965</v>
      </c>
      <c r="P41" s="111">
        <f t="shared" si="11"/>
        <v>24640.000000001011</v>
      </c>
      <c r="Q41" s="189"/>
      <c r="R41" s="206"/>
      <c r="S41" s="213"/>
      <c r="T41" s="210"/>
      <c r="U41" s="208">
        <v>0</v>
      </c>
      <c r="V41" s="186">
        <f t="shared" si="8"/>
        <v>873.98</v>
      </c>
      <c r="W41" s="3">
        <v>50.730000000000004</v>
      </c>
      <c r="X41" s="3">
        <v>911643.46500000008</v>
      </c>
      <c r="Y41" s="33">
        <v>823.25</v>
      </c>
      <c r="Z41" s="33">
        <v>536505.84840000002</v>
      </c>
      <c r="AA41" s="33">
        <f t="shared" si="12"/>
        <v>1448149.3134000001</v>
      </c>
      <c r="AB41" s="128">
        <f t="shared" si="1"/>
        <v>111.60136168907584</v>
      </c>
      <c r="AC41" s="134">
        <v>133.44763999996013</v>
      </c>
      <c r="AD41" s="3">
        <v>0</v>
      </c>
      <c r="AE41" s="3">
        <v>0</v>
      </c>
      <c r="AF41" s="3">
        <v>0</v>
      </c>
      <c r="AG41" s="3">
        <f t="shared" si="9"/>
        <v>133.44763999996013</v>
      </c>
      <c r="AH41" s="3">
        <v>1220211.8582496354</v>
      </c>
      <c r="AI41" s="43">
        <f t="shared" si="2"/>
        <v>94.035403441994887</v>
      </c>
      <c r="AJ41" s="142">
        <v>426</v>
      </c>
      <c r="AK41" s="3">
        <v>4387800</v>
      </c>
      <c r="AL41" s="39">
        <f t="shared" si="3"/>
        <v>338.14500361819313</v>
      </c>
      <c r="AM41" s="7"/>
    </row>
    <row r="42" spans="1:39" ht="16.5" thickBot="1" x14ac:dyDescent="0.3">
      <c r="A42" s="35"/>
      <c r="B42" s="122"/>
      <c r="C42" s="149"/>
      <c r="D42" s="150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5"/>
      <c r="R42" s="207"/>
      <c r="S42" s="214"/>
      <c r="T42" s="214"/>
      <c r="U42" s="209"/>
      <c r="V42" s="186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7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3">SUM(C12:C42)</f>
        <v>3418</v>
      </c>
      <c r="D46" s="70">
        <f t="shared" si="13"/>
        <v>20516</v>
      </c>
      <c r="E46" s="70">
        <f t="shared" si="13"/>
        <v>517600.00000000035</v>
      </c>
      <c r="F46" s="70">
        <f t="shared" si="13"/>
        <v>536119728.00000048</v>
      </c>
      <c r="G46" s="70">
        <f t="shared" si="13"/>
        <v>111319.99999999991</v>
      </c>
      <c r="H46" s="70">
        <f t="shared" si="13"/>
        <v>172954544.39999986</v>
      </c>
      <c r="I46" s="70">
        <f t="shared" si="13"/>
        <v>709074272.40000033</v>
      </c>
      <c r="J46" s="70">
        <f t="shared" si="13"/>
        <v>60820.000000000618</v>
      </c>
      <c r="K46" s="70">
        <f t="shared" si="13"/>
        <v>62996139.600000642</v>
      </c>
      <c r="L46" s="70">
        <f t="shared" si="13"/>
        <v>14840.000000000146</v>
      </c>
      <c r="M46" s="70">
        <f t="shared" si="13"/>
        <v>23056462.800000224</v>
      </c>
      <c r="N46" s="70">
        <f t="shared" si="13"/>
        <v>86052602.400000855</v>
      </c>
      <c r="O46" s="70">
        <f t="shared" si="13"/>
        <v>795126874.80000114</v>
      </c>
      <c r="P46" s="82">
        <f t="shared" si="13"/>
        <v>704580.00000000128</v>
      </c>
      <c r="Q46" s="188" t="e">
        <f>+#REF!</f>
        <v>#REF!</v>
      </c>
      <c r="R46" s="123" t="e">
        <f>+#REF!</f>
        <v>#REF!</v>
      </c>
      <c r="S46" s="115" t="e">
        <f>Q46+P46</f>
        <v>#REF!</v>
      </c>
      <c r="T46" s="115" t="e">
        <f>R46+O46</f>
        <v>#REF!</v>
      </c>
      <c r="U46" s="137" t="e">
        <f>T46/AL47</f>
        <v>#REF!</v>
      </c>
      <c r="V46" s="176">
        <f t="shared" ref="V46:AA46" si="14">SUM(V12:V41)</f>
        <v>25033.029999999995</v>
      </c>
      <c r="W46" s="52">
        <f t="shared" si="14"/>
        <v>2790.15</v>
      </c>
      <c r="X46" s="52">
        <f t="shared" si="14"/>
        <v>50140390.57500001</v>
      </c>
      <c r="Y46" s="52">
        <f t="shared" si="14"/>
        <v>22242.880000000001</v>
      </c>
      <c r="Z46" s="52">
        <f t="shared" si="14"/>
        <v>13578887.458800001</v>
      </c>
      <c r="AA46" s="136">
        <f t="shared" si="14"/>
        <v>63719278.033799998</v>
      </c>
      <c r="AB46" s="124">
        <f>AA46/$AL$47</f>
        <v>4910.5144950289341</v>
      </c>
      <c r="AC46" s="44">
        <f>SUM(AC12:AC41)</f>
        <v>4445.0188399999952</v>
      </c>
      <c r="AD46" s="138">
        <f>SUM(AD12:AD41)</f>
        <v>0</v>
      </c>
      <c r="AE46" s="44">
        <f>SUM(AE12:AE41)</f>
        <v>1600</v>
      </c>
      <c r="AF46" s="44">
        <f>SUM(AF12:AF41)</f>
        <v>588</v>
      </c>
      <c r="AG46" s="212">
        <f>SUM(AG12:AG41)</f>
        <v>6633.0188399999934</v>
      </c>
      <c r="AH46" s="146">
        <f>SUM(AH12:AH42)</f>
        <v>67857141.018249959</v>
      </c>
      <c r="AI46" s="147">
        <f>AH46/$AL$47</f>
        <v>5229.3981483058424</v>
      </c>
      <c r="AJ46" s="211">
        <f>SUM(AJ12:AJ42)</f>
        <v>27633.539999999997</v>
      </c>
      <c r="AK46" s="144">
        <f>SUM(AK12:AK42)</f>
        <v>284625462</v>
      </c>
      <c r="AL46" s="145">
        <f>AK46/AL47</f>
        <v>21934.609115688931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1" t="e">
        <f>U46/S46</f>
        <v>#REF!</v>
      </c>
      <c r="V47" s="191" t="s">
        <v>53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7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18"/>
      <c r="U48" s="151"/>
      <c r="V48" s="191"/>
      <c r="W48" s="11"/>
      <c r="X48" s="216"/>
      <c r="Y48" s="139"/>
      <c r="Z48" s="216"/>
      <c r="AA48" s="11"/>
      <c r="AB48" s="11"/>
      <c r="AC48" s="16"/>
      <c r="AD48" s="7"/>
      <c r="AE48" s="16"/>
      <c r="AF48" s="16"/>
      <c r="AG48" s="7"/>
      <c r="AH48" s="217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1"/>
      <c r="V49" s="191"/>
      <c r="W49" s="219">
        <f>W46/V46</f>
        <v>0.11145874071177163</v>
      </c>
      <c r="X49" s="11"/>
      <c r="Y49" s="139"/>
      <c r="Z49" s="216"/>
      <c r="AA49" s="11"/>
      <c r="AB49" s="11"/>
      <c r="AC49" s="16"/>
      <c r="AD49" s="7"/>
      <c r="AE49" s="16"/>
      <c r="AF49" s="16"/>
      <c r="AG49" s="7"/>
      <c r="AH49" s="217"/>
      <c r="AI49" s="11"/>
      <c r="AJ49" s="88"/>
      <c r="AK49" s="11"/>
      <c r="AL49" s="148"/>
      <c r="AM49" s="26"/>
    </row>
    <row r="50" spans="1:39" s="194" customFormat="1" x14ac:dyDescent="0.25">
      <c r="A50" s="192"/>
      <c r="B50" s="192"/>
      <c r="C50" s="193"/>
      <c r="E50" s="193"/>
      <c r="F50" s="193"/>
      <c r="H50" s="193"/>
      <c r="L50" s="193"/>
      <c r="M50" s="195"/>
      <c r="N50" s="196"/>
      <c r="P50" s="196"/>
      <c r="R50" s="197"/>
      <c r="T50" s="215"/>
      <c r="AD50" s="193"/>
      <c r="AH50" s="193"/>
      <c r="AJ50" s="197"/>
      <c r="AL50" s="198"/>
      <c r="AM50" s="192"/>
    </row>
    <row r="51" spans="1:39" s="194" customFormat="1" x14ac:dyDescent="0.25">
      <c r="A51" s="192"/>
      <c r="B51" s="192"/>
      <c r="C51" s="193"/>
      <c r="E51" s="193"/>
      <c r="F51" s="193"/>
      <c r="H51" s="193"/>
      <c r="L51" s="193"/>
      <c r="M51" s="195"/>
      <c r="N51" s="196"/>
      <c r="P51" s="196"/>
      <c r="R51" s="197"/>
      <c r="AD51" s="193"/>
      <c r="AH51" s="193"/>
      <c r="AJ51" s="197"/>
      <c r="AL51" s="198"/>
      <c r="AM51" s="192"/>
    </row>
    <row r="52" spans="1:39" s="194" customFormat="1" x14ac:dyDescent="0.25">
      <c r="A52" s="192"/>
      <c r="B52" s="192"/>
      <c r="C52" s="193"/>
      <c r="E52" s="193"/>
      <c r="F52" s="193"/>
      <c r="H52" s="193"/>
      <c r="L52" s="193"/>
      <c r="M52" s="195"/>
      <c r="N52" s="196"/>
      <c r="P52" s="196"/>
      <c r="R52" s="197"/>
      <c r="AD52" s="193"/>
      <c r="AH52" s="193"/>
      <c r="AJ52" s="197"/>
      <c r="AL52" s="198"/>
      <c r="AM52" s="192"/>
    </row>
    <row r="53" spans="1:39" s="194" customFormat="1" x14ac:dyDescent="0.25">
      <c r="A53" s="192"/>
      <c r="B53" s="192"/>
      <c r="C53" s="193"/>
      <c r="E53" s="193"/>
      <c r="F53" s="193"/>
      <c r="H53" s="193"/>
      <c r="L53" s="193"/>
      <c r="M53" s="195"/>
      <c r="N53" s="196"/>
      <c r="P53" s="196"/>
      <c r="R53" s="197"/>
      <c r="AD53" s="193"/>
      <c r="AH53" s="193"/>
      <c r="AJ53" s="197"/>
      <c r="AL53" s="198"/>
      <c r="AM53" s="192"/>
    </row>
    <row r="54" spans="1:39" s="194" customFormat="1" x14ac:dyDescent="0.25">
      <c r="A54" s="192"/>
      <c r="B54" s="192"/>
      <c r="C54" s="193"/>
      <c r="E54" s="193"/>
      <c r="F54" s="193"/>
      <c r="H54" s="193"/>
      <c r="L54" s="193"/>
      <c r="M54" s="195"/>
      <c r="N54" s="196"/>
      <c r="P54" s="196"/>
      <c r="R54" s="197"/>
      <c r="T54" s="215"/>
      <c r="AD54" s="193"/>
      <c r="AH54" s="193"/>
      <c r="AJ54" s="197"/>
      <c r="AL54" s="198"/>
      <c r="AM54" s="192"/>
    </row>
    <row r="55" spans="1:39" s="194" customFormat="1" x14ac:dyDescent="0.25">
      <c r="A55" s="192"/>
      <c r="B55" s="192"/>
      <c r="C55" s="193"/>
      <c r="E55" s="193"/>
      <c r="F55" s="193"/>
      <c r="H55" s="193"/>
      <c r="L55" s="193"/>
      <c r="M55" s="195"/>
      <c r="N55" s="196"/>
      <c r="P55" s="196"/>
      <c r="R55" s="197"/>
      <c r="AD55" s="193"/>
      <c r="AH55" s="193"/>
      <c r="AJ55" s="197"/>
      <c r="AL55" s="198"/>
      <c r="AM55" s="192"/>
    </row>
    <row r="56" spans="1:39" s="194" customFormat="1" x14ac:dyDescent="0.25">
      <c r="A56" s="192"/>
      <c r="B56" s="192"/>
      <c r="C56" s="193"/>
      <c r="E56" s="193"/>
      <c r="F56" s="193"/>
      <c r="H56" s="193"/>
      <c r="L56" s="193"/>
      <c r="M56" s="195"/>
      <c r="N56" s="196"/>
      <c r="P56" s="196"/>
      <c r="R56" s="197"/>
      <c r="AD56" s="193"/>
      <c r="AH56" s="193"/>
      <c r="AJ56" s="197"/>
      <c r="AL56" s="198"/>
      <c r="AM56" s="192"/>
    </row>
    <row r="57" spans="1:39" s="194" customFormat="1" x14ac:dyDescent="0.25">
      <c r="A57" s="192"/>
      <c r="B57" s="192"/>
      <c r="C57" s="193"/>
      <c r="E57" s="193"/>
      <c r="F57" s="193"/>
      <c r="H57" s="193"/>
      <c r="L57" s="193"/>
      <c r="M57" s="195"/>
      <c r="N57" s="196"/>
      <c r="P57" s="196"/>
      <c r="R57" s="197"/>
      <c r="AD57" s="193"/>
      <c r="AH57" s="193"/>
      <c r="AJ57" s="197"/>
      <c r="AL57" s="198"/>
      <c r="AM57" s="192"/>
    </row>
    <row r="58" spans="1:39" s="194" customFormat="1" x14ac:dyDescent="0.25">
      <c r="A58" s="192"/>
      <c r="B58" s="192"/>
      <c r="C58" s="193"/>
      <c r="E58" s="193"/>
      <c r="F58" s="193"/>
      <c r="H58" s="193"/>
      <c r="L58" s="193"/>
      <c r="M58" s="195"/>
      <c r="N58" s="196"/>
      <c r="P58" s="196"/>
      <c r="R58" s="197"/>
      <c r="AD58" s="193"/>
      <c r="AH58" s="193"/>
      <c r="AJ58" s="197"/>
      <c r="AL58" s="198"/>
      <c r="AM58" s="192"/>
    </row>
    <row r="59" spans="1:39" s="194" customFormat="1" x14ac:dyDescent="0.25">
      <c r="A59" s="192"/>
      <c r="B59" s="192"/>
      <c r="C59" s="193"/>
      <c r="E59" s="193"/>
      <c r="F59" s="193"/>
      <c r="H59" s="193"/>
      <c r="L59" s="193"/>
      <c r="M59" s="195"/>
      <c r="N59" s="196"/>
      <c r="P59" s="196"/>
      <c r="R59" s="197"/>
      <c r="AD59" s="193"/>
      <c r="AH59" s="193"/>
      <c r="AJ59" s="197"/>
      <c r="AL59" s="198"/>
      <c r="AM59" s="192"/>
    </row>
    <row r="60" spans="1:39" s="194" customFormat="1" x14ac:dyDescent="0.25">
      <c r="A60" s="192"/>
      <c r="B60" s="192"/>
      <c r="C60" s="193"/>
      <c r="E60" s="193"/>
      <c r="F60" s="193"/>
      <c r="H60" s="193"/>
      <c r="L60" s="193"/>
      <c r="M60" s="195"/>
      <c r="N60" s="196"/>
      <c r="P60" s="196"/>
      <c r="R60" s="197"/>
      <c r="AD60" s="193"/>
      <c r="AH60" s="193"/>
      <c r="AJ60" s="197"/>
      <c r="AL60" s="198"/>
      <c r="AM60" s="192"/>
    </row>
    <row r="61" spans="1:39" s="194" customFormat="1" x14ac:dyDescent="0.25">
      <c r="A61" s="192"/>
      <c r="B61" s="192"/>
      <c r="C61" s="193"/>
      <c r="E61" s="193"/>
      <c r="F61" s="193"/>
      <c r="H61" s="193"/>
      <c r="L61" s="193"/>
      <c r="M61" s="195"/>
      <c r="N61" s="196"/>
      <c r="P61" s="196"/>
      <c r="R61" s="197"/>
      <c r="AD61" s="193"/>
      <c r="AH61" s="193"/>
      <c r="AJ61" s="197"/>
      <c r="AL61" s="198"/>
      <c r="AM61" s="192"/>
    </row>
    <row r="62" spans="1:39" s="194" customFormat="1" x14ac:dyDescent="0.25">
      <c r="A62" s="192"/>
      <c r="B62" s="192"/>
      <c r="C62" s="193"/>
      <c r="E62" s="193"/>
      <c r="F62" s="193"/>
      <c r="H62" s="193"/>
      <c r="L62" s="193"/>
      <c r="M62" s="195"/>
      <c r="N62" s="196"/>
      <c r="P62" s="196"/>
      <c r="R62" s="197"/>
      <c r="AD62" s="193"/>
      <c r="AH62" s="193"/>
      <c r="AJ62" s="197"/>
      <c r="AL62" s="198"/>
      <c r="AM62" s="192"/>
    </row>
    <row r="63" spans="1:39" s="194" customFormat="1" x14ac:dyDescent="0.25">
      <c r="A63" s="192"/>
      <c r="B63" s="192"/>
      <c r="C63" s="193"/>
      <c r="E63" s="193"/>
      <c r="F63" s="193"/>
      <c r="H63" s="193"/>
      <c r="L63" s="193"/>
      <c r="M63" s="195"/>
      <c r="N63" s="196"/>
      <c r="P63" s="196"/>
      <c r="R63" s="197"/>
      <c r="AD63" s="193"/>
      <c r="AH63" s="193"/>
      <c r="AJ63" s="197"/>
      <c r="AL63" s="198"/>
      <c r="AM63" s="192"/>
    </row>
    <row r="64" spans="1:39" s="194" customFormat="1" x14ac:dyDescent="0.25">
      <c r="A64" s="192"/>
      <c r="B64" s="192"/>
      <c r="C64" s="193"/>
      <c r="E64" s="193"/>
      <c r="F64" s="193"/>
      <c r="H64" s="193"/>
      <c r="L64" s="193"/>
      <c r="M64" s="195"/>
      <c r="N64" s="196"/>
      <c r="P64" s="196"/>
      <c r="R64" s="197"/>
      <c r="AD64" s="193"/>
      <c r="AH64" s="193"/>
      <c r="AJ64" s="197"/>
      <c r="AL64" s="198"/>
      <c r="AM64" s="192"/>
    </row>
    <row r="65" spans="1:39" s="194" customFormat="1" x14ac:dyDescent="0.25">
      <c r="A65" s="192"/>
      <c r="B65" s="192"/>
      <c r="C65" s="193"/>
      <c r="E65" s="193"/>
      <c r="F65" s="193"/>
      <c r="H65" s="193"/>
      <c r="L65" s="193"/>
      <c r="M65" s="195"/>
      <c r="N65" s="196"/>
      <c r="P65" s="196"/>
      <c r="R65" s="197"/>
      <c r="AD65" s="193"/>
      <c r="AH65" s="193"/>
      <c r="AJ65" s="197"/>
      <c r="AL65" s="198"/>
      <c r="AM65" s="192"/>
    </row>
    <row r="66" spans="1:39" s="194" customFormat="1" x14ac:dyDescent="0.25">
      <c r="A66" s="192"/>
      <c r="B66" s="192"/>
      <c r="C66" s="193"/>
      <c r="E66" s="193"/>
      <c r="F66" s="193"/>
      <c r="H66" s="193"/>
      <c r="L66" s="193"/>
      <c r="M66" s="195"/>
      <c r="N66" s="196"/>
      <c r="P66" s="196"/>
      <c r="R66" s="197"/>
      <c r="AD66" s="193"/>
      <c r="AH66" s="193"/>
      <c r="AJ66" s="197"/>
      <c r="AL66" s="198"/>
      <c r="AM66" s="192"/>
    </row>
    <row r="67" spans="1:39" s="194" customFormat="1" x14ac:dyDescent="0.25">
      <c r="A67" s="192"/>
      <c r="B67" s="192"/>
      <c r="C67" s="193"/>
      <c r="E67" s="193"/>
      <c r="F67" s="193"/>
      <c r="H67" s="193"/>
      <c r="L67" s="193"/>
      <c r="M67" s="195"/>
      <c r="N67" s="196"/>
      <c r="P67" s="196"/>
      <c r="R67" s="197"/>
      <c r="AD67" s="193"/>
      <c r="AH67" s="193"/>
      <c r="AJ67" s="197"/>
      <c r="AL67" s="198"/>
      <c r="AM67" s="192"/>
    </row>
    <row r="68" spans="1:39" s="194" customFormat="1" x14ac:dyDescent="0.25">
      <c r="A68" s="192"/>
      <c r="B68" s="192"/>
      <c r="C68" s="193"/>
      <c r="E68" s="193"/>
      <c r="F68" s="193"/>
      <c r="H68" s="193"/>
      <c r="L68" s="193"/>
      <c r="M68" s="195"/>
      <c r="N68" s="196"/>
      <c r="P68" s="196"/>
      <c r="R68" s="197"/>
      <c r="AD68" s="193"/>
      <c r="AH68" s="193"/>
      <c r="AJ68" s="197"/>
      <c r="AL68" s="198"/>
      <c r="AM68" s="192"/>
    </row>
    <row r="69" spans="1:39" s="194" customFormat="1" x14ac:dyDescent="0.25">
      <c r="A69" s="192"/>
      <c r="B69" s="192"/>
      <c r="C69" s="193"/>
      <c r="E69" s="193"/>
      <c r="F69" s="193"/>
      <c r="H69" s="193"/>
      <c r="L69" s="193"/>
      <c r="M69" s="195"/>
      <c r="N69" s="196"/>
      <c r="P69" s="196"/>
      <c r="R69" s="197"/>
      <c r="AD69" s="193"/>
      <c r="AH69" s="193"/>
      <c r="AJ69" s="197"/>
      <c r="AL69" s="198"/>
      <c r="AM69" s="192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37" sqref="C37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1">
        <v>43709</v>
      </c>
      <c r="B2" s="262"/>
      <c r="C2" s="262"/>
    </row>
    <row r="3" spans="1:3" x14ac:dyDescent="0.25">
      <c r="A3" s="264" t="s">
        <v>1</v>
      </c>
      <c r="B3" s="263" t="s">
        <v>2</v>
      </c>
      <c r="C3" s="263" t="s">
        <v>3</v>
      </c>
    </row>
    <row r="4" spans="1:3" x14ac:dyDescent="0.25">
      <c r="A4" s="264"/>
      <c r="B4" s="263"/>
      <c r="C4" s="263"/>
    </row>
    <row r="5" spans="1:3" x14ac:dyDescent="0.25">
      <c r="A5" s="264"/>
      <c r="B5" s="263"/>
      <c r="C5" s="263"/>
    </row>
    <row r="6" spans="1:3" x14ac:dyDescent="0.25">
      <c r="A6" s="2">
        <v>1</v>
      </c>
      <c r="B6" s="220">
        <v>48</v>
      </c>
      <c r="C6" s="221">
        <v>374</v>
      </c>
    </row>
    <row r="7" spans="1:3" x14ac:dyDescent="0.25">
      <c r="A7" s="2">
        <v>2</v>
      </c>
      <c r="B7" s="220">
        <v>62</v>
      </c>
      <c r="C7" s="221">
        <v>430</v>
      </c>
    </row>
    <row r="8" spans="1:3" x14ac:dyDescent="0.25">
      <c r="A8" s="2">
        <f>A7+1</f>
        <v>3</v>
      </c>
      <c r="B8" s="220">
        <v>72</v>
      </c>
      <c r="C8" s="221">
        <v>401</v>
      </c>
    </row>
    <row r="9" spans="1:3" x14ac:dyDescent="0.25">
      <c r="A9" s="2">
        <f>A8+1</f>
        <v>4</v>
      </c>
      <c r="B9" s="220">
        <v>81</v>
      </c>
      <c r="C9" s="221">
        <v>968</v>
      </c>
    </row>
    <row r="10" spans="1:3" x14ac:dyDescent="0.25">
      <c r="A10" s="2">
        <f t="shared" ref="A10:A35" si="0">A9+1</f>
        <v>5</v>
      </c>
      <c r="B10" s="220">
        <v>125</v>
      </c>
      <c r="C10" s="221">
        <v>727</v>
      </c>
    </row>
    <row r="11" spans="1:3" x14ac:dyDescent="0.25">
      <c r="A11" s="2">
        <f t="shared" si="0"/>
        <v>6</v>
      </c>
      <c r="B11" s="220">
        <v>125</v>
      </c>
      <c r="C11" s="221">
        <v>932</v>
      </c>
    </row>
    <row r="12" spans="1:3" x14ac:dyDescent="0.25">
      <c r="A12" s="2">
        <f t="shared" si="0"/>
        <v>7</v>
      </c>
      <c r="B12" s="220">
        <v>116</v>
      </c>
      <c r="C12" s="221">
        <v>639</v>
      </c>
    </row>
    <row r="13" spans="1:3" x14ac:dyDescent="0.25">
      <c r="A13" s="2">
        <f t="shared" si="0"/>
        <v>8</v>
      </c>
      <c r="B13" s="220">
        <v>114</v>
      </c>
      <c r="C13" s="221">
        <v>707</v>
      </c>
    </row>
    <row r="14" spans="1:3" x14ac:dyDescent="0.25">
      <c r="A14" s="2">
        <f t="shared" si="0"/>
        <v>9</v>
      </c>
      <c r="B14" s="220">
        <v>115</v>
      </c>
      <c r="C14" s="221">
        <v>553</v>
      </c>
    </row>
    <row r="15" spans="1:3" x14ac:dyDescent="0.25">
      <c r="A15" s="2">
        <f t="shared" si="0"/>
        <v>10</v>
      </c>
      <c r="B15" s="220">
        <v>119</v>
      </c>
      <c r="C15" s="221">
        <v>700</v>
      </c>
    </row>
    <row r="16" spans="1:3" x14ac:dyDescent="0.25">
      <c r="A16" s="2">
        <f t="shared" si="0"/>
        <v>11</v>
      </c>
      <c r="B16" s="220">
        <v>125</v>
      </c>
      <c r="C16" s="221">
        <v>656</v>
      </c>
    </row>
    <row r="17" spans="1:3" x14ac:dyDescent="0.25">
      <c r="A17" s="2">
        <f t="shared" si="0"/>
        <v>12</v>
      </c>
      <c r="B17" s="220">
        <v>128</v>
      </c>
      <c r="C17" s="221">
        <v>709</v>
      </c>
    </row>
    <row r="18" spans="1:3" x14ac:dyDescent="0.25">
      <c r="A18" s="2">
        <f t="shared" si="0"/>
        <v>13</v>
      </c>
      <c r="B18" s="220">
        <v>119</v>
      </c>
      <c r="C18" s="221">
        <v>670</v>
      </c>
    </row>
    <row r="19" spans="1:3" x14ac:dyDescent="0.25">
      <c r="A19" s="2">
        <f t="shared" si="0"/>
        <v>14</v>
      </c>
      <c r="B19" s="220">
        <v>116</v>
      </c>
      <c r="C19" s="221">
        <v>620</v>
      </c>
    </row>
    <row r="20" spans="1:3" x14ac:dyDescent="0.25">
      <c r="A20" s="2">
        <f t="shared" si="0"/>
        <v>15</v>
      </c>
      <c r="B20" s="220">
        <v>105</v>
      </c>
      <c r="C20" s="221">
        <v>591</v>
      </c>
    </row>
    <row r="21" spans="1:3" x14ac:dyDescent="0.25">
      <c r="A21" s="2">
        <f t="shared" si="0"/>
        <v>16</v>
      </c>
      <c r="B21" s="220">
        <v>103</v>
      </c>
      <c r="C21" s="221">
        <v>596</v>
      </c>
    </row>
    <row r="22" spans="1:3" x14ac:dyDescent="0.25">
      <c r="A22" s="2">
        <f t="shared" si="0"/>
        <v>17</v>
      </c>
      <c r="B22" s="220">
        <v>104</v>
      </c>
      <c r="C22" s="221">
        <v>563</v>
      </c>
    </row>
    <row r="23" spans="1:3" x14ac:dyDescent="0.25">
      <c r="A23" s="2">
        <f t="shared" si="0"/>
        <v>18</v>
      </c>
      <c r="B23" s="220">
        <v>132</v>
      </c>
      <c r="C23" s="221">
        <v>729</v>
      </c>
    </row>
    <row r="24" spans="1:3" x14ac:dyDescent="0.25">
      <c r="A24" s="2">
        <f t="shared" si="0"/>
        <v>19</v>
      </c>
      <c r="B24" s="220">
        <v>137</v>
      </c>
      <c r="C24" s="221">
        <v>679</v>
      </c>
    </row>
    <row r="25" spans="1:3" x14ac:dyDescent="0.25">
      <c r="A25" s="2">
        <f t="shared" si="0"/>
        <v>20</v>
      </c>
      <c r="B25" s="220">
        <v>115</v>
      </c>
      <c r="C25" s="221">
        <v>756</v>
      </c>
    </row>
    <row r="26" spans="1:3" x14ac:dyDescent="0.25">
      <c r="A26" s="2">
        <f t="shared" si="0"/>
        <v>21</v>
      </c>
      <c r="B26" s="220">
        <v>117</v>
      </c>
      <c r="C26" s="221">
        <v>652</v>
      </c>
    </row>
    <row r="27" spans="1:3" x14ac:dyDescent="0.25">
      <c r="A27" s="2">
        <f t="shared" si="0"/>
        <v>22</v>
      </c>
      <c r="B27" s="220">
        <v>122</v>
      </c>
      <c r="C27" s="221">
        <v>759</v>
      </c>
    </row>
    <row r="28" spans="1:3" x14ac:dyDescent="0.25">
      <c r="A28" s="2">
        <f t="shared" si="0"/>
        <v>23</v>
      </c>
      <c r="B28" s="220">
        <v>120</v>
      </c>
      <c r="C28" s="221">
        <v>734</v>
      </c>
    </row>
    <row r="29" spans="1:3" x14ac:dyDescent="0.25">
      <c r="A29" s="2">
        <f t="shared" si="0"/>
        <v>24</v>
      </c>
      <c r="B29" s="220">
        <v>120</v>
      </c>
      <c r="C29" s="221">
        <v>682</v>
      </c>
    </row>
    <row r="30" spans="1:3" x14ac:dyDescent="0.25">
      <c r="A30" s="2">
        <f t="shared" si="0"/>
        <v>25</v>
      </c>
      <c r="B30" s="220">
        <v>127</v>
      </c>
      <c r="C30" s="221">
        <v>580</v>
      </c>
    </row>
    <row r="31" spans="1:3" x14ac:dyDescent="0.25">
      <c r="A31" s="2">
        <f t="shared" si="0"/>
        <v>26</v>
      </c>
      <c r="B31" s="220">
        <v>130</v>
      </c>
      <c r="C31" s="221">
        <v>709</v>
      </c>
    </row>
    <row r="32" spans="1:3" x14ac:dyDescent="0.25">
      <c r="A32" s="2">
        <f t="shared" si="0"/>
        <v>27</v>
      </c>
      <c r="B32" s="220">
        <v>128</v>
      </c>
      <c r="C32" s="221">
        <v>775</v>
      </c>
    </row>
    <row r="33" spans="1:3" x14ac:dyDescent="0.25">
      <c r="A33" s="2">
        <f t="shared" si="0"/>
        <v>28</v>
      </c>
      <c r="B33" s="220">
        <v>137</v>
      </c>
      <c r="C33" s="221">
        <v>907</v>
      </c>
    </row>
    <row r="34" spans="1:3" x14ac:dyDescent="0.25">
      <c r="A34" s="2">
        <f t="shared" si="0"/>
        <v>29</v>
      </c>
      <c r="B34" s="220">
        <v>129</v>
      </c>
      <c r="C34" s="221">
        <v>882</v>
      </c>
    </row>
    <row r="35" spans="1:3" x14ac:dyDescent="0.25">
      <c r="A35" s="2">
        <f t="shared" si="0"/>
        <v>30</v>
      </c>
      <c r="B35" s="220">
        <v>127</v>
      </c>
      <c r="C35" s="221">
        <v>836</v>
      </c>
    </row>
    <row r="37" spans="1:3" x14ac:dyDescent="0.25">
      <c r="B37" s="6">
        <f>SUM(B6:B35)</f>
        <v>3418</v>
      </c>
      <c r="C37" s="6">
        <f>SUM(C6:C35)</f>
        <v>20516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infopath/2007/PartnerControls"/>
    <ds:schemaRef ds:uri="a2b08d59-ce98-408b-b7f1-7ea559ce0d50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2e11796f-5f26-4c51-a1e5-22e0f1616a7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F4E472-994A-4376-9B92-AB6214703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September 2019</vt:lpstr>
      <vt:lpstr>RNs &amp; Covers September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2022-06-06T13:00:09Z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