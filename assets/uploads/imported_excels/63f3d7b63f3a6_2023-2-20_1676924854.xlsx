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C8018528-B1CD-41BC-8421-6D10E01841D3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EAU-ELEC'!$A$1:$K$38</definedName>
    <definedName name="_xlnm.Print_Area" localSheetId="4">'Suvi Gaz'!$A$1:$AC$47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P42" i="4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L22" i="2"/>
  <c r="M22" i="2"/>
  <c r="N22" i="2"/>
  <c r="L23" i="2"/>
  <c r="M23" i="2"/>
  <c r="N23" i="2"/>
  <c r="L24" i="2"/>
  <c r="M24" i="2"/>
  <c r="N24" i="2"/>
  <c r="L25" i="2"/>
  <c r="M25" i="2"/>
  <c r="N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M34" i="2"/>
  <c r="N34" i="2"/>
  <c r="L35" i="2"/>
  <c r="M35" i="2"/>
  <c r="N35" i="2"/>
  <c r="L36" i="2"/>
  <c r="M36" i="2"/>
  <c r="N36" i="2"/>
  <c r="L37" i="2"/>
  <c r="M37" i="2"/>
  <c r="N37" i="2"/>
  <c r="L38" i="2"/>
  <c r="M38" i="2"/>
  <c r="N38" i="2"/>
  <c r="L39" i="2"/>
  <c r="M39" i="2"/>
  <c r="N39" i="2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X10" i="2"/>
  <c r="O5" i="4"/>
  <c r="O6" i="4"/>
  <c r="O7" i="4"/>
  <c r="O8" i="4"/>
  <c r="O9" i="4"/>
  <c r="O10" i="4"/>
  <c r="P10" i="4" s="1"/>
  <c r="O11" i="4"/>
  <c r="P11" i="4" s="1"/>
  <c r="O12" i="4"/>
  <c r="P12" i="4" s="1"/>
  <c r="O13" i="4"/>
  <c r="O14" i="4"/>
  <c r="O15" i="4"/>
  <c r="O16" i="4"/>
  <c r="O17" i="4"/>
  <c r="O18" i="4"/>
  <c r="P18" i="4" s="1"/>
  <c r="O19" i="4"/>
  <c r="P19" i="4" s="1"/>
  <c r="O20" i="4"/>
  <c r="P20" i="4" s="1"/>
  <c r="O21" i="4"/>
  <c r="O22" i="4"/>
  <c r="O23" i="4"/>
  <c r="O24" i="4"/>
  <c r="O25" i="4"/>
  <c r="O26" i="4"/>
  <c r="P26" i="4" s="1"/>
  <c r="O27" i="4"/>
  <c r="P27" i="4" s="1"/>
  <c r="O28" i="4"/>
  <c r="P28" i="4" s="1"/>
  <c r="O29" i="4"/>
  <c r="O30" i="4"/>
  <c r="O31" i="4"/>
  <c r="O32" i="4"/>
  <c r="O33" i="4"/>
  <c r="P5" i="4"/>
  <c r="P6" i="4"/>
  <c r="P7" i="4"/>
  <c r="P8" i="4"/>
  <c r="P9" i="4"/>
  <c r="P13" i="4"/>
  <c r="P14" i="4"/>
  <c r="P15" i="4"/>
  <c r="P16" i="4"/>
  <c r="P17" i="4"/>
  <c r="P21" i="4"/>
  <c r="P22" i="4"/>
  <c r="P23" i="4"/>
  <c r="P24" i="4"/>
  <c r="P25" i="4"/>
  <c r="P29" i="4"/>
  <c r="P30" i="4"/>
  <c r="P31" i="4"/>
  <c r="P32" i="4"/>
  <c r="P33" i="4"/>
  <c r="P4" i="4"/>
  <c r="M47" i="4" l="1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G4" i="22"/>
  <c r="G5" i="22"/>
  <c r="G12" i="22"/>
  <c r="G13" i="22"/>
  <c r="G15" i="22"/>
  <c r="G20" i="22"/>
  <c r="G21" i="22"/>
  <c r="G23" i="22"/>
  <c r="G28" i="22"/>
  <c r="G29" i="22"/>
  <c r="G31" i="22"/>
  <c r="G3" i="22"/>
  <c r="G6" i="22"/>
  <c r="G7" i="22"/>
  <c r="G8" i="22"/>
  <c r="G9" i="22"/>
  <c r="G10" i="22"/>
  <c r="G11" i="22"/>
  <c r="G14" i="22"/>
  <c r="G16" i="22"/>
  <c r="G17" i="22"/>
  <c r="G18" i="22"/>
  <c r="G19" i="22"/>
  <c r="G22" i="22"/>
  <c r="G24" i="22"/>
  <c r="G25" i="22"/>
  <c r="G26" i="22"/>
  <c r="G27" i="22"/>
  <c r="G30" i="22"/>
  <c r="I3" i="21" l="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O19" i="2"/>
  <c r="O20" i="2"/>
  <c r="O21" i="2"/>
  <c r="O26" i="2"/>
  <c r="O27" i="2"/>
  <c r="O29" i="2"/>
  <c r="O33" i="2"/>
  <c r="O34" i="2"/>
  <c r="O35" i="2"/>
  <c r="O37" i="2" l="1"/>
  <c r="O38" i="2"/>
  <c r="O30" i="2"/>
  <c r="O22" i="2"/>
  <c r="O25" i="2"/>
  <c r="O36" i="2"/>
  <c r="O28" i="2"/>
  <c r="O24" i="2"/>
  <c r="O32" i="2"/>
  <c r="O31" i="2"/>
  <c r="O39" i="2"/>
  <c r="O23" i="2"/>
  <c r="C16" i="6"/>
  <c r="C15" i="6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2" i="22"/>
  <c r="I11" i="22"/>
  <c r="I10" i="22"/>
  <c r="I8" i="22"/>
  <c r="I7" i="22"/>
  <c r="C14" i="6"/>
  <c r="I6" i="22"/>
  <c r="C13" i="6"/>
  <c r="C12" i="6"/>
  <c r="E4" i="22"/>
  <c r="C11" i="6"/>
  <c r="M4" i="4"/>
  <c r="M5" i="4"/>
  <c r="M6" i="4"/>
  <c r="M7" i="4"/>
  <c r="K10" i="6"/>
  <c r="I10" i="6"/>
  <c r="G10" i="6"/>
  <c r="E10" i="6"/>
  <c r="C10" i="6"/>
  <c r="N10" i="2"/>
  <c r="G2" i="21" s="1"/>
  <c r="M10" i="2"/>
  <c r="F2" i="21" s="1"/>
  <c r="L10" i="2"/>
  <c r="E2" i="21" s="1"/>
  <c r="F10" i="2"/>
  <c r="I2" i="22" s="1"/>
  <c r="AC9" i="4"/>
  <c r="I9" i="4" s="1"/>
  <c r="AC10" i="4"/>
  <c r="I10" i="4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N40" i="4" s="1"/>
  <c r="O40" i="4" s="1"/>
  <c r="P40" i="4" s="1"/>
  <c r="M41" i="4"/>
  <c r="M8" i="4"/>
  <c r="H38" i="2"/>
  <c r="H36" i="2"/>
  <c r="H34" i="2"/>
  <c r="H30" i="2"/>
  <c r="H18" i="2"/>
  <c r="AC22" i="4"/>
  <c r="I22" i="4" s="1"/>
  <c r="J4" i="4"/>
  <c r="K4" i="4" s="1"/>
  <c r="AC32" i="4"/>
  <c r="I32" i="4" s="1"/>
  <c r="Z42" i="4"/>
  <c r="J9" i="4"/>
  <c r="K9" i="4" s="1"/>
  <c r="J10" i="4"/>
  <c r="K10" i="4" s="1"/>
  <c r="J11" i="4"/>
  <c r="K11" i="4" s="1"/>
  <c r="J12" i="4"/>
  <c r="K12" i="4" s="1"/>
  <c r="J13" i="4"/>
  <c r="K13" i="4" s="1"/>
  <c r="J31" i="4"/>
  <c r="K31" i="4" s="1"/>
  <c r="AC29" i="4"/>
  <c r="I29" i="4" s="1"/>
  <c r="G8" i="20"/>
  <c r="B13" i="20"/>
  <c r="F13" i="20"/>
  <c r="B20" i="20"/>
  <c r="F20" i="20"/>
  <c r="J5" i="4"/>
  <c r="K5" i="4" s="1"/>
  <c r="J34" i="4"/>
  <c r="K34" i="4" s="1"/>
  <c r="F29" i="19"/>
  <c r="H29" i="19"/>
  <c r="I29" i="19"/>
  <c r="J7" i="4"/>
  <c r="K7" i="4" s="1"/>
  <c r="J6" i="4"/>
  <c r="K6" i="4" s="1"/>
  <c r="L2" i="22"/>
  <c r="K2" i="22"/>
  <c r="I2" i="21"/>
  <c r="H2" i="21"/>
  <c r="D40" i="2"/>
  <c r="E40" i="2"/>
  <c r="B3" i="21"/>
  <c r="B4" i="2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" i="22"/>
  <c r="B4" i="22"/>
  <c r="B5" i="22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J20" i="4"/>
  <c r="K20" i="4" s="1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I33" i="4" s="1"/>
  <c r="AC16" i="4"/>
  <c r="AC17" i="4"/>
  <c r="AC11" i="4"/>
  <c r="AC13" i="4"/>
  <c r="I13" i="4" s="1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I12" i="4" s="1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 s="1"/>
  <c r="AD5" i="4"/>
  <c r="AE5" i="4"/>
  <c r="AC6" i="4"/>
  <c r="I6" i="4" s="1"/>
  <c r="AD6" i="4"/>
  <c r="AE6" i="4"/>
  <c r="AC7" i="4"/>
  <c r="AD7" i="4"/>
  <c r="AE7" i="4"/>
  <c r="J8" i="4"/>
  <c r="K8" i="4" s="1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 s="1"/>
  <c r="AC14" i="4"/>
  <c r="I14" i="4" s="1"/>
  <c r="J15" i="4"/>
  <c r="K15" i="4" s="1"/>
  <c r="AC15" i="4"/>
  <c r="I15" i="4" s="1"/>
  <c r="J16" i="4"/>
  <c r="K16" i="4" s="1"/>
  <c r="J17" i="4"/>
  <c r="K17" i="4" s="1"/>
  <c r="J18" i="4"/>
  <c r="K18" i="4" s="1"/>
  <c r="AC18" i="4"/>
  <c r="I18" i="4" s="1"/>
  <c r="J19" i="4"/>
  <c r="K19" i="4" s="1"/>
  <c r="AC19" i="4"/>
  <c r="I19" i="4" s="1"/>
  <c r="AC20" i="4"/>
  <c r="I20" i="4" s="1"/>
  <c r="J21" i="4"/>
  <c r="K21" i="4" s="1"/>
  <c r="J22" i="4"/>
  <c r="K22" i="4" s="1"/>
  <c r="J23" i="4"/>
  <c r="K23" i="4" s="1"/>
  <c r="J24" i="4"/>
  <c r="K24" i="4" s="1"/>
  <c r="J25" i="4"/>
  <c r="K25" i="4" s="1"/>
  <c r="AD25" i="4"/>
  <c r="J26" i="4"/>
  <c r="K26" i="4" s="1"/>
  <c r="AC26" i="4"/>
  <c r="I26" i="4" s="1"/>
  <c r="AD26" i="4"/>
  <c r="J27" i="4"/>
  <c r="K27" i="4" s="1"/>
  <c r="AC27" i="4"/>
  <c r="AD27" i="4"/>
  <c r="J28" i="4"/>
  <c r="K28" i="4" s="1"/>
  <c r="AC28" i="4"/>
  <c r="I28" i="4" s="1"/>
  <c r="AD28" i="4"/>
  <c r="J29" i="4"/>
  <c r="K29" i="4" s="1"/>
  <c r="AD29" i="4"/>
  <c r="J30" i="4"/>
  <c r="K30" i="4" s="1"/>
  <c r="AD30" i="4"/>
  <c r="AE30" i="4"/>
  <c r="AC31" i="4"/>
  <c r="I31" i="4" s="1"/>
  <c r="AD31" i="4"/>
  <c r="AE31" i="4"/>
  <c r="J32" i="4"/>
  <c r="K32" i="4" s="1"/>
  <c r="AD32" i="4"/>
  <c r="AE32" i="4"/>
  <c r="J33" i="4"/>
  <c r="K33" i="4" s="1"/>
  <c r="AD33" i="4"/>
  <c r="AE33" i="4"/>
  <c r="AC34" i="4"/>
  <c r="AD34" i="4"/>
  <c r="AE34" i="4"/>
  <c r="J35" i="4"/>
  <c r="K35" i="4"/>
  <c r="AC35" i="4"/>
  <c r="G35" i="4" s="1"/>
  <c r="AD35" i="4"/>
  <c r="AE35" i="4"/>
  <c r="J36" i="4"/>
  <c r="K36" i="4"/>
  <c r="AC36" i="4"/>
  <c r="L36" i="4" s="1"/>
  <c r="N36" i="4" s="1"/>
  <c r="O36" i="4" s="1"/>
  <c r="P36" i="4" s="1"/>
  <c r="I36" i="4"/>
  <c r="AD36" i="4"/>
  <c r="AE36" i="4"/>
  <c r="J37" i="4"/>
  <c r="K37" i="4"/>
  <c r="AC37" i="4"/>
  <c r="I37" i="4" s="1"/>
  <c r="AD37" i="4"/>
  <c r="AE37" i="4"/>
  <c r="J38" i="4"/>
  <c r="K38" i="4"/>
  <c r="L37" i="4"/>
  <c r="N37" i="4" s="1"/>
  <c r="O37" i="4" s="1"/>
  <c r="P37" i="4" s="1"/>
  <c r="AC38" i="4"/>
  <c r="AD38" i="4"/>
  <c r="AE38" i="4"/>
  <c r="J39" i="4"/>
  <c r="K39" i="4"/>
  <c r="L38" i="4"/>
  <c r="N38" i="4" s="1"/>
  <c r="O38" i="4" s="1"/>
  <c r="P38" i="4" s="1"/>
  <c r="AC39" i="4"/>
  <c r="L39" i="4" s="1"/>
  <c r="N39" i="4" s="1"/>
  <c r="O39" i="4" s="1"/>
  <c r="P39" i="4" s="1"/>
  <c r="G39" i="4"/>
  <c r="AD39" i="4"/>
  <c r="AE39" i="4"/>
  <c r="J40" i="4"/>
  <c r="K40" i="4"/>
  <c r="AC40" i="4"/>
  <c r="E40" i="4" s="1"/>
  <c r="C40" i="4"/>
  <c r="G40" i="4"/>
  <c r="AD40" i="4"/>
  <c r="AE40" i="4"/>
  <c r="J41" i="4"/>
  <c r="K41" i="4"/>
  <c r="AC41" i="4"/>
  <c r="L41" i="4"/>
  <c r="N41" i="4"/>
  <c r="O41" i="4"/>
  <c r="P41" i="4" s="1"/>
  <c r="C41" i="4"/>
  <c r="AD41" i="4"/>
  <c r="AE41" i="4"/>
  <c r="Q42" i="4"/>
  <c r="T42" i="4"/>
  <c r="W42" i="4"/>
  <c r="S40" i="2"/>
  <c r="U40" i="2"/>
  <c r="G37" i="4"/>
  <c r="G38" i="4"/>
  <c r="H28" i="19"/>
  <c r="I28" i="19"/>
  <c r="G36" i="4"/>
  <c r="I25" i="4"/>
  <c r="E41" i="4"/>
  <c r="E35" i="4"/>
  <c r="I38" i="4"/>
  <c r="G41" i="4"/>
  <c r="E38" i="4"/>
  <c r="C38" i="4"/>
  <c r="C39" i="4"/>
  <c r="E39" i="4"/>
  <c r="C37" i="4"/>
  <c r="I35" i="4"/>
  <c r="I24" i="4"/>
  <c r="I17" i="4"/>
  <c r="I7" i="4"/>
  <c r="I39" i="4"/>
  <c r="C36" i="4"/>
  <c r="L40" i="4"/>
  <c r="I41" i="4"/>
  <c r="E36" i="4"/>
  <c r="E37" i="4"/>
  <c r="I40" i="4"/>
  <c r="I27" i="4"/>
  <c r="I23" i="4"/>
  <c r="I11" i="4"/>
  <c r="B13" i="18"/>
  <c r="F13" i="18"/>
  <c r="H29" i="10"/>
  <c r="I29" i="10"/>
  <c r="I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7" i="10"/>
  <c r="F19" i="10"/>
  <c r="B13" i="11"/>
  <c r="F13" i="11"/>
  <c r="F20" i="11" s="1"/>
  <c r="I16" i="4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I21" i="4"/>
  <c r="H10" i="2"/>
  <c r="O13" i="2" l="1"/>
  <c r="O12" i="2"/>
  <c r="E11" i="22"/>
  <c r="O14" i="2"/>
  <c r="O18" i="2"/>
  <c r="E14" i="22"/>
  <c r="E16" i="22"/>
  <c r="E18" i="22"/>
  <c r="E20" i="22"/>
  <c r="E22" i="22"/>
  <c r="E24" i="22"/>
  <c r="E26" i="22"/>
  <c r="E28" i="22"/>
  <c r="E30" i="22"/>
  <c r="O15" i="2"/>
  <c r="O17" i="2"/>
  <c r="O16" i="2"/>
  <c r="E9" i="22"/>
  <c r="E6" i="22"/>
  <c r="E13" i="22"/>
  <c r="E15" i="22"/>
  <c r="E17" i="22"/>
  <c r="E19" i="22"/>
  <c r="E21" i="22"/>
  <c r="E23" i="22"/>
  <c r="E25" i="22"/>
  <c r="E27" i="22"/>
  <c r="E29" i="22"/>
  <c r="E31" i="22"/>
  <c r="E5" i="22"/>
  <c r="E8" i="22"/>
  <c r="E7" i="22"/>
  <c r="E10" i="22"/>
  <c r="E12" i="22"/>
  <c r="F13" i="2"/>
  <c r="I5" i="22" s="1"/>
  <c r="F11" i="2"/>
  <c r="I3" i="22" s="1"/>
  <c r="I4" i="22"/>
  <c r="F12" i="2"/>
  <c r="H37" i="2"/>
  <c r="H20" i="2"/>
  <c r="H25" i="2"/>
  <c r="J10" i="21"/>
  <c r="H29" i="2"/>
  <c r="H19" i="2"/>
  <c r="Q18" i="2"/>
  <c r="H39" i="2"/>
  <c r="H17" i="2"/>
  <c r="I9" i="22"/>
  <c r="H21" i="2"/>
  <c r="I13" i="22"/>
  <c r="H33" i="2"/>
  <c r="H31" i="2"/>
  <c r="H27" i="2"/>
  <c r="H23" i="2"/>
  <c r="H35" i="2"/>
  <c r="L20" i="4"/>
  <c r="N20" i="4" s="1"/>
  <c r="G34" i="4"/>
  <c r="E34" i="4"/>
  <c r="C34" i="4"/>
  <c r="I34" i="4"/>
  <c r="L34" i="4"/>
  <c r="N34" i="4" s="1"/>
  <c r="O34" i="4" s="1"/>
  <c r="P34" i="4" s="1"/>
  <c r="AC42" i="4"/>
  <c r="Q43" i="4"/>
  <c r="AC43" i="4" s="1"/>
  <c r="K47" i="4" s="1"/>
  <c r="L47" i="4" s="1"/>
  <c r="L12" i="4"/>
  <c r="N12" i="4" s="1"/>
  <c r="L27" i="4"/>
  <c r="N27" i="4" s="1"/>
  <c r="L7" i="4"/>
  <c r="N7" i="4" s="1"/>
  <c r="L16" i="4"/>
  <c r="N16" i="4" s="1"/>
  <c r="L11" i="4"/>
  <c r="N11" i="4" s="1"/>
  <c r="L35" i="4"/>
  <c r="N35" i="4" s="1"/>
  <c r="O35" i="4" s="1"/>
  <c r="P35" i="4" s="1"/>
  <c r="L31" i="4"/>
  <c r="N31" i="4" s="1"/>
  <c r="L30" i="4"/>
  <c r="N30" i="4" s="1"/>
  <c r="C35" i="4"/>
  <c r="L26" i="4"/>
  <c r="N26" i="4" s="1"/>
  <c r="L23" i="4"/>
  <c r="N23" i="4" s="1"/>
  <c r="L19" i="4"/>
  <c r="N19" i="4" s="1"/>
  <c r="L25" i="4"/>
  <c r="N25" i="4" s="1"/>
  <c r="L24" i="4"/>
  <c r="N24" i="4" s="1"/>
  <c r="L28" i="4"/>
  <c r="N28" i="4" s="1"/>
  <c r="L15" i="4"/>
  <c r="N15" i="4" s="1"/>
  <c r="L14" i="4"/>
  <c r="N14" i="4" s="1"/>
  <c r="L9" i="4"/>
  <c r="N9" i="4" s="1"/>
  <c r="L10" i="4"/>
  <c r="N10" i="4" s="1"/>
  <c r="L32" i="4"/>
  <c r="N32" i="4" s="1"/>
  <c r="L33" i="4"/>
  <c r="N33" i="4" s="1"/>
  <c r="L21" i="4"/>
  <c r="N21" i="4" s="1"/>
  <c r="L22" i="4"/>
  <c r="N22" i="4" s="1"/>
  <c r="L17" i="4"/>
  <c r="N17" i="4" s="1"/>
  <c r="L18" i="4"/>
  <c r="N18" i="4" s="1"/>
  <c r="L13" i="4"/>
  <c r="N13" i="4" s="1"/>
  <c r="L29" i="4"/>
  <c r="N29" i="4" s="1"/>
  <c r="G4" i="4"/>
  <c r="E4" i="4"/>
  <c r="C4" i="4"/>
  <c r="H26" i="2"/>
  <c r="Q33" i="2"/>
  <c r="Q31" i="2"/>
  <c r="Q27" i="2"/>
  <c r="J19" i="21"/>
  <c r="J20" i="21"/>
  <c r="J22" i="21"/>
  <c r="Q36" i="2"/>
  <c r="J14" i="21"/>
  <c r="J16" i="21"/>
  <c r="Q30" i="2"/>
  <c r="Q32" i="2"/>
  <c r="Q38" i="2"/>
  <c r="M40" i="2"/>
  <c r="I44" i="2" s="1"/>
  <c r="L44" i="2" s="1"/>
  <c r="Q21" i="2"/>
  <c r="Q23" i="2"/>
  <c r="Q37" i="2"/>
  <c r="Q39" i="2"/>
  <c r="Q26" i="2"/>
  <c r="Q20" i="2"/>
  <c r="Q22" i="2"/>
  <c r="Q28" i="2"/>
  <c r="Q24" i="2"/>
  <c r="Q34" i="2"/>
  <c r="J11" i="21"/>
  <c r="J17" i="21"/>
  <c r="J21" i="21"/>
  <c r="J24" i="21"/>
  <c r="J30" i="21"/>
  <c r="J23" i="21"/>
  <c r="Q19" i="2"/>
  <c r="Q29" i="2"/>
  <c r="Q35" i="2"/>
  <c r="Q25" i="2"/>
  <c r="N40" i="2"/>
  <c r="I45" i="2" s="1"/>
  <c r="L45" i="2" s="1"/>
  <c r="Q16" i="2"/>
  <c r="J9" i="21"/>
  <c r="Q17" i="2"/>
  <c r="O10" i="2"/>
  <c r="J2" i="21"/>
  <c r="Q10" i="2"/>
  <c r="E2" i="22"/>
  <c r="H15" i="2"/>
  <c r="J13" i="21"/>
  <c r="J12" i="21"/>
  <c r="C31" i="4"/>
  <c r="G31" i="4"/>
  <c r="E31" i="4"/>
  <c r="G28" i="4"/>
  <c r="E28" i="4"/>
  <c r="C28" i="4"/>
  <c r="G26" i="4"/>
  <c r="E26" i="4"/>
  <c r="C26" i="4"/>
  <c r="G15" i="4"/>
  <c r="E15" i="4"/>
  <c r="C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0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Q14" i="2"/>
  <c r="L8" i="4"/>
  <c r="N8" i="4" s="1"/>
  <c r="I4" i="4"/>
  <c r="L4" i="4"/>
  <c r="N4" i="4" s="1"/>
  <c r="E3" i="22" l="1"/>
  <c r="O11" i="2"/>
  <c r="Q11" i="2"/>
  <c r="J3" i="21"/>
  <c r="F40" i="2"/>
  <c r="M19" i="22"/>
  <c r="M11" i="22"/>
  <c r="M9" i="22"/>
  <c r="M20" i="22"/>
  <c r="M21" i="22"/>
  <c r="M17" i="22"/>
  <c r="N42" i="4"/>
  <c r="O42" i="4" s="1"/>
  <c r="M18" i="22"/>
  <c r="M22" i="22"/>
  <c r="M10" i="22"/>
  <c r="M13" i="22"/>
  <c r="J8" i="21"/>
  <c r="J18" i="21"/>
  <c r="J26" i="21"/>
  <c r="J15" i="21"/>
  <c r="J25" i="21"/>
  <c r="Q15" i="2"/>
  <c r="Q13" i="2"/>
  <c r="Q12" i="2"/>
  <c r="H16" i="2"/>
  <c r="H14" i="2"/>
  <c r="H13" i="2"/>
  <c r="H12" i="2"/>
  <c r="H11" i="2"/>
  <c r="O4" i="4"/>
  <c r="M8" i="22" l="1"/>
  <c r="M15" i="22"/>
  <c r="M14" i="22"/>
  <c r="M25" i="22"/>
  <c r="M26" i="22"/>
  <c r="M7" i="22"/>
  <c r="M24" i="22"/>
  <c r="M23" i="22"/>
  <c r="M12" i="22"/>
  <c r="M16" i="22"/>
  <c r="M6" i="22"/>
  <c r="M3" i="22"/>
  <c r="M4" i="22"/>
  <c r="Q40" i="2"/>
  <c r="O40" i="2"/>
  <c r="H40" i="2"/>
  <c r="V10" i="2"/>
  <c r="I47" i="2"/>
  <c r="L47" i="2" s="1"/>
  <c r="N47" i="2" s="1"/>
  <c r="I43" i="2"/>
  <c r="L43" i="2" s="1"/>
  <c r="N43" i="2" s="1"/>
  <c r="N46" i="2" s="1"/>
  <c r="J4" i="21"/>
  <c r="J5" i="21"/>
  <c r="M5" i="22"/>
  <c r="J6" i="21"/>
  <c r="J7" i="21"/>
  <c r="K46" i="4"/>
  <c r="X40" i="2" l="1"/>
  <c r="G2" i="22"/>
  <c r="M2" i="22" s="1"/>
  <c r="V40" i="2"/>
  <c r="L46" i="4"/>
  <c r="M46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<sst xmlns="http://schemas.openxmlformats.org/spreadsheetml/2006/main" count="498" uniqueCount="204">
  <si>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</si>
  <si>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</si>
  <si>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</si>
  <si>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</si>
  <si>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</si>
  <si>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</si>
  <si>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</si>
  <si>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</si>
  <si>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</si>
  <si>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</si>
  <si>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</si>
  <si>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</si>
  <si>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</si>
  <si>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</si>
  <si>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</si>
  <si>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</si>
  <si>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</si>
  <si>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</si>
  <si>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</si>
  <si>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</si>
  <si>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</si>
  <si>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</si>
  <si>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</si>
  <si>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</si>
  <si>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</si>
  <si>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</si>
  <si>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</si>
  <si>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</si>
  <si>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</si>
  <si>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</si>
  <si>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</si>
  <si>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</si>
  <si>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</si>
  <si>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</si>
  <si>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</si>
  <si>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</si>
  <si>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</si>
  <si>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</si>
  <si>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</si>
  <si>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</si>
  <si>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</si>
  <si>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</si>
  <si>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</si>
  <si>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</si>
  <si>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</si>
  <si>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</si>
  <si>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</si>
  <si>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</si>
  <si>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</si>
  <si>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</si>
  <si>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</si>
  <si>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</si>
  <si>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</si>
  <si>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</si>
  <si>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</si>
  <si>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</si>
  <si>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</si>
  <si>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</si>
  <si>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</si>
  <si>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</si>
  <si>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</si>
  <si>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</si>
  <si>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</si>
  <si>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</si>
  <si>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</si>
  <si>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</si>
  <si>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</si>
  <si>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</si>
  <si>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</si>
  <si>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</si>
  <si>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</si>
  <si>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</si>
  <si>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</si>
  <si>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</si>
  <si>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</si>
  <si>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</si>
  <si>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</si>
  <si>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</si>
  <si>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</si>
  <si>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</si>
  <si>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</si>
  <si>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</si>
  <si>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</si>
  <si>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</si>
  <si>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</si>
  <si>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</si>
  <si>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</si>
  <si>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</si>
  <si>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</si>
  <si>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</si>
  <si>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</si>
  <si>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</si>
  <si>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</si>
  <si>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</si>
  <si>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</si>
  <si>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</si>
  <si>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</si>
  <si>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</si>
  <si>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</si>
  <si>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</si>
  <si>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</si>
  <si>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</si>
  <si>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</si>
  <si>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</si>
  <si>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</si>
  <si>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</si>
  <si>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</si>
  <si>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</si>
  <si>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</si>
  <si>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</si>
  <si>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</si>
  <si>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</si>
  <si>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</si>
  <si>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</si>
  <si>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</si>
  <si>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</si>
  <si>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</si>
  <si>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</si>
  <si>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</si>
  <si>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</si>
  <si>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</si>
  <si>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</si>
  <si>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</si>
  <si>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</si>
  <si>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</si>
  <si>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</si>
  <si>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</si>
  <si>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</si>
  <si>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</si>
  <si>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</si>
  <si>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</si>
  <si>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</si>
  <si>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</si>
  <si>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</si>
  <si>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</si>
  <si>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</si>
  <si>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</si>
  <si>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</si>
  <si>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</si>
  <si>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</si>
  <si>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</si>
  <si>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</si>
  <si>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</si>
  <si>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</si>
  <si>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</si>
  <si>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</si>
  <si>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</si>
  <si>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</si>
  <si>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</si>
  <si>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</si>
  <si>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</si>
  <si>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</si>
  <si>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</si>
  <si>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</si>
  <si>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</si>
  <si>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</si>
  <si>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</si>
  <si>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</si>
  <si>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</si>
  <si>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</si>
  <si>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</si>
  <si>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</si>
  <si>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</si>
  <si>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</si>
  <si>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</si>
  <si>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</si>
  <si>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</si>
  <si>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</si>
  <si>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</si>
  <si>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</si>
  <si>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</si>
  <si>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</si>
  <si>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</si>
  <si>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</si>
  <si>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</si>
  <si>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</si>
  <si>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</si>
  <si>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</si>
  <si>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</si>
  <si>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</si>
  <si>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522652  </t>
  </si>
  <si>
    <t>électricité en DH HT</t>
  </si>
  <si>
    <t>2 409 951 822</t>
  </si>
  <si>
    <t>278 597 258</t>
  </si>
  <si>
    <t>3 487 476 564</t>
  </si>
  <si>
    <t>3 872 201 852</t>
  </si>
  <si>
    <t>4 911 719 801</t>
  </si>
  <si>
    <t>6 329 563 352</t>
  </si>
  <si>
    <t>654 067 568</t>
  </si>
  <si>
    <t>6 896 504 079</t>
  </si>
  <si>
    <t>L'eau en M3</t>
  </si>
  <si>
    <t>L'eau en DH HT</t>
  </si>
  <si>
    <t>15198,6</t>
  </si>
  <si>
    <t>25948,8</t>
  </si>
  <si>
    <t>38602,8</t>
  </si>
  <si>
    <t>40027,8</t>
  </si>
  <si>
    <t>57253,2</t>
  </si>
  <si>
    <t>53411,4</t>
  </si>
  <si>
    <t>48235,8</t>
  </si>
  <si>
    <t>52066,2</t>
  </si>
  <si>
    <t>Gaz en KG</t>
  </si>
  <si>
    <t>GAZ en  DH HT</t>
  </si>
  <si>
    <t>suivi Gaz Nov 2022</t>
  </si>
  <si>
    <t>Suivi  Compteur  d'Eau- électricité Lydec-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</si>
</sst>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8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19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0" fillId="0" borderId="16" xfId="0" applyFont="1" applyBorder="1" applyAlignment="1">
      <alignment horizontal="center" vertical="center" wrapText="1"/>
    </xf>
    <xf numFmtId="0" fontId="20" fillId="7" borderId="16" xfId="0" applyFont="1" applyFill="1" applyBorder="1" applyAlignment="1">
      <alignment horizontal="center" vertical="center" wrapText="1"/>
    </xf>
    <xf numFmtId="14" fontId="20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0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0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29" fillId="17" borderId="23" xfId="0" applyFont="1" applyFill="1" applyBorder="1"/>
    <xf numFmtId="0" fontId="29" fillId="17" borderId="24" xfId="0" applyFont="1" applyFill="1" applyBorder="1"/>
    <xf numFmtId="0" fontId="0" fillId="0" borderId="25" xfId="0" applyBorder="1"/>
    <xf numFmtId="0" fontId="28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6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0" fillId="0" borderId="22" xfId="0" applyFont="1" applyBorder="1"/>
    <xf numFmtId="0" fontId="30" fillId="0" borderId="27" xfId="0" applyFont="1" applyBorder="1" applyAlignment="1">
      <alignment horizontal="right" vertical="center"/>
    </xf>
    <xf numFmtId="0" fontId="31" fillId="18" borderId="22" xfId="0" applyFont="1" applyFill="1" applyBorder="1" applyAlignment="1">
      <alignment horizontal="right"/>
    </xf>
    <xf numFmtId="0" fontId="30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2" fillId="18" borderId="6" xfId="0" applyFont="1" applyFill="1" applyBorder="1" applyAlignment="1">
      <alignment horizontal="center" vertical="center"/>
    </xf>
    <xf numFmtId="0" fontId="33" fillId="0" borderId="19" xfId="0" applyFont="1" applyBorder="1" applyAlignment="1">
      <alignment vertical="center"/>
    </xf>
    <xf numFmtId="0" fontId="33" fillId="0" borderId="29" xfId="0" applyFont="1" applyBorder="1" applyAlignment="1">
      <alignment vertical="center"/>
    </xf>
    <xf numFmtId="0" fontId="32" fillId="18" borderId="8" xfId="0" applyFont="1" applyFill="1" applyBorder="1" applyAlignment="1">
      <alignment horizontal="center" vertical="center"/>
    </xf>
    <xf numFmtId="0" fontId="33" fillId="0" borderId="25" xfId="0" applyFont="1" applyBorder="1" applyAlignment="1">
      <alignment vertical="center"/>
    </xf>
    <xf numFmtId="0" fontId="33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6" fillId="17" borderId="10" xfId="0" applyNumberFormat="1" applyFont="1" applyFill="1" applyBorder="1"/>
    <xf numFmtId="0" fontId="26" fillId="20" borderId="10" xfId="0" applyFont="1" applyFill="1" applyBorder="1"/>
    <xf numFmtId="0" fontId="26" fillId="0" borderId="10" xfId="0" applyFont="1" applyBorder="1"/>
    <xf numFmtId="0" fontId="26" fillId="0" borderId="0" xfId="0" applyFont="1"/>
    <xf numFmtId="0" fontId="26" fillId="0" borderId="24" xfId="0" applyFont="1" applyBorder="1"/>
    <xf numFmtId="0" fontId="27" fillId="0" borderId="10" xfId="0" applyFont="1" applyBorder="1"/>
    <xf numFmtId="0" fontId="28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2" fillId="21" borderId="21" xfId="0" applyNumberFormat="1" applyFont="1" applyFill="1" applyBorder="1" applyAlignment="1">
      <alignment horizontal="center" vertical="center"/>
    </xf>
    <xf numFmtId="0" fontId="22" fillId="13" borderId="10" xfId="0" applyFont="1" applyFill="1" applyBorder="1" applyAlignment="1">
      <alignment horizontal="center" vertical="center"/>
    </xf>
    <xf numFmtId="0" fontId="22" fillId="22" borderId="10" xfId="0" applyFont="1" applyFill="1" applyBorder="1" applyAlignment="1">
      <alignment horizontal="center" vertical="center"/>
    </xf>
    <xf numFmtId="0" fontId="22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6" fillId="0" borderId="19" xfId="0" applyNumberFormat="1" applyFont="1" applyBorder="1" applyAlignment="1">
      <alignment horizontal="center"/>
    </xf>
    <xf numFmtId="0" fontId="22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0" fillId="0" borderId="16" xfId="0" applyNumberFormat="1" applyFont="1" applyBorder="1" applyAlignment="1">
      <alignment horizontal="center"/>
    </xf>
    <xf numFmtId="0" fontId="20" fillId="25" borderId="33" xfId="0" applyFont="1" applyFill="1" applyBorder="1" applyAlignment="1">
      <alignment horizontal="center" vertical="center" wrapText="1"/>
    </xf>
    <xf numFmtId="0" fontId="34" fillId="0" borderId="0" xfId="0" applyFont="1"/>
    <xf numFmtId="0" fontId="22" fillId="19" borderId="10" xfId="0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1" fillId="10" borderId="35" xfId="0" applyFont="1" applyFill="1" applyBorder="1" applyAlignment="1">
      <alignment horizontal="center" vertical="center" wrapText="1"/>
    </xf>
    <xf numFmtId="0" fontId="17" fillId="10" borderId="36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0" borderId="0" xfId="0" applyFont="1" applyAlignment="1">
      <alignment wrapText="1"/>
    </xf>
    <xf numFmtId="0" fontId="26" fillId="0" borderId="32" xfId="0" applyFont="1" applyBorder="1" applyAlignment="1">
      <alignment wrapText="1"/>
    </xf>
    <xf numFmtId="0" fontId="26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6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5" fillId="0" borderId="32" xfId="0" applyFont="1" applyBorder="1" applyAlignment="1">
      <alignment horizontal="center"/>
    </xf>
    <xf numFmtId="1" fontId="35" fillId="0" borderId="32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26" fillId="0" borderId="32" xfId="0" applyFont="1" applyBorder="1" applyAlignment="1">
      <alignment horizontal="center" wrapText="1"/>
    </xf>
    <xf numFmtId="0" fontId="3" fillId="0" borderId="0" xfId="0" applyFont="1"/>
    <xf numFmtId="1" fontId="26" fillId="0" borderId="32" xfId="0" applyNumberFormat="1" applyFont="1" applyBorder="1" applyAlignment="1">
      <alignment horizontal="center" wrapText="1"/>
    </xf>
    <xf numFmtId="2" fontId="38" fillId="7" borderId="9" xfId="0" applyNumberFormat="1" applyFont="1" applyFill="1" applyBorder="1" applyAlignment="1">
      <alignment horizontal="center" vertical="center"/>
    </xf>
    <xf numFmtId="0" fontId="22" fillId="26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8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18" fillId="30" borderId="10" xfId="0" applyFont="1" applyFill="1" applyBorder="1" applyAlignment="1">
      <alignment horizontal="center" vertical="center"/>
    </xf>
    <xf numFmtId="0" fontId="22" fillId="2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31" borderId="10" xfId="0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0" fontId="22" fillId="31" borderId="0" xfId="0" applyFont="1" applyFill="1" applyAlignment="1">
      <alignment horizontal="center" vertical="center"/>
    </xf>
    <xf numFmtId="0" fontId="37" fillId="32" borderId="60" xfId="0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9" fillId="15" borderId="6" xfId="0" applyFont="1" applyFill="1" applyBorder="1" applyAlignment="1">
      <alignment horizontal="center" vertical="center" wrapText="1"/>
    </xf>
    <xf numFmtId="0" fontId="39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4" fillId="6" borderId="34" xfId="0" applyNumberFormat="1" applyFont="1" applyFill="1" applyBorder="1" applyAlignment="1">
      <alignment horizontal="center" vertical="center" wrapText="1"/>
    </xf>
    <xf numFmtId="2" fontId="24" fillId="6" borderId="40" xfId="0" applyNumberFormat="1" applyFont="1" applyFill="1" applyBorder="1" applyAlignment="1">
      <alignment horizontal="center" vertical="center" wrapText="1"/>
    </xf>
    <xf numFmtId="2" fontId="24" fillId="6" borderId="4" xfId="0" applyNumberFormat="1" applyFont="1" applyFill="1" applyBorder="1" applyAlignment="1">
      <alignment horizontal="center" vertical="center" wrapText="1"/>
    </xf>
    <xf numFmtId="2" fontId="24" fillId="6" borderId="15" xfId="0" applyNumberFormat="1" applyFont="1" applyFill="1" applyBorder="1" applyAlignment="1">
      <alignment horizontal="center" vertical="center" wrapText="1"/>
    </xf>
    <xf numFmtId="2" fontId="24" fillId="6" borderId="0" xfId="0" applyNumberFormat="1" applyFont="1" applyFill="1" applyAlignment="1">
      <alignment horizontal="center" vertical="center" wrapText="1"/>
    </xf>
    <xf numFmtId="2" fontId="24" fillId="6" borderId="41" xfId="0" applyNumberFormat="1" applyFont="1" applyFill="1" applyBorder="1" applyAlignment="1">
      <alignment horizontal="center" vertical="center" wrapText="1"/>
    </xf>
    <xf numFmtId="2" fontId="24" fillId="6" borderId="31" xfId="0" applyNumberFormat="1" applyFont="1" applyFill="1" applyBorder="1" applyAlignment="1">
      <alignment horizontal="center" vertical="center" wrapText="1"/>
    </xf>
    <xf numFmtId="2" fontId="24" fillId="6" borderId="32" xfId="0" applyNumberFormat="1" applyFont="1" applyFill="1" applyBorder="1" applyAlignment="1">
      <alignment horizontal="center" vertical="center" wrapText="1"/>
    </xf>
    <xf numFmtId="2" fontId="24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2" borderId="47" xfId="0" applyFont="1" applyFill="1" applyBorder="1" applyAlignment="1">
      <alignment horizontal="center" vertical="center"/>
    </xf>
    <xf numFmtId="0" fontId="17" fillId="12" borderId="48" xfId="0" applyFont="1" applyFill="1" applyBorder="1" applyAlignment="1">
      <alignment horizontal="center" vertical="center"/>
    </xf>
    <xf numFmtId="0" fontId="17" fillId="12" borderId="49" xfId="0" applyFont="1" applyFill="1" applyBorder="1" applyAlignment="1">
      <alignment horizontal="center" vertical="center"/>
    </xf>
    <xf numFmtId="0" fontId="17" fillId="12" borderId="50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0" borderId="51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/>
    </xf>
    <xf numFmtId="0" fontId="41" fillId="0" borderId="4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wrapText="1"/>
    </xf>
    <xf numFmtId="0" fontId="28" fillId="0" borderId="44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3" fillId="17" borderId="28" xfId="0" applyFont="1" applyFill="1" applyBorder="1" applyAlignment="1">
      <alignment horizontal="left"/>
    </xf>
    <xf numFmtId="0" fontId="43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8" fillId="0" borderId="57" xfId="0" applyFont="1" applyBorder="1" applyAlignment="1">
      <alignment horizontal="left" vertical="center"/>
    </xf>
    <xf numFmtId="0" fontId="28" fillId="0" borderId="58" xfId="0" applyFont="1" applyBorder="1" applyAlignment="1">
      <alignment horizontal="left" vertical="center"/>
    </xf>
    <xf numFmtId="0" fontId="28" fillId="0" borderId="59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24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3" fillId="0" borderId="26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0" fontId="33" fillId="0" borderId="25" xfId="0" applyFont="1" applyBorder="1" applyAlignment="1">
      <alignment horizontal="left" vertical="center"/>
    </xf>
    <xf numFmtId="0" fontId="35" fillId="0" borderId="10" xfId="0" applyFont="1" applyBorder="1" applyAlignment="1">
      <alignment horizontal="center" vertical="center"/>
    </xf>
    <xf numFmtId="0" fontId="30" fillId="0" borderId="27" xfId="0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30" fillId="0" borderId="55" xfId="0" applyFont="1" applyBorder="1" applyAlignment="1">
      <alignment horizontal="left" vertical="top"/>
    </xf>
    <xf numFmtId="0" fontId="30" fillId="0" borderId="44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44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/>
    </xf>
    <xf numFmtId="0" fontId="40" fillId="0" borderId="45" xfId="0" applyFont="1" applyBorder="1" applyAlignment="1">
      <alignment horizontal="left"/>
    </xf>
    <xf numFmtId="2" fontId="26" fillId="0" borderId="10" xfId="0" applyNumberFormat="1" applyFont="1" applyBorder="1" applyAlignment="1">
      <alignment horizontal="center"/>
    </xf>
    <xf numFmtId="0" fontId="40" fillId="0" borderId="19" xfId="0" applyFont="1" applyBorder="1" applyAlignment="1">
      <alignment horizontal="left"/>
    </xf>
    <xf numFmtId="0" fontId="40" fillId="0" borderId="25" xfId="0" applyFont="1" applyBorder="1" applyAlignment="1">
      <alignment horizontal="left"/>
    </xf>
    <xf numFmtId="0" fontId="28" fillId="0" borderId="44" xfId="0" applyFont="1" applyBorder="1" applyAlignment="1">
      <alignment horizontal="left"/>
    </xf>
    <xf numFmtId="0" fontId="28" fillId="0" borderId="45" xfId="0" applyFont="1" applyBorder="1" applyAlignment="1">
      <alignment horizontal="left"/>
    </xf>
    <xf numFmtId="0" fontId="28" fillId="0" borderId="46" xfId="0" applyFont="1" applyBorder="1" applyAlignment="1">
      <alignment horizontal="left"/>
    </xf>
    <xf numFmtId="0" fontId="44" fillId="0" borderId="10" xfId="0" applyFont="1" applyBorder="1" applyAlignment="1">
      <alignment horizontal="center"/>
    </xf>
    <xf numFmtId="0" fontId="26" fillId="29" borderId="26" xfId="0" applyFont="1" applyFill="1" applyBorder="1" applyAlignment="1">
      <alignment horizontal="left"/>
    </xf>
    <xf numFmtId="0" fontId="26" fillId="29" borderId="19" xfId="0" applyFont="1" applyFill="1" applyBorder="1" applyAlignment="1">
      <alignment horizontal="left"/>
    </xf>
    <xf numFmtId="0" fontId="26" fillId="29" borderId="29" xfId="0" applyFont="1" applyFill="1" applyBorder="1" applyAlignment="1">
      <alignment horizontal="left"/>
    </xf>
    <xf numFmtId="0" fontId="26" fillId="29" borderId="28" xfId="0" applyFont="1" applyFill="1" applyBorder="1" applyAlignment="1">
      <alignment horizontal="left"/>
    </xf>
    <xf numFmtId="0" fontId="26" fillId="29" borderId="25" xfId="0" applyFont="1" applyFill="1" applyBorder="1" applyAlignment="1">
      <alignment horizontal="left"/>
    </xf>
    <xf numFmtId="0" fontId="26" fillId="29" borderId="24" xfId="0" applyFont="1" applyFill="1" applyBorder="1" applyAlignment="1">
      <alignment horizontal="left"/>
    </xf>
    <xf numFmtId="0" fontId="45" fillId="29" borderId="10" xfId="0" applyFont="1" applyFill="1" applyBorder="1" applyAlignment="1">
      <alignment horizontal="center"/>
    </xf>
    <xf numFmtId="0" fontId="46" fillId="18" borderId="44" xfId="0" applyFont="1" applyFill="1" applyBorder="1" applyAlignment="1">
      <alignment horizontal="left"/>
    </xf>
    <xf numFmtId="0" fontId="46" fillId="18" borderId="45" xfId="0" applyFont="1" applyFill="1" applyBorder="1" applyAlignment="1">
      <alignment horizontal="left"/>
    </xf>
    <xf numFmtId="0" fontId="46" fillId="18" borderId="46" xfId="0" applyFont="1" applyFill="1" applyBorder="1" applyAlignment="1">
      <alignment horizontal="left"/>
    </xf>
    <xf numFmtId="0" fontId="47" fillId="18" borderId="10" xfId="0" applyFont="1" applyFill="1" applyBorder="1" applyAlignment="1">
      <alignment horizontal="center"/>
    </xf>
    <xf numFmtId="0" fontId="28" fillId="0" borderId="44" xfId="0" applyFont="1" applyBorder="1" applyAlignment="1"/>
    <xf numFmtId="0" fontId="28" fillId="0" borderId="45" xfId="0" applyFont="1" applyBorder="1" applyAlignment="1"/>
    <xf numFmtId="0" fontId="28" fillId="0" borderId="46" xfId="0" applyFont="1" applyBorder="1" applyAlignment="1"/>
    <xf numFmtId="0" fontId="26" fillId="0" borderId="44" xfId="0" applyFont="1" applyBorder="1" applyAlignment="1">
      <alignment horizontal="center"/>
    </xf>
    <xf numFmtId="0" fontId="26" fillId="0" borderId="46" xfId="0" applyFont="1" applyBorder="1" applyAlignment="1">
      <alignment horizontal="center"/>
    </xf>
    <xf numFmtId="2" fontId="47" fillId="18" borderId="10" xfId="0" applyNumberFormat="1" applyFont="1" applyFill="1" applyBorder="1" applyAlignment="1">
      <alignment horizontal="center"/>
    </xf>
    <xf numFmtId="0" fontId="23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3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3" fillId="19" borderId="37" xfId="0" applyFont="1" applyFill="1" applyBorder="1" applyAlignment="1">
      <alignment horizontal="center"/>
    </xf>
    <xf numFmtId="0" fontId="23" fillId="19" borderId="3" xfId="0" applyFont="1" applyFill="1" applyBorder="1" applyAlignment="1">
      <alignment horizontal="center"/>
    </xf>
    <xf numFmtId="0" fontId="23" fillId="19" borderId="32" xfId="0" applyFont="1" applyFill="1" applyBorder="1" applyAlignment="1">
      <alignment horizontal="center"/>
    </xf>
    <xf numFmtId="0" fontId="23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EAU-ELEC'!$A$9:$A$38</c:f>
              <c:numCache>
                <c:formatCode>m/d/yyyy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EAU-ELEC'!$E$9:$E$38</c:f>
              <c:numCache>
                <c:formatCode>General</c:formatCode>
                <c:ptCount val="30"/>
                <c:pt idx="0">
                  <c:v>180</c:v>
                </c:pt>
                <c:pt idx="1">
                  <c:v>144</c:v>
                </c:pt>
                <c:pt idx="2">
                  <c:v>127</c:v>
                </c:pt>
                <c:pt idx="3">
                  <c:v>130.10000000000582</c:v>
                </c:pt>
                <c:pt idx="4">
                  <c:v>132.60000000000582</c:v>
                </c:pt>
                <c:pt idx="5">
                  <c:v>141.29999999998836</c:v>
                </c:pt>
                <c:pt idx="6">
                  <c:v>144</c:v>
                </c:pt>
                <c:pt idx="7">
                  <c:v>139</c:v>
                </c:pt>
                <c:pt idx="8">
                  <c:v>116</c:v>
                </c:pt>
                <c:pt idx="9">
                  <c:v>119.29999999998836</c:v>
                </c:pt>
                <c:pt idx="10">
                  <c:v>137.30000000001746</c:v>
                </c:pt>
                <c:pt idx="11">
                  <c:v>130.10000000000582</c:v>
                </c:pt>
                <c:pt idx="12">
                  <c:v>151.29999999998836</c:v>
                </c:pt>
                <c:pt idx="13">
                  <c:v>145</c:v>
                </c:pt>
                <c:pt idx="14">
                  <c:v>93</c:v>
                </c:pt>
                <c:pt idx="15">
                  <c:v>121.79999999998836</c:v>
                </c:pt>
                <c:pt idx="16">
                  <c:v>168</c:v>
                </c:pt>
                <c:pt idx="17">
                  <c:v>125.20000000001164</c:v>
                </c:pt>
                <c:pt idx="18">
                  <c:v>117</c:v>
                </c:pt>
                <c:pt idx="19">
                  <c:v>121</c:v>
                </c:pt>
                <c:pt idx="20">
                  <c:v>126</c:v>
                </c:pt>
                <c:pt idx="21">
                  <c:v>126.39999999999418</c:v>
                </c:pt>
                <c:pt idx="22">
                  <c:v>122.89999999999418</c:v>
                </c:pt>
                <c:pt idx="23">
                  <c:v>124.60000000000582</c:v>
                </c:pt>
                <c:pt idx="24">
                  <c:v>129</c:v>
                </c:pt>
                <c:pt idx="25">
                  <c:v>113</c:v>
                </c:pt>
                <c:pt idx="26">
                  <c:v>120</c:v>
                </c:pt>
                <c:pt idx="27">
                  <c:v>135</c:v>
                </c:pt>
                <c:pt idx="28">
                  <c:v>145</c:v>
                </c:pt>
                <c:pt idx="2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EAU-ELEC'!$A$9:$A$38</c:f>
              <c:numCache>
                <c:formatCode>m/d/yyyy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4848</c:v>
                </c:pt>
                <c:pt idx="1">
                  <c:v>4678</c:v>
                </c:pt>
                <c:pt idx="2">
                  <c:v>4725</c:v>
                </c:pt>
                <c:pt idx="3">
                  <c:v>5622</c:v>
                </c:pt>
                <c:pt idx="4">
                  <c:v>6396</c:v>
                </c:pt>
                <c:pt idx="5">
                  <c:v>3969</c:v>
                </c:pt>
                <c:pt idx="6">
                  <c:v>4922</c:v>
                </c:pt>
                <c:pt idx="7">
                  <c:v>4606</c:v>
                </c:pt>
                <c:pt idx="8">
                  <c:v>4956</c:v>
                </c:pt>
                <c:pt idx="9">
                  <c:v>4280</c:v>
                </c:pt>
                <c:pt idx="10">
                  <c:v>4982</c:v>
                </c:pt>
                <c:pt idx="11">
                  <c:v>4629</c:v>
                </c:pt>
                <c:pt idx="12">
                  <c:v>4953</c:v>
                </c:pt>
                <c:pt idx="13">
                  <c:v>4378</c:v>
                </c:pt>
                <c:pt idx="14">
                  <c:v>4641</c:v>
                </c:pt>
                <c:pt idx="15">
                  <c:v>4875</c:v>
                </c:pt>
                <c:pt idx="16">
                  <c:v>4454</c:v>
                </c:pt>
                <c:pt idx="17">
                  <c:v>4934</c:v>
                </c:pt>
                <c:pt idx="18">
                  <c:v>4119</c:v>
                </c:pt>
                <c:pt idx="19">
                  <c:v>4178</c:v>
                </c:pt>
                <c:pt idx="20">
                  <c:v>4127</c:v>
                </c:pt>
                <c:pt idx="21">
                  <c:v>4074</c:v>
                </c:pt>
                <c:pt idx="22">
                  <c:v>4814</c:v>
                </c:pt>
                <c:pt idx="23">
                  <c:v>4523</c:v>
                </c:pt>
                <c:pt idx="24">
                  <c:v>6626</c:v>
                </c:pt>
                <c:pt idx="25">
                  <c:v>2609</c:v>
                </c:pt>
                <c:pt idx="26">
                  <c:v>3949</c:v>
                </c:pt>
                <c:pt idx="27">
                  <c:v>4183</c:v>
                </c:pt>
                <c:pt idx="28">
                  <c:v>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EAU-ELEC'!$A$9:$A$38</c:f>
              <c:numCache>
                <c:formatCode>m/d/yyyy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8006</c:v>
                </c:pt>
                <c:pt idx="1">
                  <c:v>7492</c:v>
                </c:pt>
                <c:pt idx="2">
                  <c:v>7168</c:v>
                </c:pt>
                <c:pt idx="3">
                  <c:v>7780</c:v>
                </c:pt>
                <c:pt idx="4">
                  <c:v>7678</c:v>
                </c:pt>
                <c:pt idx="5">
                  <c:v>7526</c:v>
                </c:pt>
                <c:pt idx="6">
                  <c:v>7333</c:v>
                </c:pt>
                <c:pt idx="7">
                  <c:v>7868</c:v>
                </c:pt>
                <c:pt idx="8">
                  <c:v>7526</c:v>
                </c:pt>
                <c:pt idx="9">
                  <c:v>7515</c:v>
                </c:pt>
                <c:pt idx="10">
                  <c:v>6856</c:v>
                </c:pt>
                <c:pt idx="11">
                  <c:v>8007</c:v>
                </c:pt>
                <c:pt idx="12">
                  <c:v>7149</c:v>
                </c:pt>
                <c:pt idx="13">
                  <c:v>6780</c:v>
                </c:pt>
                <c:pt idx="14">
                  <c:v>7396</c:v>
                </c:pt>
                <c:pt idx="15">
                  <c:v>7472</c:v>
                </c:pt>
                <c:pt idx="16">
                  <c:v>7545</c:v>
                </c:pt>
                <c:pt idx="17">
                  <c:v>8279</c:v>
                </c:pt>
                <c:pt idx="18">
                  <c:v>6682</c:v>
                </c:pt>
                <c:pt idx="19">
                  <c:v>6415</c:v>
                </c:pt>
                <c:pt idx="20">
                  <c:v>6220</c:v>
                </c:pt>
                <c:pt idx="21">
                  <c:v>6436</c:v>
                </c:pt>
                <c:pt idx="22">
                  <c:v>6761</c:v>
                </c:pt>
                <c:pt idx="23">
                  <c:v>6806</c:v>
                </c:pt>
                <c:pt idx="24">
                  <c:v>6614</c:v>
                </c:pt>
                <c:pt idx="25">
                  <c:v>6840</c:v>
                </c:pt>
                <c:pt idx="26">
                  <c:v>6425</c:v>
                </c:pt>
                <c:pt idx="27">
                  <c:v>6064</c:v>
                </c:pt>
                <c:pt idx="28">
                  <c:v>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EAU-ELEC'!$A$9:$A$38</c:f>
              <c:numCache>
                <c:formatCode>m/d/yyyy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4201</c:v>
                </c:pt>
                <c:pt idx="1">
                  <c:v>3457</c:v>
                </c:pt>
                <c:pt idx="2">
                  <c:v>3555</c:v>
                </c:pt>
                <c:pt idx="3">
                  <c:v>3878</c:v>
                </c:pt>
                <c:pt idx="4">
                  <c:v>3989</c:v>
                </c:pt>
                <c:pt idx="5">
                  <c:v>3643</c:v>
                </c:pt>
                <c:pt idx="6">
                  <c:v>3510</c:v>
                </c:pt>
                <c:pt idx="7">
                  <c:v>3953</c:v>
                </c:pt>
                <c:pt idx="8">
                  <c:v>3154</c:v>
                </c:pt>
                <c:pt idx="9">
                  <c:v>3502</c:v>
                </c:pt>
                <c:pt idx="10">
                  <c:v>3603</c:v>
                </c:pt>
                <c:pt idx="11">
                  <c:v>3642</c:v>
                </c:pt>
                <c:pt idx="12">
                  <c:v>3450</c:v>
                </c:pt>
                <c:pt idx="13">
                  <c:v>3510</c:v>
                </c:pt>
                <c:pt idx="14">
                  <c:v>3491</c:v>
                </c:pt>
                <c:pt idx="15">
                  <c:v>3530</c:v>
                </c:pt>
                <c:pt idx="16">
                  <c:v>3716</c:v>
                </c:pt>
                <c:pt idx="17">
                  <c:v>3346</c:v>
                </c:pt>
                <c:pt idx="18">
                  <c:v>3103</c:v>
                </c:pt>
                <c:pt idx="19">
                  <c:v>2921</c:v>
                </c:pt>
                <c:pt idx="20">
                  <c:v>2931</c:v>
                </c:pt>
                <c:pt idx="21">
                  <c:v>3119</c:v>
                </c:pt>
                <c:pt idx="22">
                  <c:v>3349</c:v>
                </c:pt>
                <c:pt idx="23">
                  <c:v>3439</c:v>
                </c:pt>
                <c:pt idx="24">
                  <c:v>3225</c:v>
                </c:pt>
                <c:pt idx="25">
                  <c:v>3353</c:v>
                </c:pt>
                <c:pt idx="26">
                  <c:v>3005</c:v>
                </c:pt>
                <c:pt idx="27">
                  <c:v>2983</c:v>
                </c:pt>
                <c:pt idx="28">
                  <c:v>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671.98341000000005</c:v>
                </c:pt>
                <c:pt idx="1">
                  <c:v>223.99447000000001</c:v>
                </c:pt>
                <c:pt idx="2">
                  <c:v>223.99447000000001</c:v>
                </c:pt>
                <c:pt idx="3">
                  <c:v>223.99447000000001</c:v>
                </c:pt>
                <c:pt idx="4">
                  <c:v>671.98341000000005</c:v>
                </c:pt>
                <c:pt idx="5">
                  <c:v>383.99052</c:v>
                </c:pt>
                <c:pt idx="6">
                  <c:v>351.99131</c:v>
                </c:pt>
                <c:pt idx="7">
                  <c:v>255.99368000000001</c:v>
                </c:pt>
                <c:pt idx="8">
                  <c:v>543.98657000000003</c:v>
                </c:pt>
                <c:pt idx="9">
                  <c:v>447.98894000000001</c:v>
                </c:pt>
                <c:pt idx="10">
                  <c:v>415.98973000000001</c:v>
                </c:pt>
                <c:pt idx="11">
                  <c:v>767.98104000000001</c:v>
                </c:pt>
                <c:pt idx="12">
                  <c:v>607.98499000000004</c:v>
                </c:pt>
                <c:pt idx="13">
                  <c:v>383.99052</c:v>
                </c:pt>
                <c:pt idx="14">
                  <c:v>543.98657000000003</c:v>
                </c:pt>
                <c:pt idx="15">
                  <c:v>479.98815000000002</c:v>
                </c:pt>
                <c:pt idx="16">
                  <c:v>479.98815000000002</c:v>
                </c:pt>
                <c:pt idx="17">
                  <c:v>383.99052</c:v>
                </c:pt>
                <c:pt idx="18">
                  <c:v>415.98973000000001</c:v>
                </c:pt>
                <c:pt idx="19">
                  <c:v>575.98577999999998</c:v>
                </c:pt>
                <c:pt idx="20">
                  <c:v>223.99447000000001</c:v>
                </c:pt>
                <c:pt idx="21">
                  <c:v>319.99209999999999</c:v>
                </c:pt>
                <c:pt idx="22">
                  <c:v>287.99288999999999</c:v>
                </c:pt>
                <c:pt idx="23">
                  <c:v>415.98973000000001</c:v>
                </c:pt>
                <c:pt idx="24">
                  <c:v>415.98973000000001</c:v>
                </c:pt>
                <c:pt idx="25">
                  <c:v>831.97946000000002</c:v>
                </c:pt>
                <c:pt idx="26">
                  <c:v>703.98262</c:v>
                </c:pt>
                <c:pt idx="27">
                  <c:v>287.99288999999999</c:v>
                </c:pt>
                <c:pt idx="28">
                  <c:v>767.98104000000001</c:v>
                </c:pt>
                <c:pt idx="29">
                  <c:v>447.98894000000001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0</xdr:rowOff>
    </xdr:from>
    <xdr:to>
      <xdr:col>22</xdr:col>
      <xdr:colOff>723900</xdr:colOff>
      <xdr:row>45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35</xdr:row>
      <xdr:rowOff>28575</xdr:rowOff>
    </xdr:from>
    <xdr:to>
      <xdr:col>14</xdr:col>
      <xdr:colOff>190500</xdr:colOff>
      <xdr:row>58</xdr:row>
      <xdr:rowOff>133350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  <a:ext uri="{147F2762-F138-4A5C-976F-8EAC2B608ADB}">
              <a16:predDERef xmlns:a16="http://schemas.microsoft.com/office/drawing/2014/main" pre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0"/>
  <sheetViews>
    <sheetView tabSelected="1" workbookViewId="0">
      <selection activeCell="R22" sqref="R22"/>
    </sheetView>
  </sheetViews>
  <sheetFormatPr baseColWidth="10" defaultColWidth="8.85546875" defaultRowHeight="12.75" x14ac:dyDescent="0.2"/>
  <cols>
    <col min="1" max="1" width="12.42578125" style="44" customWidth="1"/>
    <col min="2" max="3" width="8.85546875" style="135" customWidth="1"/>
    <col min="4" max="4" width="13.42578125" style="136" customWidth="1"/>
    <col min="5" max="5" width="12.5703125" style="132" customWidth="1"/>
    <col min="6" max="6" width="12.5703125" style="44" customWidth="1"/>
    <col min="7" max="10" width="8.85546875" style="44" customWidth="1"/>
    <col min="11" max="12" width="8.85546875" style="132" customWidth="1"/>
    <col min="13" max="13" width="0" hidden="1" customWidth="1"/>
  </cols>
  <sheetData>
    <row r="1" spans="1:13" s="95" customFormat="1" ht="75.75" thickBot="1" x14ac:dyDescent="0.3">
      <c r="A1" s="130" t="s">
        <v>0</v>
      </c>
      <c r="B1" s="133" t="s">
        <v>1</v>
      </c>
      <c r="C1" s="133" t="s">
        <v>2</v>
      </c>
      <c r="D1" s="134" t="s">
        <v>3</v>
      </c>
      <c r="E1" s="139" t="s">
        <v>4</v>
      </c>
      <c r="F1" s="137" t="s">
        <v>5</v>
      </c>
      <c r="G1" s="137" t="s">
        <v>6</v>
      </c>
      <c r="H1" s="137" t="s">
        <v>7</v>
      </c>
      <c r="I1" s="137" t="s">
        <v>8</v>
      </c>
      <c r="J1" s="137" t="s">
        <v>9</v>
      </c>
      <c r="K1" s="139" t="s">
        <v>10</v>
      </c>
      <c r="L1" s="139" t="s">
        <v>11</v>
      </c>
      <c r="M1" s="127" t="s">
        <v>12</v>
      </c>
    </row>
    <row r="2" spans="1:13" x14ac:dyDescent="0.2">
      <c r="A2" s="131" t="s">
        <v>13</v>
      </c>
      <c r="B2" s="135">
        <v>1</v>
      </c>
      <c r="C2" s="135">
        <v>11</v>
      </c>
      <c r="D2" s="136">
        <v>2022</v>
      </c>
      <c r="E2" s="132">
        <f>submetering!E2+submetering!F2+submetering!G2</f>
        <v>17055</v>
      </c>
      <c r="F2" s="129">
        <v>1.05</v>
      </c>
      <c r="G2" s="129">
        <f>'Consommation mensuel énergie'!V10</f>
        <v>671.98341000000005</v>
      </c>
      <c r="H2" s="129">
        <v>12.44</v>
      </c>
      <c r="I2" s="129">
        <f>'Consommation mensuel énergie'!F10</f>
        <v>180</v>
      </c>
      <c r="J2" s="129">
        <v>11.4</v>
      </c>
      <c r="K2" s="132">
        <f>'Consommation mensuel énergie'!D10</f>
        <v>135</v>
      </c>
      <c r="L2" s="132">
        <f>'Consommation mensuel énergie'!E10</f>
        <v>214</v>
      </c>
      <c r="M2" s="128" t="e">
        <f>E2*F2+G2*H2+#REF!*#REF!+I2*J2</f>
        <v>#REF!</v>
      </c>
    </row>
    <row r="3" spans="1:13" x14ac:dyDescent="0.2">
      <c r="A3" s="131" t="s">
        <v>13</v>
      </c>
      <c r="B3" s="135">
        <f>B2+1</f>
        <v>2</v>
      </c>
      <c r="C3" s="135">
        <v>11</v>
      </c>
      <c r="D3" s="136">
        <v>2022</v>
      </c>
      <c r="E3" s="132">
        <f>submetering!E3+submetering!F3+submetering!G3</f>
        <v>15627</v>
      </c>
      <c r="F3" s="129">
        <v>1.05</v>
      </c>
      <c r="G3" s="129">
        <f>'Consommation mensuel énergie'!V11</f>
        <v>223.99447000000001</v>
      </c>
      <c r="H3" s="129">
        <v>12.44</v>
      </c>
      <c r="I3" s="129">
        <f>'Consommation mensuel énergie'!F11</f>
        <v>144</v>
      </c>
      <c r="J3" s="129">
        <v>11.4</v>
      </c>
      <c r="K3" s="132">
        <f>'Consommation mensuel énergie'!D11</f>
        <v>119</v>
      </c>
      <c r="L3" s="132">
        <f>'Consommation mensuel énergie'!E11</f>
        <v>174</v>
      </c>
      <c r="M3" s="128" t="e">
        <f>E3*F3+G3*H3+#REF!*#REF!+I3*J3</f>
        <v>#REF!</v>
      </c>
    </row>
    <row r="4" spans="1:13" x14ac:dyDescent="0.2">
      <c r="A4" s="131" t="s">
        <v>13</v>
      </c>
      <c r="B4" s="135">
        <f t="shared" ref="B4:B25" si="0">B3+1</f>
        <v>3</v>
      </c>
      <c r="C4" s="135">
        <v>11</v>
      </c>
      <c r="D4" s="136">
        <v>2022</v>
      </c>
      <c r="E4" s="132">
        <f>submetering!E4+submetering!F4+submetering!G4</f>
        <v>15448</v>
      </c>
      <c r="F4" s="129">
        <v>1.05</v>
      </c>
      <c r="G4" s="129">
        <f>'Consommation mensuel énergie'!V12</f>
        <v>223.99447000000001</v>
      </c>
      <c r="H4" s="129">
        <v>12.44</v>
      </c>
      <c r="I4" s="129">
        <f>'Consommation mensuel énergie'!F12</f>
        <v>127</v>
      </c>
      <c r="J4" s="129">
        <v>11.4</v>
      </c>
      <c r="K4" s="132">
        <f>'Consommation mensuel énergie'!D12</f>
        <v>135</v>
      </c>
      <c r="L4" s="132">
        <f>'Consommation mensuel énergie'!E12</f>
        <v>199</v>
      </c>
      <c r="M4" s="128" t="e">
        <f>E4*F4+G4*H4+#REF!*#REF!+I4*J4</f>
        <v>#REF!</v>
      </c>
    </row>
    <row r="5" spans="1:13" x14ac:dyDescent="0.2">
      <c r="A5" s="131" t="s">
        <v>13</v>
      </c>
      <c r="B5" s="135">
        <f t="shared" si="0"/>
        <v>4</v>
      </c>
      <c r="C5" s="135">
        <v>11</v>
      </c>
      <c r="D5" s="136">
        <v>2022</v>
      </c>
      <c r="E5" s="132">
        <f>submetering!E5+submetering!F5+submetering!G5</f>
        <v>17280</v>
      </c>
      <c r="F5" s="129">
        <v>1.05</v>
      </c>
      <c r="G5" s="129">
        <f>'Consommation mensuel énergie'!V13</f>
        <v>223.99447000000001</v>
      </c>
      <c r="H5" s="129">
        <v>12.44</v>
      </c>
      <c r="I5" s="129">
        <f>'Consommation mensuel énergie'!F13</f>
        <v>130.10000000000582</v>
      </c>
      <c r="J5" s="129">
        <v>11.4</v>
      </c>
      <c r="K5" s="132">
        <f>'Consommation mensuel énergie'!D13</f>
        <v>143</v>
      </c>
      <c r="L5" s="132">
        <f>'Consommation mensuel énergie'!E13</f>
        <v>208</v>
      </c>
      <c r="M5" s="128" t="e">
        <f>E5*F5+G5*H5+#REF!*#REF!+I5*J5</f>
        <v>#REF!</v>
      </c>
    </row>
    <row r="6" spans="1:13" x14ac:dyDescent="0.2">
      <c r="A6" s="131" t="s">
        <v>13</v>
      </c>
      <c r="B6" s="135">
        <f t="shared" si="0"/>
        <v>5</v>
      </c>
      <c r="C6" s="135">
        <v>11</v>
      </c>
      <c r="D6" s="136">
        <v>2022</v>
      </c>
      <c r="E6" s="132">
        <f>submetering!E6+submetering!F6+submetering!G6</f>
        <v>18063</v>
      </c>
      <c r="F6" s="129">
        <v>1.05</v>
      </c>
      <c r="G6" s="129">
        <f>'Consommation mensuel énergie'!V14</f>
        <v>671.98341000000005</v>
      </c>
      <c r="H6" s="129">
        <v>12.44</v>
      </c>
      <c r="I6" s="129">
        <f>'Consommation mensuel énergie'!F14</f>
        <v>132.60000000000582</v>
      </c>
      <c r="J6" s="129">
        <v>11.4</v>
      </c>
      <c r="K6" s="132">
        <f>'Consommation mensuel énergie'!D14</f>
        <v>105</v>
      </c>
      <c r="L6" s="132">
        <f>'Consommation mensuel énergie'!E14</f>
        <v>159</v>
      </c>
      <c r="M6" s="128" t="e">
        <f>E6*F6+G6*H6+#REF!*#REF!+I6*J6</f>
        <v>#REF!</v>
      </c>
    </row>
    <row r="7" spans="1:13" x14ac:dyDescent="0.2">
      <c r="A7" s="131" t="s">
        <v>13</v>
      </c>
      <c r="B7" s="135">
        <f t="shared" si="0"/>
        <v>6</v>
      </c>
      <c r="C7" s="135">
        <v>11</v>
      </c>
      <c r="D7" s="136">
        <v>2022</v>
      </c>
      <c r="E7" s="132">
        <f>submetering!E7+submetering!F7+submetering!G7</f>
        <v>15138</v>
      </c>
      <c r="F7" s="129">
        <v>1.05</v>
      </c>
      <c r="G7" s="129">
        <f>'Consommation mensuel énergie'!V15</f>
        <v>383.99052</v>
      </c>
      <c r="H7" s="129">
        <v>12.44</v>
      </c>
      <c r="I7" s="129">
        <f>'Consommation mensuel énergie'!F15</f>
        <v>141.29999999998836</v>
      </c>
      <c r="J7" s="129">
        <v>11.4</v>
      </c>
      <c r="K7" s="132">
        <f>'Consommation mensuel énergie'!D15</f>
        <v>112</v>
      </c>
      <c r="L7" s="132">
        <f>'Consommation mensuel énergie'!E15</f>
        <v>171</v>
      </c>
      <c r="M7" s="128" t="e">
        <f>E7*F7+G7*H7+#REF!*#REF!+I7*J7</f>
        <v>#REF!</v>
      </c>
    </row>
    <row r="8" spans="1:13" x14ac:dyDescent="0.2">
      <c r="A8" s="131" t="s">
        <v>13</v>
      </c>
      <c r="B8" s="135">
        <f t="shared" si="0"/>
        <v>7</v>
      </c>
      <c r="C8" s="135">
        <v>11</v>
      </c>
      <c r="D8" s="136">
        <v>2022</v>
      </c>
      <c r="E8" s="132">
        <f>submetering!E8+submetering!F8+submetering!G8</f>
        <v>15765</v>
      </c>
      <c r="F8" s="129">
        <v>1.05</v>
      </c>
      <c r="G8" s="129">
        <f>'Consommation mensuel énergie'!V16</f>
        <v>351.99131</v>
      </c>
      <c r="H8" s="129">
        <v>12.44</v>
      </c>
      <c r="I8" s="129">
        <f>'Consommation mensuel énergie'!F16</f>
        <v>144</v>
      </c>
      <c r="J8" s="129">
        <v>11.4</v>
      </c>
      <c r="K8" s="132">
        <f>'Consommation mensuel énergie'!D16</f>
        <v>135</v>
      </c>
      <c r="L8" s="132">
        <f>'Consommation mensuel énergie'!E16</f>
        <v>184</v>
      </c>
      <c r="M8" s="128" t="e">
        <f>E8*F8+G8*H8+#REF!*#REF!+I8*J8</f>
        <v>#REF!</v>
      </c>
    </row>
    <row r="9" spans="1:13" x14ac:dyDescent="0.2">
      <c r="A9" s="131" t="s">
        <v>13</v>
      </c>
      <c r="B9" s="135">
        <f t="shared" si="0"/>
        <v>8</v>
      </c>
      <c r="C9" s="135">
        <v>11</v>
      </c>
      <c r="D9" s="136">
        <v>2022</v>
      </c>
      <c r="E9" s="132">
        <f>submetering!E9+submetering!F9+submetering!G9</f>
        <v>16427</v>
      </c>
      <c r="F9" s="129">
        <v>1.05</v>
      </c>
      <c r="G9" s="129">
        <f>'Consommation mensuel énergie'!V17</f>
        <v>255.99368000000001</v>
      </c>
      <c r="H9" s="129">
        <v>12.44</v>
      </c>
      <c r="I9" s="129">
        <f>'Consommation mensuel énergie'!F17</f>
        <v>139</v>
      </c>
      <c r="J9" s="129">
        <v>11.4</v>
      </c>
      <c r="K9" s="132">
        <f>'Consommation mensuel énergie'!D17</f>
        <v>123</v>
      </c>
      <c r="L9" s="132">
        <f>'Consommation mensuel énergie'!E17</f>
        <v>168</v>
      </c>
      <c r="M9" s="128" t="e">
        <f>E9*F9+G9*H9+#REF!*#REF!+I9*J9</f>
        <v>#REF!</v>
      </c>
    </row>
    <row r="10" spans="1:13" x14ac:dyDescent="0.2">
      <c r="A10" s="131" t="s">
        <v>13</v>
      </c>
      <c r="B10" s="135">
        <f t="shared" si="0"/>
        <v>9</v>
      </c>
      <c r="C10" s="135">
        <v>11</v>
      </c>
      <c r="D10" s="136">
        <v>2022</v>
      </c>
      <c r="E10" s="132">
        <f>submetering!E10+submetering!F10+submetering!G10</f>
        <v>15636</v>
      </c>
      <c r="F10" s="129">
        <v>1.05</v>
      </c>
      <c r="G10" s="129">
        <f>'Consommation mensuel énergie'!V18</f>
        <v>543.98657000000003</v>
      </c>
      <c r="H10" s="129">
        <v>12.44</v>
      </c>
      <c r="I10" s="129">
        <f>'Consommation mensuel énergie'!F18</f>
        <v>116</v>
      </c>
      <c r="J10" s="129">
        <v>11.4</v>
      </c>
      <c r="K10" s="132">
        <f>'Consommation mensuel énergie'!D18</f>
        <v>108</v>
      </c>
      <c r="L10" s="132">
        <f>'Consommation mensuel énergie'!E18</f>
        <v>138</v>
      </c>
      <c r="M10" s="128" t="e">
        <f>E10*F10+G10*H10+#REF!*#REF!+I10*J10</f>
        <v>#REF!</v>
      </c>
    </row>
    <row r="11" spans="1:13" x14ac:dyDescent="0.2">
      <c r="A11" s="131" t="s">
        <v>13</v>
      </c>
      <c r="B11" s="135">
        <f t="shared" si="0"/>
        <v>10</v>
      </c>
      <c r="C11" s="135">
        <v>11</v>
      </c>
      <c r="D11" s="136">
        <v>2022</v>
      </c>
      <c r="E11" s="132">
        <f>submetering!E11+submetering!F11+submetering!G11</f>
        <v>15297</v>
      </c>
      <c r="F11" s="129">
        <v>1.05</v>
      </c>
      <c r="G11" s="129">
        <f>'Consommation mensuel énergie'!V19</f>
        <v>447.98894000000001</v>
      </c>
      <c r="H11" s="129">
        <v>12.44</v>
      </c>
      <c r="I11" s="129">
        <f>'Consommation mensuel énergie'!F19</f>
        <v>119.29999999998836</v>
      </c>
      <c r="J11" s="129">
        <v>11.4</v>
      </c>
      <c r="K11" s="132">
        <f>'Consommation mensuel énergie'!D19</f>
        <v>107</v>
      </c>
      <c r="L11" s="132">
        <f>'Consommation mensuel énergie'!E19</f>
        <v>144</v>
      </c>
      <c r="M11" s="128" t="e">
        <f>E11*F11+G11*H11+#REF!*#REF!+I11*J11</f>
        <v>#REF!</v>
      </c>
    </row>
    <row r="12" spans="1:13" x14ac:dyDescent="0.2">
      <c r="A12" s="131" t="s">
        <v>13</v>
      </c>
      <c r="B12" s="135">
        <f t="shared" si="0"/>
        <v>11</v>
      </c>
      <c r="C12" s="135">
        <v>11</v>
      </c>
      <c r="D12" s="136">
        <v>2022</v>
      </c>
      <c r="E12" s="132">
        <f>submetering!E12+submetering!F12+submetering!G12</f>
        <v>15441</v>
      </c>
      <c r="F12" s="129">
        <v>1.05</v>
      </c>
      <c r="G12" s="129">
        <f>'Consommation mensuel énergie'!V20</f>
        <v>415.98973000000001</v>
      </c>
      <c r="H12" s="129">
        <v>12.44</v>
      </c>
      <c r="I12" s="129">
        <f>'Consommation mensuel énergie'!F20</f>
        <v>137.30000000001746</v>
      </c>
      <c r="J12" s="129">
        <v>11.4</v>
      </c>
      <c r="K12" s="132">
        <f>'Consommation mensuel énergie'!D20</f>
        <v>115</v>
      </c>
      <c r="L12" s="132">
        <f>'Consommation mensuel énergie'!E20</f>
        <v>168</v>
      </c>
      <c r="M12" s="128" t="e">
        <f>E12*F12+G12*H12+#REF!*#REF!+I12*J12</f>
        <v>#REF!</v>
      </c>
    </row>
    <row r="13" spans="1:13" x14ac:dyDescent="0.2">
      <c r="A13" s="131" t="s">
        <v>13</v>
      </c>
      <c r="B13" s="135">
        <f t="shared" si="0"/>
        <v>12</v>
      </c>
      <c r="C13" s="135">
        <v>11</v>
      </c>
      <c r="D13" s="136">
        <v>2022</v>
      </c>
      <c r="E13" s="132">
        <f>submetering!E13+submetering!F13+submetering!G13</f>
        <v>16278</v>
      </c>
      <c r="F13" s="129">
        <v>1.05</v>
      </c>
      <c r="G13" s="129">
        <f>'Consommation mensuel énergie'!V21</f>
        <v>767.98104000000001</v>
      </c>
      <c r="H13" s="129">
        <v>12.44</v>
      </c>
      <c r="I13" s="129">
        <f>'Consommation mensuel énergie'!F21</f>
        <v>130.10000000000582</v>
      </c>
      <c r="J13" s="129">
        <v>11.4</v>
      </c>
      <c r="K13" s="132">
        <f>'Consommation mensuel énergie'!D21</f>
        <v>96</v>
      </c>
      <c r="L13" s="132">
        <f>'Consommation mensuel énergie'!E21</f>
        <v>148</v>
      </c>
      <c r="M13" s="128" t="e">
        <f>E13*F13+G13*H13+#REF!*#REF!+I13*J13</f>
        <v>#REF!</v>
      </c>
    </row>
    <row r="14" spans="1:13" x14ac:dyDescent="0.2">
      <c r="A14" s="131" t="s">
        <v>13</v>
      </c>
      <c r="B14" s="135">
        <f t="shared" si="0"/>
        <v>13</v>
      </c>
      <c r="C14" s="135">
        <v>11</v>
      </c>
      <c r="D14" s="136">
        <v>2022</v>
      </c>
      <c r="E14" s="132">
        <f>submetering!E14+submetering!F14+submetering!G14</f>
        <v>15552</v>
      </c>
      <c r="F14" s="129">
        <v>1.05</v>
      </c>
      <c r="G14" s="129">
        <f>'Consommation mensuel énergie'!V22</f>
        <v>607.98499000000004</v>
      </c>
      <c r="H14" s="129">
        <v>12.44</v>
      </c>
      <c r="I14" s="129">
        <f>'Consommation mensuel énergie'!F22</f>
        <v>151.29999999998836</v>
      </c>
      <c r="J14" s="129">
        <v>11.4</v>
      </c>
      <c r="K14" s="132">
        <f>'Consommation mensuel énergie'!D22</f>
        <v>104</v>
      </c>
      <c r="L14" s="132">
        <f>'Consommation mensuel énergie'!E22</f>
        <v>175</v>
      </c>
      <c r="M14" s="128" t="e">
        <f>E14*F14+G14*H14+#REF!*#REF!+I14*J14</f>
        <v>#REF!</v>
      </c>
    </row>
    <row r="15" spans="1:13" x14ac:dyDescent="0.2">
      <c r="A15" s="131" t="s">
        <v>13</v>
      </c>
      <c r="B15" s="135">
        <f t="shared" si="0"/>
        <v>14</v>
      </c>
      <c r="C15" s="135">
        <v>11</v>
      </c>
      <c r="D15" s="136">
        <v>2022</v>
      </c>
      <c r="E15" s="132">
        <f>submetering!E15+submetering!F15+submetering!G15</f>
        <v>14668</v>
      </c>
      <c r="F15" s="129">
        <v>1.05</v>
      </c>
      <c r="G15" s="129">
        <f>'Consommation mensuel énergie'!V23</f>
        <v>383.99052</v>
      </c>
      <c r="H15" s="129">
        <v>12.44</v>
      </c>
      <c r="I15" s="129">
        <f>'Consommation mensuel énergie'!F23</f>
        <v>145</v>
      </c>
      <c r="J15" s="129">
        <v>11.4</v>
      </c>
      <c r="K15" s="132">
        <f>'Consommation mensuel énergie'!D23</f>
        <v>90</v>
      </c>
      <c r="L15" s="132">
        <f>'Consommation mensuel énergie'!E23</f>
        <v>142</v>
      </c>
      <c r="M15" s="128" t="e">
        <f>E15*F15+G15*H15+#REF!*#REF!+I15*J15</f>
        <v>#REF!</v>
      </c>
    </row>
    <row r="16" spans="1:13" x14ac:dyDescent="0.2">
      <c r="A16" s="131" t="s">
        <v>13</v>
      </c>
      <c r="B16" s="135">
        <f t="shared" si="0"/>
        <v>15</v>
      </c>
      <c r="C16" s="135">
        <v>11</v>
      </c>
      <c r="D16" s="136">
        <v>2022</v>
      </c>
      <c r="E16" s="132">
        <f>submetering!E16+submetering!F16+submetering!G16</f>
        <v>15528</v>
      </c>
      <c r="F16" s="129">
        <v>1.05</v>
      </c>
      <c r="G16" s="129">
        <f>'Consommation mensuel énergie'!V24</f>
        <v>543.98657000000003</v>
      </c>
      <c r="H16" s="129">
        <v>12.44</v>
      </c>
      <c r="I16" s="129">
        <f>'Consommation mensuel énergie'!F24</f>
        <v>93</v>
      </c>
      <c r="J16" s="129">
        <v>11.4</v>
      </c>
      <c r="K16" s="132">
        <f>'Consommation mensuel énergie'!D24</f>
        <v>129</v>
      </c>
      <c r="L16" s="132">
        <f>'Consommation mensuel énergie'!E24</f>
        <v>197</v>
      </c>
      <c r="M16" s="128" t="e">
        <f>E16*F16+G16*H16+#REF!*#REF!+I16*J16</f>
        <v>#REF!</v>
      </c>
    </row>
    <row r="17" spans="1:13" x14ac:dyDescent="0.2">
      <c r="A17" s="131" t="s">
        <v>13</v>
      </c>
      <c r="B17" s="135">
        <f t="shared" si="0"/>
        <v>16</v>
      </c>
      <c r="C17" s="135">
        <v>11</v>
      </c>
      <c r="D17" s="136">
        <v>2022</v>
      </c>
      <c r="E17" s="132">
        <f>submetering!E17+submetering!F17+submetering!G17</f>
        <v>15877</v>
      </c>
      <c r="F17" s="129">
        <v>1.05</v>
      </c>
      <c r="G17" s="129">
        <f>'Consommation mensuel énergie'!V25</f>
        <v>479.98815000000002</v>
      </c>
      <c r="H17" s="129">
        <v>12.44</v>
      </c>
      <c r="I17" s="129">
        <f>'Consommation mensuel énergie'!F25</f>
        <v>121.79999999998836</v>
      </c>
      <c r="J17" s="129">
        <v>11.4</v>
      </c>
      <c r="K17" s="132">
        <f>'Consommation mensuel énergie'!D25</f>
        <v>151</v>
      </c>
      <c r="L17" s="132">
        <f>'Consommation mensuel énergie'!E25</f>
        <v>233</v>
      </c>
      <c r="M17" s="128" t="e">
        <f>E17*F17+G17*H17+#REF!*#REF!+I17*J17</f>
        <v>#REF!</v>
      </c>
    </row>
    <row r="18" spans="1:13" x14ac:dyDescent="0.2">
      <c r="A18" s="131" t="s">
        <v>13</v>
      </c>
      <c r="B18" s="135">
        <f t="shared" si="0"/>
        <v>17</v>
      </c>
      <c r="C18" s="135">
        <v>11</v>
      </c>
      <c r="D18" s="136">
        <v>2022</v>
      </c>
      <c r="E18" s="132">
        <f>submetering!E18+submetering!F18+submetering!G18</f>
        <v>15715</v>
      </c>
      <c r="F18" s="129">
        <v>1.05</v>
      </c>
      <c r="G18" s="129">
        <f>'Consommation mensuel énergie'!V26</f>
        <v>479.98815000000002</v>
      </c>
      <c r="H18" s="129">
        <v>12.44</v>
      </c>
      <c r="I18" s="129">
        <f>'Consommation mensuel énergie'!F26</f>
        <v>168</v>
      </c>
      <c r="J18" s="129">
        <v>11.4</v>
      </c>
      <c r="K18" s="132">
        <f>'Consommation mensuel énergie'!D26</f>
        <v>107</v>
      </c>
      <c r="L18" s="132">
        <f>'Consommation mensuel énergie'!E26</f>
        <v>154</v>
      </c>
      <c r="M18" s="128" t="e">
        <f>E18*F18+G18*H18+#REF!*#REF!+I18*J18</f>
        <v>#REF!</v>
      </c>
    </row>
    <row r="19" spans="1:13" x14ac:dyDescent="0.2">
      <c r="A19" s="131" t="s">
        <v>13</v>
      </c>
      <c r="B19" s="135">
        <f t="shared" si="0"/>
        <v>18</v>
      </c>
      <c r="C19" s="135">
        <v>11</v>
      </c>
      <c r="D19" s="136">
        <v>2022</v>
      </c>
      <c r="E19" s="132">
        <f>submetering!E19+submetering!F19+submetering!G19</f>
        <v>16559</v>
      </c>
      <c r="F19" s="129">
        <v>1.05</v>
      </c>
      <c r="G19" s="129">
        <f>'Consommation mensuel énergie'!V27</f>
        <v>383.99052</v>
      </c>
      <c r="H19" s="129">
        <v>12.44</v>
      </c>
      <c r="I19" s="129">
        <f>'Consommation mensuel énergie'!F27</f>
        <v>125.20000000001164</v>
      </c>
      <c r="J19" s="129">
        <v>11.4</v>
      </c>
      <c r="K19" s="132">
        <f>'Consommation mensuel énergie'!D27</f>
        <v>94</v>
      </c>
      <c r="L19" s="132">
        <f>'Consommation mensuel énergie'!E27</f>
        <v>149</v>
      </c>
      <c r="M19" s="128" t="e">
        <f>E19*F19+G19*H19+#REF!*#REF!+I19*J19</f>
        <v>#REF!</v>
      </c>
    </row>
    <row r="20" spans="1:13" x14ac:dyDescent="0.2">
      <c r="A20" s="131" t="s">
        <v>13</v>
      </c>
      <c r="B20" s="135">
        <f t="shared" si="0"/>
        <v>19</v>
      </c>
      <c r="C20" s="135">
        <v>11</v>
      </c>
      <c r="D20" s="136">
        <v>2022</v>
      </c>
      <c r="E20" s="132">
        <f>submetering!E20+submetering!F20+submetering!G20</f>
        <v>13904</v>
      </c>
      <c r="F20" s="129">
        <v>1.05</v>
      </c>
      <c r="G20" s="129">
        <f>'Consommation mensuel énergie'!V28</f>
        <v>415.98973000000001</v>
      </c>
      <c r="H20" s="129">
        <v>12.44</v>
      </c>
      <c r="I20" s="129">
        <f>'Consommation mensuel énergie'!F28</f>
        <v>117</v>
      </c>
      <c r="J20" s="129">
        <v>11.4</v>
      </c>
      <c r="K20" s="132">
        <f>'Consommation mensuel énergie'!D28</f>
        <v>91</v>
      </c>
      <c r="L20" s="132">
        <f>'Consommation mensuel énergie'!E28</f>
        <v>156</v>
      </c>
      <c r="M20" s="128" t="e">
        <f>E20*F20+G20*H20+#REF!*#REF!+I20*J20</f>
        <v>#REF!</v>
      </c>
    </row>
    <row r="21" spans="1:13" x14ac:dyDescent="0.2">
      <c r="A21" s="131" t="s">
        <v>13</v>
      </c>
      <c r="B21" s="135">
        <f t="shared" si="0"/>
        <v>20</v>
      </c>
      <c r="C21" s="135">
        <v>11</v>
      </c>
      <c r="D21" s="136">
        <v>2022</v>
      </c>
      <c r="E21" s="132">
        <f>submetering!E21+submetering!F21+submetering!G21</f>
        <v>13514</v>
      </c>
      <c r="F21" s="129">
        <v>1.05</v>
      </c>
      <c r="G21" s="129">
        <f>'Consommation mensuel énergie'!V29</f>
        <v>575.98577999999998</v>
      </c>
      <c r="H21" s="129">
        <v>12.44</v>
      </c>
      <c r="I21" s="129">
        <f>'Consommation mensuel énergie'!F29</f>
        <v>121</v>
      </c>
      <c r="J21" s="129">
        <v>11.4</v>
      </c>
      <c r="K21" s="132">
        <f>'Consommation mensuel énergie'!D29</f>
        <v>115</v>
      </c>
      <c r="L21" s="132">
        <f>'Consommation mensuel énergie'!E29</f>
        <v>199</v>
      </c>
      <c r="M21" s="128" t="e">
        <f>E21*F21+G21*H21+#REF!*#REF!+I21*J21</f>
        <v>#REF!</v>
      </c>
    </row>
    <row r="22" spans="1:13" x14ac:dyDescent="0.2">
      <c r="A22" s="131" t="s">
        <v>13</v>
      </c>
      <c r="B22" s="135">
        <f t="shared" si="0"/>
        <v>21</v>
      </c>
      <c r="C22" s="135">
        <v>11</v>
      </c>
      <c r="D22" s="136">
        <v>2022</v>
      </c>
      <c r="E22" s="132">
        <f>submetering!E22+submetering!F22+submetering!G22</f>
        <v>13278</v>
      </c>
      <c r="F22" s="129">
        <v>1.05</v>
      </c>
      <c r="G22" s="129">
        <f>'Consommation mensuel énergie'!V30</f>
        <v>223.99447000000001</v>
      </c>
      <c r="H22" s="129">
        <v>12.44</v>
      </c>
      <c r="I22" s="129">
        <f>'Consommation mensuel énergie'!F30</f>
        <v>126</v>
      </c>
      <c r="J22" s="129">
        <v>11.4</v>
      </c>
      <c r="K22" s="132">
        <f>'Consommation mensuel énergie'!D30</f>
        <v>119</v>
      </c>
      <c r="L22" s="132">
        <f>'Consommation mensuel énergie'!E30</f>
        <v>179</v>
      </c>
      <c r="M22" s="128" t="e">
        <f>E22*F22+G22*H22+#REF!*#REF!+I22*J22</f>
        <v>#REF!</v>
      </c>
    </row>
    <row r="23" spans="1:13" x14ac:dyDescent="0.2">
      <c r="A23" s="131" t="s">
        <v>13</v>
      </c>
      <c r="B23" s="135">
        <f t="shared" si="0"/>
        <v>22</v>
      </c>
      <c r="C23" s="135">
        <v>11</v>
      </c>
      <c r="D23" s="136">
        <v>2022</v>
      </c>
      <c r="E23" s="132">
        <f>submetering!E23+submetering!F23+submetering!G23</f>
        <v>13629</v>
      </c>
      <c r="F23" s="129">
        <v>1.05</v>
      </c>
      <c r="G23" s="129">
        <f>'Consommation mensuel énergie'!V31</f>
        <v>319.99209999999999</v>
      </c>
      <c r="H23" s="129">
        <v>12.44</v>
      </c>
      <c r="I23" s="129">
        <f>'Consommation mensuel énergie'!F31</f>
        <v>126.39999999999418</v>
      </c>
      <c r="J23" s="129">
        <v>11.4</v>
      </c>
      <c r="K23" s="132">
        <f>'Consommation mensuel énergie'!D31</f>
        <v>118</v>
      </c>
      <c r="L23" s="132">
        <f>'Consommation mensuel énergie'!E31</f>
        <v>164</v>
      </c>
      <c r="M23" s="128" t="e">
        <f>E23*F23+G23*H23+#REF!*#REF!+I23*J23</f>
        <v>#REF!</v>
      </c>
    </row>
    <row r="24" spans="1:13" x14ac:dyDescent="0.2">
      <c r="A24" s="131" t="s">
        <v>13</v>
      </c>
      <c r="B24" s="135">
        <f t="shared" si="0"/>
        <v>23</v>
      </c>
      <c r="C24" s="135">
        <v>11</v>
      </c>
      <c r="D24" s="136">
        <v>2022</v>
      </c>
      <c r="E24" s="132">
        <f>submetering!E24+submetering!F24+submetering!G24</f>
        <v>14924</v>
      </c>
      <c r="F24" s="129">
        <v>1.05</v>
      </c>
      <c r="G24" s="129">
        <f>'Consommation mensuel énergie'!V32</f>
        <v>287.99288999999999</v>
      </c>
      <c r="H24" s="129">
        <v>12.44</v>
      </c>
      <c r="I24" s="129">
        <f>'Consommation mensuel énergie'!F32</f>
        <v>122.89999999999418</v>
      </c>
      <c r="J24" s="129">
        <v>11.4</v>
      </c>
      <c r="K24" s="132">
        <f>'Consommation mensuel énergie'!D32</f>
        <v>120</v>
      </c>
      <c r="L24" s="132">
        <f>'Consommation mensuel énergie'!E32</f>
        <v>159</v>
      </c>
      <c r="M24" s="128" t="e">
        <f>E24*F24+G24*H24+#REF!*#REF!+I24*J24</f>
        <v>#REF!</v>
      </c>
    </row>
    <row r="25" spans="1:13" x14ac:dyDescent="0.2">
      <c r="A25" s="131" t="s">
        <v>13</v>
      </c>
      <c r="B25" s="135">
        <f t="shared" si="0"/>
        <v>24</v>
      </c>
      <c r="C25" s="135">
        <v>11</v>
      </c>
      <c r="D25" s="136">
        <v>2022</v>
      </c>
      <c r="E25" s="132">
        <f>submetering!E25+submetering!F25+submetering!G25</f>
        <v>14768</v>
      </c>
      <c r="F25" s="129">
        <v>1.05</v>
      </c>
      <c r="G25" s="129">
        <f>'Consommation mensuel énergie'!V33</f>
        <v>415.98973000000001</v>
      </c>
      <c r="H25" s="129">
        <v>12.44</v>
      </c>
      <c r="I25" s="129">
        <f>'Consommation mensuel énergie'!F33</f>
        <v>124.60000000000582</v>
      </c>
      <c r="J25" s="129">
        <v>11.4</v>
      </c>
      <c r="K25" s="132">
        <f>'Consommation mensuel énergie'!D33</f>
        <v>131</v>
      </c>
      <c r="L25" s="132">
        <f>'Consommation mensuel énergie'!E33</f>
        <v>183</v>
      </c>
      <c r="M25" s="128" t="e">
        <f>E25*F25+G25*H25+#REF!*#REF!+I25*J25</f>
        <v>#REF!</v>
      </c>
    </row>
    <row r="26" spans="1:13" x14ac:dyDescent="0.2">
      <c r="A26" s="131" t="s">
        <v>13</v>
      </c>
      <c r="B26" s="135">
        <f>B25+1</f>
        <v>25</v>
      </c>
      <c r="C26" s="135">
        <v>11</v>
      </c>
      <c r="D26" s="136">
        <v>2022</v>
      </c>
      <c r="E26" s="132">
        <f>submetering!E26+submetering!F26+submetering!G26</f>
        <v>16465</v>
      </c>
      <c r="F26" s="129">
        <v>1.05</v>
      </c>
      <c r="G26" s="129">
        <f>'Consommation mensuel énergie'!V34</f>
        <v>415.98973000000001</v>
      </c>
      <c r="H26" s="129">
        <v>12.44</v>
      </c>
      <c r="I26" s="129">
        <f>'Consommation mensuel énergie'!F34</f>
        <v>129</v>
      </c>
      <c r="J26" s="129">
        <v>11.4</v>
      </c>
      <c r="K26" s="132">
        <f>'Consommation mensuel énergie'!D34</f>
        <v>106</v>
      </c>
      <c r="L26" s="132">
        <f>'Consommation mensuel énergie'!E34</f>
        <v>165</v>
      </c>
      <c r="M26" s="128" t="e">
        <f>E26*F26+G26*H26+#REF!*#REF!+I26*J26</f>
        <v>#REF!</v>
      </c>
    </row>
    <row r="27" spans="1:13" x14ac:dyDescent="0.2">
      <c r="A27" s="131" t="s">
        <v>13</v>
      </c>
      <c r="B27" s="135">
        <f t="shared" ref="B27:B31" si="1">B26+1</f>
        <v>26</v>
      </c>
      <c r="C27" s="135">
        <v>11</v>
      </c>
      <c r="D27" s="136">
        <v>2022</v>
      </c>
      <c r="E27" s="132">
        <f>submetering!E27+submetering!F27+submetering!G27</f>
        <v>12802</v>
      </c>
      <c r="F27" s="129">
        <v>1.05</v>
      </c>
      <c r="G27" s="129">
        <f>'Consommation mensuel énergie'!V35</f>
        <v>831.97946000000002</v>
      </c>
      <c r="H27" s="129">
        <v>12.44</v>
      </c>
      <c r="I27" s="129">
        <f>'Consommation mensuel énergie'!F35</f>
        <v>113</v>
      </c>
      <c r="J27" s="129">
        <v>11.4</v>
      </c>
      <c r="K27" s="132">
        <f>'Consommation mensuel énergie'!D35</f>
        <v>81</v>
      </c>
      <c r="L27" s="132">
        <f>'Consommation mensuel énergie'!E35</f>
        <v>147</v>
      </c>
      <c r="M27" s="128"/>
    </row>
    <row r="28" spans="1:13" x14ac:dyDescent="0.2">
      <c r="A28" s="131" t="s">
        <v>13</v>
      </c>
      <c r="B28" s="135">
        <f t="shared" si="1"/>
        <v>27</v>
      </c>
      <c r="C28" s="135">
        <v>11</v>
      </c>
      <c r="D28" s="136">
        <v>2022</v>
      </c>
      <c r="E28" s="132">
        <f>submetering!E28+submetering!F28+submetering!G28</f>
        <v>13379</v>
      </c>
      <c r="F28" s="129">
        <v>1.05</v>
      </c>
      <c r="G28" s="129">
        <f>'Consommation mensuel énergie'!V36</f>
        <v>703.98262</v>
      </c>
      <c r="H28" s="129">
        <v>12.44</v>
      </c>
      <c r="I28" s="129">
        <f>'Consommation mensuel énergie'!F36</f>
        <v>120</v>
      </c>
      <c r="J28" s="129">
        <v>11.4</v>
      </c>
      <c r="K28" s="132">
        <f>'Consommation mensuel énergie'!D36</f>
        <v>58</v>
      </c>
      <c r="L28" s="132">
        <f>'Consommation mensuel énergie'!E36</f>
        <v>98</v>
      </c>
      <c r="M28" s="128"/>
    </row>
    <row r="29" spans="1:13" x14ac:dyDescent="0.2">
      <c r="A29" s="131" t="s">
        <v>13</v>
      </c>
      <c r="B29" s="135">
        <f t="shared" si="1"/>
        <v>28</v>
      </c>
      <c r="C29" s="135">
        <v>11</v>
      </c>
      <c r="D29" s="136">
        <v>2022</v>
      </c>
      <c r="E29" s="132">
        <f>submetering!E29+submetering!F29+submetering!G29</f>
        <v>13230</v>
      </c>
      <c r="F29" s="129">
        <v>1.05</v>
      </c>
      <c r="G29" s="129">
        <f>'Consommation mensuel énergie'!V37</f>
        <v>287.99288999999999</v>
      </c>
      <c r="H29" s="129">
        <v>12.44</v>
      </c>
      <c r="I29" s="129">
        <f>'Consommation mensuel énergie'!F37</f>
        <v>135</v>
      </c>
      <c r="J29" s="129">
        <v>11.4</v>
      </c>
      <c r="K29" s="132">
        <f>'Consommation mensuel énergie'!D37</f>
        <v>60</v>
      </c>
      <c r="L29" s="132">
        <f>'Consommation mensuel énergie'!E37</f>
        <v>82</v>
      </c>
      <c r="M29" s="128"/>
    </row>
    <row r="30" spans="1:13" x14ac:dyDescent="0.2">
      <c r="A30" s="131" t="s">
        <v>13</v>
      </c>
      <c r="B30" s="135">
        <f t="shared" si="1"/>
        <v>29</v>
      </c>
      <c r="C30" s="135">
        <v>11</v>
      </c>
      <c r="D30" s="136">
        <v>2022</v>
      </c>
      <c r="E30" s="132">
        <f>submetering!E30+submetering!F30+submetering!G30</f>
        <v>13297</v>
      </c>
      <c r="F30" s="129">
        <v>1.05</v>
      </c>
      <c r="G30" s="129">
        <f>'Consommation mensuel énergie'!V38</f>
        <v>767.98104000000001</v>
      </c>
      <c r="H30" s="129">
        <v>12.44</v>
      </c>
      <c r="I30" s="129">
        <f>'Consommation mensuel énergie'!F38</f>
        <v>145</v>
      </c>
      <c r="J30" s="129">
        <v>11.4</v>
      </c>
      <c r="K30" s="132">
        <f>'Consommation mensuel énergie'!D38</f>
        <v>77</v>
      </c>
      <c r="L30" s="132">
        <f>'Consommation mensuel énergie'!E38</f>
        <v>109</v>
      </c>
      <c r="M30" s="128" t="e">
        <f>E30*F30+G30*H30+#REF!*#REF!+I30*J30</f>
        <v>#REF!</v>
      </c>
    </row>
    <row r="31" spans="1:13" x14ac:dyDescent="0.2">
      <c r="A31" s="131" t="s">
        <v>13</v>
      </c>
      <c r="B31" s="135">
        <f t="shared" si="1"/>
        <v>30</v>
      </c>
      <c r="C31" s="135">
        <v>11</v>
      </c>
      <c r="D31" s="136">
        <v>2022</v>
      </c>
      <c r="E31" s="132">
        <f>submetering!E31+submetering!F31+submetering!G31</f>
        <v>12820</v>
      </c>
      <c r="F31" s="129">
        <v>1.05</v>
      </c>
      <c r="G31" s="129">
        <f>'Consommation mensuel énergie'!V39</f>
        <v>447.98894000000001</v>
      </c>
      <c r="H31" s="129">
        <v>12.44</v>
      </c>
      <c r="I31" s="129">
        <f>'Consommation mensuel énergie'!F39</f>
        <v>130</v>
      </c>
      <c r="J31" s="129">
        <v>11.4</v>
      </c>
      <c r="K31" s="132">
        <f>'Consommation mensuel énergie'!D39</f>
        <v>74</v>
      </c>
      <c r="L31" s="132">
        <f>'Consommation mensuel énergie'!E39</f>
        <v>101</v>
      </c>
      <c r="M31" s="128"/>
    </row>
    <row r="32" spans="1:13" x14ac:dyDescent="0.2">
      <c r="A32" s="131"/>
      <c r="F32" s="129"/>
      <c r="G32" s="129"/>
      <c r="H32" s="129"/>
      <c r="I32" s="129"/>
      <c r="J32" s="129"/>
      <c r="M32" s="128"/>
    </row>
    <row r="33" spans="1:13" x14ac:dyDescent="0.2">
      <c r="A33" s="131"/>
      <c r="F33" s="129"/>
      <c r="G33" s="129"/>
      <c r="H33" s="129"/>
      <c r="I33" s="129"/>
      <c r="J33" s="129"/>
      <c r="M33" s="128"/>
    </row>
    <row r="34" spans="1:13" x14ac:dyDescent="0.2">
      <c r="F34" s="129"/>
      <c r="G34" s="129"/>
      <c r="H34" s="129"/>
      <c r="I34" s="129"/>
      <c r="J34" s="129"/>
    </row>
    <row r="35" spans="1:13" x14ac:dyDescent="0.2">
      <c r="F35" s="129"/>
      <c r="G35" s="129"/>
      <c r="H35" s="129"/>
      <c r="I35" s="129"/>
      <c r="J35" s="129"/>
    </row>
    <row r="36" spans="1:13" x14ac:dyDescent="0.2">
      <c r="F36" s="129"/>
      <c r="G36" s="129"/>
      <c r="H36" s="129"/>
      <c r="I36" s="129"/>
      <c r="J36" s="129"/>
    </row>
    <row r="37" spans="1:13" x14ac:dyDescent="0.2">
      <c r="F37" s="129"/>
      <c r="G37" s="129"/>
      <c r="H37" s="129"/>
      <c r="I37" s="129"/>
      <c r="J37" s="129"/>
    </row>
    <row r="38" spans="1:13" x14ac:dyDescent="0.2">
      <c r="F38" s="129"/>
      <c r="G38" s="129"/>
      <c r="H38" s="129"/>
      <c r="I38" s="129"/>
      <c r="J38" s="129"/>
    </row>
    <row r="39" spans="1:13" x14ac:dyDescent="0.2">
      <c r="F39" s="129"/>
      <c r="G39" s="129"/>
      <c r="H39" s="129"/>
      <c r="I39" s="129"/>
      <c r="J39" s="129"/>
    </row>
    <row r="40" spans="1:13" x14ac:dyDescent="0.2">
      <c r="F40" s="129"/>
      <c r="G40" s="129"/>
      <c r="H40" s="129"/>
      <c r="I40" s="129"/>
      <c r="J40" s="12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8"/>
  <sheetViews>
    <sheetView workbookViewId="0">
      <selection activeCell="O37" sqref="O37"/>
    </sheetView>
  </sheetViews>
  <sheetFormatPr baseColWidth="10" defaultColWidth="8.85546875" defaultRowHeight="12.75" x14ac:dyDescent="0.2"/>
  <cols>
    <col min="1" max="1" width="12.42578125" style="44" customWidth="1"/>
    <col min="2" max="3" width="8.85546875" style="135" customWidth="1"/>
    <col min="4" max="4" width="13.42578125" style="136" customWidth="1"/>
    <col min="5" max="6" width="12.5703125" style="44" customWidth="1"/>
    <col min="7" max="7" width="8.85546875" style="44" customWidth="1"/>
    <col min="8" max="9" width="8.85546875" customWidth="1"/>
    <col min="10" max="10" width="0" hidden="1" customWidth="1"/>
  </cols>
  <sheetData>
    <row r="1" spans="1:10" s="95" customFormat="1" ht="45.75" thickBot="1" x14ac:dyDescent="0.3">
      <c r="A1" s="130" t="s">
        <v>0</v>
      </c>
      <c r="B1" s="133" t="s">
        <v>1</v>
      </c>
      <c r="C1" s="133" t="s">
        <v>2</v>
      </c>
      <c r="D1" s="134" t="s">
        <v>3</v>
      </c>
      <c r="E1" s="137" t="s">
        <v>14</v>
      </c>
      <c r="F1" s="137" t="s">
        <v>15</v>
      </c>
      <c r="G1" s="137" t="s">
        <v>16</v>
      </c>
      <c r="H1" s="126" t="s">
        <v>10</v>
      </c>
      <c r="I1" s="126" t="s">
        <v>11</v>
      </c>
      <c r="J1" s="127" t="s">
        <v>12</v>
      </c>
    </row>
    <row r="2" spans="1:10" x14ac:dyDescent="0.2">
      <c r="A2" s="131" t="s">
        <v>13</v>
      </c>
      <c r="B2" s="135">
        <v>1</v>
      </c>
      <c r="C2" s="135">
        <v>11</v>
      </c>
      <c r="D2" s="136">
        <v>2022</v>
      </c>
      <c r="E2" s="132">
        <f>'Consommation mensuel énergie'!L10</f>
        <v>4848</v>
      </c>
      <c r="F2" s="132">
        <f>'Consommation mensuel énergie'!M10</f>
        <v>8006</v>
      </c>
      <c r="G2" s="132">
        <f>'Consommation mensuel énergie'!N10</f>
        <v>4201</v>
      </c>
      <c r="H2" s="132">
        <f>'Consommation mensuel énergie'!D10</f>
        <v>135</v>
      </c>
      <c r="I2" s="132">
        <f>'Consommation mensuel énergie'!E10</f>
        <v>214</v>
      </c>
      <c r="J2" s="128" t="e">
        <f>E2*F2+G2*#REF!+#REF!*#REF!+#REF!*#REF!</f>
        <v>#REF!</v>
      </c>
    </row>
    <row r="3" spans="1:10" x14ac:dyDescent="0.2">
      <c r="A3" s="131" t="s">
        <v>13</v>
      </c>
      <c r="B3" s="135">
        <f>B2+1</f>
        <v>2</v>
      </c>
      <c r="C3" s="135">
        <v>11</v>
      </c>
      <c r="D3" s="136">
        <v>2022</v>
      </c>
      <c r="E3" s="132">
        <f>'Consommation mensuel énergie'!L11</f>
        <v>4678</v>
      </c>
      <c r="F3" s="132">
        <f>'Consommation mensuel énergie'!M11</f>
        <v>7492</v>
      </c>
      <c r="G3" s="132">
        <f>'Consommation mensuel énergie'!N11</f>
        <v>3457</v>
      </c>
      <c r="H3" s="132">
        <f>'Consommation mensuel énergie'!D11</f>
        <v>119</v>
      </c>
      <c r="I3" s="132">
        <f>'Consommation mensuel énergie'!E11</f>
        <v>174</v>
      </c>
      <c r="J3" s="128" t="e">
        <f>E3*F3+G3*#REF!+#REF!*#REF!+#REF!*#REF!</f>
        <v>#REF!</v>
      </c>
    </row>
    <row r="4" spans="1:10" x14ac:dyDescent="0.2">
      <c r="A4" s="131" t="s">
        <v>13</v>
      </c>
      <c r="B4" s="135">
        <f t="shared" ref="B4:B25" si="0">B3+1</f>
        <v>3</v>
      </c>
      <c r="C4" s="135">
        <v>11</v>
      </c>
      <c r="D4" s="136">
        <v>2022</v>
      </c>
      <c r="E4" s="132">
        <f>'Consommation mensuel énergie'!L12</f>
        <v>4725</v>
      </c>
      <c r="F4" s="132">
        <f>'Consommation mensuel énergie'!M12</f>
        <v>7168</v>
      </c>
      <c r="G4" s="132">
        <f>'Consommation mensuel énergie'!N12</f>
        <v>3555</v>
      </c>
      <c r="H4" s="132">
        <f>'Consommation mensuel énergie'!D12</f>
        <v>135</v>
      </c>
      <c r="I4" s="132">
        <f>'Consommation mensuel énergie'!E12</f>
        <v>199</v>
      </c>
      <c r="J4" s="128" t="e">
        <f>E4*F4+G4*#REF!+#REF!*#REF!+#REF!*#REF!</f>
        <v>#REF!</v>
      </c>
    </row>
    <row r="5" spans="1:10" x14ac:dyDescent="0.2">
      <c r="A5" s="131" t="s">
        <v>13</v>
      </c>
      <c r="B5" s="135">
        <f t="shared" si="0"/>
        <v>4</v>
      </c>
      <c r="C5" s="135">
        <v>11</v>
      </c>
      <c r="D5" s="136">
        <v>2022</v>
      </c>
      <c r="E5" s="132">
        <f>'Consommation mensuel énergie'!L13</f>
        <v>5622</v>
      </c>
      <c r="F5" s="132">
        <f>'Consommation mensuel énergie'!M13</f>
        <v>7780</v>
      </c>
      <c r="G5" s="132">
        <f>'Consommation mensuel énergie'!N13</f>
        <v>3878</v>
      </c>
      <c r="H5" s="132">
        <f>'Consommation mensuel énergie'!D13</f>
        <v>143</v>
      </c>
      <c r="I5" s="132">
        <f>'Consommation mensuel énergie'!E13</f>
        <v>208</v>
      </c>
      <c r="J5" s="128" t="e">
        <f>E5*F5+G5*#REF!+#REF!*#REF!+#REF!*#REF!</f>
        <v>#REF!</v>
      </c>
    </row>
    <row r="6" spans="1:10" x14ac:dyDescent="0.2">
      <c r="A6" s="131" t="s">
        <v>13</v>
      </c>
      <c r="B6" s="135">
        <f t="shared" si="0"/>
        <v>5</v>
      </c>
      <c r="C6" s="135">
        <v>11</v>
      </c>
      <c r="D6" s="136">
        <v>2022</v>
      </c>
      <c r="E6" s="132">
        <f>'Consommation mensuel énergie'!L14</f>
        <v>6396</v>
      </c>
      <c r="F6" s="132">
        <f>'Consommation mensuel énergie'!M14</f>
        <v>7678</v>
      </c>
      <c r="G6" s="132">
        <f>'Consommation mensuel énergie'!N14</f>
        <v>3989</v>
      </c>
      <c r="H6" s="132">
        <f>'Consommation mensuel énergie'!D14</f>
        <v>105</v>
      </c>
      <c r="I6" s="132">
        <f>'Consommation mensuel énergie'!E14</f>
        <v>159</v>
      </c>
      <c r="J6" s="128" t="e">
        <f>E6*F6+G6*#REF!+#REF!*#REF!+#REF!*#REF!</f>
        <v>#REF!</v>
      </c>
    </row>
    <row r="7" spans="1:10" x14ac:dyDescent="0.2">
      <c r="A7" s="131" t="s">
        <v>13</v>
      </c>
      <c r="B7" s="135">
        <f t="shared" si="0"/>
        <v>6</v>
      </c>
      <c r="C7" s="135">
        <v>11</v>
      </c>
      <c r="D7" s="136">
        <v>2022</v>
      </c>
      <c r="E7" s="132">
        <f>'Consommation mensuel énergie'!L15</f>
        <v>3969</v>
      </c>
      <c r="F7" s="132">
        <f>'Consommation mensuel énergie'!M15</f>
        <v>7526</v>
      </c>
      <c r="G7" s="132">
        <f>'Consommation mensuel énergie'!N15</f>
        <v>3643</v>
      </c>
      <c r="H7" s="132">
        <f>'Consommation mensuel énergie'!D15</f>
        <v>112</v>
      </c>
      <c r="I7" s="132">
        <f>'Consommation mensuel énergie'!E15</f>
        <v>171</v>
      </c>
      <c r="J7" s="128" t="e">
        <f>E7*F7+G7*#REF!+#REF!*#REF!+#REF!*#REF!</f>
        <v>#REF!</v>
      </c>
    </row>
    <row r="8" spans="1:10" x14ac:dyDescent="0.2">
      <c r="A8" s="131" t="s">
        <v>13</v>
      </c>
      <c r="B8" s="135">
        <f t="shared" si="0"/>
        <v>7</v>
      </c>
      <c r="C8" s="135">
        <v>11</v>
      </c>
      <c r="D8" s="136">
        <v>2022</v>
      </c>
      <c r="E8" s="132">
        <f>'Consommation mensuel énergie'!L16</f>
        <v>4922</v>
      </c>
      <c r="F8" s="132">
        <f>'Consommation mensuel énergie'!M16</f>
        <v>7333</v>
      </c>
      <c r="G8" s="132">
        <f>'Consommation mensuel énergie'!N16</f>
        <v>3510</v>
      </c>
      <c r="H8" s="132">
        <f>'Consommation mensuel énergie'!D16</f>
        <v>135</v>
      </c>
      <c r="I8" s="132">
        <f>'Consommation mensuel énergie'!E16</f>
        <v>184</v>
      </c>
      <c r="J8" s="128" t="e">
        <f>E8*F8+G8*#REF!+#REF!*#REF!+#REF!*#REF!</f>
        <v>#REF!</v>
      </c>
    </row>
    <row r="9" spans="1:10" x14ac:dyDescent="0.2">
      <c r="A9" s="131" t="s">
        <v>13</v>
      </c>
      <c r="B9" s="135">
        <f t="shared" si="0"/>
        <v>8</v>
      </c>
      <c r="C9" s="135">
        <v>11</v>
      </c>
      <c r="D9" s="136">
        <v>2022</v>
      </c>
      <c r="E9" s="132">
        <f>'Consommation mensuel énergie'!L17</f>
        <v>4606</v>
      </c>
      <c r="F9" s="132">
        <f>'Consommation mensuel énergie'!M17</f>
        <v>7868</v>
      </c>
      <c r="G9" s="132">
        <f>'Consommation mensuel énergie'!N17</f>
        <v>3953</v>
      </c>
      <c r="H9" s="132">
        <f>'Consommation mensuel énergie'!D17</f>
        <v>123</v>
      </c>
      <c r="I9" s="132">
        <f>'Consommation mensuel énergie'!E17</f>
        <v>168</v>
      </c>
      <c r="J9" s="128" t="e">
        <f>E9*F9+G9*#REF!+#REF!*#REF!+#REF!*#REF!</f>
        <v>#REF!</v>
      </c>
    </row>
    <row r="10" spans="1:10" x14ac:dyDescent="0.2">
      <c r="A10" s="131" t="s">
        <v>13</v>
      </c>
      <c r="B10" s="135">
        <f t="shared" si="0"/>
        <v>9</v>
      </c>
      <c r="C10" s="135">
        <v>11</v>
      </c>
      <c r="D10" s="136">
        <v>2022</v>
      </c>
      <c r="E10" s="132">
        <f>'Consommation mensuel énergie'!L18</f>
        <v>4956</v>
      </c>
      <c r="F10" s="132">
        <f>'Consommation mensuel énergie'!M18</f>
        <v>7526</v>
      </c>
      <c r="G10" s="132">
        <f>'Consommation mensuel énergie'!N18</f>
        <v>3154</v>
      </c>
      <c r="H10" s="132">
        <f>'Consommation mensuel énergie'!D18</f>
        <v>108</v>
      </c>
      <c r="I10" s="132">
        <f>'Consommation mensuel énergie'!E18</f>
        <v>138</v>
      </c>
      <c r="J10" s="128" t="e">
        <f>E10*F10+G10*#REF!+#REF!*#REF!+#REF!*#REF!</f>
        <v>#REF!</v>
      </c>
    </row>
    <row r="11" spans="1:10" x14ac:dyDescent="0.2">
      <c r="A11" s="131" t="s">
        <v>13</v>
      </c>
      <c r="B11" s="135">
        <f t="shared" si="0"/>
        <v>10</v>
      </c>
      <c r="C11" s="135">
        <v>11</v>
      </c>
      <c r="D11" s="136">
        <v>2022</v>
      </c>
      <c r="E11" s="132">
        <f>'Consommation mensuel énergie'!L19</f>
        <v>4280</v>
      </c>
      <c r="F11" s="132">
        <f>'Consommation mensuel énergie'!M19</f>
        <v>7515</v>
      </c>
      <c r="G11" s="132">
        <f>'Consommation mensuel énergie'!N19</f>
        <v>3502</v>
      </c>
      <c r="H11" s="132">
        <f>'Consommation mensuel énergie'!D19</f>
        <v>107</v>
      </c>
      <c r="I11" s="132">
        <f>'Consommation mensuel énergie'!E19</f>
        <v>144</v>
      </c>
      <c r="J11" s="128" t="e">
        <f>E11*F11+G11*#REF!+#REF!*#REF!+#REF!*#REF!</f>
        <v>#REF!</v>
      </c>
    </row>
    <row r="12" spans="1:10" x14ac:dyDescent="0.2">
      <c r="A12" s="131" t="s">
        <v>13</v>
      </c>
      <c r="B12" s="135">
        <f t="shared" si="0"/>
        <v>11</v>
      </c>
      <c r="C12" s="135">
        <v>11</v>
      </c>
      <c r="D12" s="136">
        <v>2022</v>
      </c>
      <c r="E12" s="132">
        <f>'Consommation mensuel énergie'!L20</f>
        <v>4982</v>
      </c>
      <c r="F12" s="132">
        <f>'Consommation mensuel énergie'!M20</f>
        <v>6856</v>
      </c>
      <c r="G12" s="132">
        <f>'Consommation mensuel énergie'!N20</f>
        <v>3603</v>
      </c>
      <c r="H12" s="132">
        <f>'Consommation mensuel énergie'!D20</f>
        <v>115</v>
      </c>
      <c r="I12" s="132">
        <f>'Consommation mensuel énergie'!E20</f>
        <v>168</v>
      </c>
      <c r="J12" s="128" t="e">
        <f>E12*F12+G12*#REF!+#REF!*#REF!+#REF!*#REF!</f>
        <v>#REF!</v>
      </c>
    </row>
    <row r="13" spans="1:10" x14ac:dyDescent="0.2">
      <c r="A13" s="131" t="s">
        <v>13</v>
      </c>
      <c r="B13" s="135">
        <f t="shared" si="0"/>
        <v>12</v>
      </c>
      <c r="C13" s="135">
        <v>11</v>
      </c>
      <c r="D13" s="136">
        <v>2022</v>
      </c>
      <c r="E13" s="132">
        <f>'Consommation mensuel énergie'!L21</f>
        <v>4629</v>
      </c>
      <c r="F13" s="132">
        <f>'Consommation mensuel énergie'!M21</f>
        <v>8007</v>
      </c>
      <c r="G13" s="132">
        <f>'Consommation mensuel énergie'!N21</f>
        <v>3642</v>
      </c>
      <c r="H13" s="132">
        <f>'Consommation mensuel énergie'!D21</f>
        <v>96</v>
      </c>
      <c r="I13" s="132">
        <f>'Consommation mensuel énergie'!E21</f>
        <v>148</v>
      </c>
      <c r="J13" s="128" t="e">
        <f>E13*F13+G13*#REF!+#REF!*#REF!+#REF!*#REF!</f>
        <v>#REF!</v>
      </c>
    </row>
    <row r="14" spans="1:10" x14ac:dyDescent="0.2">
      <c r="A14" s="131" t="s">
        <v>13</v>
      </c>
      <c r="B14" s="135">
        <f t="shared" si="0"/>
        <v>13</v>
      </c>
      <c r="C14" s="135">
        <v>11</v>
      </c>
      <c r="D14" s="136">
        <v>2022</v>
      </c>
      <c r="E14" s="132">
        <f>'Consommation mensuel énergie'!L22</f>
        <v>4953</v>
      </c>
      <c r="F14" s="132">
        <f>'Consommation mensuel énergie'!M22</f>
        <v>7149</v>
      </c>
      <c r="G14" s="132">
        <f>'Consommation mensuel énergie'!N22</f>
        <v>3450</v>
      </c>
      <c r="H14" s="132">
        <f>'Consommation mensuel énergie'!D22</f>
        <v>104</v>
      </c>
      <c r="I14" s="132">
        <f>'Consommation mensuel énergie'!E22</f>
        <v>175</v>
      </c>
      <c r="J14" s="128" t="e">
        <f>E14*F14+G14*#REF!+#REF!*#REF!+#REF!*#REF!</f>
        <v>#REF!</v>
      </c>
    </row>
    <row r="15" spans="1:10" x14ac:dyDescent="0.2">
      <c r="A15" s="131" t="s">
        <v>13</v>
      </c>
      <c r="B15" s="135">
        <f t="shared" si="0"/>
        <v>14</v>
      </c>
      <c r="C15" s="135">
        <v>11</v>
      </c>
      <c r="D15" s="136">
        <v>2022</v>
      </c>
      <c r="E15" s="132">
        <f>'Consommation mensuel énergie'!L23</f>
        <v>4378</v>
      </c>
      <c r="F15" s="132">
        <f>'Consommation mensuel énergie'!M23</f>
        <v>6780</v>
      </c>
      <c r="G15" s="132">
        <f>'Consommation mensuel énergie'!N23</f>
        <v>3510</v>
      </c>
      <c r="H15" s="132">
        <f>'Consommation mensuel énergie'!D23</f>
        <v>90</v>
      </c>
      <c r="I15" s="132">
        <f>'Consommation mensuel énergie'!E23</f>
        <v>142</v>
      </c>
      <c r="J15" s="128" t="e">
        <f>E15*F15+G15*#REF!+#REF!*#REF!+#REF!*#REF!</f>
        <v>#REF!</v>
      </c>
    </row>
    <row r="16" spans="1:10" x14ac:dyDescent="0.2">
      <c r="A16" s="131" t="s">
        <v>13</v>
      </c>
      <c r="B16" s="135">
        <f t="shared" si="0"/>
        <v>15</v>
      </c>
      <c r="C16" s="135">
        <v>11</v>
      </c>
      <c r="D16" s="136">
        <v>2022</v>
      </c>
      <c r="E16" s="132">
        <f>'Consommation mensuel énergie'!L24</f>
        <v>4641</v>
      </c>
      <c r="F16" s="132">
        <f>'Consommation mensuel énergie'!M24</f>
        <v>7396</v>
      </c>
      <c r="G16" s="132">
        <f>'Consommation mensuel énergie'!N24</f>
        <v>3491</v>
      </c>
      <c r="H16" s="132">
        <f>'Consommation mensuel énergie'!D24</f>
        <v>129</v>
      </c>
      <c r="I16" s="132">
        <f>'Consommation mensuel énergie'!E24</f>
        <v>197</v>
      </c>
      <c r="J16" s="128" t="e">
        <f>E16*F16+G16*#REF!+#REF!*#REF!+#REF!*#REF!</f>
        <v>#REF!</v>
      </c>
    </row>
    <row r="17" spans="1:10" x14ac:dyDescent="0.2">
      <c r="A17" s="131" t="s">
        <v>13</v>
      </c>
      <c r="B17" s="135">
        <f t="shared" si="0"/>
        <v>16</v>
      </c>
      <c r="C17" s="135">
        <v>11</v>
      </c>
      <c r="D17" s="136">
        <v>2022</v>
      </c>
      <c r="E17" s="132">
        <f>'Consommation mensuel énergie'!L25</f>
        <v>4875</v>
      </c>
      <c r="F17" s="132">
        <f>'Consommation mensuel énergie'!M25</f>
        <v>7472</v>
      </c>
      <c r="G17" s="132">
        <f>'Consommation mensuel énergie'!N25</f>
        <v>3530</v>
      </c>
      <c r="H17" s="132">
        <f>'Consommation mensuel énergie'!D25</f>
        <v>151</v>
      </c>
      <c r="I17" s="132">
        <f>'Consommation mensuel énergie'!E25</f>
        <v>233</v>
      </c>
      <c r="J17" s="128" t="e">
        <f>E17*F17+G17*#REF!+#REF!*#REF!+#REF!*#REF!</f>
        <v>#REF!</v>
      </c>
    </row>
    <row r="18" spans="1:10" x14ac:dyDescent="0.2">
      <c r="A18" s="131" t="s">
        <v>13</v>
      </c>
      <c r="B18" s="135">
        <f t="shared" si="0"/>
        <v>17</v>
      </c>
      <c r="C18" s="135">
        <v>11</v>
      </c>
      <c r="D18" s="136">
        <v>2022</v>
      </c>
      <c r="E18" s="132">
        <f>'Consommation mensuel énergie'!L26</f>
        <v>4454</v>
      </c>
      <c r="F18" s="132">
        <f>'Consommation mensuel énergie'!M26</f>
        <v>7545</v>
      </c>
      <c r="G18" s="132">
        <f>'Consommation mensuel énergie'!N26</f>
        <v>3716</v>
      </c>
      <c r="H18" s="132">
        <f>'Consommation mensuel énergie'!D26</f>
        <v>107</v>
      </c>
      <c r="I18" s="132">
        <f>'Consommation mensuel énergie'!E26</f>
        <v>154</v>
      </c>
      <c r="J18" s="128" t="e">
        <f>E18*F18+G18*#REF!+#REF!*#REF!+#REF!*#REF!</f>
        <v>#REF!</v>
      </c>
    </row>
    <row r="19" spans="1:10" x14ac:dyDescent="0.2">
      <c r="A19" s="131" t="s">
        <v>13</v>
      </c>
      <c r="B19" s="135">
        <f t="shared" si="0"/>
        <v>18</v>
      </c>
      <c r="C19" s="135">
        <v>11</v>
      </c>
      <c r="D19" s="136">
        <v>2022</v>
      </c>
      <c r="E19" s="132">
        <f>'Consommation mensuel énergie'!L27</f>
        <v>4934</v>
      </c>
      <c r="F19" s="132">
        <f>'Consommation mensuel énergie'!M27</f>
        <v>8279</v>
      </c>
      <c r="G19" s="132">
        <f>'Consommation mensuel énergie'!N27</f>
        <v>3346</v>
      </c>
      <c r="H19" s="132">
        <f>'Consommation mensuel énergie'!D27</f>
        <v>94</v>
      </c>
      <c r="I19" s="132">
        <f>'Consommation mensuel énergie'!E27</f>
        <v>149</v>
      </c>
      <c r="J19" s="128" t="e">
        <f>E19*F19+G19*#REF!+#REF!*#REF!+#REF!*#REF!</f>
        <v>#REF!</v>
      </c>
    </row>
    <row r="20" spans="1:10" x14ac:dyDescent="0.2">
      <c r="A20" s="131" t="s">
        <v>13</v>
      </c>
      <c r="B20" s="135">
        <f t="shared" si="0"/>
        <v>19</v>
      </c>
      <c r="C20" s="135">
        <v>11</v>
      </c>
      <c r="D20" s="136">
        <v>2022</v>
      </c>
      <c r="E20" s="132">
        <f>'Consommation mensuel énergie'!L28</f>
        <v>4119</v>
      </c>
      <c r="F20" s="132">
        <f>'Consommation mensuel énergie'!M28</f>
        <v>6682</v>
      </c>
      <c r="G20" s="132">
        <f>'Consommation mensuel énergie'!N28</f>
        <v>3103</v>
      </c>
      <c r="H20" s="132">
        <f>'Consommation mensuel énergie'!D28</f>
        <v>91</v>
      </c>
      <c r="I20" s="132">
        <f>'Consommation mensuel énergie'!E28</f>
        <v>156</v>
      </c>
      <c r="J20" s="128" t="e">
        <f>E20*F20+G20*#REF!+#REF!*#REF!+#REF!*#REF!</f>
        <v>#REF!</v>
      </c>
    </row>
    <row r="21" spans="1:10" x14ac:dyDescent="0.2">
      <c r="A21" s="131" t="s">
        <v>13</v>
      </c>
      <c r="B21" s="135">
        <f t="shared" si="0"/>
        <v>20</v>
      </c>
      <c r="C21" s="135">
        <v>11</v>
      </c>
      <c r="D21" s="136">
        <v>2022</v>
      </c>
      <c r="E21" s="132">
        <f>'Consommation mensuel énergie'!L29</f>
        <v>4178</v>
      </c>
      <c r="F21" s="132">
        <f>'Consommation mensuel énergie'!M29</f>
        <v>6415</v>
      </c>
      <c r="G21" s="132">
        <f>'Consommation mensuel énergie'!N29</f>
        <v>2921</v>
      </c>
      <c r="H21" s="132">
        <f>'Consommation mensuel énergie'!D29</f>
        <v>115</v>
      </c>
      <c r="I21" s="132">
        <f>'Consommation mensuel énergie'!E29</f>
        <v>199</v>
      </c>
      <c r="J21" s="128" t="e">
        <f>E21*F21+G21*#REF!+#REF!*#REF!+#REF!*#REF!</f>
        <v>#REF!</v>
      </c>
    </row>
    <row r="22" spans="1:10" x14ac:dyDescent="0.2">
      <c r="A22" s="131" t="s">
        <v>13</v>
      </c>
      <c r="B22" s="135">
        <f t="shared" si="0"/>
        <v>21</v>
      </c>
      <c r="C22" s="135">
        <v>11</v>
      </c>
      <c r="D22" s="136">
        <v>2022</v>
      </c>
      <c r="E22" s="132">
        <f>'Consommation mensuel énergie'!L30</f>
        <v>4127</v>
      </c>
      <c r="F22" s="132">
        <f>'Consommation mensuel énergie'!M30</f>
        <v>6220</v>
      </c>
      <c r="G22" s="132">
        <f>'Consommation mensuel énergie'!N30</f>
        <v>2931</v>
      </c>
      <c r="H22" s="132">
        <f>'Consommation mensuel énergie'!D30</f>
        <v>119</v>
      </c>
      <c r="I22" s="132">
        <f>'Consommation mensuel énergie'!E30</f>
        <v>179</v>
      </c>
      <c r="J22" s="128" t="e">
        <f>E22*F22+G22*#REF!+#REF!*#REF!+#REF!*#REF!</f>
        <v>#REF!</v>
      </c>
    </row>
    <row r="23" spans="1:10" x14ac:dyDescent="0.2">
      <c r="A23" s="131" t="s">
        <v>13</v>
      </c>
      <c r="B23" s="135">
        <f t="shared" si="0"/>
        <v>22</v>
      </c>
      <c r="C23" s="135">
        <v>11</v>
      </c>
      <c r="D23" s="136">
        <v>2022</v>
      </c>
      <c r="E23" s="132">
        <f>'Consommation mensuel énergie'!L31</f>
        <v>4074</v>
      </c>
      <c r="F23" s="132">
        <f>'Consommation mensuel énergie'!M31</f>
        <v>6436</v>
      </c>
      <c r="G23" s="132">
        <f>'Consommation mensuel énergie'!N31</f>
        <v>3119</v>
      </c>
      <c r="H23" s="132">
        <f>'Consommation mensuel énergie'!D31</f>
        <v>118</v>
      </c>
      <c r="I23" s="132">
        <f>'Consommation mensuel énergie'!E31</f>
        <v>164</v>
      </c>
      <c r="J23" s="128" t="e">
        <f>E23*F23+G23*#REF!+#REF!*#REF!+#REF!*#REF!</f>
        <v>#REF!</v>
      </c>
    </row>
    <row r="24" spans="1:10" x14ac:dyDescent="0.2">
      <c r="A24" s="131" t="s">
        <v>13</v>
      </c>
      <c r="B24" s="135">
        <f t="shared" si="0"/>
        <v>23</v>
      </c>
      <c r="C24" s="135">
        <v>11</v>
      </c>
      <c r="D24" s="136">
        <v>2022</v>
      </c>
      <c r="E24" s="132">
        <f>'Consommation mensuel énergie'!L32</f>
        <v>4814</v>
      </c>
      <c r="F24" s="132">
        <f>'Consommation mensuel énergie'!M32</f>
        <v>6761</v>
      </c>
      <c r="G24" s="132">
        <f>'Consommation mensuel énergie'!N32</f>
        <v>3349</v>
      </c>
      <c r="H24" s="132">
        <f>'Consommation mensuel énergie'!D32</f>
        <v>120</v>
      </c>
      <c r="I24" s="132">
        <f>'Consommation mensuel énergie'!E32</f>
        <v>159</v>
      </c>
      <c r="J24" s="128" t="e">
        <f>E24*F24+G24*#REF!+#REF!*#REF!+#REF!*#REF!</f>
        <v>#REF!</v>
      </c>
    </row>
    <row r="25" spans="1:10" x14ac:dyDescent="0.2">
      <c r="A25" s="131" t="s">
        <v>13</v>
      </c>
      <c r="B25" s="135">
        <f t="shared" si="0"/>
        <v>24</v>
      </c>
      <c r="C25" s="135">
        <v>11</v>
      </c>
      <c r="D25" s="136">
        <v>2022</v>
      </c>
      <c r="E25" s="132">
        <f>'Consommation mensuel énergie'!L33</f>
        <v>4523</v>
      </c>
      <c r="F25" s="132">
        <f>'Consommation mensuel énergie'!M33</f>
        <v>6806</v>
      </c>
      <c r="G25" s="132">
        <f>'Consommation mensuel énergie'!N33</f>
        <v>3439</v>
      </c>
      <c r="H25" s="132">
        <f>'Consommation mensuel énergie'!D33</f>
        <v>131</v>
      </c>
      <c r="I25" s="132">
        <f>'Consommation mensuel énergie'!E33</f>
        <v>183</v>
      </c>
      <c r="J25" s="128" t="e">
        <f>E25*F25+G25*#REF!+#REF!*#REF!+#REF!*#REF!</f>
        <v>#REF!</v>
      </c>
    </row>
    <row r="26" spans="1:10" x14ac:dyDescent="0.2">
      <c r="A26" s="131" t="s">
        <v>13</v>
      </c>
      <c r="B26" s="135">
        <f>B25+1</f>
        <v>25</v>
      </c>
      <c r="C26" s="135">
        <v>11</v>
      </c>
      <c r="D26" s="136">
        <v>2022</v>
      </c>
      <c r="E26" s="132">
        <f>'Consommation mensuel énergie'!L34</f>
        <v>6626</v>
      </c>
      <c r="F26" s="132">
        <f>'Consommation mensuel énergie'!M34</f>
        <v>6614</v>
      </c>
      <c r="G26" s="132">
        <f>'Consommation mensuel énergie'!N34</f>
        <v>3225</v>
      </c>
      <c r="H26" s="132">
        <f>'Consommation mensuel énergie'!D34</f>
        <v>106</v>
      </c>
      <c r="I26" s="132">
        <f>'Consommation mensuel énergie'!E34</f>
        <v>165</v>
      </c>
      <c r="J26" s="128" t="e">
        <f>E26*F26+G26*#REF!+#REF!*#REF!+#REF!*#REF!</f>
        <v>#REF!</v>
      </c>
    </row>
    <row r="27" spans="1:10" x14ac:dyDescent="0.2">
      <c r="A27" s="131" t="s">
        <v>13</v>
      </c>
      <c r="B27" s="135">
        <f t="shared" ref="B27:B31" si="1">B26+1</f>
        <v>26</v>
      </c>
      <c r="C27" s="135">
        <v>11</v>
      </c>
      <c r="D27" s="136">
        <v>2022</v>
      </c>
      <c r="E27" s="132">
        <f>'Consommation mensuel énergie'!L35</f>
        <v>2609</v>
      </c>
      <c r="F27" s="132">
        <f>'Consommation mensuel énergie'!M35</f>
        <v>6840</v>
      </c>
      <c r="G27" s="132">
        <f>'Consommation mensuel énergie'!N35</f>
        <v>3353</v>
      </c>
      <c r="H27" s="132">
        <f>'Consommation mensuel énergie'!D35</f>
        <v>81</v>
      </c>
      <c r="I27" s="132">
        <f>'Consommation mensuel énergie'!E35</f>
        <v>147</v>
      </c>
      <c r="J27" s="128"/>
    </row>
    <row r="28" spans="1:10" x14ac:dyDescent="0.2">
      <c r="A28" s="131" t="s">
        <v>13</v>
      </c>
      <c r="B28" s="135">
        <f t="shared" si="1"/>
        <v>27</v>
      </c>
      <c r="C28" s="135">
        <v>11</v>
      </c>
      <c r="D28" s="136">
        <v>2022</v>
      </c>
      <c r="E28" s="132">
        <f>'Consommation mensuel énergie'!L36</f>
        <v>3949</v>
      </c>
      <c r="F28" s="132">
        <f>'Consommation mensuel énergie'!M36</f>
        <v>6425</v>
      </c>
      <c r="G28" s="132">
        <f>'Consommation mensuel énergie'!N36</f>
        <v>3005</v>
      </c>
      <c r="H28" s="132">
        <f>'Consommation mensuel énergie'!D36</f>
        <v>58</v>
      </c>
      <c r="I28" s="132">
        <f>'Consommation mensuel énergie'!E36</f>
        <v>98</v>
      </c>
      <c r="J28" s="128"/>
    </row>
    <row r="29" spans="1:10" x14ac:dyDescent="0.2">
      <c r="A29" s="131" t="s">
        <v>13</v>
      </c>
      <c r="B29" s="135">
        <f t="shared" si="1"/>
        <v>28</v>
      </c>
      <c r="C29" s="135">
        <v>11</v>
      </c>
      <c r="D29" s="136">
        <v>2022</v>
      </c>
      <c r="E29" s="132">
        <f>'Consommation mensuel énergie'!L37</f>
        <v>4183</v>
      </c>
      <c r="F29" s="132">
        <f>'Consommation mensuel énergie'!M37</f>
        <v>6064</v>
      </c>
      <c r="G29" s="132">
        <f>'Consommation mensuel énergie'!N37</f>
        <v>2983</v>
      </c>
      <c r="H29" s="132">
        <f>'Consommation mensuel énergie'!D37</f>
        <v>60</v>
      </c>
      <c r="I29" s="132">
        <f>'Consommation mensuel énergie'!E37</f>
        <v>82</v>
      </c>
      <c r="J29" s="128"/>
    </row>
    <row r="30" spans="1:10" x14ac:dyDescent="0.2">
      <c r="A30" s="131" t="s">
        <v>13</v>
      </c>
      <c r="B30" s="135">
        <f t="shared" si="1"/>
        <v>29</v>
      </c>
      <c r="C30" s="135">
        <v>11</v>
      </c>
      <c r="D30" s="136">
        <v>2022</v>
      </c>
      <c r="E30" s="132">
        <f>'Consommation mensuel énergie'!L38</f>
        <v>3986</v>
      </c>
      <c r="F30" s="132">
        <f>'Consommation mensuel énergie'!M38</f>
        <v>6327</v>
      </c>
      <c r="G30" s="132">
        <f>'Consommation mensuel énergie'!N38</f>
        <v>2984</v>
      </c>
      <c r="H30" s="132">
        <f>'Consommation mensuel énergie'!D38</f>
        <v>77</v>
      </c>
      <c r="I30" s="132">
        <f>'Consommation mensuel énergie'!E38</f>
        <v>109</v>
      </c>
      <c r="J30" s="128" t="e">
        <f>E30*F30+G30*#REF!+#REF!*#REF!+#REF!*#REF!</f>
        <v>#REF!</v>
      </c>
    </row>
    <row r="31" spans="1:10" x14ac:dyDescent="0.2">
      <c r="A31" s="131" t="s">
        <v>13</v>
      </c>
      <c r="B31" s="135">
        <f t="shared" si="1"/>
        <v>30</v>
      </c>
      <c r="C31" s="135">
        <v>11</v>
      </c>
      <c r="D31" s="136">
        <v>2022</v>
      </c>
      <c r="E31" s="132">
        <f>'Consommation mensuel énergie'!L39</f>
        <v>4154</v>
      </c>
      <c r="F31" s="132">
        <f>'Consommation mensuel énergie'!M39</f>
        <v>5838</v>
      </c>
      <c r="G31" s="132">
        <f>'Consommation mensuel énergie'!N39</f>
        <v>2828</v>
      </c>
      <c r="H31" s="132">
        <f>'Consommation mensuel énergie'!D39</f>
        <v>74</v>
      </c>
      <c r="I31" s="132">
        <f>'Consommation mensuel énergie'!E39</f>
        <v>101</v>
      </c>
      <c r="J31" s="128"/>
    </row>
    <row r="32" spans="1:10" x14ac:dyDescent="0.2">
      <c r="E32" s="129"/>
      <c r="F32" s="129"/>
      <c r="G32" s="129"/>
      <c r="H32" s="128"/>
      <c r="I32" s="128"/>
    </row>
    <row r="33" spans="5:9" x14ac:dyDescent="0.2">
      <c r="E33" s="129"/>
      <c r="F33" s="129"/>
      <c r="G33" s="129"/>
      <c r="H33" s="128"/>
      <c r="I33" s="128"/>
    </row>
    <row r="34" spans="5:9" x14ac:dyDescent="0.2">
      <c r="E34" s="129"/>
      <c r="F34" s="129"/>
      <c r="G34" s="129"/>
      <c r="H34" s="128"/>
      <c r="I34" s="128"/>
    </row>
    <row r="35" spans="5:9" x14ac:dyDescent="0.2">
      <c r="E35" s="129"/>
      <c r="F35" s="129"/>
      <c r="G35" s="129"/>
      <c r="H35" s="128"/>
      <c r="I35" s="128"/>
    </row>
    <row r="36" spans="5:9" x14ac:dyDescent="0.2">
      <c r="E36" s="129"/>
      <c r="F36" s="129"/>
      <c r="G36" s="129"/>
      <c r="H36" s="128"/>
      <c r="I36" s="128"/>
    </row>
    <row r="37" spans="5:9" x14ac:dyDescent="0.2">
      <c r="E37" s="129"/>
      <c r="F37" s="129"/>
      <c r="G37" s="129"/>
      <c r="H37" s="128"/>
      <c r="I37" s="128"/>
    </row>
    <row r="38" spans="5:9" x14ac:dyDescent="0.2">
      <c r="E38" s="129"/>
      <c r="F38" s="129"/>
      <c r="G38" s="129"/>
      <c r="H38" s="128"/>
      <c r="I38" s="12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17" activePane="bottomRight" state="frozen"/>
      <selection pane="topRight" activeCell="B21" sqref="A21:IV21"/>
      <selection pane="bottomLeft" activeCell="B21" sqref="A21:IV21"/>
      <selection pane="bottomRight" activeCell="AG36" sqref="AG3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 x14ac:dyDescent="0.25"/>
    <row r="4" spans="1:24" ht="39" hidden="1" customHeight="1" thickBot="1" x14ac:dyDescent="0.25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 x14ac:dyDescent="0.25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 x14ac:dyDescent="0.25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 x14ac:dyDescent="0.25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 x14ac:dyDescent="0.25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48" t="s">
        <v>30</v>
      </c>
      <c r="M9" s="148" t="s">
        <v>31</v>
      </c>
      <c r="N9" s="148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 x14ac:dyDescent="0.2">
      <c r="A10" s="2"/>
      <c r="B10" s="6">
        <v>44866</v>
      </c>
      <c r="C10" s="7"/>
      <c r="D10" s="165">
        <v>135</v>
      </c>
      <c r="E10" s="165">
        <v>214</v>
      </c>
      <c r="F10" s="13">
        <f>'Suivi EAU-ELEC'!E9</f>
        <v>180</v>
      </c>
      <c r="G10" s="11"/>
      <c r="H10" s="167">
        <f>F10*8.79</f>
        <v>1582.1999999999998</v>
      </c>
      <c r="I10" s="168"/>
      <c r="J10" s="168"/>
      <c r="K10" s="55">
        <v>42278</v>
      </c>
      <c r="L10" s="85">
        <f>'Suivi EAU-ELEC'!G9</f>
        <v>4848</v>
      </c>
      <c r="M10" s="86">
        <f>'Suivi EAU-ELEC'!I9</f>
        <v>8006</v>
      </c>
      <c r="N10" s="86">
        <f>'Suivi EAU-ELEC'!K9</f>
        <v>4201</v>
      </c>
      <c r="O10" s="86">
        <f>L10+M10+N10</f>
        <v>17055</v>
      </c>
      <c r="P10" s="11"/>
      <c r="Q10" s="31">
        <f>L10*0.6985+M10*0.9514+N10*1.3304</f>
        <v>16592.246800000001</v>
      </c>
      <c r="R10" s="11"/>
      <c r="S10" s="28"/>
      <c r="T10" s="11"/>
      <c r="U10" s="28"/>
      <c r="V10" s="140">
        <f>'Suvi Gaz'!O4</f>
        <v>671.98341000000005</v>
      </c>
      <c r="W10" s="11"/>
      <c r="X10" s="31">
        <f>V10*12.44</f>
        <v>8359.4736204000001</v>
      </c>
    </row>
    <row r="11" spans="1:24" ht="32.25" customHeight="1" x14ac:dyDescent="0.2">
      <c r="A11" s="2"/>
      <c r="B11" s="6">
        <v>44867</v>
      </c>
      <c r="C11" s="7"/>
      <c r="D11" s="165">
        <v>119</v>
      </c>
      <c r="E11" s="165">
        <v>174</v>
      </c>
      <c r="F11" s="13">
        <f>'Suivi EAU-ELEC'!E10</f>
        <v>144</v>
      </c>
      <c r="G11" s="11"/>
      <c r="H11" s="167">
        <f t="shared" ref="H11:H21" si="0">F11*8.79</f>
        <v>1265.7599999999998</v>
      </c>
      <c r="I11" s="168"/>
      <c r="J11" s="168"/>
      <c r="K11" s="55">
        <v>42279</v>
      </c>
      <c r="L11" s="85">
        <f>'Suivi EAU-ELEC'!G10</f>
        <v>4678</v>
      </c>
      <c r="M11" s="86">
        <f>'Suivi EAU-ELEC'!I10</f>
        <v>7492</v>
      </c>
      <c r="N11" s="86">
        <f>'Suivi EAU-ELEC'!K10</f>
        <v>3457</v>
      </c>
      <c r="O11" s="86">
        <f t="shared" ref="O11:O39" si="1">L11+M11+N11</f>
        <v>15627</v>
      </c>
      <c r="P11" s="11"/>
      <c r="Q11" s="31">
        <f>L11*0.6985+M11*0.9514+N14*1.3304</f>
        <v>15702.437400000003</v>
      </c>
      <c r="R11" s="11"/>
      <c r="S11" s="28"/>
      <c r="T11" s="11"/>
      <c r="U11" s="28"/>
      <c r="V11" s="140">
        <f>'Suvi Gaz'!O5</f>
        <v>223.99447000000001</v>
      </c>
      <c r="W11" s="11"/>
      <c r="X11" s="31">
        <f t="shared" ref="X11:X39" si="2">V11*12.44</f>
        <v>2786.4912067999999</v>
      </c>
    </row>
    <row r="12" spans="1:24" ht="32.25" customHeight="1" x14ac:dyDescent="0.2">
      <c r="A12" s="2"/>
      <c r="B12" s="6">
        <v>44868</v>
      </c>
      <c r="C12" s="7"/>
      <c r="D12" s="165">
        <v>135</v>
      </c>
      <c r="E12" s="165">
        <v>199</v>
      </c>
      <c r="F12" s="13">
        <f>'Suivi EAU-ELEC'!E11</f>
        <v>127</v>
      </c>
      <c r="G12" s="11"/>
      <c r="H12" s="167">
        <f t="shared" si="0"/>
        <v>1116.33</v>
      </c>
      <c r="I12" s="168"/>
      <c r="J12" s="168"/>
      <c r="K12" s="55">
        <v>42280</v>
      </c>
      <c r="L12" s="85">
        <f>'Suivi EAU-ELEC'!G11</f>
        <v>4725</v>
      </c>
      <c r="M12" s="86">
        <f>'Suivi EAU-ELEC'!I11</f>
        <v>7168</v>
      </c>
      <c r="N12" s="86">
        <f>'Suivi EAU-ELEC'!K11</f>
        <v>3555</v>
      </c>
      <c r="O12" s="86">
        <f t="shared" si="1"/>
        <v>15448</v>
      </c>
      <c r="P12" s="11"/>
      <c r="Q12" s="31">
        <f>L12*0.6985+M12*0.9514+N12*1.3304</f>
        <v>14849.619700000001</v>
      </c>
      <c r="R12" s="11"/>
      <c r="S12" s="28"/>
      <c r="T12" s="11"/>
      <c r="U12" s="28"/>
      <c r="V12" s="140">
        <f>'Suvi Gaz'!O6</f>
        <v>223.99447000000001</v>
      </c>
      <c r="W12" s="11"/>
      <c r="X12" s="31">
        <f t="shared" si="2"/>
        <v>2786.4912067999999</v>
      </c>
    </row>
    <row r="13" spans="1:24" ht="32.25" customHeight="1" x14ac:dyDescent="0.2">
      <c r="A13" s="2"/>
      <c r="B13" s="6">
        <v>44869</v>
      </c>
      <c r="C13" s="7"/>
      <c r="D13" s="165">
        <v>143</v>
      </c>
      <c r="E13" s="165">
        <v>208</v>
      </c>
      <c r="F13" s="13">
        <f>'Suivi EAU-ELEC'!E12</f>
        <v>130.10000000000582</v>
      </c>
      <c r="G13" s="11"/>
      <c r="H13" s="167">
        <f t="shared" si="0"/>
        <v>1143.5790000000511</v>
      </c>
      <c r="I13" s="168"/>
      <c r="J13" s="168"/>
      <c r="K13" s="55">
        <v>42281</v>
      </c>
      <c r="L13" s="85">
        <f>'Suivi EAU-ELEC'!G12</f>
        <v>5622</v>
      </c>
      <c r="M13" s="86">
        <f>'Suivi EAU-ELEC'!I12</f>
        <v>7780</v>
      </c>
      <c r="N13" s="86">
        <f>'Suivi EAU-ELEC'!K12</f>
        <v>3878</v>
      </c>
      <c r="O13" s="86">
        <f t="shared" si="1"/>
        <v>17280</v>
      </c>
      <c r="P13" s="11"/>
      <c r="Q13" s="31">
        <f t="shared" ref="Q13:Q39" si="3">L13*0.6985+M13*0.9514+N13*1.3304</f>
        <v>16488.1502</v>
      </c>
      <c r="R13" s="11"/>
      <c r="S13" s="28"/>
      <c r="T13" s="11"/>
      <c r="U13" s="28"/>
      <c r="V13" s="140">
        <f>'Suvi Gaz'!O7</f>
        <v>223.99447000000001</v>
      </c>
      <c r="W13" s="11"/>
      <c r="X13" s="31">
        <f t="shared" si="2"/>
        <v>2786.4912067999999</v>
      </c>
    </row>
    <row r="14" spans="1:24" ht="32.25" customHeight="1" x14ac:dyDescent="0.2">
      <c r="A14" s="2"/>
      <c r="B14" s="6">
        <v>44870</v>
      </c>
      <c r="C14" s="7"/>
      <c r="D14" s="165">
        <v>105</v>
      </c>
      <c r="E14" s="165">
        <v>159</v>
      </c>
      <c r="F14" s="13">
        <f>'Suivi EAU-ELEC'!E13</f>
        <v>132.60000000000582</v>
      </c>
      <c r="G14" s="12"/>
      <c r="H14" s="167">
        <f t="shared" si="0"/>
        <v>1165.554000000051</v>
      </c>
      <c r="I14" s="168"/>
      <c r="J14" s="168"/>
      <c r="K14" s="55">
        <v>42282</v>
      </c>
      <c r="L14" s="85">
        <f>'Suivi EAU-ELEC'!G13</f>
        <v>6396</v>
      </c>
      <c r="M14" s="86">
        <f>'Suivi EAU-ELEC'!I13</f>
        <v>7678</v>
      </c>
      <c r="N14" s="86">
        <f>'Suivi EAU-ELEC'!K13</f>
        <v>3989</v>
      </c>
      <c r="O14" s="86">
        <f t="shared" si="1"/>
        <v>18063</v>
      </c>
      <c r="P14" s="12"/>
      <c r="Q14" s="31">
        <f t="shared" si="3"/>
        <v>17079.4208</v>
      </c>
      <c r="R14" s="12"/>
      <c r="S14" s="28"/>
      <c r="T14" s="12"/>
      <c r="U14" s="28"/>
      <c r="V14" s="140">
        <f>'Suvi Gaz'!O8</f>
        <v>671.98341000000005</v>
      </c>
      <c r="W14" s="11"/>
      <c r="X14" s="31">
        <f t="shared" si="2"/>
        <v>8359.4736204000001</v>
      </c>
    </row>
    <row r="15" spans="1:24" ht="32.25" customHeight="1" x14ac:dyDescent="0.2">
      <c r="A15" s="5"/>
      <c r="B15" s="6">
        <v>44871</v>
      </c>
      <c r="C15" s="7"/>
      <c r="D15" s="165">
        <v>112</v>
      </c>
      <c r="E15" s="165">
        <v>171</v>
      </c>
      <c r="F15" s="13">
        <f>'Suivi EAU-ELEC'!E14</f>
        <v>141.29999999998836</v>
      </c>
      <c r="G15" s="11"/>
      <c r="H15" s="167">
        <f t="shared" si="0"/>
        <v>1242.0269999998975</v>
      </c>
      <c r="I15" s="168"/>
      <c r="J15" s="168"/>
      <c r="K15" s="55">
        <v>42283</v>
      </c>
      <c r="L15" s="85">
        <f>'Suivi EAU-ELEC'!G14</f>
        <v>3969</v>
      </c>
      <c r="M15" s="86">
        <f>'Suivi EAU-ELEC'!I14</f>
        <v>7526</v>
      </c>
      <c r="N15" s="86">
        <f>'Suivi EAU-ELEC'!K14</f>
        <v>3643</v>
      </c>
      <c r="O15" s="86">
        <f t="shared" si="1"/>
        <v>15138</v>
      </c>
      <c r="P15" s="12"/>
      <c r="Q15" s="31">
        <f>L15*0.6985+M15*0.9514+N15*1.3304</f>
        <v>14779.230100000001</v>
      </c>
      <c r="R15" s="12"/>
      <c r="S15" s="28"/>
      <c r="T15" s="12"/>
      <c r="U15" s="28"/>
      <c r="V15" s="140">
        <f>'Suvi Gaz'!O9</f>
        <v>383.99052</v>
      </c>
      <c r="W15" s="11"/>
      <c r="X15" s="31">
        <f t="shared" si="2"/>
        <v>4776.8420687999997</v>
      </c>
    </row>
    <row r="16" spans="1:24" ht="32.25" customHeight="1" x14ac:dyDescent="0.2">
      <c r="A16" s="5"/>
      <c r="B16" s="6">
        <v>44872</v>
      </c>
      <c r="C16" s="7"/>
      <c r="D16" s="165">
        <v>135</v>
      </c>
      <c r="E16" s="165">
        <v>184</v>
      </c>
      <c r="F16" s="13">
        <f>'Suivi EAU-ELEC'!E15</f>
        <v>144</v>
      </c>
      <c r="G16" s="11"/>
      <c r="H16" s="167">
        <f t="shared" si="0"/>
        <v>1265.7599999999998</v>
      </c>
      <c r="I16" s="168"/>
      <c r="J16" s="168"/>
      <c r="K16" s="55">
        <v>42284</v>
      </c>
      <c r="L16" s="85">
        <f>'Suivi EAU-ELEC'!G15</f>
        <v>4922</v>
      </c>
      <c r="M16" s="86">
        <f>'Suivi EAU-ELEC'!I15</f>
        <v>7333</v>
      </c>
      <c r="N16" s="86">
        <f>'Suivi EAU-ELEC'!K15</f>
        <v>3510</v>
      </c>
      <c r="O16" s="86">
        <f t="shared" si="1"/>
        <v>15765</v>
      </c>
      <c r="P16" s="11"/>
      <c r="Q16" s="31">
        <f t="shared" si="3"/>
        <v>15084.3372</v>
      </c>
      <c r="R16" s="11"/>
      <c r="S16" s="28"/>
      <c r="T16" s="11"/>
      <c r="U16" s="28"/>
      <c r="V16" s="140">
        <f>'Suvi Gaz'!O10</f>
        <v>351.99131</v>
      </c>
      <c r="W16" s="11"/>
      <c r="X16" s="31">
        <f t="shared" si="2"/>
        <v>4378.7718963999996</v>
      </c>
    </row>
    <row r="17" spans="1:24" s="5" customFormat="1" ht="32.25" customHeight="1" x14ac:dyDescent="0.2">
      <c r="A17" s="2"/>
      <c r="B17" s="6">
        <v>44873</v>
      </c>
      <c r="C17" s="7"/>
      <c r="D17" s="165">
        <v>123</v>
      </c>
      <c r="E17" s="165">
        <v>168</v>
      </c>
      <c r="F17" s="13">
        <f>'Suivi EAU-ELEC'!E16</f>
        <v>139</v>
      </c>
      <c r="G17" s="11"/>
      <c r="H17" s="167">
        <f t="shared" si="0"/>
        <v>1221.81</v>
      </c>
      <c r="I17" s="168"/>
      <c r="J17" s="168"/>
      <c r="K17" s="55">
        <v>42285</v>
      </c>
      <c r="L17" s="85">
        <f>'Suivi EAU-ELEC'!G16</f>
        <v>4606</v>
      </c>
      <c r="M17" s="86">
        <f>'Suivi EAU-ELEC'!I16</f>
        <v>7868</v>
      </c>
      <c r="N17" s="86">
        <f>'Suivi EAU-ELEC'!K16</f>
        <v>3953</v>
      </c>
      <c r="O17" s="86">
        <f t="shared" si="1"/>
        <v>16427</v>
      </c>
      <c r="P17" s="12"/>
      <c r="Q17" s="31">
        <f t="shared" si="3"/>
        <v>15961.977400000002</v>
      </c>
      <c r="R17" s="12"/>
      <c r="S17" s="28"/>
      <c r="T17" s="12"/>
      <c r="U17" s="28"/>
      <c r="V17" s="140">
        <f>'Suvi Gaz'!O11</f>
        <v>255.99368000000001</v>
      </c>
      <c r="W17" s="11"/>
      <c r="X17" s="31">
        <f t="shared" si="2"/>
        <v>3184.5613791999999</v>
      </c>
    </row>
    <row r="18" spans="1:24" ht="32.25" customHeight="1" x14ac:dyDescent="0.2">
      <c r="A18" s="2"/>
      <c r="B18" s="6">
        <v>44874</v>
      </c>
      <c r="C18" s="7"/>
      <c r="D18" s="165">
        <v>108</v>
      </c>
      <c r="E18" s="165">
        <v>138</v>
      </c>
      <c r="F18" s="13">
        <f>'Suivi EAU-ELEC'!E17</f>
        <v>116</v>
      </c>
      <c r="G18" s="11"/>
      <c r="H18" s="167">
        <f t="shared" si="0"/>
        <v>1019.6399999999999</v>
      </c>
      <c r="I18" s="168"/>
      <c r="J18" s="168"/>
      <c r="K18" s="55">
        <v>42286</v>
      </c>
      <c r="L18" s="85">
        <f>'Suivi EAU-ELEC'!G17</f>
        <v>4956</v>
      </c>
      <c r="M18" s="86">
        <f>'Suivi EAU-ELEC'!I17</f>
        <v>7526</v>
      </c>
      <c r="N18" s="86">
        <f>'Suivi EAU-ELEC'!K17</f>
        <v>3154</v>
      </c>
      <c r="O18" s="86">
        <f t="shared" si="1"/>
        <v>15636</v>
      </c>
      <c r="P18" s="12"/>
      <c r="Q18" s="31">
        <f t="shared" si="3"/>
        <v>14818.083999999999</v>
      </c>
      <c r="R18" s="12"/>
      <c r="S18" s="28"/>
      <c r="T18" s="12"/>
      <c r="U18" s="28"/>
      <c r="V18" s="140">
        <f>'Suvi Gaz'!O12</f>
        <v>543.98657000000003</v>
      </c>
      <c r="W18" s="11"/>
      <c r="X18" s="31">
        <f t="shared" si="2"/>
        <v>6767.1929307999999</v>
      </c>
    </row>
    <row r="19" spans="1:24" ht="32.25" customHeight="1" x14ac:dyDescent="0.2">
      <c r="A19" s="2"/>
      <c r="B19" s="6">
        <v>44875</v>
      </c>
      <c r="C19" s="7"/>
      <c r="D19" s="165">
        <v>107</v>
      </c>
      <c r="E19" s="165">
        <v>144</v>
      </c>
      <c r="F19" s="13">
        <f>'Suivi EAU-ELEC'!E18</f>
        <v>119.29999999998836</v>
      </c>
      <c r="G19" s="12"/>
      <c r="H19" s="167">
        <f t="shared" si="0"/>
        <v>1048.6469999998976</v>
      </c>
      <c r="I19" s="168"/>
      <c r="J19" s="168"/>
      <c r="K19" s="55">
        <v>42287</v>
      </c>
      <c r="L19" s="85">
        <f>'Suivi EAU-ELEC'!G18</f>
        <v>4280</v>
      </c>
      <c r="M19" s="86">
        <f>'Suivi EAU-ELEC'!I18</f>
        <v>7515</v>
      </c>
      <c r="N19" s="86">
        <f>'Suivi EAU-ELEC'!K18</f>
        <v>3502</v>
      </c>
      <c r="O19" s="86">
        <f t="shared" si="1"/>
        <v>15297</v>
      </c>
      <c r="P19" s="12"/>
      <c r="Q19" s="31">
        <f t="shared" si="3"/>
        <v>14798.411799999998</v>
      </c>
      <c r="R19" s="12"/>
      <c r="S19" s="28"/>
      <c r="T19" s="12"/>
      <c r="U19" s="28"/>
      <c r="V19" s="140">
        <f>'Suvi Gaz'!O13</f>
        <v>447.98894000000001</v>
      </c>
      <c r="W19" s="11"/>
      <c r="X19" s="31">
        <f t="shared" si="2"/>
        <v>5572.9824135999997</v>
      </c>
    </row>
    <row r="20" spans="1:24" ht="32.25" customHeight="1" x14ac:dyDescent="0.2">
      <c r="A20" s="2"/>
      <c r="B20" s="6">
        <v>44876</v>
      </c>
      <c r="C20" s="7"/>
      <c r="D20" s="165">
        <v>115</v>
      </c>
      <c r="E20" s="165">
        <v>168</v>
      </c>
      <c r="F20" s="13">
        <f>'Suivi EAU-ELEC'!E19</f>
        <v>137.30000000001746</v>
      </c>
      <c r="G20" s="12"/>
      <c r="H20" s="167">
        <f t="shared" si="0"/>
        <v>1206.8670000001534</v>
      </c>
      <c r="I20" s="168"/>
      <c r="J20" s="168"/>
      <c r="K20" s="55">
        <v>42288</v>
      </c>
      <c r="L20" s="85">
        <f>'Suivi EAU-ELEC'!G19</f>
        <v>4982</v>
      </c>
      <c r="M20" s="86">
        <f>'Suivi EAU-ELEC'!I19</f>
        <v>6856</v>
      </c>
      <c r="N20" s="86">
        <f>'Suivi EAU-ELEC'!K19</f>
        <v>3603</v>
      </c>
      <c r="O20" s="86">
        <f t="shared" si="1"/>
        <v>15441</v>
      </c>
      <c r="P20" s="12"/>
      <c r="Q20" s="31">
        <f t="shared" si="3"/>
        <v>14796.156600000002</v>
      </c>
      <c r="R20" s="12"/>
      <c r="S20" s="28"/>
      <c r="T20" s="12"/>
      <c r="U20" s="28"/>
      <c r="V20" s="140">
        <f>'Suvi Gaz'!O14</f>
        <v>415.98973000000001</v>
      </c>
      <c r="W20" s="11"/>
      <c r="X20" s="31">
        <f t="shared" si="2"/>
        <v>5174.9122411999997</v>
      </c>
    </row>
    <row r="21" spans="1:24" ht="32.25" customHeight="1" x14ac:dyDescent="0.2">
      <c r="A21" s="2"/>
      <c r="B21" s="6">
        <v>44877</v>
      </c>
      <c r="C21" s="7"/>
      <c r="D21" s="165">
        <v>96</v>
      </c>
      <c r="E21" s="165">
        <v>148</v>
      </c>
      <c r="F21" s="13">
        <f>'Suivi EAU-ELEC'!E20</f>
        <v>130.10000000000582</v>
      </c>
      <c r="G21" s="12"/>
      <c r="H21" s="167">
        <f t="shared" si="0"/>
        <v>1143.5790000000511</v>
      </c>
      <c r="I21" s="168"/>
      <c r="J21" s="168"/>
      <c r="K21" s="55">
        <v>42289</v>
      </c>
      <c r="L21" s="85">
        <f>'Suivi EAU-ELEC'!G20</f>
        <v>4629</v>
      </c>
      <c r="M21" s="86">
        <f>'Suivi EAU-ELEC'!I20</f>
        <v>8007</v>
      </c>
      <c r="N21" s="86">
        <f>'Suivi EAU-ELEC'!K20</f>
        <v>3642</v>
      </c>
      <c r="O21" s="86">
        <f t="shared" si="1"/>
        <v>16278</v>
      </c>
      <c r="P21" s="12"/>
      <c r="Q21" s="31">
        <f t="shared" si="3"/>
        <v>15696.533100000001</v>
      </c>
      <c r="R21" s="12"/>
      <c r="S21" s="28"/>
      <c r="T21" s="12"/>
      <c r="U21" s="28"/>
      <c r="V21" s="140">
        <f>'Suvi Gaz'!O15</f>
        <v>767.98104000000001</v>
      </c>
      <c r="W21" s="11"/>
      <c r="X21" s="31">
        <f t="shared" si="2"/>
        <v>9553.6841375999993</v>
      </c>
    </row>
    <row r="22" spans="1:24" ht="32.25" customHeight="1" x14ac:dyDescent="0.2">
      <c r="A22" s="2"/>
      <c r="B22" s="6">
        <v>44878</v>
      </c>
      <c r="C22" s="7"/>
      <c r="D22" s="165">
        <v>104</v>
      </c>
      <c r="E22" s="165">
        <v>175</v>
      </c>
      <c r="F22" s="13">
        <f>'Suivi EAU-ELEC'!E21</f>
        <v>151.29999999998836</v>
      </c>
      <c r="G22" s="12"/>
      <c r="H22" s="167">
        <f t="shared" ref="H22:H35" si="4">F22*8.79</f>
        <v>1329.9269999998976</v>
      </c>
      <c r="I22" s="168"/>
      <c r="J22" s="168"/>
      <c r="K22" s="55">
        <v>42290</v>
      </c>
      <c r="L22" s="85">
        <f>'Suivi EAU-ELEC'!G21</f>
        <v>4953</v>
      </c>
      <c r="M22" s="86">
        <f>'Suivi EAU-ELEC'!I21</f>
        <v>7149</v>
      </c>
      <c r="N22" s="86">
        <f>'Suivi EAU-ELEC'!K21</f>
        <v>3450</v>
      </c>
      <c r="O22" s="86">
        <f t="shared" si="1"/>
        <v>15552</v>
      </c>
      <c r="P22" s="12"/>
      <c r="Q22" s="31">
        <f t="shared" si="3"/>
        <v>14851.109100000001</v>
      </c>
      <c r="R22" s="12"/>
      <c r="S22" s="28"/>
      <c r="T22" s="12"/>
      <c r="U22" s="28"/>
      <c r="V22" s="140">
        <f>'Suvi Gaz'!O16</f>
        <v>607.98499000000004</v>
      </c>
      <c r="W22" s="11"/>
      <c r="X22" s="31">
        <f t="shared" si="2"/>
        <v>7563.3332756</v>
      </c>
    </row>
    <row r="23" spans="1:24" ht="32.25" customHeight="1" x14ac:dyDescent="0.2">
      <c r="A23" s="2"/>
      <c r="B23" s="6">
        <v>44879</v>
      </c>
      <c r="C23" s="7"/>
      <c r="D23" s="165">
        <v>90</v>
      </c>
      <c r="E23" s="165">
        <v>142</v>
      </c>
      <c r="F23" s="13">
        <f>'Suivi EAU-ELEC'!E22</f>
        <v>145</v>
      </c>
      <c r="G23" s="14"/>
      <c r="H23" s="167">
        <f t="shared" si="4"/>
        <v>1274.55</v>
      </c>
      <c r="I23" s="168"/>
      <c r="J23" s="168"/>
      <c r="K23" s="55">
        <v>42291</v>
      </c>
      <c r="L23" s="85">
        <f>'Suivi EAU-ELEC'!G22</f>
        <v>4378</v>
      </c>
      <c r="M23" s="86">
        <f>'Suivi EAU-ELEC'!I22</f>
        <v>6780</v>
      </c>
      <c r="N23" s="86">
        <f>'Suivi EAU-ELEC'!K22</f>
        <v>3510</v>
      </c>
      <c r="O23" s="86">
        <f t="shared" si="1"/>
        <v>14668</v>
      </c>
      <c r="P23" s="12"/>
      <c r="Q23" s="31">
        <f>L23*0.6985+M23*0.9514+N23*1.3304</f>
        <v>14178.228999999999</v>
      </c>
      <c r="R23" s="12"/>
      <c r="S23" s="28"/>
      <c r="T23" s="14"/>
      <c r="U23" s="28"/>
      <c r="V23" s="140">
        <f>'Suvi Gaz'!O17</f>
        <v>383.99052</v>
      </c>
      <c r="W23" s="11"/>
      <c r="X23" s="31">
        <f t="shared" si="2"/>
        <v>4776.8420687999997</v>
      </c>
    </row>
    <row r="24" spans="1:24" ht="32.25" customHeight="1" x14ac:dyDescent="0.2">
      <c r="A24" s="2"/>
      <c r="B24" s="6">
        <v>44880</v>
      </c>
      <c r="C24" s="7"/>
      <c r="D24" s="165">
        <v>129</v>
      </c>
      <c r="E24" s="165">
        <v>197</v>
      </c>
      <c r="F24" s="13">
        <f>'Suivi EAU-ELEC'!E23</f>
        <v>93</v>
      </c>
      <c r="G24" s="14"/>
      <c r="H24" s="167">
        <f t="shared" si="4"/>
        <v>817.46999999999991</v>
      </c>
      <c r="I24" s="168"/>
      <c r="J24" s="168"/>
      <c r="K24" s="55">
        <v>42292</v>
      </c>
      <c r="L24" s="85">
        <f>'Suivi EAU-ELEC'!G23</f>
        <v>4641</v>
      </c>
      <c r="M24" s="86">
        <f>'Suivi EAU-ELEC'!I23</f>
        <v>7396</v>
      </c>
      <c r="N24" s="86">
        <f>'Suivi EAU-ELEC'!K23</f>
        <v>3491</v>
      </c>
      <c r="O24" s="86">
        <f t="shared" si="1"/>
        <v>15528</v>
      </c>
      <c r="P24" s="12"/>
      <c r="Q24" s="31">
        <f>L24*0.6985+M24*0.9514+N24*1.3304</f>
        <v>14922.719300000001</v>
      </c>
      <c r="R24" s="12"/>
      <c r="S24" s="28"/>
      <c r="T24" s="14"/>
      <c r="U24" s="28"/>
      <c r="V24" s="140">
        <f>'Suvi Gaz'!O18</f>
        <v>543.98657000000003</v>
      </c>
      <c r="W24" s="11"/>
      <c r="X24" s="31">
        <f t="shared" si="2"/>
        <v>6767.1929307999999</v>
      </c>
    </row>
    <row r="25" spans="1:24" ht="32.25" customHeight="1" x14ac:dyDescent="0.2">
      <c r="A25" s="2"/>
      <c r="B25" s="6">
        <v>44881</v>
      </c>
      <c r="C25" s="7"/>
      <c r="D25" s="165">
        <v>151</v>
      </c>
      <c r="E25" s="165">
        <v>233</v>
      </c>
      <c r="F25" s="13">
        <f>'Suivi EAU-ELEC'!E24</f>
        <v>121.79999999998836</v>
      </c>
      <c r="G25" s="14"/>
      <c r="H25" s="167">
        <f t="shared" si="4"/>
        <v>1070.6219999998975</v>
      </c>
      <c r="I25" s="168"/>
      <c r="J25" s="168"/>
      <c r="K25" s="55">
        <v>42293</v>
      </c>
      <c r="L25" s="85">
        <f>'Suivi EAU-ELEC'!G24</f>
        <v>4875</v>
      </c>
      <c r="M25" s="86">
        <f>'Suivi EAU-ELEC'!I24</f>
        <v>7472</v>
      </c>
      <c r="N25" s="86">
        <f>'Suivi EAU-ELEC'!K24</f>
        <v>3530</v>
      </c>
      <c r="O25" s="86">
        <f t="shared" si="1"/>
        <v>15877</v>
      </c>
      <c r="P25" s="12"/>
      <c r="Q25" s="31">
        <f>L25*0.6985+M25*0.9514+N25*1.3304</f>
        <v>15210.3603</v>
      </c>
      <c r="R25" s="12"/>
      <c r="S25" s="28"/>
      <c r="T25" s="14"/>
      <c r="U25" s="28"/>
      <c r="V25" s="140">
        <f>'Suvi Gaz'!O19</f>
        <v>479.98815000000002</v>
      </c>
      <c r="W25" s="11"/>
      <c r="X25" s="31">
        <f t="shared" si="2"/>
        <v>5971.0525859999998</v>
      </c>
    </row>
    <row r="26" spans="1:24" ht="32.25" customHeight="1" x14ac:dyDescent="0.2">
      <c r="A26" s="2"/>
      <c r="B26" s="6">
        <v>44882</v>
      </c>
      <c r="C26" s="7"/>
      <c r="D26" s="165">
        <v>107</v>
      </c>
      <c r="E26" s="165">
        <v>154</v>
      </c>
      <c r="F26" s="13">
        <f>'Suivi EAU-ELEC'!E25</f>
        <v>168</v>
      </c>
      <c r="G26" s="14"/>
      <c r="H26" s="167">
        <f t="shared" si="4"/>
        <v>1476.7199999999998</v>
      </c>
      <c r="I26" s="168"/>
      <c r="J26" s="168"/>
      <c r="K26" s="55">
        <v>42294</v>
      </c>
      <c r="L26" s="85">
        <f>'Suivi EAU-ELEC'!G25</f>
        <v>4454</v>
      </c>
      <c r="M26" s="86">
        <f>'Suivi EAU-ELEC'!I25</f>
        <v>7545</v>
      </c>
      <c r="N26" s="86">
        <f>'Suivi EAU-ELEC'!K25</f>
        <v>3716</v>
      </c>
      <c r="O26" s="86">
        <f t="shared" si="1"/>
        <v>15715</v>
      </c>
      <c r="P26" s="14"/>
      <c r="Q26" s="31">
        <f>L26*0.6985+M26*0.9514+N26*1.3304</f>
        <v>15233.198400000001</v>
      </c>
      <c r="R26" s="14"/>
      <c r="S26" s="28"/>
      <c r="T26" s="14"/>
      <c r="U26" s="28"/>
      <c r="V26" s="140">
        <f>'Suvi Gaz'!O20</f>
        <v>479.98815000000002</v>
      </c>
      <c r="W26" s="11"/>
      <c r="X26" s="31">
        <f t="shared" si="2"/>
        <v>5971.0525859999998</v>
      </c>
    </row>
    <row r="27" spans="1:24" ht="32.25" customHeight="1" x14ac:dyDescent="0.2">
      <c r="A27" s="2"/>
      <c r="B27" s="6">
        <v>44883</v>
      </c>
      <c r="C27" s="7"/>
      <c r="D27" s="165">
        <v>94</v>
      </c>
      <c r="E27" s="165">
        <v>149</v>
      </c>
      <c r="F27" s="13">
        <f>'Suivi EAU-ELEC'!E26</f>
        <v>125.20000000001164</v>
      </c>
      <c r="G27" s="14"/>
      <c r="H27" s="167">
        <f t="shared" si="4"/>
        <v>1100.5080000001021</v>
      </c>
      <c r="I27" s="168"/>
      <c r="J27" s="168"/>
      <c r="K27" s="55">
        <v>42295</v>
      </c>
      <c r="L27" s="85">
        <f>'Suivi EAU-ELEC'!G26</f>
        <v>4934</v>
      </c>
      <c r="M27" s="86">
        <f>'Suivi EAU-ELEC'!I26</f>
        <v>8279</v>
      </c>
      <c r="N27" s="86">
        <f>'Suivi EAU-ELEC'!K26</f>
        <v>3346</v>
      </c>
      <c r="O27" s="86">
        <f t="shared" si="1"/>
        <v>16559</v>
      </c>
      <c r="P27" s="14"/>
      <c r="Q27" s="31">
        <f t="shared" si="3"/>
        <v>15774.558000000001</v>
      </c>
      <c r="R27" s="14"/>
      <c r="S27" s="28"/>
      <c r="T27" s="14"/>
      <c r="U27" s="28"/>
      <c r="V27" s="140">
        <f>'Suvi Gaz'!O21</f>
        <v>383.99052</v>
      </c>
      <c r="W27" s="11"/>
      <c r="X27" s="31">
        <f t="shared" si="2"/>
        <v>4776.8420687999997</v>
      </c>
    </row>
    <row r="28" spans="1:24" ht="32.25" customHeight="1" x14ac:dyDescent="0.2">
      <c r="A28" s="2"/>
      <c r="B28" s="6">
        <v>44884</v>
      </c>
      <c r="C28" s="7"/>
      <c r="D28" s="165">
        <v>91</v>
      </c>
      <c r="E28" s="165">
        <v>156</v>
      </c>
      <c r="F28" s="13">
        <f>'Suivi EAU-ELEC'!E27</f>
        <v>117</v>
      </c>
      <c r="G28" s="11"/>
      <c r="H28" s="167">
        <f t="shared" si="4"/>
        <v>1028.4299999999998</v>
      </c>
      <c r="I28" s="168"/>
      <c r="J28" s="168"/>
      <c r="K28" s="55">
        <v>42296</v>
      </c>
      <c r="L28" s="85">
        <f>'Suivi EAU-ELEC'!G27</f>
        <v>4119</v>
      </c>
      <c r="M28" s="86">
        <f>'Suivi EAU-ELEC'!I27</f>
        <v>6682</v>
      </c>
      <c r="N28" s="86">
        <f>'Suivi EAU-ELEC'!K27</f>
        <v>3103</v>
      </c>
      <c r="O28" s="86">
        <f t="shared" si="1"/>
        <v>13904</v>
      </c>
      <c r="P28" s="11"/>
      <c r="Q28" s="31">
        <f>L28*0.6985+M28*0.9514+N28*1.3304</f>
        <v>13362.6075</v>
      </c>
      <c r="R28" s="11"/>
      <c r="S28" s="28"/>
      <c r="T28" s="11"/>
      <c r="U28" s="28"/>
      <c r="V28" s="140">
        <f>'Suvi Gaz'!O22</f>
        <v>415.98973000000001</v>
      </c>
      <c r="W28" s="11"/>
      <c r="X28" s="31">
        <f t="shared" si="2"/>
        <v>5174.9122411999997</v>
      </c>
    </row>
    <row r="29" spans="1:24" ht="32.25" customHeight="1" x14ac:dyDescent="0.2">
      <c r="A29" s="2"/>
      <c r="B29" s="6">
        <v>44885</v>
      </c>
      <c r="C29" s="7"/>
      <c r="D29" s="165">
        <v>115</v>
      </c>
      <c r="E29" s="165">
        <v>199</v>
      </c>
      <c r="F29" s="13">
        <f>'Suivi EAU-ELEC'!E28</f>
        <v>121</v>
      </c>
      <c r="G29" s="11"/>
      <c r="H29" s="167">
        <f t="shared" si="4"/>
        <v>1063.5899999999999</v>
      </c>
      <c r="I29" s="168"/>
      <c r="J29" s="168"/>
      <c r="K29" s="55">
        <v>42297</v>
      </c>
      <c r="L29" s="85">
        <f>'Suivi EAU-ELEC'!G28</f>
        <v>4178</v>
      </c>
      <c r="M29" s="86">
        <f>'Suivi EAU-ELEC'!I28</f>
        <v>6415</v>
      </c>
      <c r="N29" s="86">
        <f>'Suivi EAU-ELEC'!K28</f>
        <v>2921</v>
      </c>
      <c r="O29" s="86">
        <f t="shared" si="1"/>
        <v>13514</v>
      </c>
      <c r="P29" s="11"/>
      <c r="Q29" s="31">
        <f t="shared" si="3"/>
        <v>12907.662400000001</v>
      </c>
      <c r="R29" s="11"/>
      <c r="S29" s="28"/>
      <c r="T29" s="11"/>
      <c r="U29" s="28"/>
      <c r="V29" s="140">
        <f>'Suvi Gaz'!O23</f>
        <v>575.98577999999998</v>
      </c>
      <c r="W29" s="11"/>
      <c r="X29" s="31">
        <f t="shared" si="2"/>
        <v>7165.263103199999</v>
      </c>
    </row>
    <row r="30" spans="1:24" ht="32.25" customHeight="1" x14ac:dyDescent="0.2">
      <c r="A30" s="2"/>
      <c r="B30" s="6">
        <v>44886</v>
      </c>
      <c r="C30" s="7"/>
      <c r="D30" s="165">
        <v>119</v>
      </c>
      <c r="E30" s="165">
        <v>179</v>
      </c>
      <c r="F30" s="13">
        <f>'Suivi EAU-ELEC'!E29</f>
        <v>126</v>
      </c>
      <c r="G30" s="11"/>
      <c r="H30" s="167">
        <f t="shared" si="4"/>
        <v>1107.54</v>
      </c>
      <c r="I30" s="168"/>
      <c r="J30" s="168"/>
      <c r="K30" s="55">
        <v>42298</v>
      </c>
      <c r="L30" s="85">
        <f>'Suivi EAU-ELEC'!G29</f>
        <v>4127</v>
      </c>
      <c r="M30" s="86">
        <f>'Suivi EAU-ELEC'!I29</f>
        <v>6220</v>
      </c>
      <c r="N30" s="86">
        <f>'Suivi EAU-ELEC'!K29</f>
        <v>2931</v>
      </c>
      <c r="O30" s="86">
        <f t="shared" si="1"/>
        <v>13278</v>
      </c>
      <c r="P30" s="11"/>
      <c r="Q30" s="31">
        <f>L30*0.6985+M30*0.9514+N30*1.3304</f>
        <v>12699.819899999999</v>
      </c>
      <c r="R30" s="11"/>
      <c r="S30" s="28"/>
      <c r="T30" s="11"/>
      <c r="U30" s="28"/>
      <c r="V30" s="140">
        <f>'Suvi Gaz'!O24</f>
        <v>223.99447000000001</v>
      </c>
      <c r="W30" s="11"/>
      <c r="X30" s="31">
        <f t="shared" si="2"/>
        <v>2786.4912067999999</v>
      </c>
    </row>
    <row r="31" spans="1:24" ht="27.75" customHeight="1" x14ac:dyDescent="0.2">
      <c r="A31" s="2"/>
      <c r="B31" s="6">
        <v>44887</v>
      </c>
      <c r="C31" s="7"/>
      <c r="D31" s="165">
        <v>118</v>
      </c>
      <c r="E31" s="165">
        <v>164</v>
      </c>
      <c r="F31" s="13">
        <f>'Suivi EAU-ELEC'!E30</f>
        <v>126.39999999999418</v>
      </c>
      <c r="G31" s="11"/>
      <c r="H31" s="167">
        <f t="shared" si="4"/>
        <v>1111.0559999999487</v>
      </c>
      <c r="I31" s="168"/>
      <c r="J31" s="168"/>
      <c r="K31" s="55">
        <v>42299</v>
      </c>
      <c r="L31" s="85">
        <f>'Suivi EAU-ELEC'!G30</f>
        <v>4074</v>
      </c>
      <c r="M31" s="86">
        <f>'Suivi EAU-ELEC'!I30</f>
        <v>6436</v>
      </c>
      <c r="N31" s="86">
        <f>'Suivi EAU-ELEC'!K30</f>
        <v>3119</v>
      </c>
      <c r="O31" s="86">
        <f t="shared" si="1"/>
        <v>13629</v>
      </c>
      <c r="P31" s="11"/>
      <c r="Q31" s="31">
        <f>L31*0.6985+M31*0.9514+N31*1.3304</f>
        <v>13118.417000000001</v>
      </c>
      <c r="R31" s="11"/>
      <c r="S31" s="28"/>
      <c r="T31" s="11"/>
      <c r="U31" s="28"/>
      <c r="V31" s="140">
        <f>'Suvi Gaz'!O25</f>
        <v>319.99209999999999</v>
      </c>
      <c r="W31" s="11"/>
      <c r="X31" s="31">
        <f t="shared" si="2"/>
        <v>3980.7017239999996</v>
      </c>
    </row>
    <row r="32" spans="1:24" ht="37.5" customHeight="1" x14ac:dyDescent="0.2">
      <c r="A32" s="2"/>
      <c r="B32" s="6">
        <v>44888</v>
      </c>
      <c r="C32" s="7"/>
      <c r="D32" s="165">
        <v>120</v>
      </c>
      <c r="E32" s="165">
        <v>159</v>
      </c>
      <c r="F32" s="13">
        <f>'Suivi EAU-ELEC'!E31</f>
        <v>122.89999999999418</v>
      </c>
      <c r="G32" s="11"/>
      <c r="H32" s="167">
        <f t="shared" si="4"/>
        <v>1080.2909999999488</v>
      </c>
      <c r="I32" s="168"/>
      <c r="J32" s="168"/>
      <c r="K32" s="55">
        <v>42300</v>
      </c>
      <c r="L32" s="85">
        <f>'Suivi EAU-ELEC'!G31</f>
        <v>4814</v>
      </c>
      <c r="M32" s="86">
        <f>'Suivi EAU-ELEC'!I31</f>
        <v>6761</v>
      </c>
      <c r="N32" s="86">
        <f>'Suivi EAU-ELEC'!K31</f>
        <v>3349</v>
      </c>
      <c r="O32" s="86">
        <f t="shared" si="1"/>
        <v>14924</v>
      </c>
      <c r="P32" s="11"/>
      <c r="Q32" s="31">
        <f t="shared" si="3"/>
        <v>14250.504000000001</v>
      </c>
      <c r="R32" s="11"/>
      <c r="S32" s="28"/>
      <c r="T32" s="11"/>
      <c r="U32" s="28"/>
      <c r="V32" s="140">
        <f>'Suvi Gaz'!O26</f>
        <v>287.99288999999999</v>
      </c>
      <c r="W32" s="11"/>
      <c r="X32" s="31">
        <f t="shared" si="2"/>
        <v>3582.6315515999995</v>
      </c>
    </row>
    <row r="33" spans="1:24" ht="37.5" customHeight="1" x14ac:dyDescent="0.2">
      <c r="A33" s="2"/>
      <c r="B33" s="6">
        <v>44889</v>
      </c>
      <c r="C33" s="7"/>
      <c r="D33" s="165">
        <v>131</v>
      </c>
      <c r="E33" s="165">
        <v>183</v>
      </c>
      <c r="F33" s="13">
        <f>'Suivi EAU-ELEC'!E32</f>
        <v>124.60000000000582</v>
      </c>
      <c r="G33" s="11"/>
      <c r="H33" s="167">
        <f t="shared" si="4"/>
        <v>1095.2340000000511</v>
      </c>
      <c r="I33" s="168"/>
      <c r="J33" s="168"/>
      <c r="K33" s="55">
        <v>42301</v>
      </c>
      <c r="L33" s="85">
        <f>'Suivi EAU-ELEC'!G32</f>
        <v>4523</v>
      </c>
      <c r="M33" s="86">
        <f>'Suivi EAU-ELEC'!I32</f>
        <v>6806</v>
      </c>
      <c r="N33" s="86">
        <f>'Suivi EAU-ELEC'!K32</f>
        <v>3439</v>
      </c>
      <c r="O33" s="86">
        <f t="shared" si="1"/>
        <v>14768</v>
      </c>
      <c r="P33" s="11"/>
      <c r="Q33" s="31">
        <f t="shared" si="3"/>
        <v>14209.789500000001</v>
      </c>
      <c r="R33" s="11"/>
      <c r="S33" s="28"/>
      <c r="T33" s="11"/>
      <c r="U33" s="28"/>
      <c r="V33" s="140">
        <f>'Suvi Gaz'!O27</f>
        <v>415.98973000000001</v>
      </c>
      <c r="W33" s="11"/>
      <c r="X33" s="31">
        <f t="shared" si="2"/>
        <v>5174.9122411999997</v>
      </c>
    </row>
    <row r="34" spans="1:24" ht="37.5" customHeight="1" x14ac:dyDescent="0.2">
      <c r="A34" s="2"/>
      <c r="B34" s="6">
        <v>44890</v>
      </c>
      <c r="C34" s="7"/>
      <c r="D34" s="165">
        <v>106</v>
      </c>
      <c r="E34" s="165">
        <v>165</v>
      </c>
      <c r="F34" s="13">
        <f>'Suivi EAU-ELEC'!E33</f>
        <v>129</v>
      </c>
      <c r="G34" s="11"/>
      <c r="H34" s="167">
        <f t="shared" si="4"/>
        <v>1133.9099999999999</v>
      </c>
      <c r="I34" s="168"/>
      <c r="J34" s="168"/>
      <c r="K34" s="55">
        <v>42302</v>
      </c>
      <c r="L34" s="85">
        <f>'Suivi EAU-ELEC'!G33</f>
        <v>6626</v>
      </c>
      <c r="M34" s="86">
        <f>'Suivi EAU-ELEC'!I33</f>
        <v>6614</v>
      </c>
      <c r="N34" s="86">
        <f>'Suivi EAU-ELEC'!K33</f>
        <v>3225</v>
      </c>
      <c r="O34" s="86">
        <f t="shared" si="1"/>
        <v>16465</v>
      </c>
      <c r="P34" s="11"/>
      <c r="Q34" s="31">
        <f t="shared" si="3"/>
        <v>15211.3606</v>
      </c>
      <c r="R34" s="11"/>
      <c r="S34" s="28"/>
      <c r="T34" s="11"/>
      <c r="U34" s="28"/>
      <c r="V34" s="140">
        <f>'Suvi Gaz'!O28</f>
        <v>415.98973000000001</v>
      </c>
      <c r="W34" s="11"/>
      <c r="X34" s="31">
        <f t="shared" si="2"/>
        <v>5174.9122411999997</v>
      </c>
    </row>
    <row r="35" spans="1:24" ht="33.75" customHeight="1" x14ac:dyDescent="0.2">
      <c r="A35" s="2"/>
      <c r="B35" s="6">
        <v>44891</v>
      </c>
      <c r="C35" s="7"/>
      <c r="D35" s="165">
        <v>81</v>
      </c>
      <c r="E35" s="165">
        <v>147</v>
      </c>
      <c r="F35" s="13">
        <f>'Suivi EAU-ELEC'!E34</f>
        <v>113</v>
      </c>
      <c r="G35" s="11"/>
      <c r="H35" s="167">
        <f t="shared" si="4"/>
        <v>993.26999999999987</v>
      </c>
      <c r="I35" s="168"/>
      <c r="J35" s="168"/>
      <c r="K35" s="55">
        <v>42303</v>
      </c>
      <c r="L35" s="85">
        <f>'Suivi EAU-ELEC'!G34</f>
        <v>2609</v>
      </c>
      <c r="M35" s="86">
        <f>'Suivi EAU-ELEC'!I34</f>
        <v>6840</v>
      </c>
      <c r="N35" s="86">
        <f>'Suivi EAU-ELEC'!K34</f>
        <v>3353</v>
      </c>
      <c r="O35" s="86">
        <f t="shared" si="1"/>
        <v>12802</v>
      </c>
      <c r="P35" s="11"/>
      <c r="Q35" s="31">
        <f t="shared" si="3"/>
        <v>12790.7937</v>
      </c>
      <c r="R35" s="11"/>
      <c r="S35" s="28"/>
      <c r="T35" s="11"/>
      <c r="U35" s="28"/>
      <c r="V35" s="140">
        <f>'Suvi Gaz'!O29</f>
        <v>831.97946000000002</v>
      </c>
      <c r="W35" s="11"/>
      <c r="X35" s="31">
        <f t="shared" si="2"/>
        <v>10349.824482399999</v>
      </c>
    </row>
    <row r="36" spans="1:24" ht="33.75" customHeight="1" x14ac:dyDescent="0.2">
      <c r="A36" s="2"/>
      <c r="B36" s="6">
        <v>44892</v>
      </c>
      <c r="C36" s="7"/>
      <c r="D36" s="165">
        <v>58</v>
      </c>
      <c r="E36" s="165">
        <v>98</v>
      </c>
      <c r="F36" s="13">
        <f>'Suivi EAU-ELEC'!E35</f>
        <v>120</v>
      </c>
      <c r="G36" s="11"/>
      <c r="H36" s="167">
        <f>F36*8.79</f>
        <v>1054.8</v>
      </c>
      <c r="I36" s="168"/>
      <c r="J36" s="168"/>
      <c r="K36" s="55">
        <v>42304</v>
      </c>
      <c r="L36" s="85">
        <f>'Suivi EAU-ELEC'!G35</f>
        <v>3949</v>
      </c>
      <c r="M36" s="86">
        <f>'Suivi EAU-ELEC'!I35</f>
        <v>6425</v>
      </c>
      <c r="N36" s="86">
        <f>'Suivi EAU-ELEC'!K35</f>
        <v>3005</v>
      </c>
      <c r="O36" s="86">
        <f t="shared" si="1"/>
        <v>13379</v>
      </c>
      <c r="P36" s="11"/>
      <c r="Q36" s="31">
        <f t="shared" si="3"/>
        <v>12868.9735</v>
      </c>
      <c r="R36" s="11"/>
      <c r="S36" s="28"/>
      <c r="T36" s="11"/>
      <c r="U36" s="28"/>
      <c r="V36" s="140">
        <f>'Suvi Gaz'!O30</f>
        <v>703.98262</v>
      </c>
      <c r="W36" s="11"/>
      <c r="X36" s="31">
        <f t="shared" si="2"/>
        <v>8757.5437927999992</v>
      </c>
    </row>
    <row r="37" spans="1:24" ht="33.75" customHeight="1" x14ac:dyDescent="0.2">
      <c r="A37" s="2"/>
      <c r="B37" s="6">
        <v>44893</v>
      </c>
      <c r="C37" s="7"/>
      <c r="D37" s="165">
        <v>60</v>
      </c>
      <c r="E37" s="165">
        <v>82</v>
      </c>
      <c r="F37" s="13">
        <f>'Suivi EAU-ELEC'!E36</f>
        <v>135</v>
      </c>
      <c r="G37" s="11"/>
      <c r="H37" s="167">
        <f t="shared" ref="H37:H38" si="5">F37*8.79</f>
        <v>1186.6499999999999</v>
      </c>
      <c r="I37" s="168"/>
      <c r="J37" s="168"/>
      <c r="K37" s="55"/>
      <c r="L37" s="85">
        <f>'Suivi EAU-ELEC'!G36</f>
        <v>4183</v>
      </c>
      <c r="M37" s="86">
        <f>'Suivi EAU-ELEC'!I36</f>
        <v>6064</v>
      </c>
      <c r="N37" s="86">
        <f>'Suivi EAU-ELEC'!K36</f>
        <v>2983</v>
      </c>
      <c r="O37" s="86">
        <f t="shared" si="1"/>
        <v>13230</v>
      </c>
      <c r="P37" s="11"/>
      <c r="Q37" s="31">
        <f t="shared" si="3"/>
        <v>12659.6983</v>
      </c>
      <c r="R37" s="11"/>
      <c r="S37" s="28"/>
      <c r="T37" s="11"/>
      <c r="U37" s="28"/>
      <c r="V37" s="140">
        <f>'Suvi Gaz'!O31</f>
        <v>287.99288999999999</v>
      </c>
      <c r="W37" s="11"/>
      <c r="X37" s="31">
        <f t="shared" si="2"/>
        <v>3582.6315515999995</v>
      </c>
    </row>
    <row r="38" spans="1:24" ht="33.75" customHeight="1" x14ac:dyDescent="0.2">
      <c r="A38" s="2"/>
      <c r="B38" s="6">
        <v>44894</v>
      </c>
      <c r="C38" s="7"/>
      <c r="D38" s="165">
        <v>77</v>
      </c>
      <c r="E38" s="165">
        <v>109</v>
      </c>
      <c r="F38" s="13">
        <f>'Suivi EAU-ELEC'!E37</f>
        <v>145</v>
      </c>
      <c r="G38" s="11"/>
      <c r="H38" s="167">
        <f t="shared" si="5"/>
        <v>1274.55</v>
      </c>
      <c r="I38" s="168"/>
      <c r="J38" s="168"/>
      <c r="K38" s="55"/>
      <c r="L38" s="85">
        <f>'Suivi EAU-ELEC'!G37</f>
        <v>3986</v>
      </c>
      <c r="M38" s="86">
        <f>'Suivi EAU-ELEC'!I37</f>
        <v>6327</v>
      </c>
      <c r="N38" s="86">
        <f>'Suivi EAU-ELEC'!K37</f>
        <v>2984</v>
      </c>
      <c r="O38" s="86">
        <f t="shared" si="1"/>
        <v>13297</v>
      </c>
      <c r="P38" s="11"/>
      <c r="Q38" s="31">
        <f t="shared" si="3"/>
        <v>12773.642400000001</v>
      </c>
      <c r="R38" s="11"/>
      <c r="S38" s="28"/>
      <c r="T38" s="11"/>
      <c r="U38" s="28"/>
      <c r="V38" s="140">
        <f>'Suvi Gaz'!O32</f>
        <v>767.98104000000001</v>
      </c>
      <c r="W38" s="11"/>
      <c r="X38" s="31">
        <f t="shared" si="2"/>
        <v>9553.6841375999993</v>
      </c>
    </row>
    <row r="39" spans="1:24" ht="33.75" customHeight="1" thickBot="1" x14ac:dyDescent="0.25">
      <c r="A39" s="2"/>
      <c r="B39" s="6">
        <v>44895</v>
      </c>
      <c r="C39" s="7"/>
      <c r="D39" s="165">
        <v>74</v>
      </c>
      <c r="E39" s="165">
        <v>101</v>
      </c>
      <c r="F39" s="13">
        <f>'Suivi EAU-ELEC'!E38</f>
        <v>130</v>
      </c>
      <c r="G39" s="11"/>
      <c r="H39" s="167">
        <f t="shared" ref="H39" si="6">F39*8.79</f>
        <v>1142.6999999999998</v>
      </c>
      <c r="I39" s="168"/>
      <c r="J39" s="168"/>
      <c r="K39" s="55"/>
      <c r="L39" s="85">
        <f>'Suivi EAU-ELEC'!G38</f>
        <v>4154</v>
      </c>
      <c r="M39" s="86">
        <f>'Suivi EAU-ELEC'!I38</f>
        <v>5838</v>
      </c>
      <c r="N39" s="86">
        <f>'Suivi EAU-ELEC'!K38</f>
        <v>2828</v>
      </c>
      <c r="O39" s="86">
        <f t="shared" si="1"/>
        <v>12820</v>
      </c>
      <c r="P39" s="11"/>
      <c r="Q39" s="31">
        <f t="shared" si="3"/>
        <v>12218.213400000001</v>
      </c>
      <c r="R39" s="11"/>
      <c r="S39" s="28"/>
      <c r="T39" s="11"/>
      <c r="U39" s="28"/>
      <c r="V39" s="140">
        <f>'Suvi Gaz'!O33</f>
        <v>447.98894000000001</v>
      </c>
      <c r="W39" s="11"/>
      <c r="X39" s="31">
        <f t="shared" si="2"/>
        <v>5572.9824135999997</v>
      </c>
    </row>
    <row r="40" spans="1:24" ht="42.75" customHeight="1" thickBot="1" x14ac:dyDescent="0.25">
      <c r="A40" s="2"/>
      <c r="B40" s="10"/>
      <c r="C40" s="10"/>
      <c r="D40" s="8">
        <f>SUM(D10:D39)</f>
        <v>3258</v>
      </c>
      <c r="E40" s="8">
        <f>SUM(E10:E39)</f>
        <v>4867</v>
      </c>
      <c r="F40" s="145">
        <f>SUM(F10:F39)</f>
        <v>3954.8999999999942</v>
      </c>
      <c r="G40" s="1"/>
      <c r="H40" s="248">
        <f>SUM(H10:H39)</f>
        <v>34763.570999999953</v>
      </c>
      <c r="I40" s="249"/>
      <c r="J40" s="250"/>
      <c r="K40" s="1"/>
      <c r="L40" s="50">
        <f>SUM(L10:L39)</f>
        <v>138190</v>
      </c>
      <c r="M40" s="50">
        <f>SUM(M10:M39)</f>
        <v>212804</v>
      </c>
      <c r="N40" s="50">
        <f>SUM(N10:N39)</f>
        <v>102370</v>
      </c>
      <c r="O40" s="166">
        <f>SUM(O10:O39)</f>
        <v>453364</v>
      </c>
      <c r="P40" s="1"/>
      <c r="Q40" s="145">
        <f>SUM(Q10:Q39)</f>
        <v>435888.26140000002</v>
      </c>
      <c r="R40" s="1"/>
      <c r="S40" s="8">
        <f>SUM(S10:S39)</f>
        <v>0</v>
      </c>
      <c r="T40" s="1"/>
      <c r="U40" s="8">
        <f>SUM(U10:U39)</f>
        <v>0</v>
      </c>
      <c r="V40" s="145">
        <f>SUM(V10:V39)</f>
        <v>13759.6603</v>
      </c>
      <c r="W40" s="1"/>
      <c r="X40" s="145">
        <f>SUM(X10:X39)</f>
        <v>171170.17413200001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203" t="s">
        <v>33</v>
      </c>
      <c r="B42" s="204"/>
      <c r="C42" s="204"/>
      <c r="D42" s="204"/>
      <c r="E42" s="204"/>
      <c r="F42" s="205"/>
      <c r="G42" s="26"/>
      <c r="H42" s="27" t="s">
        <v>34</v>
      </c>
      <c r="I42" s="242" t="s">
        <v>35</v>
      </c>
      <c r="J42" s="243"/>
      <c r="K42" s="244"/>
      <c r="L42" s="217" t="s">
        <v>36</v>
      </c>
      <c r="M42" s="218"/>
      <c r="N42" s="203" t="s">
        <v>37</v>
      </c>
      <c r="O42" s="204"/>
      <c r="P42" s="204"/>
      <c r="Q42" s="204"/>
      <c r="R42" s="204"/>
      <c r="S42" s="204"/>
      <c r="T42" s="204"/>
      <c r="U42" s="204"/>
      <c r="V42" s="204"/>
      <c r="W42" s="204"/>
      <c r="X42" s="205"/>
    </row>
    <row r="43" spans="1:24" s="18" customFormat="1" ht="29.25" customHeight="1" thickBot="1" x14ac:dyDescent="0.25">
      <c r="A43" s="211" t="s">
        <v>38</v>
      </c>
      <c r="B43" s="212"/>
      <c r="C43" s="213"/>
      <c r="D43" s="150" t="s">
        <v>30</v>
      </c>
      <c r="E43" s="150" t="s">
        <v>30</v>
      </c>
      <c r="F43" s="150" t="s">
        <v>30</v>
      </c>
      <c r="G43" s="16"/>
      <c r="H43" s="17">
        <v>0.69850000000000001</v>
      </c>
      <c r="I43" s="208">
        <f>L40</f>
        <v>138190</v>
      </c>
      <c r="J43" s="209"/>
      <c r="K43" s="210"/>
      <c r="L43" s="169">
        <f>I43*H43</f>
        <v>96525.714999999997</v>
      </c>
      <c r="M43" s="170"/>
      <c r="N43" s="226">
        <f>L43+L44+L45</f>
        <v>435180.48859999998</v>
      </c>
      <c r="O43" s="227"/>
      <c r="P43" s="227"/>
      <c r="Q43" s="227"/>
      <c r="R43" s="227"/>
      <c r="S43" s="227"/>
      <c r="T43" s="227"/>
      <c r="U43" s="227"/>
      <c r="V43" s="227"/>
      <c r="W43" s="227"/>
      <c r="X43" s="228"/>
    </row>
    <row r="44" spans="1:24" s="18" customFormat="1" ht="29.25" customHeight="1" thickBot="1" x14ac:dyDescent="0.25">
      <c r="A44" s="214"/>
      <c r="B44" s="215"/>
      <c r="C44" s="216"/>
      <c r="D44" s="149" t="s">
        <v>31</v>
      </c>
      <c r="E44" s="149" t="s">
        <v>31</v>
      </c>
      <c r="F44" s="149" t="s">
        <v>31</v>
      </c>
      <c r="G44" s="16"/>
      <c r="H44" s="19">
        <v>0.95140000000000002</v>
      </c>
      <c r="I44" s="208">
        <f>M40</f>
        <v>212804</v>
      </c>
      <c r="J44" s="209"/>
      <c r="K44" s="210"/>
      <c r="L44" s="169">
        <f>I44*H44</f>
        <v>202461.72560000001</v>
      </c>
      <c r="M44" s="170"/>
      <c r="N44" s="229"/>
      <c r="O44" s="230"/>
      <c r="P44" s="230"/>
      <c r="Q44" s="230"/>
      <c r="R44" s="230"/>
      <c r="S44" s="230"/>
      <c r="T44" s="230"/>
      <c r="U44" s="230"/>
      <c r="V44" s="230"/>
      <c r="W44" s="230"/>
      <c r="X44" s="231"/>
    </row>
    <row r="45" spans="1:24" s="18" customFormat="1" ht="24.75" customHeight="1" thickBot="1" x14ac:dyDescent="0.25">
      <c r="A45" s="214"/>
      <c r="B45" s="215"/>
      <c r="C45" s="216"/>
      <c r="D45" s="155" t="s">
        <v>32</v>
      </c>
      <c r="E45" s="155" t="s">
        <v>32</v>
      </c>
      <c r="F45" s="155" t="s">
        <v>32</v>
      </c>
      <c r="G45" s="20"/>
      <c r="H45" s="20">
        <v>1.3304</v>
      </c>
      <c r="I45" s="239">
        <f>N40</f>
        <v>102370</v>
      </c>
      <c r="J45" s="240"/>
      <c r="K45" s="241"/>
      <c r="L45" s="169">
        <f>I45*H45</f>
        <v>136193.04800000001</v>
      </c>
      <c r="M45" s="170"/>
      <c r="N45" s="232"/>
      <c r="O45" s="233"/>
      <c r="P45" s="233"/>
      <c r="Q45" s="233"/>
      <c r="R45" s="233"/>
      <c r="S45" s="233"/>
      <c r="T45" s="233"/>
      <c r="U45" s="233"/>
      <c r="V45" s="233"/>
      <c r="W45" s="233"/>
      <c r="X45" s="234"/>
    </row>
    <row r="46" spans="1:24" s="18" customFormat="1" ht="43.5" customHeight="1" thickBot="1" x14ac:dyDescent="0.25">
      <c r="A46" s="151"/>
      <c r="B46" s="152"/>
      <c r="C46" s="152"/>
      <c r="D46" s="155"/>
      <c r="E46" s="155"/>
      <c r="F46" s="155"/>
      <c r="G46" s="16"/>
      <c r="H46" s="16"/>
      <c r="I46" s="153"/>
      <c r="J46" s="154"/>
      <c r="K46" s="155"/>
      <c r="L46" s="146"/>
      <c r="M46" s="147"/>
      <c r="N46" s="245">
        <f>N43*1.3</f>
        <v>565734.63517999998</v>
      </c>
      <c r="O46" s="246"/>
      <c r="P46" s="246"/>
      <c r="Q46" s="246"/>
      <c r="R46" s="246"/>
      <c r="S46" s="246"/>
      <c r="T46" s="246"/>
      <c r="U46" s="246"/>
      <c r="V46" s="246"/>
      <c r="W46" s="246"/>
      <c r="X46" s="247"/>
    </row>
    <row r="47" spans="1:24" s="23" customFormat="1" ht="32.25" customHeight="1" thickBot="1" x14ac:dyDescent="0.25">
      <c r="A47" s="200" t="s">
        <v>39</v>
      </c>
      <c r="B47" s="201"/>
      <c r="C47" s="201"/>
      <c r="D47" s="201"/>
      <c r="E47" s="201"/>
      <c r="F47" s="202"/>
      <c r="G47" s="21"/>
      <c r="H47" s="22">
        <v>8.7899999999999991</v>
      </c>
      <c r="I47" s="200">
        <f>F40</f>
        <v>3954.8999999999942</v>
      </c>
      <c r="J47" s="201"/>
      <c r="K47" s="202"/>
      <c r="L47" s="206">
        <f>I47*H47</f>
        <v>34763.570999999945</v>
      </c>
      <c r="M47" s="207"/>
      <c r="N47" s="223">
        <f>L47</f>
        <v>34763.570999999945</v>
      </c>
      <c r="O47" s="224"/>
      <c r="P47" s="224"/>
      <c r="Q47" s="224"/>
      <c r="R47" s="224"/>
      <c r="S47" s="224"/>
      <c r="T47" s="224"/>
      <c r="U47" s="224"/>
      <c r="V47" s="224"/>
      <c r="W47" s="224"/>
      <c r="X47" s="225"/>
    </row>
    <row r="48" spans="1:24" s="23" customFormat="1" ht="36.75" customHeight="1" x14ac:dyDescent="0.2">
      <c r="A48" s="235" t="s">
        <v>40</v>
      </c>
      <c r="B48" s="236"/>
      <c r="C48" s="236"/>
      <c r="D48" s="236"/>
      <c r="E48" s="236"/>
      <c r="F48" s="237"/>
      <c r="G48" s="24"/>
      <c r="H48" s="25">
        <v>12.53</v>
      </c>
      <c r="I48" s="198">
        <f>V40</f>
        <v>13759.6603</v>
      </c>
      <c r="J48" s="238"/>
      <c r="K48" s="199"/>
      <c r="L48" s="198">
        <f>I48*H48</f>
        <v>172408.54355899998</v>
      </c>
      <c r="M48" s="199"/>
      <c r="N48" s="220">
        <f>L48</f>
        <v>172408.54355899998</v>
      </c>
      <c r="O48" s="221"/>
      <c r="P48" s="221"/>
      <c r="Q48" s="221"/>
      <c r="R48" s="221"/>
      <c r="S48" s="221"/>
      <c r="T48" s="221"/>
      <c r="U48" s="221"/>
      <c r="V48" s="221"/>
      <c r="W48" s="221"/>
      <c r="X48" s="222"/>
    </row>
    <row r="49" spans="1:24" ht="27" customHeight="1" x14ac:dyDescent="0.2">
      <c r="A49" s="2"/>
      <c r="B49" s="2"/>
      <c r="C49" s="2"/>
      <c r="D49" s="2"/>
      <c r="E49" s="2"/>
      <c r="F49" s="2"/>
      <c r="G49" s="30"/>
      <c r="H49" s="3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0"/>
      <c r="U49" s="30"/>
      <c r="V49" s="30"/>
      <c r="W49" s="30"/>
      <c r="X49" s="30"/>
    </row>
    <row r="50" spans="1:24" ht="18.75" customHeight="1" x14ac:dyDescent="0.2"/>
    <row r="54" spans="1:24" ht="39" customHeight="1" x14ac:dyDescent="0.2">
      <c r="B54" s="219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1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8"/>
    </sheetView>
  </sheetViews>
  <sheetFormatPr baseColWidth="10" defaultColWidth="11.42578125" defaultRowHeight="18" x14ac:dyDescent="0.25"/>
  <cols>
    <col min="1" max="1" width="18.5703125" style="44" customWidth="1"/>
    <col min="2" max="3" width="19.140625" style="44" customWidth="1"/>
    <col min="4" max="4" width="16.7109375" customWidth="1"/>
    <col min="5" max="5" width="19.5703125" style="138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203</v>
      </c>
      <c r="F1" s="254"/>
      <c r="G1" s="254"/>
      <c r="H1" s="254"/>
      <c r="I1" s="255"/>
      <c r="J1" s="262" t="s">
        <v>41</v>
      </c>
      <c r="K1" s="263"/>
      <c r="L1" s="46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6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6"/>
    </row>
    <row r="6" spans="1:12" ht="10.5" customHeight="1" x14ac:dyDescent="0.25"/>
    <row r="7" spans="1:12" ht="16.5" customHeight="1" x14ac:dyDescent="0.2">
      <c r="A7" s="251" t="s">
        <v>42</v>
      </c>
      <c r="B7" s="279" t="s">
        <v>43</v>
      </c>
      <c r="C7" s="280"/>
      <c r="D7" s="268" t="s">
        <v>44</v>
      </c>
      <c r="E7" s="268"/>
      <c r="F7" s="269" t="s">
        <v>45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09" t="s">
        <v>46</v>
      </c>
      <c r="C8" s="109" t="s">
        <v>47</v>
      </c>
      <c r="D8" s="51" t="s">
        <v>46</v>
      </c>
      <c r="E8" s="51" t="s">
        <v>48</v>
      </c>
      <c r="F8" s="53" t="s">
        <v>49</v>
      </c>
      <c r="G8" s="53" t="s">
        <v>50</v>
      </c>
      <c r="H8" s="53" t="s">
        <v>51</v>
      </c>
      <c r="I8" s="53" t="s">
        <v>52</v>
      </c>
      <c r="J8" s="53" t="s">
        <v>53</v>
      </c>
      <c r="K8" s="53" t="s">
        <v>54</v>
      </c>
    </row>
    <row r="9" spans="1:12" ht="19.5" x14ac:dyDescent="0.3">
      <c r="A9" s="54">
        <v>44866</v>
      </c>
      <c r="B9" s="111">
        <v>2569</v>
      </c>
      <c r="C9" s="110">
        <v>0</v>
      </c>
      <c r="D9" s="52">
        <v>172580</v>
      </c>
      <c r="E9" s="47">
        <v>180</v>
      </c>
      <c r="F9" s="48">
        <v>12634618</v>
      </c>
      <c r="G9" s="47">
        <v>4848</v>
      </c>
      <c r="H9" s="48">
        <v>21612801</v>
      </c>
      <c r="I9" s="47">
        <v>8006</v>
      </c>
      <c r="J9" s="48">
        <v>9466063</v>
      </c>
      <c r="K9" s="47">
        <v>4201</v>
      </c>
    </row>
    <row r="10" spans="1:12" ht="19.5" x14ac:dyDescent="0.3">
      <c r="A10" s="54">
        <v>44867</v>
      </c>
      <c r="B10" s="111">
        <v>2569</v>
      </c>
      <c r="C10" s="110">
        <f t="shared" ref="C10:C38" si="0">B10-B9</f>
        <v>0</v>
      </c>
      <c r="D10" s="52">
        <v>172724</v>
      </c>
      <c r="E10" s="47">
        <f>D10-D9</f>
        <v>144</v>
      </c>
      <c r="F10" s="48">
        <v>12639296</v>
      </c>
      <c r="G10" s="47">
        <f>F10-F9</f>
        <v>4678</v>
      </c>
      <c r="H10" s="48">
        <v>21620293</v>
      </c>
      <c r="I10" s="47">
        <f t="shared" ref="I10:I38" si="1">H10-H9</f>
        <v>7492</v>
      </c>
      <c r="J10" s="48">
        <v>9469520</v>
      </c>
      <c r="K10" s="47">
        <f>J10-J9</f>
        <v>3457</v>
      </c>
    </row>
    <row r="11" spans="1:12" ht="19.5" x14ac:dyDescent="0.3">
      <c r="A11" s="54">
        <v>44868</v>
      </c>
      <c r="B11" s="111">
        <v>2569</v>
      </c>
      <c r="C11" s="110">
        <f t="shared" si="0"/>
        <v>0</v>
      </c>
      <c r="D11" s="52">
        <v>172851</v>
      </c>
      <c r="E11" s="47">
        <f t="shared" ref="E11:E38" si="2">D11-D10</f>
        <v>127</v>
      </c>
      <c r="F11" s="48">
        <v>12644021</v>
      </c>
      <c r="G11" s="47">
        <f t="shared" ref="G11:G38" si="3">F11-F10</f>
        <v>4725</v>
      </c>
      <c r="H11" s="48">
        <v>21627461</v>
      </c>
      <c r="I11" s="47">
        <f t="shared" si="1"/>
        <v>7168</v>
      </c>
      <c r="J11" s="48">
        <v>9473075</v>
      </c>
      <c r="K11" s="47">
        <f t="shared" ref="K11:K38" si="4">J11-J10</f>
        <v>3555</v>
      </c>
    </row>
    <row r="12" spans="1:12" ht="19.5" x14ac:dyDescent="0.3">
      <c r="A12" s="54">
        <v>44869</v>
      </c>
      <c r="B12" s="111">
        <v>2569</v>
      </c>
      <c r="C12" s="110">
        <f t="shared" si="0"/>
        <v>0</v>
      </c>
      <c r="D12" s="52">
        <v>172981.1</v>
      </c>
      <c r="E12" s="47">
        <f t="shared" si="2"/>
        <v>130.10000000000582</v>
      </c>
      <c r="F12" s="48">
        <v>12649643</v>
      </c>
      <c r="G12" s="47">
        <f t="shared" si="3"/>
        <v>5622</v>
      </c>
      <c r="H12" s="48">
        <v>21635241</v>
      </c>
      <c r="I12" s="47">
        <f t="shared" si="1"/>
        <v>7780</v>
      </c>
      <c r="J12" s="48">
        <v>9476953</v>
      </c>
      <c r="K12" s="47">
        <f t="shared" si="4"/>
        <v>3878</v>
      </c>
    </row>
    <row r="13" spans="1:12" ht="19.5" x14ac:dyDescent="0.3">
      <c r="A13" s="54">
        <v>44870</v>
      </c>
      <c r="B13" s="111">
        <v>2569</v>
      </c>
      <c r="C13" s="110">
        <f t="shared" si="0"/>
        <v>0</v>
      </c>
      <c r="D13" s="52">
        <v>173113.7</v>
      </c>
      <c r="E13" s="47">
        <f t="shared" si="2"/>
        <v>132.60000000000582</v>
      </c>
      <c r="F13" s="48">
        <v>12656039</v>
      </c>
      <c r="G13" s="47">
        <f t="shared" si="3"/>
        <v>6396</v>
      </c>
      <c r="H13" s="48">
        <v>21642919</v>
      </c>
      <c r="I13" s="47">
        <f t="shared" si="1"/>
        <v>7678</v>
      </c>
      <c r="J13" s="48">
        <v>9480942</v>
      </c>
      <c r="K13" s="47">
        <f t="shared" si="4"/>
        <v>3989</v>
      </c>
    </row>
    <row r="14" spans="1:12" ht="19.5" x14ac:dyDescent="0.3">
      <c r="A14" s="54">
        <v>44871</v>
      </c>
      <c r="B14" s="111">
        <v>2569</v>
      </c>
      <c r="C14" s="110">
        <f t="shared" si="0"/>
        <v>0</v>
      </c>
      <c r="D14" s="52">
        <v>173255</v>
      </c>
      <c r="E14" s="47">
        <f t="shared" si="2"/>
        <v>141.29999999998836</v>
      </c>
      <c r="F14" s="48">
        <v>12660008</v>
      </c>
      <c r="G14" s="47">
        <f t="shared" si="3"/>
        <v>3969</v>
      </c>
      <c r="H14" s="48">
        <v>21650445</v>
      </c>
      <c r="I14" s="47">
        <f t="shared" si="1"/>
        <v>7526</v>
      </c>
      <c r="J14" s="48">
        <v>9484585</v>
      </c>
      <c r="K14" s="47">
        <f t="shared" si="4"/>
        <v>3643</v>
      </c>
    </row>
    <row r="15" spans="1:12" ht="19.5" x14ac:dyDescent="0.3">
      <c r="A15" s="54">
        <v>44872</v>
      </c>
      <c r="B15" s="111">
        <v>2569</v>
      </c>
      <c r="C15" s="110">
        <f t="shared" si="0"/>
        <v>0</v>
      </c>
      <c r="D15" s="52">
        <v>173399</v>
      </c>
      <c r="E15" s="47">
        <f t="shared" si="2"/>
        <v>144</v>
      </c>
      <c r="F15" s="48">
        <v>12664930</v>
      </c>
      <c r="G15" s="47">
        <f t="shared" si="3"/>
        <v>4922</v>
      </c>
      <c r="H15" s="48">
        <v>21657778</v>
      </c>
      <c r="I15" s="47">
        <f t="shared" si="1"/>
        <v>7333</v>
      </c>
      <c r="J15" s="48">
        <v>9488095</v>
      </c>
      <c r="K15" s="47">
        <f t="shared" si="4"/>
        <v>3510</v>
      </c>
    </row>
    <row r="16" spans="1:12" ht="19.5" x14ac:dyDescent="0.3">
      <c r="A16" s="54">
        <v>44873</v>
      </c>
      <c r="B16" s="111">
        <v>2569</v>
      </c>
      <c r="C16" s="110">
        <f t="shared" si="0"/>
        <v>0</v>
      </c>
      <c r="D16" s="52">
        <v>173538</v>
      </c>
      <c r="E16" s="47">
        <f t="shared" si="2"/>
        <v>139</v>
      </c>
      <c r="F16" s="48">
        <v>12669536</v>
      </c>
      <c r="G16" s="47">
        <f t="shared" si="3"/>
        <v>4606</v>
      </c>
      <c r="H16" s="48">
        <v>21665646</v>
      </c>
      <c r="I16" s="47">
        <f t="shared" si="1"/>
        <v>7868</v>
      </c>
      <c r="J16" s="48">
        <v>9492048</v>
      </c>
      <c r="K16" s="47">
        <f t="shared" si="4"/>
        <v>3953</v>
      </c>
    </row>
    <row r="17" spans="1:29" ht="19.5" x14ac:dyDescent="0.3">
      <c r="A17" s="54">
        <v>44874</v>
      </c>
      <c r="B17" s="111">
        <v>2569</v>
      </c>
      <c r="C17" s="110">
        <f t="shared" si="0"/>
        <v>0</v>
      </c>
      <c r="D17" s="52">
        <v>173654</v>
      </c>
      <c r="E17" s="47">
        <f t="shared" si="2"/>
        <v>116</v>
      </c>
      <c r="F17" s="48">
        <v>12674492</v>
      </c>
      <c r="G17" s="47">
        <f t="shared" si="3"/>
        <v>4956</v>
      </c>
      <c r="H17" s="48">
        <v>21673172</v>
      </c>
      <c r="I17" s="47">
        <f t="shared" si="1"/>
        <v>7526</v>
      </c>
      <c r="J17" s="48">
        <v>9495202</v>
      </c>
      <c r="K17" s="47">
        <f t="shared" si="4"/>
        <v>3154</v>
      </c>
    </row>
    <row r="18" spans="1:29" ht="19.5" x14ac:dyDescent="0.3">
      <c r="A18" s="54">
        <v>44875</v>
      </c>
      <c r="B18" s="111">
        <v>2569</v>
      </c>
      <c r="C18" s="110">
        <f t="shared" si="0"/>
        <v>0</v>
      </c>
      <c r="D18" s="52">
        <v>173773.3</v>
      </c>
      <c r="E18" s="47">
        <f t="shared" si="2"/>
        <v>119.29999999998836</v>
      </c>
      <c r="F18" s="48">
        <v>12678772</v>
      </c>
      <c r="G18" s="47">
        <f t="shared" si="3"/>
        <v>4280</v>
      </c>
      <c r="H18" s="48">
        <v>21680687</v>
      </c>
      <c r="I18" s="47">
        <f t="shared" si="1"/>
        <v>7515</v>
      </c>
      <c r="J18" s="48">
        <v>9498704</v>
      </c>
      <c r="K18" s="47">
        <f t="shared" si="4"/>
        <v>3502</v>
      </c>
    </row>
    <row r="19" spans="1:29" ht="19.5" x14ac:dyDescent="0.3">
      <c r="A19" s="54">
        <v>44876</v>
      </c>
      <c r="B19" s="111">
        <v>2569</v>
      </c>
      <c r="C19" s="110">
        <f t="shared" si="0"/>
        <v>0</v>
      </c>
      <c r="D19" s="52">
        <v>173910.6</v>
      </c>
      <c r="E19" s="47">
        <f t="shared" si="2"/>
        <v>137.30000000001746</v>
      </c>
      <c r="F19" s="48">
        <v>12683754</v>
      </c>
      <c r="G19" s="47">
        <f t="shared" si="3"/>
        <v>4982</v>
      </c>
      <c r="H19" s="48">
        <v>21687543</v>
      </c>
      <c r="I19" s="47">
        <f t="shared" si="1"/>
        <v>6856</v>
      </c>
      <c r="J19" s="48">
        <v>9502307</v>
      </c>
      <c r="K19" s="47">
        <f t="shared" si="4"/>
        <v>3603</v>
      </c>
    </row>
    <row r="20" spans="1:29" ht="25.5" x14ac:dyDescent="0.35">
      <c r="A20" s="54">
        <v>44877</v>
      </c>
      <c r="B20" s="111">
        <v>2569</v>
      </c>
      <c r="C20" s="110">
        <f t="shared" si="0"/>
        <v>0</v>
      </c>
      <c r="D20" s="52">
        <v>174040.7</v>
      </c>
      <c r="E20" s="47">
        <f t="shared" si="2"/>
        <v>130.10000000000582</v>
      </c>
      <c r="F20" s="48">
        <v>12688383</v>
      </c>
      <c r="G20" s="47">
        <f t="shared" si="3"/>
        <v>4629</v>
      </c>
      <c r="H20" s="48">
        <v>21695550</v>
      </c>
      <c r="I20" s="47">
        <f t="shared" si="1"/>
        <v>8007</v>
      </c>
      <c r="J20" s="48">
        <v>9505949</v>
      </c>
      <c r="K20" s="47">
        <f t="shared" si="4"/>
        <v>3642</v>
      </c>
      <c r="L20" s="112" t="s">
        <v>18</v>
      </c>
      <c r="AC20" t="s">
        <v>55</v>
      </c>
    </row>
    <row r="21" spans="1:29" ht="19.5" x14ac:dyDescent="0.3">
      <c r="A21" s="54">
        <v>44878</v>
      </c>
      <c r="B21" s="111">
        <v>2569</v>
      </c>
      <c r="C21" s="110">
        <f t="shared" si="0"/>
        <v>0</v>
      </c>
      <c r="D21" s="52">
        <v>174192</v>
      </c>
      <c r="E21" s="47">
        <f t="shared" si="2"/>
        <v>151.29999999998836</v>
      </c>
      <c r="F21" s="48">
        <v>12693336</v>
      </c>
      <c r="G21" s="47">
        <f t="shared" si="3"/>
        <v>4953</v>
      </c>
      <c r="H21" s="48">
        <v>21702699</v>
      </c>
      <c r="I21" s="47">
        <f t="shared" si="1"/>
        <v>7149</v>
      </c>
      <c r="J21" s="48">
        <v>9509399</v>
      </c>
      <c r="K21" s="47">
        <f t="shared" si="4"/>
        <v>3450</v>
      </c>
    </row>
    <row r="22" spans="1:29" ht="19.5" x14ac:dyDescent="0.3">
      <c r="A22" s="54">
        <v>44879</v>
      </c>
      <c r="B22" s="111">
        <v>2569</v>
      </c>
      <c r="C22" s="110">
        <f t="shared" si="0"/>
        <v>0</v>
      </c>
      <c r="D22" s="52">
        <v>174337</v>
      </c>
      <c r="E22" s="47">
        <f t="shared" si="2"/>
        <v>145</v>
      </c>
      <c r="F22" s="48">
        <v>12697714</v>
      </c>
      <c r="G22" s="47">
        <f t="shared" si="3"/>
        <v>4378</v>
      </c>
      <c r="H22" s="48">
        <v>21709479</v>
      </c>
      <c r="I22" s="47">
        <f t="shared" si="1"/>
        <v>6780</v>
      </c>
      <c r="J22" s="48">
        <v>9512909</v>
      </c>
      <c r="K22" s="47">
        <f t="shared" si="4"/>
        <v>3510</v>
      </c>
    </row>
    <row r="23" spans="1:29" ht="19.5" x14ac:dyDescent="0.3">
      <c r="A23" s="54">
        <v>44880</v>
      </c>
      <c r="B23" s="111">
        <v>2569</v>
      </c>
      <c r="C23" s="110">
        <f t="shared" si="0"/>
        <v>0</v>
      </c>
      <c r="D23" s="52">
        <v>174430</v>
      </c>
      <c r="E23" s="47">
        <f t="shared" si="2"/>
        <v>93</v>
      </c>
      <c r="F23" s="48">
        <v>12702355</v>
      </c>
      <c r="G23" s="47">
        <f t="shared" si="3"/>
        <v>4641</v>
      </c>
      <c r="H23" s="48">
        <v>21716875</v>
      </c>
      <c r="I23" s="47">
        <f t="shared" si="1"/>
        <v>7396</v>
      </c>
      <c r="J23" s="48">
        <v>9516400</v>
      </c>
      <c r="K23" s="47">
        <f t="shared" si="4"/>
        <v>3491</v>
      </c>
    </row>
    <row r="24" spans="1:29" ht="19.5" x14ac:dyDescent="0.3">
      <c r="A24" s="54">
        <v>44881</v>
      </c>
      <c r="B24" s="111">
        <v>2569</v>
      </c>
      <c r="C24" s="110">
        <f t="shared" si="0"/>
        <v>0</v>
      </c>
      <c r="D24" s="52">
        <v>174551.8</v>
      </c>
      <c r="E24" s="47">
        <f t="shared" si="2"/>
        <v>121.79999999998836</v>
      </c>
      <c r="F24" s="48">
        <v>12707230</v>
      </c>
      <c r="G24" s="47">
        <f t="shared" si="3"/>
        <v>4875</v>
      </c>
      <c r="H24" s="48">
        <v>21724347</v>
      </c>
      <c r="I24" s="47">
        <f t="shared" si="1"/>
        <v>7472</v>
      </c>
      <c r="J24" s="48">
        <v>9519930</v>
      </c>
      <c r="K24" s="47">
        <f t="shared" si="4"/>
        <v>3530</v>
      </c>
    </row>
    <row r="25" spans="1:29" ht="19.5" x14ac:dyDescent="0.3">
      <c r="A25" s="54">
        <v>44882</v>
      </c>
      <c r="B25" s="111">
        <v>2569</v>
      </c>
      <c r="C25" s="110">
        <f t="shared" si="0"/>
        <v>0</v>
      </c>
      <c r="D25" s="52">
        <v>174719.8</v>
      </c>
      <c r="E25" s="47">
        <f t="shared" si="2"/>
        <v>168</v>
      </c>
      <c r="F25" s="48">
        <v>12711684</v>
      </c>
      <c r="G25" s="47">
        <f t="shared" si="3"/>
        <v>4454</v>
      </c>
      <c r="H25" s="48">
        <v>21731892</v>
      </c>
      <c r="I25" s="47">
        <f t="shared" si="1"/>
        <v>7545</v>
      </c>
      <c r="J25" s="48">
        <v>9523646</v>
      </c>
      <c r="K25" s="47">
        <f t="shared" si="4"/>
        <v>3716</v>
      </c>
    </row>
    <row r="26" spans="1:29" ht="19.5" x14ac:dyDescent="0.3">
      <c r="A26" s="54">
        <v>44883</v>
      </c>
      <c r="B26" s="111">
        <v>2594</v>
      </c>
      <c r="C26" s="110">
        <f t="shared" si="0"/>
        <v>25</v>
      </c>
      <c r="D26" s="52">
        <v>174845</v>
      </c>
      <c r="E26" s="47">
        <f t="shared" si="2"/>
        <v>125.20000000001164</v>
      </c>
      <c r="F26" s="48">
        <v>12716618</v>
      </c>
      <c r="G26" s="47">
        <f t="shared" si="3"/>
        <v>4934</v>
      </c>
      <c r="H26" s="48">
        <v>21740171</v>
      </c>
      <c r="I26" s="47">
        <f t="shared" si="1"/>
        <v>8279</v>
      </c>
      <c r="J26" s="48">
        <v>9526992</v>
      </c>
      <c r="K26" s="47">
        <f t="shared" si="4"/>
        <v>3346</v>
      </c>
    </row>
    <row r="27" spans="1:29" ht="19.5" x14ac:dyDescent="0.3">
      <c r="A27" s="54">
        <v>44884</v>
      </c>
      <c r="B27" s="111">
        <v>2594</v>
      </c>
      <c r="C27" s="110">
        <f t="shared" si="0"/>
        <v>0</v>
      </c>
      <c r="D27" s="52">
        <v>174962</v>
      </c>
      <c r="E27" s="47">
        <f t="shared" si="2"/>
        <v>117</v>
      </c>
      <c r="F27" s="48">
        <v>12720737</v>
      </c>
      <c r="G27" s="47">
        <f t="shared" si="3"/>
        <v>4119</v>
      </c>
      <c r="H27" s="48">
        <v>21746853</v>
      </c>
      <c r="I27" s="47">
        <f t="shared" si="1"/>
        <v>6682</v>
      </c>
      <c r="J27" s="48">
        <v>9530095</v>
      </c>
      <c r="K27" s="47">
        <f t="shared" si="4"/>
        <v>3103</v>
      </c>
    </row>
    <row r="28" spans="1:29" ht="19.5" x14ac:dyDescent="0.3">
      <c r="A28" s="54">
        <v>44885</v>
      </c>
      <c r="B28" s="111">
        <v>2594</v>
      </c>
      <c r="C28" s="110">
        <f t="shared" si="0"/>
        <v>0</v>
      </c>
      <c r="D28" s="52">
        <v>175083</v>
      </c>
      <c r="E28" s="47">
        <f t="shared" si="2"/>
        <v>121</v>
      </c>
      <c r="F28" s="48">
        <v>12724915</v>
      </c>
      <c r="G28" s="47">
        <f t="shared" si="3"/>
        <v>4178</v>
      </c>
      <c r="H28" s="48">
        <v>21753268</v>
      </c>
      <c r="I28" s="47">
        <f t="shared" si="1"/>
        <v>6415</v>
      </c>
      <c r="J28" s="48">
        <v>9533016</v>
      </c>
      <c r="K28" s="47">
        <f t="shared" si="4"/>
        <v>2921</v>
      </c>
    </row>
    <row r="29" spans="1:29" ht="19.5" x14ac:dyDescent="0.3">
      <c r="A29" s="54">
        <v>44886</v>
      </c>
      <c r="B29" s="111">
        <v>2594</v>
      </c>
      <c r="C29" s="110">
        <f t="shared" si="0"/>
        <v>0</v>
      </c>
      <c r="D29" s="52">
        <v>175209</v>
      </c>
      <c r="E29" s="47">
        <f t="shared" si="2"/>
        <v>126</v>
      </c>
      <c r="F29" s="48">
        <v>12729042</v>
      </c>
      <c r="G29" s="47">
        <f t="shared" si="3"/>
        <v>4127</v>
      </c>
      <c r="H29" s="48">
        <v>21759488</v>
      </c>
      <c r="I29" s="47">
        <f t="shared" si="1"/>
        <v>6220</v>
      </c>
      <c r="J29" s="48">
        <v>9535947</v>
      </c>
      <c r="K29" s="47">
        <f t="shared" si="4"/>
        <v>2931</v>
      </c>
    </row>
    <row r="30" spans="1:29" ht="19.5" x14ac:dyDescent="0.3">
      <c r="A30" s="54">
        <v>44887</v>
      </c>
      <c r="B30" s="111">
        <v>2594</v>
      </c>
      <c r="C30" s="110">
        <f t="shared" si="0"/>
        <v>0</v>
      </c>
      <c r="D30" s="52">
        <v>175335.4</v>
      </c>
      <c r="E30" s="47">
        <f t="shared" si="2"/>
        <v>126.39999999999418</v>
      </c>
      <c r="F30" s="48">
        <v>12733116</v>
      </c>
      <c r="G30" s="47">
        <f t="shared" si="3"/>
        <v>4074</v>
      </c>
      <c r="H30" s="48">
        <v>21765924</v>
      </c>
      <c r="I30" s="47">
        <f t="shared" si="1"/>
        <v>6436</v>
      </c>
      <c r="J30" s="48">
        <v>9539066</v>
      </c>
      <c r="K30" s="47">
        <f t="shared" si="4"/>
        <v>3119</v>
      </c>
    </row>
    <row r="31" spans="1:29" ht="19.5" x14ac:dyDescent="0.3">
      <c r="A31" s="54">
        <v>44888</v>
      </c>
      <c r="B31" s="111">
        <v>2594</v>
      </c>
      <c r="C31" s="110">
        <f t="shared" si="0"/>
        <v>0</v>
      </c>
      <c r="D31" s="52">
        <v>175458.3</v>
      </c>
      <c r="E31" s="47">
        <f t="shared" si="2"/>
        <v>122.89999999999418</v>
      </c>
      <c r="F31" s="48">
        <v>12737930</v>
      </c>
      <c r="G31" s="47">
        <f t="shared" si="3"/>
        <v>4814</v>
      </c>
      <c r="H31" s="48">
        <v>21772685</v>
      </c>
      <c r="I31" s="47">
        <f t="shared" si="1"/>
        <v>6761</v>
      </c>
      <c r="J31" s="48">
        <v>9542415</v>
      </c>
      <c r="K31" s="47">
        <f t="shared" si="4"/>
        <v>3349</v>
      </c>
    </row>
    <row r="32" spans="1:29" ht="19.5" x14ac:dyDescent="0.3">
      <c r="A32" s="54">
        <v>44889</v>
      </c>
      <c r="B32" s="111">
        <v>2594</v>
      </c>
      <c r="C32" s="110">
        <f t="shared" si="0"/>
        <v>0</v>
      </c>
      <c r="D32" s="52">
        <v>175582.9</v>
      </c>
      <c r="E32" s="47">
        <f t="shared" si="2"/>
        <v>124.60000000000582</v>
      </c>
      <c r="F32" s="48">
        <v>12742453</v>
      </c>
      <c r="G32" s="47">
        <f t="shared" si="3"/>
        <v>4523</v>
      </c>
      <c r="H32" s="48">
        <v>21779491</v>
      </c>
      <c r="I32" s="47">
        <f t="shared" si="1"/>
        <v>6806</v>
      </c>
      <c r="J32" s="48">
        <v>9545854</v>
      </c>
      <c r="K32" s="47">
        <f t="shared" si="4"/>
        <v>3439</v>
      </c>
    </row>
    <row r="33" spans="1:11" ht="19.5" x14ac:dyDescent="0.3">
      <c r="A33" s="54">
        <v>44890</v>
      </c>
      <c r="B33" s="111">
        <v>2594</v>
      </c>
      <c r="C33" s="110">
        <f t="shared" si="0"/>
        <v>0</v>
      </c>
      <c r="D33" s="52">
        <v>175711.9</v>
      </c>
      <c r="E33" s="47">
        <f t="shared" si="2"/>
        <v>129</v>
      </c>
      <c r="F33" s="48">
        <v>12749079</v>
      </c>
      <c r="G33" s="47">
        <f t="shared" si="3"/>
        <v>6626</v>
      </c>
      <c r="H33" s="48">
        <v>21786105</v>
      </c>
      <c r="I33" s="47">
        <f t="shared" si="1"/>
        <v>6614</v>
      </c>
      <c r="J33" s="48">
        <v>9549079</v>
      </c>
      <c r="K33" s="47">
        <f t="shared" si="4"/>
        <v>3225</v>
      </c>
    </row>
    <row r="34" spans="1:11" ht="19.5" x14ac:dyDescent="0.3">
      <c r="A34" s="54">
        <v>44891</v>
      </c>
      <c r="B34" s="111">
        <v>2594</v>
      </c>
      <c r="C34" s="110">
        <f t="shared" si="0"/>
        <v>0</v>
      </c>
      <c r="D34" s="52">
        <v>175824.9</v>
      </c>
      <c r="E34" s="47">
        <f t="shared" si="2"/>
        <v>113</v>
      </c>
      <c r="F34" s="48">
        <v>12751688</v>
      </c>
      <c r="G34" s="47">
        <f t="shared" si="3"/>
        <v>2609</v>
      </c>
      <c r="H34" s="48">
        <v>21792945</v>
      </c>
      <c r="I34" s="47">
        <f t="shared" si="1"/>
        <v>6840</v>
      </c>
      <c r="J34" s="48">
        <v>9552432</v>
      </c>
      <c r="K34" s="47">
        <f t="shared" si="4"/>
        <v>3353</v>
      </c>
    </row>
    <row r="35" spans="1:11" ht="19.5" x14ac:dyDescent="0.3">
      <c r="A35" s="54">
        <v>44892</v>
      </c>
      <c r="B35" s="111">
        <v>2594</v>
      </c>
      <c r="C35" s="110">
        <f t="shared" si="0"/>
        <v>0</v>
      </c>
      <c r="D35" s="52">
        <v>175944.9</v>
      </c>
      <c r="E35" s="47">
        <f t="shared" si="2"/>
        <v>120</v>
      </c>
      <c r="F35" s="48">
        <v>12755637</v>
      </c>
      <c r="G35" s="47">
        <f t="shared" si="3"/>
        <v>3949</v>
      </c>
      <c r="H35" s="48">
        <v>21799370</v>
      </c>
      <c r="I35" s="47">
        <f t="shared" si="1"/>
        <v>6425</v>
      </c>
      <c r="J35" s="48">
        <v>9555437</v>
      </c>
      <c r="K35" s="47">
        <f t="shared" si="4"/>
        <v>3005</v>
      </c>
    </row>
    <row r="36" spans="1:11" ht="19.5" x14ac:dyDescent="0.3">
      <c r="A36" s="54">
        <v>44893</v>
      </c>
      <c r="B36" s="111">
        <v>2594</v>
      </c>
      <c r="C36" s="110">
        <f t="shared" si="0"/>
        <v>0</v>
      </c>
      <c r="D36" s="52">
        <v>176079.9</v>
      </c>
      <c r="E36" s="47">
        <f t="shared" si="2"/>
        <v>135</v>
      </c>
      <c r="F36" s="48">
        <v>12759820</v>
      </c>
      <c r="G36" s="47">
        <f t="shared" si="3"/>
        <v>4183</v>
      </c>
      <c r="H36" s="48">
        <v>21805434</v>
      </c>
      <c r="I36" s="47">
        <f t="shared" si="1"/>
        <v>6064</v>
      </c>
      <c r="J36" s="48">
        <v>9558420</v>
      </c>
      <c r="K36" s="47">
        <f t="shared" si="4"/>
        <v>2983</v>
      </c>
    </row>
    <row r="37" spans="1:11" ht="19.5" x14ac:dyDescent="0.3">
      <c r="A37" s="54">
        <v>44894</v>
      </c>
      <c r="B37" s="111">
        <v>2594</v>
      </c>
      <c r="C37" s="110">
        <f t="shared" si="0"/>
        <v>0</v>
      </c>
      <c r="D37" s="52">
        <v>176224.9</v>
      </c>
      <c r="E37" s="47">
        <f t="shared" si="2"/>
        <v>145</v>
      </c>
      <c r="F37" s="48">
        <v>12763806</v>
      </c>
      <c r="G37" s="47">
        <f t="shared" si="3"/>
        <v>3986</v>
      </c>
      <c r="H37" s="48">
        <v>21811761</v>
      </c>
      <c r="I37" s="47">
        <f t="shared" si="1"/>
        <v>6327</v>
      </c>
      <c r="J37" s="48">
        <v>9561404</v>
      </c>
      <c r="K37" s="47">
        <f t="shared" si="4"/>
        <v>2984</v>
      </c>
    </row>
    <row r="38" spans="1:11" ht="21" thickTop="1" thickBot="1" x14ac:dyDescent="0.35">
      <c r="A38" s="54">
        <v>44895</v>
      </c>
      <c r="B38" s="111">
        <v>2594</v>
      </c>
      <c r="C38" s="110">
        <f t="shared" si="0"/>
        <v>0</v>
      </c>
      <c r="D38" s="52">
        <v>176354.9</v>
      </c>
      <c r="E38" s="47">
        <f t="shared" si="2"/>
        <v>130</v>
      </c>
      <c r="F38" s="48">
        <v>12767960</v>
      </c>
      <c r="G38" s="47">
        <f t="shared" si="3"/>
        <v>4154</v>
      </c>
      <c r="H38" s="48">
        <v>21817599</v>
      </c>
      <c r="I38" s="47">
        <f t="shared" si="1"/>
        <v>5838</v>
      </c>
      <c r="J38" s="48">
        <v>9564232</v>
      </c>
      <c r="K38" s="47">
        <f t="shared" si="4"/>
        <v>2828</v>
      </c>
    </row>
    <row r="39" spans="1:11" ht="24" customHeight="1" thickTop="1" x14ac:dyDescent="0.3">
      <c r="A39" s="49"/>
      <c r="B39" s="49"/>
      <c r="C39" s="49"/>
    </row>
    <row r="40" spans="1:11" x14ac:dyDescent="0.25">
      <c r="A40" s="45"/>
      <c r="B40" s="45"/>
      <c r="C40" s="45"/>
    </row>
    <row r="41" spans="1:11" x14ac:dyDescent="0.25">
      <c r="A41" s="45"/>
      <c r="B41" s="45"/>
      <c r="C41" s="45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9:E65531">
    <cfRule type="cellIs" dxfId="4" priority="59" stopIfTrue="1" operator="lessThanOrEqual">
      <formula>0</formula>
    </cfRule>
  </conditionalFormatting>
  <conditionalFormatting sqref="E10:E38">
    <cfRule type="cellIs" dxfId="3" priority="6" stopIfTrue="1" operator="lessThanOrEqual">
      <formula>0</formula>
    </cfRule>
  </conditionalFormatting>
  <conditionalFormatting sqref="E10:E38">
    <cfRule type="cellIs" dxfId="2" priority="5" stopIfTrue="1" operator="lessThanOrEqual">
      <formula>0</formula>
    </cfRule>
  </conditionalFormatting>
  <conditionalFormatting sqref="E9">
    <cfRule type="cellIs" dxfId="1" priority="4" stopIfTrue="1" operator="lessThanOrEqual">
      <formula>0</formula>
    </cfRule>
  </conditionalFormatting>
  <conditionalFormatting sqref="E9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7"/>
  <sheetViews>
    <sheetView showGridLines="0" zoomScale="60" zoomScaleNormal="6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T47" sqref="T47"/>
    </sheetView>
  </sheetViews>
  <sheetFormatPr baseColWidth="10" defaultColWidth="11.42578125" defaultRowHeight="15" x14ac:dyDescent="0.3"/>
  <cols>
    <col min="1" max="1" width="18.7109375" style="32" customWidth="1"/>
    <col min="2" max="3" width="9.5703125" style="33" customWidth="1"/>
    <col min="4" max="4" width="9.85546875" style="33" customWidth="1"/>
    <col min="5" max="5" width="8.85546875" style="33" customWidth="1"/>
    <col min="6" max="6" width="11.42578125" style="33" customWidth="1"/>
    <col min="7" max="7" width="8.85546875" style="33" customWidth="1"/>
    <col min="8" max="8" width="9.85546875" style="33" customWidth="1"/>
    <col min="9" max="9" width="12.140625" style="33" customWidth="1"/>
    <col min="10" max="10" width="16.140625" style="33" customWidth="1"/>
    <col min="11" max="11" width="17.28515625" style="33" customWidth="1"/>
    <col min="12" max="12" width="14.28515625" style="33" customWidth="1"/>
    <col min="13" max="13" width="16.28515625" style="33" customWidth="1"/>
    <col min="14" max="14" width="14.140625" style="33" customWidth="1"/>
    <col min="15" max="15" width="14.42578125" style="33" customWidth="1"/>
    <col min="16" max="16" width="15.85546875" style="33" customWidth="1"/>
    <col min="17" max="17" width="11.85546875" style="33" customWidth="1"/>
    <col min="18" max="18" width="8.42578125" style="33" customWidth="1"/>
    <col min="19" max="19" width="9.85546875" style="33" customWidth="1"/>
    <col min="20" max="20" width="11.28515625" style="33" customWidth="1"/>
    <col min="21" max="21" width="8.42578125" style="33" customWidth="1"/>
    <col min="22" max="22" width="9.85546875" style="33" customWidth="1"/>
    <col min="23" max="23" width="11.28515625" style="33" customWidth="1"/>
    <col min="24" max="24" width="8.42578125" style="33" customWidth="1"/>
    <col min="25" max="25" width="9.85546875" style="33" customWidth="1"/>
    <col min="26" max="26" width="11.28515625" style="33" customWidth="1"/>
    <col min="27" max="27" width="8.42578125" style="33" customWidth="1"/>
    <col min="28" max="28" width="9.85546875" style="33" customWidth="1"/>
    <col min="29" max="29" width="15.28515625" style="34" customWidth="1"/>
    <col min="30" max="30" width="20.140625" style="33" customWidth="1"/>
    <col min="31" max="31" width="24.5703125" style="33" customWidth="1"/>
    <col min="32" max="16384" width="11.42578125" style="33"/>
  </cols>
  <sheetData>
    <row r="1" spans="1:31" ht="62.25" customHeight="1" thickBot="1" x14ac:dyDescent="0.35">
      <c r="F1" s="284" t="s">
        <v>202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3"/>
    </row>
    <row r="3" spans="1:31" s="125" customFormat="1" ht="50.25" customHeight="1" x14ac:dyDescent="0.3">
      <c r="A3" s="114"/>
      <c r="B3" s="115" t="s">
        <v>56</v>
      </c>
      <c r="C3" s="116" t="s">
        <v>57</v>
      </c>
      <c r="D3" s="115" t="s">
        <v>58</v>
      </c>
      <c r="E3" s="116" t="s">
        <v>59</v>
      </c>
      <c r="F3" s="115" t="s">
        <v>60</v>
      </c>
      <c r="G3" s="116" t="s">
        <v>61</v>
      </c>
      <c r="H3" s="115" t="s">
        <v>62</v>
      </c>
      <c r="I3" s="116" t="s">
        <v>63</v>
      </c>
      <c r="J3" s="117" t="s">
        <v>64</v>
      </c>
      <c r="K3" s="117" t="s">
        <v>65</v>
      </c>
      <c r="L3" s="117" t="s">
        <v>66</v>
      </c>
      <c r="M3" s="117" t="s">
        <v>67</v>
      </c>
      <c r="N3" s="117" t="s">
        <v>68</v>
      </c>
      <c r="O3" s="118" t="s">
        <v>69</v>
      </c>
      <c r="P3" s="118" t="s">
        <v>70</v>
      </c>
      <c r="Q3" s="119" t="s">
        <v>71</v>
      </c>
      <c r="R3" s="119" t="s">
        <v>72</v>
      </c>
      <c r="S3" s="119" t="s">
        <v>73</v>
      </c>
      <c r="T3" s="120" t="s">
        <v>74</v>
      </c>
      <c r="U3" s="121" t="s">
        <v>72</v>
      </c>
      <c r="V3" s="120" t="s">
        <v>73</v>
      </c>
      <c r="W3" s="120" t="s">
        <v>75</v>
      </c>
      <c r="X3" s="120" t="s">
        <v>72</v>
      </c>
      <c r="Y3" s="120" t="s">
        <v>73</v>
      </c>
      <c r="Z3" s="120" t="s">
        <v>76</v>
      </c>
      <c r="AA3" s="120" t="s">
        <v>72</v>
      </c>
      <c r="AB3" s="122" t="s">
        <v>73</v>
      </c>
      <c r="AC3" s="123" t="s">
        <v>77</v>
      </c>
      <c r="AD3" s="124" t="s">
        <v>78</v>
      </c>
      <c r="AE3" s="124" t="s">
        <v>79</v>
      </c>
    </row>
    <row r="4" spans="1:31" ht="32.25" customHeight="1" x14ac:dyDescent="0.3">
      <c r="A4" s="37">
        <v>44866</v>
      </c>
      <c r="B4" s="38">
        <v>53</v>
      </c>
      <c r="C4" s="36">
        <f t="shared" ref="C4" si="0">IF(AC4&gt;0,((B4-R4)+(S4-B5)),IF(B5=0, ,(B4-B5)))</f>
        <v>3</v>
      </c>
      <c r="D4" s="38">
        <v>56</v>
      </c>
      <c r="E4" s="36">
        <f t="shared" ref="E4" si="1">IF(AC4&gt;0,((D4-U4)+(V4-D5)),IF(D5=0, ,(D4-D5)))</f>
        <v>7</v>
      </c>
      <c r="F4" s="38">
        <v>50</v>
      </c>
      <c r="G4" s="36">
        <f t="shared" ref="G4" si="2">IF(AC4&gt;0,((F4-X4)+(Y4-F5)),IF(F5=0, ,(F4-F5)))</f>
        <v>5</v>
      </c>
      <c r="H4" s="38">
        <v>51</v>
      </c>
      <c r="I4" s="36">
        <f>IF(AC4&gt;0,((H4-AA4)+(AB4-H5)),IF(H5=0, ,(H4-H5)))</f>
        <v>6</v>
      </c>
      <c r="J4" s="36">
        <f>B4+D4+F4+H4</f>
        <v>210</v>
      </c>
      <c r="K4" s="36">
        <f>J4/4</f>
        <v>52.5</v>
      </c>
      <c r="L4" s="36">
        <f>IF(AC4&gt;0,((K4-AD4)+(AE4-K5)),IF(K5=0, ,(K4-K5)))</f>
        <v>5.25</v>
      </c>
      <c r="M4" s="142">
        <f t="shared" ref="M4:M7" si="3">6049*4</f>
        <v>24196</v>
      </c>
      <c r="N4" s="36">
        <f>L4*M4/100</f>
        <v>1270.29</v>
      </c>
      <c r="O4" s="36">
        <f>N4*0.529</f>
        <v>671.98341000000005</v>
      </c>
      <c r="P4" s="39">
        <f>O4*12.44</f>
        <v>8359.4736204000001</v>
      </c>
      <c r="Q4" s="36">
        <v>2467</v>
      </c>
      <c r="R4" s="36">
        <v>50</v>
      </c>
      <c r="S4" s="36">
        <v>85</v>
      </c>
      <c r="T4" s="36">
        <v>2544</v>
      </c>
      <c r="U4" s="36">
        <v>50</v>
      </c>
      <c r="V4" s="36">
        <v>85</v>
      </c>
      <c r="W4" s="36">
        <v>3115</v>
      </c>
      <c r="X4" s="36">
        <v>45</v>
      </c>
      <c r="Y4" s="36">
        <v>85</v>
      </c>
      <c r="Z4" s="36">
        <v>3292</v>
      </c>
      <c r="AA4" s="36">
        <v>45</v>
      </c>
      <c r="AB4" s="36">
        <v>85</v>
      </c>
      <c r="AC4" s="36">
        <f t="shared" ref="AC4:AC25" si="4">Q4+T4+W4+Z4</f>
        <v>11418</v>
      </c>
      <c r="AD4" s="35">
        <f t="shared" ref="AD4:AD24" si="5">(R4+U4+X4+AA4)/4</f>
        <v>47.5</v>
      </c>
      <c r="AE4" s="35">
        <f t="shared" ref="AE4:AE24" si="6">(S4+V4+Y4+AB4)/4</f>
        <v>85</v>
      </c>
    </row>
    <row r="5" spans="1:31" ht="32.25" customHeight="1" x14ac:dyDescent="0.3">
      <c r="A5" s="37">
        <v>44867</v>
      </c>
      <c r="B5" s="38">
        <v>85</v>
      </c>
      <c r="C5" s="36">
        <f t="shared" ref="C5:C34" si="7">IF(AC5&gt;0,((B5-R5)+(S5-B6)),IF(B6=0, ,(B5-B6)))</f>
        <v>3</v>
      </c>
      <c r="D5" s="38">
        <v>84</v>
      </c>
      <c r="E5" s="36">
        <f t="shared" ref="E5:E34" si="8">IF(AC5&gt;0,((D5-U5)+(V5-D6)),IF(D6=0, ,(D5-D6)))</f>
        <v>2</v>
      </c>
      <c r="F5" s="38">
        <v>85</v>
      </c>
      <c r="G5" s="36">
        <f t="shared" ref="G5:G34" si="9">IF(AC5&gt;0,((F5-X5)+(Y5-F6)),IF(F6=0, ,(F5-F6)))</f>
        <v>1</v>
      </c>
      <c r="H5" s="38">
        <v>85</v>
      </c>
      <c r="I5" s="36">
        <f>IF(AC5&gt;0,((H5-AA5)+(AB5-H6)),IF(H6=0, ,(H5-H6)))</f>
        <v>1</v>
      </c>
      <c r="J5" s="36">
        <f>B5+D5+F5+H5</f>
        <v>339</v>
      </c>
      <c r="K5" s="36">
        <f>J5/4</f>
        <v>84.75</v>
      </c>
      <c r="L5" s="36">
        <f>IF(AC5&gt;0,((K5-AD5)+(AE5-K6)),IF(K6=0, ,(K5-K6)))</f>
        <v>1.75</v>
      </c>
      <c r="M5" s="142">
        <f t="shared" si="3"/>
        <v>24196</v>
      </c>
      <c r="N5" s="36">
        <f>L5*M5/100</f>
        <v>423.43</v>
      </c>
      <c r="O5" s="36">
        <f t="shared" ref="O5:O33" si="10">N5*0.529</f>
        <v>223.99447000000001</v>
      </c>
      <c r="P5" s="39">
        <f t="shared" ref="P5:P33" si="11">O5*12.44</f>
        <v>2786.4912067999999</v>
      </c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36">
        <f t="shared" si="4"/>
        <v>0</v>
      </c>
      <c r="AD5" s="35">
        <f t="shared" si="5"/>
        <v>0</v>
      </c>
      <c r="AE5" s="35">
        <f t="shared" si="6"/>
        <v>0</v>
      </c>
    </row>
    <row r="6" spans="1:31" ht="32.25" customHeight="1" x14ac:dyDescent="0.3">
      <c r="A6" s="37">
        <v>44868</v>
      </c>
      <c r="B6" s="38">
        <v>82</v>
      </c>
      <c r="C6" s="36">
        <f t="shared" si="7"/>
        <v>1</v>
      </c>
      <c r="D6" s="38">
        <v>82</v>
      </c>
      <c r="E6" s="36">
        <f t="shared" si="8"/>
        <v>2</v>
      </c>
      <c r="F6" s="38">
        <v>84</v>
      </c>
      <c r="G6" s="36">
        <f t="shared" si="9"/>
        <v>2</v>
      </c>
      <c r="H6" s="38">
        <v>84</v>
      </c>
      <c r="I6" s="36">
        <f t="shared" ref="I6:I35" si="12">IF(AC6&gt;0,((H6-AA6)+(AB6-H7)),IF(H7=0, ,(H6-H7)))</f>
        <v>2</v>
      </c>
      <c r="J6" s="36">
        <f t="shared" ref="J6:J41" si="13">B6+D6+F6+H6</f>
        <v>332</v>
      </c>
      <c r="K6" s="36">
        <f t="shared" ref="K6:K41" si="14">J6/4</f>
        <v>83</v>
      </c>
      <c r="L6" s="36">
        <f t="shared" ref="L6:L19" si="15">IF(AC6&gt;0,((K6-AD6)+(AE6-K7)),IF(K7=0, ,(K6-K7)))</f>
        <v>1.75</v>
      </c>
      <c r="M6" s="142">
        <f t="shared" si="3"/>
        <v>24196</v>
      </c>
      <c r="N6" s="36">
        <f t="shared" ref="N6:N41" si="16">L6*M6/100</f>
        <v>423.43</v>
      </c>
      <c r="O6" s="36">
        <f t="shared" si="10"/>
        <v>223.99447000000001</v>
      </c>
      <c r="P6" s="39">
        <f t="shared" si="11"/>
        <v>2786.4912067999999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>
        <f t="shared" si="4"/>
        <v>0</v>
      </c>
      <c r="AD6" s="35">
        <f t="shared" si="5"/>
        <v>0</v>
      </c>
      <c r="AE6" s="35">
        <f t="shared" si="6"/>
        <v>0</v>
      </c>
    </row>
    <row r="7" spans="1:31" ht="32.25" customHeight="1" x14ac:dyDescent="0.3">
      <c r="A7" s="37">
        <v>44869</v>
      </c>
      <c r="B7" s="38">
        <v>81</v>
      </c>
      <c r="C7" s="36">
        <f t="shared" si="7"/>
        <v>2</v>
      </c>
      <c r="D7" s="38">
        <v>80</v>
      </c>
      <c r="E7" s="36">
        <f t="shared" si="8"/>
        <v>1</v>
      </c>
      <c r="F7" s="38">
        <v>82</v>
      </c>
      <c r="G7" s="36">
        <f t="shared" si="9"/>
        <v>2</v>
      </c>
      <c r="H7" s="38">
        <v>82</v>
      </c>
      <c r="I7" s="36">
        <f t="shared" si="12"/>
        <v>2</v>
      </c>
      <c r="J7" s="36">
        <f t="shared" si="13"/>
        <v>325</v>
      </c>
      <c r="K7" s="36">
        <f t="shared" si="14"/>
        <v>81.25</v>
      </c>
      <c r="L7" s="36">
        <f t="shared" si="15"/>
        <v>1.75</v>
      </c>
      <c r="M7" s="142">
        <f t="shared" si="3"/>
        <v>24196</v>
      </c>
      <c r="N7" s="36">
        <f t="shared" si="16"/>
        <v>423.43</v>
      </c>
      <c r="O7" s="36">
        <f t="shared" si="10"/>
        <v>223.99447000000001</v>
      </c>
      <c r="P7" s="39">
        <f t="shared" si="11"/>
        <v>2786.4912067999999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>
        <f t="shared" si="4"/>
        <v>0</v>
      </c>
      <c r="AD7" s="35">
        <f t="shared" si="5"/>
        <v>0</v>
      </c>
      <c r="AE7" s="35">
        <f t="shared" si="6"/>
        <v>0</v>
      </c>
    </row>
    <row r="8" spans="1:31" ht="32.25" customHeight="1" x14ac:dyDescent="0.3">
      <c r="A8" s="37">
        <v>44870</v>
      </c>
      <c r="B8" s="38">
        <v>79</v>
      </c>
      <c r="C8" s="36">
        <f t="shared" si="7"/>
        <v>4</v>
      </c>
      <c r="D8" s="38">
        <v>79</v>
      </c>
      <c r="E8" s="36">
        <f t="shared" si="8"/>
        <v>7</v>
      </c>
      <c r="F8" s="38">
        <v>80</v>
      </c>
      <c r="G8" s="36">
        <f t="shared" si="9"/>
        <v>5</v>
      </c>
      <c r="H8" s="38">
        <v>80</v>
      </c>
      <c r="I8" s="36">
        <f t="shared" si="12"/>
        <v>5</v>
      </c>
      <c r="J8" s="36">
        <f t="shared" si="13"/>
        <v>318</v>
      </c>
      <c r="K8" s="36">
        <f t="shared" si="14"/>
        <v>79.5</v>
      </c>
      <c r="L8" s="36">
        <f t="shared" si="15"/>
        <v>5.25</v>
      </c>
      <c r="M8" s="142">
        <f>6049*4</f>
        <v>24196</v>
      </c>
      <c r="N8" s="36">
        <f t="shared" si="16"/>
        <v>1270.29</v>
      </c>
      <c r="O8" s="36">
        <f t="shared" si="10"/>
        <v>671.98341000000005</v>
      </c>
      <c r="P8" s="39">
        <f t="shared" si="11"/>
        <v>8359.4736204000001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>
        <f t="shared" si="4"/>
        <v>0</v>
      </c>
      <c r="AD8" s="35">
        <f t="shared" si="5"/>
        <v>0</v>
      </c>
      <c r="AE8" s="35">
        <f t="shared" si="6"/>
        <v>0</v>
      </c>
    </row>
    <row r="9" spans="1:31" ht="32.25" customHeight="1" x14ac:dyDescent="0.3">
      <c r="A9" s="37">
        <v>44871</v>
      </c>
      <c r="B9" s="38">
        <v>75</v>
      </c>
      <c r="C9" s="36">
        <f t="shared" si="7"/>
        <v>3</v>
      </c>
      <c r="D9" s="38">
        <v>72</v>
      </c>
      <c r="E9" s="36">
        <f t="shared" si="8"/>
        <v>2</v>
      </c>
      <c r="F9" s="38">
        <v>75</v>
      </c>
      <c r="G9" s="36">
        <f t="shared" si="9"/>
        <v>2</v>
      </c>
      <c r="H9" s="38">
        <v>75</v>
      </c>
      <c r="I9" s="36">
        <f t="shared" si="12"/>
        <v>5</v>
      </c>
      <c r="J9" s="36">
        <f t="shared" si="13"/>
        <v>297</v>
      </c>
      <c r="K9" s="36">
        <f t="shared" si="14"/>
        <v>74.25</v>
      </c>
      <c r="L9" s="36">
        <f t="shared" si="15"/>
        <v>3</v>
      </c>
      <c r="M9" s="142">
        <f t="shared" ref="M9:M41" si="17">6049*4</f>
        <v>24196</v>
      </c>
      <c r="N9" s="36">
        <f t="shared" si="16"/>
        <v>725.88</v>
      </c>
      <c r="O9" s="36">
        <f t="shared" si="10"/>
        <v>383.99052</v>
      </c>
      <c r="P9" s="39">
        <f t="shared" si="11"/>
        <v>4776.8420687999997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>
        <f t="shared" si="4"/>
        <v>0</v>
      </c>
      <c r="AD9" s="35">
        <f t="shared" si="5"/>
        <v>0</v>
      </c>
      <c r="AE9" s="35">
        <f t="shared" si="6"/>
        <v>0</v>
      </c>
    </row>
    <row r="10" spans="1:31" ht="32.25" customHeight="1" x14ac:dyDescent="0.3">
      <c r="A10" s="37">
        <v>44872</v>
      </c>
      <c r="B10" s="38">
        <v>72</v>
      </c>
      <c r="C10" s="36">
        <f t="shared" si="7"/>
        <v>2</v>
      </c>
      <c r="D10" s="38">
        <v>70</v>
      </c>
      <c r="E10" s="36">
        <f t="shared" si="8"/>
        <v>5</v>
      </c>
      <c r="F10" s="38">
        <v>73</v>
      </c>
      <c r="G10" s="36">
        <f t="shared" si="9"/>
        <v>3</v>
      </c>
      <c r="H10" s="38">
        <v>70</v>
      </c>
      <c r="I10" s="36">
        <f t="shared" si="12"/>
        <v>1</v>
      </c>
      <c r="J10" s="36">
        <f t="shared" si="13"/>
        <v>285</v>
      </c>
      <c r="K10" s="36">
        <f t="shared" si="14"/>
        <v>71.25</v>
      </c>
      <c r="L10" s="36">
        <f t="shared" si="15"/>
        <v>2.75</v>
      </c>
      <c r="M10" s="142">
        <f t="shared" si="17"/>
        <v>24196</v>
      </c>
      <c r="N10" s="36">
        <f t="shared" si="16"/>
        <v>665.39</v>
      </c>
      <c r="O10" s="36">
        <f t="shared" si="10"/>
        <v>351.99131</v>
      </c>
      <c r="P10" s="39">
        <f t="shared" si="11"/>
        <v>4378.7718963999996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>
        <f t="shared" si="4"/>
        <v>0</v>
      </c>
      <c r="AD10" s="35">
        <f t="shared" si="5"/>
        <v>0</v>
      </c>
      <c r="AE10" s="35">
        <f t="shared" si="6"/>
        <v>0</v>
      </c>
    </row>
    <row r="11" spans="1:31" ht="32.25" customHeight="1" x14ac:dyDescent="0.3">
      <c r="A11" s="37">
        <v>44873</v>
      </c>
      <c r="B11" s="38">
        <v>70</v>
      </c>
      <c r="C11" s="36">
        <f t="shared" si="7"/>
        <v>2</v>
      </c>
      <c r="D11" s="38">
        <v>65</v>
      </c>
      <c r="E11" s="36">
        <f t="shared" si="8"/>
        <v>3</v>
      </c>
      <c r="F11" s="38">
        <v>70</v>
      </c>
      <c r="G11" s="36">
        <f t="shared" si="9"/>
        <v>2</v>
      </c>
      <c r="H11" s="38">
        <v>69</v>
      </c>
      <c r="I11" s="36">
        <f t="shared" si="12"/>
        <v>1</v>
      </c>
      <c r="J11" s="36">
        <f t="shared" si="13"/>
        <v>274</v>
      </c>
      <c r="K11" s="36">
        <f t="shared" si="14"/>
        <v>68.5</v>
      </c>
      <c r="L11" s="36">
        <f t="shared" si="15"/>
        <v>2</v>
      </c>
      <c r="M11" s="142">
        <f t="shared" si="17"/>
        <v>24196</v>
      </c>
      <c r="N11" s="36">
        <f t="shared" si="16"/>
        <v>483.92</v>
      </c>
      <c r="O11" s="36">
        <f t="shared" si="10"/>
        <v>255.99368000000001</v>
      </c>
      <c r="P11" s="39">
        <f t="shared" si="11"/>
        <v>3184.5613791999999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>
        <f t="shared" si="4"/>
        <v>0</v>
      </c>
      <c r="AD11" s="35">
        <f t="shared" si="5"/>
        <v>0</v>
      </c>
      <c r="AE11" s="35">
        <f t="shared" si="6"/>
        <v>0</v>
      </c>
    </row>
    <row r="12" spans="1:31" ht="32.25" customHeight="1" x14ac:dyDescent="0.3">
      <c r="A12" s="37">
        <v>44874</v>
      </c>
      <c r="B12" s="38">
        <v>68</v>
      </c>
      <c r="C12" s="36">
        <f t="shared" si="7"/>
        <v>5</v>
      </c>
      <c r="D12" s="38">
        <v>62</v>
      </c>
      <c r="E12" s="36">
        <f t="shared" si="8"/>
        <v>1</v>
      </c>
      <c r="F12" s="38">
        <v>68</v>
      </c>
      <c r="G12" s="36">
        <f t="shared" si="9"/>
        <v>5</v>
      </c>
      <c r="H12" s="38">
        <v>68</v>
      </c>
      <c r="I12" s="36">
        <f t="shared" si="12"/>
        <v>6</v>
      </c>
      <c r="J12" s="36">
        <f t="shared" si="13"/>
        <v>266</v>
      </c>
      <c r="K12" s="36">
        <f t="shared" si="14"/>
        <v>66.5</v>
      </c>
      <c r="L12" s="36">
        <f t="shared" si="15"/>
        <v>4.25</v>
      </c>
      <c r="M12" s="142">
        <f t="shared" si="17"/>
        <v>24196</v>
      </c>
      <c r="N12" s="36">
        <f t="shared" si="16"/>
        <v>1028.33</v>
      </c>
      <c r="O12" s="36">
        <f t="shared" si="10"/>
        <v>543.98657000000003</v>
      </c>
      <c r="P12" s="39">
        <f t="shared" si="11"/>
        <v>6767.1929307999999</v>
      </c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>
        <f t="shared" si="4"/>
        <v>0</v>
      </c>
      <c r="AD12" s="35">
        <f t="shared" si="5"/>
        <v>0</v>
      </c>
      <c r="AE12" s="35">
        <f t="shared" si="6"/>
        <v>0</v>
      </c>
    </row>
    <row r="13" spans="1:31" ht="32.25" customHeight="1" x14ac:dyDescent="0.3">
      <c r="A13" s="37">
        <v>44875</v>
      </c>
      <c r="B13" s="38">
        <v>63</v>
      </c>
      <c r="C13" s="36">
        <f t="shared" si="7"/>
        <v>3</v>
      </c>
      <c r="D13" s="38">
        <v>61</v>
      </c>
      <c r="E13" s="36">
        <f t="shared" si="8"/>
        <v>4</v>
      </c>
      <c r="F13" s="38">
        <v>63</v>
      </c>
      <c r="G13" s="36">
        <f t="shared" si="9"/>
        <v>4</v>
      </c>
      <c r="H13" s="38">
        <v>62</v>
      </c>
      <c r="I13" s="36">
        <f t="shared" si="12"/>
        <v>3</v>
      </c>
      <c r="J13" s="36">
        <f t="shared" si="13"/>
        <v>249</v>
      </c>
      <c r="K13" s="36">
        <f t="shared" si="14"/>
        <v>62.25</v>
      </c>
      <c r="L13" s="36">
        <f t="shared" si="15"/>
        <v>3.5</v>
      </c>
      <c r="M13" s="142">
        <f t="shared" si="17"/>
        <v>24196</v>
      </c>
      <c r="N13" s="36">
        <f t="shared" si="16"/>
        <v>846.86</v>
      </c>
      <c r="O13" s="36">
        <f t="shared" si="10"/>
        <v>447.98894000000001</v>
      </c>
      <c r="P13" s="39">
        <f t="shared" si="11"/>
        <v>5572.9824135999997</v>
      </c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>
        <f t="shared" si="4"/>
        <v>0</v>
      </c>
      <c r="AD13" s="35">
        <f t="shared" si="5"/>
        <v>0</v>
      </c>
      <c r="AE13" s="35">
        <f t="shared" si="6"/>
        <v>0</v>
      </c>
    </row>
    <row r="14" spans="1:31" ht="32.25" customHeight="1" x14ac:dyDescent="0.3">
      <c r="A14" s="37">
        <v>44876</v>
      </c>
      <c r="B14" s="38">
        <v>60</v>
      </c>
      <c r="C14" s="36">
        <f t="shared" si="7"/>
        <v>3</v>
      </c>
      <c r="D14" s="38">
        <v>57</v>
      </c>
      <c r="E14" s="36">
        <f t="shared" si="8"/>
        <v>4</v>
      </c>
      <c r="F14" s="38">
        <v>59</v>
      </c>
      <c r="G14" s="36">
        <f t="shared" si="9"/>
        <v>3</v>
      </c>
      <c r="H14" s="38">
        <v>59</v>
      </c>
      <c r="I14" s="36">
        <f>IF(AC14&gt;0,((H14-AA14)+(AB14-H15)),IF(H15=0, ,(H14-H15)))</f>
        <v>3</v>
      </c>
      <c r="J14" s="36">
        <f t="shared" si="13"/>
        <v>235</v>
      </c>
      <c r="K14" s="36">
        <f t="shared" si="14"/>
        <v>58.75</v>
      </c>
      <c r="L14" s="36">
        <f t="shared" si="15"/>
        <v>3.25</v>
      </c>
      <c r="M14" s="142">
        <f t="shared" si="17"/>
        <v>24196</v>
      </c>
      <c r="N14" s="36">
        <f t="shared" si="16"/>
        <v>786.37</v>
      </c>
      <c r="O14" s="36">
        <f t="shared" si="10"/>
        <v>415.98973000000001</v>
      </c>
      <c r="P14" s="39">
        <f t="shared" si="11"/>
        <v>5174.9122411999997</v>
      </c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>
        <f>Q14+T14+W14+Z14</f>
        <v>0</v>
      </c>
      <c r="AD14" s="35">
        <f>(R14+U14+X14+AA14)/4</f>
        <v>0</v>
      </c>
      <c r="AE14" s="35">
        <f>(S14+V14+Y14+AB14)/4</f>
        <v>0</v>
      </c>
    </row>
    <row r="15" spans="1:31" ht="32.25" customHeight="1" x14ac:dyDescent="0.3">
      <c r="A15" s="37">
        <v>44877</v>
      </c>
      <c r="B15" s="38">
        <v>57</v>
      </c>
      <c r="C15" s="36">
        <f t="shared" si="7"/>
        <v>7</v>
      </c>
      <c r="D15" s="38">
        <v>53</v>
      </c>
      <c r="E15" s="36">
        <f t="shared" si="8"/>
        <v>5</v>
      </c>
      <c r="F15" s="38">
        <v>56</v>
      </c>
      <c r="G15" s="36">
        <f t="shared" si="9"/>
        <v>6</v>
      </c>
      <c r="H15" s="38">
        <v>56</v>
      </c>
      <c r="I15" s="36">
        <f>IF(AC15&gt;0,((H15-AA15)+(AB15-H16)),IF(H16=0, ,(H15-H16)))</f>
        <v>6</v>
      </c>
      <c r="J15" s="36">
        <f t="shared" si="13"/>
        <v>222</v>
      </c>
      <c r="K15" s="36">
        <f t="shared" si="14"/>
        <v>55.5</v>
      </c>
      <c r="L15" s="36">
        <f t="shared" si="15"/>
        <v>6</v>
      </c>
      <c r="M15" s="142">
        <f t="shared" si="17"/>
        <v>24196</v>
      </c>
      <c r="N15" s="36">
        <f t="shared" si="16"/>
        <v>1451.76</v>
      </c>
      <c r="O15" s="36">
        <f t="shared" si="10"/>
        <v>767.98104000000001</v>
      </c>
      <c r="P15" s="39">
        <f t="shared" si="11"/>
        <v>9553.6841375999993</v>
      </c>
      <c r="Q15" s="36">
        <v>2070</v>
      </c>
      <c r="R15" s="36">
        <v>50</v>
      </c>
      <c r="S15" s="36">
        <v>80</v>
      </c>
      <c r="T15" s="36">
        <v>2042</v>
      </c>
      <c r="U15" s="36">
        <v>50</v>
      </c>
      <c r="V15" s="36">
        <v>80</v>
      </c>
      <c r="W15" s="36">
        <v>2025</v>
      </c>
      <c r="X15" s="36">
        <v>50</v>
      </c>
      <c r="Y15" s="36">
        <v>80</v>
      </c>
      <c r="Z15" s="36">
        <v>2015</v>
      </c>
      <c r="AA15" s="36">
        <v>50</v>
      </c>
      <c r="AB15" s="36">
        <v>80</v>
      </c>
      <c r="AC15" s="36">
        <f>Q15+T15+W15+Z15</f>
        <v>8152</v>
      </c>
      <c r="AD15" s="35">
        <f>(R15+U15+X15+AA15)/4</f>
        <v>50</v>
      </c>
      <c r="AE15" s="35">
        <f>(S15+V15+Y15+AB15)/4</f>
        <v>80</v>
      </c>
    </row>
    <row r="16" spans="1:31" ht="32.25" customHeight="1" x14ac:dyDescent="0.3">
      <c r="A16" s="37">
        <v>44878</v>
      </c>
      <c r="B16" s="38">
        <v>80</v>
      </c>
      <c r="C16" s="36">
        <f t="shared" si="7"/>
        <v>5</v>
      </c>
      <c r="D16" s="38">
        <v>78</v>
      </c>
      <c r="E16" s="36">
        <f t="shared" si="8"/>
        <v>4</v>
      </c>
      <c r="F16" s="38">
        <v>80</v>
      </c>
      <c r="G16" s="36">
        <f t="shared" si="9"/>
        <v>5</v>
      </c>
      <c r="H16" s="38">
        <v>80</v>
      </c>
      <c r="I16" s="36">
        <f t="shared" si="12"/>
        <v>5</v>
      </c>
      <c r="J16" s="36">
        <f t="shared" si="13"/>
        <v>318</v>
      </c>
      <c r="K16" s="36">
        <f t="shared" si="14"/>
        <v>79.5</v>
      </c>
      <c r="L16" s="36">
        <f t="shared" si="15"/>
        <v>4.75</v>
      </c>
      <c r="M16" s="142">
        <f t="shared" si="17"/>
        <v>24196</v>
      </c>
      <c r="N16" s="36">
        <f t="shared" si="16"/>
        <v>1149.31</v>
      </c>
      <c r="O16" s="36">
        <f t="shared" si="10"/>
        <v>607.98499000000004</v>
      </c>
      <c r="P16" s="39">
        <f t="shared" si="11"/>
        <v>7563.3332756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>
        <f t="shared" si="4"/>
        <v>0</v>
      </c>
      <c r="AD16" s="35">
        <f t="shared" si="5"/>
        <v>0</v>
      </c>
      <c r="AE16" s="35">
        <f t="shared" si="6"/>
        <v>0</v>
      </c>
    </row>
    <row r="17" spans="1:31" ht="32.25" customHeight="1" x14ac:dyDescent="0.3">
      <c r="A17" s="37">
        <v>44879</v>
      </c>
      <c r="B17" s="38">
        <v>75</v>
      </c>
      <c r="C17" s="36">
        <f t="shared" si="7"/>
        <v>2</v>
      </c>
      <c r="D17" s="38">
        <v>74</v>
      </c>
      <c r="E17" s="36">
        <f t="shared" si="8"/>
        <v>4</v>
      </c>
      <c r="F17" s="38">
        <v>75</v>
      </c>
      <c r="G17" s="36">
        <f t="shared" si="9"/>
        <v>3</v>
      </c>
      <c r="H17" s="38">
        <v>75</v>
      </c>
      <c r="I17" s="36">
        <f t="shared" si="12"/>
        <v>3</v>
      </c>
      <c r="J17" s="36">
        <f t="shared" si="13"/>
        <v>299</v>
      </c>
      <c r="K17" s="36">
        <f t="shared" si="14"/>
        <v>74.75</v>
      </c>
      <c r="L17" s="36">
        <f t="shared" si="15"/>
        <v>3</v>
      </c>
      <c r="M17" s="142">
        <f t="shared" si="17"/>
        <v>24196</v>
      </c>
      <c r="N17" s="36">
        <f t="shared" si="16"/>
        <v>725.88</v>
      </c>
      <c r="O17" s="36">
        <f t="shared" si="10"/>
        <v>383.99052</v>
      </c>
      <c r="P17" s="39">
        <f t="shared" si="11"/>
        <v>4776.8420687999997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>
        <f t="shared" si="4"/>
        <v>0</v>
      </c>
      <c r="AD17" s="35">
        <f t="shared" si="5"/>
        <v>0</v>
      </c>
      <c r="AE17" s="35">
        <f t="shared" si="6"/>
        <v>0</v>
      </c>
    </row>
    <row r="18" spans="1:31" ht="32.25" customHeight="1" x14ac:dyDescent="0.3">
      <c r="A18" s="37">
        <v>44880</v>
      </c>
      <c r="B18" s="38">
        <v>73</v>
      </c>
      <c r="C18" s="36">
        <f t="shared" si="7"/>
        <v>3</v>
      </c>
      <c r="D18" s="38">
        <v>70</v>
      </c>
      <c r="E18" s="36">
        <f t="shared" si="8"/>
        <v>5</v>
      </c>
      <c r="F18" s="38">
        <v>72</v>
      </c>
      <c r="G18" s="36">
        <f t="shared" si="9"/>
        <v>6</v>
      </c>
      <c r="H18" s="38">
        <v>72</v>
      </c>
      <c r="I18" s="36">
        <f t="shared" si="12"/>
        <v>3</v>
      </c>
      <c r="J18" s="36">
        <f t="shared" si="13"/>
        <v>287</v>
      </c>
      <c r="K18" s="36">
        <f t="shared" si="14"/>
        <v>71.75</v>
      </c>
      <c r="L18" s="36">
        <f t="shared" si="15"/>
        <v>4.25</v>
      </c>
      <c r="M18" s="142">
        <f t="shared" si="17"/>
        <v>24196</v>
      </c>
      <c r="N18" s="36">
        <f t="shared" si="16"/>
        <v>1028.33</v>
      </c>
      <c r="O18" s="36">
        <f t="shared" si="10"/>
        <v>543.98657000000003</v>
      </c>
      <c r="P18" s="39">
        <f t="shared" si="11"/>
        <v>6767.1929307999999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>
        <f t="shared" si="4"/>
        <v>0</v>
      </c>
      <c r="AD18" s="35">
        <f t="shared" si="5"/>
        <v>0</v>
      </c>
      <c r="AE18" s="35">
        <f t="shared" si="6"/>
        <v>0</v>
      </c>
    </row>
    <row r="19" spans="1:31" ht="32.25" customHeight="1" x14ac:dyDescent="0.3">
      <c r="A19" s="37">
        <v>44881</v>
      </c>
      <c r="B19" s="38">
        <v>70</v>
      </c>
      <c r="C19" s="36">
        <f t="shared" si="7"/>
        <v>4</v>
      </c>
      <c r="D19" s="38">
        <v>65</v>
      </c>
      <c r="E19" s="36">
        <f t="shared" si="8"/>
        <v>5</v>
      </c>
      <c r="F19" s="38">
        <v>66</v>
      </c>
      <c r="G19" s="36">
        <f t="shared" si="9"/>
        <v>2</v>
      </c>
      <c r="H19" s="38">
        <v>69</v>
      </c>
      <c r="I19" s="36">
        <f t="shared" si="12"/>
        <v>4</v>
      </c>
      <c r="J19" s="36">
        <f t="shared" si="13"/>
        <v>270</v>
      </c>
      <c r="K19" s="36">
        <f t="shared" si="14"/>
        <v>67.5</v>
      </c>
      <c r="L19" s="36">
        <f t="shared" si="15"/>
        <v>3.75</v>
      </c>
      <c r="M19" s="142">
        <f t="shared" si="17"/>
        <v>24196</v>
      </c>
      <c r="N19" s="36">
        <f t="shared" si="16"/>
        <v>907.35</v>
      </c>
      <c r="O19" s="36">
        <f t="shared" si="10"/>
        <v>479.98815000000002</v>
      </c>
      <c r="P19" s="39">
        <f t="shared" si="11"/>
        <v>5971.0525859999998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>
        <f t="shared" si="4"/>
        <v>0</v>
      </c>
      <c r="AD19" s="35">
        <f t="shared" si="5"/>
        <v>0</v>
      </c>
      <c r="AE19" s="35">
        <f t="shared" si="6"/>
        <v>0</v>
      </c>
    </row>
    <row r="20" spans="1:31" ht="32.25" customHeight="1" x14ac:dyDescent="0.3">
      <c r="A20" s="37">
        <v>44882</v>
      </c>
      <c r="B20" s="38">
        <v>66</v>
      </c>
      <c r="C20" s="36">
        <f t="shared" si="7"/>
        <v>6</v>
      </c>
      <c r="D20" s="38">
        <v>60</v>
      </c>
      <c r="E20" s="36">
        <f t="shared" si="8"/>
        <v>0</v>
      </c>
      <c r="F20" s="38">
        <v>64</v>
      </c>
      <c r="G20" s="36">
        <f t="shared" si="9"/>
        <v>4</v>
      </c>
      <c r="H20" s="38">
        <v>65</v>
      </c>
      <c r="I20" s="36">
        <f t="shared" si="12"/>
        <v>5</v>
      </c>
      <c r="J20" s="36">
        <f t="shared" si="13"/>
        <v>255</v>
      </c>
      <c r="K20" s="36">
        <f t="shared" si="14"/>
        <v>63.75</v>
      </c>
      <c r="L20" s="36">
        <f t="shared" ref="L20:L41" si="18">IF(AC20&gt;0,((K20-AD20)+(AE20-K21)),IF(K21=0, ,(K20-K21)))</f>
        <v>3.75</v>
      </c>
      <c r="M20" s="142">
        <f t="shared" si="17"/>
        <v>24196</v>
      </c>
      <c r="N20" s="36">
        <f t="shared" si="16"/>
        <v>907.35</v>
      </c>
      <c r="O20" s="36">
        <f t="shared" si="10"/>
        <v>479.98815000000002</v>
      </c>
      <c r="P20" s="39">
        <f t="shared" si="11"/>
        <v>5971.0525859999998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>
        <f t="shared" si="4"/>
        <v>0</v>
      </c>
      <c r="AD20" s="35">
        <f t="shared" si="5"/>
        <v>0</v>
      </c>
      <c r="AE20" s="35">
        <f t="shared" si="6"/>
        <v>0</v>
      </c>
    </row>
    <row r="21" spans="1:31" ht="32.25" customHeight="1" x14ac:dyDescent="0.3">
      <c r="A21" s="37">
        <v>44883</v>
      </c>
      <c r="B21" s="38">
        <v>60</v>
      </c>
      <c r="C21" s="36">
        <f t="shared" si="7"/>
        <v>4</v>
      </c>
      <c r="D21" s="38">
        <v>60</v>
      </c>
      <c r="E21" s="36">
        <f t="shared" si="8"/>
        <v>5</v>
      </c>
      <c r="F21" s="38">
        <v>60</v>
      </c>
      <c r="G21" s="36">
        <f t="shared" si="9"/>
        <v>2</v>
      </c>
      <c r="H21" s="38">
        <v>60</v>
      </c>
      <c r="I21" s="36">
        <f t="shared" si="12"/>
        <v>1</v>
      </c>
      <c r="J21" s="36">
        <f t="shared" si="13"/>
        <v>240</v>
      </c>
      <c r="K21" s="36">
        <f t="shared" si="14"/>
        <v>60</v>
      </c>
      <c r="L21" s="36">
        <f>IF(AC21&gt;0,((K21-AD21)+(AE21-K22)),IF(K22=0, ,(K21-K22)))</f>
        <v>3</v>
      </c>
      <c r="M21" s="142">
        <f t="shared" si="17"/>
        <v>24196</v>
      </c>
      <c r="N21" s="36">
        <f t="shared" si="16"/>
        <v>725.88</v>
      </c>
      <c r="O21" s="36">
        <f t="shared" si="10"/>
        <v>383.99052</v>
      </c>
      <c r="P21" s="39">
        <f t="shared" si="11"/>
        <v>4776.8420687999997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>
        <f t="shared" si="4"/>
        <v>0</v>
      </c>
      <c r="AD21" s="35">
        <f t="shared" si="5"/>
        <v>0</v>
      </c>
      <c r="AE21" s="35">
        <f t="shared" si="6"/>
        <v>0</v>
      </c>
    </row>
    <row r="22" spans="1:31" ht="32.25" customHeight="1" x14ac:dyDescent="0.3">
      <c r="A22" s="37">
        <v>44884</v>
      </c>
      <c r="B22" s="38">
        <v>56</v>
      </c>
      <c r="C22" s="36">
        <f t="shared" si="7"/>
        <v>3</v>
      </c>
      <c r="D22" s="38">
        <v>55</v>
      </c>
      <c r="E22" s="36">
        <f t="shared" si="8"/>
        <v>3</v>
      </c>
      <c r="F22" s="38">
        <v>58</v>
      </c>
      <c r="G22" s="36">
        <f t="shared" si="9"/>
        <v>3</v>
      </c>
      <c r="H22" s="38">
        <v>59</v>
      </c>
      <c r="I22" s="36">
        <f t="shared" si="12"/>
        <v>4</v>
      </c>
      <c r="J22" s="36">
        <f t="shared" si="13"/>
        <v>228</v>
      </c>
      <c r="K22" s="36">
        <f t="shared" si="14"/>
        <v>57</v>
      </c>
      <c r="L22" s="36">
        <f>IF(AC22&gt;0,((K22-AD22)+(AE22-K23)),IF(K23=0, ,(K22-K23)))</f>
        <v>3.25</v>
      </c>
      <c r="M22" s="142">
        <f t="shared" si="17"/>
        <v>24196</v>
      </c>
      <c r="N22" s="36">
        <f t="shared" si="16"/>
        <v>786.37</v>
      </c>
      <c r="O22" s="36">
        <f t="shared" si="10"/>
        <v>415.98973000000001</v>
      </c>
      <c r="P22" s="39">
        <f t="shared" si="11"/>
        <v>5174.9122411999997</v>
      </c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>
        <f>Q22+T22+W22+Z22</f>
        <v>0</v>
      </c>
      <c r="AD22" s="35">
        <f t="shared" si="5"/>
        <v>0</v>
      </c>
      <c r="AE22" s="35">
        <f t="shared" si="6"/>
        <v>0</v>
      </c>
    </row>
    <row r="23" spans="1:31" ht="32.25" customHeight="1" x14ac:dyDescent="0.3">
      <c r="A23" s="37">
        <v>44885</v>
      </c>
      <c r="B23" s="38">
        <v>53</v>
      </c>
      <c r="C23" s="36">
        <f t="shared" si="7"/>
        <v>4</v>
      </c>
      <c r="D23" s="38">
        <v>52</v>
      </c>
      <c r="E23" s="36">
        <f t="shared" si="8"/>
        <v>4</v>
      </c>
      <c r="F23" s="38">
        <v>55</v>
      </c>
      <c r="G23" s="36">
        <f t="shared" si="9"/>
        <v>5</v>
      </c>
      <c r="H23" s="38">
        <v>55</v>
      </c>
      <c r="I23" s="36">
        <f t="shared" si="12"/>
        <v>5</v>
      </c>
      <c r="J23" s="36">
        <f t="shared" si="13"/>
        <v>215</v>
      </c>
      <c r="K23" s="36">
        <f t="shared" si="14"/>
        <v>53.75</v>
      </c>
      <c r="L23" s="36">
        <f t="shared" si="18"/>
        <v>4.5</v>
      </c>
      <c r="M23" s="142">
        <f t="shared" si="17"/>
        <v>24196</v>
      </c>
      <c r="N23" s="36">
        <f t="shared" si="16"/>
        <v>1088.82</v>
      </c>
      <c r="O23" s="36">
        <f t="shared" si="10"/>
        <v>575.98577999999998</v>
      </c>
      <c r="P23" s="39">
        <f t="shared" si="11"/>
        <v>7165.263103199999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>
        <f t="shared" si="4"/>
        <v>0</v>
      </c>
      <c r="AD23" s="35">
        <f t="shared" si="5"/>
        <v>0</v>
      </c>
      <c r="AE23" s="35">
        <f t="shared" si="6"/>
        <v>0</v>
      </c>
    </row>
    <row r="24" spans="1:31" ht="32.25" customHeight="1" x14ac:dyDescent="0.3">
      <c r="A24" s="37">
        <v>44886</v>
      </c>
      <c r="B24" s="38">
        <v>49</v>
      </c>
      <c r="C24" s="36">
        <f t="shared" si="7"/>
        <v>2</v>
      </c>
      <c r="D24" s="38">
        <v>48</v>
      </c>
      <c r="E24" s="36">
        <f t="shared" si="8"/>
        <v>5</v>
      </c>
      <c r="F24" s="38">
        <v>50</v>
      </c>
      <c r="G24" s="36">
        <f t="shared" si="9"/>
        <v>0</v>
      </c>
      <c r="H24" s="38">
        <v>50</v>
      </c>
      <c r="I24" s="36">
        <f t="shared" si="12"/>
        <v>0</v>
      </c>
      <c r="J24" s="36">
        <f t="shared" si="13"/>
        <v>197</v>
      </c>
      <c r="K24" s="36">
        <f t="shared" si="14"/>
        <v>49.25</v>
      </c>
      <c r="L24" s="36">
        <f t="shared" si="18"/>
        <v>1.75</v>
      </c>
      <c r="M24" s="142">
        <f t="shared" si="17"/>
        <v>24196</v>
      </c>
      <c r="N24" s="36">
        <f t="shared" si="16"/>
        <v>423.43</v>
      </c>
      <c r="O24" s="36">
        <f t="shared" si="10"/>
        <v>223.99447000000001</v>
      </c>
      <c r="P24" s="39">
        <f t="shared" si="11"/>
        <v>2786.4912067999999</v>
      </c>
      <c r="Q24" s="36">
        <v>2772</v>
      </c>
      <c r="R24" s="36">
        <v>49</v>
      </c>
      <c r="S24" s="36">
        <v>85</v>
      </c>
      <c r="T24" s="36">
        <v>2518</v>
      </c>
      <c r="U24" s="36">
        <v>48</v>
      </c>
      <c r="V24" s="36">
        <v>85</v>
      </c>
      <c r="W24" s="36">
        <v>2868</v>
      </c>
      <c r="X24" s="36">
        <v>50</v>
      </c>
      <c r="Y24" s="36">
        <v>85</v>
      </c>
      <c r="Z24" s="36">
        <v>2762</v>
      </c>
      <c r="AA24" s="36">
        <v>50</v>
      </c>
      <c r="AB24" s="36">
        <v>85</v>
      </c>
      <c r="AC24" s="36">
        <f t="shared" si="4"/>
        <v>10920</v>
      </c>
      <c r="AD24" s="35">
        <f t="shared" si="5"/>
        <v>49.25</v>
      </c>
      <c r="AE24" s="35">
        <f t="shared" si="6"/>
        <v>85</v>
      </c>
    </row>
    <row r="25" spans="1:31" ht="32.25" customHeight="1" x14ac:dyDescent="0.3">
      <c r="A25" s="37">
        <v>44887</v>
      </c>
      <c r="B25" s="38">
        <v>83</v>
      </c>
      <c r="C25" s="36">
        <f t="shared" si="7"/>
        <v>3</v>
      </c>
      <c r="D25" s="38">
        <v>80</v>
      </c>
      <c r="E25" s="36">
        <f t="shared" si="8"/>
        <v>1</v>
      </c>
      <c r="F25" s="38">
        <v>85</v>
      </c>
      <c r="G25" s="36">
        <f t="shared" si="9"/>
        <v>3</v>
      </c>
      <c r="H25" s="38">
        <v>85</v>
      </c>
      <c r="I25" s="36">
        <f t="shared" si="12"/>
        <v>3</v>
      </c>
      <c r="J25" s="36">
        <f t="shared" si="13"/>
        <v>333</v>
      </c>
      <c r="K25" s="36">
        <f t="shared" si="14"/>
        <v>83.25</v>
      </c>
      <c r="L25" s="36">
        <f t="shared" si="18"/>
        <v>2.5</v>
      </c>
      <c r="M25" s="142">
        <f t="shared" si="17"/>
        <v>24196</v>
      </c>
      <c r="N25" s="36">
        <f t="shared" si="16"/>
        <v>604.9</v>
      </c>
      <c r="O25" s="36">
        <f t="shared" si="10"/>
        <v>319.99209999999999</v>
      </c>
      <c r="P25" s="39">
        <f t="shared" si="11"/>
        <v>3980.7017239999996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>
        <f t="shared" si="4"/>
        <v>0</v>
      </c>
      <c r="AD25" s="35">
        <f t="shared" ref="AD25:AD41" si="19">(R25+U25+X25+AA25)/4</f>
        <v>0</v>
      </c>
      <c r="AE25" s="35">
        <f>(S25+V25+Y25+AB25)/4</f>
        <v>0</v>
      </c>
    </row>
    <row r="26" spans="1:31" ht="32.25" customHeight="1" x14ac:dyDescent="0.3">
      <c r="A26" s="37">
        <v>44888</v>
      </c>
      <c r="B26" s="38">
        <v>80</v>
      </c>
      <c r="C26" s="36">
        <f t="shared" si="7"/>
        <v>2</v>
      </c>
      <c r="D26" s="38">
        <v>79</v>
      </c>
      <c r="E26" s="36">
        <f t="shared" si="8"/>
        <v>2</v>
      </c>
      <c r="F26" s="38">
        <v>82</v>
      </c>
      <c r="G26" s="36">
        <f t="shared" si="9"/>
        <v>3</v>
      </c>
      <c r="H26" s="38">
        <v>82</v>
      </c>
      <c r="I26" s="36">
        <f t="shared" si="12"/>
        <v>2</v>
      </c>
      <c r="J26" s="36">
        <f t="shared" si="13"/>
        <v>323</v>
      </c>
      <c r="K26" s="36">
        <f t="shared" si="14"/>
        <v>80.75</v>
      </c>
      <c r="L26" s="36">
        <f t="shared" si="18"/>
        <v>2.25</v>
      </c>
      <c r="M26" s="142">
        <f t="shared" si="17"/>
        <v>24196</v>
      </c>
      <c r="N26" s="36">
        <f t="shared" si="16"/>
        <v>544.41</v>
      </c>
      <c r="O26" s="36">
        <f t="shared" si="10"/>
        <v>287.99288999999999</v>
      </c>
      <c r="P26" s="39">
        <f t="shared" si="11"/>
        <v>3582.6315515999995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>
        <f t="shared" ref="AC26:AC42" si="20">Q26+T26+W26+Z26</f>
        <v>0</v>
      </c>
      <c r="AD26" s="35">
        <f t="shared" si="19"/>
        <v>0</v>
      </c>
      <c r="AE26" s="35">
        <f>(S26+V26+Y26+AB26)/4</f>
        <v>0</v>
      </c>
    </row>
    <row r="27" spans="1:31" ht="32.25" customHeight="1" x14ac:dyDescent="0.3">
      <c r="A27" s="37">
        <v>44889</v>
      </c>
      <c r="B27" s="38">
        <v>78</v>
      </c>
      <c r="C27" s="36">
        <f t="shared" si="7"/>
        <v>3</v>
      </c>
      <c r="D27" s="38">
        <v>77</v>
      </c>
      <c r="E27" s="36">
        <f t="shared" si="8"/>
        <v>3</v>
      </c>
      <c r="F27" s="38">
        <v>79</v>
      </c>
      <c r="G27" s="36">
        <f t="shared" si="9"/>
        <v>3</v>
      </c>
      <c r="H27" s="38">
        <v>80</v>
      </c>
      <c r="I27" s="36">
        <f t="shared" si="12"/>
        <v>4</v>
      </c>
      <c r="J27" s="36">
        <f t="shared" si="13"/>
        <v>314</v>
      </c>
      <c r="K27" s="36">
        <f t="shared" si="14"/>
        <v>78.5</v>
      </c>
      <c r="L27" s="36">
        <f t="shared" si="18"/>
        <v>3.25</v>
      </c>
      <c r="M27" s="142">
        <f t="shared" si="17"/>
        <v>24196</v>
      </c>
      <c r="N27" s="36">
        <f t="shared" si="16"/>
        <v>786.37</v>
      </c>
      <c r="O27" s="36">
        <f t="shared" si="10"/>
        <v>415.98973000000001</v>
      </c>
      <c r="P27" s="39">
        <f t="shared" si="11"/>
        <v>5174.9122411999997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>
        <f t="shared" si="20"/>
        <v>0</v>
      </c>
      <c r="AD27" s="35">
        <f t="shared" si="19"/>
        <v>0</v>
      </c>
      <c r="AE27" s="35">
        <f>(S27+V27+Y27+AB27)/4</f>
        <v>0</v>
      </c>
    </row>
    <row r="28" spans="1:31" ht="32.25" customHeight="1" x14ac:dyDescent="0.3">
      <c r="A28" s="37">
        <v>44890</v>
      </c>
      <c r="B28" s="38">
        <v>75</v>
      </c>
      <c r="C28" s="36">
        <f t="shared" si="7"/>
        <v>3</v>
      </c>
      <c r="D28" s="38">
        <v>74</v>
      </c>
      <c r="E28" s="36">
        <f t="shared" si="8"/>
        <v>3</v>
      </c>
      <c r="F28" s="38">
        <v>76</v>
      </c>
      <c r="G28" s="36">
        <f t="shared" si="9"/>
        <v>3</v>
      </c>
      <c r="H28" s="38">
        <v>76</v>
      </c>
      <c r="I28" s="36">
        <f>IF(AC28&gt;0,((H28-AA28)+(AB28-H29)),IF(H29=0, ,(H28-H29)))</f>
        <v>4</v>
      </c>
      <c r="J28" s="36">
        <f t="shared" si="13"/>
        <v>301</v>
      </c>
      <c r="K28" s="36">
        <f t="shared" si="14"/>
        <v>75.25</v>
      </c>
      <c r="L28" s="36">
        <f t="shared" si="18"/>
        <v>3.25</v>
      </c>
      <c r="M28" s="142">
        <f t="shared" si="17"/>
        <v>24196</v>
      </c>
      <c r="N28" s="36">
        <f t="shared" si="16"/>
        <v>786.37</v>
      </c>
      <c r="O28" s="36">
        <f t="shared" si="10"/>
        <v>415.98973000000001</v>
      </c>
      <c r="P28" s="39">
        <f t="shared" si="11"/>
        <v>5174.9122411999997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>
        <f t="shared" si="20"/>
        <v>0</v>
      </c>
      <c r="AD28" s="35">
        <f t="shared" si="19"/>
        <v>0</v>
      </c>
      <c r="AE28" s="35">
        <f>(S28+V28+Y28+AB28)/4</f>
        <v>0</v>
      </c>
    </row>
    <row r="29" spans="1:31" ht="32.25" customHeight="1" x14ac:dyDescent="0.3">
      <c r="A29" s="37">
        <v>44891</v>
      </c>
      <c r="B29" s="38">
        <v>72</v>
      </c>
      <c r="C29" s="36">
        <f t="shared" si="7"/>
        <v>6</v>
      </c>
      <c r="D29" s="38">
        <v>71</v>
      </c>
      <c r="E29" s="36">
        <f t="shared" si="8"/>
        <v>6</v>
      </c>
      <c r="F29" s="38">
        <v>73</v>
      </c>
      <c r="G29" s="36">
        <f t="shared" si="9"/>
        <v>7</v>
      </c>
      <c r="H29" s="38">
        <v>72</v>
      </c>
      <c r="I29" s="36">
        <f t="shared" si="12"/>
        <v>7</v>
      </c>
      <c r="J29" s="36">
        <f t="shared" si="13"/>
        <v>288</v>
      </c>
      <c r="K29" s="36">
        <f t="shared" si="14"/>
        <v>72</v>
      </c>
      <c r="L29" s="36">
        <f t="shared" si="18"/>
        <v>6.5</v>
      </c>
      <c r="M29" s="142">
        <f t="shared" si="17"/>
        <v>24196</v>
      </c>
      <c r="N29" s="36">
        <f t="shared" si="16"/>
        <v>1572.74</v>
      </c>
      <c r="O29" s="36">
        <f t="shared" si="10"/>
        <v>831.97946000000002</v>
      </c>
      <c r="P29" s="39">
        <f t="shared" si="11"/>
        <v>10349.824482399999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>
        <f>Q29+T29+W29+Z29</f>
        <v>0</v>
      </c>
      <c r="AD29" s="35">
        <f t="shared" si="19"/>
        <v>0</v>
      </c>
      <c r="AE29" s="35">
        <f>(S29+V29+Y29+AB29)/4</f>
        <v>0</v>
      </c>
    </row>
    <row r="30" spans="1:31" ht="32.25" customHeight="1" x14ac:dyDescent="0.3">
      <c r="A30" s="37">
        <v>44892</v>
      </c>
      <c r="B30" s="38">
        <v>66</v>
      </c>
      <c r="C30" s="36">
        <f t="shared" si="7"/>
        <v>4</v>
      </c>
      <c r="D30" s="38">
        <v>65</v>
      </c>
      <c r="E30" s="36">
        <f t="shared" si="8"/>
        <v>9</v>
      </c>
      <c r="F30" s="38">
        <v>66</v>
      </c>
      <c r="G30" s="36">
        <f t="shared" si="9"/>
        <v>4</v>
      </c>
      <c r="H30" s="38">
        <v>65</v>
      </c>
      <c r="I30" s="36">
        <f t="shared" si="12"/>
        <v>5</v>
      </c>
      <c r="J30" s="36">
        <f t="shared" si="13"/>
        <v>262</v>
      </c>
      <c r="K30" s="36">
        <f t="shared" si="14"/>
        <v>65.5</v>
      </c>
      <c r="L30" s="36">
        <f t="shared" si="18"/>
        <v>5.5</v>
      </c>
      <c r="M30" s="142">
        <f t="shared" si="17"/>
        <v>24196</v>
      </c>
      <c r="N30" s="36">
        <f t="shared" si="16"/>
        <v>1330.78</v>
      </c>
      <c r="O30" s="36">
        <f t="shared" si="10"/>
        <v>703.98262</v>
      </c>
      <c r="P30" s="39">
        <f t="shared" si="11"/>
        <v>8757.5437927999992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>
        <f t="shared" si="20"/>
        <v>0</v>
      </c>
      <c r="AD30" s="35">
        <f t="shared" si="19"/>
        <v>0</v>
      </c>
      <c r="AE30" s="35">
        <f t="shared" ref="AE30:AE41" si="21">(S30+V30+Y30+AB30)/4</f>
        <v>0</v>
      </c>
    </row>
    <row r="31" spans="1:31" ht="32.25" customHeight="1" x14ac:dyDescent="0.3">
      <c r="A31" s="37">
        <v>44893</v>
      </c>
      <c r="B31" s="38">
        <v>62</v>
      </c>
      <c r="C31" s="36">
        <f t="shared" si="7"/>
        <v>2</v>
      </c>
      <c r="D31" s="38">
        <v>56</v>
      </c>
      <c r="E31" s="36">
        <f t="shared" si="8"/>
        <v>2</v>
      </c>
      <c r="F31" s="38">
        <v>62</v>
      </c>
      <c r="G31" s="36">
        <f t="shared" si="9"/>
        <v>2</v>
      </c>
      <c r="H31" s="38">
        <v>60</v>
      </c>
      <c r="I31" s="36">
        <f t="shared" si="12"/>
        <v>3</v>
      </c>
      <c r="J31" s="36">
        <f t="shared" si="13"/>
        <v>240</v>
      </c>
      <c r="K31" s="36">
        <f t="shared" si="14"/>
        <v>60</v>
      </c>
      <c r="L31" s="36">
        <f t="shared" si="18"/>
        <v>2.25</v>
      </c>
      <c r="M31" s="142">
        <f t="shared" si="17"/>
        <v>24196</v>
      </c>
      <c r="N31" s="36">
        <f t="shared" si="16"/>
        <v>544.41</v>
      </c>
      <c r="O31" s="36">
        <f t="shared" si="10"/>
        <v>287.99288999999999</v>
      </c>
      <c r="P31" s="39">
        <f t="shared" si="11"/>
        <v>3582.6315515999995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>
        <f t="shared" si="20"/>
        <v>0</v>
      </c>
      <c r="AD31" s="35">
        <f t="shared" si="19"/>
        <v>0</v>
      </c>
      <c r="AE31" s="35">
        <f t="shared" si="21"/>
        <v>0</v>
      </c>
    </row>
    <row r="32" spans="1:31" ht="32.25" customHeight="1" x14ac:dyDescent="0.3">
      <c r="A32" s="37">
        <v>44894</v>
      </c>
      <c r="B32" s="38">
        <v>60</v>
      </c>
      <c r="C32" s="36">
        <f t="shared" si="7"/>
        <v>8</v>
      </c>
      <c r="D32" s="38">
        <v>54</v>
      </c>
      <c r="E32" s="36">
        <f t="shared" si="8"/>
        <v>5</v>
      </c>
      <c r="F32" s="38">
        <v>60</v>
      </c>
      <c r="G32" s="36">
        <f t="shared" si="9"/>
        <v>5</v>
      </c>
      <c r="H32" s="38">
        <v>57</v>
      </c>
      <c r="I32" s="36">
        <f t="shared" si="12"/>
        <v>6</v>
      </c>
      <c r="J32" s="36">
        <f t="shared" si="13"/>
        <v>231</v>
      </c>
      <c r="K32" s="36">
        <f t="shared" si="14"/>
        <v>57.75</v>
      </c>
      <c r="L32" s="36">
        <f t="shared" si="18"/>
        <v>6</v>
      </c>
      <c r="M32" s="142">
        <f t="shared" si="17"/>
        <v>24196</v>
      </c>
      <c r="N32" s="36">
        <f t="shared" si="16"/>
        <v>1451.76</v>
      </c>
      <c r="O32" s="36">
        <f t="shared" si="10"/>
        <v>767.98104000000001</v>
      </c>
      <c r="P32" s="39">
        <f t="shared" si="11"/>
        <v>9553.6841375999993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>
        <f>Q32+T32+W32+Z32</f>
        <v>0</v>
      </c>
      <c r="AD32" s="35">
        <f t="shared" si="19"/>
        <v>0</v>
      </c>
      <c r="AE32" s="35">
        <f t="shared" si="21"/>
        <v>0</v>
      </c>
    </row>
    <row r="33" spans="1:31" ht="32.25" customHeight="1" x14ac:dyDescent="0.3">
      <c r="A33" s="37">
        <v>44895</v>
      </c>
      <c r="B33" s="38">
        <v>52</v>
      </c>
      <c r="C33" s="36">
        <f t="shared" si="7"/>
        <v>4</v>
      </c>
      <c r="D33" s="38">
        <v>49</v>
      </c>
      <c r="E33" s="36">
        <f t="shared" si="8"/>
        <v>4</v>
      </c>
      <c r="F33" s="38">
        <v>55</v>
      </c>
      <c r="G33" s="36">
        <f t="shared" si="9"/>
        <v>3</v>
      </c>
      <c r="H33" s="38">
        <v>51</v>
      </c>
      <c r="I33" s="36">
        <f t="shared" si="12"/>
        <v>3</v>
      </c>
      <c r="J33" s="36">
        <f t="shared" si="13"/>
        <v>207</v>
      </c>
      <c r="K33" s="36">
        <f t="shared" si="14"/>
        <v>51.75</v>
      </c>
      <c r="L33" s="36">
        <f t="shared" si="18"/>
        <v>3.5</v>
      </c>
      <c r="M33" s="142">
        <f t="shared" si="17"/>
        <v>24196</v>
      </c>
      <c r="N33" s="36">
        <f t="shared" si="16"/>
        <v>846.86</v>
      </c>
      <c r="O33" s="36">
        <f t="shared" si="10"/>
        <v>447.98894000000001</v>
      </c>
      <c r="P33" s="39">
        <f t="shared" si="11"/>
        <v>5572.9824135999997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>
        <f>Q33+T33+W33+Z33</f>
        <v>0</v>
      </c>
      <c r="AD33" s="35">
        <f t="shared" si="19"/>
        <v>0</v>
      </c>
      <c r="AE33" s="35">
        <f t="shared" si="21"/>
        <v>0</v>
      </c>
    </row>
    <row r="34" spans="1:31" ht="32.25" customHeight="1" x14ac:dyDescent="0.3">
      <c r="A34" s="37">
        <v>44896</v>
      </c>
      <c r="B34" s="38">
        <v>48</v>
      </c>
      <c r="C34" s="36">
        <f t="shared" si="7"/>
        <v>0</v>
      </c>
      <c r="D34" s="38">
        <v>45</v>
      </c>
      <c r="E34" s="36">
        <f t="shared" si="8"/>
        <v>0</v>
      </c>
      <c r="F34" s="38">
        <v>52</v>
      </c>
      <c r="G34" s="36">
        <f t="shared" si="9"/>
        <v>0</v>
      </c>
      <c r="H34" s="38">
        <v>48</v>
      </c>
      <c r="I34" s="36">
        <f t="shared" si="12"/>
        <v>0</v>
      </c>
      <c r="J34" s="36">
        <f>B34+D34+F34+H34</f>
        <v>193</v>
      </c>
      <c r="K34" s="36">
        <f>J34/4</f>
        <v>48.25</v>
      </c>
      <c r="L34" s="36">
        <f t="shared" si="18"/>
        <v>0</v>
      </c>
      <c r="M34" s="142">
        <f t="shared" si="17"/>
        <v>24196</v>
      </c>
      <c r="N34" s="36">
        <f>L34*M34/100</f>
        <v>0</v>
      </c>
      <c r="O34" s="36">
        <f>N34*0.529</f>
        <v>0</v>
      </c>
      <c r="P34" s="39">
        <f t="shared" ref="P34" si="22">O34*12.53</f>
        <v>0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>
        <f t="shared" si="20"/>
        <v>0</v>
      </c>
      <c r="AD34" s="35">
        <f t="shared" si="19"/>
        <v>0</v>
      </c>
      <c r="AE34" s="35">
        <f t="shared" si="21"/>
        <v>0</v>
      </c>
    </row>
    <row r="35" spans="1:31" ht="32.25" customHeight="1" x14ac:dyDescent="0.3">
      <c r="A35" s="37"/>
      <c r="B35" s="38"/>
      <c r="C35" s="36">
        <f>IF(AC35&gt;0,((B35-R35)+(S35-B36)),IF(B36=0, ,(B35-B36)))</f>
        <v>0</v>
      </c>
      <c r="D35" s="38"/>
      <c r="E35" s="36">
        <f t="shared" ref="E35" si="23">IF(AC35&gt;0,((D35-U35)+(V35-D36)),IF(D36=0, ,(D35-D36)))</f>
        <v>0</v>
      </c>
      <c r="F35" s="38"/>
      <c r="G35" s="36">
        <f t="shared" ref="G35" si="24">IF(AC35&gt;0,((F35-X35)+(Y35-F36)),IF(F36=0, ,(F35-F36)))</f>
        <v>0</v>
      </c>
      <c r="H35" s="38"/>
      <c r="I35" s="36">
        <f t="shared" si="12"/>
        <v>0</v>
      </c>
      <c r="J35" s="36">
        <f t="shared" si="13"/>
        <v>0</v>
      </c>
      <c r="K35" s="36">
        <f t="shared" si="14"/>
        <v>0</v>
      </c>
      <c r="L35" s="36">
        <f t="shared" si="18"/>
        <v>0</v>
      </c>
      <c r="M35" s="142">
        <f t="shared" si="17"/>
        <v>24196</v>
      </c>
      <c r="N35" s="36">
        <f t="shared" si="16"/>
        <v>0</v>
      </c>
      <c r="O35" s="36">
        <f t="shared" ref="O35:O36" si="25">N35*0.529</f>
        <v>0</v>
      </c>
      <c r="P35" s="39">
        <f t="shared" ref="P35:P36" si="26">O35*11.565</f>
        <v>0</v>
      </c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>
        <f t="shared" si="20"/>
        <v>0</v>
      </c>
      <c r="AD35" s="35">
        <f t="shared" si="19"/>
        <v>0</v>
      </c>
      <c r="AE35" s="35">
        <f t="shared" si="21"/>
        <v>0</v>
      </c>
    </row>
    <row r="36" spans="1:31" ht="32.25" customHeight="1" x14ac:dyDescent="0.3">
      <c r="A36" s="37"/>
      <c r="B36" s="38"/>
      <c r="C36" s="36">
        <f t="shared" ref="C36:C41" si="27">IF(AC36&gt;0,((B36-R36)+(S36-B37)),IF(B37=0, ,(B36-B37)))</f>
        <v>0</v>
      </c>
      <c r="D36" s="38"/>
      <c r="E36" s="36">
        <f>IF(AC36:AC59&gt;0,((D36-U36)+(V36-D37)),IF(D37=0, ,(D36-D37)))</f>
        <v>0</v>
      </c>
      <c r="F36" s="38"/>
      <c r="G36" s="36">
        <f t="shared" ref="G36:G41" si="28">IF(AC36&gt;0,((F36-X36)+(Y36-F37)),IF(F37=0, ,(F36-F37)))</f>
        <v>0</v>
      </c>
      <c r="H36" s="38"/>
      <c r="I36" s="36">
        <f t="shared" ref="I36:I41" si="29">IF(AC36&gt;0,((H36-AA36)+(AB36-H37)),IF(H37=0, ,(H36-H37)))</f>
        <v>0</v>
      </c>
      <c r="J36" s="36">
        <f t="shared" si="13"/>
        <v>0</v>
      </c>
      <c r="K36" s="36">
        <f t="shared" si="14"/>
        <v>0</v>
      </c>
      <c r="L36" s="36">
        <f t="shared" si="18"/>
        <v>0</v>
      </c>
      <c r="M36" s="142">
        <f t="shared" si="17"/>
        <v>24196</v>
      </c>
      <c r="N36" s="36">
        <f t="shared" si="16"/>
        <v>0</v>
      </c>
      <c r="O36" s="36">
        <f t="shared" si="25"/>
        <v>0</v>
      </c>
      <c r="P36" s="39">
        <f t="shared" si="26"/>
        <v>0</v>
      </c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>
        <f t="shared" si="20"/>
        <v>0</v>
      </c>
      <c r="AD36" s="35">
        <f t="shared" si="19"/>
        <v>0</v>
      </c>
      <c r="AE36" s="35">
        <f t="shared" si="21"/>
        <v>0</v>
      </c>
    </row>
    <row r="37" spans="1:31" ht="32.25" customHeight="1" x14ac:dyDescent="0.3">
      <c r="A37" s="37"/>
      <c r="B37" s="38"/>
      <c r="C37" s="36">
        <f t="shared" si="27"/>
        <v>0</v>
      </c>
      <c r="D37" s="38"/>
      <c r="E37" s="36">
        <f>IF(AC37:AC60&gt;0,((D37-U37)+(V37-D38)),IF(D38=0, ,(D37-D38)))</f>
        <v>0</v>
      </c>
      <c r="F37" s="38"/>
      <c r="G37" s="36">
        <f t="shared" si="28"/>
        <v>0</v>
      </c>
      <c r="H37" s="38"/>
      <c r="I37" s="36">
        <f t="shared" si="29"/>
        <v>0</v>
      </c>
      <c r="J37" s="36">
        <f t="shared" si="13"/>
        <v>0</v>
      </c>
      <c r="K37" s="36">
        <f t="shared" si="14"/>
        <v>0</v>
      </c>
      <c r="L37" s="36">
        <f t="shared" si="18"/>
        <v>0</v>
      </c>
      <c r="M37" s="142">
        <f t="shared" si="17"/>
        <v>24196</v>
      </c>
      <c r="N37" s="36">
        <f t="shared" si="16"/>
        <v>0</v>
      </c>
      <c r="O37" s="36">
        <f>N37*0.53</f>
        <v>0</v>
      </c>
      <c r="P37" s="39">
        <f t="shared" ref="P37:P38" si="30">O37*11.2513</f>
        <v>0</v>
      </c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>
        <f t="shared" si="20"/>
        <v>0</v>
      </c>
      <c r="AD37" s="35">
        <f t="shared" si="19"/>
        <v>0</v>
      </c>
      <c r="AE37" s="35">
        <f t="shared" si="21"/>
        <v>0</v>
      </c>
    </row>
    <row r="38" spans="1:31" ht="32.25" customHeight="1" x14ac:dyDescent="0.3">
      <c r="A38" s="37"/>
      <c r="B38" s="38"/>
      <c r="C38" s="36">
        <f t="shared" si="27"/>
        <v>0</v>
      </c>
      <c r="D38" s="38"/>
      <c r="E38" s="36">
        <f>IF(AC38&gt;0,((D38-U38)+(V38-D39)),IF(D39=0, ,(D38-D39)))</f>
        <v>0</v>
      </c>
      <c r="F38" s="38"/>
      <c r="G38" s="36">
        <f t="shared" si="28"/>
        <v>0</v>
      </c>
      <c r="H38" s="38"/>
      <c r="I38" s="36">
        <f t="shared" si="29"/>
        <v>0</v>
      </c>
      <c r="J38" s="36">
        <f t="shared" si="13"/>
        <v>0</v>
      </c>
      <c r="K38" s="36">
        <f t="shared" si="14"/>
        <v>0</v>
      </c>
      <c r="L38" s="36">
        <f t="shared" si="18"/>
        <v>0</v>
      </c>
      <c r="M38" s="142">
        <f t="shared" si="17"/>
        <v>24196</v>
      </c>
      <c r="N38" s="36">
        <f t="shared" si="16"/>
        <v>0</v>
      </c>
      <c r="O38" s="36">
        <f>N38*0.53</f>
        <v>0</v>
      </c>
      <c r="P38" s="39">
        <f t="shared" si="30"/>
        <v>0</v>
      </c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>
        <f t="shared" si="20"/>
        <v>0</v>
      </c>
      <c r="AD38" s="35">
        <f t="shared" si="19"/>
        <v>0</v>
      </c>
      <c r="AE38" s="35">
        <f t="shared" si="21"/>
        <v>0</v>
      </c>
    </row>
    <row r="39" spans="1:31" ht="32.25" customHeight="1" x14ac:dyDescent="0.3">
      <c r="A39" s="37"/>
      <c r="B39" s="38"/>
      <c r="C39" s="36">
        <f t="shared" si="27"/>
        <v>0</v>
      </c>
      <c r="D39" s="38"/>
      <c r="E39" s="36">
        <f>IF(AC39&gt;0,((D39-U39)+(V39-D40)),IF(D40=0, ,(D39-D40)))</f>
        <v>0</v>
      </c>
      <c r="F39" s="38"/>
      <c r="G39" s="36">
        <f t="shared" si="28"/>
        <v>0</v>
      </c>
      <c r="H39" s="38"/>
      <c r="I39" s="36">
        <f t="shared" si="29"/>
        <v>0</v>
      </c>
      <c r="J39" s="36">
        <f t="shared" si="13"/>
        <v>0</v>
      </c>
      <c r="K39" s="36">
        <f t="shared" si="14"/>
        <v>0</v>
      </c>
      <c r="L39" s="36">
        <f t="shared" si="18"/>
        <v>0</v>
      </c>
      <c r="M39" s="142">
        <f t="shared" si="17"/>
        <v>24196</v>
      </c>
      <c r="N39" s="36">
        <f t="shared" si="16"/>
        <v>0</v>
      </c>
      <c r="O39" s="36">
        <f>N39*0.53</f>
        <v>0</v>
      </c>
      <c r="P39" s="39">
        <f t="shared" ref="P39:P41" si="31">O39*9.965</f>
        <v>0</v>
      </c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>
        <f t="shared" si="20"/>
        <v>0</v>
      </c>
      <c r="AD39" s="35">
        <f t="shared" si="19"/>
        <v>0</v>
      </c>
      <c r="AE39" s="35">
        <f t="shared" si="21"/>
        <v>0</v>
      </c>
    </row>
    <row r="40" spans="1:31" ht="32.25" customHeight="1" x14ac:dyDescent="0.3">
      <c r="A40" s="37"/>
      <c r="B40" s="38"/>
      <c r="C40" s="36">
        <f t="shared" si="27"/>
        <v>0</v>
      </c>
      <c r="D40" s="38"/>
      <c r="E40" s="36">
        <f>IF(AC40&gt;0,((D40-U40)+(V40-D41)),IF(D41=0, ,(D40-D41)))</f>
        <v>0</v>
      </c>
      <c r="F40" s="38"/>
      <c r="G40" s="36">
        <f t="shared" si="28"/>
        <v>0</v>
      </c>
      <c r="H40" s="38"/>
      <c r="I40" s="36">
        <f t="shared" si="29"/>
        <v>0</v>
      </c>
      <c r="J40" s="36">
        <f t="shared" si="13"/>
        <v>0</v>
      </c>
      <c r="K40" s="36">
        <f t="shared" si="14"/>
        <v>0</v>
      </c>
      <c r="L40" s="36">
        <f t="shared" si="18"/>
        <v>0</v>
      </c>
      <c r="M40" s="142">
        <f t="shared" si="17"/>
        <v>24196</v>
      </c>
      <c r="N40" s="36">
        <f t="shared" si="16"/>
        <v>0</v>
      </c>
      <c r="O40" s="36">
        <f>N40*0.53</f>
        <v>0</v>
      </c>
      <c r="P40" s="39">
        <f t="shared" si="31"/>
        <v>0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>
        <f t="shared" si="20"/>
        <v>0</v>
      </c>
      <c r="AD40" s="35">
        <f t="shared" si="19"/>
        <v>0</v>
      </c>
      <c r="AE40" s="35">
        <f t="shared" si="21"/>
        <v>0</v>
      </c>
    </row>
    <row r="41" spans="1:31" ht="32.25" customHeight="1" x14ac:dyDescent="0.3">
      <c r="A41" s="37"/>
      <c r="B41" s="38"/>
      <c r="C41" s="36">
        <f t="shared" si="27"/>
        <v>0</v>
      </c>
      <c r="D41" s="38"/>
      <c r="E41" s="36">
        <f>IF(AC41&gt;0,((D41-U41)+(V41-D42)),IF(D42=0, ,(D41-D42)))</f>
        <v>0</v>
      </c>
      <c r="F41" s="38"/>
      <c r="G41" s="36">
        <f t="shared" si="28"/>
        <v>0</v>
      </c>
      <c r="H41" s="38"/>
      <c r="I41" s="36">
        <f t="shared" si="29"/>
        <v>0</v>
      </c>
      <c r="J41" s="36">
        <f t="shared" si="13"/>
        <v>0</v>
      </c>
      <c r="K41" s="36">
        <f t="shared" si="14"/>
        <v>0</v>
      </c>
      <c r="L41" s="36">
        <f t="shared" si="18"/>
        <v>0</v>
      </c>
      <c r="M41" s="142">
        <f t="shared" si="17"/>
        <v>24196</v>
      </c>
      <c r="N41" s="36">
        <f t="shared" si="16"/>
        <v>0</v>
      </c>
      <c r="O41" s="36">
        <f>N41*0.53</f>
        <v>0</v>
      </c>
      <c r="P41" s="39">
        <f t="shared" si="31"/>
        <v>0</v>
      </c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>
        <f t="shared" si="20"/>
        <v>0</v>
      </c>
      <c r="AD41" s="35">
        <f t="shared" si="19"/>
        <v>0</v>
      </c>
      <c r="AE41" s="35">
        <f t="shared" si="21"/>
        <v>0</v>
      </c>
    </row>
    <row r="42" spans="1:31" ht="32.25" customHeight="1" thickBot="1" x14ac:dyDescent="0.35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6">
        <f>SUM(N4:N41)</f>
        <v>26010.7</v>
      </c>
      <c r="O42" s="36">
        <f>N42*0.529</f>
        <v>13759.660300000001</v>
      </c>
      <c r="P42" s="39">
        <f>O42*12.44</f>
        <v>171170.17413200001</v>
      </c>
      <c r="Q42" s="285">
        <f>SUM(Q4:Q41)</f>
        <v>7309</v>
      </c>
      <c r="R42" s="286"/>
      <c r="S42" s="287"/>
      <c r="T42" s="288">
        <f>SUM(T4:T41)</f>
        <v>7104</v>
      </c>
      <c r="U42" s="286"/>
      <c r="V42" s="287"/>
      <c r="W42" s="288">
        <f>SUM(W4:W41)</f>
        <v>8008</v>
      </c>
      <c r="X42" s="286"/>
      <c r="Y42" s="287"/>
      <c r="Z42" s="288">
        <f>SUM(Z4:Z41)</f>
        <v>8069</v>
      </c>
      <c r="AA42" s="286"/>
      <c r="AB42" s="287"/>
      <c r="AC42" s="36">
        <f t="shared" si="20"/>
        <v>30490</v>
      </c>
    </row>
    <row r="43" spans="1:31" ht="35.25" customHeight="1" thickBot="1" x14ac:dyDescent="0.35">
      <c r="B43" s="294"/>
      <c r="C43" s="295"/>
      <c r="D43" s="295"/>
      <c r="E43" s="295"/>
      <c r="F43" s="295"/>
      <c r="G43" s="295"/>
      <c r="H43" s="295"/>
      <c r="I43" s="296"/>
      <c r="J43" s="34"/>
      <c r="K43" s="34"/>
      <c r="L43" s="34"/>
      <c r="M43" s="34"/>
      <c r="N43" s="34"/>
      <c r="O43" s="34"/>
      <c r="P43" s="34"/>
      <c r="Q43" s="297">
        <f>Q42+T42+W42+Z42</f>
        <v>30490</v>
      </c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9"/>
      <c r="AC43" s="36">
        <f>Q43+T43+W43+Z43</f>
        <v>30490</v>
      </c>
    </row>
    <row r="44" spans="1:31" ht="7.5" customHeight="1" thickBot="1" x14ac:dyDescent="0.35">
      <c r="D44" s="33" t="s">
        <v>18</v>
      </c>
    </row>
    <row r="45" spans="1:31" ht="51" customHeight="1" thickBot="1" x14ac:dyDescent="0.35">
      <c r="H45" s="34"/>
      <c r="I45" s="34"/>
      <c r="J45" s="34"/>
      <c r="K45" s="40" t="s">
        <v>80</v>
      </c>
      <c r="L45" s="41" t="s">
        <v>81</v>
      </c>
      <c r="M45" s="41" t="s">
        <v>82</v>
      </c>
    </row>
    <row r="46" spans="1:31" ht="48" customHeight="1" thickBot="1" x14ac:dyDescent="0.35">
      <c r="H46" s="281" t="s">
        <v>83</v>
      </c>
      <c r="I46" s="282"/>
      <c r="J46" s="283"/>
      <c r="K46" s="42">
        <f>N42</f>
        <v>26010.7</v>
      </c>
      <c r="L46" s="43">
        <f>O42</f>
        <v>13759.660300000001</v>
      </c>
      <c r="M46" s="43">
        <f>P42</f>
        <v>171170.17413200001</v>
      </c>
    </row>
    <row r="47" spans="1:31" ht="54.75" customHeight="1" thickBot="1" x14ac:dyDescent="0.35">
      <c r="H47" s="281" t="s">
        <v>84</v>
      </c>
      <c r="I47" s="282"/>
      <c r="J47" s="283"/>
      <c r="K47" s="40">
        <f>AC43</f>
        <v>30490</v>
      </c>
      <c r="L47" s="41">
        <f>K47*0.529</f>
        <v>16129.210000000001</v>
      </c>
      <c r="M47" s="41">
        <f>L47*12.44</f>
        <v>200647.37239999999</v>
      </c>
    </row>
  </sheetData>
  <mergeCells count="13">
    <mergeCell ref="H47:J47"/>
    <mergeCell ref="F1:Z1"/>
    <mergeCell ref="Q42:S42"/>
    <mergeCell ref="T42:V42"/>
    <mergeCell ref="W42:Y42"/>
    <mergeCell ref="Z42:AB42"/>
    <mergeCell ref="Q2:S2"/>
    <mergeCell ref="T2:V2"/>
    <mergeCell ref="W2:Y2"/>
    <mergeCell ref="Z2:AB2"/>
    <mergeCell ref="B43:I43"/>
    <mergeCell ref="Q43:AB43"/>
    <mergeCell ref="H46:J46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16" sqref="Q16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00" t="s">
        <v>85</v>
      </c>
      <c r="D1" s="301"/>
      <c r="E1" s="301"/>
      <c r="F1" s="301"/>
      <c r="G1" s="301"/>
      <c r="H1" s="306" t="s">
        <v>86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87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88</v>
      </c>
      <c r="B7" s="318"/>
      <c r="C7" s="319" t="s">
        <v>89</v>
      </c>
      <c r="D7" s="320"/>
      <c r="E7" s="56" t="s">
        <v>90</v>
      </c>
      <c r="F7" s="56" t="s">
        <v>91</v>
      </c>
      <c r="G7" s="56" t="s">
        <v>92</v>
      </c>
      <c r="H7" s="56" t="s">
        <v>93</v>
      </c>
      <c r="I7" s="321" t="s">
        <v>94</v>
      </c>
      <c r="J7" s="322"/>
    </row>
    <row r="8" spans="1:10" x14ac:dyDescent="0.2">
      <c r="A8" s="323">
        <v>95670781</v>
      </c>
      <c r="B8" s="323"/>
      <c r="C8" s="324">
        <v>44893</v>
      </c>
      <c r="D8" s="325"/>
      <c r="E8" s="108">
        <v>44923</v>
      </c>
      <c r="F8" s="156" t="s">
        <v>95</v>
      </c>
      <c r="G8" s="57"/>
      <c r="H8" s="57"/>
      <c r="I8" s="326"/>
      <c r="J8" s="327"/>
    </row>
    <row r="10" spans="1:10" ht="23.25" customHeight="1" thickBot="1" x14ac:dyDescent="0.25"/>
    <row r="11" spans="1:10" ht="24.75" customHeight="1" thickTop="1" x14ac:dyDescent="0.2">
      <c r="A11" s="328" t="s">
        <v>96</v>
      </c>
      <c r="B11" s="328"/>
      <c r="C11" s="329" t="s">
        <v>97</v>
      </c>
      <c r="D11" s="330"/>
      <c r="E11" s="328" t="s">
        <v>98</v>
      </c>
      <c r="F11" s="328"/>
      <c r="G11" s="329" t="s">
        <v>99</v>
      </c>
      <c r="H11" s="330"/>
      <c r="I11" s="331" t="s">
        <v>100</v>
      </c>
      <c r="J11" s="331"/>
    </row>
    <row r="12" spans="1:10" x14ac:dyDescent="0.2">
      <c r="A12" s="323" t="s">
        <v>101</v>
      </c>
      <c r="B12" s="323"/>
      <c r="C12" s="323">
        <v>3750</v>
      </c>
      <c r="D12" s="323"/>
      <c r="E12" s="323">
        <v>1000</v>
      </c>
      <c r="F12" s="323"/>
      <c r="G12" s="335">
        <v>939</v>
      </c>
      <c r="H12" s="335"/>
      <c r="I12" s="336"/>
      <c r="J12" s="336"/>
    </row>
    <row r="13" spans="1:10" x14ac:dyDescent="0.2">
      <c r="A13" s="337"/>
      <c r="B13" s="338"/>
      <c r="C13" s="338"/>
      <c r="D13" s="338"/>
      <c r="E13" s="338"/>
      <c r="F13" s="338"/>
      <c r="G13" s="338"/>
      <c r="H13" s="338"/>
      <c r="I13" s="338"/>
      <c r="J13" s="338"/>
    </row>
    <row r="15" spans="1:10" ht="13.5" thickBot="1" x14ac:dyDescent="0.25"/>
    <row r="16" spans="1:10" ht="26.25" thickTop="1" x14ac:dyDescent="0.2">
      <c r="A16" s="328" t="s">
        <v>102</v>
      </c>
      <c r="B16" s="328"/>
      <c r="C16" s="58" t="s">
        <v>103</v>
      </c>
      <c r="D16" s="59" t="s">
        <v>104</v>
      </c>
      <c r="E16" s="59" t="s">
        <v>47</v>
      </c>
      <c r="F16" s="59" t="s">
        <v>105</v>
      </c>
      <c r="G16" s="332" t="s">
        <v>106</v>
      </c>
      <c r="H16" s="332"/>
      <c r="I16" s="333" t="s">
        <v>107</v>
      </c>
      <c r="J16" s="334"/>
    </row>
    <row r="17" spans="1:10" x14ac:dyDescent="0.2">
      <c r="A17" s="339" t="s">
        <v>108</v>
      </c>
      <c r="B17" s="340"/>
      <c r="C17" s="61">
        <v>21995481</v>
      </c>
      <c r="D17" s="61">
        <v>21805434</v>
      </c>
      <c r="E17" s="62">
        <f>MIN(C17-D17)</f>
        <v>190047</v>
      </c>
      <c r="F17" s="62">
        <f>+E17</f>
        <v>190047</v>
      </c>
      <c r="G17" s="341"/>
      <c r="H17" s="342"/>
      <c r="I17" s="341">
        <f>+E17</f>
        <v>190047</v>
      </c>
      <c r="J17" s="342"/>
    </row>
    <row r="18" spans="1:10" x14ac:dyDescent="0.2">
      <c r="A18" s="339" t="s">
        <v>109</v>
      </c>
      <c r="B18" s="340"/>
      <c r="C18" s="61">
        <v>12883997</v>
      </c>
      <c r="D18" s="61">
        <v>12757348</v>
      </c>
      <c r="E18" s="62">
        <f>MIN(C18-D18)</f>
        <v>126649</v>
      </c>
      <c r="F18" s="62">
        <f>+E18</f>
        <v>126649</v>
      </c>
      <c r="G18" s="341"/>
      <c r="H18" s="342"/>
      <c r="I18" s="341">
        <f>+E18</f>
        <v>126649</v>
      </c>
      <c r="J18" s="342"/>
    </row>
    <row r="19" spans="1:10" x14ac:dyDescent="0.2">
      <c r="A19" s="339" t="s">
        <v>110</v>
      </c>
      <c r="B19" s="340"/>
      <c r="C19" s="61">
        <v>9648730</v>
      </c>
      <c r="D19" s="61">
        <v>9558420</v>
      </c>
      <c r="E19" s="62">
        <f>AVERAGE(C19-D19)</f>
        <v>90310</v>
      </c>
      <c r="F19" s="62">
        <f>+E19</f>
        <v>90310</v>
      </c>
      <c r="G19" s="341"/>
      <c r="H19" s="342"/>
      <c r="I19" s="341">
        <f>+E19</f>
        <v>90310</v>
      </c>
      <c r="J19" s="342"/>
    </row>
    <row r="20" spans="1:10" ht="15" x14ac:dyDescent="0.25">
      <c r="A20" s="343" t="s">
        <v>111</v>
      </c>
      <c r="B20" s="344"/>
      <c r="C20" s="63"/>
      <c r="D20" s="64"/>
      <c r="E20" s="63">
        <f>SUM(E17:E19)</f>
        <v>407006</v>
      </c>
      <c r="F20" s="65"/>
      <c r="G20" s="345"/>
      <c r="H20" s="346"/>
      <c r="I20" s="345"/>
      <c r="J20" s="346"/>
    </row>
    <row r="21" spans="1:10" x14ac:dyDescent="0.2">
      <c r="C21" s="105" t="s">
        <v>18</v>
      </c>
      <c r="D21" t="s">
        <v>112</v>
      </c>
      <c r="G21" s="347"/>
      <c r="H21" s="347"/>
    </row>
    <row r="22" spans="1:10" ht="13.5" thickBot="1" x14ac:dyDescent="0.25">
      <c r="G22" s="348"/>
      <c r="H22" s="348"/>
    </row>
    <row r="23" spans="1:10" ht="13.5" thickTop="1" x14ac:dyDescent="0.2">
      <c r="A23" s="349" t="s">
        <v>113</v>
      </c>
      <c r="B23" s="350"/>
      <c r="C23" s="351"/>
      <c r="D23" s="328" t="s">
        <v>114</v>
      </c>
      <c r="E23" s="328" t="s">
        <v>115</v>
      </c>
      <c r="F23" s="356" t="s">
        <v>116</v>
      </c>
      <c r="G23" s="358" t="s">
        <v>117</v>
      </c>
      <c r="H23" s="358"/>
      <c r="I23" s="359" t="s">
        <v>118</v>
      </c>
      <c r="J23" s="359"/>
    </row>
    <row r="24" spans="1:10" x14ac:dyDescent="0.2">
      <c r="A24" s="352"/>
      <c r="B24" s="353"/>
      <c r="C24" s="354"/>
      <c r="D24" s="355"/>
      <c r="E24" s="355"/>
      <c r="F24" s="357"/>
      <c r="G24" s="157" t="s">
        <v>119</v>
      </c>
      <c r="H24" s="66" t="s">
        <v>120</v>
      </c>
      <c r="I24" s="359"/>
      <c r="J24" s="359"/>
    </row>
    <row r="25" spans="1:10" ht="15" x14ac:dyDescent="0.25">
      <c r="A25" s="360" t="s">
        <v>121</v>
      </c>
      <c r="B25" s="361"/>
      <c r="C25" s="362"/>
      <c r="D25" s="62">
        <f>+E17</f>
        <v>190047</v>
      </c>
      <c r="E25" s="67">
        <v>0.95140000000000002</v>
      </c>
      <c r="F25" s="68">
        <f>PRODUCT(D25*E25)</f>
        <v>180810.71580000001</v>
      </c>
      <c r="G25" s="144">
        <v>14</v>
      </c>
      <c r="H25" s="60">
        <f>PRODUCT(0.14,F25)</f>
        <v>25313.500212000003</v>
      </c>
      <c r="I25" s="363">
        <f>SUM(H25,F25)</f>
        <v>206124.21601200002</v>
      </c>
      <c r="J25" s="364"/>
    </row>
    <row r="26" spans="1:10" ht="15" x14ac:dyDescent="0.25">
      <c r="A26" s="365" t="s">
        <v>122</v>
      </c>
      <c r="B26" s="366"/>
      <c r="C26" s="367"/>
      <c r="D26" s="62">
        <f>+E18</f>
        <v>126649</v>
      </c>
      <c r="E26" s="69">
        <v>0.69850000000000001</v>
      </c>
      <c r="F26" s="68">
        <f>PRODUCT(D26*E26)</f>
        <v>88464.326499999996</v>
      </c>
      <c r="G26">
        <v>14</v>
      </c>
      <c r="H26" s="62">
        <f>PRODUCT(0.14,F26)</f>
        <v>12385.005710000001</v>
      </c>
      <c r="I26" s="363">
        <f t="shared" ref="I26:I31" si="0">SUM(H26,F26)</f>
        <v>100849.33220999999</v>
      </c>
      <c r="J26" s="364"/>
    </row>
    <row r="27" spans="1:10" ht="15" x14ac:dyDescent="0.25">
      <c r="A27" s="365" t="s">
        <v>123</v>
      </c>
      <c r="B27" s="366"/>
      <c r="C27" s="367"/>
      <c r="D27" s="62">
        <f>+E19</f>
        <v>90310</v>
      </c>
      <c r="E27" s="69">
        <v>1.3304</v>
      </c>
      <c r="F27" s="68">
        <f>PRODUCT(D27*E27)</f>
        <v>120148.424</v>
      </c>
      <c r="G27">
        <v>14</v>
      </c>
      <c r="H27" s="62">
        <f>PRODUCT(0.14,F27)</f>
        <v>16820.77936</v>
      </c>
      <c r="I27" s="363">
        <f>SUM(H27,F27)</f>
        <v>136969.20335999998</v>
      </c>
      <c r="J27" s="364"/>
    </row>
    <row r="28" spans="1:10" ht="15" x14ac:dyDescent="0.25">
      <c r="A28" s="365" t="s">
        <v>124</v>
      </c>
      <c r="B28" s="366"/>
      <c r="C28" s="367"/>
      <c r="D28" s="62">
        <v>1000</v>
      </c>
      <c r="E28" s="69">
        <v>43.88167</v>
      </c>
      <c r="F28" s="68">
        <f>PRODUCT(D28,E28)</f>
        <v>43881.67</v>
      </c>
      <c r="G28">
        <v>14</v>
      </c>
      <c r="H28" s="62">
        <f>PRODUCT(0.14,F28)</f>
        <v>6143.4338000000007</v>
      </c>
      <c r="I28" s="363">
        <f t="shared" si="0"/>
        <v>50025.103799999997</v>
      </c>
      <c r="J28" s="364"/>
    </row>
    <row r="29" spans="1:10" ht="15" x14ac:dyDescent="0.25">
      <c r="A29" s="376" t="s">
        <v>125</v>
      </c>
      <c r="B29" s="377"/>
      <c r="C29" s="378"/>
      <c r="D29" s="70">
        <v>0</v>
      </c>
      <c r="E29" s="71">
        <f>E28*1.5</f>
        <v>65.822505000000007</v>
      </c>
      <c r="F29" s="72">
        <f>PRODUCT(D29,E29)</f>
        <v>0</v>
      </c>
      <c r="G29" s="73">
        <v>14</v>
      </c>
      <c r="H29" s="70">
        <f>PRODUCT(0.14,F29)</f>
        <v>0</v>
      </c>
      <c r="I29" s="379">
        <f t="shared" si="0"/>
        <v>0</v>
      </c>
      <c r="J29" s="380"/>
    </row>
    <row r="30" spans="1:10" ht="15" x14ac:dyDescent="0.25">
      <c r="A30" s="365" t="s">
        <v>126</v>
      </c>
      <c r="B30" s="366"/>
      <c r="C30" s="367"/>
      <c r="D30" s="62"/>
      <c r="E30" s="74"/>
      <c r="F30" s="68">
        <v>841</v>
      </c>
      <c r="G30">
        <v>20</v>
      </c>
      <c r="H30" s="75">
        <f>PRODUCT(F30,0.2)</f>
        <v>168.20000000000002</v>
      </c>
      <c r="I30" s="363">
        <f>SUM(H30,F30)</f>
        <v>1009.2</v>
      </c>
      <c r="J30" s="364"/>
    </row>
    <row r="31" spans="1:10" ht="15.75" thickBot="1" x14ac:dyDescent="0.3">
      <c r="A31" s="368" t="s">
        <v>127</v>
      </c>
      <c r="B31" s="369"/>
      <c r="C31" s="370"/>
      <c r="D31" s="76"/>
      <c r="E31" s="77"/>
      <c r="F31" s="68">
        <v>1492</v>
      </c>
      <c r="G31" s="65">
        <v>7</v>
      </c>
      <c r="H31" s="78">
        <f>PRODUCT(F31,0.07)</f>
        <v>104.44000000000001</v>
      </c>
      <c r="I31" s="363">
        <f t="shared" si="0"/>
        <v>1596.44</v>
      </c>
      <c r="J31" s="364"/>
    </row>
    <row r="32" spans="1:10" ht="21" x14ac:dyDescent="0.2">
      <c r="A32" s="371" t="s">
        <v>128</v>
      </c>
      <c r="B32" s="372"/>
      <c r="C32" s="372"/>
      <c r="D32" s="372"/>
      <c r="E32" s="372"/>
      <c r="F32" s="79">
        <f>SUM(F25:F31)</f>
        <v>435638.13629999995</v>
      </c>
      <c r="G32" s="80"/>
      <c r="H32" s="81"/>
      <c r="I32" s="375">
        <f>SUM(I25:J31)</f>
        <v>496573.49538199999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2"/>
      <c r="G33" s="83"/>
      <c r="H33" s="84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R18" sqref="R1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00" t="s">
        <v>129</v>
      </c>
      <c r="D1" s="301"/>
      <c r="E1" s="301"/>
      <c r="F1" s="301"/>
      <c r="G1" s="301"/>
      <c r="H1" s="306" t="s">
        <v>86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87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88</v>
      </c>
      <c r="B7" s="318"/>
      <c r="C7" s="319" t="s">
        <v>89</v>
      </c>
      <c r="D7" s="320"/>
      <c r="E7" s="56" t="s">
        <v>90</v>
      </c>
      <c r="F7" s="56" t="s">
        <v>91</v>
      </c>
      <c r="G7" s="56" t="s">
        <v>92</v>
      </c>
      <c r="H7" s="56" t="s">
        <v>93</v>
      </c>
      <c r="I7" s="321" t="s">
        <v>94</v>
      </c>
      <c r="J7" s="322"/>
    </row>
    <row r="8" spans="1:10" x14ac:dyDescent="0.2">
      <c r="A8" s="323">
        <v>95670781</v>
      </c>
      <c r="B8" s="323"/>
      <c r="C8" s="324">
        <v>44902</v>
      </c>
      <c r="D8" s="325"/>
      <c r="E8" s="108">
        <v>44903</v>
      </c>
      <c r="F8" s="156" t="s">
        <v>130</v>
      </c>
      <c r="G8" s="57"/>
      <c r="H8" s="57"/>
      <c r="I8" s="326"/>
      <c r="J8" s="327"/>
    </row>
    <row r="10" spans="1:10" ht="23.25" customHeight="1" thickBot="1" x14ac:dyDescent="0.25"/>
    <row r="11" spans="1:10" ht="24.75" customHeight="1" thickTop="1" x14ac:dyDescent="0.2">
      <c r="A11" s="328" t="s">
        <v>96</v>
      </c>
      <c r="B11" s="328"/>
      <c r="C11" s="329" t="s">
        <v>97</v>
      </c>
      <c r="D11" s="330"/>
      <c r="E11" s="328" t="s">
        <v>98</v>
      </c>
      <c r="F11" s="328"/>
      <c r="G11" s="329" t="s">
        <v>99</v>
      </c>
      <c r="H11" s="330"/>
      <c r="I11" s="331" t="s">
        <v>100</v>
      </c>
      <c r="J11" s="331"/>
    </row>
    <row r="12" spans="1:10" x14ac:dyDescent="0.2">
      <c r="A12" s="323" t="s">
        <v>101</v>
      </c>
      <c r="B12" s="323"/>
      <c r="C12" s="323">
        <v>3750</v>
      </c>
      <c r="D12" s="323"/>
      <c r="E12" s="323">
        <v>1000</v>
      </c>
      <c r="F12" s="323"/>
      <c r="G12" s="335">
        <v>1282</v>
      </c>
      <c r="H12" s="335"/>
      <c r="I12" s="336"/>
      <c r="J12" s="336"/>
    </row>
    <row r="13" spans="1:10" x14ac:dyDescent="0.2">
      <c r="A13" s="337"/>
      <c r="B13" s="338"/>
      <c r="C13" s="338"/>
      <c r="D13" s="338"/>
      <c r="E13" s="338"/>
      <c r="F13" s="338"/>
      <c r="G13" s="338"/>
      <c r="H13" s="338"/>
      <c r="I13" s="338"/>
      <c r="J13" s="338"/>
    </row>
    <row r="15" spans="1:10" ht="13.5" thickBot="1" x14ac:dyDescent="0.25"/>
    <row r="16" spans="1:10" ht="26.25" thickTop="1" x14ac:dyDescent="0.2">
      <c r="A16" s="328" t="s">
        <v>102</v>
      </c>
      <c r="B16" s="328"/>
      <c r="C16" s="58" t="s">
        <v>103</v>
      </c>
      <c r="D16" s="59" t="s">
        <v>104</v>
      </c>
      <c r="E16" s="59" t="s">
        <v>47</v>
      </c>
      <c r="F16" s="59" t="s">
        <v>105</v>
      </c>
      <c r="G16" s="332" t="s">
        <v>106</v>
      </c>
      <c r="H16" s="332"/>
      <c r="I16" s="333" t="s">
        <v>107</v>
      </c>
      <c r="J16" s="334"/>
    </row>
    <row r="17" spans="1:10" x14ac:dyDescent="0.2">
      <c r="A17" s="339" t="s">
        <v>108</v>
      </c>
      <c r="B17" s="340"/>
      <c r="C17" s="61">
        <v>21867730</v>
      </c>
      <c r="D17" s="61">
        <v>21860877</v>
      </c>
      <c r="E17" s="62">
        <f>MIN(C17-D17)</f>
        <v>6853</v>
      </c>
      <c r="F17" s="62">
        <f>+E17</f>
        <v>6853</v>
      </c>
      <c r="G17" s="341"/>
      <c r="H17" s="342"/>
      <c r="I17" s="341">
        <f>+E17</f>
        <v>6853</v>
      </c>
      <c r="J17" s="342"/>
    </row>
    <row r="18" spans="1:10" x14ac:dyDescent="0.2">
      <c r="A18" s="339" t="s">
        <v>109</v>
      </c>
      <c r="B18" s="340"/>
      <c r="C18" s="61">
        <v>12801571</v>
      </c>
      <c r="D18" s="61">
        <v>12797614</v>
      </c>
      <c r="E18" s="62">
        <f>MIN(C18-D18)</f>
        <v>3957</v>
      </c>
      <c r="F18" s="62">
        <f>+E18</f>
        <v>3957</v>
      </c>
      <c r="G18" s="341"/>
      <c r="H18" s="342"/>
      <c r="I18" s="341">
        <f>+E18</f>
        <v>3957</v>
      </c>
      <c r="J18" s="342"/>
    </row>
    <row r="19" spans="1:10" x14ac:dyDescent="0.2">
      <c r="A19" s="339" t="s">
        <v>110</v>
      </c>
      <c r="B19" s="340"/>
      <c r="C19" s="61">
        <v>9587915</v>
      </c>
      <c r="D19" s="61">
        <v>9584798</v>
      </c>
      <c r="E19" s="62">
        <f>AVERAGE(C19-D19)</f>
        <v>3117</v>
      </c>
      <c r="F19" s="62">
        <f>+E19</f>
        <v>3117</v>
      </c>
      <c r="G19" s="341"/>
      <c r="H19" s="342"/>
      <c r="I19" s="341">
        <f>+E19</f>
        <v>3117</v>
      </c>
      <c r="J19" s="342"/>
    </row>
    <row r="20" spans="1:10" ht="15" x14ac:dyDescent="0.25">
      <c r="A20" s="343" t="s">
        <v>111</v>
      </c>
      <c r="B20" s="344"/>
      <c r="C20" s="63"/>
      <c r="D20" s="64"/>
      <c r="E20" s="63">
        <f>SUM(E17:E19)</f>
        <v>13927</v>
      </c>
      <c r="F20" s="65"/>
      <c r="G20" s="345"/>
      <c r="H20" s="346"/>
      <c r="I20" s="345"/>
      <c r="J20" s="346"/>
    </row>
    <row r="21" spans="1:10" x14ac:dyDescent="0.2">
      <c r="C21" s="105" t="s">
        <v>18</v>
      </c>
      <c r="D21" t="s">
        <v>112</v>
      </c>
      <c r="G21" s="347"/>
      <c r="H21" s="347"/>
    </row>
    <row r="22" spans="1:10" ht="13.5" thickBot="1" x14ac:dyDescent="0.25">
      <c r="G22" s="348"/>
      <c r="H22" s="348"/>
    </row>
    <row r="23" spans="1:10" ht="13.5" thickTop="1" x14ac:dyDescent="0.2">
      <c r="A23" s="349" t="s">
        <v>113</v>
      </c>
      <c r="B23" s="350"/>
      <c r="C23" s="351"/>
      <c r="D23" s="328" t="s">
        <v>114</v>
      </c>
      <c r="E23" s="328" t="s">
        <v>115</v>
      </c>
      <c r="F23" s="356" t="s">
        <v>116</v>
      </c>
      <c r="G23" s="358" t="s">
        <v>117</v>
      </c>
      <c r="H23" s="358"/>
      <c r="I23" s="359" t="s">
        <v>118</v>
      </c>
      <c r="J23" s="359"/>
    </row>
    <row r="24" spans="1:10" x14ac:dyDescent="0.2">
      <c r="A24" s="352"/>
      <c r="B24" s="353"/>
      <c r="C24" s="354"/>
      <c r="D24" s="355"/>
      <c r="E24" s="355"/>
      <c r="F24" s="357"/>
      <c r="G24" s="157" t="s">
        <v>119</v>
      </c>
      <c r="H24" s="66" t="s">
        <v>120</v>
      </c>
      <c r="I24" s="359"/>
      <c r="J24" s="359"/>
    </row>
    <row r="25" spans="1:10" ht="15" x14ac:dyDescent="0.25">
      <c r="A25" s="360" t="s">
        <v>121</v>
      </c>
      <c r="B25" s="361"/>
      <c r="C25" s="362"/>
      <c r="D25" s="62">
        <f>+E17</f>
        <v>6853</v>
      </c>
      <c r="E25" s="67">
        <v>0.95140000000000002</v>
      </c>
      <c r="F25" s="68">
        <f>PRODUCT(D25*E25)</f>
        <v>6519.9441999999999</v>
      </c>
      <c r="G25" s="144">
        <v>14</v>
      </c>
      <c r="H25" s="60">
        <f>PRODUCT(0.14,F25)</f>
        <v>912.79218800000012</v>
      </c>
      <c r="I25" s="363">
        <f>SUM(H25,F25)</f>
        <v>7432.7363880000003</v>
      </c>
      <c r="J25" s="364"/>
    </row>
    <row r="26" spans="1:10" ht="15" x14ac:dyDescent="0.25">
      <c r="A26" s="365" t="s">
        <v>122</v>
      </c>
      <c r="B26" s="366"/>
      <c r="C26" s="367"/>
      <c r="D26" s="62">
        <f>+E18</f>
        <v>3957</v>
      </c>
      <c r="E26" s="69">
        <v>0.69850000000000001</v>
      </c>
      <c r="F26" s="68">
        <f>PRODUCT(D26*E26)</f>
        <v>2763.9645</v>
      </c>
      <c r="G26">
        <v>14</v>
      </c>
      <c r="H26" s="62">
        <f>PRODUCT(0.14,F26)</f>
        <v>386.95503000000002</v>
      </c>
      <c r="I26" s="363">
        <f t="shared" ref="I26:I31" si="0">SUM(H26,F26)</f>
        <v>3150.9195300000001</v>
      </c>
      <c r="J26" s="364"/>
    </row>
    <row r="27" spans="1:10" ht="15" x14ac:dyDescent="0.25">
      <c r="A27" s="365" t="s">
        <v>123</v>
      </c>
      <c r="B27" s="366"/>
      <c r="C27" s="367"/>
      <c r="D27" s="62">
        <f>+E19</f>
        <v>3117</v>
      </c>
      <c r="E27" s="69">
        <v>1.3304</v>
      </c>
      <c r="F27" s="68">
        <f>PRODUCT(D27*E27)</f>
        <v>4146.8568000000005</v>
      </c>
      <c r="G27">
        <v>14</v>
      </c>
      <c r="H27" s="62">
        <f>PRODUCT(0.14,F27)</f>
        <v>580.55995200000007</v>
      </c>
      <c r="I27" s="363">
        <f>SUM(H27,F27)</f>
        <v>4727.416752000001</v>
      </c>
      <c r="J27" s="364"/>
    </row>
    <row r="28" spans="1:10" ht="15" x14ac:dyDescent="0.25">
      <c r="A28" s="365" t="s">
        <v>124</v>
      </c>
      <c r="B28" s="366"/>
      <c r="C28" s="367"/>
      <c r="D28" s="62">
        <v>1000</v>
      </c>
      <c r="E28" s="69">
        <v>43.88167</v>
      </c>
      <c r="F28" s="68">
        <f>PRODUCT(D28,E28)</f>
        <v>43881.67</v>
      </c>
      <c r="G28">
        <v>14</v>
      </c>
      <c r="H28" s="62">
        <f>PRODUCT(0.14,F28)</f>
        <v>6143.4338000000007</v>
      </c>
      <c r="I28" s="363">
        <f t="shared" si="0"/>
        <v>50025.103799999997</v>
      </c>
      <c r="J28" s="364"/>
    </row>
    <row r="29" spans="1:10" ht="15" x14ac:dyDescent="0.25">
      <c r="A29" s="376" t="s">
        <v>125</v>
      </c>
      <c r="B29" s="377"/>
      <c r="C29" s="378"/>
      <c r="D29" s="70">
        <v>0</v>
      </c>
      <c r="E29" s="71">
        <v>48.972490000000001</v>
      </c>
      <c r="F29" s="72">
        <f>PRODUCT(D29,E29)</f>
        <v>0</v>
      </c>
      <c r="G29" s="73">
        <v>14</v>
      </c>
      <c r="H29" s="70">
        <f>PRODUCT(0.14,F29)</f>
        <v>0</v>
      </c>
      <c r="I29" s="379">
        <f t="shared" si="0"/>
        <v>0</v>
      </c>
      <c r="J29" s="380"/>
    </row>
    <row r="30" spans="1:10" ht="15" x14ac:dyDescent="0.25">
      <c r="A30" s="365" t="s">
        <v>126</v>
      </c>
      <c r="B30" s="366"/>
      <c r="C30" s="367"/>
      <c r="D30" s="62"/>
      <c r="E30" s="74"/>
      <c r="F30" s="68">
        <v>841</v>
      </c>
      <c r="G30">
        <v>20</v>
      </c>
      <c r="H30" s="75">
        <f>PRODUCT(F30,0.2)</f>
        <v>168.20000000000002</v>
      </c>
      <c r="I30" s="363">
        <f>SUM(H30,F30)</f>
        <v>1009.2</v>
      </c>
      <c r="J30" s="364"/>
    </row>
    <row r="31" spans="1:10" ht="15.75" thickBot="1" x14ac:dyDescent="0.3">
      <c r="A31" s="368" t="s">
        <v>127</v>
      </c>
      <c r="B31" s="369"/>
      <c r="C31" s="370"/>
      <c r="D31" s="76"/>
      <c r="E31" s="77"/>
      <c r="F31" s="68">
        <v>1492</v>
      </c>
      <c r="G31" s="65">
        <v>7</v>
      </c>
      <c r="H31" s="78">
        <f>PRODUCT(F31,0.07)</f>
        <v>104.44000000000001</v>
      </c>
      <c r="I31" s="363">
        <f t="shared" si="0"/>
        <v>1596.44</v>
      </c>
      <c r="J31" s="364"/>
    </row>
    <row r="32" spans="1:10" ht="21" x14ac:dyDescent="0.2">
      <c r="A32" s="371" t="s">
        <v>128</v>
      </c>
      <c r="B32" s="372"/>
      <c r="C32" s="372"/>
      <c r="D32" s="372"/>
      <c r="E32" s="372"/>
      <c r="F32" s="79">
        <f>SUM(F25:F31)</f>
        <v>59645.4355</v>
      </c>
      <c r="G32" s="80"/>
      <c r="H32" s="81"/>
      <c r="I32" s="375">
        <f>SUM(I25:J31)</f>
        <v>67941.816470000005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2"/>
      <c r="G33" s="83"/>
      <c r="H33" s="84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9" sqref="K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131</v>
      </c>
      <c r="C1" s="301"/>
      <c r="D1" s="301"/>
      <c r="E1" s="301"/>
      <c r="F1" s="384" t="s">
        <v>86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87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87" t="s">
        <v>88</v>
      </c>
      <c r="B7" s="87" t="s">
        <v>132</v>
      </c>
      <c r="C7" s="87" t="s">
        <v>133</v>
      </c>
      <c r="D7" s="89" t="s">
        <v>89</v>
      </c>
      <c r="E7" s="87" t="s">
        <v>134</v>
      </c>
      <c r="F7" s="89" t="s">
        <v>90</v>
      </c>
      <c r="G7" s="89" t="s">
        <v>135</v>
      </c>
      <c r="H7" s="88" t="s">
        <v>91</v>
      </c>
    </row>
    <row r="8" spans="1:8" ht="15" x14ac:dyDescent="0.25">
      <c r="A8" s="158"/>
      <c r="B8" s="90" t="s">
        <v>136</v>
      </c>
      <c r="C8" s="91">
        <v>176437</v>
      </c>
      <c r="D8" s="92">
        <v>44166</v>
      </c>
      <c r="E8" s="91">
        <v>180444</v>
      </c>
      <c r="F8" s="92">
        <v>44562</v>
      </c>
      <c r="G8" s="93">
        <f>E8-C8</f>
        <v>4007</v>
      </c>
      <c r="H8" s="94"/>
    </row>
    <row r="9" spans="1:8" ht="36" customHeight="1" x14ac:dyDescent="0.25">
      <c r="A9" s="95"/>
      <c r="B9" s="95"/>
      <c r="C9" s="95"/>
      <c r="D9" s="95"/>
      <c r="E9" s="95"/>
      <c r="F9" s="95"/>
      <c r="G9" s="95"/>
      <c r="H9" s="95"/>
    </row>
    <row r="10" spans="1:8" ht="15" x14ac:dyDescent="0.25">
      <c r="A10" s="96"/>
      <c r="B10" s="393" t="s">
        <v>114</v>
      </c>
      <c r="C10" s="394"/>
      <c r="D10" s="395" t="s">
        <v>137</v>
      </c>
      <c r="E10" s="395"/>
      <c r="F10" s="393" t="s">
        <v>138</v>
      </c>
      <c r="G10" s="396"/>
      <c r="H10" s="394"/>
    </row>
    <row r="11" spans="1:8" ht="15" x14ac:dyDescent="0.25">
      <c r="A11" s="97" t="s">
        <v>139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398" t="s">
        <v>140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97" t="s">
        <v>141</v>
      </c>
      <c r="B13" s="397">
        <f>G8</f>
        <v>4007</v>
      </c>
      <c r="C13" s="397"/>
      <c r="D13" s="397">
        <v>8.7899999999999991</v>
      </c>
      <c r="E13" s="397"/>
      <c r="F13" s="399">
        <f>PRODUCT(D13,B13)</f>
        <v>35221.53</v>
      </c>
      <c r="G13" s="399"/>
      <c r="H13" s="399"/>
    </row>
    <row r="14" spans="1:8" ht="45" customHeight="1" x14ac:dyDescent="0.2">
      <c r="A14" s="400" t="s">
        <v>142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98" t="s">
        <v>143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98" t="s">
        <v>144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98" t="s">
        <v>145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98" t="s">
        <v>146</v>
      </c>
      <c r="B19" s="397">
        <f>G8</f>
        <v>4007</v>
      </c>
      <c r="C19" s="397"/>
      <c r="D19" s="397">
        <v>2.61</v>
      </c>
      <c r="E19" s="397"/>
      <c r="F19" s="397">
        <f>PRODUCT(D19,B19)</f>
        <v>10458.269999999999</v>
      </c>
      <c r="G19" s="397"/>
      <c r="H19" s="397"/>
    </row>
    <row r="20" spans="1:8" ht="18.75" x14ac:dyDescent="0.3">
      <c r="A20" s="413" t="s">
        <v>147</v>
      </c>
      <c r="B20" s="414"/>
      <c r="C20" s="414"/>
      <c r="D20" s="414"/>
      <c r="E20" s="415"/>
      <c r="F20" s="416">
        <f>SUM(F11+F13+F16+F17+F18+F19)</f>
        <v>45702.799999999996</v>
      </c>
      <c r="G20" s="416"/>
      <c r="H20" s="416"/>
    </row>
    <row r="21" spans="1:8" ht="15" x14ac:dyDescent="0.25">
      <c r="A21" s="402" t="s">
        <v>148</v>
      </c>
      <c r="B21" s="403"/>
      <c r="C21" s="403"/>
      <c r="D21" s="403"/>
      <c r="E21" s="404"/>
      <c r="F21" s="397">
        <f>PRODUCT(F20,0.07)</f>
        <v>3199.1959999999999</v>
      </c>
      <c r="G21" s="397"/>
      <c r="H21" s="397"/>
    </row>
    <row r="22" spans="1:8" ht="15" x14ac:dyDescent="0.25">
      <c r="A22" s="417" t="s">
        <v>149</v>
      </c>
      <c r="B22" s="418"/>
      <c r="C22" s="418"/>
      <c r="D22" s="418"/>
      <c r="E22" s="419"/>
      <c r="F22" s="397">
        <v>208.26</v>
      </c>
      <c r="G22" s="397"/>
      <c r="H22" s="397"/>
    </row>
    <row r="23" spans="1:8" ht="15.75" x14ac:dyDescent="0.25">
      <c r="A23" s="402" t="s">
        <v>150</v>
      </c>
      <c r="B23" s="403"/>
      <c r="C23" s="403"/>
      <c r="D23" s="403"/>
      <c r="E23" s="404"/>
      <c r="F23" s="405">
        <f>SUM(F21:H22)</f>
        <v>3407.4560000000001</v>
      </c>
      <c r="G23" s="405"/>
      <c r="H23" s="405"/>
    </row>
    <row r="24" spans="1:8" x14ac:dyDescent="0.2">
      <c r="A24" s="406" t="s">
        <v>151</v>
      </c>
      <c r="B24" s="407"/>
      <c r="C24" s="407"/>
      <c r="D24" s="407"/>
      <c r="E24" s="408"/>
      <c r="F24" s="412">
        <f>SUM(F20,F23)</f>
        <v>49110.255999999994</v>
      </c>
      <c r="G24" s="412"/>
      <c r="H24" s="412"/>
    </row>
    <row r="25" spans="1:8" x14ac:dyDescent="0.2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131</v>
      </c>
      <c r="C1" s="301"/>
      <c r="D1" s="301"/>
      <c r="E1" s="301"/>
      <c r="F1" s="384" t="s">
        <v>86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87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87" t="s">
        <v>88</v>
      </c>
      <c r="B7" s="87" t="s">
        <v>132</v>
      </c>
      <c r="C7" s="87" t="s">
        <v>133</v>
      </c>
      <c r="D7" s="89" t="s">
        <v>89</v>
      </c>
      <c r="E7" s="87" t="s">
        <v>134</v>
      </c>
      <c r="F7" s="89" t="s">
        <v>90</v>
      </c>
      <c r="G7" s="89" t="s">
        <v>135</v>
      </c>
      <c r="H7" s="88" t="s">
        <v>91</v>
      </c>
    </row>
    <row r="8" spans="1:8" ht="15" x14ac:dyDescent="0.25">
      <c r="A8" s="158"/>
      <c r="B8" s="90" t="s">
        <v>136</v>
      </c>
      <c r="C8" s="91">
        <v>0</v>
      </c>
      <c r="D8" s="92">
        <v>44535</v>
      </c>
      <c r="E8" s="91">
        <v>0</v>
      </c>
      <c r="F8" s="92">
        <v>44901</v>
      </c>
      <c r="G8" s="93">
        <f>E8-C8</f>
        <v>0</v>
      </c>
      <c r="H8" s="94"/>
    </row>
    <row r="9" spans="1:8" ht="36" customHeight="1" x14ac:dyDescent="0.25">
      <c r="A9" s="95"/>
      <c r="B9" s="95"/>
      <c r="C9" s="95"/>
      <c r="D9" s="95"/>
      <c r="E9" s="95"/>
      <c r="F9" s="95"/>
      <c r="G9" s="95"/>
      <c r="H9" s="95"/>
    </row>
    <row r="10" spans="1:8" ht="15" x14ac:dyDescent="0.25">
      <c r="A10" s="96"/>
      <c r="B10" s="393" t="s">
        <v>114</v>
      </c>
      <c r="C10" s="394"/>
      <c r="D10" s="395" t="s">
        <v>137</v>
      </c>
      <c r="E10" s="395"/>
      <c r="F10" s="393" t="s">
        <v>138</v>
      </c>
      <c r="G10" s="396"/>
      <c r="H10" s="394"/>
    </row>
    <row r="11" spans="1:8" ht="15" x14ac:dyDescent="0.25">
      <c r="A11" s="97" t="s">
        <v>139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398" t="s">
        <v>140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97" t="s">
        <v>141</v>
      </c>
      <c r="B13" s="397">
        <f>G8</f>
        <v>0</v>
      </c>
      <c r="C13" s="397"/>
      <c r="D13" s="397">
        <v>8.5</v>
      </c>
      <c r="E13" s="397"/>
      <c r="F13" s="399">
        <f>PRODUCT(D13,B13)</f>
        <v>0</v>
      </c>
      <c r="G13" s="399"/>
      <c r="H13" s="399"/>
    </row>
    <row r="14" spans="1:8" ht="45" customHeight="1" x14ac:dyDescent="0.2">
      <c r="A14" s="400" t="s">
        <v>142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98" t="s">
        <v>143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98" t="s">
        <v>144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98" t="s">
        <v>145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98" t="s">
        <v>146</v>
      </c>
      <c r="B19" s="397">
        <v>0</v>
      </c>
      <c r="C19" s="397"/>
      <c r="D19" s="420">
        <v>0</v>
      </c>
      <c r="E19" s="421"/>
      <c r="F19" s="420">
        <v>0</v>
      </c>
      <c r="G19" s="421"/>
      <c r="H19" s="158"/>
    </row>
    <row r="20" spans="1:8" ht="15" x14ac:dyDescent="0.25">
      <c r="A20" s="98" t="s">
        <v>152</v>
      </c>
      <c r="B20" s="397">
        <f>G8</f>
        <v>0</v>
      </c>
      <c r="C20" s="397"/>
      <c r="D20" s="397">
        <v>2.54</v>
      </c>
      <c r="E20" s="397"/>
      <c r="F20" s="397">
        <f>PRODUCT(D20,B20)</f>
        <v>0</v>
      </c>
      <c r="G20" s="397"/>
      <c r="H20" s="397"/>
    </row>
    <row r="21" spans="1:8" ht="18.75" x14ac:dyDescent="0.3">
      <c r="A21" s="413" t="s">
        <v>147</v>
      </c>
      <c r="B21" s="414"/>
      <c r="C21" s="414"/>
      <c r="D21" s="414"/>
      <c r="E21" s="415"/>
      <c r="F21" s="416">
        <f>SUM(F11+F13+F16+F17+F18+F20)</f>
        <v>23</v>
      </c>
      <c r="G21" s="416"/>
      <c r="H21" s="416"/>
    </row>
    <row r="22" spans="1:8" ht="15" x14ac:dyDescent="0.25">
      <c r="A22" s="402" t="s">
        <v>148</v>
      </c>
      <c r="B22" s="403"/>
      <c r="C22" s="403"/>
      <c r="D22" s="403"/>
      <c r="E22" s="404"/>
      <c r="F22" s="397">
        <f>PRODUCT(F21,0.07)</f>
        <v>1.61</v>
      </c>
      <c r="G22" s="397"/>
      <c r="H22" s="397"/>
    </row>
    <row r="23" spans="1:8" ht="15" x14ac:dyDescent="0.25">
      <c r="A23" s="417" t="s">
        <v>149</v>
      </c>
      <c r="B23" s="418"/>
      <c r="C23" s="418"/>
      <c r="D23" s="418"/>
      <c r="E23" s="419"/>
      <c r="F23" s="397">
        <v>208.26</v>
      </c>
      <c r="G23" s="397"/>
      <c r="H23" s="397"/>
    </row>
    <row r="24" spans="1:8" ht="15.75" x14ac:dyDescent="0.25">
      <c r="A24" s="402" t="s">
        <v>150</v>
      </c>
      <c r="B24" s="403"/>
      <c r="C24" s="403"/>
      <c r="D24" s="403"/>
      <c r="E24" s="404"/>
      <c r="F24" s="405">
        <f>SUM(F22:H23)</f>
        <v>209.87</v>
      </c>
      <c r="G24" s="405"/>
      <c r="H24" s="405"/>
    </row>
    <row r="25" spans="1:8" x14ac:dyDescent="0.2">
      <c r="A25" s="406" t="s">
        <v>151</v>
      </c>
      <c r="B25" s="407"/>
      <c r="C25" s="407"/>
      <c r="D25" s="407"/>
      <c r="E25" s="408"/>
      <c r="F25" s="412">
        <f>SUM(F21,F24)</f>
        <v>232.87</v>
      </c>
      <c r="G25" s="412"/>
      <c r="H25" s="412"/>
    </row>
    <row r="26" spans="1:8" x14ac:dyDescent="0.2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153</v>
      </c>
      <c r="C1" s="301"/>
      <c r="D1" s="301"/>
      <c r="E1" s="301"/>
      <c r="F1" s="384" t="s">
        <v>86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87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87" t="s">
        <v>88</v>
      </c>
      <c r="B7" s="87" t="s">
        <v>132</v>
      </c>
      <c r="C7" s="87" t="s">
        <v>133</v>
      </c>
      <c r="D7" s="89" t="s">
        <v>89</v>
      </c>
      <c r="E7" s="87" t="s">
        <v>134</v>
      </c>
      <c r="F7" s="89" t="s">
        <v>90</v>
      </c>
      <c r="G7" s="89" t="s">
        <v>135</v>
      </c>
      <c r="H7" s="88" t="s">
        <v>91</v>
      </c>
    </row>
    <row r="8" spans="1:8" ht="15" x14ac:dyDescent="0.25">
      <c r="A8" s="158"/>
      <c r="B8" s="90" t="s">
        <v>136</v>
      </c>
      <c r="C8" s="91">
        <v>2594</v>
      </c>
      <c r="D8" s="92">
        <v>44901</v>
      </c>
      <c r="E8" s="91">
        <v>2594</v>
      </c>
      <c r="F8" s="92">
        <v>44902</v>
      </c>
      <c r="G8" s="93">
        <f>E8-C8</f>
        <v>0</v>
      </c>
      <c r="H8" s="94"/>
    </row>
    <row r="9" spans="1:8" ht="36" customHeight="1" x14ac:dyDescent="0.25">
      <c r="A9" s="95"/>
      <c r="B9" s="95"/>
      <c r="C9" s="95"/>
      <c r="D9" s="95"/>
      <c r="E9" s="95"/>
      <c r="F9" s="95"/>
      <c r="G9" s="95"/>
      <c r="H9" s="95"/>
    </row>
    <row r="10" spans="1:8" ht="15" x14ac:dyDescent="0.25">
      <c r="A10" s="96"/>
      <c r="B10" s="393" t="s">
        <v>114</v>
      </c>
      <c r="C10" s="394"/>
      <c r="D10" s="395" t="s">
        <v>137</v>
      </c>
      <c r="E10" s="395"/>
      <c r="F10" s="393" t="s">
        <v>138</v>
      </c>
      <c r="G10" s="396"/>
      <c r="H10" s="394"/>
    </row>
    <row r="11" spans="1:8" ht="15" x14ac:dyDescent="0.25">
      <c r="A11" s="97" t="s">
        <v>139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398" t="s">
        <v>140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97" t="s">
        <v>154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 x14ac:dyDescent="0.25">
      <c r="A14" s="97" t="s">
        <v>155</v>
      </c>
      <c r="B14" s="420"/>
      <c r="C14" s="421"/>
      <c r="D14" s="420"/>
      <c r="E14" s="421"/>
      <c r="F14" s="420"/>
      <c r="G14" s="421"/>
      <c r="H14" s="106"/>
    </row>
    <row r="15" spans="1:8" ht="15" x14ac:dyDescent="0.25">
      <c r="A15" s="97" t="s">
        <v>156</v>
      </c>
      <c r="B15" s="420"/>
      <c r="C15" s="421"/>
      <c r="D15" s="420"/>
      <c r="E15" s="421"/>
      <c r="F15" s="420"/>
      <c r="G15" s="421"/>
      <c r="H15" s="106"/>
    </row>
    <row r="16" spans="1:8" ht="15" x14ac:dyDescent="0.25">
      <c r="A16" s="97" t="s">
        <v>157</v>
      </c>
      <c r="B16" s="420"/>
      <c r="C16" s="421"/>
      <c r="D16" s="420"/>
      <c r="E16" s="421"/>
      <c r="F16" s="420"/>
      <c r="G16" s="421"/>
      <c r="H16" s="106"/>
    </row>
    <row r="17" spans="1:8" ht="15" x14ac:dyDescent="0.25">
      <c r="A17" s="97" t="s">
        <v>158</v>
      </c>
      <c r="B17" s="420"/>
      <c r="C17" s="421"/>
      <c r="D17" s="420"/>
      <c r="E17" s="421"/>
      <c r="F17" s="420"/>
      <c r="G17" s="421"/>
      <c r="H17" s="106"/>
    </row>
    <row r="18" spans="1:8" ht="45" customHeight="1" x14ac:dyDescent="0.2">
      <c r="A18" s="400" t="s">
        <v>142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98" t="s">
        <v>143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98" t="s">
        <v>144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98" t="s">
        <v>145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98" t="s">
        <v>146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98" t="s">
        <v>152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58"/>
    </row>
    <row r="25" spans="1:8" ht="18.75" x14ac:dyDescent="0.3">
      <c r="A25" s="413" t="s">
        <v>147</v>
      </c>
      <c r="B25" s="414"/>
      <c r="C25" s="414"/>
      <c r="D25" s="414"/>
      <c r="E25" s="415"/>
      <c r="F25" s="422">
        <f>SUM(F11+F13+F20+F21+F22+F23)</f>
        <v>15</v>
      </c>
      <c r="G25" s="416"/>
      <c r="H25" s="416"/>
    </row>
    <row r="26" spans="1:8" ht="15" x14ac:dyDescent="0.25">
      <c r="A26" s="402" t="s">
        <v>148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 x14ac:dyDescent="0.25">
      <c r="A27" s="417" t="s">
        <v>149</v>
      </c>
      <c r="B27" s="418"/>
      <c r="C27" s="418"/>
      <c r="D27" s="418"/>
      <c r="E27" s="419"/>
      <c r="F27" s="397">
        <v>2.4300000000000002</v>
      </c>
      <c r="G27" s="397"/>
      <c r="H27" s="397"/>
    </row>
    <row r="28" spans="1:8" ht="15.75" x14ac:dyDescent="0.25">
      <c r="A28" s="402" t="s">
        <v>150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 x14ac:dyDescent="0.2">
      <c r="A29" s="406" t="s">
        <v>151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 x14ac:dyDescent="0.2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O41" sqref="O41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159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0" t="s">
        <v>160</v>
      </c>
      <c r="D7" s="100" t="s">
        <v>161</v>
      </c>
      <c r="E7" s="100" t="s">
        <v>162</v>
      </c>
      <c r="F7" s="100" t="s">
        <v>163</v>
      </c>
      <c r="G7" s="100" t="s">
        <v>164</v>
      </c>
      <c r="H7" s="100" t="s">
        <v>165</v>
      </c>
      <c r="I7" s="100" t="s">
        <v>166</v>
      </c>
      <c r="J7" s="100" t="s">
        <v>167</v>
      </c>
      <c r="K7" s="100" t="s">
        <v>168</v>
      </c>
      <c r="L7" s="100" t="s">
        <v>169</v>
      </c>
      <c r="M7" s="100" t="s">
        <v>170</v>
      </c>
      <c r="N7" s="100" t="s">
        <v>171</v>
      </c>
    </row>
    <row r="8" spans="2:14" ht="32.25" customHeight="1" x14ac:dyDescent="0.2">
      <c r="B8" s="101" t="s">
        <v>172</v>
      </c>
      <c r="C8" s="429"/>
      <c r="D8" s="430"/>
      <c r="E8" s="430"/>
      <c r="F8" s="430"/>
      <c r="G8" s="430"/>
      <c r="H8" s="430"/>
      <c r="I8" s="430"/>
      <c r="J8" s="430"/>
      <c r="K8" s="431"/>
      <c r="L8" s="99">
        <v>544520</v>
      </c>
      <c r="M8" s="99">
        <v>561765</v>
      </c>
      <c r="N8" s="99">
        <v>546771</v>
      </c>
    </row>
    <row r="9" spans="2:14" ht="33" customHeight="1" x14ac:dyDescent="0.2">
      <c r="B9" s="102" t="s">
        <v>173</v>
      </c>
      <c r="C9" s="99">
        <v>564170</v>
      </c>
      <c r="D9" s="99">
        <v>532072</v>
      </c>
      <c r="E9" s="99">
        <v>405239</v>
      </c>
      <c r="F9" s="99">
        <v>469130</v>
      </c>
      <c r="G9" s="99">
        <v>543877</v>
      </c>
      <c r="H9" s="99">
        <v>605744</v>
      </c>
      <c r="I9" s="99">
        <v>722083</v>
      </c>
      <c r="J9" s="99">
        <v>802210</v>
      </c>
      <c r="K9" s="99">
        <v>762933</v>
      </c>
      <c r="L9" s="99">
        <v>670848</v>
      </c>
      <c r="M9" s="99">
        <v>626451</v>
      </c>
      <c r="N9" s="99">
        <v>557392</v>
      </c>
    </row>
    <row r="10" spans="2:14" ht="33" customHeight="1" x14ac:dyDescent="0.2">
      <c r="B10" s="107" t="s">
        <v>174</v>
      </c>
      <c r="C10" s="99">
        <v>520977</v>
      </c>
      <c r="D10" s="99">
        <v>541271</v>
      </c>
      <c r="E10" s="99">
        <v>508392</v>
      </c>
      <c r="F10" s="99">
        <v>659200</v>
      </c>
      <c r="G10" s="99">
        <v>705703</v>
      </c>
      <c r="H10" s="99">
        <v>784214</v>
      </c>
      <c r="I10" s="99">
        <v>823726</v>
      </c>
      <c r="J10" s="99">
        <v>913736</v>
      </c>
      <c r="K10" s="99">
        <v>831734</v>
      </c>
      <c r="L10" s="99">
        <v>794243</v>
      </c>
      <c r="M10" s="99">
        <v>688127</v>
      </c>
      <c r="N10" s="99">
        <v>577067</v>
      </c>
    </row>
    <row r="11" spans="2:14" ht="29.25" customHeight="1" x14ac:dyDescent="0.2">
      <c r="B11" s="103" t="s">
        <v>175</v>
      </c>
      <c r="C11" s="99">
        <v>586355</v>
      </c>
      <c r="D11" s="99">
        <v>563735</v>
      </c>
      <c r="E11" s="99">
        <v>512313</v>
      </c>
      <c r="F11" s="99">
        <v>573440</v>
      </c>
      <c r="G11" s="99">
        <v>535115</v>
      </c>
      <c r="H11" s="99">
        <v>570139</v>
      </c>
      <c r="I11" s="99">
        <v>669302</v>
      </c>
      <c r="J11" s="99">
        <v>704714</v>
      </c>
      <c r="K11" s="99">
        <v>682717</v>
      </c>
      <c r="L11" s="99">
        <v>581239</v>
      </c>
      <c r="M11" s="99">
        <v>438561</v>
      </c>
      <c r="N11" s="99">
        <v>400672</v>
      </c>
    </row>
    <row r="12" spans="2:14" ht="33.75" customHeight="1" x14ac:dyDescent="0.2">
      <c r="B12" s="113" t="s">
        <v>176</v>
      </c>
      <c r="C12" s="99">
        <v>388363</v>
      </c>
      <c r="D12" s="99">
        <v>407737</v>
      </c>
      <c r="E12" s="99">
        <v>392102</v>
      </c>
      <c r="F12" s="99">
        <v>454554</v>
      </c>
      <c r="G12" s="99">
        <v>448580</v>
      </c>
      <c r="H12" s="99">
        <v>535391</v>
      </c>
      <c r="I12" s="99">
        <v>549301</v>
      </c>
      <c r="J12" s="99">
        <v>576078</v>
      </c>
      <c r="K12" s="99">
        <v>612675</v>
      </c>
      <c r="L12" s="99">
        <v>542640</v>
      </c>
      <c r="M12" s="99">
        <v>507495</v>
      </c>
      <c r="N12" s="99">
        <v>444826</v>
      </c>
    </row>
    <row r="13" spans="2:14" ht="33.75" customHeight="1" x14ac:dyDescent="0.2">
      <c r="B13" s="141" t="s">
        <v>177</v>
      </c>
      <c r="C13" s="99">
        <v>417018</v>
      </c>
      <c r="D13" s="99">
        <v>434912</v>
      </c>
      <c r="E13" s="99">
        <v>278008</v>
      </c>
      <c r="F13" s="99">
        <v>90895</v>
      </c>
      <c r="G13" s="99">
        <v>70143</v>
      </c>
      <c r="H13" s="99">
        <v>76577</v>
      </c>
      <c r="I13" s="99">
        <v>238549</v>
      </c>
      <c r="J13" s="99">
        <v>371235</v>
      </c>
      <c r="K13" s="99">
        <v>295161</v>
      </c>
      <c r="L13" s="99">
        <v>318184</v>
      </c>
      <c r="M13" s="99">
        <v>297355</v>
      </c>
      <c r="N13" s="99">
        <v>260661</v>
      </c>
    </row>
    <row r="14" spans="2:14" ht="33.75" customHeight="1" x14ac:dyDescent="0.2">
      <c r="B14" s="143" t="s">
        <v>178</v>
      </c>
      <c r="C14" s="99">
        <v>239911</v>
      </c>
      <c r="D14" s="99">
        <v>247692</v>
      </c>
      <c r="E14" s="99">
        <v>242350</v>
      </c>
      <c r="F14" s="99">
        <v>282564</v>
      </c>
      <c r="G14" s="99">
        <v>272836</v>
      </c>
      <c r="H14" s="99">
        <v>362809</v>
      </c>
      <c r="I14" s="99">
        <v>454598</v>
      </c>
      <c r="J14" s="99">
        <v>470109</v>
      </c>
      <c r="K14" s="99">
        <v>458455</v>
      </c>
      <c r="L14" s="99">
        <v>444199</v>
      </c>
      <c r="M14" s="99">
        <v>374528</v>
      </c>
      <c r="N14" s="99">
        <v>256419</v>
      </c>
    </row>
    <row r="15" spans="2:14" ht="33.75" customHeight="1" x14ac:dyDescent="0.2">
      <c r="B15" s="162" t="s">
        <v>179</v>
      </c>
      <c r="C15" s="99">
        <v>206479</v>
      </c>
      <c r="D15" s="99">
        <v>244783</v>
      </c>
      <c r="E15" s="99">
        <v>316387</v>
      </c>
      <c r="F15" s="99">
        <v>353545</v>
      </c>
      <c r="G15" s="99">
        <v>452426</v>
      </c>
      <c r="H15" s="99">
        <v>581939</v>
      </c>
      <c r="I15" s="99">
        <v>601486</v>
      </c>
      <c r="J15" s="99">
        <v>639044</v>
      </c>
      <c r="K15" s="99"/>
      <c r="L15" s="99" t="s">
        <v>180</v>
      </c>
      <c r="M15" s="99"/>
      <c r="N15" s="99">
        <v>407006</v>
      </c>
    </row>
    <row r="16" spans="2:14" ht="21" thickBot="1" x14ac:dyDescent="0.35">
      <c r="C16" s="426" t="s">
        <v>181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x14ac:dyDescent="0.2">
      <c r="C18" s="100" t="s">
        <v>160</v>
      </c>
      <c r="D18" s="100" t="s">
        <v>161</v>
      </c>
      <c r="E18" s="100" t="s">
        <v>162</v>
      </c>
      <c r="F18" s="100" t="s">
        <v>163</v>
      </c>
      <c r="G18" s="100" t="s">
        <v>164</v>
      </c>
      <c r="H18" s="100" t="s">
        <v>165</v>
      </c>
      <c r="I18" s="100" t="s">
        <v>166</v>
      </c>
      <c r="J18" s="100" t="s">
        <v>167</v>
      </c>
      <c r="K18" s="100" t="s">
        <v>168</v>
      </c>
      <c r="L18" s="100" t="s">
        <v>169</v>
      </c>
      <c r="M18" s="100" t="s">
        <v>170</v>
      </c>
      <c r="N18" s="100" t="s">
        <v>171</v>
      </c>
    </row>
    <row r="19" spans="2:14" ht="28.5" customHeight="1" x14ac:dyDescent="0.2">
      <c r="B19" s="101" t="s">
        <v>172</v>
      </c>
      <c r="C19" s="429"/>
      <c r="D19" s="430"/>
      <c r="E19" s="430"/>
      <c r="F19" s="430"/>
      <c r="G19" s="430"/>
      <c r="H19" s="430"/>
      <c r="I19" s="430"/>
      <c r="J19" s="430"/>
      <c r="K19" s="431"/>
      <c r="L19" s="99">
        <v>527344.76260000002</v>
      </c>
      <c r="M19" s="99">
        <v>542887.95270000002</v>
      </c>
      <c r="N19" s="99">
        <v>530789.10450000002</v>
      </c>
    </row>
    <row r="20" spans="2:14" ht="26.25" customHeight="1" x14ac:dyDescent="0.2">
      <c r="B20" s="102" t="s">
        <v>173</v>
      </c>
      <c r="C20" s="99">
        <v>577599.26069999998</v>
      </c>
      <c r="D20" s="99">
        <v>549500.304</v>
      </c>
      <c r="E20" s="99">
        <v>437038.73300000001</v>
      </c>
      <c r="F20" s="99">
        <v>498381.28909999994</v>
      </c>
      <c r="G20" s="99">
        <v>567710.58700000006</v>
      </c>
      <c r="H20" s="99">
        <v>626665.41229999997</v>
      </c>
      <c r="I20" s="99">
        <v>732996.54229999997</v>
      </c>
      <c r="J20" s="99">
        <v>807380.11509999994</v>
      </c>
      <c r="K20" s="99">
        <v>765103.69790000003</v>
      </c>
      <c r="L20" s="99">
        <v>674808.60869999998</v>
      </c>
      <c r="M20" s="99">
        <v>636029.23249999993</v>
      </c>
      <c r="N20" s="99">
        <v>575999.90890000004</v>
      </c>
    </row>
    <row r="21" spans="2:14" ht="28.5" customHeight="1" x14ac:dyDescent="0.2">
      <c r="B21" s="107" t="s">
        <v>174</v>
      </c>
      <c r="C21" s="99">
        <v>565777.06310000003</v>
      </c>
      <c r="D21" s="99">
        <v>589465.87030000007</v>
      </c>
      <c r="E21" s="99">
        <v>559348.96649999998</v>
      </c>
      <c r="F21" s="99">
        <v>706566.82740000007</v>
      </c>
      <c r="G21" s="99">
        <v>750048.77370000002</v>
      </c>
      <c r="H21" s="99">
        <v>823657.03619999997</v>
      </c>
      <c r="I21" s="99">
        <v>863911.20730000001</v>
      </c>
      <c r="J21" s="99">
        <v>948371.73810000008</v>
      </c>
      <c r="K21" s="99">
        <v>870086.49040000001</v>
      </c>
      <c r="L21" s="99">
        <v>828237.32940000005</v>
      </c>
      <c r="M21" s="99">
        <v>728226.36450000003</v>
      </c>
      <c r="N21" s="99">
        <v>620794.43210000009</v>
      </c>
    </row>
    <row r="22" spans="2:14" ht="30" customHeight="1" x14ac:dyDescent="0.2">
      <c r="B22" s="103" t="s">
        <v>175</v>
      </c>
      <c r="C22" s="99">
        <v>629018.45440000005</v>
      </c>
      <c r="D22" s="99">
        <v>609232.05440000002</v>
      </c>
      <c r="E22" s="99">
        <v>564099.54039999994</v>
      </c>
      <c r="F22" s="99">
        <v>625412.74040000001</v>
      </c>
      <c r="G22" s="99">
        <v>591310.6496</v>
      </c>
      <c r="H22" s="99">
        <v>627578.14100000006</v>
      </c>
      <c r="I22" s="99">
        <v>723790.51</v>
      </c>
      <c r="J22" s="99">
        <v>756208.25020000001</v>
      </c>
      <c r="K22" s="99">
        <v>734211.55240000004</v>
      </c>
      <c r="L22" s="99">
        <v>634725.01650000003</v>
      </c>
      <c r="M22" s="99">
        <v>492313.53600000002</v>
      </c>
      <c r="N22" s="99">
        <v>430486.08379999996</v>
      </c>
    </row>
    <row r="23" spans="2:14" ht="32.25" customHeight="1" x14ac:dyDescent="0.2">
      <c r="B23" s="113" t="s">
        <v>176</v>
      </c>
      <c r="C23" s="99">
        <v>417767.50199999998</v>
      </c>
      <c r="D23" s="99">
        <v>437511.45040000003</v>
      </c>
      <c r="E23" s="99">
        <v>422948.91399999999</v>
      </c>
      <c r="F23" s="99">
        <v>483026.4265</v>
      </c>
      <c r="G23" s="99">
        <v>494466.65997999994</v>
      </c>
      <c r="H23" s="99">
        <v>589026.66199500009</v>
      </c>
      <c r="I23" s="99">
        <v>597445.77220000012</v>
      </c>
      <c r="J23" s="99">
        <v>624719.21129500004</v>
      </c>
      <c r="K23" s="99">
        <v>662255.2733900001</v>
      </c>
      <c r="L23" s="99">
        <v>572138.68634500005</v>
      </c>
      <c r="M23" s="99">
        <v>536725.71495000005</v>
      </c>
      <c r="N23" s="99">
        <v>473017.45039999997</v>
      </c>
    </row>
    <row r="24" spans="2:14" ht="32.25" customHeight="1" x14ac:dyDescent="0.2">
      <c r="B24" s="141" t="s">
        <v>177</v>
      </c>
      <c r="C24" s="99">
        <v>445089.4596</v>
      </c>
      <c r="D24" s="99">
        <v>464838.33001999994</v>
      </c>
      <c r="E24" s="99">
        <v>310234.47700000001</v>
      </c>
      <c r="F24" s="99">
        <v>132086.1189</v>
      </c>
      <c r="G24" s="99">
        <v>81934.237999999998</v>
      </c>
      <c r="H24" s="99">
        <v>88016.122900000017</v>
      </c>
      <c r="I24" s="99">
        <v>290744.43883500004</v>
      </c>
      <c r="J24" s="99">
        <v>372885.53719999996</v>
      </c>
      <c r="K24" s="99">
        <v>328998.32740000001</v>
      </c>
      <c r="L24" s="99">
        <v>350713.83590000001</v>
      </c>
      <c r="M24" s="99">
        <v>329624.08839999995</v>
      </c>
      <c r="N24" s="99">
        <v>294931.19809999998</v>
      </c>
    </row>
    <row r="25" spans="2:14" ht="32.25" customHeight="1" x14ac:dyDescent="0.2">
      <c r="B25" s="143" t="s">
        <v>178</v>
      </c>
      <c r="C25" s="99">
        <v>274561.56439999997</v>
      </c>
      <c r="D25" s="99">
        <v>283692.47039999999</v>
      </c>
      <c r="E25" s="99">
        <v>278888.13439999998</v>
      </c>
      <c r="F25" s="99">
        <v>318224.91959999996</v>
      </c>
      <c r="G25" s="99">
        <v>309500.67789999995</v>
      </c>
      <c r="H25" s="99">
        <v>396582.05849999998</v>
      </c>
      <c r="I25" s="99">
        <v>498105.10527500004</v>
      </c>
      <c r="J25" s="99">
        <v>506423.32253</v>
      </c>
      <c r="K25" s="99">
        <v>486424.27340000001</v>
      </c>
      <c r="L25" s="99">
        <v>473503.95079999999</v>
      </c>
      <c r="M25" s="99">
        <v>403992.3469</v>
      </c>
      <c r="N25" s="99">
        <v>289205.48600000003</v>
      </c>
    </row>
    <row r="26" spans="2:14" ht="32.25" customHeight="1" x14ac:dyDescent="0.2">
      <c r="B26" s="143" t="s">
        <v>179</v>
      </c>
      <c r="C26" s="99" t="s">
        <v>182</v>
      </c>
      <c r="D26" s="99" t="s">
        <v>183</v>
      </c>
      <c r="E26" s="99" t="s">
        <v>184</v>
      </c>
      <c r="F26" s="99" t="s">
        <v>185</v>
      </c>
      <c r="G26" s="99" t="s">
        <v>186</v>
      </c>
      <c r="H26" s="99" t="s">
        <v>187</v>
      </c>
      <c r="I26" s="99" t="s">
        <v>188</v>
      </c>
      <c r="J26" s="99" t="s">
        <v>189</v>
      </c>
      <c r="K26" s="99"/>
      <c r="L26" s="163">
        <v>5509722905</v>
      </c>
      <c r="M26" s="99"/>
      <c r="N26" s="163">
        <v>4356381363</v>
      </c>
    </row>
    <row r="27" spans="2:14" ht="29.25" customHeight="1" x14ac:dyDescent="0.2"/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9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190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0" t="s">
        <v>160</v>
      </c>
      <c r="D7" s="100" t="s">
        <v>161</v>
      </c>
      <c r="E7" s="100" t="s">
        <v>162</v>
      </c>
      <c r="F7" s="100" t="s">
        <v>163</v>
      </c>
      <c r="G7" s="100" t="s">
        <v>164</v>
      </c>
      <c r="H7" s="100" t="s">
        <v>165</v>
      </c>
      <c r="I7" s="100" t="s">
        <v>166</v>
      </c>
      <c r="J7" s="100" t="s">
        <v>167</v>
      </c>
      <c r="K7" s="100" t="s">
        <v>168</v>
      </c>
      <c r="L7" s="100" t="s">
        <v>169</v>
      </c>
      <c r="M7" s="100" t="s">
        <v>170</v>
      </c>
      <c r="N7" s="100" t="s">
        <v>171</v>
      </c>
    </row>
    <row r="8" spans="2:14" ht="33" customHeight="1" x14ac:dyDescent="0.2">
      <c r="B8" s="101" t="s">
        <v>172</v>
      </c>
      <c r="C8" s="429"/>
      <c r="D8" s="430"/>
      <c r="E8" s="430"/>
      <c r="F8" s="430"/>
      <c r="G8" s="430"/>
      <c r="H8" s="430"/>
      <c r="I8" s="430"/>
      <c r="J8" s="430"/>
      <c r="K8" s="431"/>
      <c r="L8" s="99"/>
      <c r="M8" s="99">
        <v>3298</v>
      </c>
      <c r="N8" s="99">
        <v>3866</v>
      </c>
    </row>
    <row r="9" spans="2:14" ht="39" customHeight="1" x14ac:dyDescent="0.2">
      <c r="B9" s="102" t="s">
        <v>173</v>
      </c>
      <c r="C9" s="99">
        <v>4094</v>
      </c>
      <c r="D9" s="99">
        <v>3691</v>
      </c>
      <c r="E9" s="99">
        <v>3917</v>
      </c>
      <c r="F9" s="99">
        <v>4785</v>
      </c>
      <c r="G9" s="99">
        <v>5213</v>
      </c>
      <c r="H9" s="99">
        <v>4103</v>
      </c>
      <c r="I9" s="99">
        <v>5622</v>
      </c>
      <c r="J9" s="99">
        <v>6568</v>
      </c>
      <c r="K9" s="99">
        <v>4813</v>
      </c>
      <c r="L9" s="99">
        <v>6088</v>
      </c>
      <c r="M9" s="99">
        <v>4819</v>
      </c>
      <c r="N9" s="99">
        <v>5252</v>
      </c>
    </row>
    <row r="10" spans="2:14" ht="36" customHeight="1" x14ac:dyDescent="0.2">
      <c r="B10" s="107" t="s">
        <v>174</v>
      </c>
      <c r="C10" s="99">
        <v>5132</v>
      </c>
      <c r="D10" s="99">
        <v>4589</v>
      </c>
      <c r="E10" s="99">
        <v>6190</v>
      </c>
      <c r="F10" s="99">
        <v>6170</v>
      </c>
      <c r="G10" s="99">
        <v>5980</v>
      </c>
      <c r="H10" s="99">
        <v>6097.8</v>
      </c>
      <c r="I10" s="99">
        <v>7050</v>
      </c>
      <c r="J10" s="99">
        <v>8050</v>
      </c>
      <c r="K10" s="99">
        <v>6678</v>
      </c>
      <c r="L10" s="99">
        <v>6859</v>
      </c>
      <c r="M10" s="99">
        <v>5960</v>
      </c>
      <c r="N10" s="99">
        <v>5210.0999999999985</v>
      </c>
    </row>
    <row r="11" spans="2:14" ht="36.75" customHeight="1" x14ac:dyDescent="0.2">
      <c r="B11" s="103" t="s">
        <v>175</v>
      </c>
      <c r="C11" s="99">
        <v>5598.9000000000015</v>
      </c>
      <c r="D11" s="99">
        <v>5297</v>
      </c>
      <c r="E11" s="99">
        <v>5857</v>
      </c>
      <c r="F11" s="99">
        <v>6284</v>
      </c>
      <c r="G11" s="99">
        <v>5500</v>
      </c>
      <c r="H11" s="99">
        <v>5583.8000000000029</v>
      </c>
      <c r="I11" s="99">
        <v>6266.8999999999942</v>
      </c>
      <c r="J11" s="99">
        <v>6178.3000000000029</v>
      </c>
      <c r="K11" s="99">
        <v>6144.5</v>
      </c>
      <c r="L11" s="99">
        <v>6117.5</v>
      </c>
      <c r="M11" s="99">
        <v>5023</v>
      </c>
      <c r="N11" s="99">
        <v>4767.8</v>
      </c>
    </row>
    <row r="12" spans="2:14" ht="33.75" customHeight="1" x14ac:dyDescent="0.2">
      <c r="B12" s="113" t="s">
        <v>176</v>
      </c>
      <c r="C12" s="99">
        <v>5044.8</v>
      </c>
      <c r="D12" s="99">
        <v>5061</v>
      </c>
      <c r="E12" s="99">
        <v>5504</v>
      </c>
      <c r="F12" s="99">
        <v>5372.2999999999993</v>
      </c>
      <c r="G12" s="99">
        <v>4507.2999999999993</v>
      </c>
      <c r="H12" s="99">
        <v>5269.2000000000044</v>
      </c>
      <c r="I12" s="99">
        <v>5509.1999999999971</v>
      </c>
      <c r="J12" s="99">
        <v>5601</v>
      </c>
      <c r="K12" s="99">
        <v>5387</v>
      </c>
      <c r="L12" s="99">
        <v>6051</v>
      </c>
      <c r="M12" s="99">
        <v>5532</v>
      </c>
      <c r="N12" s="99">
        <v>5565.1999999999971</v>
      </c>
    </row>
    <row r="13" spans="2:14" ht="33.75" customHeight="1" x14ac:dyDescent="0.2">
      <c r="B13" s="141" t="s">
        <v>177</v>
      </c>
      <c r="C13" s="99">
        <v>5763.4000000000087</v>
      </c>
      <c r="D13" s="99">
        <v>5632.3999999999942</v>
      </c>
      <c r="E13" s="99">
        <v>3058.6999999999971</v>
      </c>
      <c r="F13" s="99">
        <v>714.5</v>
      </c>
      <c r="G13" s="99">
        <v>439.80000000000291</v>
      </c>
      <c r="H13" s="99">
        <v>1383.3999999999942</v>
      </c>
      <c r="I13" s="99">
        <v>3491.8000000000029</v>
      </c>
      <c r="J13" s="99">
        <v>2618.6999999999971</v>
      </c>
      <c r="K13" s="99">
        <v>1829.7000000000116</v>
      </c>
      <c r="L13" s="99">
        <v>3000</v>
      </c>
      <c r="M13" s="99">
        <v>1896</v>
      </c>
      <c r="N13" s="99">
        <v>1780.5999999999913</v>
      </c>
    </row>
    <row r="14" spans="2:14" ht="33.75" customHeight="1" x14ac:dyDescent="0.2">
      <c r="B14" s="143" t="s">
        <v>178</v>
      </c>
      <c r="C14" s="99">
        <v>2083.1999999999971</v>
      </c>
      <c r="D14" s="99">
        <v>2115.3000000000029</v>
      </c>
      <c r="E14" s="99">
        <v>2406.3000000000029</v>
      </c>
      <c r="F14" s="99">
        <v>2166.1999999999971</v>
      </c>
      <c r="G14" s="99">
        <v>2527.1999999999971</v>
      </c>
      <c r="H14" s="99">
        <v>2925.2000000000116</v>
      </c>
      <c r="I14" s="99">
        <v>3819.2999999999884</v>
      </c>
      <c r="J14" s="99">
        <v>3510.1000000000058</v>
      </c>
      <c r="K14" s="99">
        <v>3086.1999999999971</v>
      </c>
      <c r="L14" s="99">
        <v>3330.5</v>
      </c>
      <c r="M14" s="99">
        <v>2932.1999999999971</v>
      </c>
      <c r="N14" s="99">
        <v>2091.1000000000058</v>
      </c>
    </row>
    <row r="15" spans="2:14" ht="33.75" customHeight="1" x14ac:dyDescent="0.2">
      <c r="B15" s="164" t="s">
        <v>179</v>
      </c>
      <c r="C15" s="161">
        <v>1329</v>
      </c>
      <c r="D15" s="161">
        <v>2272</v>
      </c>
      <c r="E15" s="161">
        <v>3382</v>
      </c>
      <c r="F15" s="161">
        <v>3507</v>
      </c>
      <c r="G15" s="161">
        <v>4285</v>
      </c>
      <c r="H15" s="161">
        <v>4590</v>
      </c>
      <c r="I15" s="161">
        <v>5018</v>
      </c>
      <c r="J15" s="161">
        <v>4681</v>
      </c>
      <c r="K15" s="161">
        <v>4227</v>
      </c>
      <c r="L15" s="161">
        <v>4227</v>
      </c>
      <c r="M15" s="161">
        <v>4563</v>
      </c>
      <c r="N15" s="161"/>
    </row>
    <row r="16" spans="2:14" ht="21" thickBot="1" x14ac:dyDescent="0.35">
      <c r="C16" s="426" t="s">
        <v>191</v>
      </c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5"/>
    </row>
    <row r="18" spans="2:15" ht="18" customHeight="1" x14ac:dyDescent="0.2">
      <c r="C18" s="100" t="s">
        <v>160</v>
      </c>
      <c r="D18" s="100" t="s">
        <v>161</v>
      </c>
      <c r="E18" s="100" t="s">
        <v>162</v>
      </c>
      <c r="F18" s="100" t="s">
        <v>163</v>
      </c>
      <c r="G18" s="100" t="s">
        <v>164</v>
      </c>
      <c r="H18" s="100" t="s">
        <v>165</v>
      </c>
      <c r="I18" s="100" t="s">
        <v>166</v>
      </c>
      <c r="J18" s="100" t="s">
        <v>167</v>
      </c>
      <c r="K18" s="100" t="s">
        <v>168</v>
      </c>
      <c r="L18" s="100" t="s">
        <v>169</v>
      </c>
      <c r="M18" s="100" t="s">
        <v>170</v>
      </c>
      <c r="N18" s="100" t="s">
        <v>171</v>
      </c>
    </row>
    <row r="19" spans="2:15" ht="30" customHeight="1" x14ac:dyDescent="0.2">
      <c r="B19" s="101" t="s">
        <v>172</v>
      </c>
      <c r="C19" s="429"/>
      <c r="D19" s="430"/>
      <c r="E19" s="430"/>
      <c r="F19" s="430"/>
      <c r="G19" s="430"/>
      <c r="H19" s="430"/>
      <c r="I19" s="430"/>
      <c r="J19" s="430"/>
      <c r="K19" s="431"/>
      <c r="L19" s="99"/>
      <c r="M19" s="99">
        <v>43165.84</v>
      </c>
      <c r="N19" s="99">
        <v>50595.28</v>
      </c>
    </row>
    <row r="20" spans="2:15" ht="31.5" customHeight="1" x14ac:dyDescent="0.2">
      <c r="B20" s="102" t="s">
        <v>173</v>
      </c>
      <c r="C20" s="99">
        <v>53565.520000000004</v>
      </c>
      <c r="D20" s="99">
        <v>48294.28</v>
      </c>
      <c r="E20" s="99">
        <v>51250.36</v>
      </c>
      <c r="F20" s="99">
        <v>62603.8</v>
      </c>
      <c r="G20" s="99">
        <v>68202.040000000008</v>
      </c>
      <c r="H20" s="99">
        <v>53683.240000000005</v>
      </c>
      <c r="I20" s="99">
        <v>73551.760000000009</v>
      </c>
      <c r="J20" s="99">
        <v>85925.440000000002</v>
      </c>
      <c r="K20" s="99">
        <v>57158.52</v>
      </c>
      <c r="L20" s="99">
        <v>67234.52</v>
      </c>
      <c r="M20" s="99">
        <v>53224.76</v>
      </c>
      <c r="N20" s="99">
        <v>58005.08</v>
      </c>
    </row>
    <row r="21" spans="2:15" ht="34.5" customHeight="1" x14ac:dyDescent="0.2">
      <c r="B21" s="107" t="s">
        <v>174</v>
      </c>
      <c r="C21" s="99">
        <v>56680.28</v>
      </c>
      <c r="D21" s="99">
        <v>50685.56</v>
      </c>
      <c r="E21" s="99">
        <v>68360.600000000006</v>
      </c>
      <c r="F21" s="99">
        <v>68139.8</v>
      </c>
      <c r="G21" s="99">
        <v>66042.2</v>
      </c>
      <c r="H21" s="99">
        <v>67342.712</v>
      </c>
      <c r="I21" s="99">
        <v>77855</v>
      </c>
      <c r="J21" s="99">
        <v>88895</v>
      </c>
      <c r="K21" s="99">
        <v>73748.12</v>
      </c>
      <c r="L21" s="99">
        <v>75746.36</v>
      </c>
      <c r="M21" s="99">
        <v>65821.399999999994</v>
      </c>
      <c r="N21" s="99">
        <v>57542.503999999986</v>
      </c>
    </row>
    <row r="22" spans="2:15" ht="36" customHeight="1" x14ac:dyDescent="0.2">
      <c r="B22" s="103" t="s">
        <v>175</v>
      </c>
      <c r="C22" s="99">
        <v>61834.856000000014</v>
      </c>
      <c r="D22" s="99">
        <v>58501.880000000005</v>
      </c>
      <c r="E22" s="99">
        <v>64684.28</v>
      </c>
      <c r="F22" s="99">
        <v>69398.36</v>
      </c>
      <c r="G22" s="99">
        <v>60743</v>
      </c>
      <c r="H22" s="99">
        <v>61668.152000000031</v>
      </c>
      <c r="I22" s="99">
        <v>69209.575999999943</v>
      </c>
      <c r="J22" s="99">
        <v>68231.43200000003</v>
      </c>
      <c r="K22" s="99">
        <v>67858.28</v>
      </c>
      <c r="L22" s="99">
        <v>67560.2</v>
      </c>
      <c r="M22" s="99">
        <v>55476.92</v>
      </c>
      <c r="N22" s="99">
        <v>52659.512000000002</v>
      </c>
    </row>
    <row r="23" spans="2:15" ht="32.25" customHeight="1" x14ac:dyDescent="0.2">
      <c r="B23" s="113" t="s">
        <v>176</v>
      </c>
      <c r="C23" s="99">
        <v>55717.592000000004</v>
      </c>
      <c r="D23" s="99">
        <v>57718.399999999994</v>
      </c>
      <c r="E23" s="99">
        <v>62768.599999999991</v>
      </c>
      <c r="F23" s="99">
        <v>61267.219999999987</v>
      </c>
      <c r="G23" s="99">
        <v>51406.219999999987</v>
      </c>
      <c r="H23" s="99">
        <v>60091.880000000041</v>
      </c>
      <c r="I23" s="99">
        <v>62827.879999999961</v>
      </c>
      <c r="J23" s="99">
        <v>63874.400000000001</v>
      </c>
      <c r="K23" s="99">
        <v>61434.799999999996</v>
      </c>
      <c r="L23" s="99">
        <v>69004.399999999994</v>
      </c>
      <c r="M23" s="99">
        <v>63087.799999999996</v>
      </c>
      <c r="N23" s="99">
        <v>63466.279999999962</v>
      </c>
    </row>
    <row r="24" spans="2:15" ht="32.25" customHeight="1" x14ac:dyDescent="0.2">
      <c r="B24" s="141" t="s">
        <v>177</v>
      </c>
      <c r="C24" s="99">
        <v>65725.760000000097</v>
      </c>
      <c r="D24" s="99">
        <v>64232.359999999928</v>
      </c>
      <c r="E24" s="99">
        <v>34892.179999999964</v>
      </c>
      <c r="F24" s="99">
        <v>8168.2999999999993</v>
      </c>
      <c r="G24" s="99">
        <v>5036.7200000000321</v>
      </c>
      <c r="H24" s="99">
        <v>15793.759999999933</v>
      </c>
      <c r="I24" s="99">
        <v>39829.519999999997</v>
      </c>
      <c r="J24" s="99">
        <v>29876.179999999964</v>
      </c>
      <c r="K24" s="99">
        <v>20881.580000000129</v>
      </c>
      <c r="L24" s="99">
        <v>34223</v>
      </c>
      <c r="M24" s="99">
        <v>21637.4</v>
      </c>
      <c r="N24" s="99">
        <v>20321.839999999898</v>
      </c>
    </row>
    <row r="25" spans="2:15" ht="32.25" customHeight="1" x14ac:dyDescent="0.2">
      <c r="B25" s="143" t="s">
        <v>178</v>
      </c>
      <c r="C25" s="99">
        <v>23771.479999999963</v>
      </c>
      <c r="D25" s="99">
        <v>24137.420000000031</v>
      </c>
      <c r="E25" s="99">
        <v>27454.820000000029</v>
      </c>
      <c r="F25" s="99">
        <v>24717.679999999964</v>
      </c>
      <c r="G25" s="99">
        <v>28833.079999999962</v>
      </c>
      <c r="H25" s="99">
        <v>33370.28000000013</v>
      </c>
      <c r="I25" s="99">
        <v>43563.019999999866</v>
      </c>
      <c r="J25" s="99">
        <v>40038.140000000065</v>
      </c>
      <c r="K25" s="99">
        <v>35205.679999999964</v>
      </c>
      <c r="L25" s="99">
        <v>37990.699999999997</v>
      </c>
      <c r="M25" s="99">
        <v>33450.079999999965</v>
      </c>
      <c r="N25" s="99">
        <v>23861.540000000066</v>
      </c>
    </row>
    <row r="26" spans="2:15" ht="32.25" customHeight="1" x14ac:dyDescent="0.2">
      <c r="B26" s="160" t="s">
        <v>179</v>
      </c>
      <c r="C26" s="161" t="s">
        <v>192</v>
      </c>
      <c r="D26" s="161" t="s">
        <v>193</v>
      </c>
      <c r="E26" s="161" t="s">
        <v>194</v>
      </c>
      <c r="F26" s="161" t="s">
        <v>195</v>
      </c>
      <c r="G26" s="161">
        <v>48897</v>
      </c>
      <c r="H26" s="161">
        <v>52374</v>
      </c>
      <c r="I26" s="161" t="s">
        <v>196</v>
      </c>
      <c r="J26" s="161" t="s">
        <v>197</v>
      </c>
      <c r="K26" s="161" t="s">
        <v>198</v>
      </c>
      <c r="L26" s="161" t="s">
        <v>198</v>
      </c>
      <c r="M26" s="161" t="s">
        <v>199</v>
      </c>
      <c r="N26" s="161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200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0" t="s">
        <v>160</v>
      </c>
      <c r="D7" s="100" t="s">
        <v>161</v>
      </c>
      <c r="E7" s="100" t="s">
        <v>162</v>
      </c>
      <c r="F7" s="100" t="s">
        <v>163</v>
      </c>
      <c r="G7" s="100" t="s">
        <v>164</v>
      </c>
      <c r="H7" s="100" t="s">
        <v>165</v>
      </c>
      <c r="I7" s="100" t="s">
        <v>166</v>
      </c>
      <c r="J7" s="100" t="s">
        <v>167</v>
      </c>
      <c r="K7" s="100" t="s">
        <v>168</v>
      </c>
      <c r="L7" s="100" t="s">
        <v>169</v>
      </c>
      <c r="M7" s="100" t="s">
        <v>170</v>
      </c>
      <c r="N7" s="100" t="s">
        <v>171</v>
      </c>
    </row>
    <row r="8" spans="2:14" ht="33.75" customHeight="1" x14ac:dyDescent="0.2">
      <c r="B8" s="101" t="s">
        <v>172</v>
      </c>
      <c r="C8" s="429"/>
      <c r="D8" s="430"/>
      <c r="E8" s="430"/>
      <c r="F8" s="430"/>
      <c r="G8" s="430"/>
      <c r="H8" s="430"/>
      <c r="I8" s="430"/>
      <c r="J8" s="430"/>
      <c r="K8" s="431"/>
      <c r="L8" s="99">
        <v>19365</v>
      </c>
      <c r="M8" s="99">
        <v>21235</v>
      </c>
      <c r="N8" s="99">
        <v>34053</v>
      </c>
    </row>
    <row r="9" spans="2:14" ht="35.25" customHeight="1" x14ac:dyDescent="0.2">
      <c r="B9" s="102" t="s">
        <v>173</v>
      </c>
      <c r="C9" s="99">
        <v>23598</v>
      </c>
      <c r="D9" s="99">
        <v>28302</v>
      </c>
      <c r="E9" s="99">
        <v>23000</v>
      </c>
      <c r="F9" s="99">
        <v>28601</v>
      </c>
      <c r="G9" s="99">
        <v>24612</v>
      </c>
      <c r="H9" s="99">
        <v>16695</v>
      </c>
      <c r="I9" s="99">
        <v>10756</v>
      </c>
      <c r="J9" s="99">
        <v>14749</v>
      </c>
      <c r="K9" s="99">
        <v>18297</v>
      </c>
      <c r="L9" s="99">
        <v>20801</v>
      </c>
      <c r="M9" s="99">
        <v>22927</v>
      </c>
      <c r="N9" s="99">
        <v>38265</v>
      </c>
    </row>
    <row r="10" spans="2:14" ht="32.25" customHeight="1" x14ac:dyDescent="0.2">
      <c r="B10" s="107" t="s">
        <v>174</v>
      </c>
      <c r="C10" s="99">
        <v>39843</v>
      </c>
      <c r="D10" s="99">
        <v>27644</v>
      </c>
      <c r="E10" s="99">
        <v>31207</v>
      </c>
      <c r="F10" s="99">
        <v>34231</v>
      </c>
      <c r="G10" s="99">
        <v>21149.420000000002</v>
      </c>
      <c r="H10" s="99">
        <v>19502</v>
      </c>
      <c r="I10" s="99">
        <v>22293</v>
      </c>
      <c r="J10" s="99">
        <v>21244</v>
      </c>
      <c r="K10" s="99">
        <v>20201</v>
      </c>
      <c r="L10" s="99">
        <v>21000</v>
      </c>
      <c r="M10" s="99">
        <v>30135</v>
      </c>
      <c r="N10" s="99">
        <v>28841</v>
      </c>
    </row>
    <row r="11" spans="2:14" ht="34.5" customHeight="1" x14ac:dyDescent="0.2">
      <c r="B11" s="103" t="s">
        <v>175</v>
      </c>
      <c r="C11" s="99">
        <v>33210.620000000003</v>
      </c>
      <c r="D11" s="99">
        <v>27328.669000000002</v>
      </c>
      <c r="E11" s="99">
        <v>22296.292000000001</v>
      </c>
      <c r="F11" s="99">
        <v>18205.006000000001</v>
      </c>
      <c r="G11" s="99">
        <v>16641.811000000002</v>
      </c>
      <c r="H11" s="99">
        <v>17087.758000000002</v>
      </c>
      <c r="I11" s="99">
        <v>13220.239000000001</v>
      </c>
      <c r="J11" s="99">
        <v>15457.909000000001</v>
      </c>
      <c r="K11" s="99">
        <v>10651.944000000001</v>
      </c>
      <c r="L11" s="99">
        <v>13951.846000000001</v>
      </c>
      <c r="M11" s="99">
        <v>24676.263000000003</v>
      </c>
      <c r="N11" s="99">
        <v>21781.575000000001</v>
      </c>
    </row>
    <row r="12" spans="2:14" ht="36.75" customHeight="1" x14ac:dyDescent="0.2">
      <c r="B12" s="113" t="s">
        <v>176</v>
      </c>
      <c r="C12" s="99">
        <v>26669.535</v>
      </c>
      <c r="D12" s="99">
        <v>26601.294000000002</v>
      </c>
      <c r="E12" s="99">
        <v>23114.126</v>
      </c>
      <c r="F12" s="99">
        <v>20873.811000000002</v>
      </c>
      <c r="G12" s="99">
        <v>14596.168000000001</v>
      </c>
      <c r="H12" s="99">
        <v>10659.35</v>
      </c>
      <c r="I12" s="99">
        <v>18584.299000000003</v>
      </c>
      <c r="J12" s="99">
        <v>10559.897999999999</v>
      </c>
      <c r="K12" s="99">
        <v>8546.5240000000013</v>
      </c>
      <c r="L12" s="99">
        <v>17517.306</v>
      </c>
      <c r="M12" s="99">
        <v>20452.198</v>
      </c>
      <c r="N12" s="99">
        <v>27341.365000000002</v>
      </c>
    </row>
    <row r="13" spans="2:14" ht="36.75" customHeight="1" x14ac:dyDescent="0.2">
      <c r="B13" s="141" t="s">
        <v>177</v>
      </c>
      <c r="C13" s="99">
        <v>30735.958000000002</v>
      </c>
      <c r="D13" s="99">
        <v>21724.442999999999</v>
      </c>
      <c r="E13" s="99">
        <v>11128.573</v>
      </c>
      <c r="F13" s="99">
        <v>4506.0219999999999</v>
      </c>
      <c r="G13" s="99">
        <v>0</v>
      </c>
      <c r="H13" s="99">
        <v>2998.3720000000003</v>
      </c>
      <c r="I13" s="99">
        <v>8663.5590000000011</v>
      </c>
      <c r="J13" s="99">
        <v>4731.9050000000007</v>
      </c>
      <c r="K13" s="99">
        <v>4832.415</v>
      </c>
      <c r="L13" s="99">
        <v>13092.221000000001</v>
      </c>
      <c r="M13" s="99">
        <v>17284.017</v>
      </c>
      <c r="N13" s="99">
        <v>16432.856</v>
      </c>
    </row>
    <row r="14" spans="2:14" ht="36.75" customHeight="1" x14ac:dyDescent="0.2">
      <c r="B14" s="143" t="s">
        <v>178</v>
      </c>
      <c r="C14" s="99">
        <v>16222.314</v>
      </c>
      <c r="D14" s="99">
        <v>13578.901</v>
      </c>
      <c r="E14" s="99">
        <v>18500.717000000001</v>
      </c>
      <c r="F14" s="99">
        <v>11555.476000000001</v>
      </c>
      <c r="G14" s="99">
        <v>10801.651</v>
      </c>
      <c r="H14" s="99">
        <v>13800.552000000001</v>
      </c>
      <c r="I14" s="99">
        <v>9448.469000000001</v>
      </c>
      <c r="J14" s="99">
        <v>8828.4809999999998</v>
      </c>
      <c r="K14" s="99">
        <v>11498.344000000001</v>
      </c>
      <c r="L14" s="99">
        <v>11280.396000000001</v>
      </c>
      <c r="M14" s="99">
        <v>20677.552</v>
      </c>
      <c r="N14" s="99">
        <v>12106.165000000001</v>
      </c>
    </row>
    <row r="15" spans="2:14" ht="21" thickBot="1" x14ac:dyDescent="0.35">
      <c r="C15" s="426" t="s">
        <v>201</v>
      </c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</row>
    <row r="17" spans="2:14" ht="17.25" customHeight="1" x14ac:dyDescent="0.2">
      <c r="C17" s="100" t="s">
        <v>160</v>
      </c>
      <c r="D17" s="100" t="s">
        <v>161</v>
      </c>
      <c r="E17" s="100" t="s">
        <v>162</v>
      </c>
      <c r="F17" s="100" t="s">
        <v>163</v>
      </c>
      <c r="G17" s="100" t="s">
        <v>164</v>
      </c>
      <c r="H17" s="100" t="s">
        <v>165</v>
      </c>
      <c r="I17" s="100" t="s">
        <v>166</v>
      </c>
      <c r="J17" s="100" t="s">
        <v>167</v>
      </c>
      <c r="K17" s="100" t="s">
        <v>168</v>
      </c>
      <c r="L17" s="100" t="s">
        <v>169</v>
      </c>
      <c r="M17" s="100" t="s">
        <v>170</v>
      </c>
      <c r="N17" s="100" t="s">
        <v>171</v>
      </c>
    </row>
    <row r="18" spans="2:14" ht="30" customHeight="1" x14ac:dyDescent="0.2">
      <c r="B18" s="101" t="s">
        <v>172</v>
      </c>
      <c r="C18" s="429"/>
      <c r="D18" s="430"/>
      <c r="E18" s="430"/>
      <c r="F18" s="430"/>
      <c r="G18" s="430"/>
      <c r="H18" s="430"/>
      <c r="I18" s="430"/>
      <c r="J18" s="430"/>
      <c r="K18" s="431"/>
      <c r="L18" s="99">
        <v>222503.85</v>
      </c>
      <c r="M18" s="99">
        <v>248385.8</v>
      </c>
      <c r="N18" s="99">
        <v>412790.47</v>
      </c>
    </row>
    <row r="19" spans="2:14" ht="30" customHeight="1" x14ac:dyDescent="0.2">
      <c r="B19" s="102" t="s">
        <v>173</v>
      </c>
      <c r="C19" s="99">
        <v>281335.36</v>
      </c>
      <c r="D19" s="99">
        <v>329491.88</v>
      </c>
      <c r="E19" s="104">
        <v>263166</v>
      </c>
      <c r="F19" s="99">
        <v>334402.89</v>
      </c>
      <c r="G19" s="99">
        <v>287763.5</v>
      </c>
      <c r="H19" s="99">
        <v>200206.44</v>
      </c>
      <c r="I19" s="99">
        <v>128985.95</v>
      </c>
      <c r="J19" s="99">
        <v>174687.16</v>
      </c>
      <c r="K19" s="99">
        <v>221708.41</v>
      </c>
      <c r="L19" s="99">
        <v>257125.33</v>
      </c>
      <c r="M19" s="99">
        <v>290283.33</v>
      </c>
      <c r="N19" s="99">
        <v>491751.17</v>
      </c>
    </row>
    <row r="20" spans="2:14" ht="38.25" customHeight="1" x14ac:dyDescent="0.2">
      <c r="B20" s="107" t="s">
        <v>174</v>
      </c>
      <c r="C20" s="99">
        <v>534222.91</v>
      </c>
      <c r="D20" s="99">
        <v>397841.39</v>
      </c>
      <c r="E20" s="104">
        <v>463317.85</v>
      </c>
      <c r="F20" s="99">
        <v>473982.96</v>
      </c>
      <c r="G20" s="99">
        <v>288617.67497200001</v>
      </c>
      <c r="H20" s="99">
        <v>262138.08</v>
      </c>
      <c r="I20" s="99">
        <v>290959.32</v>
      </c>
      <c r="J20" s="99">
        <v>277268.19</v>
      </c>
      <c r="K20" s="99">
        <v>269109.64</v>
      </c>
      <c r="L20" s="99">
        <v>279753.59999999998</v>
      </c>
      <c r="M20" s="99">
        <v>411233.26</v>
      </c>
      <c r="N20" s="99">
        <v>393575.4632766</v>
      </c>
    </row>
    <row r="21" spans="2:14" ht="36" customHeight="1" x14ac:dyDescent="0.2">
      <c r="B21" s="103" t="s">
        <v>175</v>
      </c>
      <c r="C21" s="99">
        <v>433913.35561000003</v>
      </c>
      <c r="D21" s="99">
        <v>365261.32551950007</v>
      </c>
      <c r="E21" s="99">
        <v>291312.20312600001</v>
      </c>
      <c r="F21" s="99">
        <v>213834.17997540004</v>
      </c>
      <c r="G21" s="99">
        <v>197886.11041990001</v>
      </c>
      <c r="H21" s="99">
        <v>143537.16720000003</v>
      </c>
      <c r="I21" s="99">
        <v>111050.00760000001</v>
      </c>
      <c r="J21" s="99">
        <v>129846.43560000001</v>
      </c>
      <c r="K21" s="99">
        <v>97997.8848</v>
      </c>
      <c r="L21" s="99">
        <v>117195.50640000001</v>
      </c>
      <c r="M21" s="99">
        <v>207280.60920000004</v>
      </c>
      <c r="N21" s="99">
        <v>182965.23</v>
      </c>
    </row>
    <row r="22" spans="2:14" ht="36.75" customHeight="1" x14ac:dyDescent="0.2">
      <c r="B22" s="113" t="s">
        <v>176</v>
      </c>
      <c r="C22" s="99">
        <v>224024.09400000001</v>
      </c>
      <c r="D22" s="99">
        <v>223450.86960000003</v>
      </c>
      <c r="E22" s="99">
        <v>209182.84030000001</v>
      </c>
      <c r="F22" s="99">
        <v>188907.98955000003</v>
      </c>
      <c r="G22" s="99">
        <v>129176.0868</v>
      </c>
      <c r="H22" s="99">
        <v>94335.247499999998</v>
      </c>
      <c r="I22" s="99">
        <v>144957.53220000002</v>
      </c>
      <c r="J22" s="99">
        <v>77405.108330000003</v>
      </c>
      <c r="K22" s="99">
        <v>62646.875572400008</v>
      </c>
      <c r="L22" s="99">
        <v>128403.6047106</v>
      </c>
      <c r="M22" s="99">
        <v>149916.6565598</v>
      </c>
      <c r="N22" s="99">
        <v>217831.38909150002</v>
      </c>
    </row>
    <row r="23" spans="2:14" ht="36.75" customHeight="1" x14ac:dyDescent="0.2">
      <c r="B23" s="141" t="s">
        <v>177</v>
      </c>
      <c r="C23" s="99">
        <v>244876.45098180004</v>
      </c>
      <c r="D23" s="99">
        <v>193260.64492800002</v>
      </c>
      <c r="E23" s="99">
        <v>87871.212408000007</v>
      </c>
      <c r="F23" s="99">
        <v>35579.549712</v>
      </c>
      <c r="G23" s="99">
        <v>0</v>
      </c>
      <c r="H23" s="99">
        <v>23675.145312000001</v>
      </c>
      <c r="I23" s="99">
        <v>72782.559159000011</v>
      </c>
      <c r="J23" s="99">
        <v>40462.519659999998</v>
      </c>
      <c r="K23" s="99">
        <v>41321.980665000003</v>
      </c>
      <c r="L23" s="99">
        <v>111951.58177100001</v>
      </c>
      <c r="M23" s="99">
        <v>151252.43276699999</v>
      </c>
      <c r="N23" s="99">
        <v>147090.494056</v>
      </c>
    </row>
    <row r="24" spans="2:14" ht="36.75" customHeight="1" x14ac:dyDescent="0.2">
      <c r="B24" s="143" t="s">
        <v>178</v>
      </c>
      <c r="C24" s="99">
        <v>175249.65814200003</v>
      </c>
      <c r="D24" s="99">
        <v>133357.0288309</v>
      </c>
      <c r="E24" s="99">
        <v>160956.23789999998</v>
      </c>
      <c r="F24" s="99">
        <v>100532.6412</v>
      </c>
      <c r="G24" s="99">
        <v>93974.363699999987</v>
      </c>
      <c r="H24" s="99">
        <v>120064.8024</v>
      </c>
      <c r="I24" s="99">
        <v>79461.624290000007</v>
      </c>
      <c r="J24" s="99">
        <v>84841.702409999998</v>
      </c>
      <c r="K24" s="99">
        <v>114580.99796000001</v>
      </c>
      <c r="L24" s="99">
        <v>126919.11951480001</v>
      </c>
      <c r="M24" s="99">
        <v>216928.19803199999</v>
      </c>
      <c r="N24" s="99">
        <v>140007.79822500001</v>
      </c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1D5AFF-6849-4580-86A3-902D531C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21F24E-D051-4344-B4AC-1A41CABA54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C9026B-FACA-412B-BFAF-D1CFE861F6E4}">
  <ds:schemaRefs>
    <ds:schemaRef ds:uri="http://schemas.microsoft.com/office/2006/metadata/properties"/>
    <ds:schemaRef ds:uri="http://schemas.microsoft.com/office/infopath/2007/PartnerControls"/>
    <ds:schemaRef ds:uri="1a260a97-1a1d-4976-a872-bec7d3026b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