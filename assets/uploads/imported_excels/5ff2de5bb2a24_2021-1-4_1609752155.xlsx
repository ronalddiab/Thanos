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W36" i="7" l="1"/>
  <c r="R31" i="9"/>
  <c r="AN37" i="7"/>
  <c r="M32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O34" i="7" l="1"/>
  <c r="N29" i="9"/>
  <c r="AK34" i="7"/>
  <c r="J29" i="9"/>
  <c r="AN33" i="7"/>
  <c r="M28" i="9"/>
  <c r="AN32" i="7"/>
  <c r="M27" i="9"/>
  <c r="AJ32" i="7"/>
  <c r="I27" i="9"/>
  <c r="AI30" i="7"/>
  <c r="H25" i="9"/>
  <c r="AH36" i="7"/>
  <c r="G31" i="9"/>
  <c r="AW33" i="7"/>
  <c r="R28" i="9"/>
  <c r="G24" i="5"/>
  <c r="R24" i="9"/>
  <c r="AG35" i="7"/>
  <c r="F30" i="9"/>
  <c r="AJ34" i="7"/>
  <c r="I29" i="9"/>
  <c r="AM33" i="7"/>
  <c r="L28" i="9"/>
  <c r="AI32" i="7"/>
  <c r="H27" i="9"/>
  <c r="AL31" i="7"/>
  <c r="K26" i="9"/>
  <c r="AH31" i="7"/>
  <c r="G26" i="9"/>
  <c r="AP30" i="7"/>
  <c r="O25" i="9"/>
  <c r="AL30" i="7"/>
  <c r="K25" i="9"/>
  <c r="AW26" i="7"/>
  <c r="R21" i="9"/>
  <c r="AW32" i="7"/>
  <c r="R27" i="9"/>
  <c r="AW28" i="7"/>
  <c r="R23" i="9"/>
  <c r="AK31" i="7"/>
  <c r="J26" i="9"/>
  <c r="AO30" i="7"/>
  <c r="N25" i="9"/>
  <c r="AK30" i="7"/>
  <c r="J25" i="9"/>
  <c r="AG30" i="7"/>
  <c r="F25" i="9"/>
  <c r="AN36" i="7"/>
  <c r="M31" i="9"/>
  <c r="R20" i="9"/>
  <c r="G20" i="5" s="1"/>
  <c r="AW35" i="7"/>
  <c r="R30" i="9"/>
  <c r="AW31" i="7"/>
  <c r="R26" i="9"/>
  <c r="G26" i="5" s="1"/>
  <c r="AW27" i="7"/>
  <c r="R22" i="9"/>
  <c r="G22" i="5" s="1"/>
  <c r="AM34" i="7"/>
  <c r="L29" i="9"/>
  <c r="AM35" i="7"/>
  <c r="L30" i="9"/>
  <c r="AL34" i="7"/>
  <c r="K29" i="9"/>
  <c r="AH34" i="7"/>
  <c r="G29" i="9"/>
  <c r="AO33" i="7"/>
  <c r="N28" i="9"/>
  <c r="AG33" i="7"/>
  <c r="F28" i="9"/>
  <c r="AO32" i="7"/>
  <c r="N27" i="9"/>
  <c r="AN30" i="7"/>
  <c r="M25" i="9"/>
  <c r="AG36" i="7"/>
  <c r="F31" i="9"/>
  <c r="AK36" i="7"/>
  <c r="J31" i="9"/>
  <c r="AW34" i="7"/>
  <c r="R29" i="9"/>
  <c r="G25" i="5"/>
  <c r="R25" i="9"/>
  <c r="AL29" i="7"/>
  <c r="K24" i="9"/>
  <c r="AO28" i="7"/>
  <c r="N23" i="9"/>
  <c r="AG27" i="7"/>
  <c r="F22" i="9"/>
  <c r="AG26" i="7"/>
  <c r="F21" i="9"/>
  <c r="AG25" i="7"/>
  <c r="F20" i="9"/>
  <c r="AK29" i="7"/>
  <c r="J24" i="9"/>
  <c r="AG29" i="7"/>
  <c r="F24" i="9"/>
  <c r="AN28" i="7"/>
  <c r="M23" i="9"/>
  <c r="AJ28" i="7"/>
  <c r="I23" i="9"/>
  <c r="AR26" i="7"/>
  <c r="Q21" i="9"/>
  <c r="AR25" i="7"/>
  <c r="Q20" i="9"/>
  <c r="AJ25" i="7"/>
  <c r="I20" i="9"/>
  <c r="AF27" i="7"/>
  <c r="E22" i="9"/>
  <c r="AP29" i="7"/>
  <c r="O24" i="9"/>
  <c r="AK27" i="7"/>
  <c r="J22" i="9"/>
  <c r="AK26" i="7"/>
  <c r="J21" i="9"/>
  <c r="AR28" i="7"/>
  <c r="Q23" i="9"/>
  <c r="AI27" i="7"/>
  <c r="H22" i="9"/>
  <c r="AO27" i="7"/>
  <c r="N22" i="9"/>
  <c r="AO26" i="7"/>
  <c r="N21" i="9"/>
  <c r="AF29" i="7"/>
  <c r="E24" i="9"/>
  <c r="AF28" i="7"/>
  <c r="E23" i="9"/>
  <c r="AR29" i="7"/>
  <c r="Q24" i="9"/>
  <c r="AM29" i="7"/>
  <c r="L24" i="9"/>
  <c r="AI29" i="7"/>
  <c r="H24" i="9"/>
  <c r="AL28" i="7"/>
  <c r="K23" i="9"/>
  <c r="AH27" i="7"/>
  <c r="G22" i="9"/>
  <c r="AL26" i="7"/>
  <c r="K21" i="9"/>
  <c r="AH26" i="7"/>
  <c r="G21" i="9"/>
  <c r="AL25" i="7"/>
  <c r="K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<sst xmlns="http://schemas.openxmlformats.org/spreadsheetml/2006/main" count="128" uniqueCount="49">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</sst>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Submetering!R7</f>
        <v>636.705962</v>
      </c>
      <c r="H7" s="11">
        <v>0.52800000000000002</v>
      </c>
      <c r="I7" s="12">
        <f>Hotel!B12</f>
        <v>62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Submetering!R8</f>
        <v>450.46378999999996</v>
      </c>
      <c r="H8" s="11">
        <v>0.52800000000000002</v>
      </c>
      <c r="I8" s="12">
        <f>Hotel!B13</f>
        <v>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54950</v>
      </c>
      <c r="F9" s="11">
        <v>5.0000000000000001E-3</v>
      </c>
      <c r="G9" s="12">
        <f>Submetering!R9</f>
        <v>567.81150000000002</v>
      </c>
      <c r="H9" s="11">
        <v>0.52800000000000002</v>
      </c>
      <c r="I9" s="12">
        <f>Hotel!B14</f>
        <v>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52710</v>
      </c>
      <c r="F10" s="11">
        <v>5.0000000000000001E-3</v>
      </c>
      <c r="G10" s="12">
        <f>Submetering!R10</f>
        <v>605.66560000000004</v>
      </c>
      <c r="H10" s="11">
        <v>0.52800000000000002</v>
      </c>
      <c r="I10" s="12">
        <f>Hotel!B15</f>
        <v>82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51060</v>
      </c>
      <c r="F11" s="11">
        <v>5.0000000000000001E-3</v>
      </c>
      <c r="G11" s="12">
        <f>Submetering!R11</f>
        <v>1424.8283239999998</v>
      </c>
      <c r="H11" s="11">
        <v>0.52800000000000002</v>
      </c>
      <c r="I11" s="12">
        <f>Hotel!B16</f>
        <v>111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54590</v>
      </c>
      <c r="F12" s="11">
        <v>5.0000000000000001E-3</v>
      </c>
      <c r="G12" s="12">
        <f>Submetering!R12</f>
        <v>279.36325800000003</v>
      </c>
      <c r="H12" s="11">
        <v>0.52800000000000002</v>
      </c>
      <c r="I12" s="12">
        <f>Hotel!B17</f>
        <v>125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52810</v>
      </c>
      <c r="F13" s="11">
        <v>5.0000000000000001E-3</v>
      </c>
      <c r="G13" s="12">
        <f>Submetering!R13</f>
        <v>207.061927</v>
      </c>
      <c r="H13" s="11">
        <v>0.52800000000000002</v>
      </c>
      <c r="I13" s="12">
        <f>Hotel!B18</f>
        <v>103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51340</v>
      </c>
      <c r="F14" s="11">
        <v>5.0000000000000001E-3</v>
      </c>
      <c r="G14" s="12">
        <f>Submetering!R14</f>
        <v>662.82529099999999</v>
      </c>
      <c r="H14" s="11">
        <v>0.52800000000000002</v>
      </c>
      <c r="I14" s="12">
        <f>Hotel!B19</f>
        <v>75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51360</v>
      </c>
      <c r="F15" s="11">
        <v>5.0000000000000001E-3</v>
      </c>
      <c r="G15" s="12">
        <f>Submetering!R15</f>
        <v>697.65106300000002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50340</v>
      </c>
      <c r="F16" s="11">
        <v>5.0000000000000001E-3</v>
      </c>
      <c r="G16" s="12">
        <f>Submetering!R16</f>
        <v>520.87241600000004</v>
      </c>
      <c r="H16" s="11">
        <v>0.52800000000000002</v>
      </c>
      <c r="I16" s="12">
        <f>Hotel!B21</f>
        <v>64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53910</v>
      </c>
      <c r="F17" s="11">
        <v>5.0000000000000001E-3</v>
      </c>
      <c r="G17" s="12">
        <f>Submetering!R17</f>
        <v>889.94989099999998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52920</v>
      </c>
      <c r="F18" s="11">
        <v>5.0000000000000001E-3</v>
      </c>
      <c r="G18" s="12">
        <f>Submetering!R18</f>
        <v>507.24493999999999</v>
      </c>
      <c r="H18" s="11">
        <v>0.52800000000000002</v>
      </c>
      <c r="I18" s="12">
        <f>Hotel!B23</f>
        <v>112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52320</v>
      </c>
      <c r="F19" s="11">
        <v>5.0000000000000001E-3</v>
      </c>
      <c r="G19" s="12">
        <f>Submetering!R19</f>
        <v>696.5154399999999</v>
      </c>
      <c r="H19" s="11">
        <v>0.52800000000000002</v>
      </c>
      <c r="I19" s="12">
        <f>Hotel!B24</f>
        <v>121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58012</v>
      </c>
      <c r="F20" s="11">
        <v>5.0000000000000001E-3</v>
      </c>
      <c r="G20" s="12">
        <f>Submetering!R20</f>
        <v>904.33444899999995</v>
      </c>
      <c r="H20" s="11">
        <v>0.52800000000000002</v>
      </c>
      <c r="I20" s="12">
        <f>Hotel!B25</f>
        <v>73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51350</v>
      </c>
      <c r="F21" s="11">
        <v>5.0000000000000001E-3</v>
      </c>
      <c r="G21" s="12">
        <f>Submetering!R21</f>
        <v>350.52896599999997</v>
      </c>
      <c r="H21" s="11">
        <v>0.52800000000000002</v>
      </c>
      <c r="I21" s="12">
        <f>Hotel!B26</f>
        <v>71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53658</v>
      </c>
      <c r="F22" s="11">
        <v>5.0000000000000001E-3</v>
      </c>
      <c r="G22" s="12">
        <f>Submetering!R22</f>
        <v>662.82529099999999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52810</v>
      </c>
      <c r="F23" s="11">
        <v>5.0000000000000001E-3</v>
      </c>
      <c r="G23" s="12">
        <f>Submetering!R23</f>
        <v>686.67337399999997</v>
      </c>
      <c r="H23" s="11">
        <v>0.52800000000000002</v>
      </c>
      <c r="I23" s="12">
        <f>Hotel!B28</f>
        <v>82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53470</v>
      </c>
      <c r="F24" s="11">
        <v>5.0000000000000001E-3</v>
      </c>
      <c r="G24" s="12">
        <f>Submetering!R24</f>
        <v>632.92055199999993</v>
      </c>
      <c r="H24" s="11">
        <v>0.52800000000000002</v>
      </c>
      <c r="I24" s="12">
        <f>Hotel!B29</f>
        <v>83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53160</v>
      </c>
      <c r="F25" s="11">
        <v>5.0000000000000001E-3</v>
      </c>
      <c r="G25" s="12">
        <f>Submetering!R25</f>
        <v>562.13338499999998</v>
      </c>
      <c r="H25" s="11">
        <v>0.52800000000000002</v>
      </c>
      <c r="I25" s="12">
        <f>Hotel!B30</f>
        <v>138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57640</v>
      </c>
      <c r="F26" s="11">
        <v>5.0000000000000001E-3</v>
      </c>
      <c r="G26" s="12">
        <f>Submetering!R26</f>
        <v>681.37379999999996</v>
      </c>
      <c r="H26" s="11">
        <v>0.52800000000000002</v>
      </c>
      <c r="I26" s="12">
        <f>Hotel!B31</f>
        <v>166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50068</v>
      </c>
      <c r="F27" s="11">
        <v>5.0000000000000001E-3</v>
      </c>
      <c r="G27" s="12">
        <f>Submetering!R27</f>
        <v>775.63050899999996</v>
      </c>
      <c r="H27" s="11">
        <v>0.52800000000000002</v>
      </c>
      <c r="I27" s="12">
        <f>Hotel!B32</f>
        <v>90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60488</v>
      </c>
      <c r="F28" s="11">
        <v>5.0000000000000001E-3</v>
      </c>
      <c r="G28" s="12">
        <f>Submetering!R28</f>
        <v>711.27853900000002</v>
      </c>
      <c r="H28" s="11">
        <v>0.52800000000000002</v>
      </c>
      <c r="I28" s="12">
        <f>Hotel!B33</f>
        <v>85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54694</v>
      </c>
      <c r="F29" s="11">
        <v>5.0000000000000001E-3</v>
      </c>
      <c r="G29" s="12">
        <f>Submetering!R29</f>
        <v>581.06043499999998</v>
      </c>
      <c r="H29" s="11">
        <v>0.52800000000000002</v>
      </c>
      <c r="I29" s="12">
        <f>Hotel!B34</f>
        <v>84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55860</v>
      </c>
      <c r="F30" s="11">
        <v>5.0000000000000001E-3</v>
      </c>
      <c r="G30" s="12">
        <f>Submetering!R30</f>
        <v>709.76437499999997</v>
      </c>
      <c r="H30" s="11">
        <v>0.52800000000000002</v>
      </c>
      <c r="I30" s="12">
        <f>Hotel!B35</f>
        <v>85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53620</v>
      </c>
      <c r="F31" s="11">
        <v>5.0000000000000001E-3</v>
      </c>
      <c r="G31" s="12">
        <f>Submetering!R31</f>
        <v>622.69994499999996</v>
      </c>
      <c r="H31" s="11">
        <v>0.52800000000000002</v>
      </c>
      <c r="I31" s="12">
        <f>Hotel!B36</f>
        <v>92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57270</v>
      </c>
      <c r="F32" s="11">
        <v>5.0000000000000001E-3</v>
      </c>
      <c r="G32" s="12">
        <f>Submetering!R32</f>
        <v>773.35926299999994</v>
      </c>
      <c r="H32" s="11">
        <v>0.52800000000000002</v>
      </c>
      <c r="I32" s="12">
        <f>Hotel!B37</f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Hotel!AV12*0.00378541*100</f>
        <v>636.705962</v>
      </c>
      <c r="S7" s="4">
        <f>Hotel!B12</f>
        <v>62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Hotel!AV13*0.00378541*100</f>
        <v>450.46378999999996</v>
      </c>
      <c r="S8" s="4">
        <f>Hotel!B13</f>
        <v>71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>
        <f>Hotel!Q14</f>
        <v>560</v>
      </c>
      <c r="F9" s="4">
        <f>Hotel!R14</f>
        <v>1930</v>
      </c>
      <c r="G9" s="4">
        <f>Hotel!S14</f>
        <v>0</v>
      </c>
      <c r="H9" s="4">
        <f>Hotel!T14</f>
        <v>4410</v>
      </c>
      <c r="I9" s="4">
        <f>Hotel!U14</f>
        <v>4870</v>
      </c>
      <c r="J9" s="4">
        <f>Hotel!V14</f>
        <v>3540</v>
      </c>
      <c r="K9" s="4">
        <f>Hotel!W14</f>
        <v>2500</v>
      </c>
      <c r="L9" s="4">
        <f>Hotel!X14</f>
        <v>4070</v>
      </c>
      <c r="M9" s="4">
        <f>Hotel!Y14</f>
        <v>6130</v>
      </c>
      <c r="N9" s="4">
        <f>Hotel!Z14</f>
        <v>2540</v>
      </c>
      <c r="O9" s="4">
        <f>Hotel!AA14</f>
        <v>3340</v>
      </c>
      <c r="P9" s="4">
        <f>Hotel!AB14</f>
        <v>7520</v>
      </c>
      <c r="Q9" s="4">
        <f>Hotel!AC14</f>
        <v>13540</v>
      </c>
      <c r="R9" s="4">
        <f>Hotel!AV14*0.00378541*100</f>
        <v>567.81150000000002</v>
      </c>
      <c r="S9" s="4">
        <f>Hotel!B14</f>
        <v>65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>
        <f>Hotel!Q15</f>
        <v>550</v>
      </c>
      <c r="F10" s="4">
        <f>Hotel!R15</f>
        <v>1910</v>
      </c>
      <c r="G10" s="4">
        <f>Hotel!S15</f>
        <v>0</v>
      </c>
      <c r="H10" s="4">
        <f>Hotel!T15</f>
        <v>4320</v>
      </c>
      <c r="I10" s="4">
        <f>Hotel!U15</f>
        <v>4950</v>
      </c>
      <c r="J10" s="4">
        <f>Hotel!V15</f>
        <v>3470</v>
      </c>
      <c r="K10" s="4">
        <f>Hotel!W15</f>
        <v>2440</v>
      </c>
      <c r="L10" s="4">
        <f>Hotel!X15</f>
        <v>3890</v>
      </c>
      <c r="M10" s="4">
        <f>Hotel!Y15</f>
        <v>5980</v>
      </c>
      <c r="N10" s="4">
        <f>Hotel!Z15</f>
        <v>2570</v>
      </c>
      <c r="O10" s="4">
        <f>Hotel!AA15</f>
        <v>3210</v>
      </c>
      <c r="P10" s="4">
        <f>Hotel!AB15</f>
        <v>7440</v>
      </c>
      <c r="Q10" s="4">
        <f>Hotel!AC15</f>
        <v>11980</v>
      </c>
      <c r="R10" s="4">
        <f>Hotel!AV15*0.00378541*100</f>
        <v>605.66560000000004</v>
      </c>
      <c r="S10" s="4">
        <f>Hotel!B15</f>
        <v>82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540</v>
      </c>
      <c r="F11" s="4">
        <f>Hotel!R16</f>
        <v>1850</v>
      </c>
      <c r="G11" s="4">
        <f>Hotel!S16</f>
        <v>1630</v>
      </c>
      <c r="H11" s="4">
        <f>Hotel!T16</f>
        <v>2570</v>
      </c>
      <c r="I11" s="4">
        <f>Hotel!U16</f>
        <v>4930</v>
      </c>
      <c r="J11" s="4">
        <f>Hotel!V16</f>
        <v>3410</v>
      </c>
      <c r="K11" s="4">
        <f>Hotel!W16</f>
        <v>2370</v>
      </c>
      <c r="L11" s="4">
        <f>Hotel!X16</f>
        <v>3760</v>
      </c>
      <c r="M11" s="4">
        <f>Hotel!Y16</f>
        <v>6030</v>
      </c>
      <c r="N11" s="4">
        <f>Hotel!Z16</f>
        <v>2640</v>
      </c>
      <c r="O11" s="4">
        <f>Hotel!AA16</f>
        <v>3400</v>
      </c>
      <c r="P11" s="4">
        <f>Hotel!AB16</f>
        <v>6990</v>
      </c>
      <c r="Q11" s="4">
        <f>Hotel!AC16</f>
        <v>10940</v>
      </c>
      <c r="R11" s="4">
        <f>Hotel!AV16*0.00378541*100</f>
        <v>1424.8283239999998</v>
      </c>
      <c r="S11" s="4">
        <f>Hotel!B16</f>
        <v>111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580</v>
      </c>
      <c r="F12" s="4">
        <f>Hotel!R17</f>
        <v>1970</v>
      </c>
      <c r="G12" s="4">
        <f>Hotel!S17</f>
        <v>2960</v>
      </c>
      <c r="H12" s="4">
        <f>Hotel!T17</f>
        <v>1440</v>
      </c>
      <c r="I12" s="4">
        <f>Hotel!U17</f>
        <v>5380</v>
      </c>
      <c r="J12" s="4">
        <f>Hotel!V17</f>
        <v>3650</v>
      </c>
      <c r="K12" s="4">
        <f>Hotel!W17</f>
        <v>2510</v>
      </c>
      <c r="L12" s="4">
        <f>Hotel!X17</f>
        <v>4020</v>
      </c>
      <c r="M12" s="4">
        <f>Hotel!Y17</f>
        <v>6410</v>
      </c>
      <c r="N12" s="4">
        <f>Hotel!Z17</f>
        <v>2730</v>
      </c>
      <c r="O12" s="4">
        <f>Hotel!AA17</f>
        <v>3590</v>
      </c>
      <c r="P12" s="4">
        <f>Hotel!AB17</f>
        <v>7410</v>
      </c>
      <c r="Q12" s="4">
        <f>Hotel!AC17</f>
        <v>11940</v>
      </c>
      <c r="R12" s="4">
        <f>Hotel!AV17*0.00378541*100</f>
        <v>279.36325800000003</v>
      </c>
      <c r="S12" s="4">
        <f>Hotel!B17</f>
        <v>125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360</v>
      </c>
      <c r="F13" s="4">
        <f>Hotel!R18</f>
        <v>1890</v>
      </c>
      <c r="G13" s="4">
        <f>Hotel!S18</f>
        <v>2730</v>
      </c>
      <c r="H13" s="4">
        <f>Hotel!T18</f>
        <v>1390</v>
      </c>
      <c r="I13" s="4">
        <f>Hotel!U18</f>
        <v>5200</v>
      </c>
      <c r="J13" s="4">
        <f>Hotel!V18</f>
        <v>3550</v>
      </c>
      <c r="K13" s="4">
        <f>Hotel!W18</f>
        <v>2410</v>
      </c>
      <c r="L13" s="4">
        <f>Hotel!X18</f>
        <v>3860</v>
      </c>
      <c r="M13" s="4">
        <f>Hotel!Y18</f>
        <v>6240</v>
      </c>
      <c r="N13" s="4">
        <f>Hotel!Z18</f>
        <v>2540</v>
      </c>
      <c r="O13" s="4">
        <f>Hotel!AA18</f>
        <v>3720</v>
      </c>
      <c r="P13" s="4">
        <f>Hotel!AB18</f>
        <v>7090</v>
      </c>
      <c r="Q13" s="4">
        <f>Hotel!AC18</f>
        <v>11830</v>
      </c>
      <c r="R13" s="4">
        <f>Hotel!AV18*0.00378541*100</f>
        <v>207.061927</v>
      </c>
      <c r="S13" s="4">
        <f>Hotel!B18</f>
        <v>103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>
        <f>Hotel!Q19</f>
        <v>750</v>
      </c>
      <c r="F14" s="4">
        <f>Hotel!R19</f>
        <v>1880</v>
      </c>
      <c r="G14" s="4">
        <f>Hotel!S19</f>
        <v>2670</v>
      </c>
      <c r="H14" s="4">
        <f>Hotel!T19</f>
        <v>1380</v>
      </c>
      <c r="I14" s="4">
        <f>Hotel!U19</f>
        <v>5160</v>
      </c>
      <c r="J14" s="4">
        <f>Hotel!V19</f>
        <v>3560</v>
      </c>
      <c r="K14" s="4">
        <f>Hotel!W19</f>
        <v>2390</v>
      </c>
      <c r="L14" s="4">
        <f>Hotel!X19</f>
        <v>3610</v>
      </c>
      <c r="M14" s="4">
        <f>Hotel!Y19</f>
        <v>5890</v>
      </c>
      <c r="N14" s="4">
        <f>Hotel!Z19</f>
        <v>2550</v>
      </c>
      <c r="O14" s="4">
        <f>Hotel!AA19</f>
        <v>3310</v>
      </c>
      <c r="P14" s="4">
        <f>Hotel!AB19</f>
        <v>6920</v>
      </c>
      <c r="Q14" s="4">
        <f>Hotel!AC19</f>
        <v>11270</v>
      </c>
      <c r="R14" s="4">
        <f>Hotel!AV19*0.00378541*100</f>
        <v>662.82529099999999</v>
      </c>
      <c r="S14" s="4">
        <f>Hotel!B19</f>
        <v>75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560</v>
      </c>
      <c r="F15" s="4">
        <f>Hotel!R20</f>
        <v>1900</v>
      </c>
      <c r="G15" s="4">
        <f>Hotel!S20</f>
        <v>2770</v>
      </c>
      <c r="H15" s="4">
        <f>Hotel!T20</f>
        <v>1390</v>
      </c>
      <c r="I15" s="4">
        <f>Hotel!U20</f>
        <v>5020</v>
      </c>
      <c r="J15" s="4">
        <f>Hotel!V20</f>
        <v>3500</v>
      </c>
      <c r="K15" s="4">
        <f>Hotel!W20</f>
        <v>2400</v>
      </c>
      <c r="L15" s="4">
        <f>Hotel!X20</f>
        <v>3710</v>
      </c>
      <c r="M15" s="4">
        <f>Hotel!Y20</f>
        <v>5850</v>
      </c>
      <c r="N15" s="4">
        <f>Hotel!Z20</f>
        <v>2450</v>
      </c>
      <c r="O15" s="4">
        <f>Hotel!AA20</f>
        <v>3210</v>
      </c>
      <c r="P15" s="4">
        <f>Hotel!AB20</f>
        <v>7080</v>
      </c>
      <c r="Q15" s="4">
        <f>Hotel!AC20</f>
        <v>11520</v>
      </c>
      <c r="R15" s="4">
        <f>Hotel!AV20*0.00378541*100</f>
        <v>697.65106300000002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550</v>
      </c>
      <c r="F16" s="4">
        <f>Hotel!R21</f>
        <v>1860</v>
      </c>
      <c r="G16" s="4">
        <f>Hotel!S21</f>
        <v>3000</v>
      </c>
      <c r="H16" s="4">
        <f>Hotel!T21</f>
        <v>1380</v>
      </c>
      <c r="I16" s="4">
        <f>Hotel!U21</f>
        <v>4620</v>
      </c>
      <c r="J16" s="4">
        <f>Hotel!V21</f>
        <v>3470</v>
      </c>
      <c r="K16" s="4">
        <f>Hotel!W21</f>
        <v>2450</v>
      </c>
      <c r="L16" s="4">
        <f>Hotel!X21</f>
        <v>3630</v>
      </c>
      <c r="M16" s="4">
        <f>Hotel!Y21</f>
        <v>6000</v>
      </c>
      <c r="N16" s="4">
        <f>Hotel!Z21</f>
        <v>2450</v>
      </c>
      <c r="O16" s="4">
        <f>Hotel!AA21</f>
        <v>2810</v>
      </c>
      <c r="P16" s="4">
        <f>Hotel!AB21</f>
        <v>6740</v>
      </c>
      <c r="Q16" s="4">
        <f>Hotel!AC21</f>
        <v>11380</v>
      </c>
      <c r="R16" s="4">
        <f>Hotel!AV21*0.00378541*100</f>
        <v>520.87241600000004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>
        <f>Hotel!Q22</f>
        <v>560</v>
      </c>
      <c r="F17" s="4">
        <f>Hotel!R22</f>
        <v>1900</v>
      </c>
      <c r="G17" s="4">
        <f>Hotel!S22</f>
        <v>2960</v>
      </c>
      <c r="H17" s="4">
        <f>Hotel!T22</f>
        <v>1430</v>
      </c>
      <c r="I17" s="4">
        <f>Hotel!U22</f>
        <v>5280</v>
      </c>
      <c r="J17" s="4">
        <f>Hotel!V22</f>
        <v>3580</v>
      </c>
      <c r="K17" s="4">
        <f>Hotel!W22</f>
        <v>2430</v>
      </c>
      <c r="L17" s="4">
        <f>Hotel!X22</f>
        <v>3800</v>
      </c>
      <c r="M17" s="4">
        <f>Hotel!Y22</f>
        <v>6190</v>
      </c>
      <c r="N17" s="4">
        <f>Hotel!Z22</f>
        <v>2570</v>
      </c>
      <c r="O17" s="4">
        <f>Hotel!AA22</f>
        <v>3510</v>
      </c>
      <c r="P17" s="4">
        <f>Hotel!AB22</f>
        <v>7020</v>
      </c>
      <c r="Q17" s="4">
        <f>Hotel!AC22</f>
        <v>12680</v>
      </c>
      <c r="R17" s="4">
        <f>Hotel!AV22*0.00378541*100</f>
        <v>889.94989099999998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>
        <f>Hotel!Q23</f>
        <v>550</v>
      </c>
      <c r="F18" s="4">
        <f>Hotel!R23</f>
        <v>1890</v>
      </c>
      <c r="G18" s="4">
        <f>Hotel!S23</f>
        <v>3070</v>
      </c>
      <c r="H18" s="4">
        <f>Hotel!T23</f>
        <v>1460</v>
      </c>
      <c r="I18" s="4">
        <f>Hotel!U23</f>
        <v>4840</v>
      </c>
      <c r="J18" s="4">
        <f>Hotel!V23</f>
        <v>3570</v>
      </c>
      <c r="K18" s="4">
        <f>Hotel!W23</f>
        <v>2420</v>
      </c>
      <c r="L18" s="4">
        <f>Hotel!X23</f>
        <v>3840</v>
      </c>
      <c r="M18" s="4">
        <f>Hotel!Y23</f>
        <v>5960</v>
      </c>
      <c r="N18" s="4">
        <f>Hotel!Z23</f>
        <v>2570</v>
      </c>
      <c r="O18" s="4">
        <f>Hotel!AA23</f>
        <v>3270</v>
      </c>
      <c r="P18" s="4">
        <f>Hotel!AB23</f>
        <v>7000</v>
      </c>
      <c r="Q18" s="4">
        <f>Hotel!AC23</f>
        <v>12480</v>
      </c>
      <c r="R18" s="4">
        <f>Hotel!AV23*0.00378541*100</f>
        <v>507.24493999999999</v>
      </c>
      <c r="S18" s="4">
        <f>Hotel!B23</f>
        <v>112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540</v>
      </c>
      <c r="F19" s="4">
        <f>Hotel!R24</f>
        <v>1810</v>
      </c>
      <c r="G19" s="4">
        <f>Hotel!S24</f>
        <v>2880</v>
      </c>
      <c r="H19" s="4">
        <f>Hotel!T24</f>
        <v>1410</v>
      </c>
      <c r="I19" s="4">
        <f>Hotel!U24</f>
        <v>4860</v>
      </c>
      <c r="J19" s="4">
        <f>Hotel!V24</f>
        <v>3600</v>
      </c>
      <c r="K19" s="4">
        <f>Hotel!W24</f>
        <v>2360</v>
      </c>
      <c r="L19" s="4">
        <f>Hotel!X24</f>
        <v>3770</v>
      </c>
      <c r="M19" s="4">
        <f>Hotel!Y24</f>
        <v>6180</v>
      </c>
      <c r="N19" s="4">
        <f>Hotel!Z24</f>
        <v>2620</v>
      </c>
      <c r="O19" s="4">
        <f>Hotel!AA24</f>
        <v>3270</v>
      </c>
      <c r="P19" s="4">
        <f>Hotel!AB24</f>
        <v>6980</v>
      </c>
      <c r="Q19" s="4">
        <f>Hotel!AC24</f>
        <v>12040</v>
      </c>
      <c r="R19" s="4">
        <f>Hotel!AV24*0.00378541*100</f>
        <v>696.5154399999999</v>
      </c>
      <c r="S19" s="4">
        <f>Hotel!B24</f>
        <v>121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600</v>
      </c>
      <c r="F20" s="4">
        <f>Hotel!R25</f>
        <v>2050</v>
      </c>
      <c r="G20" s="4">
        <f>Hotel!S25</f>
        <v>3110</v>
      </c>
      <c r="H20" s="4">
        <f>Hotel!T25</f>
        <v>1580</v>
      </c>
      <c r="I20" s="4">
        <f>Hotel!U25</f>
        <v>5500</v>
      </c>
      <c r="J20" s="4">
        <f>Hotel!V25</f>
        <v>3782</v>
      </c>
      <c r="K20" s="4">
        <f>Hotel!W25</f>
        <v>2640</v>
      </c>
      <c r="L20" s="4">
        <f>Hotel!X25</f>
        <v>4160</v>
      </c>
      <c r="M20" s="4">
        <f>Hotel!Y25</f>
        <v>6740</v>
      </c>
      <c r="N20" s="4">
        <f>Hotel!Z25</f>
        <v>2790</v>
      </c>
      <c r="O20" s="4">
        <f>Hotel!AA25</f>
        <v>3740</v>
      </c>
      <c r="P20" s="4">
        <f>Hotel!AB25</f>
        <v>7750</v>
      </c>
      <c r="Q20" s="4">
        <f>Hotel!AC25</f>
        <v>13570</v>
      </c>
      <c r="R20" s="4">
        <f>Hotel!AV25*0.00378541*100</f>
        <v>904.33444899999995</v>
      </c>
      <c r="S20" s="4">
        <f>Hotel!B25</f>
        <v>73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>
        <f>Hotel!Q26</f>
        <v>530</v>
      </c>
      <c r="F21" s="4">
        <f>Hotel!R26</f>
        <v>1810</v>
      </c>
      <c r="G21" s="4">
        <f>Hotel!S26</f>
        <v>2580</v>
      </c>
      <c r="H21" s="4">
        <f>Hotel!T26</f>
        <v>1400</v>
      </c>
      <c r="I21" s="4">
        <f>Hotel!U26</f>
        <v>4590</v>
      </c>
      <c r="J21" s="4">
        <f>Hotel!V26</f>
        <v>3348</v>
      </c>
      <c r="K21" s="4">
        <f>Hotel!W26</f>
        <v>2360</v>
      </c>
      <c r="L21" s="4">
        <f>Hotel!X26</f>
        <v>3420</v>
      </c>
      <c r="M21" s="4">
        <f>Hotel!Y26</f>
        <v>5520</v>
      </c>
      <c r="N21" s="4">
        <f>Hotel!Z26</f>
        <v>2380</v>
      </c>
      <c r="O21" s="4">
        <f>Hotel!AA26</f>
        <v>2970</v>
      </c>
      <c r="P21" s="4">
        <f>Hotel!AB26</f>
        <v>6790</v>
      </c>
      <c r="Q21" s="4">
        <f>Hotel!AC26</f>
        <v>13652</v>
      </c>
      <c r="R21" s="4">
        <f>Hotel!AV26*0.00378541*100</f>
        <v>350.52896599999997</v>
      </c>
      <c r="S21" s="4">
        <f>Hotel!B26</f>
        <v>71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560</v>
      </c>
      <c r="F22" s="4">
        <f>Hotel!R27</f>
        <v>1920</v>
      </c>
      <c r="G22" s="4">
        <f>Hotel!S27</f>
        <v>2660</v>
      </c>
      <c r="H22" s="4">
        <f>Hotel!T27</f>
        <v>1470</v>
      </c>
      <c r="I22" s="4">
        <f>Hotel!U27</f>
        <v>5100</v>
      </c>
      <c r="J22" s="4">
        <f>Hotel!V27</f>
        <v>3540</v>
      </c>
      <c r="K22" s="4">
        <f>Hotel!W27</f>
        <v>2500</v>
      </c>
      <c r="L22" s="4">
        <f>Hotel!X27</f>
        <v>3960</v>
      </c>
      <c r="M22" s="4">
        <f>Hotel!Y27</f>
        <v>6120</v>
      </c>
      <c r="N22" s="4">
        <f>Hotel!Z27</f>
        <v>2400</v>
      </c>
      <c r="O22" s="4">
        <f>Hotel!AA27</f>
        <v>3410</v>
      </c>
      <c r="P22" s="4">
        <f>Hotel!AB27</f>
        <v>7020</v>
      </c>
      <c r="Q22" s="4">
        <f>Hotel!AC27</f>
        <v>12998</v>
      </c>
      <c r="R22" s="4">
        <f>Hotel!AV27*0.00378541*100</f>
        <v>662.82529099999999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550</v>
      </c>
      <c r="F23" s="4">
        <f>Hotel!R28</f>
        <v>1860</v>
      </c>
      <c r="G23" s="4">
        <f>Hotel!S28</f>
        <v>2590</v>
      </c>
      <c r="H23" s="4">
        <f>Hotel!T28</f>
        <v>1430</v>
      </c>
      <c r="I23" s="4">
        <f>Hotel!U28</f>
        <v>5300</v>
      </c>
      <c r="J23" s="4">
        <f>Hotel!V28</f>
        <v>3460</v>
      </c>
      <c r="K23" s="4">
        <f>Hotel!W28</f>
        <v>2460</v>
      </c>
      <c r="L23" s="4">
        <f>Hotel!X28</f>
        <v>3840</v>
      </c>
      <c r="M23" s="4">
        <f>Hotel!Y28</f>
        <v>6170</v>
      </c>
      <c r="N23" s="4">
        <f>Hotel!Z28</f>
        <v>2530</v>
      </c>
      <c r="O23" s="4">
        <f>Hotel!AA28</f>
        <v>3120</v>
      </c>
      <c r="P23" s="4">
        <f>Hotel!AB28</f>
        <v>6710</v>
      </c>
      <c r="Q23" s="4">
        <f>Hotel!AC28</f>
        <v>12790</v>
      </c>
      <c r="R23" s="4">
        <f>Hotel!AV28*0.00378541*100</f>
        <v>686.67337399999997</v>
      </c>
      <c r="S23" s="4">
        <f>Hotel!B28</f>
        <v>82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>
        <f>Hotel!Q29</f>
        <v>560</v>
      </c>
      <c r="F24" s="4">
        <f>Hotel!R29</f>
        <v>1920</v>
      </c>
      <c r="G24" s="4">
        <f>Hotel!S29</f>
        <v>2730</v>
      </c>
      <c r="H24" s="4">
        <f>Hotel!T29</f>
        <v>1480</v>
      </c>
      <c r="I24" s="4">
        <f>Hotel!U29</f>
        <v>5400</v>
      </c>
      <c r="J24" s="4">
        <f>Hotel!V29</f>
        <v>3600</v>
      </c>
      <c r="K24" s="4">
        <f>Hotel!W29</f>
        <v>2510</v>
      </c>
      <c r="L24" s="4">
        <f>Hotel!X29</f>
        <v>3760</v>
      </c>
      <c r="M24" s="4">
        <f>Hotel!Y29</f>
        <v>6260</v>
      </c>
      <c r="N24" s="4">
        <f>Hotel!Z29</f>
        <v>2540</v>
      </c>
      <c r="O24" s="4">
        <f>Hotel!AA29</f>
        <v>3380</v>
      </c>
      <c r="P24" s="4">
        <f>Hotel!AB29</f>
        <v>7030</v>
      </c>
      <c r="Q24" s="4">
        <f>Hotel!AC29</f>
        <v>12300</v>
      </c>
      <c r="R24" s="4">
        <f>Hotel!AV29*0.00378541*100</f>
        <v>632.92055199999993</v>
      </c>
      <c r="S24" s="4">
        <f>Hotel!B29</f>
        <v>83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550</v>
      </c>
      <c r="F25" s="4">
        <f>Hotel!R30</f>
        <v>1870</v>
      </c>
      <c r="G25" s="4">
        <f>Hotel!S30</f>
        <v>2710</v>
      </c>
      <c r="H25" s="4">
        <f>Hotel!T30</f>
        <v>1440</v>
      </c>
      <c r="I25" s="4">
        <f>Hotel!U30</f>
        <v>5480</v>
      </c>
      <c r="J25" s="4">
        <f>Hotel!V30</f>
        <v>3580</v>
      </c>
      <c r="K25" s="4">
        <f>Hotel!W30</f>
        <v>2440</v>
      </c>
      <c r="L25" s="4">
        <f>Hotel!X30</f>
        <v>3690</v>
      </c>
      <c r="M25" s="4">
        <f>Hotel!Y30</f>
        <v>6170</v>
      </c>
      <c r="N25" s="4">
        <f>Hotel!Z30</f>
        <v>2580</v>
      </c>
      <c r="O25" s="4">
        <f>Hotel!AA30</f>
        <v>3420</v>
      </c>
      <c r="P25" s="4">
        <f>Hotel!AB30</f>
        <v>6830</v>
      </c>
      <c r="Q25" s="4">
        <f>Hotel!AC30</f>
        <v>12400</v>
      </c>
      <c r="R25" s="4">
        <f>Hotel!AV30*0.00378541*100</f>
        <v>562.13338499999998</v>
      </c>
      <c r="S25" s="4">
        <f>Hotel!B30</f>
        <v>138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>
        <f>Hotel!Q31</f>
        <v>560</v>
      </c>
      <c r="F26" s="4">
        <f>Hotel!R31</f>
        <v>1930</v>
      </c>
      <c r="G26" s="4">
        <f>Hotel!S31</f>
        <v>2610</v>
      </c>
      <c r="H26" s="4">
        <f>Hotel!T31</f>
        <v>1480</v>
      </c>
      <c r="I26" s="4">
        <f>Hotel!U31</f>
        <v>5870</v>
      </c>
      <c r="J26" s="4">
        <f>Hotel!V31</f>
        <v>3850</v>
      </c>
      <c r="K26" s="4">
        <f>Hotel!W31</f>
        <v>2620</v>
      </c>
      <c r="L26" s="4">
        <f>Hotel!X31</f>
        <v>4070</v>
      </c>
      <c r="M26" s="4">
        <f>Hotel!Y31</f>
        <v>6470</v>
      </c>
      <c r="N26" s="4">
        <f>Hotel!Z31</f>
        <v>2860</v>
      </c>
      <c r="O26" s="4">
        <f>Hotel!AA31</f>
        <v>3840</v>
      </c>
      <c r="P26" s="4">
        <f>Hotel!AB31</f>
        <v>7000</v>
      </c>
      <c r="Q26" s="4">
        <f>Hotel!AC31</f>
        <v>14480</v>
      </c>
      <c r="R26" s="4">
        <f>Hotel!AV31*0.00378541*100</f>
        <v>681.37379999999996</v>
      </c>
      <c r="S26" s="4">
        <f>Hotel!B31</f>
        <v>166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>
        <f>Hotel!Q32</f>
        <v>580</v>
      </c>
      <c r="F27" s="4">
        <f>Hotel!R32</f>
        <v>1970</v>
      </c>
      <c r="G27" s="4">
        <f>Hotel!S32</f>
        <v>2500</v>
      </c>
      <c r="H27" s="4">
        <f>Hotel!T32</f>
        <v>1510</v>
      </c>
      <c r="I27" s="4">
        <f>Hotel!U32</f>
        <v>5980</v>
      </c>
      <c r="J27" s="4">
        <f>Hotel!V32</f>
        <v>3623</v>
      </c>
      <c r="K27" s="4">
        <f>Hotel!W32</f>
        <v>930</v>
      </c>
      <c r="L27" s="4">
        <f>Hotel!X32</f>
        <v>3685</v>
      </c>
      <c r="M27" s="4">
        <f>Hotel!Y32</f>
        <v>6550</v>
      </c>
      <c r="N27" s="4">
        <f>Hotel!Z32</f>
        <v>2930</v>
      </c>
      <c r="O27" s="4">
        <f>Hotel!AA32</f>
        <v>3710</v>
      </c>
      <c r="P27" s="4">
        <f>Hotel!AB32</f>
        <v>7000</v>
      </c>
      <c r="Q27" s="4">
        <f>Hotel!AC32</f>
        <v>9100</v>
      </c>
      <c r="R27" s="4">
        <f>Hotel!AV32*0.00378541*100</f>
        <v>775.63050899999996</v>
      </c>
      <c r="S27" s="4">
        <f>Hotel!B32</f>
        <v>90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540</v>
      </c>
      <c r="F28" s="4">
        <f>Hotel!R33</f>
        <v>1830</v>
      </c>
      <c r="G28" s="4">
        <f>Hotel!S33</f>
        <v>2290</v>
      </c>
      <c r="H28" s="4">
        <f>Hotel!T33</f>
        <v>1410</v>
      </c>
      <c r="I28" s="4">
        <f>Hotel!U33</f>
        <v>5250</v>
      </c>
      <c r="J28" s="4">
        <f>Hotel!V33</f>
        <v>3623</v>
      </c>
      <c r="K28" s="4">
        <f>Hotel!W33</f>
        <v>3150</v>
      </c>
      <c r="L28" s="4">
        <f>Hotel!X33</f>
        <v>3685</v>
      </c>
      <c r="M28" s="4">
        <f>Hotel!Y33</f>
        <v>5730</v>
      </c>
      <c r="N28" s="4">
        <f>Hotel!Z33</f>
        <v>2540</v>
      </c>
      <c r="O28" s="4">
        <f>Hotel!AA33</f>
        <v>3360</v>
      </c>
      <c r="P28" s="4">
        <f>Hotel!AB33</f>
        <v>7000</v>
      </c>
      <c r="Q28" s="4">
        <f>Hotel!AC33</f>
        <v>20080</v>
      </c>
      <c r="R28" s="4">
        <f>Hotel!AV33*0.00378541*100</f>
        <v>711.27853900000002</v>
      </c>
      <c r="S28" s="4">
        <f>Hotel!B33</f>
        <v>85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540</v>
      </c>
      <c r="F29" s="4">
        <f>Hotel!R34</f>
        <v>1840</v>
      </c>
      <c r="G29" s="4">
        <f>Hotel!S34</f>
        <v>2320</v>
      </c>
      <c r="H29" s="4">
        <f>Hotel!T34</f>
        <v>1410</v>
      </c>
      <c r="I29" s="4">
        <f>Hotel!U34</f>
        <v>5480</v>
      </c>
      <c r="J29" s="4">
        <f>Hotel!V34</f>
        <v>3624</v>
      </c>
      <c r="K29" s="4">
        <f>Hotel!W34</f>
        <v>3150</v>
      </c>
      <c r="L29" s="4">
        <f>Hotel!X34</f>
        <v>4160</v>
      </c>
      <c r="M29" s="4">
        <f>Hotel!Y34</f>
        <v>5800</v>
      </c>
      <c r="N29" s="4">
        <f>Hotel!Z34</f>
        <v>2390</v>
      </c>
      <c r="O29" s="4">
        <f>Hotel!AA34</f>
        <v>3460</v>
      </c>
      <c r="P29" s="4">
        <f>Hotel!AB34</f>
        <v>7000</v>
      </c>
      <c r="Q29" s="4">
        <f>Hotel!AC34</f>
        <v>13520</v>
      </c>
      <c r="R29" s="4">
        <f>Hotel!AV34*0.00378541*100</f>
        <v>581.06043499999998</v>
      </c>
      <c r="S29" s="4">
        <f>Hotel!B34</f>
        <v>84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>
        <f>Hotel!Q35</f>
        <v>560</v>
      </c>
      <c r="F30" s="4">
        <f>Hotel!R35</f>
        <v>1920</v>
      </c>
      <c r="G30" s="4">
        <f>Hotel!S35</f>
        <v>2470</v>
      </c>
      <c r="H30" s="4">
        <f>Hotel!T35</f>
        <v>1480</v>
      </c>
      <c r="I30" s="4">
        <f>Hotel!U35</f>
        <v>6020</v>
      </c>
      <c r="J30" s="4">
        <f>Hotel!V35</f>
        <v>3650</v>
      </c>
      <c r="K30" s="4">
        <f>Hotel!W35</f>
        <v>2510</v>
      </c>
      <c r="L30" s="4">
        <f>Hotel!X35</f>
        <v>3890</v>
      </c>
      <c r="M30" s="4">
        <f>Hotel!Y35</f>
        <v>6280</v>
      </c>
      <c r="N30" s="4">
        <f>Hotel!Z35</f>
        <v>2650</v>
      </c>
      <c r="O30" s="4">
        <f>Hotel!AA35</f>
        <v>3600</v>
      </c>
      <c r="P30" s="4">
        <f>Hotel!AB35</f>
        <v>7000</v>
      </c>
      <c r="Q30" s="4">
        <f>Hotel!AC35</f>
        <v>13830</v>
      </c>
      <c r="R30" s="4">
        <f>Hotel!AV35*0.00378541*100</f>
        <v>709.76437499999997</v>
      </c>
      <c r="S30" s="4">
        <f>Hotel!B35</f>
        <v>85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550</v>
      </c>
      <c r="F31" s="4">
        <f>Hotel!R36</f>
        <v>1890</v>
      </c>
      <c r="G31" s="4">
        <f>Hotel!S36</f>
        <v>2480</v>
      </c>
      <c r="H31" s="4">
        <f>Hotel!T36</f>
        <v>1440</v>
      </c>
      <c r="I31" s="4">
        <f>Hotel!U36</f>
        <v>5930</v>
      </c>
      <c r="J31" s="4">
        <f>Hotel!V36</f>
        <v>3580</v>
      </c>
      <c r="K31" s="4">
        <f>Hotel!W36</f>
        <v>2540</v>
      </c>
      <c r="L31" s="4">
        <f>Hotel!X36</f>
        <v>4150</v>
      </c>
      <c r="M31" s="4">
        <f>Hotel!Y36</f>
        <v>5450</v>
      </c>
      <c r="N31" s="4">
        <f>Hotel!Z36</f>
        <v>2670</v>
      </c>
      <c r="O31" s="4">
        <f>Hotel!AA36</f>
        <v>3530</v>
      </c>
      <c r="P31" s="4">
        <f>Hotel!AB36</f>
        <v>7000</v>
      </c>
      <c r="Q31" s="4">
        <f>Hotel!AC36</f>
        <v>12410</v>
      </c>
      <c r="R31" s="4">
        <f>Hotel!AV36*0.00378541*100</f>
        <v>622.69994499999996</v>
      </c>
      <c r="S31" s="4">
        <f>Hotel!B36</f>
        <v>92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590</v>
      </c>
      <c r="F32" s="4">
        <f>Hotel!R37</f>
        <v>2010</v>
      </c>
      <c r="G32" s="4">
        <f>Hotel!S37</f>
        <v>2790</v>
      </c>
      <c r="H32" s="4">
        <f>Hotel!T37</f>
        <v>1560</v>
      </c>
      <c r="I32" s="4">
        <f>Hotel!U37</f>
        <v>6610</v>
      </c>
      <c r="J32" s="4">
        <f>Hotel!V37</f>
        <v>3860</v>
      </c>
      <c r="K32" s="4">
        <f>Hotel!W37</f>
        <v>2730</v>
      </c>
      <c r="L32" s="4">
        <f>Hotel!X37</f>
        <v>4430</v>
      </c>
      <c r="M32" s="4">
        <f>Hotel!Y37</f>
        <v>6040</v>
      </c>
      <c r="N32" s="4">
        <f>Hotel!Z37</f>
        <v>3250</v>
      </c>
      <c r="O32" s="4">
        <f>Hotel!AA37</f>
        <v>4180</v>
      </c>
      <c r="P32" s="4">
        <f>Hotel!AB37</f>
        <v>7000</v>
      </c>
      <c r="Q32" s="4">
        <f>Hotel!AC37</f>
        <v>12220</v>
      </c>
      <c r="R32" s="4">
        <f>Hotel!AV37*0.00378541*100</f>
        <v>773.35926299999994</v>
      </c>
      <c r="S32" s="4">
        <f>Hotel!B37</f>
        <v>255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4" zoomScale="93" zoomScaleNormal="93" workbookViewId="0">
      <selection activeCell="A37" sqref="A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271.25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>
        <v>62</v>
      </c>
      <c r="C12" s="49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16"/>
        <v>550</v>
      </c>
      <c r="R12" s="37">
        <f t="shared" si="17"/>
        <v>1900</v>
      </c>
      <c r="S12" s="37">
        <f t="shared" si="15"/>
        <v>10</v>
      </c>
      <c r="T12" s="37">
        <f t="shared" ref="T12:W14" si="32">IF((F12-F11&lt;0), "0",F12-F11)</f>
        <v>4630</v>
      </c>
      <c r="U12" s="37">
        <f t="shared" si="32"/>
        <v>4730</v>
      </c>
      <c r="V12" s="37">
        <f t="shared" si="32"/>
        <v>3310</v>
      </c>
      <c r="W12" s="37">
        <f t="shared" si="32"/>
        <v>2400</v>
      </c>
      <c r="X12" s="37">
        <f t="shared" si="22"/>
        <v>3500</v>
      </c>
      <c r="Y12" s="37">
        <f t="shared" si="23"/>
        <v>5860</v>
      </c>
      <c r="Z12" s="37">
        <f>IF((L12-L11&lt;0), "0",L12-L11)</f>
        <v>2380</v>
      </c>
      <c r="AA12" s="37">
        <f t="shared" si="25"/>
        <v>3260</v>
      </c>
      <c r="AB12" s="37">
        <f t="shared" si="26"/>
        <v>7150</v>
      </c>
      <c r="AC12" s="37">
        <f t="shared" si="27"/>
        <v>10430</v>
      </c>
      <c r="AD12" s="35">
        <f t="shared" si="28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29"/>
        <v>250.55000000000004</v>
      </c>
      <c r="AU12" s="47">
        <v>340110</v>
      </c>
      <c r="AV12" s="37">
        <f t="shared" si="31"/>
        <v>1682</v>
      </c>
      <c r="AW12" s="35">
        <f t="shared" si="30"/>
        <v>3.3639999999999999</v>
      </c>
    </row>
    <row r="13" spans="1:49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16"/>
        <v>560</v>
      </c>
      <c r="R13" s="37">
        <f t="shared" si="17"/>
        <v>1900</v>
      </c>
      <c r="S13" s="37">
        <f t="shared" si="15"/>
        <v>0</v>
      </c>
      <c r="T13" s="37">
        <f t="shared" si="32"/>
        <v>4330</v>
      </c>
      <c r="U13" s="37">
        <f t="shared" si="32"/>
        <v>4570</v>
      </c>
      <c r="V13" s="37">
        <f t="shared" si="32"/>
        <v>3510</v>
      </c>
      <c r="W13" s="37">
        <f t="shared" si="32"/>
        <v>2420</v>
      </c>
      <c r="X13" s="37">
        <f t="shared" si="22"/>
        <v>3960</v>
      </c>
      <c r="Y13" s="37">
        <f t="shared" si="23"/>
        <v>5950</v>
      </c>
      <c r="Z13" s="37">
        <f>IF((L13-L12&lt;0), "0",L13-L12)</f>
        <v>2400</v>
      </c>
      <c r="AA13" s="37">
        <f t="shared" si="25"/>
        <v>2960</v>
      </c>
      <c r="AB13" s="37">
        <f t="shared" si="26"/>
        <v>7370</v>
      </c>
      <c r="AC13" s="37">
        <f t="shared" si="27"/>
        <v>10550</v>
      </c>
      <c r="AD13" s="35">
        <f t="shared" si="28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29"/>
        <v>252.4</v>
      </c>
      <c r="AU13" s="47">
        <v>341300</v>
      </c>
      <c r="AV13" s="37">
        <f t="shared" si="31"/>
        <v>1190</v>
      </c>
      <c r="AW13" s="35">
        <f t="shared" si="30"/>
        <v>2.38</v>
      </c>
    </row>
    <row r="14" spans="1:49" x14ac:dyDescent="0.25">
      <c r="A14" s="23">
        <v>44173</v>
      </c>
      <c r="B14" s="40">
        <v>65</v>
      </c>
      <c r="C14" s="24">
        <v>6494680</v>
      </c>
      <c r="D14" s="24">
        <v>14991270</v>
      </c>
      <c r="E14" s="24">
        <v>2208820</v>
      </c>
      <c r="F14" s="24">
        <v>3189050</v>
      </c>
      <c r="G14" s="24">
        <v>9574970</v>
      </c>
      <c r="H14" s="24">
        <v>4935250</v>
      </c>
      <c r="I14" s="24">
        <v>4654170</v>
      </c>
      <c r="J14" s="24">
        <v>5295950</v>
      </c>
      <c r="K14" s="24">
        <v>8297490</v>
      </c>
      <c r="L14" s="24">
        <v>3382140</v>
      </c>
      <c r="M14" s="24">
        <v>7300120</v>
      </c>
      <c r="N14" s="24">
        <v>10802920</v>
      </c>
      <c r="O14" s="24">
        <v>14703750</v>
      </c>
      <c r="P14" s="54"/>
      <c r="Q14" s="37">
        <f t="shared" si="16"/>
        <v>560</v>
      </c>
      <c r="R14" s="37">
        <f t="shared" si="17"/>
        <v>1930</v>
      </c>
      <c r="S14" s="37">
        <f t="shared" si="15"/>
        <v>0</v>
      </c>
      <c r="T14" s="37">
        <f t="shared" si="32"/>
        <v>4410</v>
      </c>
      <c r="U14" s="37">
        <f t="shared" si="32"/>
        <v>4870</v>
      </c>
      <c r="V14" s="37">
        <f t="shared" si="32"/>
        <v>3540</v>
      </c>
      <c r="W14" s="37">
        <f t="shared" si="32"/>
        <v>2500</v>
      </c>
      <c r="X14" s="37">
        <f t="shared" si="22"/>
        <v>4070</v>
      </c>
      <c r="Y14" s="37">
        <f t="shared" si="23"/>
        <v>6130</v>
      </c>
      <c r="Z14" s="37">
        <f>IF((L14-L13&lt;0), "0",L14-L13)</f>
        <v>2540</v>
      </c>
      <c r="AA14" s="37">
        <f t="shared" si="25"/>
        <v>3340</v>
      </c>
      <c r="AB14" s="37">
        <f t="shared" si="26"/>
        <v>7520</v>
      </c>
      <c r="AC14" s="37">
        <f t="shared" si="27"/>
        <v>13540</v>
      </c>
      <c r="AD14" s="35">
        <f t="shared" si="28"/>
        <v>54950</v>
      </c>
      <c r="AF14" s="20">
        <f t="shared" si="1"/>
        <v>2.8000000000000003</v>
      </c>
      <c r="AG14" s="20">
        <f t="shared" si="2"/>
        <v>9.65</v>
      </c>
      <c r="AH14" s="20">
        <f t="shared" si="3"/>
        <v>0</v>
      </c>
      <c r="AI14" s="20">
        <f t="shared" si="4"/>
        <v>22.05</v>
      </c>
      <c r="AJ14" s="20">
        <f t="shared" si="5"/>
        <v>24.35</v>
      </c>
      <c r="AK14" s="20">
        <f t="shared" si="6"/>
        <v>17.7</v>
      </c>
      <c r="AL14" s="20">
        <f t="shared" si="7"/>
        <v>12.5</v>
      </c>
      <c r="AM14" s="20">
        <f t="shared" si="8"/>
        <v>20.350000000000001</v>
      </c>
      <c r="AN14" s="20">
        <f t="shared" si="9"/>
        <v>30.650000000000002</v>
      </c>
      <c r="AO14" s="20">
        <f t="shared" si="10"/>
        <v>12.700000000000001</v>
      </c>
      <c r="AP14" s="20">
        <f t="shared" si="11"/>
        <v>16.7</v>
      </c>
      <c r="AQ14" s="20">
        <f t="shared" si="12"/>
        <v>37.6</v>
      </c>
      <c r="AR14" s="20">
        <f t="shared" si="13"/>
        <v>67.7</v>
      </c>
      <c r="AS14" s="35">
        <f t="shared" si="29"/>
        <v>274.75</v>
      </c>
      <c r="AU14" s="47">
        <v>342800</v>
      </c>
      <c r="AV14" s="37">
        <f t="shared" si="31"/>
        <v>1500</v>
      </c>
      <c r="AW14" s="35">
        <f t="shared" si="30"/>
        <v>3</v>
      </c>
    </row>
    <row r="15" spans="1:49" x14ac:dyDescent="0.25">
      <c r="A15" s="23">
        <v>44174</v>
      </c>
      <c r="B15" s="40">
        <v>82</v>
      </c>
      <c r="C15" s="24">
        <v>6495230</v>
      </c>
      <c r="D15" s="24">
        <v>14993180</v>
      </c>
      <c r="E15" s="24">
        <v>2208820</v>
      </c>
      <c r="F15" s="24">
        <v>3193370</v>
      </c>
      <c r="G15" s="24">
        <v>9579920</v>
      </c>
      <c r="H15" s="24">
        <v>4938720</v>
      </c>
      <c r="I15" s="24">
        <v>4656610</v>
      </c>
      <c r="J15" s="24">
        <v>5299840</v>
      </c>
      <c r="K15" s="24">
        <v>8303470</v>
      </c>
      <c r="L15" s="24">
        <v>3384710</v>
      </c>
      <c r="M15" s="24">
        <v>7303330</v>
      </c>
      <c r="N15" s="24">
        <v>10810360</v>
      </c>
      <c r="O15" s="24">
        <v>14715730</v>
      </c>
      <c r="Q15" s="37">
        <f t="shared" si="16"/>
        <v>550</v>
      </c>
      <c r="R15" s="37">
        <f t="shared" si="17"/>
        <v>1910</v>
      </c>
      <c r="S15" s="37">
        <f t="shared" si="15"/>
        <v>0</v>
      </c>
      <c r="T15" s="37">
        <f t="shared" si="18"/>
        <v>4320</v>
      </c>
      <c r="U15" s="37">
        <f t="shared" si="19"/>
        <v>4950</v>
      </c>
      <c r="V15" s="37">
        <f t="shared" si="20"/>
        <v>3470</v>
      </c>
      <c r="W15" s="37">
        <f t="shared" si="21"/>
        <v>2440</v>
      </c>
      <c r="X15" s="37">
        <f t="shared" si="22"/>
        <v>3890</v>
      </c>
      <c r="Y15" s="37">
        <f t="shared" si="23"/>
        <v>5980</v>
      </c>
      <c r="Z15" s="37">
        <f t="shared" si="24"/>
        <v>2570</v>
      </c>
      <c r="AA15" s="37">
        <f t="shared" si="25"/>
        <v>3210</v>
      </c>
      <c r="AB15" s="37">
        <f t="shared" si="26"/>
        <v>7440</v>
      </c>
      <c r="AC15" s="37">
        <f t="shared" si="27"/>
        <v>11980</v>
      </c>
      <c r="AD15" s="35">
        <f t="shared" si="28"/>
        <v>52710</v>
      </c>
      <c r="AF15" s="20">
        <f t="shared" si="1"/>
        <v>2.75</v>
      </c>
      <c r="AG15" s="20">
        <f t="shared" si="2"/>
        <v>9.5500000000000007</v>
      </c>
      <c r="AH15" s="20">
        <f t="shared" si="3"/>
        <v>0</v>
      </c>
      <c r="AI15" s="20">
        <f t="shared" si="4"/>
        <v>21.6</v>
      </c>
      <c r="AJ15" s="20">
        <f t="shared" si="5"/>
        <v>24.75</v>
      </c>
      <c r="AK15" s="20">
        <f t="shared" si="6"/>
        <v>17.350000000000001</v>
      </c>
      <c r="AL15" s="20">
        <f t="shared" si="7"/>
        <v>12.200000000000001</v>
      </c>
      <c r="AM15" s="20">
        <f t="shared" si="8"/>
        <v>19.45</v>
      </c>
      <c r="AN15" s="20">
        <f t="shared" si="9"/>
        <v>29.900000000000002</v>
      </c>
      <c r="AO15" s="20">
        <f t="shared" si="10"/>
        <v>12.85</v>
      </c>
      <c r="AP15" s="20">
        <f t="shared" si="11"/>
        <v>16.05</v>
      </c>
      <c r="AQ15" s="20">
        <f t="shared" si="12"/>
        <v>37.200000000000003</v>
      </c>
      <c r="AR15" s="20">
        <f t="shared" si="13"/>
        <v>59.9</v>
      </c>
      <c r="AS15" s="35">
        <f t="shared" si="29"/>
        <v>263.55</v>
      </c>
      <c r="AU15" s="47">
        <v>344400</v>
      </c>
      <c r="AV15" s="37">
        <f t="shared" si="31"/>
        <v>1600</v>
      </c>
      <c r="AW15" s="35">
        <f t="shared" si="30"/>
        <v>3.2</v>
      </c>
    </row>
    <row r="16" spans="1:49" x14ac:dyDescent="0.25">
      <c r="A16" s="23">
        <v>44175</v>
      </c>
      <c r="B16" s="40">
        <v>111</v>
      </c>
      <c r="C16" s="24">
        <v>6495770</v>
      </c>
      <c r="D16" s="24">
        <v>14995030</v>
      </c>
      <c r="E16" s="24">
        <v>2210450</v>
      </c>
      <c r="F16" s="24">
        <v>3195940</v>
      </c>
      <c r="G16" s="24">
        <v>9584850</v>
      </c>
      <c r="H16" s="24">
        <v>4942130</v>
      </c>
      <c r="I16" s="24">
        <v>4658980</v>
      </c>
      <c r="J16" s="24">
        <v>5303600</v>
      </c>
      <c r="K16" s="24">
        <v>8309500</v>
      </c>
      <c r="L16" s="24">
        <v>3387350</v>
      </c>
      <c r="M16" s="24">
        <v>7306730</v>
      </c>
      <c r="N16" s="24">
        <v>10817350</v>
      </c>
      <c r="O16" s="24">
        <v>14726670</v>
      </c>
      <c r="Q16" s="37">
        <f t="shared" si="16"/>
        <v>540</v>
      </c>
      <c r="R16" s="37">
        <f t="shared" si="17"/>
        <v>1850</v>
      </c>
      <c r="S16" s="37">
        <f t="shared" si="15"/>
        <v>1630</v>
      </c>
      <c r="T16" s="37">
        <f t="shared" si="18"/>
        <v>2570</v>
      </c>
      <c r="U16" s="37">
        <f t="shared" si="19"/>
        <v>4930</v>
      </c>
      <c r="V16" s="37">
        <f t="shared" si="20"/>
        <v>3410</v>
      </c>
      <c r="W16" s="37">
        <f t="shared" si="21"/>
        <v>2370</v>
      </c>
      <c r="X16" s="37">
        <f t="shared" si="22"/>
        <v>3760</v>
      </c>
      <c r="Y16" s="37">
        <f t="shared" si="23"/>
        <v>6030</v>
      </c>
      <c r="Z16" s="37">
        <f t="shared" si="24"/>
        <v>2640</v>
      </c>
      <c r="AA16" s="37">
        <f t="shared" si="25"/>
        <v>3400</v>
      </c>
      <c r="AB16" s="37">
        <f t="shared" si="26"/>
        <v>6990</v>
      </c>
      <c r="AC16" s="37">
        <f t="shared" si="27"/>
        <v>10940</v>
      </c>
      <c r="AD16" s="35">
        <f t="shared" si="28"/>
        <v>51060</v>
      </c>
      <c r="AF16" s="20">
        <f t="shared" si="1"/>
        <v>2.7</v>
      </c>
      <c r="AG16" s="20">
        <f t="shared" si="2"/>
        <v>9.25</v>
      </c>
      <c r="AH16" s="20">
        <f t="shared" si="3"/>
        <v>8.15</v>
      </c>
      <c r="AI16" s="20">
        <f t="shared" si="4"/>
        <v>12.85</v>
      </c>
      <c r="AJ16" s="20">
        <f t="shared" si="5"/>
        <v>24.650000000000002</v>
      </c>
      <c r="AK16" s="20">
        <f t="shared" si="6"/>
        <v>17.05</v>
      </c>
      <c r="AL16" s="20">
        <f t="shared" si="7"/>
        <v>11.85</v>
      </c>
      <c r="AM16" s="20">
        <f t="shared" si="8"/>
        <v>18.8</v>
      </c>
      <c r="AN16" s="20">
        <f t="shared" si="9"/>
        <v>30.150000000000002</v>
      </c>
      <c r="AO16" s="20">
        <f t="shared" si="10"/>
        <v>13.200000000000001</v>
      </c>
      <c r="AP16" s="20">
        <f t="shared" si="11"/>
        <v>17</v>
      </c>
      <c r="AQ16" s="20">
        <f t="shared" si="12"/>
        <v>34.950000000000003</v>
      </c>
      <c r="AR16" s="20">
        <f t="shared" si="13"/>
        <v>54.7</v>
      </c>
      <c r="AS16" s="35">
        <f t="shared" si="29"/>
        <v>255.29999999999995</v>
      </c>
      <c r="AU16" s="47">
        <v>348164</v>
      </c>
      <c r="AV16" s="37">
        <f t="shared" si="31"/>
        <v>3764</v>
      </c>
      <c r="AW16" s="35">
        <f t="shared" si="30"/>
        <v>7.5280000000000005</v>
      </c>
    </row>
    <row r="17" spans="1:49" x14ac:dyDescent="0.25">
      <c r="A17" s="23">
        <v>44176</v>
      </c>
      <c r="B17" s="40">
        <v>125</v>
      </c>
      <c r="C17" s="24">
        <v>6496350</v>
      </c>
      <c r="D17" s="24">
        <v>14997000</v>
      </c>
      <c r="E17" s="24">
        <v>2213410</v>
      </c>
      <c r="F17" s="24">
        <v>3197380</v>
      </c>
      <c r="G17" s="24">
        <v>9590230</v>
      </c>
      <c r="H17" s="24">
        <v>4945780</v>
      </c>
      <c r="I17" s="24">
        <v>4661490</v>
      </c>
      <c r="J17" s="24">
        <v>5307620</v>
      </c>
      <c r="K17" s="24">
        <v>8315910</v>
      </c>
      <c r="L17" s="24">
        <v>3390080</v>
      </c>
      <c r="M17" s="24">
        <v>7310320</v>
      </c>
      <c r="N17" s="24">
        <v>10824760</v>
      </c>
      <c r="O17" s="24">
        <v>14738610</v>
      </c>
      <c r="Q17" s="37">
        <f t="shared" si="16"/>
        <v>580</v>
      </c>
      <c r="R17" s="37">
        <f t="shared" si="17"/>
        <v>1970</v>
      </c>
      <c r="S17" s="37">
        <f t="shared" si="15"/>
        <v>2960</v>
      </c>
      <c r="T17" s="37">
        <f t="shared" si="18"/>
        <v>1440</v>
      </c>
      <c r="U17" s="37">
        <f t="shared" si="19"/>
        <v>5380</v>
      </c>
      <c r="V17" s="37">
        <f t="shared" si="20"/>
        <v>3650</v>
      </c>
      <c r="W17" s="37">
        <f t="shared" si="21"/>
        <v>2510</v>
      </c>
      <c r="X17" s="37">
        <f t="shared" si="22"/>
        <v>4020</v>
      </c>
      <c r="Y17" s="37">
        <f t="shared" si="23"/>
        <v>6410</v>
      </c>
      <c r="Z17" s="37">
        <f t="shared" si="24"/>
        <v>2730</v>
      </c>
      <c r="AA17" s="37">
        <f t="shared" si="25"/>
        <v>3590</v>
      </c>
      <c r="AB17" s="37">
        <f t="shared" si="26"/>
        <v>7410</v>
      </c>
      <c r="AC17" s="37">
        <f t="shared" si="27"/>
        <v>11940</v>
      </c>
      <c r="AD17" s="35">
        <f t="shared" si="28"/>
        <v>54590</v>
      </c>
      <c r="AF17" s="20">
        <f t="shared" si="1"/>
        <v>2.9</v>
      </c>
      <c r="AG17" s="20">
        <f t="shared" si="2"/>
        <v>9.85</v>
      </c>
      <c r="AH17" s="20">
        <f t="shared" si="3"/>
        <v>14.8</v>
      </c>
      <c r="AI17" s="20">
        <f t="shared" si="4"/>
        <v>7.2</v>
      </c>
      <c r="AJ17" s="20">
        <f t="shared" si="5"/>
        <v>26.900000000000002</v>
      </c>
      <c r="AK17" s="20">
        <f t="shared" si="6"/>
        <v>18.25</v>
      </c>
      <c r="AL17" s="20">
        <f t="shared" si="7"/>
        <v>12.55</v>
      </c>
      <c r="AM17" s="20">
        <f t="shared" si="8"/>
        <v>20.100000000000001</v>
      </c>
      <c r="AN17" s="20">
        <f t="shared" si="9"/>
        <v>32.049999999999997</v>
      </c>
      <c r="AO17" s="20">
        <f t="shared" si="10"/>
        <v>13.65</v>
      </c>
      <c r="AP17" s="20">
        <f t="shared" si="11"/>
        <v>17.95</v>
      </c>
      <c r="AQ17" s="20">
        <f t="shared" si="12"/>
        <v>37.050000000000004</v>
      </c>
      <c r="AR17" s="20">
        <f t="shared" si="13"/>
        <v>59.7</v>
      </c>
      <c r="AS17" s="35">
        <f t="shared" si="29"/>
        <v>272.95000000000005</v>
      </c>
      <c r="AU17" s="47">
        <v>348902</v>
      </c>
      <c r="AV17" s="37">
        <f t="shared" si="31"/>
        <v>738</v>
      </c>
      <c r="AW17" s="35">
        <f t="shared" si="30"/>
        <v>1.476</v>
      </c>
    </row>
    <row r="18" spans="1:49" x14ac:dyDescent="0.25">
      <c r="A18" s="23">
        <v>44177</v>
      </c>
      <c r="B18" s="40">
        <v>103</v>
      </c>
      <c r="C18" s="24">
        <v>6496710</v>
      </c>
      <c r="D18" s="24">
        <v>14998890</v>
      </c>
      <c r="E18" s="24">
        <v>2216140</v>
      </c>
      <c r="F18" s="24">
        <v>3198770</v>
      </c>
      <c r="G18" s="24">
        <v>9595430</v>
      </c>
      <c r="H18" s="24">
        <v>4949330</v>
      </c>
      <c r="I18" s="24">
        <v>4663900</v>
      </c>
      <c r="J18" s="24">
        <v>5311480</v>
      </c>
      <c r="K18" s="24">
        <v>8322150</v>
      </c>
      <c r="L18" s="24">
        <v>3392620</v>
      </c>
      <c r="M18" s="24">
        <v>7314040</v>
      </c>
      <c r="N18" s="24">
        <v>10831850</v>
      </c>
      <c r="O18" s="24">
        <v>14750440</v>
      </c>
      <c r="Q18" s="37">
        <f t="shared" si="16"/>
        <v>360</v>
      </c>
      <c r="R18" s="37">
        <f t="shared" si="17"/>
        <v>1890</v>
      </c>
      <c r="S18" s="37">
        <f t="shared" si="15"/>
        <v>2730</v>
      </c>
      <c r="T18" s="37">
        <f t="shared" si="18"/>
        <v>1390</v>
      </c>
      <c r="U18" s="37">
        <f t="shared" si="19"/>
        <v>5200</v>
      </c>
      <c r="V18" s="37">
        <f t="shared" si="20"/>
        <v>3550</v>
      </c>
      <c r="W18" s="37">
        <f t="shared" si="21"/>
        <v>2410</v>
      </c>
      <c r="X18" s="37">
        <f t="shared" si="22"/>
        <v>3860</v>
      </c>
      <c r="Y18" s="37">
        <f t="shared" si="23"/>
        <v>6240</v>
      </c>
      <c r="Z18" s="37">
        <f t="shared" si="24"/>
        <v>2540</v>
      </c>
      <c r="AA18" s="37">
        <f t="shared" si="25"/>
        <v>3720</v>
      </c>
      <c r="AB18" s="37">
        <f t="shared" si="26"/>
        <v>7090</v>
      </c>
      <c r="AC18" s="37">
        <f t="shared" si="27"/>
        <v>11830</v>
      </c>
      <c r="AD18" s="35">
        <f t="shared" si="28"/>
        <v>52810</v>
      </c>
      <c r="AF18" s="20">
        <f t="shared" si="1"/>
        <v>1.8</v>
      </c>
      <c r="AG18" s="20">
        <f t="shared" si="2"/>
        <v>9.4500000000000011</v>
      </c>
      <c r="AH18" s="20">
        <f t="shared" si="3"/>
        <v>13.65</v>
      </c>
      <c r="AI18" s="20">
        <f t="shared" si="4"/>
        <v>6.95</v>
      </c>
      <c r="AJ18" s="20">
        <f t="shared" si="5"/>
        <v>26</v>
      </c>
      <c r="AK18" s="20">
        <f t="shared" si="6"/>
        <v>17.75</v>
      </c>
      <c r="AL18" s="20">
        <f t="shared" si="7"/>
        <v>12.05</v>
      </c>
      <c r="AM18" s="20">
        <f t="shared" si="8"/>
        <v>19.3</v>
      </c>
      <c r="AN18" s="20">
        <f t="shared" si="9"/>
        <v>31.2</v>
      </c>
      <c r="AO18" s="20">
        <f t="shared" si="10"/>
        <v>12.700000000000001</v>
      </c>
      <c r="AP18" s="20">
        <f t="shared" si="11"/>
        <v>18.600000000000001</v>
      </c>
      <c r="AQ18" s="20">
        <f t="shared" si="12"/>
        <v>35.450000000000003</v>
      </c>
      <c r="AR18" s="20">
        <f t="shared" si="13"/>
        <v>59.15</v>
      </c>
      <c r="AS18" s="35">
        <f t="shared" si="29"/>
        <v>264.04999999999995</v>
      </c>
      <c r="AU18" s="47">
        <v>349449</v>
      </c>
      <c r="AV18" s="37">
        <f t="shared" si="31"/>
        <v>547</v>
      </c>
      <c r="AW18" s="35">
        <f t="shared" si="30"/>
        <v>1.0940000000000001</v>
      </c>
    </row>
    <row r="19" spans="1:49" x14ac:dyDescent="0.25">
      <c r="A19" s="23">
        <v>44178</v>
      </c>
      <c r="B19" s="40">
        <v>75</v>
      </c>
      <c r="C19" s="24">
        <v>6497460</v>
      </c>
      <c r="D19" s="24">
        <v>15000770</v>
      </c>
      <c r="E19" s="24">
        <v>2218810</v>
      </c>
      <c r="F19" s="24">
        <v>3200150</v>
      </c>
      <c r="G19" s="24">
        <v>9600590</v>
      </c>
      <c r="H19" s="24">
        <v>4952890</v>
      </c>
      <c r="I19" s="24">
        <v>4666290</v>
      </c>
      <c r="J19" s="24">
        <v>5315090</v>
      </c>
      <c r="K19" s="24">
        <v>8328040</v>
      </c>
      <c r="L19" s="24">
        <v>3395170</v>
      </c>
      <c r="M19" s="24">
        <v>7317350</v>
      </c>
      <c r="N19" s="24">
        <v>10838770</v>
      </c>
      <c r="O19" s="24">
        <v>14761710</v>
      </c>
      <c r="Q19" s="37">
        <f t="shared" si="16"/>
        <v>750</v>
      </c>
      <c r="R19" s="37">
        <f t="shared" si="17"/>
        <v>1880</v>
      </c>
      <c r="S19" s="37">
        <f t="shared" si="15"/>
        <v>2670</v>
      </c>
      <c r="T19" s="37">
        <f t="shared" si="18"/>
        <v>1380</v>
      </c>
      <c r="U19" s="37">
        <f t="shared" si="19"/>
        <v>5160</v>
      </c>
      <c r="V19" s="37">
        <f t="shared" si="20"/>
        <v>3560</v>
      </c>
      <c r="W19" s="37">
        <f t="shared" si="21"/>
        <v>2390</v>
      </c>
      <c r="X19" s="37">
        <f t="shared" si="22"/>
        <v>3610</v>
      </c>
      <c r="Y19" s="37">
        <f t="shared" si="23"/>
        <v>5890</v>
      </c>
      <c r="Z19" s="37">
        <f t="shared" si="24"/>
        <v>2550</v>
      </c>
      <c r="AA19" s="37">
        <f t="shared" si="25"/>
        <v>3310</v>
      </c>
      <c r="AB19" s="37">
        <f t="shared" si="26"/>
        <v>6920</v>
      </c>
      <c r="AC19" s="37">
        <f t="shared" si="27"/>
        <v>11270</v>
      </c>
      <c r="AD19" s="35">
        <f t="shared" si="28"/>
        <v>51340</v>
      </c>
      <c r="AF19" s="20">
        <f t="shared" si="1"/>
        <v>3.75</v>
      </c>
      <c r="AG19" s="20">
        <f t="shared" si="2"/>
        <v>9.4</v>
      </c>
      <c r="AH19" s="20">
        <f t="shared" si="3"/>
        <v>13.35</v>
      </c>
      <c r="AI19" s="20">
        <f t="shared" si="4"/>
        <v>6.9</v>
      </c>
      <c r="AJ19" s="20">
        <f t="shared" si="5"/>
        <v>25.8</v>
      </c>
      <c r="AK19" s="20">
        <f t="shared" si="6"/>
        <v>17.8</v>
      </c>
      <c r="AL19" s="20">
        <f t="shared" si="7"/>
        <v>11.950000000000001</v>
      </c>
      <c r="AM19" s="20">
        <f t="shared" si="8"/>
        <v>18.05</v>
      </c>
      <c r="AN19" s="20">
        <f t="shared" si="9"/>
        <v>29.45</v>
      </c>
      <c r="AO19" s="20">
        <f t="shared" si="10"/>
        <v>12.75</v>
      </c>
      <c r="AP19" s="20">
        <f t="shared" si="11"/>
        <v>16.55</v>
      </c>
      <c r="AQ19" s="20">
        <f t="shared" si="12"/>
        <v>34.6</v>
      </c>
      <c r="AR19" s="20">
        <f t="shared" si="13"/>
        <v>56.35</v>
      </c>
      <c r="AS19" s="35">
        <f t="shared" si="29"/>
        <v>256.7</v>
      </c>
      <c r="AU19" s="47">
        <v>351200</v>
      </c>
      <c r="AV19" s="37">
        <f t="shared" si="31"/>
        <v>1751</v>
      </c>
      <c r="AW19" s="35">
        <f t="shared" si="30"/>
        <v>3.5020000000000002</v>
      </c>
    </row>
    <row r="20" spans="1:49" x14ac:dyDescent="0.25">
      <c r="A20" s="23">
        <v>44179</v>
      </c>
      <c r="B20" s="40">
        <v>73</v>
      </c>
      <c r="C20" s="24">
        <v>6498020</v>
      </c>
      <c r="D20" s="24">
        <v>15002670</v>
      </c>
      <c r="E20" s="24">
        <v>2221580</v>
      </c>
      <c r="F20" s="24">
        <v>3201540</v>
      </c>
      <c r="G20" s="24">
        <v>9605610</v>
      </c>
      <c r="H20" s="24">
        <v>4956390</v>
      </c>
      <c r="I20" s="24">
        <v>4668690</v>
      </c>
      <c r="J20" s="24">
        <v>5318800</v>
      </c>
      <c r="K20" s="24">
        <v>8333890</v>
      </c>
      <c r="L20" s="24">
        <v>3397620</v>
      </c>
      <c r="M20" s="24">
        <v>7320560</v>
      </c>
      <c r="N20" s="24">
        <v>10845850</v>
      </c>
      <c r="O20" s="24">
        <v>14773230</v>
      </c>
      <c r="Q20" s="37">
        <f t="shared" si="16"/>
        <v>560</v>
      </c>
      <c r="R20" s="37">
        <f t="shared" si="17"/>
        <v>1900</v>
      </c>
      <c r="S20" s="37">
        <f t="shared" si="15"/>
        <v>2770</v>
      </c>
      <c r="T20" s="37">
        <f t="shared" si="18"/>
        <v>1390</v>
      </c>
      <c r="U20" s="37">
        <f t="shared" si="19"/>
        <v>5020</v>
      </c>
      <c r="V20" s="37">
        <f t="shared" si="20"/>
        <v>3500</v>
      </c>
      <c r="W20" s="37">
        <f t="shared" si="21"/>
        <v>2400</v>
      </c>
      <c r="X20" s="37">
        <f t="shared" si="22"/>
        <v>3710</v>
      </c>
      <c r="Y20" s="37">
        <f t="shared" si="23"/>
        <v>5850</v>
      </c>
      <c r="Z20" s="37">
        <f t="shared" si="24"/>
        <v>2450</v>
      </c>
      <c r="AA20" s="37">
        <f t="shared" si="25"/>
        <v>3210</v>
      </c>
      <c r="AB20" s="37">
        <f t="shared" si="26"/>
        <v>7080</v>
      </c>
      <c r="AC20" s="37">
        <f t="shared" si="27"/>
        <v>11520</v>
      </c>
      <c r="AD20" s="35">
        <f t="shared" si="28"/>
        <v>51360</v>
      </c>
      <c r="AF20" s="20">
        <f t="shared" si="1"/>
        <v>2.8000000000000003</v>
      </c>
      <c r="AG20" s="20">
        <f t="shared" si="2"/>
        <v>9.5</v>
      </c>
      <c r="AH20" s="20">
        <f t="shared" si="3"/>
        <v>13.85</v>
      </c>
      <c r="AI20" s="20">
        <f t="shared" si="4"/>
        <v>6.95</v>
      </c>
      <c r="AJ20" s="20">
        <f t="shared" si="5"/>
        <v>25.1</v>
      </c>
      <c r="AK20" s="20">
        <f t="shared" si="6"/>
        <v>17.5</v>
      </c>
      <c r="AL20" s="20">
        <f t="shared" si="7"/>
        <v>12</v>
      </c>
      <c r="AM20" s="20">
        <f t="shared" si="8"/>
        <v>18.55</v>
      </c>
      <c r="AN20" s="20">
        <f t="shared" si="9"/>
        <v>29.25</v>
      </c>
      <c r="AO20" s="20">
        <f t="shared" si="10"/>
        <v>12.25</v>
      </c>
      <c r="AP20" s="20">
        <f t="shared" si="11"/>
        <v>16.05</v>
      </c>
      <c r="AQ20" s="20">
        <f t="shared" si="12"/>
        <v>35.4</v>
      </c>
      <c r="AR20" s="20">
        <f t="shared" si="13"/>
        <v>57.6</v>
      </c>
      <c r="AS20" s="35">
        <f t="shared" si="29"/>
        <v>256.8</v>
      </c>
      <c r="AU20" s="47">
        <v>353043</v>
      </c>
      <c r="AV20" s="37">
        <f t="shared" si="31"/>
        <v>1843</v>
      </c>
      <c r="AW20" s="35">
        <f t="shared" si="30"/>
        <v>3.6859999999999999</v>
      </c>
    </row>
    <row r="21" spans="1:49" x14ac:dyDescent="0.25">
      <c r="A21" s="23">
        <v>44180</v>
      </c>
      <c r="B21" s="40">
        <v>64</v>
      </c>
      <c r="C21" s="24">
        <v>6498570</v>
      </c>
      <c r="D21" s="24">
        <v>15004530</v>
      </c>
      <c r="E21" s="24">
        <v>2224580</v>
      </c>
      <c r="F21" s="24">
        <v>3202920</v>
      </c>
      <c r="G21" s="24">
        <v>9610230</v>
      </c>
      <c r="H21" s="24">
        <v>4959860</v>
      </c>
      <c r="I21" s="24">
        <v>4671140</v>
      </c>
      <c r="J21" s="24">
        <v>5322430</v>
      </c>
      <c r="K21" s="24">
        <v>8339890</v>
      </c>
      <c r="L21" s="24">
        <v>3400070</v>
      </c>
      <c r="M21" s="24">
        <v>7323370</v>
      </c>
      <c r="N21" s="24">
        <v>10852590</v>
      </c>
      <c r="O21" s="24">
        <v>14784610</v>
      </c>
      <c r="Q21" s="37">
        <f t="shared" si="16"/>
        <v>550</v>
      </c>
      <c r="R21" s="37">
        <f t="shared" si="17"/>
        <v>1860</v>
      </c>
      <c r="S21" s="37">
        <f t="shared" si="15"/>
        <v>3000</v>
      </c>
      <c r="T21" s="37">
        <f t="shared" si="18"/>
        <v>1380</v>
      </c>
      <c r="U21" s="37">
        <f t="shared" si="19"/>
        <v>4620</v>
      </c>
      <c r="V21" s="37">
        <f t="shared" si="20"/>
        <v>3470</v>
      </c>
      <c r="W21" s="37">
        <f t="shared" si="21"/>
        <v>2450</v>
      </c>
      <c r="X21" s="37">
        <f t="shared" si="22"/>
        <v>3630</v>
      </c>
      <c r="Y21" s="37">
        <f t="shared" si="23"/>
        <v>6000</v>
      </c>
      <c r="Z21" s="37">
        <f t="shared" si="24"/>
        <v>2450</v>
      </c>
      <c r="AA21" s="37">
        <f t="shared" si="25"/>
        <v>2810</v>
      </c>
      <c r="AB21" s="37">
        <f t="shared" si="26"/>
        <v>6740</v>
      </c>
      <c r="AC21" s="37">
        <f t="shared" si="27"/>
        <v>11380</v>
      </c>
      <c r="AD21" s="35">
        <f t="shared" si="28"/>
        <v>50340</v>
      </c>
      <c r="AF21" s="20">
        <f t="shared" si="1"/>
        <v>2.75</v>
      </c>
      <c r="AG21" s="20">
        <f t="shared" si="2"/>
        <v>9.3000000000000007</v>
      </c>
      <c r="AH21" s="20">
        <f t="shared" si="3"/>
        <v>15</v>
      </c>
      <c r="AI21" s="20">
        <f t="shared" si="4"/>
        <v>6.9</v>
      </c>
      <c r="AJ21" s="20">
        <f t="shared" si="5"/>
        <v>23.1</v>
      </c>
      <c r="AK21" s="20">
        <f t="shared" si="6"/>
        <v>17.350000000000001</v>
      </c>
      <c r="AL21" s="20">
        <f t="shared" si="7"/>
        <v>12.25</v>
      </c>
      <c r="AM21" s="20">
        <f t="shared" si="8"/>
        <v>18.150000000000002</v>
      </c>
      <c r="AN21" s="20">
        <f t="shared" si="9"/>
        <v>30</v>
      </c>
      <c r="AO21" s="20">
        <f t="shared" si="10"/>
        <v>12.25</v>
      </c>
      <c r="AP21" s="20">
        <f t="shared" si="11"/>
        <v>14.05</v>
      </c>
      <c r="AQ21" s="20">
        <f t="shared" si="12"/>
        <v>33.700000000000003</v>
      </c>
      <c r="AR21" s="20">
        <f t="shared" si="13"/>
        <v>56.9</v>
      </c>
      <c r="AS21" s="35">
        <f t="shared" si="29"/>
        <v>251.70000000000002</v>
      </c>
      <c r="AU21" s="47">
        <v>354419</v>
      </c>
      <c r="AV21" s="37">
        <f t="shared" si="31"/>
        <v>1376</v>
      </c>
      <c r="AW21" s="35">
        <f t="shared" si="30"/>
        <v>2.7520000000000002</v>
      </c>
    </row>
    <row r="22" spans="1:49" x14ac:dyDescent="0.25">
      <c r="A22" s="23">
        <v>44181</v>
      </c>
      <c r="B22" s="40">
        <v>75</v>
      </c>
      <c r="C22" s="24">
        <v>6499130</v>
      </c>
      <c r="D22" s="24">
        <v>15006430</v>
      </c>
      <c r="E22" s="24">
        <v>2227540</v>
      </c>
      <c r="F22" s="24">
        <v>3204350</v>
      </c>
      <c r="G22" s="24">
        <v>9615510</v>
      </c>
      <c r="H22" s="24">
        <v>4963440</v>
      </c>
      <c r="I22" s="24">
        <v>4673570</v>
      </c>
      <c r="J22" s="44">
        <v>5326230</v>
      </c>
      <c r="K22" s="24">
        <v>8346080</v>
      </c>
      <c r="L22" s="24">
        <v>3402640</v>
      </c>
      <c r="M22" s="24">
        <v>7326880</v>
      </c>
      <c r="N22" s="24">
        <v>10859610</v>
      </c>
      <c r="O22" s="44">
        <v>14797290</v>
      </c>
      <c r="Q22" s="37">
        <f t="shared" si="16"/>
        <v>560</v>
      </c>
      <c r="R22" s="37">
        <f t="shared" si="17"/>
        <v>1900</v>
      </c>
      <c r="S22" s="37">
        <f t="shared" si="15"/>
        <v>2960</v>
      </c>
      <c r="T22" s="37">
        <f t="shared" si="18"/>
        <v>1430</v>
      </c>
      <c r="U22" s="37">
        <f t="shared" si="19"/>
        <v>5280</v>
      </c>
      <c r="V22" s="37">
        <f t="shared" si="20"/>
        <v>3580</v>
      </c>
      <c r="W22" s="37">
        <f t="shared" si="21"/>
        <v>2430</v>
      </c>
      <c r="X22" s="37">
        <f t="shared" si="22"/>
        <v>3800</v>
      </c>
      <c r="Y22" s="37">
        <f t="shared" si="23"/>
        <v>6190</v>
      </c>
      <c r="Z22" s="37">
        <f t="shared" si="24"/>
        <v>2570</v>
      </c>
      <c r="AA22" s="37">
        <f t="shared" si="25"/>
        <v>3510</v>
      </c>
      <c r="AB22" s="37">
        <f t="shared" si="26"/>
        <v>7020</v>
      </c>
      <c r="AC22" s="37">
        <f t="shared" si="27"/>
        <v>12680</v>
      </c>
      <c r="AD22" s="35">
        <f t="shared" si="28"/>
        <v>53910</v>
      </c>
      <c r="AF22" s="20">
        <f t="shared" si="1"/>
        <v>2.8000000000000003</v>
      </c>
      <c r="AG22" s="20">
        <f t="shared" si="2"/>
        <v>9.5</v>
      </c>
      <c r="AH22" s="20">
        <f t="shared" si="3"/>
        <v>14.8</v>
      </c>
      <c r="AI22" s="20">
        <f t="shared" si="4"/>
        <v>7.15</v>
      </c>
      <c r="AJ22" s="20">
        <f t="shared" si="5"/>
        <v>26.400000000000002</v>
      </c>
      <c r="AK22" s="20">
        <f t="shared" si="6"/>
        <v>17.900000000000002</v>
      </c>
      <c r="AL22" s="20">
        <f t="shared" si="7"/>
        <v>12.15</v>
      </c>
      <c r="AM22" s="20">
        <f t="shared" si="8"/>
        <v>19</v>
      </c>
      <c r="AN22" s="20">
        <f t="shared" si="9"/>
        <v>30.95</v>
      </c>
      <c r="AO22" s="20">
        <f t="shared" si="10"/>
        <v>12.85</v>
      </c>
      <c r="AP22" s="20">
        <f t="shared" si="11"/>
        <v>17.55</v>
      </c>
      <c r="AQ22" s="20">
        <f t="shared" si="12"/>
        <v>35.1</v>
      </c>
      <c r="AR22" s="20">
        <f t="shared" si="13"/>
        <v>63.4</v>
      </c>
      <c r="AS22" s="35">
        <f t="shared" si="29"/>
        <v>269.55</v>
      </c>
      <c r="AU22" s="47">
        <v>356770</v>
      </c>
      <c r="AV22" s="37">
        <f t="shared" si="31"/>
        <v>2351</v>
      </c>
      <c r="AW22" s="35">
        <f t="shared" si="30"/>
        <v>4.702</v>
      </c>
    </row>
    <row r="23" spans="1:49" x14ac:dyDescent="0.25">
      <c r="A23" s="23">
        <v>44182</v>
      </c>
      <c r="B23" s="40">
        <v>112</v>
      </c>
      <c r="C23" s="24">
        <v>6499680</v>
      </c>
      <c r="D23" s="24">
        <v>15008320</v>
      </c>
      <c r="E23" s="24">
        <v>2230610</v>
      </c>
      <c r="F23" s="24">
        <v>3205810</v>
      </c>
      <c r="G23" s="24">
        <v>9620350</v>
      </c>
      <c r="H23" s="24">
        <v>4967010</v>
      </c>
      <c r="I23" s="24">
        <v>4675990</v>
      </c>
      <c r="J23" s="24">
        <v>5330070</v>
      </c>
      <c r="K23" s="24">
        <v>8352040</v>
      </c>
      <c r="L23" s="24">
        <v>3405210</v>
      </c>
      <c r="M23" s="24">
        <v>7330150</v>
      </c>
      <c r="N23" s="24">
        <v>10866610</v>
      </c>
      <c r="O23" s="24">
        <v>14809770</v>
      </c>
      <c r="Q23" s="37">
        <f t="shared" si="16"/>
        <v>550</v>
      </c>
      <c r="R23" s="37">
        <f t="shared" si="17"/>
        <v>1890</v>
      </c>
      <c r="S23" s="37">
        <f t="shared" si="15"/>
        <v>3070</v>
      </c>
      <c r="T23" s="37">
        <f t="shared" si="18"/>
        <v>1460</v>
      </c>
      <c r="U23" s="37">
        <f t="shared" si="19"/>
        <v>4840</v>
      </c>
      <c r="V23" s="37">
        <f t="shared" si="20"/>
        <v>3570</v>
      </c>
      <c r="W23" s="37">
        <f t="shared" si="21"/>
        <v>2420</v>
      </c>
      <c r="X23" s="37">
        <f t="shared" si="22"/>
        <v>3840</v>
      </c>
      <c r="Y23" s="37">
        <f t="shared" si="23"/>
        <v>5960</v>
      </c>
      <c r="Z23" s="37">
        <f t="shared" si="24"/>
        <v>2570</v>
      </c>
      <c r="AA23" s="37">
        <f t="shared" si="25"/>
        <v>3270</v>
      </c>
      <c r="AB23" s="37">
        <f t="shared" si="26"/>
        <v>7000</v>
      </c>
      <c r="AC23" s="37">
        <f t="shared" si="27"/>
        <v>12480</v>
      </c>
      <c r="AD23" s="35">
        <f t="shared" si="28"/>
        <v>52920</v>
      </c>
      <c r="AF23" s="20">
        <f t="shared" si="1"/>
        <v>2.75</v>
      </c>
      <c r="AG23" s="20">
        <f t="shared" si="2"/>
        <v>9.4500000000000011</v>
      </c>
      <c r="AH23" s="20">
        <f t="shared" si="3"/>
        <v>15.35</v>
      </c>
      <c r="AI23" s="20">
        <f t="shared" si="4"/>
        <v>7.3</v>
      </c>
      <c r="AJ23" s="20">
        <f t="shared" si="5"/>
        <v>24.2</v>
      </c>
      <c r="AK23" s="20">
        <f t="shared" si="6"/>
        <v>17.850000000000001</v>
      </c>
      <c r="AL23" s="20">
        <f t="shared" si="7"/>
        <v>12.1</v>
      </c>
      <c r="AM23" s="20">
        <f t="shared" si="8"/>
        <v>19.2</v>
      </c>
      <c r="AN23" s="20">
        <f t="shared" si="9"/>
        <v>29.8</v>
      </c>
      <c r="AO23" s="20">
        <f t="shared" si="10"/>
        <v>12.85</v>
      </c>
      <c r="AP23" s="20">
        <f t="shared" si="11"/>
        <v>16.350000000000001</v>
      </c>
      <c r="AQ23" s="20">
        <f t="shared" si="12"/>
        <v>35</v>
      </c>
      <c r="AR23" s="20">
        <f t="shared" si="13"/>
        <v>62.4</v>
      </c>
      <c r="AS23" s="35">
        <f t="shared" si="29"/>
        <v>264.59999999999997</v>
      </c>
      <c r="AU23" s="47">
        <v>358110</v>
      </c>
      <c r="AV23" s="37">
        <f t="shared" si="31"/>
        <v>1340</v>
      </c>
      <c r="AW23" s="35">
        <f t="shared" si="30"/>
        <v>2.68</v>
      </c>
    </row>
    <row r="24" spans="1:49" x14ac:dyDescent="0.25">
      <c r="A24" s="23">
        <v>44183</v>
      </c>
      <c r="B24" s="40">
        <v>121</v>
      </c>
      <c r="C24" s="24">
        <v>6500220</v>
      </c>
      <c r="D24" s="24">
        <v>15010130</v>
      </c>
      <c r="E24" s="24">
        <v>2233490</v>
      </c>
      <c r="F24" s="24">
        <v>3207220</v>
      </c>
      <c r="G24" s="24">
        <v>9625210</v>
      </c>
      <c r="H24" s="24">
        <v>4970610</v>
      </c>
      <c r="I24" s="24">
        <v>4678350</v>
      </c>
      <c r="J24" s="24">
        <v>5333840</v>
      </c>
      <c r="K24" s="24">
        <v>8358220</v>
      </c>
      <c r="L24" s="24">
        <v>3407830</v>
      </c>
      <c r="M24" s="24">
        <v>7333420</v>
      </c>
      <c r="N24" s="24">
        <v>10873590</v>
      </c>
      <c r="O24" s="24">
        <v>14821810</v>
      </c>
      <c r="Q24" s="37">
        <f t="shared" si="16"/>
        <v>540</v>
      </c>
      <c r="R24" s="37">
        <f t="shared" si="17"/>
        <v>1810</v>
      </c>
      <c r="S24" s="37">
        <f t="shared" si="15"/>
        <v>2880</v>
      </c>
      <c r="T24" s="37">
        <f t="shared" si="18"/>
        <v>1410</v>
      </c>
      <c r="U24" s="37">
        <f t="shared" si="19"/>
        <v>4860</v>
      </c>
      <c r="V24" s="37">
        <f t="shared" si="20"/>
        <v>3600</v>
      </c>
      <c r="W24" s="37">
        <f t="shared" si="21"/>
        <v>2360</v>
      </c>
      <c r="X24" s="37">
        <f t="shared" si="22"/>
        <v>3770</v>
      </c>
      <c r="Y24" s="37">
        <f t="shared" si="23"/>
        <v>6180</v>
      </c>
      <c r="Z24" s="37">
        <f t="shared" si="24"/>
        <v>2620</v>
      </c>
      <c r="AA24" s="37">
        <f t="shared" si="25"/>
        <v>3270</v>
      </c>
      <c r="AB24" s="37">
        <f t="shared" si="26"/>
        <v>6980</v>
      </c>
      <c r="AC24" s="37">
        <f t="shared" si="27"/>
        <v>12040</v>
      </c>
      <c r="AD24" s="35">
        <f t="shared" si="28"/>
        <v>52320</v>
      </c>
      <c r="AF24" s="20">
        <f t="shared" si="1"/>
        <v>2.7</v>
      </c>
      <c r="AG24" s="20">
        <f t="shared" si="2"/>
        <v>9.0500000000000007</v>
      </c>
      <c r="AH24" s="20">
        <f t="shared" si="3"/>
        <v>14.4</v>
      </c>
      <c r="AI24" s="20">
        <f t="shared" si="4"/>
        <v>7.05</v>
      </c>
      <c r="AJ24" s="20">
        <f t="shared" si="5"/>
        <v>24.3</v>
      </c>
      <c r="AK24" s="20">
        <f t="shared" si="6"/>
        <v>18</v>
      </c>
      <c r="AL24" s="20">
        <f t="shared" si="7"/>
        <v>11.8</v>
      </c>
      <c r="AM24" s="20">
        <f t="shared" si="8"/>
        <v>18.850000000000001</v>
      </c>
      <c r="AN24" s="20">
        <f t="shared" si="9"/>
        <v>30.900000000000002</v>
      </c>
      <c r="AO24" s="20">
        <f t="shared" si="10"/>
        <v>13.1</v>
      </c>
      <c r="AP24" s="20">
        <f t="shared" si="11"/>
        <v>16.350000000000001</v>
      </c>
      <c r="AQ24" s="20">
        <f t="shared" si="12"/>
        <v>34.9</v>
      </c>
      <c r="AR24" s="20">
        <f t="shared" si="13"/>
        <v>60.2</v>
      </c>
      <c r="AS24" s="35">
        <f t="shared" si="29"/>
        <v>261.60000000000002</v>
      </c>
      <c r="AU24" s="47">
        <v>359950</v>
      </c>
      <c r="AV24" s="37">
        <f t="shared" si="31"/>
        <v>1840</v>
      </c>
      <c r="AW24" s="35">
        <f t="shared" si="30"/>
        <v>3.68</v>
      </c>
    </row>
    <row r="25" spans="1:49" x14ac:dyDescent="0.25">
      <c r="A25" s="23">
        <v>44184</v>
      </c>
      <c r="B25" s="40">
        <v>73</v>
      </c>
      <c r="C25" s="24">
        <v>6500820</v>
      </c>
      <c r="D25" s="24">
        <v>15012180</v>
      </c>
      <c r="E25" s="24">
        <v>2236600</v>
      </c>
      <c r="F25" s="24">
        <v>3208800</v>
      </c>
      <c r="G25" s="24">
        <v>9630710</v>
      </c>
      <c r="H25" s="24">
        <v>4974392</v>
      </c>
      <c r="I25" s="24">
        <v>4680990</v>
      </c>
      <c r="J25" s="24">
        <v>5338000</v>
      </c>
      <c r="K25" s="24">
        <v>8364960</v>
      </c>
      <c r="L25" s="24">
        <v>3410620</v>
      </c>
      <c r="M25" s="24">
        <v>7337160</v>
      </c>
      <c r="N25" s="24">
        <v>10881340</v>
      </c>
      <c r="O25" s="24">
        <v>14835380</v>
      </c>
      <c r="Q25" s="37">
        <f t="shared" ref="Q25:AC27" si="33">IF((C25-C24&lt;0), "0",C25-C24)</f>
        <v>600</v>
      </c>
      <c r="R25" s="37">
        <f t="shared" si="33"/>
        <v>2050</v>
      </c>
      <c r="S25" s="37">
        <f t="shared" si="33"/>
        <v>3110</v>
      </c>
      <c r="T25" s="37">
        <f t="shared" si="33"/>
        <v>1580</v>
      </c>
      <c r="U25" s="37">
        <f t="shared" si="33"/>
        <v>5500</v>
      </c>
      <c r="V25" s="37">
        <f t="shared" si="33"/>
        <v>3782</v>
      </c>
      <c r="W25" s="37">
        <f t="shared" si="33"/>
        <v>2640</v>
      </c>
      <c r="X25" s="37">
        <f t="shared" si="33"/>
        <v>4160</v>
      </c>
      <c r="Y25" s="37">
        <f t="shared" si="33"/>
        <v>6740</v>
      </c>
      <c r="Z25" s="37">
        <f t="shared" si="33"/>
        <v>2790</v>
      </c>
      <c r="AA25" s="37">
        <f t="shared" si="33"/>
        <v>3740</v>
      </c>
      <c r="AB25" s="37">
        <f t="shared" si="33"/>
        <v>7750</v>
      </c>
      <c r="AC25" s="37">
        <f t="shared" si="33"/>
        <v>13570</v>
      </c>
      <c r="AD25" s="35">
        <f t="shared" si="28"/>
        <v>58012</v>
      </c>
      <c r="AF25" s="20">
        <f t="shared" si="1"/>
        <v>3</v>
      </c>
      <c r="AG25" s="20">
        <f t="shared" si="2"/>
        <v>10.25</v>
      </c>
      <c r="AH25" s="20">
        <f t="shared" si="3"/>
        <v>15.55</v>
      </c>
      <c r="AI25" s="20">
        <f t="shared" si="4"/>
        <v>7.9</v>
      </c>
      <c r="AJ25" s="20">
        <f t="shared" si="5"/>
        <v>27.5</v>
      </c>
      <c r="AK25" s="20">
        <f t="shared" si="6"/>
        <v>18.91</v>
      </c>
      <c r="AL25" s="20">
        <f t="shared" si="7"/>
        <v>13.200000000000001</v>
      </c>
      <c r="AM25" s="20">
        <f t="shared" si="8"/>
        <v>20.8</v>
      </c>
      <c r="AN25" s="20">
        <f t="shared" si="9"/>
        <v>33.700000000000003</v>
      </c>
      <c r="AO25" s="20">
        <f t="shared" si="10"/>
        <v>13.950000000000001</v>
      </c>
      <c r="AP25" s="20">
        <f t="shared" si="11"/>
        <v>18.7</v>
      </c>
      <c r="AQ25" s="20">
        <f t="shared" si="12"/>
        <v>38.75</v>
      </c>
      <c r="AR25" s="20">
        <f t="shared" si="13"/>
        <v>67.849999999999994</v>
      </c>
      <c r="AS25" s="35">
        <f t="shared" si="29"/>
        <v>290.05999999999995</v>
      </c>
      <c r="AU25" s="47">
        <v>362339</v>
      </c>
      <c r="AV25" s="37">
        <f t="shared" si="31"/>
        <v>2389</v>
      </c>
      <c r="AW25" s="35">
        <f t="shared" si="30"/>
        <v>4.7780000000000005</v>
      </c>
    </row>
    <row r="26" spans="1:49" x14ac:dyDescent="0.25">
      <c r="A26" s="23">
        <v>44185</v>
      </c>
      <c r="B26" s="40">
        <v>71</v>
      </c>
      <c r="C26" s="24">
        <v>6501350</v>
      </c>
      <c r="D26" s="24">
        <v>15013990</v>
      </c>
      <c r="E26" s="24">
        <v>2239180</v>
      </c>
      <c r="F26" s="24">
        <v>3210200</v>
      </c>
      <c r="G26" s="24">
        <v>9635300</v>
      </c>
      <c r="H26" s="24">
        <v>4977740</v>
      </c>
      <c r="I26" s="24">
        <v>4683350</v>
      </c>
      <c r="J26" s="24">
        <v>5341420</v>
      </c>
      <c r="K26" s="24">
        <v>8370480</v>
      </c>
      <c r="L26" s="24">
        <v>3413000</v>
      </c>
      <c r="M26" s="24">
        <v>7340130</v>
      </c>
      <c r="N26" s="24">
        <v>10888130</v>
      </c>
      <c r="O26" s="24">
        <v>14849032</v>
      </c>
      <c r="Q26" s="37">
        <f t="shared" si="33"/>
        <v>530</v>
      </c>
      <c r="R26" s="37">
        <f t="shared" si="33"/>
        <v>1810</v>
      </c>
      <c r="S26" s="37">
        <f t="shared" si="33"/>
        <v>2580</v>
      </c>
      <c r="T26" s="37">
        <f t="shared" si="33"/>
        <v>1400</v>
      </c>
      <c r="U26" s="37">
        <f t="shared" si="33"/>
        <v>4590</v>
      </c>
      <c r="V26" s="37">
        <f t="shared" si="33"/>
        <v>3348</v>
      </c>
      <c r="W26" s="37">
        <f t="shared" si="33"/>
        <v>2360</v>
      </c>
      <c r="X26" s="37">
        <f t="shared" si="33"/>
        <v>3420</v>
      </c>
      <c r="Y26" s="37">
        <f t="shared" si="33"/>
        <v>5520</v>
      </c>
      <c r="Z26" s="37">
        <f t="shared" si="33"/>
        <v>2380</v>
      </c>
      <c r="AA26" s="37">
        <f t="shared" si="33"/>
        <v>2970</v>
      </c>
      <c r="AB26" s="37">
        <f t="shared" si="33"/>
        <v>6790</v>
      </c>
      <c r="AC26" s="37">
        <f t="shared" si="33"/>
        <v>13652</v>
      </c>
      <c r="AD26" s="35">
        <f t="shared" si="28"/>
        <v>51350</v>
      </c>
      <c r="AF26" s="20">
        <f t="shared" si="1"/>
        <v>2.65</v>
      </c>
      <c r="AG26" s="20">
        <f t="shared" si="2"/>
        <v>9.0500000000000007</v>
      </c>
      <c r="AH26" s="20">
        <f t="shared" si="3"/>
        <v>12.9</v>
      </c>
      <c r="AI26" s="20">
        <f t="shared" si="4"/>
        <v>7</v>
      </c>
      <c r="AJ26" s="20">
        <f t="shared" si="5"/>
        <v>22.95</v>
      </c>
      <c r="AK26" s="20">
        <f t="shared" si="6"/>
        <v>16.740000000000002</v>
      </c>
      <c r="AL26" s="20">
        <f t="shared" si="7"/>
        <v>11.8</v>
      </c>
      <c r="AM26" s="20">
        <f t="shared" si="8"/>
        <v>17.100000000000001</v>
      </c>
      <c r="AN26" s="20">
        <f t="shared" si="9"/>
        <v>27.6</v>
      </c>
      <c r="AO26" s="20">
        <f t="shared" si="10"/>
        <v>11.9</v>
      </c>
      <c r="AP26" s="20">
        <f t="shared" si="11"/>
        <v>14.85</v>
      </c>
      <c r="AQ26" s="20">
        <f t="shared" si="12"/>
        <v>33.950000000000003</v>
      </c>
      <c r="AR26" s="20">
        <f t="shared" si="13"/>
        <v>68.260000000000005</v>
      </c>
      <c r="AS26" s="35">
        <f t="shared" si="29"/>
        <v>256.75</v>
      </c>
      <c r="AU26" s="47">
        <v>363265</v>
      </c>
      <c r="AV26" s="37">
        <f t="shared" si="31"/>
        <v>926</v>
      </c>
      <c r="AW26" s="35">
        <f t="shared" si="30"/>
        <v>1.8520000000000001</v>
      </c>
    </row>
    <row r="27" spans="1:49" x14ac:dyDescent="0.25">
      <c r="A27" s="23">
        <v>44186</v>
      </c>
      <c r="B27" s="40">
        <v>70</v>
      </c>
      <c r="C27" s="24">
        <v>6501910</v>
      </c>
      <c r="D27" s="24">
        <v>15015910</v>
      </c>
      <c r="E27" s="24">
        <v>2241840</v>
      </c>
      <c r="F27" s="24">
        <v>3211670</v>
      </c>
      <c r="G27" s="24">
        <v>9640400</v>
      </c>
      <c r="H27" s="24">
        <v>4981280</v>
      </c>
      <c r="I27" s="24">
        <v>4685850</v>
      </c>
      <c r="J27" s="24">
        <v>5345380</v>
      </c>
      <c r="K27" s="24">
        <v>8376600</v>
      </c>
      <c r="L27" s="24">
        <v>3415400</v>
      </c>
      <c r="M27" s="24">
        <v>7343540</v>
      </c>
      <c r="N27" s="24">
        <v>10895150</v>
      </c>
      <c r="O27" s="24">
        <v>14862030</v>
      </c>
      <c r="Q27" s="37">
        <f t="shared" si="33"/>
        <v>560</v>
      </c>
      <c r="R27" s="37">
        <f t="shared" si="33"/>
        <v>1920</v>
      </c>
      <c r="S27" s="37">
        <f t="shared" si="33"/>
        <v>2660</v>
      </c>
      <c r="T27" s="37">
        <f t="shared" si="33"/>
        <v>1470</v>
      </c>
      <c r="U27" s="37">
        <f t="shared" si="33"/>
        <v>5100</v>
      </c>
      <c r="V27" s="37">
        <f t="shared" si="33"/>
        <v>3540</v>
      </c>
      <c r="W27" s="37">
        <f t="shared" si="33"/>
        <v>2500</v>
      </c>
      <c r="X27" s="37">
        <f t="shared" si="33"/>
        <v>3960</v>
      </c>
      <c r="Y27" s="37">
        <f t="shared" si="33"/>
        <v>6120</v>
      </c>
      <c r="Z27" s="37">
        <f t="shared" si="33"/>
        <v>2400</v>
      </c>
      <c r="AA27" s="37">
        <f t="shared" si="33"/>
        <v>3410</v>
      </c>
      <c r="AB27" s="37">
        <f t="shared" si="33"/>
        <v>7020</v>
      </c>
      <c r="AC27" s="37">
        <f t="shared" si="33"/>
        <v>12998</v>
      </c>
      <c r="AD27" s="35">
        <f t="shared" si="28"/>
        <v>53658</v>
      </c>
      <c r="AF27" s="20">
        <f t="shared" si="1"/>
        <v>2.8000000000000003</v>
      </c>
      <c r="AG27" s="20">
        <f t="shared" si="2"/>
        <v>9.6</v>
      </c>
      <c r="AH27" s="20">
        <f t="shared" si="3"/>
        <v>13.3</v>
      </c>
      <c r="AI27" s="20">
        <f t="shared" si="4"/>
        <v>7.3500000000000005</v>
      </c>
      <c r="AJ27" s="20">
        <f t="shared" si="5"/>
        <v>25.5</v>
      </c>
      <c r="AK27" s="20">
        <f t="shared" si="6"/>
        <v>17.7</v>
      </c>
      <c r="AL27" s="20">
        <f t="shared" si="7"/>
        <v>12.5</v>
      </c>
      <c r="AM27" s="20">
        <f t="shared" si="8"/>
        <v>19.8</v>
      </c>
      <c r="AN27" s="20">
        <f t="shared" si="9"/>
        <v>30.6</v>
      </c>
      <c r="AO27" s="20">
        <f t="shared" si="10"/>
        <v>12</v>
      </c>
      <c r="AP27" s="20">
        <f t="shared" si="11"/>
        <v>17.05</v>
      </c>
      <c r="AQ27" s="20">
        <f t="shared" si="12"/>
        <v>35.1</v>
      </c>
      <c r="AR27" s="20">
        <f t="shared" si="13"/>
        <v>64.989999999999995</v>
      </c>
      <c r="AS27" s="35">
        <f t="shared" si="29"/>
        <v>268.29000000000002</v>
      </c>
      <c r="AU27" s="47">
        <v>365016</v>
      </c>
      <c r="AV27" s="37">
        <f>IF((AU27-AU26&lt;0),"0",AU27-AU26)</f>
        <v>1751</v>
      </c>
      <c r="AW27" s="35">
        <f t="shared" si="30"/>
        <v>3.5020000000000002</v>
      </c>
    </row>
    <row r="28" spans="1:49" x14ac:dyDescent="0.25">
      <c r="A28" s="23">
        <v>44187</v>
      </c>
      <c r="B28" s="40">
        <v>82</v>
      </c>
      <c r="C28" s="24">
        <v>6502460</v>
      </c>
      <c r="D28" s="24">
        <v>15017770</v>
      </c>
      <c r="E28" s="24">
        <v>2244430</v>
      </c>
      <c r="F28" s="24">
        <v>3213100</v>
      </c>
      <c r="G28" s="24">
        <v>9645700</v>
      </c>
      <c r="H28" s="24">
        <v>4984740</v>
      </c>
      <c r="I28" s="24">
        <v>4688310</v>
      </c>
      <c r="J28" s="24">
        <v>5349220</v>
      </c>
      <c r="K28" s="24">
        <v>8382770</v>
      </c>
      <c r="L28" s="24">
        <v>3417930</v>
      </c>
      <c r="M28" s="24">
        <v>7346660</v>
      </c>
      <c r="N28" s="24">
        <v>10901860</v>
      </c>
      <c r="O28" s="24">
        <v>14874820</v>
      </c>
      <c r="Q28" s="37">
        <f t="shared" si="16"/>
        <v>550</v>
      </c>
      <c r="R28" s="37">
        <f t="shared" si="17"/>
        <v>1860</v>
      </c>
      <c r="S28" s="37">
        <f t="shared" si="15"/>
        <v>2590</v>
      </c>
      <c r="T28" s="37">
        <f t="shared" si="18"/>
        <v>1430</v>
      </c>
      <c r="U28" s="37">
        <f t="shared" si="19"/>
        <v>5300</v>
      </c>
      <c r="V28" s="37">
        <f t="shared" si="20"/>
        <v>3460</v>
      </c>
      <c r="W28" s="37">
        <f t="shared" si="21"/>
        <v>2460</v>
      </c>
      <c r="X28" s="37">
        <f t="shared" si="22"/>
        <v>3840</v>
      </c>
      <c r="Y28" s="37">
        <f t="shared" si="23"/>
        <v>6170</v>
      </c>
      <c r="Z28" s="37">
        <f t="shared" si="24"/>
        <v>2530</v>
      </c>
      <c r="AA28" s="37">
        <f t="shared" si="25"/>
        <v>3120</v>
      </c>
      <c r="AB28" s="37">
        <f t="shared" si="26"/>
        <v>6710</v>
      </c>
      <c r="AC28" s="37">
        <f t="shared" si="27"/>
        <v>12790</v>
      </c>
      <c r="AD28" s="35">
        <f t="shared" si="28"/>
        <v>52810</v>
      </c>
      <c r="AF28" s="20">
        <f t="shared" si="1"/>
        <v>2.75</v>
      </c>
      <c r="AG28" s="20">
        <f t="shared" si="2"/>
        <v>9.3000000000000007</v>
      </c>
      <c r="AH28" s="20">
        <f t="shared" si="3"/>
        <v>12.950000000000001</v>
      </c>
      <c r="AI28" s="20">
        <f t="shared" si="4"/>
        <v>7.15</v>
      </c>
      <c r="AJ28" s="20">
        <f t="shared" si="5"/>
        <v>26.5</v>
      </c>
      <c r="AK28" s="20">
        <f t="shared" si="6"/>
        <v>17.3</v>
      </c>
      <c r="AL28" s="20">
        <f t="shared" si="7"/>
        <v>12.3</v>
      </c>
      <c r="AM28" s="20">
        <f t="shared" si="8"/>
        <v>19.2</v>
      </c>
      <c r="AN28" s="20">
        <f t="shared" si="9"/>
        <v>30.85</v>
      </c>
      <c r="AO28" s="20">
        <f t="shared" si="10"/>
        <v>12.65</v>
      </c>
      <c r="AP28" s="20">
        <f t="shared" si="11"/>
        <v>15.6</v>
      </c>
      <c r="AQ28" s="20">
        <f t="shared" si="12"/>
        <v>33.549999999999997</v>
      </c>
      <c r="AR28" s="20">
        <f t="shared" si="13"/>
        <v>63.95</v>
      </c>
      <c r="AS28" s="35">
        <f t="shared" si="29"/>
        <v>264.05</v>
      </c>
      <c r="AU28" s="47">
        <v>366830</v>
      </c>
      <c r="AV28" s="37">
        <f>IF((AU28-AU27&lt;0),"0",AU28-AU27)</f>
        <v>1814</v>
      </c>
      <c r="AW28" s="35">
        <f t="shared" si="30"/>
        <v>3.6280000000000001</v>
      </c>
    </row>
    <row r="29" spans="1:49" x14ac:dyDescent="0.25">
      <c r="A29" s="23">
        <v>44188</v>
      </c>
      <c r="B29" s="40">
        <v>83</v>
      </c>
      <c r="C29" s="24">
        <v>6503020</v>
      </c>
      <c r="D29" s="24">
        <v>15019690</v>
      </c>
      <c r="E29" s="24">
        <v>2247160</v>
      </c>
      <c r="F29" s="24">
        <v>3214580</v>
      </c>
      <c r="G29" s="24">
        <v>9651100</v>
      </c>
      <c r="H29" s="24">
        <v>4988340</v>
      </c>
      <c r="I29" s="24">
        <v>4690820</v>
      </c>
      <c r="J29" s="24">
        <v>5352980</v>
      </c>
      <c r="K29" s="24">
        <v>8389030</v>
      </c>
      <c r="L29" s="24">
        <v>3420470</v>
      </c>
      <c r="M29" s="24">
        <v>7350040</v>
      </c>
      <c r="N29" s="24">
        <v>10908890</v>
      </c>
      <c r="O29" s="24">
        <v>14887120</v>
      </c>
      <c r="Q29" s="37">
        <f t="shared" si="16"/>
        <v>560</v>
      </c>
      <c r="R29" s="37">
        <f t="shared" si="17"/>
        <v>1920</v>
      </c>
      <c r="S29" s="37">
        <f t="shared" si="15"/>
        <v>2730</v>
      </c>
      <c r="T29" s="37">
        <f t="shared" si="18"/>
        <v>1480</v>
      </c>
      <c r="U29" s="37">
        <f t="shared" si="19"/>
        <v>5400</v>
      </c>
      <c r="V29" s="37">
        <f t="shared" si="20"/>
        <v>3600</v>
      </c>
      <c r="W29" s="37">
        <f t="shared" si="21"/>
        <v>2510</v>
      </c>
      <c r="X29" s="37">
        <f t="shared" si="22"/>
        <v>3760</v>
      </c>
      <c r="Y29" s="37">
        <f t="shared" si="23"/>
        <v>6260</v>
      </c>
      <c r="Z29" s="37">
        <f t="shared" si="24"/>
        <v>2540</v>
      </c>
      <c r="AA29" s="37">
        <f t="shared" si="25"/>
        <v>3380</v>
      </c>
      <c r="AB29" s="37">
        <f t="shared" si="26"/>
        <v>7030</v>
      </c>
      <c r="AC29" s="37">
        <f t="shared" si="27"/>
        <v>12300</v>
      </c>
      <c r="AD29" s="35">
        <f t="shared" si="28"/>
        <v>53470</v>
      </c>
      <c r="AF29" s="20">
        <f t="shared" si="1"/>
        <v>2.8000000000000003</v>
      </c>
      <c r="AG29" s="20">
        <f t="shared" si="2"/>
        <v>9.6</v>
      </c>
      <c r="AH29" s="20">
        <f t="shared" si="3"/>
        <v>13.65</v>
      </c>
      <c r="AI29" s="20">
        <f t="shared" si="4"/>
        <v>7.4</v>
      </c>
      <c r="AJ29" s="20">
        <f t="shared" si="5"/>
        <v>27</v>
      </c>
      <c r="AK29" s="20">
        <f t="shared" si="6"/>
        <v>18</v>
      </c>
      <c r="AL29" s="20">
        <f t="shared" si="7"/>
        <v>12.55</v>
      </c>
      <c r="AM29" s="20">
        <f t="shared" si="8"/>
        <v>18.8</v>
      </c>
      <c r="AN29" s="20">
        <f t="shared" si="9"/>
        <v>31.3</v>
      </c>
      <c r="AO29" s="20">
        <f t="shared" si="10"/>
        <v>12.700000000000001</v>
      </c>
      <c r="AP29" s="20">
        <f t="shared" si="11"/>
        <v>16.899999999999999</v>
      </c>
      <c r="AQ29" s="20">
        <f t="shared" si="12"/>
        <v>35.15</v>
      </c>
      <c r="AR29" s="20">
        <f t="shared" si="13"/>
        <v>61.5</v>
      </c>
      <c r="AS29" s="35">
        <f t="shared" si="29"/>
        <v>267.35000000000002</v>
      </c>
      <c r="AU29" s="47">
        <v>368502</v>
      </c>
      <c r="AV29" s="37">
        <f t="shared" ref="AV29:AV35" si="34">IF((AU29-AU28&lt;0),"0",AU29-AU28)</f>
        <v>1672</v>
      </c>
      <c r="AW29" s="35">
        <f t="shared" si="30"/>
        <v>3.3439999999999999</v>
      </c>
    </row>
    <row r="30" spans="1:49" x14ac:dyDescent="0.25">
      <c r="A30" s="23">
        <v>44189</v>
      </c>
      <c r="B30" s="40">
        <v>138</v>
      </c>
      <c r="C30" s="24">
        <v>6503570</v>
      </c>
      <c r="D30" s="24">
        <v>15021560</v>
      </c>
      <c r="E30" s="24">
        <v>2249870</v>
      </c>
      <c r="F30" s="24">
        <v>3216020</v>
      </c>
      <c r="G30" s="24">
        <v>9656580</v>
      </c>
      <c r="H30" s="24">
        <v>4991920</v>
      </c>
      <c r="I30" s="24">
        <v>4693260</v>
      </c>
      <c r="J30" s="24">
        <v>5356670</v>
      </c>
      <c r="K30" s="24">
        <v>8395200</v>
      </c>
      <c r="L30" s="24">
        <v>3423050</v>
      </c>
      <c r="M30" s="24">
        <v>7353460</v>
      </c>
      <c r="N30" s="24">
        <v>10915720</v>
      </c>
      <c r="O30" s="24">
        <v>14899520</v>
      </c>
      <c r="Q30" s="37">
        <f t="shared" si="16"/>
        <v>550</v>
      </c>
      <c r="R30" s="37">
        <f t="shared" si="17"/>
        <v>1870</v>
      </c>
      <c r="S30" s="37">
        <f t="shared" si="15"/>
        <v>2710</v>
      </c>
      <c r="T30" s="37">
        <f t="shared" si="18"/>
        <v>1440</v>
      </c>
      <c r="U30" s="37">
        <f t="shared" si="19"/>
        <v>5480</v>
      </c>
      <c r="V30" s="37">
        <f t="shared" si="20"/>
        <v>3580</v>
      </c>
      <c r="W30" s="37">
        <f t="shared" si="21"/>
        <v>2440</v>
      </c>
      <c r="X30" s="37">
        <f t="shared" si="22"/>
        <v>3690</v>
      </c>
      <c r="Y30" s="37">
        <f t="shared" si="23"/>
        <v>6170</v>
      </c>
      <c r="Z30" s="37">
        <f t="shared" si="24"/>
        <v>2580</v>
      </c>
      <c r="AA30" s="37">
        <f t="shared" si="25"/>
        <v>3420</v>
      </c>
      <c r="AB30" s="37">
        <f t="shared" si="26"/>
        <v>6830</v>
      </c>
      <c r="AC30" s="37">
        <f t="shared" si="27"/>
        <v>12400</v>
      </c>
      <c r="AD30" s="35">
        <f t="shared" si="28"/>
        <v>53160</v>
      </c>
      <c r="AF30" s="20">
        <f t="shared" si="1"/>
        <v>2.75</v>
      </c>
      <c r="AG30" s="20">
        <f t="shared" si="2"/>
        <v>9.35</v>
      </c>
      <c r="AH30" s="20">
        <f t="shared" si="3"/>
        <v>13.55</v>
      </c>
      <c r="AI30" s="20">
        <f t="shared" si="4"/>
        <v>7.2</v>
      </c>
      <c r="AJ30" s="20">
        <f t="shared" si="5"/>
        <v>27.400000000000002</v>
      </c>
      <c r="AK30" s="20">
        <f t="shared" si="6"/>
        <v>17.900000000000002</v>
      </c>
      <c r="AL30" s="20">
        <f t="shared" si="7"/>
        <v>12.200000000000001</v>
      </c>
      <c r="AM30" s="20">
        <f t="shared" si="8"/>
        <v>18.45</v>
      </c>
      <c r="AN30" s="20">
        <f t="shared" si="9"/>
        <v>30.85</v>
      </c>
      <c r="AO30" s="20">
        <f t="shared" si="10"/>
        <v>12.9</v>
      </c>
      <c r="AP30" s="20">
        <f t="shared" si="11"/>
        <v>17.100000000000001</v>
      </c>
      <c r="AQ30" s="20">
        <f t="shared" si="12"/>
        <v>34.15</v>
      </c>
      <c r="AR30" s="20">
        <f t="shared" si="13"/>
        <v>62</v>
      </c>
      <c r="AS30" s="35">
        <f t="shared" si="29"/>
        <v>265.8</v>
      </c>
      <c r="AU30" s="47">
        <v>369987</v>
      </c>
      <c r="AV30" s="37">
        <f t="shared" si="34"/>
        <v>1485</v>
      </c>
      <c r="AW30" s="35">
        <f t="shared" si="30"/>
        <v>2.97</v>
      </c>
    </row>
    <row r="31" spans="1:49" x14ac:dyDescent="0.25">
      <c r="A31" s="23">
        <v>44190</v>
      </c>
      <c r="B31" s="40">
        <v>166</v>
      </c>
      <c r="C31" s="24">
        <v>6504130</v>
      </c>
      <c r="D31" s="24">
        <v>15023490</v>
      </c>
      <c r="E31" s="24">
        <v>2252480</v>
      </c>
      <c r="F31" s="24">
        <v>3217500</v>
      </c>
      <c r="G31" s="24">
        <v>9662450</v>
      </c>
      <c r="H31" s="24">
        <v>4995770</v>
      </c>
      <c r="I31" s="24">
        <v>4695880</v>
      </c>
      <c r="J31" s="24">
        <v>5360740</v>
      </c>
      <c r="K31" s="24">
        <v>8401670</v>
      </c>
      <c r="L31" s="24">
        <v>3425910</v>
      </c>
      <c r="M31" s="24">
        <v>7357300</v>
      </c>
      <c r="N31" s="24">
        <v>10922720</v>
      </c>
      <c r="O31" s="24">
        <v>14914000</v>
      </c>
      <c r="Q31" s="37">
        <f>IF((C31-C30&lt;0), "0",C31-C30)</f>
        <v>560</v>
      </c>
      <c r="R31" s="37">
        <f t="shared" si="17"/>
        <v>1930</v>
      </c>
      <c r="S31" s="37">
        <f t="shared" si="15"/>
        <v>2610</v>
      </c>
      <c r="T31" s="37">
        <f t="shared" si="18"/>
        <v>1480</v>
      </c>
      <c r="U31" s="37">
        <f t="shared" si="19"/>
        <v>5870</v>
      </c>
      <c r="V31" s="37">
        <f t="shared" si="20"/>
        <v>3850</v>
      </c>
      <c r="W31" s="37">
        <f t="shared" si="21"/>
        <v>2620</v>
      </c>
      <c r="X31" s="37">
        <f t="shared" si="22"/>
        <v>4070</v>
      </c>
      <c r="Y31" s="37">
        <f t="shared" si="23"/>
        <v>6470</v>
      </c>
      <c r="Z31" s="37">
        <f t="shared" si="24"/>
        <v>2860</v>
      </c>
      <c r="AA31" s="37">
        <f t="shared" si="25"/>
        <v>3840</v>
      </c>
      <c r="AB31" s="37">
        <f t="shared" si="26"/>
        <v>7000</v>
      </c>
      <c r="AC31" s="37">
        <f t="shared" si="27"/>
        <v>14480</v>
      </c>
      <c r="AD31" s="35">
        <f t="shared" si="28"/>
        <v>57640</v>
      </c>
      <c r="AF31" s="20">
        <f t="shared" si="1"/>
        <v>2.8000000000000003</v>
      </c>
      <c r="AG31" s="20">
        <f t="shared" si="2"/>
        <v>9.65</v>
      </c>
      <c r="AH31" s="20">
        <f t="shared" si="3"/>
        <v>13.05</v>
      </c>
      <c r="AI31" s="20">
        <f t="shared" si="4"/>
        <v>7.4</v>
      </c>
      <c r="AJ31" s="20">
        <f t="shared" si="5"/>
        <v>29.35</v>
      </c>
      <c r="AK31" s="20">
        <f t="shared" si="6"/>
        <v>19.25</v>
      </c>
      <c r="AL31" s="20">
        <f t="shared" si="7"/>
        <v>13.1</v>
      </c>
      <c r="AM31" s="20">
        <f t="shared" si="8"/>
        <v>20.350000000000001</v>
      </c>
      <c r="AN31" s="20">
        <f t="shared" si="9"/>
        <v>32.35</v>
      </c>
      <c r="AO31" s="20">
        <f t="shared" si="10"/>
        <v>14.3</v>
      </c>
      <c r="AP31" s="20">
        <f t="shared" si="11"/>
        <v>19.2</v>
      </c>
      <c r="AQ31" s="20">
        <f t="shared" si="12"/>
        <v>35</v>
      </c>
      <c r="AR31" s="20">
        <f t="shared" si="13"/>
        <v>72.400000000000006</v>
      </c>
      <c r="AS31" s="35">
        <f t="shared" si="29"/>
        <v>288.2</v>
      </c>
      <c r="AU31" s="47">
        <v>371787</v>
      </c>
      <c r="AV31" s="37">
        <f t="shared" si="34"/>
        <v>1800</v>
      </c>
      <c r="AW31" s="35">
        <f t="shared" si="30"/>
        <v>3.6</v>
      </c>
    </row>
    <row r="32" spans="1:49" x14ac:dyDescent="0.25">
      <c r="A32" s="23">
        <v>44191</v>
      </c>
      <c r="B32" s="40">
        <v>90</v>
      </c>
      <c r="C32" s="24">
        <v>6504710</v>
      </c>
      <c r="D32" s="24">
        <v>15025460</v>
      </c>
      <c r="E32" s="24">
        <v>2254980</v>
      </c>
      <c r="F32" s="24">
        <v>3219010</v>
      </c>
      <c r="G32" s="24">
        <v>9668430</v>
      </c>
      <c r="H32" s="24">
        <v>4999393</v>
      </c>
      <c r="I32" s="24">
        <v>4696810</v>
      </c>
      <c r="J32" s="24">
        <v>5364425</v>
      </c>
      <c r="K32" s="24">
        <v>8408220</v>
      </c>
      <c r="L32" s="24">
        <v>3428840</v>
      </c>
      <c r="M32" s="24">
        <v>7361010</v>
      </c>
      <c r="N32" s="24">
        <v>10929720</v>
      </c>
      <c r="O32" s="24">
        <v>14923100</v>
      </c>
      <c r="Q32" s="37">
        <f>IF((C32-C31&lt;0), "0",C32-C31)</f>
        <v>580</v>
      </c>
      <c r="R32" s="37">
        <f t="shared" si="17"/>
        <v>1970</v>
      </c>
      <c r="S32" s="37">
        <f t="shared" si="15"/>
        <v>2500</v>
      </c>
      <c r="T32" s="37">
        <f t="shared" si="18"/>
        <v>1510</v>
      </c>
      <c r="U32" s="37">
        <f t="shared" si="19"/>
        <v>5980</v>
      </c>
      <c r="V32" s="37">
        <f t="shared" si="20"/>
        <v>3623</v>
      </c>
      <c r="W32" s="37">
        <f t="shared" si="21"/>
        <v>930</v>
      </c>
      <c r="X32" s="37">
        <f t="shared" si="22"/>
        <v>3685</v>
      </c>
      <c r="Y32" s="37">
        <f t="shared" si="23"/>
        <v>6550</v>
      </c>
      <c r="Z32" s="37">
        <f t="shared" si="24"/>
        <v>2930</v>
      </c>
      <c r="AA32" s="37">
        <f t="shared" si="25"/>
        <v>3710</v>
      </c>
      <c r="AB32" s="37">
        <f t="shared" si="26"/>
        <v>7000</v>
      </c>
      <c r="AC32" s="37">
        <f t="shared" si="27"/>
        <v>9100</v>
      </c>
      <c r="AD32" s="35">
        <f t="shared" si="28"/>
        <v>50068</v>
      </c>
      <c r="AF32" s="20">
        <f t="shared" si="1"/>
        <v>2.9</v>
      </c>
      <c r="AG32" s="20">
        <f t="shared" si="2"/>
        <v>9.85</v>
      </c>
      <c r="AH32" s="20">
        <f t="shared" si="3"/>
        <v>12.5</v>
      </c>
      <c r="AI32" s="20">
        <f t="shared" si="4"/>
        <v>7.55</v>
      </c>
      <c r="AJ32" s="20">
        <f t="shared" si="5"/>
        <v>29.900000000000002</v>
      </c>
      <c r="AK32" s="20">
        <f t="shared" si="6"/>
        <v>18.115000000000002</v>
      </c>
      <c r="AL32" s="20">
        <f t="shared" si="7"/>
        <v>4.6500000000000004</v>
      </c>
      <c r="AM32" s="20">
        <f t="shared" si="8"/>
        <v>18.425000000000001</v>
      </c>
      <c r="AN32" s="20">
        <f t="shared" si="9"/>
        <v>32.75</v>
      </c>
      <c r="AO32" s="20">
        <f t="shared" si="10"/>
        <v>14.65</v>
      </c>
      <c r="AP32" s="20">
        <f t="shared" si="11"/>
        <v>18.55</v>
      </c>
      <c r="AQ32" s="20">
        <f t="shared" si="12"/>
        <v>35</v>
      </c>
      <c r="AR32" s="20">
        <f t="shared" si="13"/>
        <v>45.5</v>
      </c>
      <c r="AS32" s="35">
        <f t="shared" si="29"/>
        <v>250.34</v>
      </c>
      <c r="AU32" s="47">
        <v>373836</v>
      </c>
      <c r="AV32" s="37">
        <f t="shared" si="34"/>
        <v>2049</v>
      </c>
      <c r="AW32" s="35">
        <f t="shared" si="30"/>
        <v>4.0979999999999999</v>
      </c>
    </row>
    <row r="33" spans="1:49" x14ac:dyDescent="0.25">
      <c r="A33" s="23">
        <v>44192</v>
      </c>
      <c r="B33" s="40">
        <v>85</v>
      </c>
      <c r="C33" s="24">
        <v>6505250</v>
      </c>
      <c r="D33" s="24">
        <v>15027290</v>
      </c>
      <c r="E33" s="24">
        <v>2257270</v>
      </c>
      <c r="F33" s="24">
        <v>3220420</v>
      </c>
      <c r="G33" s="24">
        <v>9673680</v>
      </c>
      <c r="H33" s="24">
        <v>5003016</v>
      </c>
      <c r="I33" s="24">
        <v>4699960</v>
      </c>
      <c r="J33" s="24">
        <v>5368110</v>
      </c>
      <c r="K33" s="24">
        <v>8413950</v>
      </c>
      <c r="L33" s="24">
        <v>3431380</v>
      </c>
      <c r="M33" s="24">
        <v>7364370</v>
      </c>
      <c r="N33" s="24">
        <v>10936720</v>
      </c>
      <c r="O33" s="24">
        <v>14943180</v>
      </c>
      <c r="Q33" s="37">
        <f>IF((C33-C32&lt;0), "0",C33-C32)</f>
        <v>540</v>
      </c>
      <c r="R33" s="37">
        <f t="shared" si="17"/>
        <v>1830</v>
      </c>
      <c r="S33" s="37">
        <f t="shared" si="15"/>
        <v>2290</v>
      </c>
      <c r="T33" s="37">
        <f t="shared" si="18"/>
        <v>1410</v>
      </c>
      <c r="U33" s="37">
        <f t="shared" si="19"/>
        <v>5250</v>
      </c>
      <c r="V33" s="37">
        <f t="shared" si="20"/>
        <v>3623</v>
      </c>
      <c r="W33" s="37">
        <f t="shared" si="21"/>
        <v>3150</v>
      </c>
      <c r="X33" s="37">
        <f t="shared" si="22"/>
        <v>3685</v>
      </c>
      <c r="Y33" s="37">
        <f t="shared" si="23"/>
        <v>5730</v>
      </c>
      <c r="Z33" s="37">
        <f t="shared" si="24"/>
        <v>2540</v>
      </c>
      <c r="AA33" s="37">
        <f t="shared" si="25"/>
        <v>3360</v>
      </c>
      <c r="AB33" s="37">
        <f t="shared" si="26"/>
        <v>7000</v>
      </c>
      <c r="AC33" s="37">
        <f t="shared" si="27"/>
        <v>20080</v>
      </c>
      <c r="AD33" s="35">
        <f t="shared" si="28"/>
        <v>60488</v>
      </c>
      <c r="AF33" s="20">
        <f t="shared" si="1"/>
        <v>2.7</v>
      </c>
      <c r="AG33" s="20">
        <f t="shared" si="2"/>
        <v>9.15</v>
      </c>
      <c r="AH33" s="20">
        <f t="shared" si="3"/>
        <v>11.450000000000001</v>
      </c>
      <c r="AI33" s="20">
        <f t="shared" si="4"/>
        <v>7.05</v>
      </c>
      <c r="AJ33" s="20">
        <f t="shared" si="5"/>
        <v>26.25</v>
      </c>
      <c r="AK33" s="20">
        <f t="shared" si="6"/>
        <v>18.115000000000002</v>
      </c>
      <c r="AL33" s="20">
        <f t="shared" si="7"/>
        <v>15.75</v>
      </c>
      <c r="AM33" s="20">
        <f t="shared" si="8"/>
        <v>18.425000000000001</v>
      </c>
      <c r="AN33" s="20">
        <f t="shared" si="9"/>
        <v>28.650000000000002</v>
      </c>
      <c r="AO33" s="20">
        <f t="shared" si="10"/>
        <v>12.700000000000001</v>
      </c>
      <c r="AP33" s="20">
        <f t="shared" si="11"/>
        <v>16.8</v>
      </c>
      <c r="AQ33" s="20">
        <f t="shared" si="12"/>
        <v>35</v>
      </c>
      <c r="AR33" s="20">
        <f t="shared" si="13"/>
        <v>100.4</v>
      </c>
      <c r="AS33" s="35">
        <f t="shared" si="29"/>
        <v>302.44</v>
      </c>
      <c r="AU33" s="47">
        <v>375715</v>
      </c>
      <c r="AV33" s="37">
        <f t="shared" si="34"/>
        <v>1879</v>
      </c>
      <c r="AW33" s="35">
        <f t="shared" si="30"/>
        <v>3.758</v>
      </c>
    </row>
    <row r="34" spans="1:49" x14ac:dyDescent="0.25">
      <c r="A34" s="23">
        <v>44193</v>
      </c>
      <c r="B34" s="52">
        <v>84</v>
      </c>
      <c r="C34" s="51">
        <v>6505790</v>
      </c>
      <c r="D34" s="24">
        <v>15029130</v>
      </c>
      <c r="E34" s="24">
        <v>2259590</v>
      </c>
      <c r="F34" s="24">
        <v>3221830</v>
      </c>
      <c r="G34" s="24">
        <v>9679160</v>
      </c>
      <c r="H34" s="24">
        <v>5006640</v>
      </c>
      <c r="I34" s="24">
        <v>4703110</v>
      </c>
      <c r="J34" s="24">
        <v>5372270</v>
      </c>
      <c r="K34" s="24">
        <v>8419750</v>
      </c>
      <c r="L34" s="24">
        <v>3433770</v>
      </c>
      <c r="M34" s="24">
        <v>7367830</v>
      </c>
      <c r="N34" s="24">
        <v>10943720</v>
      </c>
      <c r="O34" s="24">
        <v>14956700</v>
      </c>
      <c r="Q34" s="37">
        <f>IF((C34-C33&lt;0), "0",C34-C33)</f>
        <v>540</v>
      </c>
      <c r="R34" s="37">
        <f t="shared" si="17"/>
        <v>1840</v>
      </c>
      <c r="S34" s="37">
        <f t="shared" si="15"/>
        <v>2320</v>
      </c>
      <c r="T34" s="37">
        <f t="shared" si="18"/>
        <v>1410</v>
      </c>
      <c r="U34" s="37">
        <f t="shared" si="19"/>
        <v>5480</v>
      </c>
      <c r="V34" s="37">
        <f t="shared" si="20"/>
        <v>3624</v>
      </c>
      <c r="W34" s="37">
        <f t="shared" si="21"/>
        <v>3150</v>
      </c>
      <c r="X34" s="37">
        <f t="shared" si="22"/>
        <v>4160</v>
      </c>
      <c r="Y34" s="37">
        <f t="shared" si="23"/>
        <v>5800</v>
      </c>
      <c r="Z34" s="37">
        <f t="shared" si="24"/>
        <v>2390</v>
      </c>
      <c r="AA34" s="37">
        <f t="shared" si="25"/>
        <v>3460</v>
      </c>
      <c r="AB34" s="37">
        <f t="shared" si="26"/>
        <v>7000</v>
      </c>
      <c r="AC34" s="37">
        <f t="shared" si="27"/>
        <v>13520</v>
      </c>
      <c r="AD34" s="35">
        <f t="shared" si="28"/>
        <v>54694</v>
      </c>
      <c r="AF34" s="20">
        <f>Q34*$D$39</f>
        <v>2.7</v>
      </c>
      <c r="AG34" s="20">
        <f t="shared" si="2"/>
        <v>9.2000000000000011</v>
      </c>
      <c r="AH34" s="20">
        <f t="shared" si="3"/>
        <v>11.6</v>
      </c>
      <c r="AI34" s="20">
        <f t="shared" si="4"/>
        <v>7.05</v>
      </c>
      <c r="AJ34" s="20">
        <f t="shared" si="5"/>
        <v>27.400000000000002</v>
      </c>
      <c r="AK34" s="20">
        <f t="shared" si="6"/>
        <v>18.12</v>
      </c>
      <c r="AL34" s="20">
        <f t="shared" si="7"/>
        <v>15.75</v>
      </c>
      <c r="AM34" s="20">
        <f t="shared" si="8"/>
        <v>20.8</v>
      </c>
      <c r="AN34" s="20">
        <f t="shared" si="9"/>
        <v>29</v>
      </c>
      <c r="AO34" s="20">
        <f t="shared" si="10"/>
        <v>11.950000000000001</v>
      </c>
      <c r="AP34" s="20">
        <f t="shared" si="11"/>
        <v>17.3</v>
      </c>
      <c r="AQ34" s="20">
        <f t="shared" si="12"/>
        <v>35</v>
      </c>
      <c r="AR34" s="20">
        <f t="shared" si="13"/>
        <v>67.599999999999994</v>
      </c>
      <c r="AS34" s="35">
        <f>SUM(AF34:AR34)</f>
        <v>273.47000000000003</v>
      </c>
      <c r="AU34" s="47">
        <v>377250</v>
      </c>
      <c r="AV34" s="37">
        <f t="shared" si="34"/>
        <v>1535</v>
      </c>
      <c r="AW34" s="35">
        <f t="shared" si="30"/>
        <v>3.0700000000000003</v>
      </c>
    </row>
    <row r="35" spans="1:49" x14ac:dyDescent="0.25">
      <c r="A35" s="23">
        <v>44194</v>
      </c>
      <c r="B35" s="40">
        <v>85</v>
      </c>
      <c r="C35" s="24">
        <v>6506350</v>
      </c>
      <c r="D35" s="24">
        <v>15031050</v>
      </c>
      <c r="E35" s="24">
        <v>2262060</v>
      </c>
      <c r="F35" s="24">
        <v>3223310</v>
      </c>
      <c r="G35" s="24">
        <v>9685180</v>
      </c>
      <c r="H35" s="24">
        <v>5010290</v>
      </c>
      <c r="I35" s="24">
        <v>4705620</v>
      </c>
      <c r="J35" s="24">
        <v>5376160</v>
      </c>
      <c r="K35" s="24">
        <v>8426030</v>
      </c>
      <c r="L35" s="24">
        <v>3436420</v>
      </c>
      <c r="M35" s="24">
        <v>7371430</v>
      </c>
      <c r="N35" s="24">
        <v>10950720</v>
      </c>
      <c r="O35" s="24">
        <v>14970530</v>
      </c>
      <c r="Q35" s="37">
        <f>IF((C35-C34&lt;0), "0",C35-C34)</f>
        <v>560</v>
      </c>
      <c r="R35" s="37">
        <f t="shared" si="17"/>
        <v>1920</v>
      </c>
      <c r="S35" s="37">
        <f t="shared" si="15"/>
        <v>2470</v>
      </c>
      <c r="T35" s="37">
        <f t="shared" si="18"/>
        <v>1480</v>
      </c>
      <c r="U35" s="37">
        <f t="shared" si="19"/>
        <v>6020</v>
      </c>
      <c r="V35" s="37">
        <f t="shared" si="20"/>
        <v>3650</v>
      </c>
      <c r="W35" s="37">
        <f t="shared" si="21"/>
        <v>2510</v>
      </c>
      <c r="X35" s="37">
        <f t="shared" si="22"/>
        <v>3890</v>
      </c>
      <c r="Y35" s="37">
        <f t="shared" si="23"/>
        <v>6280</v>
      </c>
      <c r="Z35" s="37">
        <f t="shared" si="24"/>
        <v>2650</v>
      </c>
      <c r="AA35" s="37">
        <f t="shared" si="25"/>
        <v>3600</v>
      </c>
      <c r="AB35" s="37">
        <f t="shared" si="26"/>
        <v>7000</v>
      </c>
      <c r="AC35" s="37">
        <f t="shared" si="27"/>
        <v>13830</v>
      </c>
      <c r="AD35" s="35">
        <f t="shared" si="28"/>
        <v>55860</v>
      </c>
      <c r="AF35" s="20">
        <f t="shared" si="1"/>
        <v>2.8000000000000003</v>
      </c>
      <c r="AG35" s="20">
        <f t="shared" si="2"/>
        <v>9.6</v>
      </c>
      <c r="AH35" s="20">
        <f t="shared" si="3"/>
        <v>12.35</v>
      </c>
      <c r="AI35" s="20">
        <f t="shared" si="4"/>
        <v>7.4</v>
      </c>
      <c r="AJ35" s="20">
        <f t="shared" si="5"/>
        <v>30.1</v>
      </c>
      <c r="AK35" s="20">
        <f t="shared" si="6"/>
        <v>18.25</v>
      </c>
      <c r="AL35" s="20">
        <f t="shared" si="7"/>
        <v>12.55</v>
      </c>
      <c r="AM35" s="20">
        <f t="shared" si="8"/>
        <v>19.45</v>
      </c>
      <c r="AN35" s="20">
        <f t="shared" si="9"/>
        <v>31.400000000000002</v>
      </c>
      <c r="AO35" s="20">
        <f t="shared" si="10"/>
        <v>13.25</v>
      </c>
      <c r="AP35" s="20">
        <f t="shared" si="11"/>
        <v>18</v>
      </c>
      <c r="AQ35" s="20">
        <f t="shared" si="12"/>
        <v>35</v>
      </c>
      <c r="AR35" s="20">
        <f t="shared" si="13"/>
        <v>69.150000000000006</v>
      </c>
      <c r="AS35" s="35">
        <f>SUM(AF35:AR35)</f>
        <v>279.3</v>
      </c>
      <c r="AU35" s="47">
        <v>379125</v>
      </c>
      <c r="AV35" s="37">
        <f t="shared" si="34"/>
        <v>1875</v>
      </c>
      <c r="AW35" s="35">
        <f t="shared" si="30"/>
        <v>3.75</v>
      </c>
    </row>
    <row r="36" spans="1:49" x14ac:dyDescent="0.25">
      <c r="A36" s="23">
        <v>44195</v>
      </c>
      <c r="B36" s="40">
        <v>92</v>
      </c>
      <c r="C36" s="24">
        <v>6506900</v>
      </c>
      <c r="D36" s="24">
        <v>15032940</v>
      </c>
      <c r="E36" s="24">
        <v>2264540</v>
      </c>
      <c r="F36" s="24">
        <v>3224750</v>
      </c>
      <c r="G36" s="24">
        <v>9691110</v>
      </c>
      <c r="H36" s="24">
        <v>5013870</v>
      </c>
      <c r="I36" s="24">
        <v>4708160</v>
      </c>
      <c r="J36" s="53">
        <v>5380310</v>
      </c>
      <c r="K36" s="24">
        <v>8431480</v>
      </c>
      <c r="L36" s="24">
        <v>3439090</v>
      </c>
      <c r="M36" s="24">
        <v>7374960</v>
      </c>
      <c r="N36" s="24">
        <v>10957720</v>
      </c>
      <c r="O36" s="24">
        <v>14982940</v>
      </c>
      <c r="Q36" s="37">
        <f t="shared" ref="Q36:AA36" si="35">IF((C36-C35&lt;0), "0",C36-C35)</f>
        <v>550</v>
      </c>
      <c r="R36" s="37">
        <f t="shared" si="35"/>
        <v>1890</v>
      </c>
      <c r="S36" s="37">
        <f t="shared" si="35"/>
        <v>2480</v>
      </c>
      <c r="T36" s="37">
        <f t="shared" si="35"/>
        <v>1440</v>
      </c>
      <c r="U36" s="37">
        <f t="shared" si="35"/>
        <v>5930</v>
      </c>
      <c r="V36" s="37">
        <f t="shared" si="35"/>
        <v>3580</v>
      </c>
      <c r="W36" s="37">
        <f t="shared" si="35"/>
        <v>2540</v>
      </c>
      <c r="X36" s="37">
        <f t="shared" si="35"/>
        <v>4150</v>
      </c>
      <c r="Y36" s="37">
        <f t="shared" si="35"/>
        <v>5450</v>
      </c>
      <c r="Z36" s="37">
        <f t="shared" si="35"/>
        <v>2670</v>
      </c>
      <c r="AA36" s="37">
        <f t="shared" si="35"/>
        <v>3530</v>
      </c>
      <c r="AB36" s="37">
        <f t="shared" si="26"/>
        <v>7000</v>
      </c>
      <c r="AC36" s="37">
        <f t="shared" si="27"/>
        <v>12410</v>
      </c>
      <c r="AD36" s="35">
        <f t="shared" si="28"/>
        <v>53620</v>
      </c>
      <c r="AF36" s="20">
        <f t="shared" si="1"/>
        <v>2.75</v>
      </c>
      <c r="AG36" s="20">
        <f t="shared" si="2"/>
        <v>9.4500000000000011</v>
      </c>
      <c r="AH36" s="20">
        <f t="shared" si="3"/>
        <v>12.4</v>
      </c>
      <c r="AI36" s="20">
        <f t="shared" si="4"/>
        <v>7.2</v>
      </c>
      <c r="AJ36" s="20">
        <f t="shared" si="5"/>
        <v>29.650000000000002</v>
      </c>
      <c r="AK36" s="20">
        <f t="shared" si="6"/>
        <v>17.900000000000002</v>
      </c>
      <c r="AL36" s="20">
        <f t="shared" si="7"/>
        <v>12.700000000000001</v>
      </c>
      <c r="AM36" s="20">
        <f t="shared" si="8"/>
        <v>20.75</v>
      </c>
      <c r="AN36" s="20">
        <f t="shared" si="9"/>
        <v>27.25</v>
      </c>
      <c r="AO36" s="20">
        <f t="shared" si="10"/>
        <v>13.35</v>
      </c>
      <c r="AP36" s="20">
        <f t="shared" si="11"/>
        <v>17.650000000000002</v>
      </c>
      <c r="AQ36" s="20">
        <f t="shared" si="12"/>
        <v>35</v>
      </c>
      <c r="AR36" s="20">
        <f t="shared" si="13"/>
        <v>62.050000000000004</v>
      </c>
      <c r="AS36" s="35">
        <f>SUM(AF36:AR36)</f>
        <v>268.10000000000002</v>
      </c>
      <c r="AU36" s="47">
        <v>380770</v>
      </c>
      <c r="AV36" s="37">
        <f t="shared" ref="AV36:AV37" si="36">IF((AU36-AU35&lt;0),"0",AU36-AU35)</f>
        <v>1645</v>
      </c>
      <c r="AW36" s="35">
        <f t="shared" ref="AW36:AW37" si="37">AV36*$D$40</f>
        <v>3.29</v>
      </c>
    </row>
    <row r="37" spans="1:49" x14ac:dyDescent="0.25">
      <c r="A37" s="23">
        <v>44196</v>
      </c>
      <c r="B37" s="40">
        <v>255</v>
      </c>
      <c r="C37" s="24">
        <v>6507490</v>
      </c>
      <c r="D37" s="24">
        <v>15034950</v>
      </c>
      <c r="E37" s="24">
        <v>2267330</v>
      </c>
      <c r="F37" s="24">
        <v>3226310</v>
      </c>
      <c r="G37" s="24">
        <v>9697720</v>
      </c>
      <c r="H37" s="24">
        <v>5017730</v>
      </c>
      <c r="I37" s="24">
        <v>4710890</v>
      </c>
      <c r="J37" s="24">
        <v>5384740</v>
      </c>
      <c r="K37" s="24">
        <v>8437520</v>
      </c>
      <c r="L37" s="24">
        <v>3442340</v>
      </c>
      <c r="M37" s="24">
        <v>7379140</v>
      </c>
      <c r="N37" s="24">
        <v>10964720</v>
      </c>
      <c r="O37" s="24">
        <v>14995160</v>
      </c>
      <c r="Q37" s="37">
        <f t="shared" ref="Q37" si="38">IF((C37-C36&lt;0), "0",C37-C36)</f>
        <v>590</v>
      </c>
      <c r="R37" s="37">
        <f t="shared" ref="R37" si="39">IF((D37-D36&lt;0), "0",D37-D36)</f>
        <v>2010</v>
      </c>
      <c r="S37" s="37">
        <f t="shared" ref="S37" si="40">IF((E37-E36&lt;0), "0",E37-E36)</f>
        <v>2790</v>
      </c>
      <c r="T37" s="37">
        <f t="shared" ref="T37" si="41">IF((F37-F36&lt;0), "0",F37-F36)</f>
        <v>1560</v>
      </c>
      <c r="U37" s="37">
        <f t="shared" ref="U37" si="42">IF((G37-G36&lt;0), "0",G37-G36)</f>
        <v>6610</v>
      </c>
      <c r="V37" s="37">
        <f t="shared" ref="V37" si="43">IF((H37-H36&lt;0), "0",H37-H36)</f>
        <v>3860</v>
      </c>
      <c r="W37" s="37">
        <f t="shared" ref="W37" si="44">IF((I37-I36&lt;0), "0",I37-I36)</f>
        <v>2730</v>
      </c>
      <c r="X37" s="37">
        <f t="shared" ref="X37" si="45">IF((J37-J36&lt;0), "0",J37-J36)</f>
        <v>4430</v>
      </c>
      <c r="Y37" s="37">
        <f t="shared" ref="Y37" si="46">IF((K37-K36&lt;0), "0",K37-K36)</f>
        <v>6040</v>
      </c>
      <c r="Z37" s="37">
        <f t="shared" ref="Z37" si="47">IF((L37-L36&lt;0), "0",L37-L36)</f>
        <v>3250</v>
      </c>
      <c r="AA37" s="37">
        <f t="shared" ref="AA37" si="48">IF((M37-M36&lt;0), "0",M37-M36)</f>
        <v>4180</v>
      </c>
      <c r="AB37" s="37">
        <f t="shared" si="26"/>
        <v>7000</v>
      </c>
      <c r="AC37" s="37">
        <f t="shared" si="27"/>
        <v>12220</v>
      </c>
      <c r="AD37" s="35">
        <f t="shared" si="28"/>
        <v>57270</v>
      </c>
      <c r="AF37" s="20">
        <f t="shared" ref="AF37" si="49">Q37*$D$39</f>
        <v>2.95</v>
      </c>
      <c r="AG37" s="20">
        <f t="shared" ref="AG37" si="50">R37*$D$39</f>
        <v>10.050000000000001</v>
      </c>
      <c r="AH37" s="20">
        <f t="shared" ref="AH37" si="51">S37*$D$39</f>
        <v>13.950000000000001</v>
      </c>
      <c r="AI37" s="20">
        <f t="shared" ref="AI37" si="52">T37*$D$39</f>
        <v>7.8</v>
      </c>
      <c r="AJ37" s="20">
        <f t="shared" ref="AJ37" si="53">U37*$D$39</f>
        <v>33.049999999999997</v>
      </c>
      <c r="AK37" s="20">
        <f t="shared" ref="AK37" si="54">V37*$D$39</f>
        <v>19.3</v>
      </c>
      <c r="AL37" s="20">
        <f t="shared" ref="AL37" si="55">W37*$D$39</f>
        <v>13.65</v>
      </c>
      <c r="AM37" s="20">
        <f t="shared" ref="AM37" si="56">X37*$D$39</f>
        <v>22.150000000000002</v>
      </c>
      <c r="AN37" s="20">
        <f t="shared" ref="AN37" si="57">Y37*$D$39</f>
        <v>30.2</v>
      </c>
      <c r="AO37" s="20">
        <f t="shared" ref="AO37" si="58">Z37*$D$39</f>
        <v>16.25</v>
      </c>
      <c r="AP37" s="20">
        <f t="shared" ref="AP37" si="59">AA37*$D$39</f>
        <v>20.900000000000002</v>
      </c>
      <c r="AQ37" s="20">
        <f t="shared" ref="AQ37" si="60">AB37*$D$39</f>
        <v>35</v>
      </c>
      <c r="AR37" s="20">
        <f t="shared" ref="AR37" si="61">AC37*$D$39</f>
        <v>61.1</v>
      </c>
      <c r="AS37" s="35">
        <f>SUM(AF37:AR37)</f>
        <v>286.35000000000002</v>
      </c>
      <c r="AU37" s="47">
        <v>382813</v>
      </c>
      <c r="AV37" s="37">
        <f t="shared" si="36"/>
        <v>2043</v>
      </c>
      <c r="AW37" s="35">
        <f t="shared" si="37"/>
        <v>4.0860000000000003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15540</v>
      </c>
      <c r="R38" s="30">
        <f t="shared" si="62"/>
        <v>53110</v>
      </c>
      <c r="S38" s="30">
        <f t="shared" si="62"/>
        <v>50890</v>
      </c>
      <c r="T38" s="30">
        <f t="shared" si="62"/>
        <v>70160</v>
      </c>
      <c r="U38" s="30">
        <f t="shared" si="62"/>
        <v>143390</v>
      </c>
      <c r="V38" s="30">
        <f t="shared" si="62"/>
        <v>99330</v>
      </c>
      <c r="W38" s="30">
        <f t="shared" si="62"/>
        <v>68140</v>
      </c>
      <c r="X38" s="30">
        <f t="shared" si="62"/>
        <v>107260</v>
      </c>
      <c r="Y38" s="30">
        <f t="shared" si="62"/>
        <v>171050</v>
      </c>
      <c r="Z38" s="30">
        <f t="shared" si="62"/>
        <v>72010</v>
      </c>
      <c r="AA38" s="30">
        <f t="shared" si="62"/>
        <v>94240</v>
      </c>
      <c r="AB38" s="30">
        <f t="shared" si="62"/>
        <v>198100</v>
      </c>
      <c r="AC38" s="30">
        <f t="shared" si="62"/>
        <v>342530</v>
      </c>
      <c r="AD38" s="35">
        <f t="shared" si="62"/>
        <v>1485750</v>
      </c>
      <c r="AF38" s="35">
        <f t="shared" ref="AF38:AS38" si="63">SUM(AF7:AF34)</f>
        <v>77.7</v>
      </c>
      <c r="AG38" s="35">
        <f t="shared" si="63"/>
        <v>265.55</v>
      </c>
      <c r="AH38" s="35">
        <f t="shared" si="63"/>
        <v>254.45000000000002</v>
      </c>
      <c r="AI38" s="35">
        <f t="shared" si="63"/>
        <v>350.79999999999995</v>
      </c>
      <c r="AJ38" s="35">
        <f t="shared" si="63"/>
        <v>716.95</v>
      </c>
      <c r="AK38" s="35">
        <f t="shared" si="63"/>
        <v>496.65000000000003</v>
      </c>
      <c r="AL38" s="35">
        <f t="shared" si="63"/>
        <v>340.7</v>
      </c>
      <c r="AM38" s="35">
        <f t="shared" si="63"/>
        <v>536.30000000000007</v>
      </c>
      <c r="AN38" s="35">
        <f t="shared" si="63"/>
        <v>855.25</v>
      </c>
      <c r="AO38" s="35">
        <f t="shared" si="63"/>
        <v>360.04999999999984</v>
      </c>
      <c r="AP38" s="35">
        <f t="shared" si="63"/>
        <v>471.20000000000016</v>
      </c>
      <c r="AQ38" s="35">
        <f t="shared" si="63"/>
        <v>990.5</v>
      </c>
      <c r="AR38" s="35">
        <f t="shared" si="63"/>
        <v>1712.65</v>
      </c>
      <c r="AS38" s="35">
        <f t="shared" si="63"/>
        <v>7428.7500000000018</v>
      </c>
      <c r="AU38" s="48"/>
      <c r="AV38" s="35">
        <f>SUM(AV7:AV34)</f>
        <v>46813</v>
      </c>
      <c r="AW38" s="35">
        <f>SUM(AW7:AW34)</f>
        <v>87.599999999999966</v>
      </c>
    </row>
    <row r="39" spans="1:49" x14ac:dyDescent="0.25">
      <c r="D39">
        <v>5.0000000000000001E-3</v>
      </c>
      <c r="AV39" s="36">
        <f>AV38*0.00378541*1000</f>
        <v>177206.39833</v>
      </c>
    </row>
    <row r="40" spans="1:49" x14ac:dyDescent="0.25">
      <c r="D40">
        <v>2E-3</v>
      </c>
      <c r="AV40">
        <f>AV39/31</f>
        <v>5716.3354300000001</v>
      </c>
    </row>
    <row r="41" spans="1:49" x14ac:dyDescent="0.25">
      <c r="AV41">
        <f>AV38*0.00378541</f>
        <v>177.20639832999998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cp:lastPrinted>2019-07-02T08:10:14Z</cp:lastPrinted>
  <dcterms:created xsi:type="dcterms:W3CDTF">2017-05-22T13:08:25Z</dcterms:created>
  <dcterms:modified xsi:type="dcterms:W3CDTF">2021-01-04T09:17:59Z</dcterms:modified>
</cp:coreProperties>
</file>