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5-15-2022\"/>
    </mc:Choice>
  </mc:AlternateContent>
  <xr:revisionPtr revIDLastSave="18" documentId="13_ncr:1_{37C40C4A-CCE4-4B7F-A3F0-F13E5AB0612F}" xr6:coauthVersionLast="47" xr6:coauthVersionMax="47" xr10:uidLastSave="{CE615625-9C29-4990-96DE-FE0E16CB166E}"/>
  <bookViews>
    <workbookView xWindow="-120" yWindow="-120" windowWidth="29040" windowHeight="15720" firstSheet="1" activeTab="5" xr2:uid="{00000000-000D-0000-FFFF-FFFF00000000}"/>
  </bookViews>
  <sheets>
    <sheet name="Total" sheetId="13" r:id="rId1"/>
    <sheet name="Submetering" sheetId="12" r:id="rId2"/>
    <sheet name="Elect" sheetId="1" r:id="rId3"/>
    <sheet name="Sheet1" sheetId="14" state="hidden" r:id="rId4"/>
    <sheet name="Sheet2" sheetId="15" state="hidden" r:id="rId5"/>
    <sheet name="Gas" sheetId="6" r:id="rId6"/>
    <sheet name="Consp" sheetId="9" state="hidden" r:id="rId7"/>
    <sheet name="Temp." sheetId="4" state="hidden" r:id="rId8"/>
    <sheet name="M-Rep" sheetId="7" state="hidden" r:id="rId9"/>
    <sheet name="YTD" sheetId="10" state="hidden" r:id="rId10"/>
    <sheet name="Water" sheetId="2" r:id="rId11"/>
    <sheet name="Utility Consnsumption" sheetId="11" r:id="rId12"/>
  </sheets>
  <definedNames>
    <definedName name="_xlnm.Print_Area" localSheetId="6">Consp!$A$1:$BQ$40</definedName>
    <definedName name="_xlnm.Print_Area" localSheetId="2">Elect!$A$1:$BZ$40</definedName>
    <definedName name="_xlnm.Print_Area" localSheetId="5">Gas!$A$1:$J$40</definedName>
    <definedName name="_xlnm.Print_Area" localSheetId="7">Temp.!$A$1:$J$45</definedName>
    <definedName name="_xlnm.Print_Area" localSheetId="11">'Utility Consnsumption'!$A$1:$M$62</definedName>
    <definedName name="_xlnm.Print_Area" localSheetId="10">Water!$A$1:$Z$50</definedName>
    <definedName name="_xlnm.Print_Area" localSheetId="9">YTD!$A$1:$Q$2370</definedName>
    <definedName name="_xlnm.Print_Titles" localSheetId="6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6" l="1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K14" i="1" s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22" i="1" l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N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E29" i="2"/>
  <c r="E30" i="2"/>
  <c r="E31" i="2"/>
  <c r="E32" i="2"/>
  <c r="E33" i="2"/>
  <c r="E34" i="2"/>
  <c r="E35" i="2"/>
  <c r="E36" i="2"/>
  <c r="E37" i="2"/>
  <c r="E26" i="2"/>
  <c r="E27" i="2"/>
  <c r="E28" i="2"/>
  <c r="E23" i="2"/>
  <c r="E24" i="2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C27" i="2"/>
  <c r="C28" i="2"/>
  <c r="C29" i="2"/>
  <c r="C30" i="2"/>
  <c r="C31" i="2"/>
  <c r="C32" i="2"/>
  <c r="C33" i="2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/>
  <c r="E9" i="2"/>
  <c r="AJ4" i="12"/>
  <c r="K8" i="9"/>
  <c r="K10" i="9"/>
  <c r="K11" i="9"/>
  <c r="AJ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O27" i="12"/>
  <c r="L30" i="12"/>
  <c r="Q35" i="1"/>
  <c r="H31" i="12"/>
  <c r="Q33" i="1"/>
  <c r="H29" i="12"/>
  <c r="Q34" i="1"/>
  <c r="H30" i="12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BT38" i="1"/>
  <c r="E7" i="6"/>
  <c r="H7" i="6"/>
  <c r="E8" i="6"/>
  <c r="AN3" i="12"/>
  <c r="E9" i="6"/>
  <c r="AN4" i="12"/>
  <c r="E10" i="6"/>
  <c r="AN5" i="12"/>
  <c r="E11" i="6"/>
  <c r="AN6" i="12"/>
  <c r="E12" i="6"/>
  <c r="AN7" i="12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/>
  <c r="E23" i="6"/>
  <c r="H23" i="6"/>
  <c r="E24" i="6"/>
  <c r="E25" i="6"/>
  <c r="AN20" i="12"/>
  <c r="E26" i="6"/>
  <c r="E27" i="6"/>
  <c r="AN22" i="12"/>
  <c r="E28" i="6"/>
  <c r="AN23" i="12"/>
  <c r="E29" i="6"/>
  <c r="AN24" i="12"/>
  <c r="AN25" i="12"/>
  <c r="AN26" i="12"/>
  <c r="AN27" i="12"/>
  <c r="AN28" i="12"/>
  <c r="AN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J17" i="6"/>
  <c r="AJ15" i="9"/>
  <c r="G18" i="6"/>
  <c r="AO13" i="12"/>
  <c r="C18" i="6"/>
  <c r="I18" i="6"/>
  <c r="C17" i="6"/>
  <c r="AH15" i="9"/>
  <c r="N21" i="12"/>
  <c r="Y4" i="12"/>
  <c r="Y5" i="12"/>
  <c r="AZ10" i="1"/>
  <c r="K38" i="2"/>
  <c r="I38" i="2"/>
  <c r="J36" i="1"/>
  <c r="F32" i="12"/>
  <c r="AA5" i="1"/>
  <c r="BB27" i="1"/>
  <c r="T26" i="12"/>
  <c r="S30" i="1"/>
  <c r="I26" i="12"/>
  <c r="BL22" i="1"/>
  <c r="G22" i="6"/>
  <c r="AO17" i="12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M32" i="12"/>
  <c r="AO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/>
  <c r="G9" i="6"/>
  <c r="AO6" i="12"/>
  <c r="AO7" i="12"/>
  <c r="AO8" i="12"/>
  <c r="AO9" i="12"/>
  <c r="AO10" i="12"/>
  <c r="AO11" i="12"/>
  <c r="G19" i="6"/>
  <c r="J19" i="6"/>
  <c r="AJ17" i="9"/>
  <c r="G20" i="6"/>
  <c r="AO15" i="12"/>
  <c r="G21" i="6"/>
  <c r="AO16" i="12"/>
  <c r="G23" i="6"/>
  <c r="G24" i="6"/>
  <c r="J24" i="6"/>
  <c r="AJ22" i="9"/>
  <c r="AO20" i="12"/>
  <c r="AO21" i="12"/>
  <c r="AO22" i="12"/>
  <c r="AO24" i="12"/>
  <c r="AO25" i="12"/>
  <c r="AO28" i="12"/>
  <c r="AO29" i="12"/>
  <c r="AO30" i="12"/>
  <c r="C8" i="6"/>
  <c r="I8" i="6"/>
  <c r="C9" i="6"/>
  <c r="C10" i="6"/>
  <c r="AM5" i="12"/>
  <c r="C11" i="6"/>
  <c r="AM6" i="12"/>
  <c r="C12" i="6"/>
  <c r="AH10" i="9"/>
  <c r="C13" i="6"/>
  <c r="C14" i="6"/>
  <c r="AM9" i="12"/>
  <c r="C15" i="6"/>
  <c r="I15" i="6"/>
  <c r="C16" i="6"/>
  <c r="I16" i="6"/>
  <c r="C19" i="6"/>
  <c r="AM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/>
  <c r="M7" i="1"/>
  <c r="K7" i="1" s="1"/>
  <c r="E6" i="9"/>
  <c r="M8" i="1"/>
  <c r="K8" i="1" s="1"/>
  <c r="E7" i="9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M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K3" i="12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K5" i="9"/>
  <c r="AI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M22" i="12"/>
  <c r="BO36" i="9"/>
  <c r="H26" i="2"/>
  <c r="P24" i="9"/>
  <c r="I25" i="9"/>
  <c r="H27" i="2"/>
  <c r="K25" i="9"/>
  <c r="AT31" i="9"/>
  <c r="AU18" i="9"/>
  <c r="Y41" i="2"/>
  <c r="BP36" i="9" s="1"/>
  <c r="P26" i="10"/>
  <c r="Q663" i="10"/>
  <c r="AJ6" i="12"/>
  <c r="K9" i="9"/>
  <c r="G23" i="4"/>
  <c r="AJ21" i="12"/>
  <c r="AT20" i="9"/>
  <c r="J14" i="6"/>
  <c r="AJ12" i="9"/>
  <c r="K27" i="6"/>
  <c r="G22" i="13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/>
  <c r="I35" i="6"/>
  <c r="C66" i="10"/>
  <c r="AK31" i="12"/>
  <c r="AM17" i="12"/>
  <c r="AH20" i="9"/>
  <c r="I22" i="6"/>
  <c r="J32" i="6"/>
  <c r="AJ30" i="9"/>
  <c r="J21" i="6"/>
  <c r="AJ19" i="9"/>
  <c r="H18" i="4"/>
  <c r="K21" i="9"/>
  <c r="K13" i="9"/>
  <c r="AK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/>
  <c r="I11" i="9"/>
  <c r="AI26" i="12"/>
  <c r="H9" i="6"/>
  <c r="AF30" i="12"/>
  <c r="K6" i="12"/>
  <c r="AM29" i="12"/>
  <c r="K29" i="6"/>
  <c r="G24" i="13"/>
  <c r="I29" i="6"/>
  <c r="AM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BI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/>
  <c r="J34" i="6"/>
  <c r="AJ32" i="9" s="1"/>
  <c r="I7" i="6"/>
  <c r="H12" i="6"/>
  <c r="J18" i="6"/>
  <c r="AJ16" i="9"/>
  <c r="AO2" i="12"/>
  <c r="AM19" i="12"/>
  <c r="K24" i="6"/>
  <c r="G19" i="13"/>
  <c r="J8" i="6"/>
  <c r="AJ6" i="9"/>
  <c r="AH22" i="9"/>
  <c r="F52" i="11"/>
  <c r="G52" i="11"/>
  <c r="I19" i="9"/>
  <c r="I26" i="9"/>
  <c r="H28" i="2"/>
  <c r="BN24" i="9"/>
  <c r="K26" i="6"/>
  <c r="G21" i="13"/>
  <c r="AJ12" i="12"/>
  <c r="I8" i="9"/>
  <c r="J25" i="6"/>
  <c r="AJ23" i="9"/>
  <c r="K6" i="6"/>
  <c r="H26" i="6"/>
  <c r="AN21" i="12"/>
  <c r="AH8" i="9"/>
  <c r="AM12" i="12"/>
  <c r="AM20" i="12"/>
  <c r="AH23" i="9"/>
  <c r="K25" i="6"/>
  <c r="G20" i="13"/>
  <c r="AC27" i="12"/>
  <c r="AF24" i="12"/>
  <c r="AE27" i="12"/>
  <c r="K6" i="1"/>
  <c r="G2" i="12"/>
  <c r="G15" i="12"/>
  <c r="V38" i="2"/>
  <c r="V39" i="2"/>
  <c r="S38" i="2"/>
  <c r="C22" i="7"/>
  <c r="AF10" i="12"/>
  <c r="AO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/>
  <c r="AF20" i="12"/>
  <c r="AO19" i="12"/>
  <c r="J33" i="6"/>
  <c r="AJ31" i="9" s="1"/>
  <c r="AT26" i="9"/>
  <c r="D6" i="10"/>
  <c r="O6" i="10"/>
  <c r="I17" i="9"/>
  <c r="AM16" i="12"/>
  <c r="AM15" i="12"/>
  <c r="K21" i="6"/>
  <c r="G16" i="13"/>
  <c r="J20" i="6"/>
  <c r="AJ18" i="9"/>
  <c r="AJ8" i="12"/>
  <c r="AH14" i="9"/>
  <c r="K16" i="6"/>
  <c r="G11" i="13"/>
  <c r="AM11" i="12"/>
  <c r="I17" i="6"/>
  <c r="K14" i="6"/>
  <c r="G9" i="13"/>
  <c r="I14" i="6"/>
  <c r="AM7" i="12"/>
  <c r="AN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/>
  <c r="AH9" i="9"/>
  <c r="I12" i="6"/>
  <c r="AC6" i="12"/>
  <c r="AT8" i="9"/>
  <c r="AU8" i="9"/>
  <c r="E9" i="9"/>
  <c r="I10" i="6"/>
  <c r="AJ3" i="12"/>
  <c r="H7" i="2"/>
  <c r="Q7" i="2"/>
  <c r="X5" i="9"/>
  <c r="I5" i="9"/>
  <c r="K7" i="6"/>
  <c r="G2" i="13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/>
  <c r="AC3" i="12"/>
  <c r="AG3" i="12"/>
  <c r="I32" i="13"/>
  <c r="K22" i="6"/>
  <c r="G17" i="13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/>
  <c r="C32" i="9"/>
  <c r="U37" i="1"/>
  <c r="U38" i="1"/>
  <c r="K32" i="1"/>
  <c r="G28" i="12"/>
  <c r="I21" i="13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/>
  <c r="G33" i="9"/>
  <c r="E32" i="9"/>
  <c r="K33" i="1"/>
  <c r="G29" i="12"/>
  <c r="F21" i="12"/>
  <c r="C24" i="9"/>
  <c r="O2369" i="10"/>
  <c r="T38" i="2"/>
  <c r="T39" i="2"/>
  <c r="H33" i="2"/>
  <c r="H31" i="2"/>
  <c r="G18" i="12"/>
  <c r="AT28" i="9"/>
  <c r="H29" i="2"/>
  <c r="AO12" i="12"/>
  <c r="K8" i="6"/>
  <c r="G3" i="13"/>
  <c r="AN18" i="12"/>
  <c r="G20" i="12"/>
  <c r="G19" i="12"/>
  <c r="AU21" i="9"/>
  <c r="J13" i="6"/>
  <c r="AJ11" i="9"/>
  <c r="AO14" i="12"/>
  <c r="J11" i="6"/>
  <c r="AJ9" i="9"/>
  <c r="K10" i="6"/>
  <c r="G5" i="13"/>
  <c r="H8" i="6"/>
  <c r="K12" i="6"/>
  <c r="G7" i="13"/>
  <c r="H10" i="6"/>
  <c r="K18" i="6"/>
  <c r="G13" i="13"/>
  <c r="K11" i="6"/>
  <c r="G6" i="13"/>
  <c r="AM13" i="12"/>
  <c r="H23" i="2"/>
  <c r="AJ15" i="12"/>
  <c r="I21" i="9"/>
  <c r="J22" i="6"/>
  <c r="AJ20" i="9"/>
  <c r="H22" i="6"/>
  <c r="AM18" i="12"/>
  <c r="AH21" i="9"/>
  <c r="I21" i="6"/>
  <c r="K20" i="6"/>
  <c r="G15" i="13"/>
  <c r="I19" i="6"/>
  <c r="AH17" i="9"/>
  <c r="H19" i="2"/>
  <c r="I18" i="9"/>
  <c r="H20" i="2"/>
  <c r="X37" i="2"/>
  <c r="Y37" i="2"/>
  <c r="H12" i="2"/>
  <c r="I22" i="13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/>
  <c r="F15" i="12"/>
  <c r="C18" i="9"/>
  <c r="G17" i="12"/>
  <c r="K12" i="1"/>
  <c r="G8" i="12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/>
  <c r="C23" i="9"/>
  <c r="AG2" i="12"/>
  <c r="N4" i="12"/>
  <c r="AR37" i="1"/>
  <c r="AR38" i="1"/>
  <c r="G19" i="9"/>
  <c r="C12" i="9"/>
  <c r="I10" i="4"/>
  <c r="AN2" i="12"/>
  <c r="K15" i="6"/>
  <c r="G10" i="13"/>
  <c r="H19" i="6"/>
  <c r="E38" i="2"/>
  <c r="E39" i="2"/>
  <c r="K33" i="9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G14" i="12"/>
  <c r="J35" i="6"/>
  <c r="H8" i="2"/>
  <c r="O2368" i="10"/>
  <c r="AJ16" i="12"/>
  <c r="I11" i="6"/>
  <c r="C19" i="9"/>
  <c r="H22" i="4"/>
  <c r="J26" i="4"/>
  <c r="G25" i="4"/>
  <c r="I31" i="4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H17" i="2"/>
  <c r="G38" i="2"/>
  <c r="G39" i="2"/>
  <c r="H9" i="2"/>
  <c r="H11" i="2"/>
  <c r="H13" i="2"/>
  <c r="H14" i="2"/>
  <c r="I12" i="9"/>
  <c r="H14" i="6"/>
  <c r="H13" i="6"/>
  <c r="K13" i="6"/>
  <c r="G8" i="13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0" i="2"/>
  <c r="U30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W31" i="2"/>
  <c r="U31" i="2"/>
  <c r="P31" i="9"/>
  <c r="W33" i="2"/>
  <c r="BN31" i="9"/>
  <c r="U33" i="2"/>
  <c r="BM31" i="9"/>
  <c r="W24" i="2"/>
  <c r="BN22" i="9"/>
  <c r="U24" i="2"/>
  <c r="BM22" i="9"/>
  <c r="I23" i="13"/>
  <c r="W28" i="2"/>
  <c r="BN26" i="9"/>
  <c r="U28" i="2"/>
  <c r="BM26" i="9"/>
  <c r="BJ18" i="1"/>
  <c r="BJ7" i="1"/>
  <c r="BJ15" i="1"/>
  <c r="X7" i="2"/>
  <c r="X8" i="2"/>
  <c r="W8" i="2"/>
  <c r="U8" i="2"/>
  <c r="BM6" i="9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I13" i="13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I2" i="13"/>
  <c r="W7" i="2"/>
  <c r="BN5" i="9"/>
  <c r="BS27" i="1"/>
  <c r="BS36" i="1"/>
  <c r="BX36" i="1"/>
  <c r="BS26" i="1"/>
  <c r="BX26" i="1"/>
  <c r="AC4" i="12"/>
  <c r="AC14" i="12"/>
  <c r="BS23" i="1"/>
  <c r="BX23" i="1"/>
  <c r="BS31" i="1"/>
  <c r="BS8" i="1"/>
  <c r="E4" i="13" s="1"/>
  <c r="I22" i="4"/>
  <c r="J27" i="4"/>
  <c r="BS18" i="1"/>
  <c r="I19" i="13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7" i="1"/>
  <c r="BX7" i="1"/>
  <c r="BS10" i="1"/>
  <c r="U7" i="2"/>
  <c r="BM5" i="9"/>
  <c r="P5" i="9"/>
  <c r="J19" i="4"/>
  <c r="J22" i="4"/>
  <c r="I40" i="4"/>
  <c r="BS6" i="1"/>
  <c r="J21" i="4"/>
  <c r="Z37" i="2"/>
  <c r="P16" i="9"/>
  <c r="Q15" i="2"/>
  <c r="X13" i="9"/>
  <c r="X33" i="2"/>
  <c r="Z33" i="2"/>
  <c r="BQ31" i="9"/>
  <c r="BS12" i="1"/>
  <c r="I28" i="13"/>
  <c r="Q33" i="2"/>
  <c r="X31" i="9"/>
  <c r="BS32" i="1"/>
  <c r="BX32" i="1"/>
  <c r="AC29" i="12"/>
  <c r="BS33" i="1"/>
  <c r="BX33" i="1"/>
  <c r="E42" i="4"/>
  <c r="C38" i="7"/>
  <c r="BS16" i="1"/>
  <c r="X31" i="2"/>
  <c r="P29" i="9"/>
  <c r="BM29" i="9"/>
  <c r="I26" i="13"/>
  <c r="BN29" i="9"/>
  <c r="Q31" i="2"/>
  <c r="X29" i="9"/>
  <c r="I21" i="4"/>
  <c r="I34" i="4"/>
  <c r="J28" i="4"/>
  <c r="J23" i="4"/>
  <c r="J31" i="4"/>
  <c r="BM27" i="9"/>
  <c r="X29" i="2"/>
  <c r="I24" i="13"/>
  <c r="BN27" i="9"/>
  <c r="Q29" i="2"/>
  <c r="X27" i="9"/>
  <c r="P27" i="9"/>
  <c r="AC12" i="12"/>
  <c r="X23" i="2"/>
  <c r="Y23" i="2"/>
  <c r="BP21" i="9"/>
  <c r="Q23" i="2"/>
  <c r="X21" i="9"/>
  <c r="I18" i="13"/>
  <c r="BM21" i="9"/>
  <c r="BS24" i="1"/>
  <c r="AC20" i="12"/>
  <c r="Q19" i="2"/>
  <c r="X17" i="9"/>
  <c r="I14" i="13"/>
  <c r="X20" i="2"/>
  <c r="I15" i="13"/>
  <c r="Q20" i="2"/>
  <c r="X18" i="9"/>
  <c r="P18" i="9"/>
  <c r="Y26" i="2"/>
  <c r="BP24" i="9"/>
  <c r="Z26" i="2"/>
  <c r="BQ24" i="9"/>
  <c r="BO24" i="9"/>
  <c r="I11" i="13"/>
  <c r="I18" i="4"/>
  <c r="I26" i="4"/>
  <c r="I32" i="4"/>
  <c r="I36" i="4"/>
  <c r="BS17" i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I7" i="13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I5" i="13"/>
  <c r="X10" i="2"/>
  <c r="Y10" i="2"/>
  <c r="BP8" i="9"/>
  <c r="P8" i="9"/>
  <c r="BN8" i="9"/>
  <c r="Q13" i="2"/>
  <c r="X11" i="9"/>
  <c r="X15" i="2"/>
  <c r="Y15" i="2"/>
  <c r="BP13" i="9"/>
  <c r="I10" i="13"/>
  <c r="AC31" i="12"/>
  <c r="BS35" i="1"/>
  <c r="BX35" i="1"/>
  <c r="I37" i="4"/>
  <c r="I35" i="4"/>
  <c r="I38" i="4"/>
  <c r="I3" i="13"/>
  <c r="BN6" i="9"/>
  <c r="Q8" i="2"/>
  <c r="X6" i="9"/>
  <c r="P6" i="9"/>
  <c r="X35" i="2"/>
  <c r="Q35" i="2"/>
  <c r="I30" i="13"/>
  <c r="Q18" i="2"/>
  <c r="X16" i="9"/>
  <c r="AH33" i="9"/>
  <c r="E27" i="11"/>
  <c r="F27" i="11"/>
  <c r="I20" i="4"/>
  <c r="I17" i="4"/>
  <c r="BO5" i="9"/>
  <c r="Y7" i="2"/>
  <c r="BP5" i="9"/>
  <c r="I29" i="4"/>
  <c r="J33" i="4"/>
  <c r="I27" i="13"/>
  <c r="P30" i="9"/>
  <c r="X32" i="2"/>
  <c r="Q32" i="2"/>
  <c r="X30" i="9"/>
  <c r="X34" i="2"/>
  <c r="I29" i="13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7" i="13"/>
  <c r="I12" i="4"/>
  <c r="I14" i="4"/>
  <c r="I24" i="4"/>
  <c r="I13" i="4"/>
  <c r="I23" i="4"/>
  <c r="I25" i="4"/>
  <c r="J34" i="4"/>
  <c r="J35" i="4"/>
  <c r="I33" i="9"/>
  <c r="C39" i="2"/>
  <c r="I34" i="9"/>
  <c r="X36" i="2"/>
  <c r="I31" i="13"/>
  <c r="P13" i="9"/>
  <c r="Q30" i="2"/>
  <c r="X28" i="9"/>
  <c r="I25" i="13"/>
  <c r="BM28" i="9"/>
  <c r="P28" i="9"/>
  <c r="BN28" i="9"/>
  <c r="X30" i="2"/>
  <c r="I19" i="4"/>
  <c r="I28" i="4"/>
  <c r="J29" i="4"/>
  <c r="BS22" i="1"/>
  <c r="BX22" i="1"/>
  <c r="AC18" i="12"/>
  <c r="I38" i="6"/>
  <c r="I39" i="6"/>
  <c r="P23" i="9"/>
  <c r="Q25" i="2"/>
  <c r="X23" i="9"/>
  <c r="I20" i="13"/>
  <c r="X25" i="2"/>
  <c r="R33" i="9"/>
  <c r="O39" i="2"/>
  <c r="R34" i="9"/>
  <c r="I33" i="4"/>
  <c r="J25" i="4"/>
  <c r="J20" i="4"/>
  <c r="J17" i="4"/>
  <c r="J38" i="4"/>
  <c r="X21" i="2"/>
  <c r="BN19" i="9"/>
  <c r="P19" i="9"/>
  <c r="Q21" i="2"/>
  <c r="X19" i="9"/>
  <c r="I16" i="13"/>
  <c r="P15" i="9"/>
  <c r="BM15" i="9"/>
  <c r="I12" i="13"/>
  <c r="Q17" i="2"/>
  <c r="X15" i="9"/>
  <c r="BN15" i="9"/>
  <c r="X17" i="2"/>
  <c r="P7" i="9"/>
  <c r="X9" i="2"/>
  <c r="Q9" i="2"/>
  <c r="X7" i="9"/>
  <c r="I4" i="13"/>
  <c r="H38" i="2"/>
  <c r="C27" i="7"/>
  <c r="I6" i="13"/>
  <c r="X11" i="2"/>
  <c r="P9" i="9"/>
  <c r="Q11" i="2"/>
  <c r="X9" i="9"/>
  <c r="I8" i="13"/>
  <c r="X14" i="2"/>
  <c r="P12" i="9"/>
  <c r="Q14" i="2"/>
  <c r="X12" i="9"/>
  <c r="I9" i="13"/>
  <c r="AN37" i="1"/>
  <c r="B13" i="11"/>
  <c r="C13" i="11"/>
  <c r="J38" i="1"/>
  <c r="AC7" i="12"/>
  <c r="BS11" i="1"/>
  <c r="BH37" i="1"/>
  <c r="BH38" i="1"/>
  <c r="Y8" i="2"/>
  <c r="BP6" i="9"/>
  <c r="BO6" i="9"/>
  <c r="Z8" i="2"/>
  <c r="BQ6" i="9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/>
  <c r="BO13" i="9"/>
  <c r="BS28" i="1"/>
  <c r="BZ9" i="1"/>
  <c r="BY9" i="1"/>
  <c r="E3" i="13"/>
  <c r="BU7" i="1"/>
  <c r="BS14" i="1"/>
  <c r="BJ37" i="1"/>
  <c r="BS34" i="1"/>
  <c r="BZ27" i="1"/>
  <c r="BU27" i="1"/>
  <c r="Z28" i="2"/>
  <c r="BQ26" i="9"/>
  <c r="Y28" i="2"/>
  <c r="BP26" i="9"/>
  <c r="BO26" i="9"/>
  <c r="Z19" i="2"/>
  <c r="BQ17" i="9"/>
  <c r="BO31" i="9"/>
  <c r="BU36" i="1"/>
  <c r="E32" i="13"/>
  <c r="BW36" i="1"/>
  <c r="BZ31" i="1"/>
  <c r="BU31" i="1"/>
  <c r="E27" i="13"/>
  <c r="BY36" i="1"/>
  <c r="BU30" i="1"/>
  <c r="BY30" i="1"/>
  <c r="E2" i="13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E11" i="13"/>
  <c r="Y33" i="2"/>
  <c r="BP31" i="9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/>
  <c r="Z31" i="2"/>
  <c r="BQ29" i="9"/>
  <c r="BO29" i="9"/>
  <c r="Z13" i="2"/>
  <c r="BQ11" i="9"/>
  <c r="E28" i="13"/>
  <c r="Y29" i="2"/>
  <c r="BP27" i="9"/>
  <c r="BO27" i="9"/>
  <c r="Z29" i="2"/>
  <c r="BQ27" i="9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/>
  <c r="BO21" i="9"/>
  <c r="BW7" i="1"/>
  <c r="E19" i="13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E13" i="13"/>
  <c r="BY17" i="1"/>
  <c r="E16" i="13"/>
  <c r="BW20" i="1"/>
  <c r="E25" i="13"/>
  <c r="Z16" i="2"/>
  <c r="BQ14" i="9"/>
  <c r="Y16" i="2"/>
  <c r="BP14" i="9"/>
  <c r="BO14" i="9"/>
  <c r="BO16" i="9"/>
  <c r="P33" i="9"/>
  <c r="X38" i="2"/>
  <c r="Z38" i="2"/>
  <c r="BQ33" i="9"/>
  <c r="W38" i="2"/>
  <c r="BN33" i="9"/>
  <c r="Z15" i="2"/>
  <c r="BQ13" i="9"/>
  <c r="U38" i="2"/>
  <c r="BM33" i="9"/>
  <c r="E18" i="13"/>
  <c r="BU22" i="1"/>
  <c r="BW22" i="1"/>
  <c r="BU21" i="1"/>
  <c r="E17" i="13"/>
  <c r="BW21" i="1"/>
  <c r="BU19" i="1"/>
  <c r="E15" i="13"/>
  <c r="BW19" i="1"/>
  <c r="E31" i="13"/>
  <c r="BU35" i="1"/>
  <c r="BW35" i="1"/>
  <c r="Y25" i="2"/>
  <c r="BP23" i="9"/>
  <c r="BO23" i="9"/>
  <c r="Z25" i="2"/>
  <c r="BQ23" i="9"/>
  <c r="Z30" i="2"/>
  <c r="BQ28" i="9"/>
  <c r="BO28" i="9"/>
  <c r="Y30" i="2"/>
  <c r="BP28" i="9"/>
  <c r="Y36" i="2"/>
  <c r="Z36" i="2"/>
  <c r="Z22" i="2"/>
  <c r="BQ20" i="9"/>
  <c r="BO20" i="9"/>
  <c r="Y22" i="2"/>
  <c r="BP20" i="9"/>
  <c r="Y34" i="2"/>
  <c r="BP32" i="9"/>
  <c r="BO32" i="9"/>
  <c r="Z34" i="2"/>
  <c r="BQ32" i="9"/>
  <c r="Z32" i="2"/>
  <c r="BQ30" i="9"/>
  <c r="Y32" i="2"/>
  <c r="BP30" i="9"/>
  <c r="BO30" i="9"/>
  <c r="Z35" i="2"/>
  <c r="Y35" i="2"/>
  <c r="BY23" i="1"/>
  <c r="BZ23" i="1"/>
  <c r="Q38" i="2"/>
  <c r="X33" i="9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H39" i="2"/>
  <c r="W39" i="2"/>
  <c r="BN34" i="9"/>
  <c r="E20" i="11"/>
  <c r="F20" i="11"/>
  <c r="Z11" i="2"/>
  <c r="BQ9" i="9"/>
  <c r="BO9" i="9"/>
  <c r="Y11" i="2"/>
  <c r="BP9" i="9"/>
  <c r="Y14" i="2"/>
  <c r="BP12" i="9"/>
  <c r="Z14" i="2"/>
  <c r="BQ12" i="9"/>
  <c r="BO12" i="9"/>
  <c r="AN38" i="1"/>
  <c r="BW11" i="1"/>
  <c r="BI37" i="1"/>
  <c r="F13" i="11"/>
  <c r="G13" i="11"/>
  <c r="E7" i="13"/>
  <c r="BY32" i="1"/>
  <c r="BZ32" i="1"/>
  <c r="E30" i="13"/>
  <c r="BX34" i="1"/>
  <c r="BW14" i="1"/>
  <c r="BX14" i="1"/>
  <c r="E24" i="13"/>
  <c r="BX28" i="1"/>
  <c r="BY28" i="1"/>
  <c r="BW25" i="1"/>
  <c r="E21" i="13"/>
  <c r="BU25" i="1"/>
  <c r="BZ14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O33" i="9"/>
  <c r="C43" i="7"/>
  <c r="Q39" i="2"/>
  <c r="X34" i="9"/>
  <c r="U39" i="2"/>
  <c r="BM34" i="9"/>
  <c r="Y38" i="2"/>
  <c r="BP33" i="9"/>
  <c r="X39" i="2"/>
  <c r="Z39" i="2"/>
  <c r="BQ34" i="9"/>
  <c r="BZ35" i="1"/>
  <c r="BY35" i="1"/>
  <c r="BY19" i="1"/>
  <c r="BZ19" i="1"/>
  <c r="BZ21" i="1"/>
  <c r="BY21" i="1"/>
  <c r="BZ22" i="1"/>
  <c r="BY22" i="1"/>
  <c r="P34" i="9"/>
  <c r="L13" i="11"/>
  <c r="BZ11" i="1"/>
  <c r="BY11" i="1"/>
  <c r="M13" i="11"/>
  <c r="BZ25" i="1"/>
  <c r="BY25" i="1"/>
  <c r="BY34" i="1"/>
  <c r="BO34" i="9"/>
  <c r="Y39" i="2"/>
  <c r="BP34" i="9"/>
  <c r="BJ1" i="1" l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J13" i="11"/>
  <c r="I13" i="11"/>
  <c r="K13" i="11" s="1"/>
  <c r="K17" i="11" s="1"/>
  <c r="Q38" i="1"/>
  <c r="BU8" i="1"/>
  <c r="BW8" i="1"/>
  <c r="BX8" i="1"/>
  <c r="BS37" i="1"/>
  <c r="G38" i="6"/>
  <c r="G39" i="6" s="1"/>
  <c r="BL37" i="1"/>
  <c r="BL38" i="1" s="1"/>
  <c r="AD22" i="12"/>
  <c r="AJ29" i="9"/>
  <c r="J38" i="6"/>
  <c r="AO31" i="12"/>
  <c r="K35" i="6"/>
  <c r="G30" i="13" s="1"/>
  <c r="E38" i="6"/>
  <c r="E39" i="6" s="1"/>
  <c r="H35" i="6"/>
  <c r="H38" i="6" s="1"/>
  <c r="H39" i="6" s="1"/>
  <c r="BO35" i="9" l="1"/>
  <c r="Z40" i="2"/>
  <c r="BQ35" i="9" s="1"/>
  <c r="Y40" i="2"/>
  <c r="BP35" i="9" s="1"/>
  <c r="Z44" i="2"/>
  <c r="BQ39" i="9" s="1"/>
  <c r="Y44" i="2"/>
  <c r="BP39" i="9" s="1"/>
  <c r="BO39" i="9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U37" i="1"/>
  <c r="BW37" i="1"/>
  <c r="BS38" i="1"/>
  <c r="BZ8" i="1"/>
  <c r="BX37" i="1"/>
  <c r="BY8" i="1"/>
  <c r="AJ33" i="9"/>
  <c r="J39" i="6"/>
  <c r="AJ34" i="9" s="1"/>
  <c r="F34" i="11"/>
  <c r="G34" i="11" s="1"/>
  <c r="G35" i="11" s="1"/>
  <c r="K18" i="11" s="1"/>
  <c r="K16" i="11" s="1"/>
  <c r="K38" i="6"/>
  <c r="BW38" i="1" l="1"/>
  <c r="BU38" i="1"/>
  <c r="BY37" i="1"/>
  <c r="BZ37" i="1"/>
  <c r="BX38" i="1"/>
  <c r="BZ38" i="1" l="1"/>
  <c r="BY38" i="1"/>
</calcChain>
</file>

<file path=xl/sharedStrings.xml><?xml version="1.0" encoding="utf-8"?>
<sst xmlns="http://schemas.openxmlformats.org/spreadsheetml/2006/main" count="888" uniqueCount="416">
  <si>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</si>
  <si>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</si>
  <si>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</si>
  <si>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</si>
  <si>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</si>
  <si>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</si>
  <si>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</si>
  <si>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</si>
  <si>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</si>
  <si>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</si>
  <si>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</si>
  <si>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</si>
  <si>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</si>
  <si>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</si>
  <si>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</si>
  <si>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</si>
  <si>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</si>
  <si>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</si>
  <si>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</si>
  <si>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</si>
  <si>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</si>
  <si>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</si>
  <si>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</si>
  <si>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</si>
  <si>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</si>
  <si>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</si>
  <si>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</si>
  <si>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</si>
  <si>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</si>
  <si>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</si>
  <si>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</si>
  <si>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</si>
  <si>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</si>
  <si>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</si>
  <si>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</si>
  <si>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</si>
  <si>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</si>
  <si>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</si>
  <si>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</si>
  <si>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</si>
  <si>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</si>
  <si>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</si>
  <si>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</si>
  <si>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</si>
  <si>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</si>
  <si>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</si>
  <si>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</si>
  <si>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</si>
  <si>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</si>
  <si>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</si>
  <si>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</si>
  <si>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February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</si>
  <si>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</si>
  <si>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</si>
  <si>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</si>
  <si>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</si>
  <si>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</si>
  <si>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</si>
  <si>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</si>
  <si>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</si>
  <si>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</si>
  <si>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</si>
  <si>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</si>
  <si>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</si>
  <si>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</si>
  <si>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</si>
  <si>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</si>
  <si>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</si>
  <si>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</si>
  <si>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</si>
  <si>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</si>
  <si>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</si>
  <si>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</si>
  <si>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</si>
  <si>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</si>
  <si>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</si>
  <si>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</si>
  <si>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</si>
  <si>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</si>
  <si>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</si>
  <si>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</si>
  <si>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</si>
  <si>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</si>
  <si>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</si>
  <si>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</si>
  <si>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</si>
  <si>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</si>
  <si>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</si>
  <si>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</si>
  <si>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</si>
  <si>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</si>
  <si>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</si>
  <si>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</si>
  <si>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</si>
  <si>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</si>
  <si>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</si>
  <si>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</si>
  <si>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</si>
  <si>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</si>
  <si>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</si>
  <si>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</si>
  <si>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</si>
  <si>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</si>
  <si>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</si>
  <si>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</si>
  <si>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</si>
  <si>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</si>
  <si>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</si>
  <si>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</si>
  <si>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</si>
  <si>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</si>
  <si>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</si>
  <si>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</si>
  <si>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</si>
  <si>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</si>
  <si>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</si>
  <si>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</si>
  <si>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</si>
  <si>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</si>
  <si>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</si>
  <si>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</si>
  <si>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</si>
  <si>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</si>
  <si>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</si>
  <si>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</si>
  <si>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</si>
  <si>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</si>
  <si>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</si>
  <si>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</si>
  <si>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</si>
  <si>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</si>
  <si>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</si>
  <si>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</si>
  <si>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</si>
  <si>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</si>
  <si>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</si>
  <si>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</si>
  <si>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</si>
  <si>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</si>
  <si>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</si>
  <si>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Incoming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</si>
  <si>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</si>
  <si>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</si>
  <si>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</si>
  <si>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</si>
  <si>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</si>
  <si>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</si>
  <si>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</si>
  <si>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</si>
  <si>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</si>
  <si>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</si>
  <si>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</si>
  <si>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</si>
  <si>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</si>
  <si>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</si>
  <si>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</si>
  <si>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</si>
  <si>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</si>
  <si>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</si>
  <si>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</si>
  <si>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</si>
  <si>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</si>
  <si>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</si>
  <si>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Inc.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</si>
  <si>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</si>
  <si>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</si>
  <si>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</si>
  <si>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</si>
  <si>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</si>
  <si>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</si>
  <si>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</si>
  <si>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</si>
  <si>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</si>
  <si>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</si>
  <si>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</si>
  <si>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>Cons.</t>
  </si>
  <si>
    <t xml:space="preserve">No of guest </t>
  </si>
  <si>
    <t xml:space="preserve">No. of rooms </t>
  </si>
  <si>
    <t>No. of rooms</t>
  </si>
  <si>
    <t>No. of guest</t>
  </si>
  <si>
    <t>Cons. Per occ. room</t>
  </si>
  <si>
    <t>Cons. Per guest</t>
  </si>
  <si>
    <t>Total cost</t>
  </si>
  <si>
    <t>cost per room</t>
  </si>
  <si>
    <t>cost per guest</t>
  </si>
  <si>
    <t xml:space="preserve">TOTAL Budget </t>
  </si>
  <si>
    <t>Budget MTD</t>
  </si>
  <si>
    <t>AVER. Bud</t>
  </si>
  <si>
    <t>Total RFC</t>
  </si>
  <si>
    <t>RFC MTD</t>
  </si>
  <si>
    <t>AVER RFC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</si>
  <si>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</si>
  <si>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</si>
  <si>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</si>
  <si>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</si>
  <si>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</si>
  <si>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</si>
  <si>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</si>
  <si>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</si>
  <si>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</si>
  <si>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</si>
  <si>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</si>
  <si>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</si>
  <si>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</si>
  <si>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</si>
  <si>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</si>
  <si>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</si>
  <si>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</si>
  <si>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</si>
  <si>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</si>
  <si>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</si>
  <si>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</si>
  <si>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</si>
  <si>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</si>
  <si>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</si>
  <si>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</si>
  <si>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</si>
  <si>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</si>
  <si>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</si>
  <si>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</si>
  <si>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</si>
  <si>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</si>
  <si>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</si>
  <si>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</si>
  <si>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</si>
  <si>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</si>
  <si>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</si>
  <si>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</si>
  <si>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</si>
  <si>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</si>
  <si>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</si>
  <si>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</si>
  <si>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</si>
  <si>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</si>
  <si>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</si>
  <si>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</si>
  <si>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</si>
  <si>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</si>
  <si>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</si>
  <si>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</si>
  <si>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</si>
  <si>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</si>
  <si>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</si>
  <si>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</si>
  <si>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</si>
  <si>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</si>
  <si>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</si>
  <si>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</si>
  <si>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</si>
  <si>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</si>
  <si>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</si>
  <si>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</si>
  <si>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</si>
  <si>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</si>
  <si>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</si>
  <si>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</si>
  <si>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</si>
  <si>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</si>
  <si>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</si>
  <si>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</si>
  <si>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</si>
  <si>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</si>
  <si>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</si>
  <si>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</si>
  <si>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</si>
  <si>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</si>
  <si>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</si>
  <si>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</si>
  <si>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</si>
  <si>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</si>
  <si>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</si>
  <si>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</si>
  <si>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</si>
  <si>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</si>
  <si>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</si>
  <si>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</si>
  <si>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</si>
  <si>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</si>
  <si>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</si>
  <si>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</si>
  <si>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</si>
  <si>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</si>
  <si>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</si>
  <si>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</si>
  <si>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</si>
  <si>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</si>
  <si>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</si>
  <si>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</si>
  <si>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</si>
  <si>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</si>
  <si>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</si>
  <si>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</si>
  <si>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</si>
  <si>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</si>
  <si>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</si>
  <si>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</si>
  <si>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</si>
  <si>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</si>
  <si>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</si>
  <si>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</si>
  <si>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</si>
  <si>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</si>
  <si>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</si>
  <si>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</si>
  <si>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</si>
  <si>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</si>
  <si>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</si>
  <si>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</si>
  <si>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</si>
  <si>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</si>
  <si>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</si>
  <si>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</si>
  <si>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</si>
  <si>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</si>
  <si>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</si>
  <si>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</si>
  <si>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</si>
  <si>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</si>
  <si>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</si>
  <si>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</si>
  <si>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</si>
  <si>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</si>
  <si>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</si>
  <si>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</si>
  <si>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</si>
  <si>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</si>
  <si>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</si>
  <si>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</si>
  <si>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</si>
  <si>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</si>
  <si>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</si>
  <si>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</si>
  <si>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</si>
  <si>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</si>
  <si>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</si>
  <si>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</si>
  <si>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</si>
  <si>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</si>
  <si>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</si>
  <si>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</si>
  <si>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</si>
  <si>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</si>
  <si>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</si>
  <si>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</si>
  <si>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</si>
  <si>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</si>
  <si>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</si>
  <si>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</si>
  <si>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</si>
  <si>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</si>
  <si>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</si>
  <si>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</si>
  <si>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</si>
  <si>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</si>
  <si>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</si>
  <si>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</si>
  <si>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</si>
  <si>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</si>
  <si>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</si>
  <si>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</si>
  <si>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</si>
  <si>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</si>
  <si>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</si>
  <si>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</si>
  <si>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</si>
  <si>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</si>
  <si>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</si>
  <si>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</si>
  <si>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</si>
  <si>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</si>
  <si>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</si>
  <si>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</si>
  <si>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</si>
  <si>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</si>
  <si>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Main Water UP</t>
  </si>
  <si>
    <t>Water Truck UP</t>
  </si>
  <si>
    <t>New casino</t>
  </si>
  <si>
    <t>Rooms Consumption</t>
  </si>
  <si>
    <t>Public Areas consumption</t>
  </si>
  <si>
    <t>Swimming pool</t>
  </si>
  <si>
    <t>Main water meter 1</t>
  </si>
  <si>
    <t>Main water meter 2</t>
  </si>
  <si>
    <t>Main water meter 3</t>
  </si>
  <si>
    <t>Hot water</t>
  </si>
  <si>
    <t>Cold water</t>
  </si>
  <si>
    <t>Express Riser</t>
  </si>
  <si>
    <t>Consp.</t>
  </si>
  <si>
    <t>Read.</t>
  </si>
  <si>
    <t>Counter</t>
  </si>
  <si>
    <t>Produc   58%</t>
  </si>
  <si>
    <t>MTD 13</t>
  </si>
  <si>
    <t>AVER. Act 13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</si>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</sst>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7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3" fontId="51" fillId="2" borderId="0" xfId="0" applyNumberFormat="1" applyFont="1" applyFill="1" applyAlignment="1" applyProtection="1">
      <alignment horizontal="center" vertical="center"/>
      <protection locked="0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0" fillId="0" borderId="39" xfId="0" applyBorder="1" applyAlignment="1"/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I17" sqref="I17"/>
    </sheetView>
  </sheetViews>
  <sheetFormatPr defaultColWidth="11.5703125" defaultRowHeight="12.75"/>
  <cols>
    <col min="1" max="1" width="24" style="729" bestFit="1" customWidth="1"/>
    <col min="2" max="3" width="11.5703125" style="730"/>
    <col min="4" max="4" width="13.42578125" style="730" customWidth="1"/>
    <col min="5" max="5" width="20.7109375" style="97" customWidth="1"/>
    <col min="6" max="6" width="20.140625" style="730" customWidth="1"/>
    <col min="7" max="7" width="18.28515625" style="97" customWidth="1"/>
    <col min="8" max="8" width="17.42578125" style="730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2" customFormat="1" ht="30">
      <c r="A1" s="748" t="s">
        <v>0</v>
      </c>
      <c r="B1" s="749" t="s">
        <v>1</v>
      </c>
      <c r="C1" s="749" t="s">
        <v>2</v>
      </c>
      <c r="D1" s="749" t="s">
        <v>3</v>
      </c>
      <c r="E1" s="743" t="s">
        <v>4</v>
      </c>
      <c r="F1" s="744" t="s">
        <v>5</v>
      </c>
      <c r="G1" s="743" t="s">
        <v>6</v>
      </c>
      <c r="H1" s="744" t="s">
        <v>7</v>
      </c>
      <c r="I1" s="743" t="s">
        <v>8</v>
      </c>
      <c r="J1" s="743" t="s">
        <v>9</v>
      </c>
      <c r="K1" s="743" t="s">
        <v>10</v>
      </c>
    </row>
    <row r="2" spans="1:12">
      <c r="A2" s="750" t="s">
        <v>11</v>
      </c>
      <c r="B2" s="751">
        <v>1</v>
      </c>
      <c r="C2" s="772">
        <v>2</v>
      </c>
      <c r="D2" s="752">
        <v>2022</v>
      </c>
      <c r="E2" s="747">
        <f>Elect!BS6</f>
        <v>20567.575000000001</v>
      </c>
      <c r="F2" s="745">
        <f>'Utility Consnsumption'!K13/'Utility Consnsumption'!J13</f>
        <v>1.4405136208834481</v>
      </c>
      <c r="G2" s="746">
        <f>Gas!K7</f>
        <v>1389.7</v>
      </c>
      <c r="H2" s="745">
        <v>3.8</v>
      </c>
      <c r="I2" s="746">
        <f>Water!H7</f>
        <v>261</v>
      </c>
      <c r="J2" s="745">
        <v>10</v>
      </c>
      <c r="K2" s="746">
        <f>Elect!BT6</f>
        <v>194</v>
      </c>
    </row>
    <row r="3" spans="1:12">
      <c r="A3" s="753" t="s">
        <v>11</v>
      </c>
      <c r="B3" s="730">
        <f>B2+1</f>
        <v>2</v>
      </c>
      <c r="C3" s="772">
        <v>2</v>
      </c>
      <c r="D3" s="752">
        <v>2022</v>
      </c>
      <c r="E3" s="747">
        <f>Elect!BS7</f>
        <v>21197.692500000001</v>
      </c>
      <c r="F3" s="745">
        <f>F2</f>
        <v>1.4405136208834481</v>
      </c>
      <c r="G3" s="746">
        <f>Gas!K8</f>
        <v>1527.6</v>
      </c>
      <c r="H3" s="745">
        <v>3.8</v>
      </c>
      <c r="I3" s="746">
        <f>Water!H8</f>
        <v>350.89999999999992</v>
      </c>
      <c r="J3" s="745">
        <v>10</v>
      </c>
      <c r="K3" s="746">
        <f>Elect!BT7</f>
        <v>194</v>
      </c>
    </row>
    <row r="4" spans="1:12">
      <c r="A4" s="753" t="s">
        <v>11</v>
      </c>
      <c r="B4" s="730">
        <f t="shared" ref="B4:B32" si="0">B3+1</f>
        <v>3</v>
      </c>
      <c r="C4" s="772">
        <v>2</v>
      </c>
      <c r="D4" s="752">
        <v>2022</v>
      </c>
      <c r="E4" s="747">
        <f>Elect!BS8</f>
        <v>21392.107499999998</v>
      </c>
      <c r="F4" s="745">
        <f t="shared" ref="F4:F32" si="1">F3</f>
        <v>1.4405136208834481</v>
      </c>
      <c r="G4" s="746">
        <f>Gas!K9</f>
        <v>1527.6</v>
      </c>
      <c r="H4" s="745">
        <v>3.8</v>
      </c>
      <c r="I4" s="746">
        <f>Water!H9</f>
        <v>350.89999999999992</v>
      </c>
      <c r="J4" s="745">
        <v>10</v>
      </c>
      <c r="K4" s="746">
        <f>Elect!BT8</f>
        <v>212</v>
      </c>
    </row>
    <row r="5" spans="1:12">
      <c r="A5" s="753" t="s">
        <v>11</v>
      </c>
      <c r="B5" s="730">
        <f t="shared" si="0"/>
        <v>4</v>
      </c>
      <c r="C5" s="772">
        <v>2</v>
      </c>
      <c r="D5" s="752">
        <v>2022</v>
      </c>
      <c r="E5" s="747">
        <f>Elect!BS9</f>
        <v>20634.482499999998</v>
      </c>
      <c r="F5" s="745">
        <f t="shared" si="1"/>
        <v>1.4405136208834481</v>
      </c>
      <c r="G5" s="746">
        <f>Gas!K10</f>
        <v>1405.1</v>
      </c>
      <c r="H5" s="745">
        <v>3.8</v>
      </c>
      <c r="I5" s="746">
        <f>Water!H10</f>
        <v>498.79999999999995</v>
      </c>
      <c r="J5" s="745">
        <v>10</v>
      </c>
      <c r="K5" s="746">
        <f>Elect!BT9</f>
        <v>234</v>
      </c>
    </row>
    <row r="6" spans="1:12">
      <c r="A6" s="753" t="s">
        <v>11</v>
      </c>
      <c r="B6" s="730">
        <f t="shared" si="0"/>
        <v>5</v>
      </c>
      <c r="C6" s="772">
        <v>2</v>
      </c>
      <c r="D6" s="752">
        <v>2022</v>
      </c>
      <c r="E6" s="747">
        <f>Elect!BS10</f>
        <v>21277.9725</v>
      </c>
      <c r="F6" s="745">
        <f t="shared" si="1"/>
        <v>1.4405136208834481</v>
      </c>
      <c r="G6" s="746">
        <f>Gas!K11</f>
        <v>1451.3</v>
      </c>
      <c r="H6" s="745">
        <v>3.8</v>
      </c>
      <c r="I6" s="746">
        <f>Water!H11</f>
        <v>284.2</v>
      </c>
      <c r="J6" s="745">
        <v>10</v>
      </c>
      <c r="K6" s="746">
        <f>Elect!BT10</f>
        <v>216</v>
      </c>
    </row>
    <row r="7" spans="1:12">
      <c r="A7" s="753" t="s">
        <v>11</v>
      </c>
      <c r="B7" s="730">
        <f t="shared" si="0"/>
        <v>6</v>
      </c>
      <c r="C7" s="772">
        <v>2</v>
      </c>
      <c r="D7" s="752">
        <v>2022</v>
      </c>
      <c r="E7" s="747">
        <f>Elect!BS11</f>
        <v>21292.912499999999</v>
      </c>
      <c r="F7" s="745">
        <f t="shared" si="1"/>
        <v>1.4405136208834481</v>
      </c>
      <c r="G7" s="746">
        <f>Gas!K12</f>
        <v>1451.3</v>
      </c>
      <c r="H7" s="745">
        <v>3.8</v>
      </c>
      <c r="I7" s="746">
        <f>Water!H12</f>
        <v>284.2</v>
      </c>
      <c r="J7" s="745">
        <v>10</v>
      </c>
      <c r="K7" s="746">
        <f>Elect!BT11</f>
        <v>198</v>
      </c>
    </row>
    <row r="8" spans="1:12">
      <c r="A8" s="753" t="s">
        <v>11</v>
      </c>
      <c r="B8" s="730">
        <f t="shared" si="0"/>
        <v>7</v>
      </c>
      <c r="C8" s="772">
        <v>2</v>
      </c>
      <c r="D8" s="752">
        <v>2022</v>
      </c>
      <c r="E8" s="747">
        <f>Elect!BS12</f>
        <v>21163.747499999998</v>
      </c>
      <c r="F8" s="745">
        <f t="shared" si="1"/>
        <v>1.4405136208834481</v>
      </c>
      <c r="G8" s="746">
        <f>Gas!K13</f>
        <v>1451.3</v>
      </c>
      <c r="H8" s="745">
        <v>3.8</v>
      </c>
      <c r="I8" s="746">
        <f>Water!H13</f>
        <v>284.2</v>
      </c>
      <c r="J8" s="745">
        <v>10</v>
      </c>
      <c r="K8" s="746">
        <f>Elect!BT12</f>
        <v>180</v>
      </c>
    </row>
    <row r="9" spans="1:12">
      <c r="A9" s="753" t="s">
        <v>11</v>
      </c>
      <c r="B9" s="730">
        <f t="shared" si="0"/>
        <v>8</v>
      </c>
      <c r="C9" s="772">
        <v>2</v>
      </c>
      <c r="D9" s="752">
        <v>2022</v>
      </c>
      <c r="E9" s="747">
        <f>Elect!BS13</f>
        <v>22864.5</v>
      </c>
      <c r="F9" s="745">
        <f t="shared" si="1"/>
        <v>1.4405136208834481</v>
      </c>
      <c r="G9" s="746">
        <f>Gas!K14</f>
        <v>1451.3</v>
      </c>
      <c r="H9" s="745">
        <v>3.8</v>
      </c>
      <c r="I9" s="746">
        <f>Water!H14</f>
        <v>290</v>
      </c>
      <c r="J9" s="745">
        <v>10</v>
      </c>
      <c r="K9" s="746">
        <f>Elect!BT13</f>
        <v>170</v>
      </c>
    </row>
    <row r="10" spans="1:12">
      <c r="A10" s="753" t="s">
        <v>11</v>
      </c>
      <c r="B10" s="730">
        <f t="shared" si="0"/>
        <v>9</v>
      </c>
      <c r="C10" s="772">
        <v>2</v>
      </c>
      <c r="D10" s="752">
        <v>2022</v>
      </c>
      <c r="E10" s="747">
        <f>Elect!BS14</f>
        <v>22124.987499999999</v>
      </c>
      <c r="F10" s="745">
        <f t="shared" si="1"/>
        <v>1.4405136208834481</v>
      </c>
      <c r="G10" s="746">
        <f>Gas!K15</f>
        <v>1451.3</v>
      </c>
      <c r="H10" s="745">
        <v>3.8</v>
      </c>
      <c r="I10" s="746">
        <f>Water!H15</f>
        <v>234.9</v>
      </c>
      <c r="J10" s="745">
        <v>10</v>
      </c>
      <c r="K10" s="746">
        <f>Elect!BT14</f>
        <v>154</v>
      </c>
    </row>
    <row r="11" spans="1:12">
      <c r="A11" s="753" t="s">
        <v>11</v>
      </c>
      <c r="B11" s="730">
        <f t="shared" si="0"/>
        <v>10</v>
      </c>
      <c r="C11" s="772">
        <v>2</v>
      </c>
      <c r="D11" s="752">
        <v>2022</v>
      </c>
      <c r="E11" s="747">
        <f>Elect!BS15</f>
        <v>20310.1525</v>
      </c>
      <c r="F11" s="745">
        <f t="shared" si="1"/>
        <v>1.4405136208834481</v>
      </c>
      <c r="G11" s="746">
        <f>Gas!K16</f>
        <v>1312.7</v>
      </c>
      <c r="H11" s="745">
        <v>3.8</v>
      </c>
      <c r="I11" s="746">
        <f>Water!H16</f>
        <v>329.15</v>
      </c>
      <c r="J11" s="745">
        <v>10</v>
      </c>
      <c r="K11" s="746">
        <f>Elect!BT15</f>
        <v>195</v>
      </c>
    </row>
    <row r="12" spans="1:12">
      <c r="A12" s="753" t="s">
        <v>11</v>
      </c>
      <c r="B12" s="730">
        <f t="shared" si="0"/>
        <v>11</v>
      </c>
      <c r="C12" s="772">
        <v>2</v>
      </c>
      <c r="D12" s="752">
        <v>2022</v>
      </c>
      <c r="E12" s="747">
        <f>Elect!BS16</f>
        <v>22712.1175</v>
      </c>
      <c r="F12" s="745">
        <f t="shared" si="1"/>
        <v>1.4405136208834481</v>
      </c>
      <c r="G12" s="746">
        <f>Gas!K17</f>
        <v>1312.7</v>
      </c>
      <c r="H12" s="745">
        <v>3.8</v>
      </c>
      <c r="I12" s="746">
        <f>Water!H17</f>
        <v>295.31666666668423</v>
      </c>
      <c r="J12" s="745">
        <v>10</v>
      </c>
      <c r="K12" s="746">
        <f>Elect!BT16</f>
        <v>209</v>
      </c>
      <c r="L12" s="733" t="s">
        <v>12</v>
      </c>
    </row>
    <row r="13" spans="1:12">
      <c r="A13" s="753" t="s">
        <v>11</v>
      </c>
      <c r="B13" s="730">
        <f t="shared" si="0"/>
        <v>12</v>
      </c>
      <c r="C13" s="772">
        <v>2</v>
      </c>
      <c r="D13" s="752">
        <v>2022</v>
      </c>
      <c r="E13" s="747">
        <f>Elect!BS17</f>
        <v>20766.422500000001</v>
      </c>
      <c r="F13" s="745">
        <f t="shared" si="1"/>
        <v>1.4405136208834481</v>
      </c>
      <c r="G13" s="746">
        <f>Gas!K18</f>
        <v>1312.7</v>
      </c>
      <c r="H13" s="745">
        <v>3.8</v>
      </c>
      <c r="I13" s="746">
        <f>Water!H18</f>
        <v>303.77499999999998</v>
      </c>
      <c r="J13" s="745">
        <v>10</v>
      </c>
      <c r="K13" s="746">
        <f>Elect!BT17</f>
        <v>192</v>
      </c>
      <c r="L13" s="733" t="s">
        <v>13</v>
      </c>
    </row>
    <row r="14" spans="1:12">
      <c r="A14" s="753" t="s">
        <v>11</v>
      </c>
      <c r="B14" s="730">
        <f t="shared" si="0"/>
        <v>13</v>
      </c>
      <c r="C14" s="772">
        <v>2</v>
      </c>
      <c r="D14" s="752">
        <v>2022</v>
      </c>
      <c r="E14" s="747">
        <f>Elect!BS18</f>
        <v>25491.97</v>
      </c>
      <c r="F14" s="745">
        <f t="shared" si="1"/>
        <v>1.4405136208834481</v>
      </c>
      <c r="G14" s="746">
        <f>Gas!K19</f>
        <v>1312.7</v>
      </c>
      <c r="H14" s="745">
        <v>3.8</v>
      </c>
      <c r="I14" s="746">
        <f>Water!H19</f>
        <v>303.77499999999998</v>
      </c>
      <c r="J14" s="745">
        <v>10</v>
      </c>
      <c r="K14" s="746">
        <f>Elect!BT18</f>
        <v>228</v>
      </c>
    </row>
    <row r="15" spans="1:12">
      <c r="A15" s="753" t="s">
        <v>11</v>
      </c>
      <c r="B15" s="730">
        <f t="shared" si="0"/>
        <v>14</v>
      </c>
      <c r="C15" s="772">
        <v>2</v>
      </c>
      <c r="D15" s="752">
        <v>2022</v>
      </c>
      <c r="E15" s="747">
        <f>Elect!BS19</f>
        <v>20066.272499999999</v>
      </c>
      <c r="F15" s="745">
        <f t="shared" si="1"/>
        <v>1.4405136208834481</v>
      </c>
      <c r="G15" s="746">
        <f>Gas!K20</f>
        <v>1312.7</v>
      </c>
      <c r="H15" s="745">
        <v>3.8</v>
      </c>
      <c r="I15" s="746">
        <f>Water!H20</f>
        <v>303.77499999999998</v>
      </c>
      <c r="J15" s="745">
        <v>10</v>
      </c>
      <c r="K15" s="746">
        <f>Elect!BT19</f>
        <v>230</v>
      </c>
    </row>
    <row r="16" spans="1:12">
      <c r="A16" s="753" t="s">
        <v>11</v>
      </c>
      <c r="B16" s="730">
        <f t="shared" si="0"/>
        <v>15</v>
      </c>
      <c r="C16" s="772">
        <v>2</v>
      </c>
      <c r="D16" s="752">
        <v>2022</v>
      </c>
      <c r="E16" s="747">
        <f>Elect!BS20</f>
        <v>24543.9925</v>
      </c>
      <c r="F16" s="745">
        <f t="shared" si="1"/>
        <v>1.4405136208834481</v>
      </c>
      <c r="G16" s="746">
        <f>Gas!K21</f>
        <v>1898.6</v>
      </c>
      <c r="H16" s="745">
        <v>3.8</v>
      </c>
      <c r="I16" s="746">
        <f>Water!H21</f>
        <v>303.77499999999998</v>
      </c>
      <c r="J16" s="745">
        <v>10</v>
      </c>
      <c r="K16" s="746">
        <f>Elect!BT20</f>
        <v>235</v>
      </c>
    </row>
    <row r="17" spans="1:11">
      <c r="A17" s="753" t="s">
        <v>11</v>
      </c>
      <c r="B17" s="730">
        <f t="shared" si="0"/>
        <v>16</v>
      </c>
      <c r="C17" s="772">
        <v>2</v>
      </c>
      <c r="D17" s="752">
        <v>2022</v>
      </c>
      <c r="E17" s="747">
        <f>Elect!BS21</f>
        <v>20720.420000000002</v>
      </c>
      <c r="F17" s="745">
        <f t="shared" si="1"/>
        <v>1.4405136208834481</v>
      </c>
      <c r="G17" s="746">
        <f>Gas!K22</f>
        <v>1442.9</v>
      </c>
      <c r="H17" s="745">
        <v>3.8</v>
      </c>
      <c r="I17" s="746">
        <f>Water!H22</f>
        <v>306.43333333331572</v>
      </c>
      <c r="J17" s="745">
        <v>10</v>
      </c>
      <c r="K17" s="746">
        <f>Elect!BT21</f>
        <v>248</v>
      </c>
    </row>
    <row r="18" spans="1:11">
      <c r="A18" s="753" t="s">
        <v>11</v>
      </c>
      <c r="B18" s="730">
        <f t="shared" si="0"/>
        <v>17</v>
      </c>
      <c r="C18" s="772">
        <v>2</v>
      </c>
      <c r="D18" s="752">
        <v>2022</v>
      </c>
      <c r="E18" s="747">
        <f>Elect!BS22</f>
        <v>22015.724999999999</v>
      </c>
      <c r="F18" s="745">
        <f t="shared" si="1"/>
        <v>1.4405136208834481</v>
      </c>
      <c r="G18" s="746">
        <f>Gas!K23</f>
        <v>1479.3</v>
      </c>
      <c r="H18" s="745">
        <v>3.8</v>
      </c>
      <c r="I18" s="746">
        <f>Water!H23</f>
        <v>310.88</v>
      </c>
      <c r="J18" s="745">
        <v>10</v>
      </c>
      <c r="K18" s="746">
        <f>Elect!BT22</f>
        <v>251</v>
      </c>
    </row>
    <row r="19" spans="1:11">
      <c r="A19" s="753" t="s">
        <v>11</v>
      </c>
      <c r="B19" s="730">
        <f t="shared" si="0"/>
        <v>18</v>
      </c>
      <c r="C19" s="772">
        <v>2</v>
      </c>
      <c r="D19" s="752">
        <v>2022</v>
      </c>
      <c r="E19" s="747">
        <f>Elect!BS23</f>
        <v>22449.282500000001</v>
      </c>
      <c r="F19" s="745">
        <f t="shared" si="1"/>
        <v>1.4405136208834481</v>
      </c>
      <c r="G19" s="746">
        <f>Gas!K24</f>
        <v>1376.4</v>
      </c>
      <c r="H19" s="745">
        <v>3.8</v>
      </c>
      <c r="I19" s="746">
        <f>Water!H24</f>
        <v>313.2</v>
      </c>
      <c r="J19" s="745">
        <v>10</v>
      </c>
      <c r="K19" s="746">
        <f>Elect!BT23</f>
        <v>251</v>
      </c>
    </row>
    <row r="20" spans="1:11">
      <c r="A20" s="753" t="s">
        <v>11</v>
      </c>
      <c r="B20" s="730">
        <f t="shared" si="0"/>
        <v>19</v>
      </c>
      <c r="C20" s="772">
        <v>2</v>
      </c>
      <c r="D20" s="752">
        <v>2022</v>
      </c>
      <c r="E20" s="747">
        <f>Elect!BS24</f>
        <v>21157.15</v>
      </c>
      <c r="F20" s="745">
        <f t="shared" si="1"/>
        <v>1.4405136208834481</v>
      </c>
      <c r="G20" s="746">
        <f>Gas!K25</f>
        <v>1376.4</v>
      </c>
      <c r="H20" s="745">
        <v>3.8</v>
      </c>
      <c r="I20" s="746">
        <f>Water!H25</f>
        <v>313.2</v>
      </c>
      <c r="J20" s="745">
        <v>10</v>
      </c>
      <c r="K20" s="746">
        <f>Elect!BT24</f>
        <v>253</v>
      </c>
    </row>
    <row r="21" spans="1:11">
      <c r="A21" s="753" t="s">
        <v>11</v>
      </c>
      <c r="B21" s="730">
        <f t="shared" si="0"/>
        <v>20</v>
      </c>
      <c r="C21" s="772">
        <v>2</v>
      </c>
      <c r="D21" s="752">
        <v>2022</v>
      </c>
      <c r="E21" s="747">
        <f>Elect!BS25</f>
        <v>21357.02</v>
      </c>
      <c r="F21" s="745">
        <f t="shared" si="1"/>
        <v>1.4405136208834481</v>
      </c>
      <c r="G21" s="746">
        <f>Gas!K26</f>
        <v>1478.6</v>
      </c>
      <c r="H21" s="745">
        <v>3.8</v>
      </c>
      <c r="I21" s="746">
        <f>Water!H26</f>
        <v>307.39999999999998</v>
      </c>
      <c r="J21" s="745">
        <v>10</v>
      </c>
      <c r="K21" s="746">
        <f>Elect!BT25</f>
        <v>248</v>
      </c>
    </row>
    <row r="22" spans="1:11">
      <c r="A22" s="753" t="s">
        <v>11</v>
      </c>
      <c r="B22" s="730">
        <f t="shared" si="0"/>
        <v>21</v>
      </c>
      <c r="C22" s="772">
        <v>2</v>
      </c>
      <c r="D22" s="752">
        <v>2022</v>
      </c>
      <c r="E22" s="747">
        <f>Elect!BS26</f>
        <v>22133.3125</v>
      </c>
      <c r="F22" s="745">
        <f t="shared" si="1"/>
        <v>1.4405136208834481</v>
      </c>
      <c r="G22" s="746">
        <f>Gas!K27</f>
        <v>1429.6</v>
      </c>
      <c r="H22" s="745">
        <v>3.8</v>
      </c>
      <c r="I22" s="746">
        <f>Water!H27</f>
        <v>295.79999999999995</v>
      </c>
      <c r="J22" s="745">
        <v>10</v>
      </c>
      <c r="K22" s="746">
        <f>Elect!BT26</f>
        <v>246</v>
      </c>
    </row>
    <row r="23" spans="1:11">
      <c r="A23" s="753" t="s">
        <v>11</v>
      </c>
      <c r="B23" s="730">
        <f t="shared" si="0"/>
        <v>22</v>
      </c>
      <c r="C23" s="772">
        <v>2</v>
      </c>
      <c r="D23" s="752">
        <v>2022</v>
      </c>
      <c r="E23" s="747">
        <f>Elect!BS27</f>
        <v>20514.997499999998</v>
      </c>
      <c r="F23" s="745">
        <f t="shared" si="1"/>
        <v>1.4405136208834481</v>
      </c>
      <c r="G23" s="746">
        <f>Gas!K28</f>
        <v>1522.7</v>
      </c>
      <c r="H23" s="745">
        <v>3.8</v>
      </c>
      <c r="I23" s="746">
        <f>Water!H28</f>
        <v>295.79999999999995</v>
      </c>
      <c r="J23" s="745">
        <v>10</v>
      </c>
      <c r="K23" s="746">
        <f>Elect!BT27</f>
        <v>246</v>
      </c>
    </row>
    <row r="24" spans="1:11">
      <c r="A24" s="753" t="s">
        <v>11</v>
      </c>
      <c r="B24" s="730">
        <f t="shared" si="0"/>
        <v>23</v>
      </c>
      <c r="C24" s="772">
        <v>2</v>
      </c>
      <c r="D24" s="752">
        <v>2022</v>
      </c>
      <c r="E24" s="747">
        <f>Elect!BS28</f>
        <v>21193.695</v>
      </c>
      <c r="F24" s="745">
        <f t="shared" si="1"/>
        <v>1.4405136208834481</v>
      </c>
      <c r="G24" s="746">
        <f>Gas!K29</f>
        <v>1474.4</v>
      </c>
      <c r="H24" s="745">
        <v>3.8</v>
      </c>
      <c r="I24" s="746">
        <f>Water!H29</f>
        <v>359.6</v>
      </c>
      <c r="J24" s="745">
        <v>10</v>
      </c>
      <c r="K24" s="746">
        <f>Elect!BT28</f>
        <v>250</v>
      </c>
    </row>
    <row r="25" spans="1:11">
      <c r="A25" s="753" t="s">
        <v>11</v>
      </c>
      <c r="B25" s="730">
        <f t="shared" si="0"/>
        <v>24</v>
      </c>
      <c r="C25" s="772">
        <v>2</v>
      </c>
      <c r="D25" s="752">
        <v>2022</v>
      </c>
      <c r="E25" s="747">
        <f>Elect!BS29</f>
        <v>23014.764999999999</v>
      </c>
      <c r="F25" s="745">
        <f t="shared" si="1"/>
        <v>1.4405136208834481</v>
      </c>
      <c r="G25" s="746">
        <f>Gas!K30</f>
        <v>1493.3</v>
      </c>
      <c r="H25" s="745">
        <v>3.8</v>
      </c>
      <c r="I25" s="746">
        <f>Water!H30</f>
        <v>348</v>
      </c>
      <c r="J25" s="745">
        <v>10</v>
      </c>
      <c r="K25" s="746">
        <f>Elect!BT29</f>
        <v>247</v>
      </c>
    </row>
    <row r="26" spans="1:11">
      <c r="A26" s="753" t="s">
        <v>11</v>
      </c>
      <c r="B26" s="730">
        <f>B25+1</f>
        <v>25</v>
      </c>
      <c r="C26" s="772">
        <v>2</v>
      </c>
      <c r="D26" s="752">
        <v>2022</v>
      </c>
      <c r="E26" s="747">
        <f>Elect!BS30</f>
        <v>21221.797500000001</v>
      </c>
      <c r="F26" s="745">
        <f t="shared" si="1"/>
        <v>1.4405136208834481</v>
      </c>
      <c r="G26" s="746">
        <f>Gas!K31</f>
        <v>1370.1</v>
      </c>
      <c r="H26" s="745">
        <v>3.8</v>
      </c>
      <c r="I26" s="746">
        <f>Water!H31</f>
        <v>614.22</v>
      </c>
      <c r="J26" s="745">
        <v>10</v>
      </c>
      <c r="K26" s="746">
        <f>Elect!BT30</f>
        <v>253</v>
      </c>
    </row>
    <row r="27" spans="1:11">
      <c r="A27" s="753" t="s">
        <v>11</v>
      </c>
      <c r="B27" s="730">
        <f t="shared" si="0"/>
        <v>26</v>
      </c>
      <c r="C27" s="772">
        <v>2</v>
      </c>
      <c r="D27" s="752">
        <v>2022</v>
      </c>
      <c r="E27" s="747">
        <f>Elect!BS31</f>
        <v>22200.224999999999</v>
      </c>
      <c r="F27" s="745">
        <f t="shared" si="1"/>
        <v>1.4405136208834481</v>
      </c>
      <c r="G27" s="746">
        <f>Gas!K32</f>
        <v>1377.8</v>
      </c>
      <c r="H27" s="745">
        <v>3.8</v>
      </c>
      <c r="I27" s="746">
        <f>Water!H32</f>
        <v>214.6</v>
      </c>
      <c r="J27" s="745">
        <v>10</v>
      </c>
      <c r="K27" s="746">
        <f>Elect!BT31</f>
        <v>257</v>
      </c>
    </row>
    <row r="28" spans="1:11">
      <c r="A28" s="753" t="s">
        <v>11</v>
      </c>
      <c r="B28" s="730">
        <f t="shared" si="0"/>
        <v>27</v>
      </c>
      <c r="C28" s="772">
        <v>2</v>
      </c>
      <c r="D28" s="752">
        <v>2022</v>
      </c>
      <c r="E28" s="747">
        <f>Elect!BS32</f>
        <v>22506.517500000002</v>
      </c>
      <c r="F28" s="745">
        <f t="shared" si="1"/>
        <v>1.4405136208834481</v>
      </c>
      <c r="G28" s="746">
        <f>Gas!K33</f>
        <v>1377.8</v>
      </c>
      <c r="H28" s="745">
        <v>3.8</v>
      </c>
      <c r="I28" s="746">
        <f>Water!H33</f>
        <v>214.6</v>
      </c>
      <c r="J28" s="745">
        <v>10</v>
      </c>
      <c r="K28" s="746">
        <f>Elect!BT32</f>
        <v>229</v>
      </c>
    </row>
    <row r="29" spans="1:11">
      <c r="A29" s="753" t="s">
        <v>11</v>
      </c>
      <c r="B29" s="730">
        <f t="shared" si="0"/>
        <v>28</v>
      </c>
      <c r="C29" s="772">
        <v>2</v>
      </c>
      <c r="D29" s="752">
        <v>2022</v>
      </c>
      <c r="E29" s="747">
        <f>Elect!BS33</f>
        <v>22476.517500000002</v>
      </c>
      <c r="F29" s="745">
        <f t="shared" si="1"/>
        <v>1.4405136208834481</v>
      </c>
      <c r="G29" s="746">
        <f>Gas!K34</f>
        <v>1377.8</v>
      </c>
      <c r="H29" s="745">
        <v>3.8</v>
      </c>
      <c r="I29" s="746">
        <f>Water!H34</f>
        <v>214.6</v>
      </c>
      <c r="J29" s="745">
        <v>10</v>
      </c>
      <c r="K29" s="746">
        <f>Elect!BT33</f>
        <v>236</v>
      </c>
    </row>
    <row r="30" spans="1:11">
      <c r="A30" s="753" t="s">
        <v>11</v>
      </c>
      <c r="B30" s="730">
        <f t="shared" si="0"/>
        <v>29</v>
      </c>
      <c r="C30" s="772">
        <v>2</v>
      </c>
      <c r="D30" s="752">
        <v>2022</v>
      </c>
      <c r="E30" s="747">
        <f>Elect!BS34</f>
        <v>0</v>
      </c>
      <c r="F30" s="745">
        <f t="shared" si="1"/>
        <v>1.4405136208834481</v>
      </c>
      <c r="G30" s="746">
        <f>Gas!K35</f>
        <v>1060</v>
      </c>
      <c r="H30" s="745">
        <v>3.8</v>
      </c>
      <c r="I30" s="746">
        <f>Water!H35</f>
        <v>0</v>
      </c>
      <c r="J30" s="745">
        <v>10</v>
      </c>
      <c r="K30" s="746">
        <f>Elect!BT34</f>
        <v>0</v>
      </c>
    </row>
    <row r="31" spans="1:11">
      <c r="A31" s="753" t="s">
        <v>11</v>
      </c>
      <c r="B31" s="730">
        <f t="shared" si="0"/>
        <v>30</v>
      </c>
      <c r="C31" s="772">
        <v>2</v>
      </c>
      <c r="D31" s="752">
        <v>2022</v>
      </c>
      <c r="E31" s="747">
        <f>Elect!BS35</f>
        <v>0</v>
      </c>
      <c r="F31" s="745">
        <f t="shared" si="1"/>
        <v>1.4405136208834481</v>
      </c>
      <c r="G31" s="746">
        <f>Gas!K36</f>
        <v>1060</v>
      </c>
      <c r="H31" s="745">
        <v>3.8</v>
      </c>
      <c r="I31" s="746">
        <f>Water!H36</f>
        <v>0</v>
      </c>
      <c r="J31" s="745">
        <v>10</v>
      </c>
      <c r="K31" s="746">
        <f>Elect!BT35</f>
        <v>0</v>
      </c>
    </row>
    <row r="32" spans="1:11">
      <c r="A32" s="754" t="s">
        <v>11</v>
      </c>
      <c r="B32" s="755">
        <f t="shared" si="0"/>
        <v>31</v>
      </c>
      <c r="C32" s="772">
        <v>2</v>
      </c>
      <c r="D32" s="752">
        <v>2022</v>
      </c>
      <c r="E32" s="747">
        <f>Elect!BS36</f>
        <v>0</v>
      </c>
      <c r="F32" s="745">
        <f t="shared" si="1"/>
        <v>1.4405136208834481</v>
      </c>
      <c r="G32" s="746">
        <f>Gas!K37</f>
        <v>1060</v>
      </c>
      <c r="H32" s="745">
        <v>3.8</v>
      </c>
      <c r="I32" s="746">
        <f>Water!H37</f>
        <v>0</v>
      </c>
      <c r="J32" s="745">
        <v>10</v>
      </c>
      <c r="K32" s="746">
        <f>Elect!BT36</f>
        <v>0</v>
      </c>
    </row>
  </sheetData>
  <sheetProtection algorithmName="SHA-512" hashValue="ZJUlYBUGAv7/8JE9aHUavp1auHol4YN7Np/LITdaGK//sg16y2a7dUhd4W6prAVTss51pTmIG464lYLLDrANWA==" saltValue="wA38OpEdTZ28DrQ7WO6fZA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workbookViewId="0">
      <selection activeCell="D2" sqref="D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1" t="s">
        <v>0</v>
      </c>
      <c r="B1" s="742" t="s">
        <v>1</v>
      </c>
      <c r="C1" s="742" t="s">
        <v>2</v>
      </c>
      <c r="D1" s="742" t="s">
        <v>3</v>
      </c>
      <c r="E1" s="810" t="s">
        <v>14</v>
      </c>
      <c r="F1" s="737" t="s">
        <v>15</v>
      </c>
      <c r="G1" s="738" t="s">
        <v>16</v>
      </c>
      <c r="H1" s="737" t="s">
        <v>17</v>
      </c>
      <c r="I1" s="737" t="s">
        <v>18</v>
      </c>
      <c r="J1" s="737" t="s">
        <v>19</v>
      </c>
      <c r="K1" s="731" t="s">
        <v>20</v>
      </c>
      <c r="L1" s="731" t="s">
        <v>21</v>
      </c>
      <c r="M1" s="756" t="s">
        <v>22</v>
      </c>
      <c r="N1" s="756" t="s">
        <v>23</v>
      </c>
      <c r="O1" s="756" t="s">
        <v>24</v>
      </c>
      <c r="P1" s="756" t="s">
        <v>25</v>
      </c>
      <c r="Q1" s="756" t="s">
        <v>26</v>
      </c>
      <c r="R1" s="756" t="s">
        <v>27</v>
      </c>
      <c r="S1" s="786" t="s">
        <v>28</v>
      </c>
      <c r="T1" s="756" t="s">
        <v>29</v>
      </c>
      <c r="U1" s="756" t="s">
        <v>30</v>
      </c>
      <c r="V1" s="756" t="s">
        <v>31</v>
      </c>
      <c r="W1" s="786" t="s">
        <v>32</v>
      </c>
      <c r="X1" s="756" t="s">
        <v>33</v>
      </c>
      <c r="Y1" s="786" t="s">
        <v>34</v>
      </c>
      <c r="Z1" s="756" t="s">
        <v>35</v>
      </c>
      <c r="AA1" s="786" t="s">
        <v>36</v>
      </c>
      <c r="AB1" s="756" t="s">
        <v>37</v>
      </c>
      <c r="AC1" s="756" t="s">
        <v>38</v>
      </c>
      <c r="AD1" s="786" t="s">
        <v>39</v>
      </c>
      <c r="AE1" s="756" t="s">
        <v>40</v>
      </c>
      <c r="AF1" s="756" t="s">
        <v>41</v>
      </c>
      <c r="AG1" s="756" t="s">
        <v>42</v>
      </c>
      <c r="AH1" s="810" t="s">
        <v>43</v>
      </c>
      <c r="AI1" s="756" t="s">
        <v>44</v>
      </c>
      <c r="AJ1" s="756" t="s">
        <v>45</v>
      </c>
      <c r="AK1" s="756" t="s">
        <v>46</v>
      </c>
      <c r="AL1" s="810" t="s">
        <v>47</v>
      </c>
      <c r="AM1" s="756" t="s">
        <v>48</v>
      </c>
      <c r="AN1" s="756" t="s">
        <v>49</v>
      </c>
      <c r="AO1" s="756" t="s">
        <v>50</v>
      </c>
      <c r="AP1" s="743" t="s">
        <v>10</v>
      </c>
    </row>
    <row r="2" spans="1:42" ht="19.5" customHeight="1">
      <c r="A2" s="750" t="s">
        <v>11</v>
      </c>
      <c r="B2" s="751">
        <v>1</v>
      </c>
      <c r="C2" s="772">
        <v>2</v>
      </c>
      <c r="D2" s="752">
        <v>2022</v>
      </c>
      <c r="E2" s="811"/>
      <c r="F2" s="739">
        <f>Elect!J6</f>
        <v>6679</v>
      </c>
      <c r="G2" s="739">
        <f>Elect!K6</f>
        <v>4420</v>
      </c>
      <c r="H2" s="739">
        <f>Elect!Q6</f>
        <v>360</v>
      </c>
      <c r="I2" s="739">
        <f>Elect!S6</f>
        <v>143</v>
      </c>
      <c r="J2" s="739">
        <f>Elect!U6</f>
        <v>259.5</v>
      </c>
      <c r="K2" s="739">
        <f>Elect!W6</f>
        <v>1564.5600000000002</v>
      </c>
      <c r="L2" s="739">
        <f>Elect!Y6</f>
        <v>0</v>
      </c>
      <c r="M2" s="739">
        <f>Elect!AA6</f>
        <v>0</v>
      </c>
      <c r="N2" s="739">
        <f>Elect!AC6</f>
        <v>0</v>
      </c>
      <c r="O2" s="739">
        <f>Elect!AE6</f>
        <v>13.25</v>
      </c>
      <c r="P2" s="739">
        <f>Elect!AG6</f>
        <v>13.25</v>
      </c>
      <c r="Q2" s="739">
        <f>Elect!AI6</f>
        <v>134.62</v>
      </c>
      <c r="R2" s="739">
        <f>Elect!AK6</f>
        <v>1835.39</v>
      </c>
      <c r="S2" s="739">
        <f>Elect!AM6</f>
        <v>148.93</v>
      </c>
      <c r="T2" s="739">
        <f>Elect!AP6</f>
        <v>4.7250000000000005</v>
      </c>
      <c r="U2" s="739">
        <f>Elect!AR6</f>
        <v>323</v>
      </c>
      <c r="V2" s="739">
        <f>Elect!AT6</f>
        <v>185</v>
      </c>
      <c r="W2" s="739">
        <f>Elect!AV6</f>
        <v>52</v>
      </c>
      <c r="X2" s="739">
        <f>Elect!AX6</f>
        <v>577</v>
      </c>
      <c r="Y2" s="739">
        <f>Elect!AZ6</f>
        <v>5</v>
      </c>
      <c r="Z2" s="739">
        <f>Elect!BB6</f>
        <v>3727</v>
      </c>
      <c r="AA2" s="739">
        <f>Elect!BD6</f>
        <v>214</v>
      </c>
      <c r="AB2" s="739">
        <f>Elect!BF6</f>
        <v>56</v>
      </c>
      <c r="AC2" s="739">
        <f>Elect!BH6</f>
        <v>4674.8500000000004</v>
      </c>
      <c r="AD2" s="739">
        <f>Elect!BL6</f>
        <v>63</v>
      </c>
      <c r="AE2" s="739">
        <f>Elect!BN6</f>
        <v>971</v>
      </c>
      <c r="AF2" s="739">
        <f>Elect!BP6</f>
        <v>136</v>
      </c>
      <c r="AG2" s="739">
        <f>Elect!BR6</f>
        <v>111</v>
      </c>
      <c r="AH2" s="811"/>
      <c r="AI2" s="739">
        <f>Water!C7</f>
        <v>110.19999999999999</v>
      </c>
      <c r="AJ2" s="739">
        <f>Water!E7</f>
        <v>150.79999999999998</v>
      </c>
      <c r="AK2" s="739">
        <f>Water!G7</f>
        <v>0</v>
      </c>
      <c r="AL2" s="811"/>
      <c r="AM2" s="739">
        <f>Gas!C7</f>
        <v>1060</v>
      </c>
      <c r="AN2" s="739">
        <f>Gas!E7</f>
        <v>329.7</v>
      </c>
      <c r="AO2" s="739">
        <f>Gas!G7</f>
        <v>257</v>
      </c>
      <c r="AP2" s="746">
        <f>Elect!BT6</f>
        <v>194</v>
      </c>
    </row>
    <row r="3" spans="1:42" ht="12.75" customHeight="1">
      <c r="A3" s="753" t="s">
        <v>11</v>
      </c>
      <c r="B3" s="730">
        <f>B2+1</f>
        <v>2</v>
      </c>
      <c r="C3" s="772">
        <v>2</v>
      </c>
      <c r="D3" s="752">
        <v>2022</v>
      </c>
      <c r="E3" s="811"/>
      <c r="F3" s="739">
        <f>Elect!J7</f>
        <v>6640</v>
      </c>
      <c r="G3" s="739">
        <f>Elect!K7</f>
        <v>4321</v>
      </c>
      <c r="H3" s="739">
        <f>Elect!Q7</f>
        <v>600</v>
      </c>
      <c r="I3" s="739">
        <f>Elect!S7</f>
        <v>145</v>
      </c>
      <c r="J3" s="739">
        <f>Elect!U7</f>
        <v>269</v>
      </c>
      <c r="K3" s="739">
        <f>Elect!W7</f>
        <v>988.45</v>
      </c>
      <c r="L3" s="739">
        <f>Elect!Y7</f>
        <v>0</v>
      </c>
      <c r="M3" s="739">
        <f>Elect!AA7</f>
        <v>0</v>
      </c>
      <c r="N3" s="739">
        <f>Elect!AC7</f>
        <v>0</v>
      </c>
      <c r="O3" s="739">
        <f>Elect!AE7</f>
        <v>13.25</v>
      </c>
      <c r="P3" s="739">
        <f>Elect!AG7</f>
        <v>12.72</v>
      </c>
      <c r="Q3" s="739">
        <f>Elect!AI7</f>
        <v>408.63</v>
      </c>
      <c r="R3" s="739">
        <f>Elect!AK7</f>
        <v>2044.74</v>
      </c>
      <c r="S3" s="739">
        <f>Elect!AM7</f>
        <v>155.29000000000002</v>
      </c>
      <c r="T3" s="739">
        <f>Elect!AP7</f>
        <v>4.1625000000000005</v>
      </c>
      <c r="U3" s="739">
        <f>Elect!AR7</f>
        <v>338</v>
      </c>
      <c r="V3" s="739">
        <f>Elect!AT7</f>
        <v>161</v>
      </c>
      <c r="W3" s="739">
        <f>Elect!AV7</f>
        <v>43</v>
      </c>
      <c r="X3" s="739">
        <f>Elect!AX7</f>
        <v>575</v>
      </c>
      <c r="Y3" s="739">
        <f>Elect!AZ7</f>
        <v>6</v>
      </c>
      <c r="Z3" s="739">
        <f>Elect!BB7</f>
        <v>4029</v>
      </c>
      <c r="AA3" s="739">
        <f>Elect!BD7</f>
        <v>218</v>
      </c>
      <c r="AB3" s="739">
        <f>Elect!BF7</f>
        <v>127</v>
      </c>
      <c r="AC3" s="739">
        <f>Elect!BH7</f>
        <v>4833.4500000000007</v>
      </c>
      <c r="AD3" s="739">
        <f>Elect!BL7</f>
        <v>60</v>
      </c>
      <c r="AE3" s="739">
        <f>Elect!BN7</f>
        <v>937</v>
      </c>
      <c r="AF3" s="739">
        <f>Elect!BP7</f>
        <v>142</v>
      </c>
      <c r="AG3" s="739">
        <f>Elect!BR7</f>
        <v>133</v>
      </c>
      <c r="AH3" s="811"/>
      <c r="AI3" s="739">
        <f>Water!C8</f>
        <v>150.79999999999998</v>
      </c>
      <c r="AJ3" s="739">
        <f>Water!E8</f>
        <v>191.39999999999998</v>
      </c>
      <c r="AK3" s="739">
        <f>Water!G8</f>
        <v>8.6999999999999993</v>
      </c>
      <c r="AL3" s="811"/>
      <c r="AM3" s="739">
        <f>Gas!C8</f>
        <v>1060</v>
      </c>
      <c r="AN3" s="739">
        <f>Gas!E8</f>
        <v>467.59999999999997</v>
      </c>
      <c r="AO3" s="739">
        <f>Gas!G8</f>
        <v>0</v>
      </c>
      <c r="AP3" s="746">
        <f>Elect!BT7</f>
        <v>194</v>
      </c>
    </row>
    <row r="4" spans="1:42" ht="12.75" customHeight="1">
      <c r="A4" s="753" t="s">
        <v>11</v>
      </c>
      <c r="B4" s="730">
        <f t="shared" ref="B4:B31" si="0">B3+1</f>
        <v>3</v>
      </c>
      <c r="C4" s="772">
        <v>2</v>
      </c>
      <c r="D4" s="752">
        <v>2022</v>
      </c>
      <c r="E4" s="811"/>
      <c r="F4" s="739">
        <f>Elect!J8</f>
        <v>6891</v>
      </c>
      <c r="G4" s="739">
        <f>Elect!K8</f>
        <v>4131</v>
      </c>
      <c r="H4" s="739">
        <f>Elect!Q8</f>
        <v>570</v>
      </c>
      <c r="I4" s="739">
        <f>Elect!S8</f>
        <v>140</v>
      </c>
      <c r="J4" s="739">
        <f>Elect!U8</f>
        <v>246</v>
      </c>
      <c r="K4" s="739">
        <f>Elect!W8</f>
        <v>967.78000000000009</v>
      </c>
      <c r="L4" s="739">
        <f>Elect!Y8</f>
        <v>0</v>
      </c>
      <c r="M4" s="739">
        <f>Elect!AA8</f>
        <v>0</v>
      </c>
      <c r="N4" s="739">
        <f>Elect!AC8</f>
        <v>0</v>
      </c>
      <c r="O4" s="739">
        <f>Elect!AE8</f>
        <v>13.780000000000001</v>
      </c>
      <c r="P4" s="739">
        <f>Elect!AG8</f>
        <v>13.25</v>
      </c>
      <c r="Q4" s="739">
        <f>Elect!AI8</f>
        <v>399.09000000000003</v>
      </c>
      <c r="R4" s="739">
        <f>Elect!AK8</f>
        <v>2267.87</v>
      </c>
      <c r="S4" s="739">
        <f>Elect!AM8</f>
        <v>156.35</v>
      </c>
      <c r="T4" s="739">
        <f>Elect!AP8</f>
        <v>4.3875000000000002</v>
      </c>
      <c r="U4" s="739">
        <f>Elect!AR8</f>
        <v>326</v>
      </c>
      <c r="V4" s="739">
        <f>Elect!AT8</f>
        <v>147</v>
      </c>
      <c r="W4" s="739">
        <f>Elect!AV8</f>
        <v>43</v>
      </c>
      <c r="X4" s="739">
        <f>Elect!AX8</f>
        <v>577</v>
      </c>
      <c r="Y4" s="739">
        <f>Elect!AZ8</f>
        <v>6</v>
      </c>
      <c r="Z4" s="739">
        <f>Elect!BB8</f>
        <v>4140</v>
      </c>
      <c r="AA4" s="739">
        <f>Elect!BD8</f>
        <v>224</v>
      </c>
      <c r="AB4" s="739">
        <f>Elect!BF8</f>
        <v>0</v>
      </c>
      <c r="AC4" s="739">
        <f>Elect!BH8</f>
        <v>4645.6000000000004</v>
      </c>
      <c r="AD4" s="739">
        <f>Elect!BL8</f>
        <v>60</v>
      </c>
      <c r="AE4" s="739">
        <f>Elect!BN8</f>
        <v>777</v>
      </c>
      <c r="AF4" s="739">
        <f>Elect!BP8</f>
        <v>135</v>
      </c>
      <c r="AG4" s="739">
        <f>Elect!BR8</f>
        <v>128</v>
      </c>
      <c r="AH4" s="811"/>
      <c r="AI4" s="739">
        <f>Water!C9</f>
        <v>150.79999999999998</v>
      </c>
      <c r="AJ4" s="739">
        <f>Water!E9</f>
        <v>191.39999999999998</v>
      </c>
      <c r="AK4" s="739">
        <f>Water!G9</f>
        <v>8.6999999999999993</v>
      </c>
      <c r="AL4" s="811"/>
      <c r="AM4" s="739">
        <f>Gas!C9</f>
        <v>1060</v>
      </c>
      <c r="AN4" s="739">
        <f>Gas!E9</f>
        <v>467.59999999999997</v>
      </c>
      <c r="AO4" s="739">
        <f>Gas!G9</f>
        <v>0</v>
      </c>
      <c r="AP4" s="746">
        <f>Elect!BT8</f>
        <v>212</v>
      </c>
    </row>
    <row r="5" spans="1:42" ht="12.75" customHeight="1">
      <c r="A5" s="753" t="s">
        <v>11</v>
      </c>
      <c r="B5" s="730">
        <f t="shared" si="0"/>
        <v>4</v>
      </c>
      <c r="C5" s="772">
        <v>2</v>
      </c>
      <c r="D5" s="752">
        <v>2022</v>
      </c>
      <c r="E5" s="811"/>
      <c r="F5" s="739">
        <f>Elect!J9</f>
        <v>6741</v>
      </c>
      <c r="G5" s="739">
        <f>Elect!K9</f>
        <v>4176</v>
      </c>
      <c r="H5" s="739">
        <f>Elect!Q9</f>
        <v>600</v>
      </c>
      <c r="I5" s="739">
        <f>Elect!S9</f>
        <v>138</v>
      </c>
      <c r="J5" s="739">
        <f>Elect!U9</f>
        <v>245</v>
      </c>
      <c r="K5" s="739">
        <f>Elect!W9</f>
        <v>795</v>
      </c>
      <c r="L5" s="739">
        <f>Elect!Y9</f>
        <v>0</v>
      </c>
      <c r="M5" s="739">
        <f>Elect!AA9</f>
        <v>0</v>
      </c>
      <c r="N5" s="739">
        <f>Elect!AC9</f>
        <v>0</v>
      </c>
      <c r="O5" s="739">
        <f>Elect!AE9</f>
        <v>13.25</v>
      </c>
      <c r="P5" s="739">
        <f>Elect!AG9</f>
        <v>12.72</v>
      </c>
      <c r="Q5" s="739">
        <f>Elect!AI9</f>
        <v>372.06</v>
      </c>
      <c r="R5" s="739">
        <f>Elect!AK9</f>
        <v>1766.49</v>
      </c>
      <c r="S5" s="739">
        <f>Elect!AM9</f>
        <v>148.4</v>
      </c>
      <c r="T5" s="739">
        <f>Elect!AP9</f>
        <v>4.1625000000000005</v>
      </c>
      <c r="U5" s="739">
        <f>Elect!AR9</f>
        <v>332</v>
      </c>
      <c r="V5" s="739">
        <f>Elect!AT9</f>
        <v>158</v>
      </c>
      <c r="W5" s="739">
        <f>Elect!AV9</f>
        <v>36</v>
      </c>
      <c r="X5" s="739">
        <f>Elect!AX9</f>
        <v>530</v>
      </c>
      <c r="Y5" s="739">
        <f>Elect!AZ9</f>
        <v>6</v>
      </c>
      <c r="Z5" s="739">
        <f>Elect!BB9</f>
        <v>4127</v>
      </c>
      <c r="AA5" s="739">
        <f>Elect!BD9</f>
        <v>204</v>
      </c>
      <c r="AB5" s="739">
        <f>Elect!BF9</f>
        <v>54</v>
      </c>
      <c r="AC5" s="739">
        <f>Elect!BH9</f>
        <v>4734.3999999999996</v>
      </c>
      <c r="AD5" s="739">
        <f>Elect!BL9</f>
        <v>60</v>
      </c>
      <c r="AE5" s="739">
        <f>Elect!BN9</f>
        <v>830</v>
      </c>
      <c r="AF5" s="739">
        <f>Elect!BP9</f>
        <v>138</v>
      </c>
      <c r="AG5" s="739">
        <f>Elect!BR9</f>
        <v>129</v>
      </c>
      <c r="AH5" s="811"/>
      <c r="AI5" s="739">
        <f>Water!C10</f>
        <v>278.39999999999998</v>
      </c>
      <c r="AJ5" s="739">
        <f>Water!E10</f>
        <v>211.7</v>
      </c>
      <c r="AK5" s="739">
        <f>Water!G10</f>
        <v>8.6999999999999993</v>
      </c>
      <c r="AL5" s="811"/>
      <c r="AM5" s="739">
        <f>Gas!C10</f>
        <v>1060</v>
      </c>
      <c r="AN5" s="739">
        <f>Gas!E10</f>
        <v>345.09999999999997</v>
      </c>
      <c r="AO5" s="739">
        <f>Gas!G10</f>
        <v>125</v>
      </c>
      <c r="AP5" s="746">
        <f>Elect!BT9</f>
        <v>234</v>
      </c>
    </row>
    <row r="6" spans="1:42" ht="12.75" customHeight="1">
      <c r="A6" s="753" t="s">
        <v>11</v>
      </c>
      <c r="B6" s="730">
        <f t="shared" si="0"/>
        <v>5</v>
      </c>
      <c r="C6" s="772">
        <v>2</v>
      </c>
      <c r="D6" s="752">
        <v>2022</v>
      </c>
      <c r="E6" s="811"/>
      <c r="F6" s="739">
        <f>Elect!J10</f>
        <v>6857</v>
      </c>
      <c r="G6" s="739">
        <f>Elect!K10</f>
        <v>4372</v>
      </c>
      <c r="H6" s="739">
        <f>Elect!Q10</f>
        <v>630</v>
      </c>
      <c r="I6" s="739">
        <f>Elect!S10</f>
        <v>142</v>
      </c>
      <c r="J6" s="739">
        <f>Elect!U10</f>
        <v>250</v>
      </c>
      <c r="K6" s="739">
        <f>Elect!W10</f>
        <v>965.13</v>
      </c>
      <c r="L6" s="739">
        <f>Elect!Y10</f>
        <v>0</v>
      </c>
      <c r="M6" s="739">
        <f>Elect!AA10</f>
        <v>0</v>
      </c>
      <c r="N6" s="739">
        <f>Elect!AC10</f>
        <v>0</v>
      </c>
      <c r="O6" s="739">
        <f>Elect!AE10</f>
        <v>13.780000000000001</v>
      </c>
      <c r="P6" s="739">
        <f>Elect!AG10</f>
        <v>13.780000000000001</v>
      </c>
      <c r="Q6" s="739">
        <f>Elect!AI10</f>
        <v>399.09000000000003</v>
      </c>
      <c r="R6" s="739">
        <f>Elect!AK10</f>
        <v>1835.39</v>
      </c>
      <c r="S6" s="739">
        <f>Elect!AM10</f>
        <v>155.29000000000002</v>
      </c>
      <c r="T6" s="739">
        <f>Elect!AP10</f>
        <v>4.6124999999999998</v>
      </c>
      <c r="U6" s="739">
        <f>Elect!AR10</f>
        <v>366</v>
      </c>
      <c r="V6" s="739">
        <f>Elect!AT10</f>
        <v>162</v>
      </c>
      <c r="W6" s="739">
        <f>Elect!AV10</f>
        <v>41</v>
      </c>
      <c r="X6" s="739">
        <f>Elect!AX10</f>
        <v>559</v>
      </c>
      <c r="Y6" s="739">
        <f>Elect!AZ10</f>
        <v>6</v>
      </c>
      <c r="Z6" s="739">
        <f>Elect!BB10</f>
        <v>4321</v>
      </c>
      <c r="AA6" s="739">
        <f>Elect!BD10</f>
        <v>139</v>
      </c>
      <c r="AB6" s="739">
        <f>Elect!BF10</f>
        <v>32</v>
      </c>
      <c r="AC6" s="739">
        <f>Elect!BH10</f>
        <v>4777.8999999999996</v>
      </c>
      <c r="AD6" s="739">
        <f>Elect!BL10</f>
        <v>60</v>
      </c>
      <c r="AE6" s="739">
        <f>Elect!BN10</f>
        <v>839</v>
      </c>
      <c r="AF6" s="739">
        <f>Elect!BP10</f>
        <v>139</v>
      </c>
      <c r="AG6" s="739">
        <f>Elect!BR10</f>
        <v>130</v>
      </c>
      <c r="AH6" s="811"/>
      <c r="AI6" s="739">
        <f>Water!C11</f>
        <v>104.39999999999999</v>
      </c>
      <c r="AJ6" s="739">
        <f>Water!E11</f>
        <v>171.1</v>
      </c>
      <c r="AK6" s="739">
        <f>Water!G11</f>
        <v>8.6999999999999993</v>
      </c>
      <c r="AL6" s="811"/>
      <c r="AM6" s="739">
        <f>Gas!C11</f>
        <v>1060</v>
      </c>
      <c r="AN6" s="739">
        <f>Gas!E11</f>
        <v>391.29999999999995</v>
      </c>
      <c r="AO6" s="739">
        <f>Gas!G11</f>
        <v>125</v>
      </c>
      <c r="AP6" s="746">
        <f>Elect!BT10</f>
        <v>216</v>
      </c>
    </row>
    <row r="7" spans="1:42" ht="12.75" customHeight="1">
      <c r="A7" s="753" t="s">
        <v>11</v>
      </c>
      <c r="B7" s="730">
        <f t="shared" si="0"/>
        <v>6</v>
      </c>
      <c r="C7" s="772">
        <v>2</v>
      </c>
      <c r="D7" s="752">
        <v>2022</v>
      </c>
      <c r="E7" s="811"/>
      <c r="F7" s="739">
        <f>Elect!J11</f>
        <v>6703</v>
      </c>
      <c r="G7" s="739">
        <f>Elect!K11</f>
        <v>4233</v>
      </c>
      <c r="H7" s="739">
        <f>Elect!Q11</f>
        <v>360</v>
      </c>
      <c r="I7" s="739">
        <f>Elect!S11</f>
        <v>143</v>
      </c>
      <c r="J7" s="739">
        <f>Elect!U11</f>
        <v>256</v>
      </c>
      <c r="K7" s="739">
        <f>Elect!W11</f>
        <v>1103.46</v>
      </c>
      <c r="L7" s="739">
        <f>Elect!Y11</f>
        <v>0</v>
      </c>
      <c r="M7" s="739">
        <f>Elect!AA11</f>
        <v>0</v>
      </c>
      <c r="N7" s="739">
        <f>Elect!AC11</f>
        <v>0</v>
      </c>
      <c r="O7" s="739">
        <f>Elect!AE11</f>
        <v>13.25</v>
      </c>
      <c r="P7" s="739">
        <f>Elect!AG11</f>
        <v>12.72</v>
      </c>
      <c r="Q7" s="739">
        <f>Elect!AI11</f>
        <v>417.11</v>
      </c>
      <c r="R7" s="739">
        <f>Elect!AK11</f>
        <v>1998.63</v>
      </c>
      <c r="S7" s="739">
        <f>Elect!AM11</f>
        <v>156.88</v>
      </c>
      <c r="T7" s="739">
        <f>Elect!AP11</f>
        <v>4.1625000000000005</v>
      </c>
      <c r="U7" s="739">
        <f>Elect!AR11</f>
        <v>315</v>
      </c>
      <c r="V7" s="739">
        <f>Elect!AT11</f>
        <v>167</v>
      </c>
      <c r="W7" s="739">
        <f>Elect!AV11</f>
        <v>43</v>
      </c>
      <c r="X7" s="739">
        <f>Elect!AX11</f>
        <v>578</v>
      </c>
      <c r="Y7" s="739">
        <f>Elect!AZ11</f>
        <v>6</v>
      </c>
      <c r="Z7" s="739">
        <f>Elect!BB11</f>
        <v>4215</v>
      </c>
      <c r="AA7" s="739">
        <f>Elect!BD11</f>
        <v>281</v>
      </c>
      <c r="AB7" s="739">
        <f>Elect!BF11</f>
        <v>77</v>
      </c>
      <c r="AC7" s="739">
        <f>Elect!BH11</f>
        <v>4841.7</v>
      </c>
      <c r="AD7" s="739">
        <f>Elect!BL11</f>
        <v>61</v>
      </c>
      <c r="AE7" s="739">
        <f>Elect!BN11</f>
        <v>848</v>
      </c>
      <c r="AF7" s="739">
        <f>Elect!BP11</f>
        <v>126</v>
      </c>
      <c r="AG7" s="739">
        <f>Elect!BR11</f>
        <v>132</v>
      </c>
      <c r="AH7" s="811"/>
      <c r="AI7" s="739">
        <f>Water!C12</f>
        <v>104.39999999999999</v>
      </c>
      <c r="AJ7" s="739">
        <f>Water!E12</f>
        <v>171.1</v>
      </c>
      <c r="AK7" s="739">
        <f>Water!G12</f>
        <v>8.6999999999999993</v>
      </c>
      <c r="AL7" s="811"/>
      <c r="AM7" s="739">
        <f>Gas!C12</f>
        <v>1060</v>
      </c>
      <c r="AN7" s="739">
        <f>Gas!E12</f>
        <v>391.29999999999995</v>
      </c>
      <c r="AO7" s="739">
        <f>Gas!G12</f>
        <v>125</v>
      </c>
      <c r="AP7" s="746">
        <f>Elect!BT11</f>
        <v>198</v>
      </c>
    </row>
    <row r="8" spans="1:42" ht="12.75" customHeight="1">
      <c r="A8" s="753" t="s">
        <v>11</v>
      </c>
      <c r="B8" s="730">
        <f t="shared" si="0"/>
        <v>7</v>
      </c>
      <c r="C8" s="772">
        <v>2</v>
      </c>
      <c r="D8" s="752">
        <v>2022</v>
      </c>
      <c r="E8" s="811"/>
      <c r="F8" s="739">
        <f>Elect!J12</f>
        <v>6377</v>
      </c>
      <c r="G8" s="739">
        <f>Elect!K12</f>
        <v>4224</v>
      </c>
      <c r="H8" s="739">
        <f>Elect!Q12</f>
        <v>630</v>
      </c>
      <c r="I8" s="739">
        <f>Elect!S12</f>
        <v>139</v>
      </c>
      <c r="J8" s="739">
        <f>Elect!U12</f>
        <v>245</v>
      </c>
      <c r="K8" s="739">
        <f>Elect!W12</f>
        <v>1308.04</v>
      </c>
      <c r="L8" s="739">
        <f>Elect!Y12</f>
        <v>0</v>
      </c>
      <c r="M8" s="739">
        <f>Elect!AA12</f>
        <v>0</v>
      </c>
      <c r="N8" s="739">
        <f>Elect!AC12</f>
        <v>0</v>
      </c>
      <c r="O8" s="739">
        <f>Elect!AE12</f>
        <v>13.25</v>
      </c>
      <c r="P8" s="739">
        <f>Elect!AG12</f>
        <v>12.72</v>
      </c>
      <c r="Q8" s="739">
        <f>Elect!AI12</f>
        <v>400.15000000000003</v>
      </c>
      <c r="R8" s="739">
        <f>Elect!AK12</f>
        <v>2121.06</v>
      </c>
      <c r="S8" s="739">
        <f>Elect!AM12</f>
        <v>155.29000000000002</v>
      </c>
      <c r="T8" s="739">
        <f>Elect!AP12</f>
        <v>4.3875000000000002</v>
      </c>
      <c r="U8" s="739">
        <f>Elect!AR12</f>
        <v>339</v>
      </c>
      <c r="V8" s="739">
        <f>Elect!AT12</f>
        <v>120</v>
      </c>
      <c r="W8" s="739">
        <f>Elect!AV12</f>
        <v>44</v>
      </c>
      <c r="X8" s="739">
        <f>Elect!AX12</f>
        <v>579</v>
      </c>
      <c r="Y8" s="739">
        <f>Elect!AZ12</f>
        <v>6</v>
      </c>
      <c r="Z8" s="739">
        <f>Elect!BB12</f>
        <v>4124</v>
      </c>
      <c r="AA8" s="739">
        <f>Elect!BD12</f>
        <v>220</v>
      </c>
      <c r="AB8" s="739">
        <f>Elect!BF12</f>
        <v>34</v>
      </c>
      <c r="AC8" s="739">
        <f>Elect!BH12</f>
        <v>4675.8499999999995</v>
      </c>
      <c r="AD8" s="739">
        <f>Elect!BL12</f>
        <v>60</v>
      </c>
      <c r="AE8" s="739">
        <f>Elect!BN12</f>
        <v>848</v>
      </c>
      <c r="AF8" s="739">
        <f>Elect!BP12</f>
        <v>119</v>
      </c>
      <c r="AG8" s="739">
        <f>Elect!BR12</f>
        <v>124</v>
      </c>
      <c r="AH8" s="811"/>
      <c r="AI8" s="739">
        <f>Water!C13</f>
        <v>104.39999999999999</v>
      </c>
      <c r="AJ8" s="739">
        <f>Water!E13</f>
        <v>171.1</v>
      </c>
      <c r="AK8" s="739">
        <f>Water!G13</f>
        <v>8.6999999999999993</v>
      </c>
      <c r="AL8" s="811"/>
      <c r="AM8" s="739">
        <f>Gas!C13</f>
        <v>1060</v>
      </c>
      <c r="AN8" s="739">
        <f>Gas!E13</f>
        <v>391.29999999999995</v>
      </c>
      <c r="AO8" s="739">
        <f>Gas!G13</f>
        <v>125</v>
      </c>
      <c r="AP8" s="746">
        <f>Elect!BT12</f>
        <v>180</v>
      </c>
    </row>
    <row r="9" spans="1:42" ht="12.75" customHeight="1">
      <c r="A9" s="753" t="s">
        <v>11</v>
      </c>
      <c r="B9" s="730">
        <f t="shared" si="0"/>
        <v>8</v>
      </c>
      <c r="C9" s="772">
        <v>2</v>
      </c>
      <c r="D9" s="752">
        <v>2022</v>
      </c>
      <c r="E9" s="811"/>
      <c r="F9" s="739">
        <f>Elect!J13</f>
        <v>6377</v>
      </c>
      <c r="G9" s="739">
        <f>Elect!K13</f>
        <v>4454</v>
      </c>
      <c r="H9" s="739">
        <f>Elect!Q13</f>
        <v>540</v>
      </c>
      <c r="I9" s="739">
        <f>Elect!S13</f>
        <v>145</v>
      </c>
      <c r="J9" s="739">
        <f>Elect!U13</f>
        <v>262</v>
      </c>
      <c r="K9" s="739">
        <f>Elect!W13</f>
        <v>1417.75</v>
      </c>
      <c r="L9" s="739">
        <f>Elect!Y13</f>
        <v>0</v>
      </c>
      <c r="M9" s="739">
        <f>Elect!AA13</f>
        <v>0</v>
      </c>
      <c r="N9" s="739">
        <f>Elect!AC13</f>
        <v>0</v>
      </c>
      <c r="O9" s="739">
        <f>Elect!AE13</f>
        <v>15.370000000000001</v>
      </c>
      <c r="P9" s="739">
        <f>Elect!AG13</f>
        <v>15.370000000000001</v>
      </c>
      <c r="Q9" s="739">
        <f>Elect!AI13</f>
        <v>425.59000000000003</v>
      </c>
      <c r="R9" s="739">
        <f>Elect!AK13</f>
        <v>2145.9700000000003</v>
      </c>
      <c r="S9" s="739">
        <f>Elect!AM13</f>
        <v>164.3</v>
      </c>
      <c r="T9" s="739">
        <f>Elect!AP13</f>
        <v>4.95</v>
      </c>
      <c r="U9" s="739">
        <f>Elect!AR13</f>
        <v>358</v>
      </c>
      <c r="V9" s="739">
        <f>Elect!AT13</f>
        <v>150</v>
      </c>
      <c r="W9" s="739">
        <f>Elect!AV13</f>
        <v>46</v>
      </c>
      <c r="X9" s="739">
        <f>Elect!AX13</f>
        <v>619</v>
      </c>
      <c r="Y9" s="739">
        <f>Elect!AZ13</f>
        <v>6</v>
      </c>
      <c r="Z9" s="739">
        <f>Elect!BB13</f>
        <v>4735</v>
      </c>
      <c r="AA9" s="739">
        <f>Elect!BD13</f>
        <v>267</v>
      </c>
      <c r="AB9" s="739">
        <f>Elect!BF13</f>
        <v>34</v>
      </c>
      <c r="AC9" s="739">
        <f>Elect!BH13</f>
        <v>5543.2</v>
      </c>
      <c r="AD9" s="739">
        <f>Elect!BL13</f>
        <v>71</v>
      </c>
      <c r="AE9" s="739">
        <f>Elect!BN13</f>
        <v>1004</v>
      </c>
      <c r="AF9" s="739">
        <f>Elect!BP13</f>
        <v>140</v>
      </c>
      <c r="AG9" s="739">
        <f>Elect!BR13</f>
        <v>155</v>
      </c>
      <c r="AH9" s="811"/>
      <c r="AI9" s="739">
        <f>Water!C14</f>
        <v>104.39999999999999</v>
      </c>
      <c r="AJ9" s="739">
        <f>Water!E14</f>
        <v>185.6</v>
      </c>
      <c r="AK9" s="739">
        <f>Water!G14</f>
        <v>0</v>
      </c>
      <c r="AL9" s="811"/>
      <c r="AM9" s="739">
        <f>Gas!C14</f>
        <v>1060</v>
      </c>
      <c r="AN9" s="739">
        <f>Gas!E14</f>
        <v>391.29999999999995</v>
      </c>
      <c r="AO9" s="739">
        <f>Gas!G14</f>
        <v>125</v>
      </c>
      <c r="AP9" s="746">
        <f>Elect!BT13</f>
        <v>170</v>
      </c>
    </row>
    <row r="10" spans="1:42" ht="12.75" customHeight="1">
      <c r="A10" s="753" t="s">
        <v>11</v>
      </c>
      <c r="B10" s="730">
        <f t="shared" si="0"/>
        <v>9</v>
      </c>
      <c r="C10" s="772">
        <v>2</v>
      </c>
      <c r="D10" s="752">
        <v>2022</v>
      </c>
      <c r="E10" s="811"/>
      <c r="F10" s="739">
        <f>Elect!J14</f>
        <v>6885</v>
      </c>
      <c r="G10" s="739">
        <f>Elect!K14</f>
        <v>5180</v>
      </c>
      <c r="H10" s="739">
        <f>Elect!Q14</f>
        <v>600</v>
      </c>
      <c r="I10" s="739">
        <f>Elect!S14</f>
        <v>168</v>
      </c>
      <c r="J10" s="739">
        <f>Elect!U14</f>
        <v>298</v>
      </c>
      <c r="K10" s="739">
        <f>Elect!W14</f>
        <v>1298.5</v>
      </c>
      <c r="L10" s="739">
        <f>Elect!Y14</f>
        <v>0</v>
      </c>
      <c r="M10" s="739">
        <f>Elect!AA14</f>
        <v>0</v>
      </c>
      <c r="N10" s="739">
        <f>Elect!AC14</f>
        <v>0</v>
      </c>
      <c r="O10" s="739">
        <f>Elect!AE14</f>
        <v>14.31</v>
      </c>
      <c r="P10" s="739">
        <f>Elect!AG14</f>
        <v>13.780000000000001</v>
      </c>
      <c r="Q10" s="739">
        <f>Elect!AI14</f>
        <v>499.26000000000005</v>
      </c>
      <c r="R10" s="739">
        <f>Elect!AK14</f>
        <v>2422.63</v>
      </c>
      <c r="S10" s="739">
        <f>Elect!AM14</f>
        <v>187.62</v>
      </c>
      <c r="T10" s="739">
        <f>Elect!AP14</f>
        <v>4.3875000000000002</v>
      </c>
      <c r="U10" s="739">
        <f>Elect!AR14</f>
        <v>360</v>
      </c>
      <c r="V10" s="739">
        <f>Elect!AT14</f>
        <v>140</v>
      </c>
      <c r="W10" s="739">
        <f>Elect!AV14</f>
        <v>51</v>
      </c>
      <c r="X10" s="739">
        <f>Elect!AX14</f>
        <v>678</v>
      </c>
      <c r="Y10" s="739">
        <f>Elect!AZ14</f>
        <v>7</v>
      </c>
      <c r="Z10" s="739">
        <f>Elect!BB14</f>
        <v>3584</v>
      </c>
      <c r="AA10" s="739">
        <f>Elect!BD14</f>
        <v>217</v>
      </c>
      <c r="AB10" s="739">
        <f>Elect!BF14</f>
        <v>34</v>
      </c>
      <c r="AC10" s="739">
        <f>Elect!BH14</f>
        <v>5128.5</v>
      </c>
      <c r="AD10" s="739">
        <f>Elect!BL14</f>
        <v>63</v>
      </c>
      <c r="AE10" s="739">
        <f>Elect!BN14</f>
        <v>884</v>
      </c>
      <c r="AF10" s="739">
        <f>Elect!BP14</f>
        <v>126</v>
      </c>
      <c r="AG10" s="739">
        <f>Elect!BR14</f>
        <v>139</v>
      </c>
      <c r="AH10" s="811"/>
      <c r="AI10" s="739">
        <f>Water!C15</f>
        <v>104.39999999999999</v>
      </c>
      <c r="AJ10" s="739">
        <f>Water!E15</f>
        <v>127.6</v>
      </c>
      <c r="AK10" s="739">
        <f>Water!G15</f>
        <v>2.9</v>
      </c>
      <c r="AL10" s="811"/>
      <c r="AM10" s="739">
        <f>Gas!C15</f>
        <v>1060</v>
      </c>
      <c r="AN10" s="739">
        <f>Gas!E15</f>
        <v>391.29999999999995</v>
      </c>
      <c r="AO10" s="739">
        <f>Gas!G15</f>
        <v>125</v>
      </c>
      <c r="AP10" s="746">
        <f>Elect!BT14</f>
        <v>154</v>
      </c>
    </row>
    <row r="11" spans="1:42" ht="12.75" customHeight="1">
      <c r="A11" s="753" t="s">
        <v>11</v>
      </c>
      <c r="B11" s="730">
        <f t="shared" si="0"/>
        <v>10</v>
      </c>
      <c r="C11" s="772">
        <v>2</v>
      </c>
      <c r="D11" s="752">
        <v>2022</v>
      </c>
      <c r="E11" s="811"/>
      <c r="F11" s="739">
        <f>Elect!J15</f>
        <v>7165</v>
      </c>
      <c r="G11" s="739">
        <f>Elect!K15</f>
        <v>3454</v>
      </c>
      <c r="H11" s="739">
        <f>Elect!Q15</f>
        <v>570</v>
      </c>
      <c r="I11" s="739">
        <f>Elect!S15</f>
        <v>118</v>
      </c>
      <c r="J11" s="739">
        <f>Elect!U15</f>
        <v>207</v>
      </c>
      <c r="K11" s="739">
        <f>Elect!W15</f>
        <v>827.33</v>
      </c>
      <c r="L11" s="739">
        <f>Elect!Y15</f>
        <v>0</v>
      </c>
      <c r="M11" s="739">
        <f>Elect!AA15</f>
        <v>0</v>
      </c>
      <c r="N11" s="739">
        <f>Elect!AC15</f>
        <v>0</v>
      </c>
      <c r="O11" s="739">
        <f>Elect!AE15</f>
        <v>12.190000000000001</v>
      </c>
      <c r="P11" s="739">
        <f>Elect!AG15</f>
        <v>11.13</v>
      </c>
      <c r="Q11" s="739">
        <f>Elect!AI15</f>
        <v>305.28000000000003</v>
      </c>
      <c r="R11" s="739">
        <f>Elect!AK15</f>
        <v>1517.92</v>
      </c>
      <c r="S11" s="739">
        <f>Elect!AM15</f>
        <v>118.19000000000001</v>
      </c>
      <c r="T11" s="739">
        <f>Elect!AP15</f>
        <v>3.7124999999999999</v>
      </c>
      <c r="U11" s="739">
        <f>Elect!AR15</f>
        <v>322</v>
      </c>
      <c r="V11" s="739">
        <f>Elect!AT15</f>
        <v>113</v>
      </c>
      <c r="W11" s="739">
        <f>Elect!AV15</f>
        <v>32</v>
      </c>
      <c r="X11" s="739">
        <f>Elect!AX15</f>
        <v>443</v>
      </c>
      <c r="Y11" s="739">
        <f>Elect!AZ15</f>
        <v>5</v>
      </c>
      <c r="Z11" s="739">
        <f>Elect!BB15</f>
        <v>4266</v>
      </c>
      <c r="AA11" s="739">
        <f>Elect!BD15</f>
        <v>192</v>
      </c>
      <c r="AB11" s="739">
        <f>Elect!BF15</f>
        <v>34</v>
      </c>
      <c r="AC11" s="739">
        <f>Elect!BH15</f>
        <v>4372.3999999999996</v>
      </c>
      <c r="AD11" s="739">
        <f>Elect!BL15</f>
        <v>53</v>
      </c>
      <c r="AE11" s="739">
        <f>Elect!BN15</f>
        <v>744</v>
      </c>
      <c r="AF11" s="739">
        <f>Elect!BP15</f>
        <v>104</v>
      </c>
      <c r="AG11" s="739">
        <f>Elect!BR15</f>
        <v>116</v>
      </c>
      <c r="AH11" s="811"/>
      <c r="AI11" s="739">
        <f>Water!C16</f>
        <v>150.79999999999998</v>
      </c>
      <c r="AJ11" s="739">
        <f>Water!E16</f>
        <v>178.35</v>
      </c>
      <c r="AK11" s="739">
        <f>Water!G16</f>
        <v>0</v>
      </c>
      <c r="AL11" s="811"/>
      <c r="AM11" s="739">
        <f>Gas!C16</f>
        <v>1060</v>
      </c>
      <c r="AN11" s="739">
        <f>Gas!E16</f>
        <v>252.7</v>
      </c>
      <c r="AO11" s="739">
        <f>Gas!G16</f>
        <v>55</v>
      </c>
      <c r="AP11" s="746">
        <f>Elect!BT15</f>
        <v>195</v>
      </c>
    </row>
    <row r="12" spans="1:42" ht="12.75" customHeight="1">
      <c r="A12" s="753" t="s">
        <v>11</v>
      </c>
      <c r="B12" s="730">
        <f t="shared" si="0"/>
        <v>11</v>
      </c>
      <c r="C12" s="772">
        <v>2</v>
      </c>
      <c r="D12" s="752">
        <v>2022</v>
      </c>
      <c r="E12" s="811"/>
      <c r="F12" s="739">
        <f>Elect!J16</f>
        <v>7160</v>
      </c>
      <c r="G12" s="739">
        <f>Elect!K16</f>
        <v>4364</v>
      </c>
      <c r="H12" s="739">
        <f>Elect!Q16</f>
        <v>600</v>
      </c>
      <c r="I12" s="739">
        <f>Elect!S16</f>
        <v>145</v>
      </c>
      <c r="J12" s="739">
        <f>Elect!U16</f>
        <v>260</v>
      </c>
      <c r="K12" s="739">
        <f>Elect!W16</f>
        <v>1340.3700000000001</v>
      </c>
      <c r="L12" s="739">
        <f>Elect!Y16</f>
        <v>0</v>
      </c>
      <c r="M12" s="739">
        <f>Elect!AA16</f>
        <v>0</v>
      </c>
      <c r="N12" s="739">
        <f>Elect!AC16</f>
        <v>0</v>
      </c>
      <c r="O12" s="739">
        <f>Elect!AE16</f>
        <v>14.31</v>
      </c>
      <c r="P12" s="739">
        <f>Elect!AG16</f>
        <v>13.25</v>
      </c>
      <c r="Q12" s="739">
        <f>Elect!AI16</f>
        <v>430.89000000000004</v>
      </c>
      <c r="R12" s="739">
        <f>Elect!AK16</f>
        <v>2105.1600000000003</v>
      </c>
      <c r="S12" s="739">
        <f>Elect!AM16</f>
        <v>161.65</v>
      </c>
      <c r="T12" s="739">
        <f>Elect!AP16</f>
        <v>4.3875000000000002</v>
      </c>
      <c r="U12" s="739">
        <f>Elect!AR16</f>
        <v>333</v>
      </c>
      <c r="V12" s="739">
        <f>Elect!AT16</f>
        <v>101</v>
      </c>
      <c r="W12" s="739">
        <f>Elect!AV16</f>
        <v>38</v>
      </c>
      <c r="X12" s="739">
        <f>Elect!AX16</f>
        <v>586</v>
      </c>
      <c r="Y12" s="739">
        <f>Elect!AZ16</f>
        <v>6</v>
      </c>
      <c r="Z12" s="739">
        <f>Elect!BB16</f>
        <v>4687</v>
      </c>
      <c r="AA12" s="739">
        <f>Elect!BD16</f>
        <v>199</v>
      </c>
      <c r="AB12" s="739">
        <f>Elect!BF16</f>
        <v>34</v>
      </c>
      <c r="AC12" s="739">
        <f>Elect!BH16</f>
        <v>4898.1000000000004</v>
      </c>
      <c r="AD12" s="739">
        <f>Elect!BL16</f>
        <v>62</v>
      </c>
      <c r="AE12" s="739">
        <f>Elect!BN16</f>
        <v>840</v>
      </c>
      <c r="AF12" s="739">
        <f>Elect!BP16</f>
        <v>122</v>
      </c>
      <c r="AG12" s="739">
        <f>Elect!BR16</f>
        <v>144</v>
      </c>
      <c r="AH12" s="811"/>
      <c r="AI12" s="739">
        <f>Water!C17</f>
        <v>150.79999999999998</v>
      </c>
      <c r="AJ12" s="739">
        <f>Water!E17</f>
        <v>144.51666666668424</v>
      </c>
      <c r="AK12" s="739">
        <f>Water!G17</f>
        <v>0</v>
      </c>
      <c r="AL12" s="811"/>
      <c r="AM12" s="739">
        <f>Gas!C17</f>
        <v>1060</v>
      </c>
      <c r="AN12" s="739">
        <f>Gas!E17</f>
        <v>252.7</v>
      </c>
      <c r="AO12" s="739">
        <f>Gas!G17</f>
        <v>55</v>
      </c>
      <c r="AP12" s="746">
        <f>Elect!BT16</f>
        <v>209</v>
      </c>
    </row>
    <row r="13" spans="1:42" ht="12.75" customHeight="1">
      <c r="A13" s="753" t="s">
        <v>11</v>
      </c>
      <c r="B13" s="730">
        <f t="shared" si="0"/>
        <v>12</v>
      </c>
      <c r="C13" s="772">
        <v>2</v>
      </c>
      <c r="D13" s="752">
        <v>2022</v>
      </c>
      <c r="E13" s="811"/>
      <c r="F13" s="739">
        <f>Elect!J17</f>
        <v>6495</v>
      </c>
      <c r="G13" s="739">
        <f>Elect!K17</f>
        <v>3913</v>
      </c>
      <c r="H13" s="739">
        <f>Elect!Q17</f>
        <v>300</v>
      </c>
      <c r="I13" s="739">
        <f>Elect!S17</f>
        <v>135</v>
      </c>
      <c r="J13" s="739">
        <f>Elect!U17</f>
        <v>236</v>
      </c>
      <c r="K13" s="739">
        <f>Elect!W17</f>
        <v>1291.0800000000002</v>
      </c>
      <c r="L13" s="739">
        <f>Elect!Y17</f>
        <v>0</v>
      </c>
      <c r="M13" s="739">
        <f>Elect!AA17</f>
        <v>0</v>
      </c>
      <c r="N13" s="739">
        <f>Elect!AC17</f>
        <v>0</v>
      </c>
      <c r="O13" s="739">
        <f>Elect!AE17</f>
        <v>14.31</v>
      </c>
      <c r="P13" s="739">
        <f>Elect!AG17</f>
        <v>13.780000000000001</v>
      </c>
      <c r="Q13" s="739">
        <f>Elect!AI17</f>
        <v>378.95000000000005</v>
      </c>
      <c r="R13" s="739">
        <f>Elect!AK17</f>
        <v>1876.73</v>
      </c>
      <c r="S13" s="739">
        <f>Elect!AM17</f>
        <v>144.16</v>
      </c>
      <c r="T13" s="739">
        <f>Elect!AP17</f>
        <v>4.1625000000000005</v>
      </c>
      <c r="U13" s="739">
        <f>Elect!AR17</f>
        <v>338</v>
      </c>
      <c r="V13" s="739">
        <f>Elect!AT17</f>
        <v>128</v>
      </c>
      <c r="W13" s="739">
        <f>Elect!AV17</f>
        <v>37</v>
      </c>
      <c r="X13" s="739">
        <f>Elect!AX17</f>
        <v>540</v>
      </c>
      <c r="Y13" s="739">
        <f>Elect!AZ17</f>
        <v>6</v>
      </c>
      <c r="Z13" s="739">
        <f>Elect!BB17</f>
        <v>4282</v>
      </c>
      <c r="AA13" s="739">
        <f>Elect!BD17</f>
        <v>201</v>
      </c>
      <c r="AB13" s="739">
        <f>Elect!BF17</f>
        <v>34</v>
      </c>
      <c r="AC13" s="739">
        <f>Elect!BH17</f>
        <v>4682.25</v>
      </c>
      <c r="AD13" s="739">
        <f>Elect!BL17</f>
        <v>180</v>
      </c>
      <c r="AE13" s="739">
        <f>Elect!BN17</f>
        <v>799</v>
      </c>
      <c r="AF13" s="739">
        <f>Elect!BP17</f>
        <v>116</v>
      </c>
      <c r="AG13" s="739">
        <f>Elect!BR17</f>
        <v>134</v>
      </c>
      <c r="AH13" s="811"/>
      <c r="AI13" s="739">
        <f>Water!C18</f>
        <v>150.79999999999998</v>
      </c>
      <c r="AJ13" s="739">
        <f>Water!E18</f>
        <v>152.97499999999999</v>
      </c>
      <c r="AK13" s="739">
        <f>Water!G18</f>
        <v>0</v>
      </c>
      <c r="AL13" s="811"/>
      <c r="AM13" s="739">
        <f>Gas!C18</f>
        <v>1060</v>
      </c>
      <c r="AN13" s="739">
        <f>Gas!E18</f>
        <v>252.7</v>
      </c>
      <c r="AO13" s="739">
        <f>Gas!G18</f>
        <v>55</v>
      </c>
      <c r="AP13" s="746">
        <f>Elect!BT17</f>
        <v>192</v>
      </c>
    </row>
    <row r="14" spans="1:42" ht="12.75" customHeight="1">
      <c r="A14" s="753" t="s">
        <v>11</v>
      </c>
      <c r="B14" s="730">
        <f t="shared" si="0"/>
        <v>13</v>
      </c>
      <c r="C14" s="772">
        <v>2</v>
      </c>
      <c r="D14" s="752">
        <v>2022</v>
      </c>
      <c r="E14" s="811"/>
      <c r="F14" s="739">
        <f>Elect!J18</f>
        <v>7359</v>
      </c>
      <c r="G14" s="739">
        <f>Elect!K18</f>
        <v>5567</v>
      </c>
      <c r="H14" s="739">
        <f>Elect!Q18</f>
        <v>690</v>
      </c>
      <c r="I14" s="739">
        <f>Elect!S18</f>
        <v>146</v>
      </c>
      <c r="J14" s="739">
        <f>Elect!U18</f>
        <v>274</v>
      </c>
      <c r="K14" s="739">
        <f>Elect!W18</f>
        <v>1583.1100000000001</v>
      </c>
      <c r="L14" s="739">
        <f>Elect!Y18</f>
        <v>38.690000000000005</v>
      </c>
      <c r="M14" s="739">
        <f>Elect!AA18</f>
        <v>29.68</v>
      </c>
      <c r="N14" s="739">
        <f>Elect!AC18</f>
        <v>59.36</v>
      </c>
      <c r="O14" s="739">
        <f>Elect!AE18</f>
        <v>11.66</v>
      </c>
      <c r="P14" s="739">
        <f>Elect!AG18</f>
        <v>11.66</v>
      </c>
      <c r="Q14" s="739">
        <f>Elect!AI18</f>
        <v>526.29000000000008</v>
      </c>
      <c r="R14" s="739">
        <f>Elect!AK18</f>
        <v>2657.42</v>
      </c>
      <c r="S14" s="739">
        <f>Elect!AM18</f>
        <v>156.35</v>
      </c>
      <c r="T14" s="739">
        <f>Elect!AP18</f>
        <v>53.550000000000004</v>
      </c>
      <c r="U14" s="739">
        <f>Elect!AR18</f>
        <v>327</v>
      </c>
      <c r="V14" s="739">
        <f>Elect!AT18</f>
        <v>162</v>
      </c>
      <c r="W14" s="739">
        <f>Elect!AV18</f>
        <v>53</v>
      </c>
      <c r="X14" s="739">
        <f>Elect!AX18</f>
        <v>722</v>
      </c>
      <c r="Y14" s="739">
        <f>Elect!AZ18</f>
        <v>6</v>
      </c>
      <c r="Z14" s="739">
        <f>Elect!BB18</f>
        <v>5435</v>
      </c>
      <c r="AA14" s="739">
        <f>Elect!BD18</f>
        <v>242</v>
      </c>
      <c r="AB14" s="739">
        <f>Elect!BF18</f>
        <v>34</v>
      </c>
      <c r="AC14" s="739">
        <f>Elect!BH18</f>
        <v>5334.2</v>
      </c>
      <c r="AD14" s="739">
        <f>Elect!BL18</f>
        <v>280</v>
      </c>
      <c r="AE14" s="739">
        <f>Elect!BN18</f>
        <v>823</v>
      </c>
      <c r="AF14" s="739">
        <f>Elect!BP18</f>
        <v>141</v>
      </c>
      <c r="AG14" s="739">
        <f>Elect!BR18</f>
        <v>146</v>
      </c>
      <c r="AH14" s="811"/>
      <c r="AI14" s="739">
        <f>Water!C19</f>
        <v>150.79999999999998</v>
      </c>
      <c r="AJ14" s="739">
        <f>Water!E19</f>
        <v>152.97499999999999</v>
      </c>
      <c r="AK14" s="739">
        <f>Water!G19</f>
        <v>0</v>
      </c>
      <c r="AL14" s="811"/>
      <c r="AM14" s="739">
        <f>Gas!C19</f>
        <v>1060</v>
      </c>
      <c r="AN14" s="739">
        <f>Gas!E19</f>
        <v>252.7</v>
      </c>
      <c r="AO14" s="739">
        <f>Gas!G19</f>
        <v>55</v>
      </c>
      <c r="AP14" s="746">
        <f>Elect!BT18</f>
        <v>228</v>
      </c>
    </row>
    <row r="15" spans="1:42" ht="12.75" customHeight="1">
      <c r="A15" s="753" t="s">
        <v>11</v>
      </c>
      <c r="B15" s="730">
        <f t="shared" si="0"/>
        <v>14</v>
      </c>
      <c r="C15" s="772">
        <v>2</v>
      </c>
      <c r="D15" s="752">
        <v>2022</v>
      </c>
      <c r="E15" s="811"/>
      <c r="F15" s="739">
        <f>Elect!J19</f>
        <v>6826</v>
      </c>
      <c r="G15" s="739">
        <f>Elect!K19</f>
        <v>3170</v>
      </c>
      <c r="H15" s="739">
        <f>Elect!Q19</f>
        <v>510</v>
      </c>
      <c r="I15" s="739">
        <f>Elect!S19</f>
        <v>140</v>
      </c>
      <c r="J15" s="739">
        <f>Elect!U19</f>
        <v>252</v>
      </c>
      <c r="K15" s="739">
        <f>Elect!W19</f>
        <v>920.08</v>
      </c>
      <c r="L15" s="739">
        <f>Elect!Y19</f>
        <v>0</v>
      </c>
      <c r="M15" s="739">
        <f>Elect!AA19</f>
        <v>0</v>
      </c>
      <c r="N15" s="739">
        <f>Elect!AC19</f>
        <v>0</v>
      </c>
      <c r="O15" s="739">
        <f>Elect!AE19</f>
        <v>13.25</v>
      </c>
      <c r="P15" s="739">
        <f>Elect!AG19</f>
        <v>12.72</v>
      </c>
      <c r="Q15" s="739">
        <f>Elect!AI19</f>
        <v>281.96000000000004</v>
      </c>
      <c r="R15" s="739">
        <f>Elect!AK19</f>
        <v>1299.5600000000002</v>
      </c>
      <c r="S15" s="739">
        <f>Elect!AM19</f>
        <v>107.59</v>
      </c>
      <c r="T15" s="739">
        <f>Elect!AP19</f>
        <v>96.412500000000009</v>
      </c>
      <c r="U15" s="739">
        <f>Elect!AR19</f>
        <v>302</v>
      </c>
      <c r="V15" s="739">
        <f>Elect!AT19</f>
        <v>131</v>
      </c>
      <c r="W15" s="739">
        <f>Elect!AV19</f>
        <v>33</v>
      </c>
      <c r="X15" s="739">
        <f>Elect!AX19</f>
        <v>436</v>
      </c>
      <c r="Y15" s="739">
        <f>Elect!AZ19</f>
        <v>6</v>
      </c>
      <c r="Z15" s="739">
        <f>Elect!BB19</f>
        <v>3370</v>
      </c>
      <c r="AA15" s="739">
        <f>Elect!BD19</f>
        <v>268</v>
      </c>
      <c r="AB15" s="739">
        <f>Elect!BF19</f>
        <v>34</v>
      </c>
      <c r="AC15" s="739">
        <f>Elect!BH19</f>
        <v>5418.7</v>
      </c>
      <c r="AD15" s="739">
        <f>Elect!BL19</f>
        <v>295</v>
      </c>
      <c r="AE15" s="739">
        <f>Elect!BN19</f>
        <v>829</v>
      </c>
      <c r="AF15" s="739">
        <f>Elect!BP19</f>
        <v>145</v>
      </c>
      <c r="AG15" s="739">
        <f>Elect!BR19</f>
        <v>144</v>
      </c>
      <c r="AH15" s="811"/>
      <c r="AI15" s="739">
        <f>Water!C20</f>
        <v>150.79999999999998</v>
      </c>
      <c r="AJ15" s="739">
        <f>Water!E20</f>
        <v>152.97499999999999</v>
      </c>
      <c r="AK15" s="739">
        <f>Water!G20</f>
        <v>0</v>
      </c>
      <c r="AL15" s="811"/>
      <c r="AM15" s="739">
        <f>Gas!C20</f>
        <v>1060</v>
      </c>
      <c r="AN15" s="739">
        <f>Gas!E20</f>
        <v>252.7</v>
      </c>
      <c r="AO15" s="739">
        <f>Gas!G20</f>
        <v>55</v>
      </c>
      <c r="AP15" s="746">
        <f>Elect!BT19</f>
        <v>230</v>
      </c>
    </row>
    <row r="16" spans="1:42" ht="12.75" customHeight="1">
      <c r="A16" s="753" t="s">
        <v>11</v>
      </c>
      <c r="B16" s="730">
        <f t="shared" si="0"/>
        <v>15</v>
      </c>
      <c r="C16" s="772">
        <v>2</v>
      </c>
      <c r="D16" s="752">
        <v>2022</v>
      </c>
      <c r="E16" s="811"/>
      <c r="F16" s="739">
        <f>Elect!J20</f>
        <v>7887</v>
      </c>
      <c r="G16" s="739">
        <f>Elect!K20</f>
        <v>4907</v>
      </c>
      <c r="H16" s="739">
        <f>Elect!Q20</f>
        <v>330</v>
      </c>
      <c r="I16" s="739">
        <f>Elect!S20</f>
        <v>166</v>
      </c>
      <c r="J16" s="739">
        <f>Elect!U20</f>
        <v>303</v>
      </c>
      <c r="K16" s="739">
        <f>Elect!W20</f>
        <v>1542.8300000000002</v>
      </c>
      <c r="L16" s="739">
        <f>Elect!Y20</f>
        <v>0</v>
      </c>
      <c r="M16" s="739">
        <f>Elect!AA20</f>
        <v>0</v>
      </c>
      <c r="N16" s="739">
        <f>Elect!AC20</f>
        <v>0</v>
      </c>
      <c r="O16" s="739">
        <f>Elect!AE20</f>
        <v>15.370000000000001</v>
      </c>
      <c r="P16" s="739">
        <f>Elect!AG20</f>
        <v>14.84</v>
      </c>
      <c r="Q16" s="739">
        <f>Elect!AI20</f>
        <v>444.14000000000004</v>
      </c>
      <c r="R16" s="739">
        <f>Elect!AK20</f>
        <v>2203.7400000000002</v>
      </c>
      <c r="S16" s="739">
        <f>Elect!AM20</f>
        <v>170.66</v>
      </c>
      <c r="T16" s="739">
        <f>Elect!AP20</f>
        <v>82.462500000000006</v>
      </c>
      <c r="U16" s="739">
        <f>Elect!AR20</f>
        <v>331</v>
      </c>
      <c r="V16" s="739">
        <f>Elect!AT20</f>
        <v>131</v>
      </c>
      <c r="W16" s="739">
        <f>Elect!AV20</f>
        <v>48</v>
      </c>
      <c r="X16" s="739">
        <f>Elect!AX20</f>
        <v>610</v>
      </c>
      <c r="Y16" s="739">
        <f>Elect!AZ20</f>
        <v>7</v>
      </c>
      <c r="Z16" s="739">
        <f>Elect!BB20</f>
        <v>5414</v>
      </c>
      <c r="AA16" s="739">
        <f>Elect!BD20</f>
        <v>246</v>
      </c>
      <c r="AB16" s="739">
        <f>Elect!BF20</f>
        <v>34</v>
      </c>
      <c r="AC16" s="739">
        <f>Elect!BH20</f>
        <v>5031.9500000000007</v>
      </c>
      <c r="AD16" s="739">
        <f>Elect!BL20</f>
        <v>285</v>
      </c>
      <c r="AE16" s="739">
        <f>Elect!BN20</f>
        <v>752</v>
      </c>
      <c r="AF16" s="739">
        <f>Elect!BP20</f>
        <v>137</v>
      </c>
      <c r="AG16" s="739">
        <f>Elect!BR20</f>
        <v>138</v>
      </c>
      <c r="AH16" s="811"/>
      <c r="AI16" s="739">
        <f>Water!C21</f>
        <v>150.79999999999998</v>
      </c>
      <c r="AJ16" s="739">
        <f>Water!E21</f>
        <v>152.97499999999999</v>
      </c>
      <c r="AK16" s="739">
        <f>Water!G21</f>
        <v>0</v>
      </c>
      <c r="AL16" s="811"/>
      <c r="AM16" s="739">
        <f>Gas!C21</f>
        <v>1060</v>
      </c>
      <c r="AN16" s="739">
        <f>Gas!E21</f>
        <v>838.59999999999991</v>
      </c>
      <c r="AO16" s="739">
        <f>Gas!G21</f>
        <v>155</v>
      </c>
      <c r="AP16" s="746">
        <f>Elect!BT20</f>
        <v>235</v>
      </c>
    </row>
    <row r="17" spans="1:42" ht="12.75" customHeight="1">
      <c r="A17" s="753" t="s">
        <v>11</v>
      </c>
      <c r="B17" s="730">
        <f t="shared" si="0"/>
        <v>16</v>
      </c>
      <c r="C17" s="772">
        <v>2</v>
      </c>
      <c r="D17" s="752">
        <v>2022</v>
      </c>
      <c r="E17" s="811"/>
      <c r="F17" s="739">
        <f>Elect!J21</f>
        <v>6514</v>
      </c>
      <c r="G17" s="739">
        <f>Elect!K21</f>
        <v>4061</v>
      </c>
      <c r="H17" s="739">
        <f>Elect!Q21</f>
        <v>600</v>
      </c>
      <c r="I17" s="739">
        <f>Elect!S21</f>
        <v>117</v>
      </c>
      <c r="J17" s="739">
        <f>Elect!U21</f>
        <v>212</v>
      </c>
      <c r="K17" s="739">
        <f>Elect!W21</f>
        <v>1142.68</v>
      </c>
      <c r="L17" s="739">
        <f>Elect!Y21</f>
        <v>130.38</v>
      </c>
      <c r="M17" s="739">
        <f>Elect!AA21</f>
        <v>0</v>
      </c>
      <c r="N17" s="739">
        <f>Elect!AC21</f>
        <v>0</v>
      </c>
      <c r="O17" s="739">
        <f>Elect!AE21</f>
        <v>12.72</v>
      </c>
      <c r="P17" s="739">
        <f>Elect!AG21</f>
        <v>12.72</v>
      </c>
      <c r="Q17" s="739">
        <f>Elect!AI21</f>
        <v>0</v>
      </c>
      <c r="R17" s="739">
        <f>Elect!AK21</f>
        <v>1714.5500000000002</v>
      </c>
      <c r="S17" s="739">
        <f>Elect!AM21</f>
        <v>139.92000000000002</v>
      </c>
      <c r="T17" s="739">
        <f>Elect!AP21</f>
        <v>76.5</v>
      </c>
      <c r="U17" s="739">
        <f>Elect!AR21</f>
        <v>324</v>
      </c>
      <c r="V17" s="739">
        <f>Elect!AT21</f>
        <v>131</v>
      </c>
      <c r="W17" s="739">
        <f>Elect!AV21</f>
        <v>38</v>
      </c>
      <c r="X17" s="739">
        <f>Elect!AX21</f>
        <v>524</v>
      </c>
      <c r="Y17" s="739">
        <f>Elect!AZ21</f>
        <v>5</v>
      </c>
      <c r="Z17" s="739">
        <f>Elect!BB21</f>
        <v>4364</v>
      </c>
      <c r="AA17" s="739">
        <f>Elect!BD21</f>
        <v>236</v>
      </c>
      <c r="AB17" s="739">
        <f>Elect!BF21</f>
        <v>34</v>
      </c>
      <c r="AC17" s="739">
        <f>Elect!BH21</f>
        <v>4720.95</v>
      </c>
      <c r="AD17" s="739">
        <f>Elect!BL21</f>
        <v>262</v>
      </c>
      <c r="AE17" s="739">
        <f>Elect!BN21</f>
        <v>690</v>
      </c>
      <c r="AF17" s="739">
        <f>Elect!BP21</f>
        <v>119</v>
      </c>
      <c r="AG17" s="739">
        <f>Elect!BR21</f>
        <v>143</v>
      </c>
      <c r="AH17" s="811"/>
      <c r="AI17" s="739">
        <f>Water!C22</f>
        <v>17.399999999999999</v>
      </c>
      <c r="AJ17" s="739">
        <f>Water!E22</f>
        <v>289.03333333331574</v>
      </c>
      <c r="AK17" s="739">
        <f>Water!G22</f>
        <v>0</v>
      </c>
      <c r="AL17" s="811"/>
      <c r="AM17" s="739">
        <f>Gas!C22</f>
        <v>1060</v>
      </c>
      <c r="AN17" s="739">
        <f>Gas!E22</f>
        <v>382.9</v>
      </c>
      <c r="AO17" s="739">
        <f>Gas!G22</f>
        <v>171</v>
      </c>
      <c r="AP17" s="746">
        <f>Elect!BT21</f>
        <v>248</v>
      </c>
    </row>
    <row r="18" spans="1:42" ht="12.75" customHeight="1">
      <c r="A18" s="753" t="s">
        <v>11</v>
      </c>
      <c r="B18" s="730">
        <f t="shared" si="0"/>
        <v>17</v>
      </c>
      <c r="C18" s="772">
        <v>2</v>
      </c>
      <c r="D18" s="752">
        <v>2022</v>
      </c>
      <c r="E18" s="811"/>
      <c r="F18" s="739">
        <f>Elect!J22</f>
        <v>7171</v>
      </c>
      <c r="G18" s="739">
        <f>Elect!K22</f>
        <v>4421</v>
      </c>
      <c r="H18" s="739">
        <f>Elect!Q22</f>
        <v>570</v>
      </c>
      <c r="I18" s="739">
        <f>Elect!S22</f>
        <v>138</v>
      </c>
      <c r="J18" s="739">
        <f>Elect!U22</f>
        <v>252</v>
      </c>
      <c r="K18" s="739">
        <f>Elect!W22</f>
        <v>1691.76</v>
      </c>
      <c r="L18" s="739">
        <f>Elect!Y22</f>
        <v>0</v>
      </c>
      <c r="M18" s="739">
        <f>Elect!AA22</f>
        <v>0</v>
      </c>
      <c r="N18" s="739">
        <f>Elect!AC22</f>
        <v>0</v>
      </c>
      <c r="O18" s="739">
        <f>Elect!AE22</f>
        <v>9.5400000000000009</v>
      </c>
      <c r="P18" s="739">
        <f>Elect!AG22</f>
        <v>9.01</v>
      </c>
      <c r="Q18" s="739">
        <f>Elect!AI22</f>
        <v>0</v>
      </c>
      <c r="R18" s="739">
        <f>Elect!AK22</f>
        <v>2039.44</v>
      </c>
      <c r="S18" s="739">
        <f>Elect!AM22</f>
        <v>156.35</v>
      </c>
      <c r="T18" s="739">
        <f>Elect!AP22</f>
        <v>55.575000000000003</v>
      </c>
      <c r="U18" s="739">
        <f>Elect!AR22</f>
        <v>336</v>
      </c>
      <c r="V18" s="739">
        <f>Elect!AT22</f>
        <v>151</v>
      </c>
      <c r="W18" s="739">
        <f>Elect!AV22</f>
        <v>41</v>
      </c>
      <c r="X18" s="739">
        <f>Elect!AX22</f>
        <v>587</v>
      </c>
      <c r="Y18" s="739">
        <f>Elect!AZ22</f>
        <v>5</v>
      </c>
      <c r="Z18" s="739">
        <f>Elect!BB22</f>
        <v>3978</v>
      </c>
      <c r="AA18" s="739">
        <f>Elect!BD22</f>
        <v>238</v>
      </c>
      <c r="AB18" s="739">
        <f>Elect!BF22</f>
        <v>255</v>
      </c>
      <c r="AC18" s="739">
        <f>Elect!BH22</f>
        <v>4722.05</v>
      </c>
      <c r="AD18" s="739">
        <f>Elect!BL22</f>
        <v>253</v>
      </c>
      <c r="AE18" s="739">
        <f>Elect!BN22</f>
        <v>679</v>
      </c>
      <c r="AF18" s="739">
        <f>Elect!BP22</f>
        <v>112</v>
      </c>
      <c r="AG18" s="739">
        <f>Elect!BR22</f>
        <v>123</v>
      </c>
      <c r="AH18" s="811"/>
      <c r="AI18" s="739">
        <f>Water!C23</f>
        <v>133.39999999999998</v>
      </c>
      <c r="AJ18" s="739">
        <f>Water!E23</f>
        <v>174</v>
      </c>
      <c r="AK18" s="739">
        <f>Water!G23</f>
        <v>3.4799999999999995</v>
      </c>
      <c r="AL18" s="811"/>
      <c r="AM18" s="739">
        <f>Gas!C23</f>
        <v>1060</v>
      </c>
      <c r="AN18" s="739">
        <f>Gas!E23</f>
        <v>419.29999999999995</v>
      </c>
      <c r="AO18" s="739">
        <f>Gas!G23</f>
        <v>96</v>
      </c>
      <c r="AP18" s="746">
        <f>Elect!BT22</f>
        <v>251</v>
      </c>
    </row>
    <row r="19" spans="1:42" ht="12.75" customHeight="1">
      <c r="A19" s="753" t="s">
        <v>11</v>
      </c>
      <c r="B19" s="730">
        <f t="shared" si="0"/>
        <v>18</v>
      </c>
      <c r="C19" s="772">
        <v>2</v>
      </c>
      <c r="D19" s="752">
        <v>2022</v>
      </c>
      <c r="E19" s="811"/>
      <c r="F19" s="739">
        <f>Elect!J23</f>
        <v>6827</v>
      </c>
      <c r="G19" s="739">
        <f>Elect!K23</f>
        <v>4237</v>
      </c>
      <c r="H19" s="739">
        <f>Elect!Q23</f>
        <v>600</v>
      </c>
      <c r="I19" s="739">
        <f>Elect!S23</f>
        <v>162</v>
      </c>
      <c r="J19" s="739">
        <f>Elect!U23</f>
        <v>295</v>
      </c>
      <c r="K19" s="739">
        <f>Elect!W23</f>
        <v>1552.9</v>
      </c>
      <c r="L19" s="739">
        <f>Elect!Y23</f>
        <v>0</v>
      </c>
      <c r="M19" s="739">
        <f>Elect!AA23</f>
        <v>0</v>
      </c>
      <c r="N19" s="739">
        <f>Elect!AC23</f>
        <v>0</v>
      </c>
      <c r="O19" s="739">
        <f>Elect!AE23</f>
        <v>13.25</v>
      </c>
      <c r="P19" s="739">
        <f>Elect!AG23</f>
        <v>13.780000000000001</v>
      </c>
      <c r="Q19" s="739">
        <f>Elect!AI23</f>
        <v>882.45</v>
      </c>
      <c r="R19" s="739">
        <f>Elect!AK23</f>
        <v>1981.14</v>
      </c>
      <c r="S19" s="739">
        <f>Elect!AM23</f>
        <v>153.70000000000002</v>
      </c>
      <c r="T19" s="739">
        <f>Elect!AP23</f>
        <v>4.6124999999999998</v>
      </c>
      <c r="U19" s="739">
        <f>Elect!AR23</f>
        <v>335</v>
      </c>
      <c r="V19" s="739">
        <f>Elect!AT23</f>
        <v>151</v>
      </c>
      <c r="W19" s="739">
        <f>Elect!AV23</f>
        <v>36</v>
      </c>
      <c r="X19" s="739">
        <f>Elect!AX23</f>
        <v>577</v>
      </c>
      <c r="Y19" s="739">
        <f>Elect!AZ23</f>
        <v>7</v>
      </c>
      <c r="Z19" s="739">
        <f>Elect!BB23</f>
        <v>3645</v>
      </c>
      <c r="AA19" s="739">
        <f>Elect!BD23</f>
        <v>297</v>
      </c>
      <c r="AB19" s="739">
        <f>Elect!BF23</f>
        <v>53</v>
      </c>
      <c r="AC19" s="739">
        <f>Elect!BH23</f>
        <v>5319.4500000000007</v>
      </c>
      <c r="AD19" s="739">
        <f>Elect!BL23</f>
        <v>298</v>
      </c>
      <c r="AE19" s="739">
        <f>Elect!BN23</f>
        <v>767</v>
      </c>
      <c r="AF19" s="739">
        <f>Elect!BP23</f>
        <v>132</v>
      </c>
      <c r="AG19" s="739">
        <f>Elect!BR23</f>
        <v>143</v>
      </c>
      <c r="AH19" s="811"/>
      <c r="AI19" s="739">
        <f>Water!C24</f>
        <v>139.19999999999999</v>
      </c>
      <c r="AJ19" s="739">
        <f>Water!E24</f>
        <v>174</v>
      </c>
      <c r="AK19" s="739">
        <f>Water!G24</f>
        <v>0</v>
      </c>
      <c r="AL19" s="811"/>
      <c r="AM19" s="739">
        <f>Gas!C24</f>
        <v>1060</v>
      </c>
      <c r="AN19" s="739">
        <f>Gas!E24</f>
        <v>316.39999999999998</v>
      </c>
      <c r="AO19" s="739">
        <f>Gas!G24</f>
        <v>87</v>
      </c>
      <c r="AP19" s="746">
        <f>Elect!BT23</f>
        <v>251</v>
      </c>
    </row>
    <row r="20" spans="1:42" ht="12.75" customHeight="1">
      <c r="A20" s="753" t="s">
        <v>11</v>
      </c>
      <c r="B20" s="730">
        <f t="shared" si="0"/>
        <v>19</v>
      </c>
      <c r="C20" s="772">
        <v>2</v>
      </c>
      <c r="D20" s="752">
        <v>2022</v>
      </c>
      <c r="E20" s="811"/>
      <c r="F20" s="739">
        <f>Elect!J24</f>
        <v>6866</v>
      </c>
      <c r="G20" s="739">
        <f>Elect!K24</f>
        <v>4184</v>
      </c>
      <c r="H20" s="739">
        <f>Elect!Q24</f>
        <v>300</v>
      </c>
      <c r="I20" s="739">
        <f>Elect!S24</f>
        <v>126</v>
      </c>
      <c r="J20" s="739">
        <f>Elect!U24</f>
        <v>232</v>
      </c>
      <c r="K20" s="739">
        <f>Elect!W24</f>
        <v>1276.77</v>
      </c>
      <c r="L20" s="739">
        <f>Elect!Y24</f>
        <v>0</v>
      </c>
      <c r="M20" s="739">
        <f>Elect!AA24</f>
        <v>0</v>
      </c>
      <c r="N20" s="739">
        <f>Elect!AC24</f>
        <v>0</v>
      </c>
      <c r="O20" s="739">
        <f>Elect!AE24</f>
        <v>13.25</v>
      </c>
      <c r="P20" s="739">
        <f>Elect!AG24</f>
        <v>12.72</v>
      </c>
      <c r="Q20" s="739">
        <f>Elect!AI24</f>
        <v>387.43</v>
      </c>
      <c r="R20" s="739">
        <f>Elect!AK24</f>
        <v>1968.95</v>
      </c>
      <c r="S20" s="739">
        <f>Elect!AM24</f>
        <v>154.23000000000002</v>
      </c>
      <c r="T20" s="739">
        <f>Elect!AP24</f>
        <v>4.5</v>
      </c>
      <c r="U20" s="739">
        <f>Elect!AR24</f>
        <v>303</v>
      </c>
      <c r="V20" s="739">
        <f>Elect!AT24</f>
        <v>140</v>
      </c>
      <c r="W20" s="739">
        <f>Elect!AV24</f>
        <v>41</v>
      </c>
      <c r="X20" s="739">
        <f>Elect!AX24</f>
        <v>545</v>
      </c>
      <c r="Y20" s="739">
        <f>Elect!AZ24</f>
        <v>5</v>
      </c>
      <c r="Z20" s="739">
        <f>Elect!BB24</f>
        <v>4405</v>
      </c>
      <c r="AA20" s="739">
        <f>Elect!BD24</f>
        <v>240</v>
      </c>
      <c r="AB20" s="739">
        <f>Elect!BF24</f>
        <v>54</v>
      </c>
      <c r="AC20" s="739">
        <f>Elect!BH24</f>
        <v>4440.2999999999993</v>
      </c>
      <c r="AD20" s="739">
        <f>Elect!BL24</f>
        <v>251</v>
      </c>
      <c r="AE20" s="739">
        <f>Elect!BN24</f>
        <v>613</v>
      </c>
      <c r="AF20" s="739">
        <f>Elect!BP24</f>
        <v>113</v>
      </c>
      <c r="AG20" s="739">
        <f>Elect!BR24</f>
        <v>121</v>
      </c>
      <c r="AH20" s="811"/>
      <c r="AI20" s="739">
        <f>Water!C25</f>
        <v>139.19999999999999</v>
      </c>
      <c r="AJ20" s="739">
        <f>Water!E25</f>
        <v>174</v>
      </c>
      <c r="AK20" s="739">
        <f>Water!G25</f>
        <v>0</v>
      </c>
      <c r="AL20" s="811"/>
      <c r="AM20" s="739">
        <f>Gas!C25</f>
        <v>1060</v>
      </c>
      <c r="AN20" s="739">
        <f>Gas!E25</f>
        <v>316.39999999999998</v>
      </c>
      <c r="AO20" s="739">
        <f>Gas!G25</f>
        <v>87</v>
      </c>
      <c r="AP20" s="746">
        <f>Elect!BT24</f>
        <v>253</v>
      </c>
    </row>
    <row r="21" spans="1:42" ht="12.75" customHeight="1">
      <c r="A21" s="753" t="s">
        <v>11</v>
      </c>
      <c r="B21" s="730">
        <f t="shared" si="0"/>
        <v>20</v>
      </c>
      <c r="C21" s="772">
        <v>2</v>
      </c>
      <c r="D21" s="752">
        <v>2022</v>
      </c>
      <c r="E21" s="811"/>
      <c r="F21" s="739">
        <f>Elect!J25</f>
        <v>6441</v>
      </c>
      <c r="G21" s="739">
        <f>Elect!K25</f>
        <v>4073</v>
      </c>
      <c r="H21" s="739">
        <f>Elect!Q25</f>
        <v>570</v>
      </c>
      <c r="I21" s="739">
        <f>Elect!S25</f>
        <v>133</v>
      </c>
      <c r="J21" s="739">
        <f>Elect!U25</f>
        <v>244</v>
      </c>
      <c r="K21" s="739">
        <f>Elect!W25</f>
        <v>1395.49</v>
      </c>
      <c r="L21" s="739">
        <f>Elect!Y25</f>
        <v>0</v>
      </c>
      <c r="M21" s="739">
        <f>Elect!AA25</f>
        <v>0</v>
      </c>
      <c r="N21" s="739">
        <f>Elect!AC25</f>
        <v>0</v>
      </c>
      <c r="O21" s="739">
        <f>Elect!AE25</f>
        <v>0</v>
      </c>
      <c r="P21" s="739">
        <f>Elect!AG25</f>
        <v>15.370000000000001</v>
      </c>
      <c r="Q21" s="739">
        <f>Elect!AI25</f>
        <v>391.14000000000004</v>
      </c>
      <c r="R21" s="739">
        <f>Elect!AK25</f>
        <v>2003.93</v>
      </c>
      <c r="S21" s="739">
        <f>Elect!AM25</f>
        <v>157.94</v>
      </c>
      <c r="T21" s="739">
        <f>Elect!AP25</f>
        <v>18.45</v>
      </c>
      <c r="U21" s="739">
        <f>Elect!AR25</f>
        <v>319</v>
      </c>
      <c r="V21" s="739">
        <f>Elect!AT25</f>
        <v>141</v>
      </c>
      <c r="W21" s="739">
        <f>Elect!AV25</f>
        <v>42</v>
      </c>
      <c r="X21" s="739">
        <f>Elect!AX25</f>
        <v>572</v>
      </c>
      <c r="Y21" s="739">
        <f>Elect!AZ25</f>
        <v>6</v>
      </c>
      <c r="Z21" s="739">
        <f>Elect!BB25</f>
        <v>4408</v>
      </c>
      <c r="AA21" s="739">
        <f>Elect!BD25</f>
        <v>232</v>
      </c>
      <c r="AB21" s="739">
        <f>Elect!BF25</f>
        <v>54</v>
      </c>
      <c r="AC21" s="739">
        <f>Elect!BH25</f>
        <v>4589.7</v>
      </c>
      <c r="AD21" s="739">
        <f>Elect!BL25</f>
        <v>257</v>
      </c>
      <c r="AE21" s="739">
        <f>Elect!BN25</f>
        <v>615</v>
      </c>
      <c r="AF21" s="739">
        <f>Elect!BP25</f>
        <v>119</v>
      </c>
      <c r="AG21" s="739">
        <f>Elect!BR25</f>
        <v>121</v>
      </c>
      <c r="AH21" s="811"/>
      <c r="AI21" s="739">
        <f>Water!C26</f>
        <v>127.6</v>
      </c>
      <c r="AJ21" s="739">
        <f>Water!E26</f>
        <v>179.79999999999998</v>
      </c>
      <c r="AK21" s="739">
        <f>Water!G26</f>
        <v>0</v>
      </c>
      <c r="AL21" s="811"/>
      <c r="AM21" s="739">
        <f>Gas!C26</f>
        <v>1060</v>
      </c>
      <c r="AN21" s="739">
        <f>Gas!E26</f>
        <v>418.59999999999997</v>
      </c>
      <c r="AO21" s="739">
        <f>Gas!G26</f>
        <v>93</v>
      </c>
      <c r="AP21" s="746">
        <f>Elect!BT25</f>
        <v>248</v>
      </c>
    </row>
    <row r="22" spans="1:42" ht="12.75" customHeight="1">
      <c r="A22" s="753" t="s">
        <v>11</v>
      </c>
      <c r="B22" s="730">
        <f t="shared" si="0"/>
        <v>21</v>
      </c>
      <c r="C22" s="772">
        <v>2</v>
      </c>
      <c r="D22" s="752">
        <v>2022</v>
      </c>
      <c r="E22" s="811"/>
      <c r="F22" s="739">
        <f>Elect!J26</f>
        <v>6377</v>
      </c>
      <c r="G22" s="739">
        <f>Elect!K26</f>
        <v>4186</v>
      </c>
      <c r="H22" s="739">
        <f>Elect!Q26</f>
        <v>600</v>
      </c>
      <c r="I22" s="739">
        <f>Elect!S26</f>
        <v>153</v>
      </c>
      <c r="J22" s="739">
        <f>Elect!U26</f>
        <v>289</v>
      </c>
      <c r="K22" s="739">
        <f>Elect!W26</f>
        <v>1745.2900000000002</v>
      </c>
      <c r="L22" s="739">
        <f>Elect!Y26</f>
        <v>0</v>
      </c>
      <c r="M22" s="739">
        <f>Elect!AA26</f>
        <v>0</v>
      </c>
      <c r="N22" s="739">
        <f>Elect!AC26</f>
        <v>0</v>
      </c>
      <c r="O22" s="739">
        <f>Elect!AE26</f>
        <v>0</v>
      </c>
      <c r="P22" s="739">
        <f>Elect!AG26</f>
        <v>9.01</v>
      </c>
      <c r="Q22" s="739">
        <f>Elect!AI26</f>
        <v>435.13</v>
      </c>
      <c r="R22" s="739">
        <f>Elect!AK26</f>
        <v>2269.9900000000002</v>
      </c>
      <c r="S22" s="739">
        <f>Elect!AM26</f>
        <v>167.48000000000002</v>
      </c>
      <c r="T22" s="739">
        <f>Elect!AP26</f>
        <v>39.712499999999999</v>
      </c>
      <c r="U22" s="739">
        <f>Elect!AR26</f>
        <v>320</v>
      </c>
      <c r="V22" s="739">
        <f>Elect!AT26</f>
        <v>148</v>
      </c>
      <c r="W22" s="739">
        <f>Elect!AV26</f>
        <v>50</v>
      </c>
      <c r="X22" s="739">
        <f>Elect!AX26</f>
        <v>649</v>
      </c>
      <c r="Y22" s="739">
        <f>Elect!AZ26</f>
        <v>6</v>
      </c>
      <c r="Z22" s="739">
        <f>Elect!BB26</f>
        <v>4008</v>
      </c>
      <c r="AA22" s="739">
        <f>Elect!BD26</f>
        <v>262</v>
      </c>
      <c r="AB22" s="739">
        <f>Elect!BF26</f>
        <v>54</v>
      </c>
      <c r="AC22" s="739">
        <f>Elect!BH26</f>
        <v>4992.7</v>
      </c>
      <c r="AD22" s="739">
        <f>Elect!BL26</f>
        <v>76</v>
      </c>
      <c r="AE22" s="739">
        <f>Elect!BN26</f>
        <v>765</v>
      </c>
      <c r="AF22" s="739">
        <f>Elect!BP26</f>
        <v>129</v>
      </c>
      <c r="AG22" s="739">
        <f>Elect!BR26</f>
        <v>136</v>
      </c>
      <c r="AH22" s="811"/>
      <c r="AI22" s="739">
        <f>Water!C27</f>
        <v>127.6</v>
      </c>
      <c r="AJ22" s="739">
        <f>Water!E27</f>
        <v>168.2</v>
      </c>
      <c r="AK22" s="739">
        <f>Water!G27</f>
        <v>0</v>
      </c>
      <c r="AL22" s="811"/>
      <c r="AM22" s="739">
        <f>Gas!C27</f>
        <v>1060</v>
      </c>
      <c r="AN22" s="739">
        <f>Gas!E27</f>
        <v>369.59999999999997</v>
      </c>
      <c r="AO22" s="739">
        <f>Gas!G27</f>
        <v>100</v>
      </c>
      <c r="AP22" s="746">
        <f>Elect!BT26</f>
        <v>246</v>
      </c>
    </row>
    <row r="23" spans="1:42" ht="12.75" customHeight="1">
      <c r="A23" s="753" t="s">
        <v>11</v>
      </c>
      <c r="B23" s="730">
        <f t="shared" si="0"/>
        <v>22</v>
      </c>
      <c r="C23" s="772">
        <v>2</v>
      </c>
      <c r="D23" s="752">
        <v>2022</v>
      </c>
      <c r="E23" s="811"/>
      <c r="F23" s="739">
        <f>Elect!J27</f>
        <v>5775</v>
      </c>
      <c r="G23" s="739">
        <f>Elect!K27</f>
        <v>3428</v>
      </c>
      <c r="H23" s="739">
        <f>Elect!Q27</f>
        <v>600</v>
      </c>
      <c r="I23" s="739">
        <f>Elect!S27</f>
        <v>128</v>
      </c>
      <c r="J23" s="739">
        <f>Elect!U27</f>
        <v>289</v>
      </c>
      <c r="K23" s="739">
        <f>Elect!W27</f>
        <v>1592.1200000000001</v>
      </c>
      <c r="L23" s="739">
        <f>Elect!Y27</f>
        <v>0</v>
      </c>
      <c r="M23" s="739">
        <f>Elect!AA27</f>
        <v>0</v>
      </c>
      <c r="N23" s="739">
        <f>Elect!AC27</f>
        <v>0</v>
      </c>
      <c r="O23" s="739">
        <f>Elect!AE27</f>
        <v>0</v>
      </c>
      <c r="P23" s="739">
        <f>Elect!AG27</f>
        <v>11.66</v>
      </c>
      <c r="Q23" s="739">
        <f>Elect!AI27</f>
        <v>360.40000000000003</v>
      </c>
      <c r="R23" s="739">
        <f>Elect!AK27</f>
        <v>1814.19</v>
      </c>
      <c r="S23" s="739">
        <f>Elect!AM27</f>
        <v>139.39000000000001</v>
      </c>
      <c r="T23" s="739">
        <f>Elect!AP27</f>
        <v>36.787500000000001</v>
      </c>
      <c r="U23" s="739">
        <f>Elect!AR27</f>
        <v>319</v>
      </c>
      <c r="V23" s="739">
        <f>Elect!AT27</f>
        <v>152</v>
      </c>
      <c r="W23" s="739">
        <f>Elect!AV27</f>
        <v>44</v>
      </c>
      <c r="X23" s="739">
        <f>Elect!AX27</f>
        <v>609</v>
      </c>
      <c r="Y23" s="739">
        <f>Elect!AZ27</f>
        <v>6</v>
      </c>
      <c r="Z23" s="739">
        <f>Elect!BB27</f>
        <v>3992</v>
      </c>
      <c r="AA23" s="739">
        <f>Elect!BD27</f>
        <v>238</v>
      </c>
      <c r="AB23" s="739">
        <f>Elect!BF27</f>
        <v>54</v>
      </c>
      <c r="AC23" s="739">
        <f>Elect!BH27</f>
        <v>4771.45</v>
      </c>
      <c r="AD23" s="739">
        <f>Elect!BL27</f>
        <v>61</v>
      </c>
      <c r="AE23" s="739">
        <f>Elect!BN27</f>
        <v>920</v>
      </c>
      <c r="AF23" s="739">
        <f>Elect!BP27</f>
        <v>119</v>
      </c>
      <c r="AG23" s="739">
        <f>Elect!BR27</f>
        <v>129</v>
      </c>
      <c r="AH23" s="811"/>
      <c r="AI23" s="739">
        <f>Water!C28</f>
        <v>127.6</v>
      </c>
      <c r="AJ23" s="739">
        <f>Water!E28</f>
        <v>168.2</v>
      </c>
      <c r="AK23" s="739">
        <f>Water!G28</f>
        <v>0</v>
      </c>
      <c r="AL23" s="811"/>
      <c r="AM23" s="739">
        <f>Gas!C28</f>
        <v>1060</v>
      </c>
      <c r="AN23" s="739">
        <f>Gas!E28</f>
        <v>462.7</v>
      </c>
      <c r="AO23" s="739">
        <f>Gas!G28</f>
        <v>94</v>
      </c>
      <c r="AP23" s="746">
        <f>Elect!BT27</f>
        <v>246</v>
      </c>
    </row>
    <row r="24" spans="1:42" ht="12.75" customHeight="1">
      <c r="A24" s="753" t="s">
        <v>11</v>
      </c>
      <c r="B24" s="730">
        <f t="shared" si="0"/>
        <v>23</v>
      </c>
      <c r="C24" s="772">
        <v>2</v>
      </c>
      <c r="D24" s="752">
        <v>2022</v>
      </c>
      <c r="E24" s="811"/>
      <c r="F24" s="739">
        <f>Elect!J28</f>
        <v>5878</v>
      </c>
      <c r="G24" s="739">
        <f>Elect!K28</f>
        <v>3653</v>
      </c>
      <c r="H24" s="739">
        <f>Elect!Q28</f>
        <v>600</v>
      </c>
      <c r="I24" s="739">
        <f>Elect!S28</f>
        <v>138</v>
      </c>
      <c r="J24" s="739">
        <f>Elect!U28</f>
        <v>220</v>
      </c>
      <c r="K24" s="739">
        <f>Elect!W28</f>
        <v>1684.8700000000001</v>
      </c>
      <c r="L24" s="739">
        <f>Elect!Y28</f>
        <v>0</v>
      </c>
      <c r="M24" s="739">
        <f>Elect!AA28</f>
        <v>0</v>
      </c>
      <c r="N24" s="739">
        <f>Elect!AC28</f>
        <v>0</v>
      </c>
      <c r="O24" s="739">
        <f>Elect!AE28</f>
        <v>0</v>
      </c>
      <c r="P24" s="739">
        <f>Elect!AG28</f>
        <v>11.66</v>
      </c>
      <c r="Q24" s="739">
        <f>Elect!AI28</f>
        <v>387.43</v>
      </c>
      <c r="R24" s="739">
        <f>Elect!AK28</f>
        <v>1937.68</v>
      </c>
      <c r="S24" s="739">
        <f>Elect!AM28</f>
        <v>151.58000000000001</v>
      </c>
      <c r="T24" s="739">
        <f>Elect!AP28</f>
        <v>47.475000000000001</v>
      </c>
      <c r="U24" s="739">
        <f>Elect!AR28</f>
        <v>328</v>
      </c>
      <c r="V24" s="739">
        <f>Elect!AT28</f>
        <v>152</v>
      </c>
      <c r="W24" s="739">
        <f>Elect!AV28</f>
        <v>47</v>
      </c>
      <c r="X24" s="739">
        <f>Elect!AX28</f>
        <v>646</v>
      </c>
      <c r="Y24" s="739">
        <f>Elect!AZ28</f>
        <v>5</v>
      </c>
      <c r="Z24" s="739">
        <f>Elect!BB28</f>
        <v>4142</v>
      </c>
      <c r="AA24" s="739">
        <f>Elect!BD28</f>
        <v>213</v>
      </c>
      <c r="AB24" s="739">
        <f>Elect!BF28</f>
        <v>54</v>
      </c>
      <c r="AC24" s="739">
        <f>Elect!BH28</f>
        <v>4908</v>
      </c>
      <c r="AD24" s="739">
        <f>Elect!BL28</f>
        <v>205</v>
      </c>
      <c r="AE24" s="739">
        <f>Elect!BN28</f>
        <v>962</v>
      </c>
      <c r="AF24" s="739">
        <f>Elect!BP28</f>
        <v>118</v>
      </c>
      <c r="AG24" s="739">
        <f>Elect!BR28</f>
        <v>156</v>
      </c>
      <c r="AH24" s="811"/>
      <c r="AI24" s="739">
        <f>Water!C29</f>
        <v>156.6</v>
      </c>
      <c r="AJ24" s="739">
        <f>Water!E29</f>
        <v>203</v>
      </c>
      <c r="AK24" s="739">
        <f>Water!G29</f>
        <v>0</v>
      </c>
      <c r="AL24" s="811"/>
      <c r="AM24" s="739">
        <f>Gas!C29</f>
        <v>1060</v>
      </c>
      <c r="AN24" s="739">
        <f>Gas!E29</f>
        <v>414.4</v>
      </c>
      <c r="AO24" s="739">
        <f>Gas!G29</f>
        <v>94</v>
      </c>
      <c r="AP24" s="746">
        <f>Elect!BT28</f>
        <v>250</v>
      </c>
    </row>
    <row r="25" spans="1:42" ht="12.75" customHeight="1">
      <c r="A25" s="753" t="s">
        <v>11</v>
      </c>
      <c r="B25" s="730">
        <f t="shared" si="0"/>
        <v>24</v>
      </c>
      <c r="C25" s="772">
        <v>2</v>
      </c>
      <c r="D25" s="752">
        <v>2022</v>
      </c>
      <c r="E25" s="811"/>
      <c r="F25" s="739">
        <f>Elect!J29</f>
        <v>6540</v>
      </c>
      <c r="G25" s="739">
        <f>Elect!K29</f>
        <v>4051</v>
      </c>
      <c r="H25" s="739">
        <f>Elect!Q29</f>
        <v>600</v>
      </c>
      <c r="I25" s="739">
        <f>Elect!S29</f>
        <v>150</v>
      </c>
      <c r="J25" s="739">
        <f>Elect!U29</f>
        <v>278</v>
      </c>
      <c r="K25" s="739">
        <f>Elect!W29</f>
        <v>1549.19</v>
      </c>
      <c r="L25" s="739">
        <f>Elect!Y29</f>
        <v>0</v>
      </c>
      <c r="M25" s="739">
        <f>Elect!AA29</f>
        <v>0</v>
      </c>
      <c r="N25" s="739">
        <f>Elect!AC29</f>
        <v>0</v>
      </c>
      <c r="O25" s="739">
        <f>Elect!AE29</f>
        <v>0</v>
      </c>
      <c r="P25" s="739">
        <f>Elect!AG29</f>
        <v>13.25</v>
      </c>
      <c r="Q25" s="739">
        <f>Elect!AI29</f>
        <v>426.65000000000003</v>
      </c>
      <c r="R25" s="739">
        <f>Elect!AK29</f>
        <v>2085.5500000000002</v>
      </c>
      <c r="S25" s="739">
        <f>Elect!AM29</f>
        <v>161.65</v>
      </c>
      <c r="T25" s="739">
        <f>Elect!AP29</f>
        <v>6.0750000000000002</v>
      </c>
      <c r="U25" s="739">
        <f>Elect!AR29</f>
        <v>387</v>
      </c>
      <c r="V25" s="739">
        <f>Elect!AT29</f>
        <v>146</v>
      </c>
      <c r="W25" s="739">
        <f>Elect!AV29</f>
        <v>49</v>
      </c>
      <c r="X25" s="739">
        <f>Elect!AX29</f>
        <v>656</v>
      </c>
      <c r="Y25" s="739">
        <f>Elect!AZ29</f>
        <v>7</v>
      </c>
      <c r="Z25" s="739">
        <f>Elect!BB29</f>
        <v>4584</v>
      </c>
      <c r="AA25" s="739">
        <f>Elect!BD29</f>
        <v>234</v>
      </c>
      <c r="AB25" s="739">
        <f>Elect!BF29</f>
        <v>54</v>
      </c>
      <c r="AC25" s="739">
        <f>Elect!BH29</f>
        <v>5515.4000000000005</v>
      </c>
      <c r="AD25" s="739">
        <f>Elect!BL29</f>
        <v>261</v>
      </c>
      <c r="AE25" s="739">
        <f>Elect!BN29</f>
        <v>1012</v>
      </c>
      <c r="AF25" s="739">
        <f>Elect!BP29</f>
        <v>136</v>
      </c>
      <c r="AG25" s="739">
        <f>Elect!BR29</f>
        <v>168</v>
      </c>
      <c r="AH25" s="811"/>
      <c r="AI25" s="739">
        <f>Water!C30</f>
        <v>150.79999999999998</v>
      </c>
      <c r="AJ25" s="739">
        <f>Water!E30</f>
        <v>197.2</v>
      </c>
      <c r="AK25" s="739">
        <f>Water!G30</f>
        <v>0</v>
      </c>
      <c r="AL25" s="811"/>
      <c r="AM25" s="739">
        <f>Gas!C30</f>
        <v>1060</v>
      </c>
      <c r="AN25" s="739">
        <f>Gas!E30</f>
        <v>433.29999999999995</v>
      </c>
      <c r="AO25" s="739">
        <f>Gas!G30</f>
        <v>105</v>
      </c>
      <c r="AP25" s="746">
        <f>Elect!BT29</f>
        <v>247</v>
      </c>
    </row>
    <row r="26" spans="1:42" ht="12.75" customHeight="1">
      <c r="A26" s="753" t="s">
        <v>11</v>
      </c>
      <c r="B26" s="730">
        <f>B25+1</f>
        <v>25</v>
      </c>
      <c r="C26" s="772">
        <v>2</v>
      </c>
      <c r="D26" s="752">
        <v>2022</v>
      </c>
      <c r="E26" s="811"/>
      <c r="F26" s="739">
        <f>Elect!J30</f>
        <v>5975</v>
      </c>
      <c r="G26" s="739">
        <f>Elect!K30</f>
        <v>3797</v>
      </c>
      <c r="H26" s="739">
        <f>Elect!Q30</f>
        <v>330</v>
      </c>
      <c r="I26" s="739">
        <f>Elect!S30</f>
        <v>136</v>
      </c>
      <c r="J26" s="739">
        <f>Elect!U30</f>
        <v>248</v>
      </c>
      <c r="K26" s="739">
        <f>Elect!W30</f>
        <v>1440.54</v>
      </c>
      <c r="L26" s="739">
        <f>Elect!Y30</f>
        <v>0</v>
      </c>
      <c r="M26" s="739">
        <f>Elect!AA30</f>
        <v>0</v>
      </c>
      <c r="N26" s="739">
        <f>Elect!AC30</f>
        <v>0</v>
      </c>
      <c r="O26" s="739">
        <f>Elect!AE30</f>
        <v>0</v>
      </c>
      <c r="P26" s="739">
        <f>Elect!AG30</f>
        <v>12.190000000000001</v>
      </c>
      <c r="Q26" s="739">
        <f>Elect!AI30</f>
        <v>391.67</v>
      </c>
      <c r="R26" s="739">
        <f>Elect!AK30</f>
        <v>2057.46</v>
      </c>
      <c r="S26" s="739">
        <f>Elect!AM30</f>
        <v>148.4</v>
      </c>
      <c r="T26" s="739">
        <f>Elect!AP30</f>
        <v>4.3875000000000002</v>
      </c>
      <c r="U26" s="739">
        <f>Elect!AR30</f>
        <v>315</v>
      </c>
      <c r="V26" s="739">
        <f>Elect!AT30</f>
        <v>135</v>
      </c>
      <c r="W26" s="739">
        <f>Elect!AV30</f>
        <v>37</v>
      </c>
      <c r="X26" s="739">
        <f>Elect!AX30</f>
        <v>578</v>
      </c>
      <c r="Y26" s="739">
        <f>Elect!AZ30</f>
        <v>5</v>
      </c>
      <c r="Z26" s="739">
        <f>Elect!BB30</f>
        <v>4809</v>
      </c>
      <c r="AA26" s="739">
        <f>Elect!BD30</f>
        <v>194</v>
      </c>
      <c r="AB26" s="739">
        <f>Elect!BF30</f>
        <v>54</v>
      </c>
      <c r="AC26" s="739">
        <f>Elect!BH30</f>
        <v>4735.1499999999996</v>
      </c>
      <c r="AD26" s="739">
        <f>Elect!BL30</f>
        <v>246</v>
      </c>
      <c r="AE26" s="739">
        <f>Elect!BN30</f>
        <v>873</v>
      </c>
      <c r="AF26" s="739">
        <f>Elect!BP30</f>
        <v>120</v>
      </c>
      <c r="AG26" s="739">
        <f>Elect!BR30</f>
        <v>146</v>
      </c>
      <c r="AH26" s="811"/>
      <c r="AI26" s="739">
        <f>Water!C31</f>
        <v>261</v>
      </c>
      <c r="AJ26" s="739">
        <f>Water!E31</f>
        <v>348</v>
      </c>
      <c r="AK26" s="739">
        <f>Water!G31</f>
        <v>5.22</v>
      </c>
      <c r="AL26" s="811"/>
      <c r="AM26" s="739">
        <f>Gas!C31</f>
        <v>1060</v>
      </c>
      <c r="AN26" s="739">
        <f>Gas!E31</f>
        <v>310.09999999999997</v>
      </c>
      <c r="AO26" s="739">
        <f>Gas!G31</f>
        <v>183</v>
      </c>
      <c r="AP26" s="746">
        <f>Elect!BT30</f>
        <v>253</v>
      </c>
    </row>
    <row r="27" spans="1:42" ht="12.75" customHeight="1">
      <c r="A27" s="753" t="s">
        <v>11</v>
      </c>
      <c r="B27" s="730">
        <f t="shared" si="0"/>
        <v>26</v>
      </c>
      <c r="C27" s="772">
        <v>2</v>
      </c>
      <c r="D27" s="752">
        <v>2022</v>
      </c>
      <c r="E27" s="811"/>
      <c r="F27" s="739">
        <f>Elect!J31</f>
        <v>6039</v>
      </c>
      <c r="G27" s="739">
        <f>Elect!K31</f>
        <v>3809</v>
      </c>
      <c r="H27" s="739">
        <f>Elect!Q31</f>
        <v>570</v>
      </c>
      <c r="I27" s="739">
        <f>Elect!S31</f>
        <v>141</v>
      </c>
      <c r="J27" s="739">
        <f>Elect!U31</f>
        <v>268</v>
      </c>
      <c r="K27" s="739">
        <f>Elect!W31</f>
        <v>1795.64</v>
      </c>
      <c r="L27" s="739">
        <f>Elect!Y31</f>
        <v>0</v>
      </c>
      <c r="M27" s="739">
        <f>Elect!AA31</f>
        <v>0</v>
      </c>
      <c r="N27" s="739">
        <f>Elect!AC31</f>
        <v>0</v>
      </c>
      <c r="O27" s="739">
        <f>Elect!AE31</f>
        <v>0</v>
      </c>
      <c r="P27" s="739">
        <f>Elect!AG31</f>
        <v>15.370000000000001</v>
      </c>
      <c r="Q27" s="739">
        <f>Elect!AI31</f>
        <v>367.29</v>
      </c>
      <c r="R27" s="739">
        <f>Elect!AK31</f>
        <v>1765.43</v>
      </c>
      <c r="S27" s="739">
        <f>Elect!AM31</f>
        <v>190.27</v>
      </c>
      <c r="T27" s="739">
        <f>Elect!AP31</f>
        <v>16.425000000000001</v>
      </c>
      <c r="U27" s="739">
        <f>Elect!AR31</f>
        <v>333</v>
      </c>
      <c r="V27" s="739">
        <f>Elect!AT31</f>
        <v>145</v>
      </c>
      <c r="W27" s="739">
        <f>Elect!AV31</f>
        <v>43</v>
      </c>
      <c r="X27" s="739">
        <f>Elect!AX31</f>
        <v>609</v>
      </c>
      <c r="Y27" s="739">
        <f>Elect!AZ31</f>
        <v>6</v>
      </c>
      <c r="Z27" s="739">
        <f>Elect!BB31</f>
        <v>4929</v>
      </c>
      <c r="AA27" s="739">
        <f>Elect!BD31</f>
        <v>236</v>
      </c>
      <c r="AB27" s="739">
        <f>Elect!BF31</f>
        <v>54</v>
      </c>
      <c r="AC27" s="739">
        <f>Elect!BH31</f>
        <v>5085.8</v>
      </c>
      <c r="AD27" s="739">
        <f>Elect!BL31</f>
        <v>259</v>
      </c>
      <c r="AE27" s="739">
        <f>Elect!BN31</f>
        <v>707</v>
      </c>
      <c r="AF27" s="739">
        <f>Elect!BP31</f>
        <v>129</v>
      </c>
      <c r="AG27" s="739">
        <f>Elect!BR31</f>
        <v>157</v>
      </c>
      <c r="AH27" s="811"/>
      <c r="AI27" s="739">
        <f>Water!C32</f>
        <v>92.8</v>
      </c>
      <c r="AJ27" s="739">
        <f>Water!E32</f>
        <v>121.8</v>
      </c>
      <c r="AK27" s="739">
        <f>Water!G32</f>
        <v>0</v>
      </c>
      <c r="AL27" s="811"/>
      <c r="AM27" s="739">
        <f>Gas!C32</f>
        <v>1060</v>
      </c>
      <c r="AN27" s="739">
        <f>Gas!E32</f>
        <v>317.79999999999995</v>
      </c>
      <c r="AO27" s="739">
        <f>Gas!G32</f>
        <v>79</v>
      </c>
      <c r="AP27" s="746">
        <f>Elect!BT31</f>
        <v>257</v>
      </c>
    </row>
    <row r="28" spans="1:42" ht="12.75" customHeight="1">
      <c r="A28" s="753" t="s">
        <v>11</v>
      </c>
      <c r="B28" s="730">
        <f t="shared" si="0"/>
        <v>27</v>
      </c>
      <c r="C28" s="772">
        <v>2</v>
      </c>
      <c r="D28" s="752">
        <v>2022</v>
      </c>
      <c r="E28" s="811"/>
      <c r="F28" s="739">
        <f>Elect!J32</f>
        <v>6094</v>
      </c>
      <c r="G28" s="739">
        <f>Elect!K32</f>
        <v>3809</v>
      </c>
      <c r="H28" s="739">
        <f>Elect!Q32</f>
        <v>630</v>
      </c>
      <c r="I28" s="739">
        <f>Elect!S32</f>
        <v>139</v>
      </c>
      <c r="J28" s="739">
        <f>Elect!U32</f>
        <v>266</v>
      </c>
      <c r="K28" s="739">
        <f>Elect!W32</f>
        <v>1685.4</v>
      </c>
      <c r="L28" s="739">
        <f>Elect!Y32</f>
        <v>36.57</v>
      </c>
      <c r="M28" s="739">
        <f>Elect!AA32</f>
        <v>39.22</v>
      </c>
      <c r="N28" s="739">
        <f>Elect!AC32</f>
        <v>63.07</v>
      </c>
      <c r="O28" s="739">
        <f>Elect!AE32</f>
        <v>0</v>
      </c>
      <c r="P28" s="739">
        <f>Elect!AG32</f>
        <v>9.01</v>
      </c>
      <c r="Q28" s="739">
        <f>Elect!AI32</f>
        <v>387.43</v>
      </c>
      <c r="R28" s="739">
        <f>Elect!AK32</f>
        <v>1940.3300000000002</v>
      </c>
      <c r="S28" s="739">
        <f>Elect!AM32</f>
        <v>113.95</v>
      </c>
      <c r="T28" s="739">
        <f>Elect!AP32</f>
        <v>47.137500000000003</v>
      </c>
      <c r="U28" s="739">
        <f>Elect!AR32</f>
        <v>331</v>
      </c>
      <c r="V28" s="739">
        <f>Elect!AT32</f>
        <v>153</v>
      </c>
      <c r="W28" s="739">
        <f>Elect!AV32</f>
        <v>45</v>
      </c>
      <c r="X28" s="739">
        <f>Elect!AX32</f>
        <v>598</v>
      </c>
      <c r="Y28" s="739">
        <f>Elect!AZ32</f>
        <v>6</v>
      </c>
      <c r="Z28" s="739">
        <f>Elect!BB32</f>
        <v>4720</v>
      </c>
      <c r="AA28" s="739">
        <f>Elect!BD32</f>
        <v>239</v>
      </c>
      <c r="AB28" s="739">
        <f>Elect!BF32</f>
        <v>54</v>
      </c>
      <c r="AC28" s="739">
        <f>Elect!BH32</f>
        <v>5314.4000000000005</v>
      </c>
      <c r="AD28" s="739">
        <f>Elect!BL32</f>
        <v>254</v>
      </c>
      <c r="AE28" s="739">
        <f>Elect!BN32</f>
        <v>941</v>
      </c>
      <c r="AF28" s="739">
        <f>Elect!BP32</f>
        <v>127</v>
      </c>
      <c r="AG28" s="739">
        <f>Elect!BR32</f>
        <v>153</v>
      </c>
      <c r="AH28" s="811"/>
      <c r="AI28" s="739">
        <f>Water!C33</f>
        <v>92.8</v>
      </c>
      <c r="AJ28" s="739">
        <f>Water!E33</f>
        <v>121.8</v>
      </c>
      <c r="AK28" s="739">
        <f>Water!G33</f>
        <v>0</v>
      </c>
      <c r="AL28" s="811"/>
      <c r="AM28" s="739">
        <f>Gas!C33</f>
        <v>1060</v>
      </c>
      <c r="AN28" s="739">
        <f>Gas!E33</f>
        <v>317.79999999999995</v>
      </c>
      <c r="AO28" s="739">
        <f>Gas!G33</f>
        <v>79</v>
      </c>
      <c r="AP28" s="746">
        <f>Elect!BT32</f>
        <v>229</v>
      </c>
    </row>
    <row r="29" spans="1:42" ht="12.75" customHeight="1">
      <c r="A29" s="753" t="s">
        <v>11</v>
      </c>
      <c r="B29" s="730">
        <f t="shared" si="0"/>
        <v>28</v>
      </c>
      <c r="C29" s="772">
        <v>2</v>
      </c>
      <c r="D29" s="752">
        <v>2022</v>
      </c>
      <c r="E29" s="811"/>
      <c r="F29" s="739">
        <f>Elect!J33</f>
        <v>6094</v>
      </c>
      <c r="G29" s="739">
        <f>Elect!K33</f>
        <v>3809</v>
      </c>
      <c r="H29" s="739">
        <f>Elect!Q33</f>
        <v>600</v>
      </c>
      <c r="I29" s="739">
        <f>Elect!S33</f>
        <v>139</v>
      </c>
      <c r="J29" s="739">
        <f>Elect!U33</f>
        <v>266</v>
      </c>
      <c r="K29" s="739">
        <f>Elect!W33</f>
        <v>1685.4</v>
      </c>
      <c r="L29" s="739">
        <f>Elect!Y33</f>
        <v>36.57</v>
      </c>
      <c r="M29" s="739">
        <f>Elect!AA33</f>
        <v>39.22</v>
      </c>
      <c r="N29" s="739">
        <f>Elect!AC33</f>
        <v>63.07</v>
      </c>
      <c r="O29" s="739">
        <f>Elect!AE33</f>
        <v>0</v>
      </c>
      <c r="P29" s="739">
        <f>Elect!AG33</f>
        <v>9.01</v>
      </c>
      <c r="Q29" s="739">
        <f>Elect!AI33</f>
        <v>387.43</v>
      </c>
      <c r="R29" s="739">
        <f>Elect!AK33</f>
        <v>1940.3300000000002</v>
      </c>
      <c r="S29" s="739">
        <f>Elect!AM33</f>
        <v>113.95</v>
      </c>
      <c r="T29" s="739">
        <f>Elect!AP33</f>
        <v>47.137500000000003</v>
      </c>
      <c r="U29" s="739">
        <f>Elect!AR33</f>
        <v>331</v>
      </c>
      <c r="V29" s="739">
        <f>Elect!AT33</f>
        <v>153</v>
      </c>
      <c r="W29" s="739">
        <f>Elect!AV33</f>
        <v>45</v>
      </c>
      <c r="X29" s="739">
        <f>Elect!AX33</f>
        <v>598</v>
      </c>
      <c r="Y29" s="739">
        <f>Elect!AZ33</f>
        <v>6</v>
      </c>
      <c r="Z29" s="739">
        <f>Elect!BB33</f>
        <v>4720</v>
      </c>
      <c r="AA29" s="739">
        <f>Elect!BD33</f>
        <v>239</v>
      </c>
      <c r="AB29" s="739">
        <f>Elect!BF33</f>
        <v>54</v>
      </c>
      <c r="AC29" s="739">
        <f>Elect!BH33</f>
        <v>5314.4000000000005</v>
      </c>
      <c r="AD29" s="739">
        <f>Elect!BL33</f>
        <v>254</v>
      </c>
      <c r="AE29" s="739">
        <f>Elect!BN33</f>
        <v>941</v>
      </c>
      <c r="AF29" s="739">
        <f>Elect!BP33</f>
        <v>127</v>
      </c>
      <c r="AG29" s="739">
        <f>Elect!BR33</f>
        <v>153</v>
      </c>
      <c r="AH29" s="811"/>
      <c r="AI29" s="739">
        <f>Water!C34</f>
        <v>92.8</v>
      </c>
      <c r="AJ29" s="739">
        <f>Water!E34</f>
        <v>121.8</v>
      </c>
      <c r="AK29" s="739">
        <f>Water!G34</f>
        <v>0</v>
      </c>
      <c r="AL29" s="811"/>
      <c r="AM29" s="739">
        <f>Gas!C34</f>
        <v>1060</v>
      </c>
      <c r="AN29" s="739">
        <f>Gas!E34</f>
        <v>317.79999999999995</v>
      </c>
      <c r="AO29" s="739">
        <f>Gas!G34</f>
        <v>79</v>
      </c>
      <c r="AP29" s="746">
        <f>Elect!BT33</f>
        <v>236</v>
      </c>
    </row>
    <row r="30" spans="1:42" ht="12.75" customHeight="1">
      <c r="A30" s="753" t="s">
        <v>11</v>
      </c>
      <c r="B30" s="730">
        <f t="shared" si="0"/>
        <v>29</v>
      </c>
      <c r="C30" s="772">
        <v>2</v>
      </c>
      <c r="D30" s="752">
        <v>2022</v>
      </c>
      <c r="E30" s="811"/>
      <c r="F30" s="739">
        <f>Elect!J34</f>
        <v>0</v>
      </c>
      <c r="G30" s="739">
        <f>Elect!K34</f>
        <v>0</v>
      </c>
      <c r="H30" s="739">
        <f>Elect!Q34</f>
        <v>0</v>
      </c>
      <c r="I30" s="739">
        <f>Elect!S34</f>
        <v>0</v>
      </c>
      <c r="J30" s="739">
        <f>Elect!U34</f>
        <v>0</v>
      </c>
      <c r="K30" s="739">
        <f>Elect!W34</f>
        <v>0</v>
      </c>
      <c r="L30" s="739">
        <f>Elect!Y34</f>
        <v>0</v>
      </c>
      <c r="M30" s="739">
        <f>Elect!AA34</f>
        <v>0</v>
      </c>
      <c r="N30" s="739">
        <f>Elect!AC34</f>
        <v>0</v>
      </c>
      <c r="O30" s="739">
        <f>Elect!AE34</f>
        <v>0</v>
      </c>
      <c r="P30" s="739">
        <f>Elect!AG34</f>
        <v>0</v>
      </c>
      <c r="Q30" s="739">
        <f>Elect!AI34</f>
        <v>0</v>
      </c>
      <c r="R30" s="739">
        <f>Elect!AK34</f>
        <v>0</v>
      </c>
      <c r="S30" s="739">
        <f>Elect!AM34</f>
        <v>0</v>
      </c>
      <c r="T30" s="739">
        <f>Elect!AP34</f>
        <v>0</v>
      </c>
      <c r="U30" s="739">
        <f>Elect!AR34</f>
        <v>0</v>
      </c>
      <c r="V30" s="739">
        <f>Elect!AT34</f>
        <v>0</v>
      </c>
      <c r="W30" s="739">
        <f>Elect!AV34</f>
        <v>0</v>
      </c>
      <c r="X30" s="739">
        <f>Elect!AX34</f>
        <v>0</v>
      </c>
      <c r="Y30" s="739">
        <f>Elect!AZ34</f>
        <v>0</v>
      </c>
      <c r="Z30" s="739">
        <f>Elect!BB34</f>
        <v>0</v>
      </c>
      <c r="AA30" s="739">
        <f>Elect!BD34</f>
        <v>0</v>
      </c>
      <c r="AB30" s="739">
        <f>Elect!BF34</f>
        <v>0</v>
      </c>
      <c r="AC30" s="739">
        <f>Elect!BH34</f>
        <v>0</v>
      </c>
      <c r="AD30" s="739">
        <f>Elect!BL34</f>
        <v>0</v>
      </c>
      <c r="AE30" s="739">
        <f>Elect!BN34</f>
        <v>0</v>
      </c>
      <c r="AF30" s="739">
        <f>Elect!BP34</f>
        <v>0</v>
      </c>
      <c r="AG30" s="739">
        <f>Elect!BR34</f>
        <v>0</v>
      </c>
      <c r="AH30" s="811"/>
      <c r="AI30" s="739">
        <f>Water!C35</f>
        <v>0</v>
      </c>
      <c r="AJ30" s="739">
        <f>Water!E35</f>
        <v>0</v>
      </c>
      <c r="AK30" s="739">
        <f>Water!G35</f>
        <v>0</v>
      </c>
      <c r="AL30" s="811"/>
      <c r="AM30" s="739">
        <f>Gas!C35</f>
        <v>1060</v>
      </c>
      <c r="AN30" s="739">
        <f>Gas!E35</f>
        <v>0</v>
      </c>
      <c r="AO30" s="739">
        <f>Gas!G35</f>
        <v>0</v>
      </c>
      <c r="AP30" s="746">
        <f>Elect!BT34</f>
        <v>0</v>
      </c>
    </row>
    <row r="31" spans="1:42" ht="12.75" customHeight="1">
      <c r="A31" s="753" t="s">
        <v>11</v>
      </c>
      <c r="B31" s="730">
        <f t="shared" si="0"/>
        <v>30</v>
      </c>
      <c r="C31" s="772">
        <v>2</v>
      </c>
      <c r="D31" s="752">
        <v>2022</v>
      </c>
      <c r="E31" s="811"/>
      <c r="F31" s="739">
        <f>Elect!J35</f>
        <v>0</v>
      </c>
      <c r="G31" s="739">
        <f>Elect!K35</f>
        <v>0</v>
      </c>
      <c r="H31" s="739">
        <f>Elect!Q35</f>
        <v>0</v>
      </c>
      <c r="I31" s="739">
        <f>Elect!S35</f>
        <v>0</v>
      </c>
      <c r="J31" s="739">
        <f>Elect!U35</f>
        <v>0</v>
      </c>
      <c r="K31" s="739">
        <f>Elect!W35</f>
        <v>0</v>
      </c>
      <c r="L31" s="739">
        <f>Elect!Y35</f>
        <v>0</v>
      </c>
      <c r="M31" s="739">
        <f>Elect!AA35</f>
        <v>0</v>
      </c>
      <c r="N31" s="739">
        <f>Elect!AC35</f>
        <v>0</v>
      </c>
      <c r="O31" s="739">
        <f>Elect!AE35</f>
        <v>0</v>
      </c>
      <c r="P31" s="739">
        <f>Elect!AG35</f>
        <v>0</v>
      </c>
      <c r="Q31" s="739">
        <f>Elect!AI35</f>
        <v>0</v>
      </c>
      <c r="R31" s="739">
        <f>Elect!AK35</f>
        <v>0</v>
      </c>
      <c r="S31" s="739">
        <f>Elect!AM35</f>
        <v>0</v>
      </c>
      <c r="T31" s="739">
        <f>Elect!AP35</f>
        <v>0</v>
      </c>
      <c r="U31" s="739">
        <f>Elect!AR35</f>
        <v>0</v>
      </c>
      <c r="V31" s="739">
        <f>Elect!AT35</f>
        <v>0</v>
      </c>
      <c r="W31" s="739">
        <f>Elect!AV35</f>
        <v>0</v>
      </c>
      <c r="X31" s="739">
        <f>Elect!AX35</f>
        <v>0</v>
      </c>
      <c r="Y31" s="739">
        <f>Elect!AZ35</f>
        <v>0</v>
      </c>
      <c r="Z31" s="739">
        <f>Elect!BB35</f>
        <v>0</v>
      </c>
      <c r="AA31" s="739">
        <f>Elect!BD35</f>
        <v>0</v>
      </c>
      <c r="AB31" s="739">
        <f>Elect!BF35</f>
        <v>0</v>
      </c>
      <c r="AC31" s="739">
        <f>Elect!BH35</f>
        <v>0</v>
      </c>
      <c r="AD31" s="739">
        <f>Elect!BL35</f>
        <v>0</v>
      </c>
      <c r="AE31" s="739">
        <f>Elect!BN35</f>
        <v>0</v>
      </c>
      <c r="AF31" s="739">
        <f>Elect!BP35</f>
        <v>0</v>
      </c>
      <c r="AG31" s="739">
        <f>Elect!BR35</f>
        <v>0</v>
      </c>
      <c r="AH31" s="811"/>
      <c r="AI31" s="739">
        <f>Water!C36</f>
        <v>0</v>
      </c>
      <c r="AJ31" s="739">
        <f>Water!E36</f>
        <v>0</v>
      </c>
      <c r="AK31" s="739">
        <f>Water!G36</f>
        <v>0</v>
      </c>
      <c r="AL31" s="811"/>
      <c r="AM31" s="739">
        <f>Gas!C36</f>
        <v>1060</v>
      </c>
      <c r="AN31" s="739">
        <f>Gas!E36</f>
        <v>0</v>
      </c>
      <c r="AO31" s="739">
        <f>Gas!G36</f>
        <v>0</v>
      </c>
      <c r="AP31" s="746">
        <f>Elect!BT35</f>
        <v>0</v>
      </c>
    </row>
    <row r="32" spans="1:42" ht="12.75" customHeight="1">
      <c r="A32" s="754" t="s">
        <v>11</v>
      </c>
      <c r="B32" s="755">
        <f>B31+1</f>
        <v>31</v>
      </c>
      <c r="C32" s="772">
        <v>2</v>
      </c>
      <c r="D32" s="752">
        <v>2022</v>
      </c>
      <c r="E32" s="812"/>
      <c r="F32" s="739">
        <f>Elect!J36</f>
        <v>0</v>
      </c>
      <c r="G32" s="739">
        <f>Elect!K36</f>
        <v>0</v>
      </c>
      <c r="H32" s="739">
        <f>Elect!Q36</f>
        <v>0</v>
      </c>
      <c r="I32" s="739">
        <f>Elect!S36</f>
        <v>0</v>
      </c>
      <c r="J32" s="739">
        <f>Elect!U36</f>
        <v>0</v>
      </c>
      <c r="K32" s="739">
        <f>Elect!W36</f>
        <v>0</v>
      </c>
      <c r="L32" s="739">
        <f>Elect!Y36</f>
        <v>0</v>
      </c>
      <c r="M32" s="739">
        <f>Elect!AA36</f>
        <v>0</v>
      </c>
      <c r="N32" s="739">
        <f>Elect!AC36</f>
        <v>0</v>
      </c>
      <c r="O32" s="739">
        <f>Elect!AE36</f>
        <v>0</v>
      </c>
      <c r="P32" s="739">
        <f>Elect!AG36</f>
        <v>0</v>
      </c>
      <c r="Q32" s="739">
        <f>Elect!AI36</f>
        <v>0</v>
      </c>
      <c r="R32" s="739">
        <f>Elect!AK36</f>
        <v>0</v>
      </c>
      <c r="S32" s="739">
        <f>Elect!AM36</f>
        <v>0</v>
      </c>
      <c r="T32" s="739">
        <f>Elect!AP36</f>
        <v>0</v>
      </c>
      <c r="U32" s="739">
        <f>Elect!AR36</f>
        <v>0</v>
      </c>
      <c r="V32" s="739">
        <f>Elect!AT36</f>
        <v>0</v>
      </c>
      <c r="W32" s="739">
        <f>Elect!AV36</f>
        <v>0</v>
      </c>
      <c r="X32" s="739">
        <f>Elect!AX36</f>
        <v>0</v>
      </c>
      <c r="Y32" s="739">
        <f>Elect!AZ36</f>
        <v>0</v>
      </c>
      <c r="Z32" s="739">
        <f>Elect!BB36</f>
        <v>0</v>
      </c>
      <c r="AA32" s="739">
        <f>Elect!BD36</f>
        <v>0</v>
      </c>
      <c r="AB32" s="739">
        <f>Elect!BF36</f>
        <v>0</v>
      </c>
      <c r="AC32" s="739">
        <f>Elect!BH36</f>
        <v>0</v>
      </c>
      <c r="AD32" s="739">
        <f>Elect!BL36</f>
        <v>0</v>
      </c>
      <c r="AE32" s="739">
        <f>Elect!BN36</f>
        <v>0</v>
      </c>
      <c r="AF32" s="739">
        <f>Elect!BP36</f>
        <v>0</v>
      </c>
      <c r="AG32" s="739">
        <f>Elect!BR36</f>
        <v>0</v>
      </c>
      <c r="AH32" s="812"/>
      <c r="AI32" s="739">
        <f>Water!C37</f>
        <v>0</v>
      </c>
      <c r="AJ32" s="739">
        <f>Water!E37</f>
        <v>0</v>
      </c>
      <c r="AK32" s="739">
        <f>Water!G37</f>
        <v>0</v>
      </c>
      <c r="AL32" s="812"/>
      <c r="AM32" s="739">
        <f>Gas!C37</f>
        <v>1060</v>
      </c>
      <c r="AN32" s="739">
        <f>Gas!E37</f>
        <v>0</v>
      </c>
      <c r="AO32" s="739">
        <f>Gas!G37</f>
        <v>0</v>
      </c>
      <c r="AP32" s="746">
        <f>Elect!BT36</f>
        <v>0</v>
      </c>
    </row>
    <row r="33" spans="39:41">
      <c r="AM33" s="736"/>
      <c r="AN33" s="736"/>
      <c r="AO33" s="736"/>
    </row>
  </sheetData>
  <sheetProtection algorithmName="SHA-512" hashValue="q421O0uj9luWoeylO9YV0jkuuQ0YSq8sncmHp6rz6p4fMw0DF1Z1gtRbZvGAabIbWU2A9tRHoGELHEkfrmgsFw==" saltValue="fXraMg0fxmvjjAcFhRr9o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80" zoomScaleNormal="80" zoomScaleSheetLayoutView="70" workbookViewId="0">
      <pane xSplit="8" ySplit="4" topLeftCell="BN29" activePane="bottomRight" state="frozen"/>
      <selection pane="bottomRight" activeCell="AO3" sqref="AO3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13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15" t="s">
        <v>14</v>
      </c>
      <c r="N1" s="815"/>
      <c r="O1" s="815"/>
      <c r="Q1" s="815"/>
      <c r="R1" s="530"/>
      <c r="S1" s="530"/>
      <c r="T1" s="530"/>
      <c r="U1" s="530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7"/>
      <c r="AL1" s="787"/>
      <c r="AM1" s="787"/>
      <c r="AN1" s="787"/>
      <c r="AO1" s="787"/>
      <c r="AP1" s="787"/>
      <c r="AQ1" s="787"/>
      <c r="AR1" s="787"/>
      <c r="AS1" s="787"/>
      <c r="AT1" s="787"/>
      <c r="AU1" s="787"/>
      <c r="AV1" s="787"/>
      <c r="AW1" s="787"/>
      <c r="AX1" s="787"/>
      <c r="AY1" s="787"/>
      <c r="AZ1" s="787"/>
      <c r="BA1" s="787"/>
      <c r="BB1" s="787"/>
      <c r="BC1" s="787"/>
      <c r="BD1" s="787"/>
      <c r="BE1" s="787"/>
      <c r="BF1" s="787"/>
      <c r="BG1" s="787"/>
      <c r="BH1" s="787"/>
      <c r="BI1" s="787"/>
      <c r="BJ1" s="809">
        <f>SUM(BJ21:BJ33)</f>
        <v>193200.42499999996</v>
      </c>
      <c r="BK1" s="530"/>
      <c r="BL1" s="530"/>
      <c r="BM1" s="787"/>
      <c r="BN1" s="787"/>
      <c r="BO1" s="528"/>
      <c r="BP1" s="837" t="s">
        <v>52</v>
      </c>
      <c r="BQ1" s="838"/>
      <c r="BR1" s="565">
        <v>1.6</v>
      </c>
      <c r="BS1" s="562" t="s">
        <v>53</v>
      </c>
      <c r="BT1" s="563"/>
      <c r="BU1" s="839" t="s">
        <v>54</v>
      </c>
      <c r="BV1" s="840"/>
      <c r="BW1" s="565">
        <v>500</v>
      </c>
      <c r="BX1" s="837" t="s">
        <v>55</v>
      </c>
      <c r="BY1" s="838"/>
      <c r="BZ1" s="565">
        <v>1.1499999999999999</v>
      </c>
    </row>
    <row r="2" spans="1:78" ht="28.5" hidden="1" customHeight="1" thickBot="1">
      <c r="A2" s="814"/>
      <c r="B2" s="114"/>
      <c r="C2" s="28"/>
      <c r="D2" s="28"/>
      <c r="E2" s="189"/>
      <c r="F2" s="189"/>
      <c r="I2" s="190"/>
      <c r="M2" s="816"/>
      <c r="N2" s="816"/>
      <c r="O2" s="816"/>
      <c r="Q2" s="816"/>
      <c r="R2" s="531"/>
      <c r="S2" s="531"/>
      <c r="T2" s="531"/>
      <c r="U2" s="531"/>
      <c r="V2" s="788"/>
      <c r="W2" s="788"/>
      <c r="X2" s="788"/>
      <c r="Y2" s="788"/>
      <c r="Z2" s="788"/>
      <c r="AA2" s="788"/>
      <c r="AB2" s="788"/>
      <c r="AC2" s="788"/>
      <c r="AD2" s="788" t="s">
        <v>12</v>
      </c>
      <c r="AE2" s="788"/>
      <c r="AF2" s="788"/>
      <c r="AG2" s="788"/>
      <c r="AH2" s="788"/>
      <c r="AI2" s="788"/>
      <c r="AJ2" s="788"/>
      <c r="AK2" s="788"/>
      <c r="AL2" s="788"/>
      <c r="AM2" s="788"/>
      <c r="AN2" s="788"/>
      <c r="AO2" s="788"/>
      <c r="AP2" s="788"/>
      <c r="AQ2" s="788"/>
      <c r="AR2" s="788"/>
      <c r="AS2" s="788"/>
      <c r="AT2" s="788"/>
      <c r="AU2" s="788"/>
      <c r="AV2" s="788"/>
      <c r="AW2" s="788"/>
      <c r="AX2" s="788"/>
      <c r="AY2" s="788"/>
      <c r="AZ2" s="788"/>
      <c r="BA2" s="788"/>
      <c r="BB2" s="788"/>
      <c r="BC2" s="788"/>
      <c r="BD2" s="788"/>
      <c r="BE2" s="788"/>
      <c r="BF2" s="788"/>
      <c r="BG2" s="788"/>
      <c r="BH2" s="788"/>
      <c r="BI2" s="788"/>
      <c r="BJ2" s="788"/>
      <c r="BK2" s="531"/>
      <c r="BL2" s="531"/>
      <c r="BM2" s="788"/>
      <c r="BN2" s="788"/>
      <c r="BO2" s="527"/>
      <c r="BP2" s="837"/>
      <c r="BQ2" s="838"/>
      <c r="BR2" s="565"/>
      <c r="BS2" s="567" t="s">
        <v>56</v>
      </c>
      <c r="BT2" s="568"/>
      <c r="BU2" s="839" t="s">
        <v>57</v>
      </c>
      <c r="BV2" s="840"/>
      <c r="BW2" s="569"/>
      <c r="BX2" s="837" t="s">
        <v>58</v>
      </c>
      <c r="BY2" s="838"/>
      <c r="BZ2" s="565">
        <v>30</v>
      </c>
    </row>
    <row r="3" spans="1:78" s="205" customFormat="1" ht="37.5" customHeight="1">
      <c r="A3" s="822" t="s">
        <v>59</v>
      </c>
      <c r="B3" s="824" t="s">
        <v>60</v>
      </c>
      <c r="C3" s="825"/>
      <c r="D3" s="817" t="s">
        <v>61</v>
      </c>
      <c r="E3" s="817"/>
      <c r="F3" s="817" t="s">
        <v>62</v>
      </c>
      <c r="G3" s="817"/>
      <c r="H3" s="818" t="s">
        <v>63</v>
      </c>
      <c r="I3" s="570" t="s">
        <v>64</v>
      </c>
      <c r="J3" s="536"/>
      <c r="K3" s="790"/>
      <c r="L3" s="817"/>
      <c r="M3" s="817"/>
      <c r="N3" s="817"/>
      <c r="O3" s="817"/>
      <c r="P3" s="817"/>
      <c r="Q3" s="817"/>
      <c r="R3" s="828" t="s">
        <v>65</v>
      </c>
      <c r="S3" s="828"/>
      <c r="T3" s="828"/>
      <c r="U3" s="829"/>
      <c r="V3" s="830" t="s">
        <v>66</v>
      </c>
      <c r="W3" s="831"/>
      <c r="X3" s="831"/>
      <c r="Y3" s="831"/>
      <c r="Z3" s="831"/>
      <c r="AA3" s="831"/>
      <c r="AB3" s="831"/>
      <c r="AC3" s="831"/>
      <c r="AD3" s="831"/>
      <c r="AE3" s="831"/>
      <c r="AF3" s="831"/>
      <c r="AG3" s="831"/>
      <c r="AH3" s="831"/>
      <c r="AI3" s="831"/>
      <c r="AJ3" s="831"/>
      <c r="AK3" s="831"/>
      <c r="AL3" s="831"/>
      <c r="AM3" s="831"/>
      <c r="AN3" s="832"/>
      <c r="AO3" s="836" t="s">
        <v>67</v>
      </c>
      <c r="AP3" s="828"/>
      <c r="AQ3" s="828"/>
      <c r="AR3" s="828"/>
      <c r="AS3" s="828"/>
      <c r="AT3" s="828"/>
      <c r="AU3" s="828"/>
      <c r="AV3" s="828"/>
      <c r="AW3" s="828"/>
      <c r="AX3" s="828"/>
      <c r="AY3" s="828"/>
      <c r="AZ3" s="828"/>
      <c r="BA3" s="828"/>
      <c r="BB3" s="828"/>
      <c r="BC3" s="828"/>
      <c r="BD3" s="828"/>
      <c r="BE3" s="828"/>
      <c r="BF3" s="828"/>
      <c r="BG3" s="828"/>
      <c r="BH3" s="828"/>
      <c r="BI3" s="828"/>
      <c r="BJ3" s="829"/>
      <c r="BK3" s="833" t="s">
        <v>68</v>
      </c>
      <c r="BL3" s="834"/>
      <c r="BM3" s="834"/>
      <c r="BN3" s="834"/>
      <c r="BO3" s="834"/>
      <c r="BP3" s="834"/>
      <c r="BQ3" s="834"/>
      <c r="BR3" s="835"/>
      <c r="BS3" s="826" t="s">
        <v>69</v>
      </c>
      <c r="BT3" s="791" t="s">
        <v>70</v>
      </c>
      <c r="BU3" s="791" t="s">
        <v>71</v>
      </c>
      <c r="BV3" s="791" t="s">
        <v>70</v>
      </c>
      <c r="BW3" s="791" t="s">
        <v>71</v>
      </c>
      <c r="BX3" s="817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23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19"/>
      <c r="I4" s="575" t="s">
        <v>79</v>
      </c>
      <c r="J4" s="537" t="s">
        <v>80</v>
      </c>
      <c r="K4" s="537" t="s">
        <v>81</v>
      </c>
      <c r="L4" s="789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89" t="s">
        <v>85</v>
      </c>
      <c r="R4" s="686" t="s">
        <v>86</v>
      </c>
      <c r="S4" s="537" t="s">
        <v>80</v>
      </c>
      <c r="T4" s="686" t="s">
        <v>87</v>
      </c>
      <c r="U4" s="537" t="s">
        <v>80</v>
      </c>
      <c r="V4" s="548" t="s">
        <v>88</v>
      </c>
      <c r="W4" s="789" t="s">
        <v>89</v>
      </c>
      <c r="X4" s="548" t="s">
        <v>90</v>
      </c>
      <c r="Y4" s="789" t="s">
        <v>89</v>
      </c>
      <c r="Z4" s="714" t="s">
        <v>91</v>
      </c>
      <c r="AA4" s="789" t="s">
        <v>89</v>
      </c>
      <c r="AB4" s="548" t="s">
        <v>92</v>
      </c>
      <c r="AC4" s="789" t="s">
        <v>89</v>
      </c>
      <c r="AD4" s="548" t="s">
        <v>93</v>
      </c>
      <c r="AE4" s="789" t="s">
        <v>89</v>
      </c>
      <c r="AF4" s="548" t="s">
        <v>94</v>
      </c>
      <c r="AG4" s="789" t="s">
        <v>89</v>
      </c>
      <c r="AH4" s="548" t="s">
        <v>95</v>
      </c>
      <c r="AI4" s="789" t="s">
        <v>89</v>
      </c>
      <c r="AJ4" s="548" t="s">
        <v>96</v>
      </c>
      <c r="AK4" s="789" t="s">
        <v>89</v>
      </c>
      <c r="AL4" s="686" t="s">
        <v>97</v>
      </c>
      <c r="AM4" s="789" t="s">
        <v>89</v>
      </c>
      <c r="AN4" s="576" t="s">
        <v>98</v>
      </c>
      <c r="AO4" s="789" t="s">
        <v>99</v>
      </c>
      <c r="AP4" s="537" t="s">
        <v>80</v>
      </c>
      <c r="AQ4" s="789" t="s">
        <v>100</v>
      </c>
      <c r="AR4" s="537" t="s">
        <v>80</v>
      </c>
      <c r="AS4" s="789" t="s">
        <v>101</v>
      </c>
      <c r="AT4" s="537" t="s">
        <v>80</v>
      </c>
      <c r="AU4" s="789" t="s">
        <v>102</v>
      </c>
      <c r="AV4" s="537" t="s">
        <v>80</v>
      </c>
      <c r="AW4" s="537" t="s">
        <v>103</v>
      </c>
      <c r="AX4" s="537" t="s">
        <v>80</v>
      </c>
      <c r="AY4" s="789" t="s">
        <v>104</v>
      </c>
      <c r="AZ4" s="537" t="s">
        <v>80</v>
      </c>
      <c r="BA4" s="537" t="s">
        <v>105</v>
      </c>
      <c r="BB4" s="537" t="s">
        <v>80</v>
      </c>
      <c r="BC4" s="789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89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7"/>
      <c r="BT4" s="537" t="s">
        <v>115</v>
      </c>
      <c r="BU4" s="537" t="s">
        <v>116</v>
      </c>
      <c r="BV4" s="537" t="s">
        <v>117</v>
      </c>
      <c r="BW4" s="537" t="s">
        <v>117</v>
      </c>
      <c r="BX4" s="820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0">
        <v>23935086</v>
      </c>
      <c r="J5" s="636">
        <f>IF(I5&gt;=I4,I5-I4,0)</f>
        <v>0</v>
      </c>
      <c r="K5" s="636">
        <f>M5+O5</f>
        <v>0</v>
      </c>
      <c r="L5" s="770">
        <v>682610</v>
      </c>
      <c r="M5" s="636">
        <f t="shared" ref="M5:M36" si="0">IF(L5&gt;=L4,L5-L4,0)</f>
        <v>0</v>
      </c>
      <c r="N5" s="770">
        <v>568451</v>
      </c>
      <c r="O5" s="636">
        <f t="shared" ref="O5:O36" si="1">IF(N5&gt;=N4,N5-N4,0)</f>
        <v>0</v>
      </c>
      <c r="P5" s="770">
        <v>221729</v>
      </c>
      <c r="Q5" s="636">
        <f t="shared" ref="Q5:Q18" si="2">IF(P5&gt;=P4,P5-P4,0)*30</f>
        <v>0</v>
      </c>
      <c r="R5" s="769">
        <v>182286</v>
      </c>
      <c r="S5" s="636">
        <f t="shared" ref="S5:S20" si="3">IF(R5&gt;=R4,R5-R4,0)</f>
        <v>0</v>
      </c>
      <c r="T5" s="769">
        <v>333231.5</v>
      </c>
      <c r="U5" s="636">
        <f t="shared" ref="U5:U27" si="4">IF(T5&gt;=T4,T5-T4,0)</f>
        <v>0</v>
      </c>
      <c r="V5" s="769">
        <v>792076</v>
      </c>
      <c r="W5" s="636">
        <f t="shared" ref="W5:W36" si="5">IF(V5&gt;=V4,V5-V4,0)*0.53</f>
        <v>0</v>
      </c>
      <c r="X5" s="770">
        <v>120756</v>
      </c>
      <c r="Y5" s="636">
        <f t="shared" ref="Y5:Y36" si="6">IF(X5&gt;=X4,X5-X4,0)*0.53</f>
        <v>0</v>
      </c>
      <c r="Z5" s="769">
        <v>134745</v>
      </c>
      <c r="AA5" s="636">
        <f t="shared" ref="AA5:AA36" si="7">IF(Z5&gt;=Z4,Z5-Z4,0)*0.53</f>
        <v>0</v>
      </c>
      <c r="AB5" s="769">
        <v>488293</v>
      </c>
      <c r="AC5" s="636">
        <f>IF(AB5&gt;=AB4,AB5-AB4,0)*0.53</f>
        <v>0</v>
      </c>
      <c r="AD5" s="769">
        <v>656991</v>
      </c>
      <c r="AE5" s="636">
        <f>IF(AD5&gt;=AD4,AD5-AD4,0)*0.53</f>
        <v>0</v>
      </c>
      <c r="AF5" s="769">
        <v>835653</v>
      </c>
      <c r="AG5" s="636">
        <f t="shared" ref="AG5:AG12" si="8">IF(AF5&gt;=AF4,AF5-AF4,0)*0.53</f>
        <v>0</v>
      </c>
      <c r="AH5" s="770">
        <v>988484</v>
      </c>
      <c r="AI5" s="636">
        <f t="shared" ref="AI5:AI36" si="9">IF(AH5&gt;=AH4,AH5-AH4,0)*0.53</f>
        <v>0</v>
      </c>
      <c r="AJ5" s="769">
        <v>753327</v>
      </c>
      <c r="AK5" s="636">
        <f t="shared" ref="AK5:AK12" si="10">IF(AJ5&gt;=AJ4,AJ5-AJ4,0)*0.53</f>
        <v>0</v>
      </c>
      <c r="AL5" s="769">
        <v>493166</v>
      </c>
      <c r="AM5" s="636">
        <f t="shared" ref="AM5:AM36" si="11">IF(AL5&gt;=AL4,AL5-AL4,0)*0.53</f>
        <v>0</v>
      </c>
      <c r="AN5" s="636">
        <f>W5+Y5+AA5+AC5+AE5+AG5+AI5+AK5+AM5</f>
        <v>0</v>
      </c>
      <c r="AO5" s="769">
        <v>7651074</v>
      </c>
      <c r="AP5" s="636">
        <f>IF(AO5&gt;=AO4,AO5-AO4,0)*0.1125</f>
        <v>0</v>
      </c>
      <c r="AQ5" s="769">
        <v>677433</v>
      </c>
      <c r="AR5" s="636">
        <f t="shared" ref="AR5:AR36" si="12">IF(AQ5&gt;=AQ4,AQ5-AQ4,0)</f>
        <v>0</v>
      </c>
      <c r="AS5" s="769">
        <v>966158</v>
      </c>
      <c r="AT5" s="636">
        <f>IF(AS5&gt;=AS4,AS5-AS4,0)</f>
        <v>0</v>
      </c>
      <c r="AU5" s="769">
        <v>810198</v>
      </c>
      <c r="AV5" s="636">
        <f t="shared" ref="AV5:AV36" si="13">IF(AU5&gt;=AU4,AU5-AU4,0)</f>
        <v>0</v>
      </c>
      <c r="AW5" s="769">
        <v>2620992</v>
      </c>
      <c r="AX5" s="636">
        <f t="shared" ref="AX5:AX36" si="14">IF(AW5&gt;=AW4,AW5-AW4,0)</f>
        <v>0</v>
      </c>
      <c r="AY5" s="769">
        <v>229553</v>
      </c>
      <c r="AZ5" s="636">
        <f t="shared" ref="AZ5:AZ18" si="15">IF(AY5&gt;=AY4,AY5-AY4,0)</f>
        <v>0</v>
      </c>
      <c r="BA5" s="769">
        <v>19297389</v>
      </c>
      <c r="BB5" s="636">
        <f t="shared" ref="BB5:BF36" si="16">IF(BA5&gt;=BA4,BA5-BA4,0)</f>
        <v>0</v>
      </c>
      <c r="BC5" s="769">
        <v>567310</v>
      </c>
      <c r="BD5" s="636">
        <f t="shared" si="16"/>
        <v>0</v>
      </c>
      <c r="BE5" s="769">
        <v>26749</v>
      </c>
      <c r="BF5" s="636">
        <f t="shared" si="16"/>
        <v>0</v>
      </c>
      <c r="BG5" s="770">
        <v>24129548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70">
        <v>1425459</v>
      </c>
      <c r="BL5" s="636">
        <f t="shared" ref="BL5:BL36" si="17">IF(BK5&gt;=BK4,BK5-BK4,0)</f>
        <v>0</v>
      </c>
      <c r="BM5" s="769">
        <v>3933145</v>
      </c>
      <c r="BN5" s="636">
        <f t="shared" ref="BN5:BN36" si="18">IF(BM5&gt;=BM4,BM5-BM4,0)</f>
        <v>0</v>
      </c>
      <c r="BO5" s="707">
        <v>413761</v>
      </c>
      <c r="BP5" s="636">
        <f t="shared" ref="BP5:BP36" si="19">IF(BO5&gt;=BO4,BO5-BO4,0)</f>
        <v>0</v>
      </c>
      <c r="BQ5" s="769">
        <v>517957</v>
      </c>
      <c r="BR5" s="636">
        <f t="shared" ref="BR5:BR11" si="20">IF(BQ5&gt;=BQ4,BQ5-BQ4,0)</f>
        <v>0</v>
      </c>
      <c r="BS5" s="769"/>
      <c r="BT5" s="711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0">
        <v>23941765</v>
      </c>
      <c r="J6" s="636">
        <f t="shared" ref="J6:J36" si="21">IF(I6&gt;=I5,I6-I5,0)</f>
        <v>6679</v>
      </c>
      <c r="K6" s="636">
        <f t="shared" ref="K6:K36" si="22">M6+O6</f>
        <v>4420</v>
      </c>
      <c r="L6" s="770">
        <v>685291</v>
      </c>
      <c r="M6" s="636">
        <f t="shared" si="0"/>
        <v>2681</v>
      </c>
      <c r="N6" s="770">
        <v>570190</v>
      </c>
      <c r="O6" s="636">
        <f>IF(N6&gt;=N5,N6-N5,0)</f>
        <v>1739</v>
      </c>
      <c r="P6" s="770">
        <v>221741</v>
      </c>
      <c r="Q6" s="636">
        <f t="shared" si="2"/>
        <v>360</v>
      </c>
      <c r="R6" s="769">
        <v>182429</v>
      </c>
      <c r="S6" s="636">
        <f t="shared" si="3"/>
        <v>143</v>
      </c>
      <c r="T6" s="769">
        <v>333491</v>
      </c>
      <c r="U6" s="636">
        <f t="shared" si="4"/>
        <v>259.5</v>
      </c>
      <c r="V6" s="769">
        <v>795028</v>
      </c>
      <c r="W6" s="636">
        <f t="shared" si="5"/>
        <v>1564.5600000000002</v>
      </c>
      <c r="X6" s="770">
        <v>120756</v>
      </c>
      <c r="Y6" s="636">
        <f t="shared" si="6"/>
        <v>0</v>
      </c>
      <c r="Z6" s="770">
        <v>134745</v>
      </c>
      <c r="AA6" s="636">
        <f t="shared" si="7"/>
        <v>0</v>
      </c>
      <c r="AB6" s="769">
        <v>488293</v>
      </c>
      <c r="AC6" s="636">
        <f>IF(AB6&gt;=AB5,AB6-AB5,0)*0.53</f>
        <v>0</v>
      </c>
      <c r="AD6" s="769">
        <v>657016</v>
      </c>
      <c r="AE6" s="636">
        <f t="shared" ref="AE6:AE36" si="23">IF(AD6&gt;=AD5,AD6-AD5,0)*0.53</f>
        <v>13.25</v>
      </c>
      <c r="AF6" s="769">
        <v>835678</v>
      </c>
      <c r="AG6" s="636">
        <f t="shared" si="8"/>
        <v>13.25</v>
      </c>
      <c r="AH6" s="770">
        <v>988738</v>
      </c>
      <c r="AI6" s="636">
        <f t="shared" si="9"/>
        <v>134.62</v>
      </c>
      <c r="AJ6" s="770">
        <v>756790</v>
      </c>
      <c r="AK6" s="636">
        <f t="shared" si="10"/>
        <v>1835.39</v>
      </c>
      <c r="AL6" s="769">
        <v>493447</v>
      </c>
      <c r="AM6" s="636">
        <f t="shared" si="11"/>
        <v>148.93</v>
      </c>
      <c r="AN6" s="636">
        <f t="shared" ref="AN6:AN36" si="24">W6+Y6+AA6+AC6+AE6+AG6+AI6+AK6+AM6</f>
        <v>3710.0000000000005</v>
      </c>
      <c r="AO6" s="769">
        <v>7651116</v>
      </c>
      <c r="AP6" s="636">
        <f t="shared" ref="AP6:AP36" si="25">IF(AO6&gt;=AO5,AO6-AO5,0)*0.1125</f>
        <v>4.7250000000000005</v>
      </c>
      <c r="AQ6" s="769">
        <v>677756</v>
      </c>
      <c r="AR6" s="636">
        <f t="shared" si="12"/>
        <v>323</v>
      </c>
      <c r="AS6" s="769">
        <v>966343</v>
      </c>
      <c r="AT6" s="636">
        <f t="shared" ref="AT6:AT34" si="26">IF(AS6&gt;=AS5,AS6-AS5,0)</f>
        <v>185</v>
      </c>
      <c r="AU6" s="710">
        <v>810250</v>
      </c>
      <c r="AV6" s="636">
        <f t="shared" si="13"/>
        <v>52</v>
      </c>
      <c r="AW6" s="770">
        <v>2621569</v>
      </c>
      <c r="AX6" s="636">
        <f t="shared" si="14"/>
        <v>577</v>
      </c>
      <c r="AY6" s="770">
        <v>229558</v>
      </c>
      <c r="AZ6" s="636">
        <f t="shared" si="15"/>
        <v>5</v>
      </c>
      <c r="BA6" s="770">
        <v>19301116</v>
      </c>
      <c r="BB6" s="636">
        <f t="shared" si="16"/>
        <v>3727</v>
      </c>
      <c r="BC6" s="769">
        <v>567524</v>
      </c>
      <c r="BD6" s="636">
        <f t="shared" si="16"/>
        <v>214</v>
      </c>
      <c r="BE6" s="769">
        <v>26805</v>
      </c>
      <c r="BF6" s="636">
        <f t="shared" si="16"/>
        <v>56</v>
      </c>
      <c r="BG6" s="769">
        <v>24134832</v>
      </c>
      <c r="BH6" s="636">
        <f t="shared" ref="BH6:BH36" si="27">IF(BG6&gt;=BG5,BG6-BG5,0)-(0.45*BN6)-(0.45*BP6)-BR6</f>
        <v>4674.8500000000004</v>
      </c>
      <c r="BI6" s="636">
        <f t="shared" ref="BI6:BI36" si="28">AP6+AR6+AT6+AV6+AX6+AZ6+BB6+BD6+BF6+BH6</f>
        <v>9818.5750000000007</v>
      </c>
      <c r="BJ6" s="636">
        <f t="shared" ref="BJ6:BJ36" si="29">BI6+AN6</f>
        <v>13528.575000000001</v>
      </c>
      <c r="BK6" s="770">
        <v>1425522</v>
      </c>
      <c r="BL6" s="636">
        <f t="shared" si="17"/>
        <v>63</v>
      </c>
      <c r="BM6" s="770">
        <v>3934116</v>
      </c>
      <c r="BN6" s="636">
        <f t="shared" si="18"/>
        <v>971</v>
      </c>
      <c r="BO6" s="770">
        <v>413897</v>
      </c>
      <c r="BP6" s="636">
        <f t="shared" si="19"/>
        <v>136</v>
      </c>
      <c r="BQ6" s="769">
        <v>518068</v>
      </c>
      <c r="BR6" s="636">
        <f t="shared" si="20"/>
        <v>111</v>
      </c>
      <c r="BS6" s="692">
        <f t="shared" ref="BS6:BS36" si="30">J6+Q6+AN6+BI6</f>
        <v>20567.575000000001</v>
      </c>
      <c r="BT6" s="693">
        <v>194</v>
      </c>
      <c r="BU6" s="692" t="e">
        <f t="shared" ref="BU6:BU12" si="31">IF(BS6&gt;0,BS6/BT5,0)</f>
        <v>#DIV/0!</v>
      </c>
      <c r="BV6" s="693"/>
      <c r="BW6" s="692" t="e">
        <f t="shared" ref="BW6:BW36" si="32">IF(BS6&gt;0,BS6/BV6,0)</f>
        <v>#DIV/0!</v>
      </c>
      <c r="BX6" s="692">
        <f>((BS6-Q6)*$BZ$1)+(Q6*$BR$1)</f>
        <v>23814.71125</v>
      </c>
      <c r="BY6" s="692" t="e">
        <f t="shared" ref="BY6:BY15" si="33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0">
        <v>23948405</v>
      </c>
      <c r="J7" s="636">
        <f t="shared" si="21"/>
        <v>6640</v>
      </c>
      <c r="K7" s="636">
        <f t="shared" si="22"/>
        <v>4321</v>
      </c>
      <c r="L7" s="770">
        <v>687873</v>
      </c>
      <c r="M7" s="636">
        <f>IF(L7&gt;=L6,L7-L6,0)</f>
        <v>2582</v>
      </c>
      <c r="N7" s="770">
        <v>571929</v>
      </c>
      <c r="O7" s="636">
        <f>IF(N7&gt;=N6,N7-N6,0)</f>
        <v>1739</v>
      </c>
      <c r="P7" s="770">
        <v>221761</v>
      </c>
      <c r="Q7" s="636">
        <f t="shared" si="2"/>
        <v>600</v>
      </c>
      <c r="R7" s="769">
        <v>182574</v>
      </c>
      <c r="S7" s="636">
        <f t="shared" si="3"/>
        <v>145</v>
      </c>
      <c r="T7" s="769">
        <v>333760</v>
      </c>
      <c r="U7" s="636">
        <f t="shared" si="4"/>
        <v>269</v>
      </c>
      <c r="V7" s="769">
        <v>796893</v>
      </c>
      <c r="W7" s="636">
        <f t="shared" si="5"/>
        <v>988.45</v>
      </c>
      <c r="X7" s="770">
        <v>120756</v>
      </c>
      <c r="Y7" s="636">
        <f t="shared" si="6"/>
        <v>0</v>
      </c>
      <c r="Z7" s="769">
        <v>134745</v>
      </c>
      <c r="AA7" s="636">
        <f t="shared" si="7"/>
        <v>0</v>
      </c>
      <c r="AB7" s="769">
        <v>488293</v>
      </c>
      <c r="AC7" s="636">
        <f t="shared" ref="AC7:AC36" si="34">IF(AB7&gt;=AB6,AB7-AB6,0)*0.53</f>
        <v>0</v>
      </c>
      <c r="AD7" s="769">
        <v>657041</v>
      </c>
      <c r="AE7" s="636">
        <f t="shared" si="23"/>
        <v>13.25</v>
      </c>
      <c r="AF7" s="769">
        <v>835702</v>
      </c>
      <c r="AG7" s="636">
        <f t="shared" si="8"/>
        <v>12.72</v>
      </c>
      <c r="AH7" s="770">
        <v>989509</v>
      </c>
      <c r="AI7" s="636">
        <f t="shared" si="9"/>
        <v>408.63</v>
      </c>
      <c r="AJ7" s="770">
        <v>760648</v>
      </c>
      <c r="AK7" s="636">
        <f t="shared" si="10"/>
        <v>2044.74</v>
      </c>
      <c r="AL7" s="769">
        <v>493740</v>
      </c>
      <c r="AM7" s="636">
        <f t="shared" si="11"/>
        <v>155.29000000000002</v>
      </c>
      <c r="AN7" s="636">
        <f t="shared" si="24"/>
        <v>3623.08</v>
      </c>
      <c r="AO7" s="769">
        <v>7651153</v>
      </c>
      <c r="AP7" s="636">
        <f t="shared" si="25"/>
        <v>4.1625000000000005</v>
      </c>
      <c r="AQ7" s="769">
        <v>678094</v>
      </c>
      <c r="AR7" s="636">
        <f t="shared" si="12"/>
        <v>338</v>
      </c>
      <c r="AS7" s="769">
        <v>966504</v>
      </c>
      <c r="AT7" s="636">
        <f t="shared" si="26"/>
        <v>161</v>
      </c>
      <c r="AU7" s="710">
        <v>810293</v>
      </c>
      <c r="AV7" s="636">
        <f t="shared" si="13"/>
        <v>43</v>
      </c>
      <c r="AW7" s="770">
        <v>2622144</v>
      </c>
      <c r="AX7" s="636">
        <f t="shared" si="14"/>
        <v>575</v>
      </c>
      <c r="AY7" s="769">
        <v>229564</v>
      </c>
      <c r="AZ7" s="636">
        <f t="shared" si="15"/>
        <v>6</v>
      </c>
      <c r="BA7" s="770">
        <v>19305145</v>
      </c>
      <c r="BB7" s="636">
        <f t="shared" si="16"/>
        <v>4029</v>
      </c>
      <c r="BC7" s="769">
        <v>567742</v>
      </c>
      <c r="BD7" s="636">
        <f t="shared" si="16"/>
        <v>218</v>
      </c>
      <c r="BE7" s="769">
        <v>26932</v>
      </c>
      <c r="BF7" s="636">
        <f t="shared" si="16"/>
        <v>127</v>
      </c>
      <c r="BG7" s="770">
        <v>24140284</v>
      </c>
      <c r="BH7" s="636">
        <f t="shared" si="27"/>
        <v>4833.4500000000007</v>
      </c>
      <c r="BI7" s="636">
        <f t="shared" si="28"/>
        <v>10334.612500000001</v>
      </c>
      <c r="BJ7" s="636">
        <f t="shared" si="29"/>
        <v>13957.692500000001</v>
      </c>
      <c r="BK7" s="770">
        <v>1425582</v>
      </c>
      <c r="BL7" s="636">
        <f t="shared" si="17"/>
        <v>60</v>
      </c>
      <c r="BM7" s="770">
        <v>3935053</v>
      </c>
      <c r="BN7" s="636">
        <f t="shared" si="18"/>
        <v>937</v>
      </c>
      <c r="BO7" s="770">
        <v>414039</v>
      </c>
      <c r="BP7" s="636">
        <f t="shared" si="19"/>
        <v>142</v>
      </c>
      <c r="BQ7" s="769">
        <v>518201</v>
      </c>
      <c r="BR7" s="636">
        <f t="shared" si="20"/>
        <v>133</v>
      </c>
      <c r="BS7" s="692">
        <f t="shared" si="30"/>
        <v>21197.692500000001</v>
      </c>
      <c r="BT7" s="693">
        <v>194</v>
      </c>
      <c r="BU7" s="692">
        <f t="shared" si="31"/>
        <v>109.26645618556701</v>
      </c>
      <c r="BV7" s="693"/>
      <c r="BW7" s="692" t="e">
        <f t="shared" si="32"/>
        <v>#DIV/0!</v>
      </c>
      <c r="BX7" s="692">
        <f t="shared" ref="BX7:BX36" si="35">((BS7-Q7)*$BZ$1)+(Q7*$BR$1)</f>
        <v>24647.346375000001</v>
      </c>
      <c r="BY7" s="692">
        <f t="shared" si="33"/>
        <v>127.04817719072166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0">
        <v>23955296</v>
      </c>
      <c r="J8" s="636">
        <f t="shared" si="21"/>
        <v>6891</v>
      </c>
      <c r="K8" s="636">
        <f t="shared" si="22"/>
        <v>4131</v>
      </c>
      <c r="L8" s="770">
        <v>690576</v>
      </c>
      <c r="M8" s="636">
        <f>IF(L8&gt;=L7,L8-L7,0)</f>
        <v>2703</v>
      </c>
      <c r="N8" s="770">
        <v>573357</v>
      </c>
      <c r="O8" s="636">
        <f t="shared" ref="O8:O27" si="40">IF(N8&gt;=N7,N8-N7,0)</f>
        <v>1428</v>
      </c>
      <c r="P8" s="770">
        <v>221780</v>
      </c>
      <c r="Q8" s="636">
        <f t="shared" si="2"/>
        <v>570</v>
      </c>
      <c r="R8" s="770">
        <v>182714</v>
      </c>
      <c r="S8" s="636">
        <f t="shared" si="3"/>
        <v>140</v>
      </c>
      <c r="T8" s="769">
        <v>334006</v>
      </c>
      <c r="U8" s="636">
        <f t="shared" si="4"/>
        <v>246</v>
      </c>
      <c r="V8" s="769">
        <v>798719</v>
      </c>
      <c r="W8" s="636">
        <f t="shared" si="5"/>
        <v>967.78000000000009</v>
      </c>
      <c r="X8" s="770">
        <v>120756</v>
      </c>
      <c r="Y8" s="636">
        <f t="shared" si="6"/>
        <v>0</v>
      </c>
      <c r="Z8" s="769">
        <v>134745</v>
      </c>
      <c r="AA8" s="636">
        <f t="shared" si="7"/>
        <v>0</v>
      </c>
      <c r="AB8" s="769">
        <v>488293</v>
      </c>
      <c r="AC8" s="636">
        <f t="shared" si="34"/>
        <v>0</v>
      </c>
      <c r="AD8" s="769">
        <v>657067</v>
      </c>
      <c r="AE8" s="636">
        <f t="shared" si="23"/>
        <v>13.780000000000001</v>
      </c>
      <c r="AF8" s="769">
        <v>835727</v>
      </c>
      <c r="AG8" s="636">
        <f t="shared" si="8"/>
        <v>13.25</v>
      </c>
      <c r="AH8" s="769">
        <v>990262</v>
      </c>
      <c r="AI8" s="636">
        <f t="shared" si="9"/>
        <v>399.09000000000003</v>
      </c>
      <c r="AJ8" s="769">
        <v>764927</v>
      </c>
      <c r="AK8" s="636">
        <f t="shared" si="10"/>
        <v>2267.87</v>
      </c>
      <c r="AL8" s="769">
        <v>494035</v>
      </c>
      <c r="AM8" s="636">
        <f t="shared" si="11"/>
        <v>156.35</v>
      </c>
      <c r="AN8" s="636">
        <f t="shared" si="24"/>
        <v>3818.12</v>
      </c>
      <c r="AO8" s="769">
        <v>7651192</v>
      </c>
      <c r="AP8" s="636">
        <f t="shared" si="25"/>
        <v>4.3875000000000002</v>
      </c>
      <c r="AQ8" s="770">
        <v>678420</v>
      </c>
      <c r="AR8" s="636">
        <f t="shared" si="12"/>
        <v>326</v>
      </c>
      <c r="AS8" s="770">
        <v>966651</v>
      </c>
      <c r="AT8" s="636">
        <f t="shared" si="26"/>
        <v>147</v>
      </c>
      <c r="AU8" s="769">
        <v>810336</v>
      </c>
      <c r="AV8" s="636">
        <f>IF(AU8&gt;=AU7,AU8-AU7,0)</f>
        <v>43</v>
      </c>
      <c r="AW8" s="769">
        <v>2622721</v>
      </c>
      <c r="AX8" s="636">
        <f t="shared" si="14"/>
        <v>577</v>
      </c>
      <c r="AY8" s="769">
        <v>229570</v>
      </c>
      <c r="AZ8" s="636">
        <f t="shared" si="15"/>
        <v>6</v>
      </c>
      <c r="BA8" s="769">
        <v>19309285</v>
      </c>
      <c r="BB8" s="636">
        <f t="shared" si="16"/>
        <v>4140</v>
      </c>
      <c r="BC8" s="769">
        <v>567966</v>
      </c>
      <c r="BD8" s="636">
        <f t="shared" si="16"/>
        <v>224</v>
      </c>
      <c r="BE8" s="769">
        <v>26911</v>
      </c>
      <c r="BF8" s="636">
        <f t="shared" si="16"/>
        <v>0</v>
      </c>
      <c r="BG8" s="770">
        <v>24145468</v>
      </c>
      <c r="BH8" s="636">
        <f t="shared" si="27"/>
        <v>4645.6000000000004</v>
      </c>
      <c r="BI8" s="636">
        <f t="shared" si="28"/>
        <v>10112.987499999999</v>
      </c>
      <c r="BJ8" s="636">
        <f t="shared" si="29"/>
        <v>13931.107499999998</v>
      </c>
      <c r="BK8" s="770">
        <v>1425642</v>
      </c>
      <c r="BL8" s="636">
        <f t="shared" si="17"/>
        <v>60</v>
      </c>
      <c r="BM8" s="769">
        <v>3935830</v>
      </c>
      <c r="BN8" s="636">
        <f t="shared" si="18"/>
        <v>777</v>
      </c>
      <c r="BO8" s="769">
        <v>414174</v>
      </c>
      <c r="BP8" s="636">
        <f t="shared" si="19"/>
        <v>135</v>
      </c>
      <c r="BQ8" s="769">
        <v>518329</v>
      </c>
      <c r="BR8" s="636">
        <f t="shared" si="20"/>
        <v>128</v>
      </c>
      <c r="BS8" s="692">
        <f t="shared" si="30"/>
        <v>21392.107499999998</v>
      </c>
      <c r="BT8" s="693">
        <v>212</v>
      </c>
      <c r="BU8" s="692">
        <f t="shared" si="31"/>
        <v>110.26859536082473</v>
      </c>
      <c r="BV8" s="693"/>
      <c r="BW8" s="692" t="e">
        <f t="shared" si="32"/>
        <v>#DIV/0!</v>
      </c>
      <c r="BX8" s="692">
        <f t="shared" si="35"/>
        <v>24857.423624999996</v>
      </c>
      <c r="BY8" s="692">
        <f t="shared" si="33"/>
        <v>128.13104961340204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0">
        <v>23962037</v>
      </c>
      <c r="J9" s="636">
        <f>IF(I9&gt;=I8,I9-I8,0)</f>
        <v>6741</v>
      </c>
      <c r="K9" s="636">
        <f t="shared" si="22"/>
        <v>4176</v>
      </c>
      <c r="L9" s="770">
        <v>693336</v>
      </c>
      <c r="M9" s="636">
        <f t="shared" ref="M9:M28" si="41">IF(L9&gt;=L8,L9-L8,0)</f>
        <v>2760</v>
      </c>
      <c r="N9" s="770">
        <v>574773</v>
      </c>
      <c r="O9" s="636">
        <f t="shared" si="40"/>
        <v>1416</v>
      </c>
      <c r="P9" s="770">
        <v>221800</v>
      </c>
      <c r="Q9" s="636">
        <f t="shared" si="2"/>
        <v>600</v>
      </c>
      <c r="R9" s="769">
        <v>182852</v>
      </c>
      <c r="S9" s="636">
        <f t="shared" si="3"/>
        <v>138</v>
      </c>
      <c r="T9" s="769">
        <v>334251</v>
      </c>
      <c r="U9" s="636">
        <f t="shared" si="4"/>
        <v>245</v>
      </c>
      <c r="V9" s="769">
        <v>800219</v>
      </c>
      <c r="W9" s="636">
        <f t="shared" si="5"/>
        <v>795</v>
      </c>
      <c r="X9" s="770">
        <v>120756</v>
      </c>
      <c r="Y9" s="636">
        <f t="shared" si="6"/>
        <v>0</v>
      </c>
      <c r="Z9" s="769">
        <v>134745</v>
      </c>
      <c r="AA9" s="636">
        <f t="shared" si="7"/>
        <v>0</v>
      </c>
      <c r="AB9" s="769">
        <v>488293</v>
      </c>
      <c r="AC9" s="636">
        <f t="shared" si="34"/>
        <v>0</v>
      </c>
      <c r="AD9" s="769">
        <v>657092</v>
      </c>
      <c r="AE9" s="636">
        <f t="shared" si="23"/>
        <v>13.25</v>
      </c>
      <c r="AF9" s="769">
        <v>835751</v>
      </c>
      <c r="AG9" s="636">
        <f t="shared" si="8"/>
        <v>12.72</v>
      </c>
      <c r="AH9" s="770">
        <v>990964</v>
      </c>
      <c r="AI9" s="636">
        <f t="shared" si="9"/>
        <v>372.06</v>
      </c>
      <c r="AJ9" s="770">
        <v>768260</v>
      </c>
      <c r="AK9" s="636">
        <f t="shared" si="10"/>
        <v>1766.49</v>
      </c>
      <c r="AL9" s="769">
        <v>494315</v>
      </c>
      <c r="AM9" s="636">
        <f t="shared" si="11"/>
        <v>148.4</v>
      </c>
      <c r="AN9" s="636">
        <f t="shared" si="24"/>
        <v>3107.92</v>
      </c>
      <c r="AO9" s="769">
        <v>7651229</v>
      </c>
      <c r="AP9" s="636">
        <f t="shared" si="25"/>
        <v>4.1625000000000005</v>
      </c>
      <c r="AQ9" s="769">
        <v>678752</v>
      </c>
      <c r="AR9" s="636">
        <f t="shared" si="12"/>
        <v>332</v>
      </c>
      <c r="AS9" s="770">
        <v>966809</v>
      </c>
      <c r="AT9" s="636">
        <f t="shared" si="26"/>
        <v>158</v>
      </c>
      <c r="AU9" s="710">
        <v>810372</v>
      </c>
      <c r="AV9" s="636">
        <f>IF(AU9&gt;=AU8,AU9-AU8,0)</f>
        <v>36</v>
      </c>
      <c r="AW9" s="770">
        <v>2623251</v>
      </c>
      <c r="AX9" s="636">
        <f t="shared" si="14"/>
        <v>530</v>
      </c>
      <c r="AY9" s="769">
        <v>229576</v>
      </c>
      <c r="AZ9" s="636">
        <f t="shared" si="15"/>
        <v>6</v>
      </c>
      <c r="BA9" s="770">
        <v>19313412</v>
      </c>
      <c r="BB9" s="636">
        <f t="shared" si="16"/>
        <v>4127</v>
      </c>
      <c r="BC9" s="769">
        <v>568170</v>
      </c>
      <c r="BD9" s="636">
        <f t="shared" si="16"/>
        <v>204</v>
      </c>
      <c r="BE9" s="769">
        <v>26965</v>
      </c>
      <c r="BF9" s="636">
        <f t="shared" si="16"/>
        <v>54</v>
      </c>
      <c r="BG9" s="770">
        <v>24150767</v>
      </c>
      <c r="BH9" s="636">
        <f t="shared" si="27"/>
        <v>4734.3999999999996</v>
      </c>
      <c r="BI9" s="636">
        <f t="shared" si="28"/>
        <v>10185.5625</v>
      </c>
      <c r="BJ9" s="636">
        <f t="shared" si="29"/>
        <v>13293.4825</v>
      </c>
      <c r="BK9" s="770">
        <v>1425702</v>
      </c>
      <c r="BL9" s="636">
        <f t="shared" si="17"/>
        <v>60</v>
      </c>
      <c r="BM9" s="770">
        <v>3936660</v>
      </c>
      <c r="BN9" s="636">
        <f t="shared" si="18"/>
        <v>830</v>
      </c>
      <c r="BO9" s="770">
        <v>414312</v>
      </c>
      <c r="BP9" s="636">
        <f t="shared" si="19"/>
        <v>138</v>
      </c>
      <c r="BQ9" s="769">
        <v>518458</v>
      </c>
      <c r="BR9" s="636">
        <f t="shared" si="20"/>
        <v>129</v>
      </c>
      <c r="BS9" s="692">
        <f t="shared" si="30"/>
        <v>20634.482499999998</v>
      </c>
      <c r="BT9" s="693">
        <v>234</v>
      </c>
      <c r="BU9" s="692">
        <f t="shared" si="31"/>
        <v>97.332464622641496</v>
      </c>
      <c r="BV9" s="693"/>
      <c r="BW9" s="692" t="e">
        <f t="shared" si="32"/>
        <v>#DIV/0!</v>
      </c>
      <c r="BX9" s="692">
        <f t="shared" si="35"/>
        <v>23999.654874999997</v>
      </c>
      <c r="BY9" s="692">
        <f t="shared" si="33"/>
        <v>113.2059192216981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9">
        <f t="shared" si="37"/>
        <v>0</v>
      </c>
      <c r="D10" s="769"/>
      <c r="E10" s="769">
        <f t="shared" si="38"/>
        <v>0</v>
      </c>
      <c r="F10" s="769"/>
      <c r="G10" s="769">
        <f t="shared" si="39"/>
        <v>0</v>
      </c>
      <c r="H10" s="456">
        <v>58</v>
      </c>
      <c r="I10" s="770">
        <v>23968894</v>
      </c>
      <c r="J10" s="636">
        <f>IF(I10&gt;=I9,I10-I9,0)</f>
        <v>6857</v>
      </c>
      <c r="K10" s="636">
        <f t="shared" si="22"/>
        <v>4372</v>
      </c>
      <c r="L10" s="770">
        <v>696118</v>
      </c>
      <c r="M10" s="636">
        <f t="shared" si="41"/>
        <v>2782</v>
      </c>
      <c r="N10" s="770">
        <v>576363</v>
      </c>
      <c r="O10" s="636">
        <f t="shared" si="40"/>
        <v>1590</v>
      </c>
      <c r="P10" s="770">
        <v>221821</v>
      </c>
      <c r="Q10" s="636">
        <f t="shared" si="2"/>
        <v>630</v>
      </c>
      <c r="R10" s="769">
        <v>182994</v>
      </c>
      <c r="S10" s="636">
        <f t="shared" si="3"/>
        <v>142</v>
      </c>
      <c r="T10" s="769">
        <v>334501</v>
      </c>
      <c r="U10" s="636">
        <f t="shared" si="4"/>
        <v>250</v>
      </c>
      <c r="V10" s="769">
        <v>802040</v>
      </c>
      <c r="W10" s="636">
        <f t="shared" si="5"/>
        <v>965.13</v>
      </c>
      <c r="X10" s="770">
        <v>120756</v>
      </c>
      <c r="Y10" s="636">
        <f t="shared" si="6"/>
        <v>0</v>
      </c>
      <c r="Z10" s="769">
        <v>134745</v>
      </c>
      <c r="AA10" s="636">
        <f t="shared" si="7"/>
        <v>0</v>
      </c>
      <c r="AB10" s="769">
        <v>488293</v>
      </c>
      <c r="AC10" s="636">
        <f t="shared" si="34"/>
        <v>0</v>
      </c>
      <c r="AD10" s="769">
        <v>657118</v>
      </c>
      <c r="AE10" s="636">
        <f t="shared" si="23"/>
        <v>13.780000000000001</v>
      </c>
      <c r="AF10" s="769">
        <v>835777</v>
      </c>
      <c r="AG10" s="636">
        <f t="shared" si="8"/>
        <v>13.780000000000001</v>
      </c>
      <c r="AH10" s="770">
        <v>991717</v>
      </c>
      <c r="AI10" s="636">
        <f t="shared" si="9"/>
        <v>399.09000000000003</v>
      </c>
      <c r="AJ10" s="770">
        <v>771723</v>
      </c>
      <c r="AK10" s="636">
        <f t="shared" si="10"/>
        <v>1835.39</v>
      </c>
      <c r="AL10" s="769">
        <v>494608</v>
      </c>
      <c r="AM10" s="636">
        <f t="shared" si="11"/>
        <v>155.29000000000002</v>
      </c>
      <c r="AN10" s="636">
        <f t="shared" si="24"/>
        <v>3382.46</v>
      </c>
      <c r="AO10" s="769">
        <v>7651270</v>
      </c>
      <c r="AP10" s="636">
        <f t="shared" si="25"/>
        <v>4.6124999999999998</v>
      </c>
      <c r="AQ10" s="769">
        <v>679118</v>
      </c>
      <c r="AR10" s="636">
        <f t="shared" si="12"/>
        <v>366</v>
      </c>
      <c r="AS10" s="769">
        <v>966971</v>
      </c>
      <c r="AT10" s="636">
        <f t="shared" si="26"/>
        <v>162</v>
      </c>
      <c r="AU10" s="710">
        <v>810413</v>
      </c>
      <c r="AV10" s="636">
        <f>IF(AU10&gt;=AU9,AU10-AU9,0)</f>
        <v>41</v>
      </c>
      <c r="AW10" s="770">
        <v>2623810</v>
      </c>
      <c r="AX10" s="636">
        <f t="shared" si="14"/>
        <v>559</v>
      </c>
      <c r="AY10" s="770">
        <v>229582</v>
      </c>
      <c r="AZ10" s="636">
        <f t="shared" si="15"/>
        <v>6</v>
      </c>
      <c r="BA10" s="769">
        <v>19317733</v>
      </c>
      <c r="BB10" s="636">
        <f t="shared" si="16"/>
        <v>4321</v>
      </c>
      <c r="BC10" s="769">
        <v>568309</v>
      </c>
      <c r="BD10" s="636">
        <f t="shared" si="16"/>
        <v>139</v>
      </c>
      <c r="BE10" s="769">
        <v>26997</v>
      </c>
      <c r="BF10" s="636">
        <f t="shared" si="16"/>
        <v>32</v>
      </c>
      <c r="BG10" s="770">
        <v>24156115</v>
      </c>
      <c r="BH10" s="636">
        <f t="shared" si="27"/>
        <v>4777.8999999999996</v>
      </c>
      <c r="BI10" s="636">
        <f t="shared" si="28"/>
        <v>10408.512500000001</v>
      </c>
      <c r="BJ10" s="636">
        <f t="shared" si="29"/>
        <v>13790.9725</v>
      </c>
      <c r="BK10" s="770">
        <v>1425762</v>
      </c>
      <c r="BL10" s="636">
        <f t="shared" si="17"/>
        <v>60</v>
      </c>
      <c r="BM10" s="770">
        <v>3937499</v>
      </c>
      <c r="BN10" s="636">
        <f t="shared" si="18"/>
        <v>839</v>
      </c>
      <c r="BO10" s="707">
        <v>414451</v>
      </c>
      <c r="BP10" s="636">
        <f t="shared" si="19"/>
        <v>139</v>
      </c>
      <c r="BQ10" s="769">
        <v>518588</v>
      </c>
      <c r="BR10" s="636">
        <f t="shared" si="20"/>
        <v>130</v>
      </c>
      <c r="BS10" s="692">
        <f t="shared" si="30"/>
        <v>21277.9725</v>
      </c>
      <c r="BT10" s="693">
        <v>216</v>
      </c>
      <c r="BU10" s="692">
        <f t="shared" si="31"/>
        <v>90.931506410256404</v>
      </c>
      <c r="BV10" s="693"/>
      <c r="BW10" s="692" t="e">
        <f t="shared" si="32"/>
        <v>#DIV/0!</v>
      </c>
      <c r="BX10" s="692">
        <f t="shared" si="35"/>
        <v>24753.168374999997</v>
      </c>
      <c r="BY10" s="692">
        <f t="shared" si="33"/>
        <v>105.78277083333332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0">
        <v>23975597</v>
      </c>
      <c r="J11" s="636">
        <f>IF(I11&gt;=I10,I11-I10,0)</f>
        <v>6703</v>
      </c>
      <c r="K11" s="636">
        <f t="shared" si="22"/>
        <v>4233</v>
      </c>
      <c r="L11" s="769">
        <v>698750</v>
      </c>
      <c r="M11" s="636">
        <f t="shared" si="41"/>
        <v>2632</v>
      </c>
      <c r="N11" s="769">
        <v>577964</v>
      </c>
      <c r="O11" s="636">
        <f t="shared" si="40"/>
        <v>1601</v>
      </c>
      <c r="P11" s="770">
        <v>221833</v>
      </c>
      <c r="Q11" s="636">
        <f t="shared" si="2"/>
        <v>360</v>
      </c>
      <c r="R11" s="769">
        <v>183137</v>
      </c>
      <c r="S11" s="636">
        <f t="shared" si="3"/>
        <v>143</v>
      </c>
      <c r="T11" s="769">
        <v>334757</v>
      </c>
      <c r="U11" s="636">
        <f t="shared" si="4"/>
        <v>256</v>
      </c>
      <c r="V11" s="769">
        <v>804122</v>
      </c>
      <c r="W11" s="636">
        <f t="shared" si="5"/>
        <v>1103.46</v>
      </c>
      <c r="X11" s="770">
        <v>120756</v>
      </c>
      <c r="Y11" s="636">
        <f t="shared" si="6"/>
        <v>0</v>
      </c>
      <c r="Z11" s="773">
        <v>134745</v>
      </c>
      <c r="AA11" s="636">
        <f t="shared" si="7"/>
        <v>0</v>
      </c>
      <c r="AB11" s="769">
        <v>488293</v>
      </c>
      <c r="AC11" s="636">
        <f>IF(AB11&gt;=AB10,AB11-AB10,0)*0.53</f>
        <v>0</v>
      </c>
      <c r="AD11" s="769">
        <v>657143</v>
      </c>
      <c r="AE11" s="636">
        <f t="shared" si="23"/>
        <v>13.25</v>
      </c>
      <c r="AF11" s="769">
        <v>835801</v>
      </c>
      <c r="AG11" s="636">
        <f t="shared" si="8"/>
        <v>12.72</v>
      </c>
      <c r="AH11" s="769">
        <v>992504</v>
      </c>
      <c r="AI11" s="636">
        <f t="shared" si="9"/>
        <v>417.11</v>
      </c>
      <c r="AJ11" s="769">
        <v>775494</v>
      </c>
      <c r="AK11" s="636">
        <f t="shared" si="10"/>
        <v>1998.63</v>
      </c>
      <c r="AL11" s="769">
        <v>494904</v>
      </c>
      <c r="AM11" s="636">
        <f t="shared" si="11"/>
        <v>156.88</v>
      </c>
      <c r="AN11" s="636">
        <f t="shared" si="24"/>
        <v>3702.05</v>
      </c>
      <c r="AO11" s="707">
        <v>7651307</v>
      </c>
      <c r="AP11" s="636">
        <f t="shared" si="25"/>
        <v>4.1625000000000005</v>
      </c>
      <c r="AQ11" s="769">
        <v>679433</v>
      </c>
      <c r="AR11" s="636">
        <f t="shared" si="12"/>
        <v>315</v>
      </c>
      <c r="AS11" s="770">
        <v>967138</v>
      </c>
      <c r="AT11" s="636">
        <f t="shared" si="26"/>
        <v>167</v>
      </c>
      <c r="AU11" s="770">
        <v>810456</v>
      </c>
      <c r="AV11" s="636">
        <f t="shared" si="13"/>
        <v>43</v>
      </c>
      <c r="AW11" s="769">
        <v>2624388</v>
      </c>
      <c r="AX11" s="636">
        <f t="shared" si="14"/>
        <v>578</v>
      </c>
      <c r="AY11" s="770">
        <v>229588</v>
      </c>
      <c r="AZ11" s="636">
        <f t="shared" si="15"/>
        <v>6</v>
      </c>
      <c r="BA11" s="770">
        <v>19321948</v>
      </c>
      <c r="BB11" s="636">
        <f t="shared" si="16"/>
        <v>4215</v>
      </c>
      <c r="BC11" s="769">
        <v>568590</v>
      </c>
      <c r="BD11" s="636">
        <f t="shared" si="16"/>
        <v>281</v>
      </c>
      <c r="BE11" s="769">
        <v>27074</v>
      </c>
      <c r="BF11" s="636">
        <f t="shared" si="16"/>
        <v>77</v>
      </c>
      <c r="BG11" s="770">
        <v>24161527</v>
      </c>
      <c r="BH11" s="636">
        <f t="shared" si="27"/>
        <v>4841.7</v>
      </c>
      <c r="BI11" s="636">
        <f t="shared" si="28"/>
        <v>10527.862499999999</v>
      </c>
      <c r="BJ11" s="636">
        <f t="shared" si="29"/>
        <v>14229.912499999999</v>
      </c>
      <c r="BK11" s="770">
        <v>1425823</v>
      </c>
      <c r="BL11" s="636">
        <f t="shared" si="17"/>
        <v>61</v>
      </c>
      <c r="BM11" s="770">
        <v>3938347</v>
      </c>
      <c r="BN11" s="636">
        <f t="shared" si="18"/>
        <v>848</v>
      </c>
      <c r="BO11" s="769">
        <v>414577</v>
      </c>
      <c r="BP11" s="636">
        <f t="shared" si="19"/>
        <v>126</v>
      </c>
      <c r="BQ11" s="770">
        <v>518720</v>
      </c>
      <c r="BR11" s="636">
        <f t="shared" si="20"/>
        <v>132</v>
      </c>
      <c r="BS11" s="692">
        <f t="shared" si="30"/>
        <v>21292.912499999999</v>
      </c>
      <c r="BT11" s="693">
        <v>198</v>
      </c>
      <c r="BU11" s="692">
        <f t="shared" si="31"/>
        <v>98.578298611111109</v>
      </c>
      <c r="BV11" s="693"/>
      <c r="BW11" s="692" t="e">
        <f t="shared" si="32"/>
        <v>#DIV/0!</v>
      </c>
      <c r="BX11" s="692">
        <f t="shared" si="35"/>
        <v>24648.849374999998</v>
      </c>
      <c r="BY11" s="692">
        <f t="shared" si="33"/>
        <v>114.11504340277777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0">
        <v>23981974</v>
      </c>
      <c r="J12" s="636">
        <f>IF(I12&gt;=I11,I12-I11,0)</f>
        <v>6377</v>
      </c>
      <c r="K12" s="636">
        <f t="shared" si="22"/>
        <v>4224</v>
      </c>
      <c r="L12" s="770">
        <v>701402</v>
      </c>
      <c r="M12" s="636">
        <f t="shared" si="41"/>
        <v>2652</v>
      </c>
      <c r="N12" s="770">
        <v>579536</v>
      </c>
      <c r="O12" s="636">
        <f t="shared" si="40"/>
        <v>1572</v>
      </c>
      <c r="P12" s="770">
        <v>221854</v>
      </c>
      <c r="Q12" s="636">
        <f t="shared" si="2"/>
        <v>630</v>
      </c>
      <c r="R12" s="769">
        <v>183276</v>
      </c>
      <c r="S12" s="636">
        <f t="shared" si="3"/>
        <v>139</v>
      </c>
      <c r="T12" s="769">
        <v>335002</v>
      </c>
      <c r="U12" s="636">
        <f t="shared" si="4"/>
        <v>245</v>
      </c>
      <c r="V12" s="769">
        <v>806590</v>
      </c>
      <c r="W12" s="636">
        <f t="shared" si="5"/>
        <v>1308.04</v>
      </c>
      <c r="X12" s="770">
        <v>120756</v>
      </c>
      <c r="Y12" s="636">
        <f t="shared" si="6"/>
        <v>0</v>
      </c>
      <c r="Z12" s="769">
        <v>134745</v>
      </c>
      <c r="AA12" s="636">
        <f t="shared" si="7"/>
        <v>0</v>
      </c>
      <c r="AB12" s="769">
        <v>488293</v>
      </c>
      <c r="AC12" s="636">
        <f t="shared" si="34"/>
        <v>0</v>
      </c>
      <c r="AD12" s="769">
        <v>657168</v>
      </c>
      <c r="AE12" s="636">
        <f t="shared" si="23"/>
        <v>13.25</v>
      </c>
      <c r="AF12" s="769">
        <v>835825</v>
      </c>
      <c r="AG12" s="636">
        <f t="shared" si="8"/>
        <v>12.72</v>
      </c>
      <c r="AH12" s="769">
        <v>993259</v>
      </c>
      <c r="AI12" s="636">
        <f t="shared" si="9"/>
        <v>400.15000000000003</v>
      </c>
      <c r="AJ12" s="770">
        <v>779496</v>
      </c>
      <c r="AK12" s="636">
        <f t="shared" si="10"/>
        <v>2121.06</v>
      </c>
      <c r="AL12" s="769">
        <v>495197</v>
      </c>
      <c r="AM12" s="636">
        <f t="shared" si="11"/>
        <v>155.29000000000002</v>
      </c>
      <c r="AN12" s="636">
        <f t="shared" si="24"/>
        <v>4010.51</v>
      </c>
      <c r="AO12" s="769">
        <v>7651346</v>
      </c>
      <c r="AP12" s="636">
        <f t="shared" si="25"/>
        <v>4.3875000000000002</v>
      </c>
      <c r="AQ12" s="770">
        <v>679772</v>
      </c>
      <c r="AR12" s="636">
        <f t="shared" si="12"/>
        <v>339</v>
      </c>
      <c r="AS12" s="769">
        <v>967258</v>
      </c>
      <c r="AT12" s="636">
        <f t="shared" si="26"/>
        <v>120</v>
      </c>
      <c r="AU12" s="710">
        <v>810500</v>
      </c>
      <c r="AV12" s="636">
        <f t="shared" si="13"/>
        <v>44</v>
      </c>
      <c r="AW12" s="770">
        <v>2624967</v>
      </c>
      <c r="AX12" s="636">
        <f t="shared" si="14"/>
        <v>579</v>
      </c>
      <c r="AY12" s="769">
        <v>229594</v>
      </c>
      <c r="AZ12" s="636">
        <f t="shared" si="15"/>
        <v>6</v>
      </c>
      <c r="BA12" s="770">
        <v>19326072</v>
      </c>
      <c r="BB12" s="636">
        <f t="shared" si="16"/>
        <v>4124</v>
      </c>
      <c r="BC12" s="769">
        <v>568810</v>
      </c>
      <c r="BD12" s="636">
        <f t="shared" si="16"/>
        <v>220</v>
      </c>
      <c r="BE12" s="769">
        <v>27108</v>
      </c>
      <c r="BF12" s="636">
        <f t="shared" si="16"/>
        <v>34</v>
      </c>
      <c r="BG12" s="770">
        <v>24166762</v>
      </c>
      <c r="BH12" s="636">
        <f t="shared" si="27"/>
        <v>4675.8499999999995</v>
      </c>
      <c r="BI12" s="636">
        <f t="shared" si="28"/>
        <v>10146.237499999999</v>
      </c>
      <c r="BJ12" s="636">
        <f t="shared" si="29"/>
        <v>14156.747499999999</v>
      </c>
      <c r="BK12" s="770">
        <v>1425883</v>
      </c>
      <c r="BL12" s="636">
        <f t="shared" si="17"/>
        <v>60</v>
      </c>
      <c r="BM12" s="770">
        <v>3939195</v>
      </c>
      <c r="BN12" s="636">
        <f t="shared" si="18"/>
        <v>848</v>
      </c>
      <c r="BO12" s="770">
        <v>414696</v>
      </c>
      <c r="BP12" s="636">
        <f t="shared" si="19"/>
        <v>119</v>
      </c>
      <c r="BQ12" s="769">
        <v>518844</v>
      </c>
      <c r="BR12" s="636">
        <f t="shared" ref="BR12:BR36" si="42">IF(BQ12&gt;=BQ11,BQ12-BQ11,0)</f>
        <v>124</v>
      </c>
      <c r="BS12" s="692">
        <f t="shared" si="30"/>
        <v>21163.747499999998</v>
      </c>
      <c r="BT12" s="693">
        <v>180</v>
      </c>
      <c r="BU12" s="692">
        <f t="shared" si="31"/>
        <v>106.88761363636362</v>
      </c>
      <c r="BV12" s="693"/>
      <c r="BW12" s="692" t="e">
        <f t="shared" si="32"/>
        <v>#DIV/0!</v>
      </c>
      <c r="BX12" s="692">
        <f t="shared" si="35"/>
        <v>24621.809624999994</v>
      </c>
      <c r="BY12" s="692">
        <f t="shared" si="33"/>
        <v>124.35257386363634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0">
        <v>23988351</v>
      </c>
      <c r="J13" s="636">
        <f t="shared" si="21"/>
        <v>6377</v>
      </c>
      <c r="K13" s="636">
        <f t="shared" si="22"/>
        <v>4454</v>
      </c>
      <c r="L13" s="770">
        <v>704129</v>
      </c>
      <c r="M13" s="636">
        <f t="shared" si="41"/>
        <v>2727</v>
      </c>
      <c r="N13" s="770">
        <v>581263</v>
      </c>
      <c r="O13" s="636">
        <f t="shared" si="40"/>
        <v>1727</v>
      </c>
      <c r="P13" s="770">
        <v>221872</v>
      </c>
      <c r="Q13" s="636">
        <f t="shared" si="2"/>
        <v>540</v>
      </c>
      <c r="R13" s="769">
        <v>183421</v>
      </c>
      <c r="S13" s="636">
        <f t="shared" si="3"/>
        <v>145</v>
      </c>
      <c r="T13" s="769">
        <v>335264</v>
      </c>
      <c r="U13" s="636">
        <f t="shared" si="4"/>
        <v>262</v>
      </c>
      <c r="V13" s="769">
        <v>809265</v>
      </c>
      <c r="W13" s="636">
        <f t="shared" si="5"/>
        <v>1417.75</v>
      </c>
      <c r="X13" s="770">
        <v>120756</v>
      </c>
      <c r="Y13" s="636">
        <f t="shared" si="6"/>
        <v>0</v>
      </c>
      <c r="Z13" s="769">
        <v>134745</v>
      </c>
      <c r="AA13" s="636">
        <f t="shared" si="7"/>
        <v>0</v>
      </c>
      <c r="AB13" s="769">
        <v>488293</v>
      </c>
      <c r="AC13" s="636">
        <f t="shared" si="34"/>
        <v>0</v>
      </c>
      <c r="AD13" s="769">
        <v>657197</v>
      </c>
      <c r="AE13" s="636">
        <f t="shared" si="23"/>
        <v>15.370000000000001</v>
      </c>
      <c r="AF13" s="769">
        <v>835854</v>
      </c>
      <c r="AG13" s="636">
        <f t="shared" ref="AG13:AG36" si="43">IF(AF13&gt;=AF12,AF13-AF12,0)*0.53</f>
        <v>15.370000000000001</v>
      </c>
      <c r="AH13" s="770">
        <v>994062</v>
      </c>
      <c r="AI13" s="636">
        <f t="shared" si="9"/>
        <v>425.59000000000003</v>
      </c>
      <c r="AJ13" s="770">
        <v>783545</v>
      </c>
      <c r="AK13" s="636">
        <f t="shared" ref="AK13" si="44">IF(AJ13&gt;=AJ12,AJ13-AJ12,0)*0.53</f>
        <v>2145.9700000000003</v>
      </c>
      <c r="AL13" s="769">
        <v>495507</v>
      </c>
      <c r="AM13" s="636">
        <f t="shared" si="11"/>
        <v>164.3</v>
      </c>
      <c r="AN13" s="636">
        <f t="shared" si="24"/>
        <v>4184.3500000000004</v>
      </c>
      <c r="AO13" s="769">
        <v>7651390</v>
      </c>
      <c r="AP13" s="636">
        <f t="shared" si="25"/>
        <v>4.95</v>
      </c>
      <c r="AQ13" s="769">
        <v>680130</v>
      </c>
      <c r="AR13" s="636">
        <f t="shared" si="12"/>
        <v>358</v>
      </c>
      <c r="AS13" s="770">
        <v>967408</v>
      </c>
      <c r="AT13" s="636">
        <f t="shared" si="26"/>
        <v>150</v>
      </c>
      <c r="AU13" s="770">
        <v>810546</v>
      </c>
      <c r="AV13" s="636">
        <f t="shared" si="13"/>
        <v>46</v>
      </c>
      <c r="AW13" s="770">
        <v>2625586</v>
      </c>
      <c r="AX13" s="636">
        <f t="shared" si="14"/>
        <v>619</v>
      </c>
      <c r="AY13" s="770">
        <v>229600</v>
      </c>
      <c r="AZ13" s="636">
        <f t="shared" si="15"/>
        <v>6</v>
      </c>
      <c r="BA13" s="770">
        <v>19330807</v>
      </c>
      <c r="BB13" s="636">
        <f t="shared" si="16"/>
        <v>4735</v>
      </c>
      <c r="BC13" s="769">
        <v>569077</v>
      </c>
      <c r="BD13" s="636">
        <f t="shared" si="16"/>
        <v>267</v>
      </c>
      <c r="BE13" s="769">
        <v>27142</v>
      </c>
      <c r="BF13" s="636">
        <f t="shared" si="16"/>
        <v>34</v>
      </c>
      <c r="BG13" s="770">
        <v>24172975</v>
      </c>
      <c r="BH13" s="636">
        <f t="shared" si="27"/>
        <v>5543.2</v>
      </c>
      <c r="BI13" s="636">
        <f t="shared" si="28"/>
        <v>11763.15</v>
      </c>
      <c r="BJ13" s="636">
        <f t="shared" si="29"/>
        <v>15947.5</v>
      </c>
      <c r="BK13" s="770">
        <v>1425954</v>
      </c>
      <c r="BL13" s="636">
        <f t="shared" si="17"/>
        <v>71</v>
      </c>
      <c r="BM13" s="770">
        <v>3940199</v>
      </c>
      <c r="BN13" s="636">
        <f t="shared" si="18"/>
        <v>1004</v>
      </c>
      <c r="BO13" s="770">
        <v>414836</v>
      </c>
      <c r="BP13" s="636">
        <f t="shared" si="19"/>
        <v>140</v>
      </c>
      <c r="BQ13" s="770">
        <v>518999</v>
      </c>
      <c r="BR13" s="636">
        <f t="shared" si="42"/>
        <v>155</v>
      </c>
      <c r="BS13" s="692">
        <f t="shared" si="30"/>
        <v>22864.5</v>
      </c>
      <c r="BT13" s="693">
        <v>170</v>
      </c>
      <c r="BU13" s="692">
        <f t="shared" ref="BU13:BU19" si="45">IF(BS13&gt;0,BS13/BT12,0)</f>
        <v>127.02500000000001</v>
      </c>
      <c r="BV13" s="693"/>
      <c r="BW13" s="692" t="e">
        <f t="shared" si="32"/>
        <v>#DIV/0!</v>
      </c>
      <c r="BX13" s="692">
        <f t="shared" si="35"/>
        <v>26537.174999999999</v>
      </c>
      <c r="BY13" s="692">
        <f t="shared" si="33"/>
        <v>147.42875000000001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0">
        <v>23995236</v>
      </c>
      <c r="J14" s="636">
        <f t="shared" si="21"/>
        <v>6885</v>
      </c>
      <c r="K14" s="636">
        <f t="shared" si="22"/>
        <v>5180</v>
      </c>
      <c r="L14" s="770">
        <v>707470</v>
      </c>
      <c r="M14" s="636">
        <f t="shared" si="41"/>
        <v>3341</v>
      </c>
      <c r="N14" s="770">
        <v>583102</v>
      </c>
      <c r="O14" s="636">
        <f t="shared" si="40"/>
        <v>1839</v>
      </c>
      <c r="P14" s="770">
        <v>221892</v>
      </c>
      <c r="Q14" s="636">
        <f t="shared" si="2"/>
        <v>600</v>
      </c>
      <c r="R14" s="769">
        <v>183589</v>
      </c>
      <c r="S14" s="636">
        <f t="shared" si="3"/>
        <v>168</v>
      </c>
      <c r="T14" s="769">
        <v>335562</v>
      </c>
      <c r="U14" s="636">
        <f t="shared" si="4"/>
        <v>298</v>
      </c>
      <c r="V14" s="769">
        <v>811715</v>
      </c>
      <c r="W14" s="636">
        <f t="shared" si="5"/>
        <v>1298.5</v>
      </c>
      <c r="X14" s="770">
        <v>120756</v>
      </c>
      <c r="Y14" s="636">
        <f t="shared" si="6"/>
        <v>0</v>
      </c>
      <c r="Z14" s="770">
        <v>134745</v>
      </c>
      <c r="AA14" s="636">
        <f t="shared" si="7"/>
        <v>0</v>
      </c>
      <c r="AB14" s="769">
        <v>488293</v>
      </c>
      <c r="AC14" s="636">
        <f t="shared" si="34"/>
        <v>0</v>
      </c>
      <c r="AD14" s="769">
        <v>657224</v>
      </c>
      <c r="AE14" s="636">
        <f t="shared" si="23"/>
        <v>14.31</v>
      </c>
      <c r="AF14" s="769">
        <v>835880</v>
      </c>
      <c r="AG14" s="636">
        <f t="shared" si="43"/>
        <v>13.780000000000001</v>
      </c>
      <c r="AH14" s="769">
        <v>995004</v>
      </c>
      <c r="AI14" s="636">
        <f t="shared" si="9"/>
        <v>499.26000000000005</v>
      </c>
      <c r="AJ14" s="769">
        <v>788116</v>
      </c>
      <c r="AK14" s="636">
        <f t="shared" ref="AK14:AK36" si="46">IF(AJ14&gt;=AJ13,AJ14-AJ13,0)*0.53</f>
        <v>2422.63</v>
      </c>
      <c r="AL14" s="769">
        <v>495861</v>
      </c>
      <c r="AM14" s="636">
        <f t="shared" si="11"/>
        <v>187.62</v>
      </c>
      <c r="AN14" s="636">
        <f t="shared" si="24"/>
        <v>4436.0999999999995</v>
      </c>
      <c r="AO14" s="769">
        <v>7651429</v>
      </c>
      <c r="AP14" s="636">
        <f t="shared" si="25"/>
        <v>4.3875000000000002</v>
      </c>
      <c r="AQ14" s="770">
        <v>680490</v>
      </c>
      <c r="AR14" s="636">
        <f t="shared" si="12"/>
        <v>360</v>
      </c>
      <c r="AS14" s="770">
        <v>967548</v>
      </c>
      <c r="AT14" s="636">
        <f t="shared" si="26"/>
        <v>140</v>
      </c>
      <c r="AU14" s="770">
        <v>810597</v>
      </c>
      <c r="AV14" s="636">
        <f t="shared" si="13"/>
        <v>51</v>
      </c>
      <c r="AW14" s="769">
        <v>2626264</v>
      </c>
      <c r="AX14" s="636">
        <f t="shared" si="14"/>
        <v>678</v>
      </c>
      <c r="AY14" s="770">
        <v>229607</v>
      </c>
      <c r="AZ14" s="636">
        <f t="shared" si="15"/>
        <v>7</v>
      </c>
      <c r="BA14" s="770">
        <v>19334391</v>
      </c>
      <c r="BB14" s="636">
        <f t="shared" si="16"/>
        <v>3584</v>
      </c>
      <c r="BC14" s="769">
        <v>569294</v>
      </c>
      <c r="BD14" s="636">
        <f t="shared" si="16"/>
        <v>217</v>
      </c>
      <c r="BE14" s="769">
        <v>27176</v>
      </c>
      <c r="BF14" s="636">
        <f t="shared" si="16"/>
        <v>34</v>
      </c>
      <c r="BG14" s="770">
        <v>24178697</v>
      </c>
      <c r="BH14" s="636">
        <f t="shared" si="27"/>
        <v>5128.5</v>
      </c>
      <c r="BI14" s="636">
        <f t="shared" si="28"/>
        <v>10203.887500000001</v>
      </c>
      <c r="BJ14" s="636">
        <f t="shared" si="29"/>
        <v>14639.987499999999</v>
      </c>
      <c r="BK14" s="770">
        <v>1426017</v>
      </c>
      <c r="BL14" s="636">
        <f t="shared" si="17"/>
        <v>63</v>
      </c>
      <c r="BM14" s="770">
        <v>3941083</v>
      </c>
      <c r="BN14" s="636">
        <f t="shared" si="18"/>
        <v>884</v>
      </c>
      <c r="BO14" s="770">
        <v>414962</v>
      </c>
      <c r="BP14" s="636">
        <f t="shared" si="19"/>
        <v>126</v>
      </c>
      <c r="BQ14" s="770">
        <v>519138</v>
      </c>
      <c r="BR14" s="636">
        <f t="shared" si="42"/>
        <v>139</v>
      </c>
      <c r="BS14" s="692">
        <f t="shared" si="30"/>
        <v>22124.987499999999</v>
      </c>
      <c r="BT14" s="693">
        <v>154</v>
      </c>
      <c r="BU14" s="692">
        <f t="shared" si="45"/>
        <v>130.14698529411766</v>
      </c>
      <c r="BV14" s="693"/>
      <c r="BW14" s="692" t="e">
        <f t="shared" si="32"/>
        <v>#DIV/0!</v>
      </c>
      <c r="BX14" s="692">
        <f t="shared" si="35"/>
        <v>25713.735624999998</v>
      </c>
      <c r="BY14" s="692">
        <f t="shared" si="33"/>
        <v>151.25726838235292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0">
        <v>24002401</v>
      </c>
      <c r="J15" s="636">
        <f t="shared" si="21"/>
        <v>7165</v>
      </c>
      <c r="K15" s="636">
        <f t="shared" si="22"/>
        <v>3454</v>
      </c>
      <c r="L15" s="770">
        <v>709688</v>
      </c>
      <c r="M15" s="636">
        <f t="shared" si="41"/>
        <v>2218</v>
      </c>
      <c r="N15" s="770">
        <v>584338</v>
      </c>
      <c r="O15" s="636">
        <f t="shared" si="40"/>
        <v>1236</v>
      </c>
      <c r="P15" s="770">
        <v>221911</v>
      </c>
      <c r="Q15" s="636">
        <f t="shared" si="2"/>
        <v>570</v>
      </c>
      <c r="R15" s="769">
        <v>183707</v>
      </c>
      <c r="S15" s="636">
        <f t="shared" si="3"/>
        <v>118</v>
      </c>
      <c r="T15" s="769">
        <v>335769</v>
      </c>
      <c r="U15" s="636">
        <f t="shared" si="4"/>
        <v>207</v>
      </c>
      <c r="V15" s="769">
        <v>813276</v>
      </c>
      <c r="W15" s="636">
        <f t="shared" si="5"/>
        <v>827.33</v>
      </c>
      <c r="X15" s="770">
        <v>120756</v>
      </c>
      <c r="Y15" s="636">
        <f t="shared" si="6"/>
        <v>0</v>
      </c>
      <c r="Z15" s="770">
        <v>134745</v>
      </c>
      <c r="AA15" s="636">
        <f t="shared" si="7"/>
        <v>0</v>
      </c>
      <c r="AB15" s="769">
        <v>488293</v>
      </c>
      <c r="AC15" s="636">
        <f t="shared" si="34"/>
        <v>0</v>
      </c>
      <c r="AD15" s="769">
        <v>657247</v>
      </c>
      <c r="AE15" s="636">
        <f t="shared" si="23"/>
        <v>12.190000000000001</v>
      </c>
      <c r="AF15" s="769">
        <v>835901</v>
      </c>
      <c r="AG15" s="636">
        <f t="shared" si="43"/>
        <v>11.13</v>
      </c>
      <c r="AH15" s="770">
        <v>995580</v>
      </c>
      <c r="AI15" s="636">
        <f t="shared" si="9"/>
        <v>305.28000000000003</v>
      </c>
      <c r="AJ15" s="770">
        <v>790980</v>
      </c>
      <c r="AK15" s="636">
        <f t="shared" si="46"/>
        <v>1517.92</v>
      </c>
      <c r="AL15" s="769">
        <v>496084</v>
      </c>
      <c r="AM15" s="636">
        <f t="shared" si="11"/>
        <v>118.19000000000001</v>
      </c>
      <c r="AN15" s="636">
        <f t="shared" si="24"/>
        <v>2792.0400000000004</v>
      </c>
      <c r="AO15" s="769">
        <v>7651462</v>
      </c>
      <c r="AP15" s="636">
        <f t="shared" si="25"/>
        <v>3.7124999999999999</v>
      </c>
      <c r="AQ15" s="769">
        <v>680812</v>
      </c>
      <c r="AR15" s="636">
        <f t="shared" si="12"/>
        <v>322</v>
      </c>
      <c r="AS15" s="770">
        <v>967661</v>
      </c>
      <c r="AT15" s="636">
        <f t="shared" si="26"/>
        <v>113</v>
      </c>
      <c r="AU15" s="769">
        <v>810629</v>
      </c>
      <c r="AV15" s="636">
        <f t="shared" si="13"/>
        <v>32</v>
      </c>
      <c r="AW15" s="770">
        <v>2626707</v>
      </c>
      <c r="AX15" s="636">
        <f t="shared" si="14"/>
        <v>443</v>
      </c>
      <c r="AY15" s="770">
        <v>229612</v>
      </c>
      <c r="AZ15" s="636">
        <f t="shared" si="15"/>
        <v>5</v>
      </c>
      <c r="BA15" s="770">
        <v>19338657</v>
      </c>
      <c r="BB15" s="636">
        <f t="shared" si="16"/>
        <v>4266</v>
      </c>
      <c r="BC15" s="769">
        <v>569486</v>
      </c>
      <c r="BD15" s="636">
        <f t="shared" si="16"/>
        <v>192</v>
      </c>
      <c r="BE15" s="769">
        <v>27210</v>
      </c>
      <c r="BF15" s="636">
        <f t="shared" si="16"/>
        <v>34</v>
      </c>
      <c r="BG15" s="770">
        <v>24183567</v>
      </c>
      <c r="BH15" s="636">
        <f t="shared" si="27"/>
        <v>4372.3999999999996</v>
      </c>
      <c r="BI15" s="636">
        <f t="shared" si="28"/>
        <v>9783.1124999999993</v>
      </c>
      <c r="BJ15" s="636">
        <f t="shared" si="29"/>
        <v>12575.1525</v>
      </c>
      <c r="BK15" s="770">
        <v>1426070</v>
      </c>
      <c r="BL15" s="636">
        <f t="shared" si="17"/>
        <v>53</v>
      </c>
      <c r="BM15" s="770">
        <v>3941827</v>
      </c>
      <c r="BN15" s="636">
        <f t="shared" si="18"/>
        <v>744</v>
      </c>
      <c r="BO15" s="770">
        <v>415066</v>
      </c>
      <c r="BP15" s="636">
        <f t="shared" si="19"/>
        <v>104</v>
      </c>
      <c r="BQ15" s="770">
        <v>519254</v>
      </c>
      <c r="BR15" s="636">
        <f t="shared" si="42"/>
        <v>116</v>
      </c>
      <c r="BS15" s="692">
        <f t="shared" si="30"/>
        <v>20310.1525</v>
      </c>
      <c r="BT15" s="693">
        <v>195</v>
      </c>
      <c r="BU15" s="692">
        <f t="shared" si="45"/>
        <v>131.88410714285715</v>
      </c>
      <c r="BV15" s="693"/>
      <c r="BW15" s="692" t="e">
        <f t="shared" si="32"/>
        <v>#DIV/0!</v>
      </c>
      <c r="BX15" s="692">
        <f t="shared" si="35"/>
        <v>23613.175374999999</v>
      </c>
      <c r="BY15" s="692">
        <f t="shared" si="33"/>
        <v>153.33230762987012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0">
        <v>24009561</v>
      </c>
      <c r="J16" s="636">
        <f t="shared" si="21"/>
        <v>7160</v>
      </c>
      <c r="K16" s="636">
        <f t="shared" si="22"/>
        <v>4364</v>
      </c>
      <c r="L16" s="770">
        <v>712486</v>
      </c>
      <c r="M16" s="636">
        <f t="shared" si="41"/>
        <v>2798</v>
      </c>
      <c r="N16" s="769">
        <v>585904</v>
      </c>
      <c r="O16" s="636">
        <f t="shared" si="40"/>
        <v>1566</v>
      </c>
      <c r="P16" s="770">
        <v>221931</v>
      </c>
      <c r="Q16" s="636">
        <f t="shared" si="2"/>
        <v>600</v>
      </c>
      <c r="R16" s="769">
        <v>183852</v>
      </c>
      <c r="S16" s="636">
        <f t="shared" si="3"/>
        <v>145</v>
      </c>
      <c r="T16" s="769">
        <v>336029</v>
      </c>
      <c r="U16" s="636">
        <f t="shared" si="4"/>
        <v>260</v>
      </c>
      <c r="V16" s="769">
        <v>815805</v>
      </c>
      <c r="W16" s="636">
        <f t="shared" si="5"/>
        <v>1340.3700000000001</v>
      </c>
      <c r="X16" s="770">
        <v>120756</v>
      </c>
      <c r="Y16" s="636">
        <f t="shared" si="6"/>
        <v>0</v>
      </c>
      <c r="Z16" s="770">
        <v>134745</v>
      </c>
      <c r="AA16" s="636">
        <f t="shared" si="7"/>
        <v>0</v>
      </c>
      <c r="AB16" s="769">
        <v>488293</v>
      </c>
      <c r="AC16" s="636">
        <f t="shared" si="34"/>
        <v>0</v>
      </c>
      <c r="AD16" s="769">
        <v>657274</v>
      </c>
      <c r="AE16" s="636">
        <f t="shared" si="23"/>
        <v>14.31</v>
      </c>
      <c r="AF16" s="769">
        <v>835926</v>
      </c>
      <c r="AG16" s="636">
        <f t="shared" si="43"/>
        <v>13.25</v>
      </c>
      <c r="AH16" s="769">
        <v>996393</v>
      </c>
      <c r="AI16" s="636">
        <f t="shared" si="9"/>
        <v>430.89000000000004</v>
      </c>
      <c r="AJ16" s="769">
        <v>794952</v>
      </c>
      <c r="AK16" s="636">
        <f t="shared" si="46"/>
        <v>2105.1600000000003</v>
      </c>
      <c r="AL16" s="769">
        <v>496389</v>
      </c>
      <c r="AM16" s="636">
        <f t="shared" si="11"/>
        <v>161.65</v>
      </c>
      <c r="AN16" s="636">
        <f t="shared" si="24"/>
        <v>4065.6300000000006</v>
      </c>
      <c r="AO16" s="769">
        <v>7651501</v>
      </c>
      <c r="AP16" s="636">
        <f t="shared" si="25"/>
        <v>4.3875000000000002</v>
      </c>
      <c r="AQ16" s="769">
        <v>681145</v>
      </c>
      <c r="AR16" s="636">
        <f t="shared" si="12"/>
        <v>333</v>
      </c>
      <c r="AS16" s="769">
        <v>967762</v>
      </c>
      <c r="AT16" s="636">
        <f t="shared" si="26"/>
        <v>101</v>
      </c>
      <c r="AU16" s="769">
        <v>810667</v>
      </c>
      <c r="AV16" s="636">
        <f t="shared" si="13"/>
        <v>38</v>
      </c>
      <c r="AW16" s="769">
        <v>2627293</v>
      </c>
      <c r="AX16" s="636">
        <f t="shared" si="14"/>
        <v>586</v>
      </c>
      <c r="AY16" s="769">
        <v>229618</v>
      </c>
      <c r="AZ16" s="636">
        <f t="shared" si="15"/>
        <v>6</v>
      </c>
      <c r="BA16" s="769">
        <v>19343344</v>
      </c>
      <c r="BB16" s="636">
        <f t="shared" si="16"/>
        <v>4687</v>
      </c>
      <c r="BC16" s="769">
        <v>569685</v>
      </c>
      <c r="BD16" s="636">
        <f t="shared" si="16"/>
        <v>199</v>
      </c>
      <c r="BE16" s="769">
        <v>27244</v>
      </c>
      <c r="BF16" s="636">
        <f t="shared" si="16"/>
        <v>34</v>
      </c>
      <c r="BG16" s="770">
        <v>24189042</v>
      </c>
      <c r="BH16" s="636">
        <f t="shared" si="27"/>
        <v>4898.1000000000004</v>
      </c>
      <c r="BI16" s="636">
        <f t="shared" si="28"/>
        <v>10886.487499999999</v>
      </c>
      <c r="BJ16" s="636">
        <f t="shared" si="29"/>
        <v>14952.1175</v>
      </c>
      <c r="BK16" s="770">
        <v>1426132</v>
      </c>
      <c r="BL16" s="636">
        <f t="shared" si="17"/>
        <v>62</v>
      </c>
      <c r="BM16" s="770">
        <v>3942667</v>
      </c>
      <c r="BN16" s="636">
        <f t="shared" si="18"/>
        <v>840</v>
      </c>
      <c r="BO16" s="769">
        <v>415188</v>
      </c>
      <c r="BP16" s="636">
        <f t="shared" si="19"/>
        <v>122</v>
      </c>
      <c r="BQ16" s="769">
        <v>519398</v>
      </c>
      <c r="BR16" s="636">
        <f t="shared" si="42"/>
        <v>144</v>
      </c>
      <c r="BS16" s="692">
        <f t="shared" si="30"/>
        <v>22712.1175</v>
      </c>
      <c r="BT16" s="693">
        <v>209</v>
      </c>
      <c r="BU16" s="692">
        <f t="shared" si="45"/>
        <v>116.47239743589743</v>
      </c>
      <c r="BV16" s="693"/>
      <c r="BW16" s="692" t="e">
        <f t="shared" si="32"/>
        <v>#DIV/0!</v>
      </c>
      <c r="BX16" s="692">
        <f t="shared" si="35"/>
        <v>26388.935125</v>
      </c>
      <c r="BY16" s="692">
        <f>IF(BX16&gt;0,BX16/BT15,0)</f>
        <v>135.32787243589743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0">
        <v>24016056</v>
      </c>
      <c r="J17" s="636">
        <f>IF(I17&gt;=I16,I17-I16,0)</f>
        <v>6495</v>
      </c>
      <c r="K17" s="636">
        <f t="shared" si="22"/>
        <v>3913</v>
      </c>
      <c r="L17" s="769">
        <v>714927</v>
      </c>
      <c r="M17" s="636">
        <f t="shared" si="41"/>
        <v>2441</v>
      </c>
      <c r="N17" s="769">
        <v>587376</v>
      </c>
      <c r="O17" s="636">
        <f t="shared" si="40"/>
        <v>1472</v>
      </c>
      <c r="P17" s="770">
        <v>221941</v>
      </c>
      <c r="Q17" s="636">
        <f t="shared" si="2"/>
        <v>300</v>
      </c>
      <c r="R17" s="769">
        <v>183987</v>
      </c>
      <c r="S17" s="636">
        <f t="shared" si="3"/>
        <v>135</v>
      </c>
      <c r="T17" s="769">
        <v>336265</v>
      </c>
      <c r="U17" s="636">
        <f t="shared" si="4"/>
        <v>236</v>
      </c>
      <c r="V17" s="769">
        <v>818241</v>
      </c>
      <c r="W17" s="636">
        <f t="shared" si="5"/>
        <v>1291.0800000000002</v>
      </c>
      <c r="X17" s="770">
        <v>120756</v>
      </c>
      <c r="Y17" s="636">
        <f t="shared" si="6"/>
        <v>0</v>
      </c>
      <c r="Z17" s="773">
        <v>134745</v>
      </c>
      <c r="AA17" s="636">
        <f t="shared" si="7"/>
        <v>0</v>
      </c>
      <c r="AB17" s="769">
        <v>488293</v>
      </c>
      <c r="AC17" s="636">
        <f t="shared" si="34"/>
        <v>0</v>
      </c>
      <c r="AD17" s="769">
        <v>657301</v>
      </c>
      <c r="AE17" s="636">
        <f t="shared" si="23"/>
        <v>14.31</v>
      </c>
      <c r="AF17" s="769">
        <v>835952</v>
      </c>
      <c r="AG17" s="636">
        <f t="shared" si="43"/>
        <v>13.780000000000001</v>
      </c>
      <c r="AH17" s="769">
        <v>997108</v>
      </c>
      <c r="AI17" s="636">
        <f t="shared" si="9"/>
        <v>378.95000000000005</v>
      </c>
      <c r="AJ17" s="769">
        <v>798493</v>
      </c>
      <c r="AK17" s="636">
        <f t="shared" si="46"/>
        <v>1876.73</v>
      </c>
      <c r="AL17" s="769">
        <v>496661</v>
      </c>
      <c r="AM17" s="636">
        <f t="shared" si="11"/>
        <v>144.16</v>
      </c>
      <c r="AN17" s="636">
        <f t="shared" si="24"/>
        <v>3719.01</v>
      </c>
      <c r="AO17" s="707">
        <v>7651538</v>
      </c>
      <c r="AP17" s="636">
        <f t="shared" si="25"/>
        <v>4.1625000000000005</v>
      </c>
      <c r="AQ17" s="769">
        <v>681483</v>
      </c>
      <c r="AR17" s="636">
        <f t="shared" si="12"/>
        <v>338</v>
      </c>
      <c r="AS17" s="769">
        <v>967890</v>
      </c>
      <c r="AT17" s="636">
        <f t="shared" si="26"/>
        <v>128</v>
      </c>
      <c r="AU17" s="769">
        <v>810704</v>
      </c>
      <c r="AV17" s="636">
        <f t="shared" si="13"/>
        <v>37</v>
      </c>
      <c r="AW17" s="769">
        <v>2627833</v>
      </c>
      <c r="AX17" s="636">
        <f t="shared" si="14"/>
        <v>540</v>
      </c>
      <c r="AY17" s="769">
        <v>229624</v>
      </c>
      <c r="AZ17" s="636">
        <f t="shared" si="15"/>
        <v>6</v>
      </c>
      <c r="BA17" s="769">
        <v>19347626</v>
      </c>
      <c r="BB17" s="636">
        <f t="shared" si="16"/>
        <v>4282</v>
      </c>
      <c r="BC17" s="769">
        <v>569886</v>
      </c>
      <c r="BD17" s="636">
        <f t="shared" si="16"/>
        <v>201</v>
      </c>
      <c r="BE17" s="769">
        <v>27278</v>
      </c>
      <c r="BF17" s="636">
        <f t="shared" si="16"/>
        <v>34</v>
      </c>
      <c r="BG17" s="770">
        <v>24194270</v>
      </c>
      <c r="BH17" s="636">
        <f t="shared" si="27"/>
        <v>4682.25</v>
      </c>
      <c r="BI17" s="636">
        <f t="shared" si="28"/>
        <v>10252.4125</v>
      </c>
      <c r="BJ17" s="636">
        <f t="shared" si="29"/>
        <v>13971.422500000001</v>
      </c>
      <c r="BK17" s="770">
        <v>1426312</v>
      </c>
      <c r="BL17" s="636">
        <f t="shared" si="17"/>
        <v>180</v>
      </c>
      <c r="BM17" s="769">
        <v>3943466</v>
      </c>
      <c r="BN17" s="636">
        <f t="shared" si="18"/>
        <v>799</v>
      </c>
      <c r="BO17" s="707">
        <v>415304</v>
      </c>
      <c r="BP17" s="636">
        <f t="shared" si="19"/>
        <v>116</v>
      </c>
      <c r="BQ17" s="769">
        <v>519532</v>
      </c>
      <c r="BR17" s="636">
        <f t="shared" si="42"/>
        <v>134</v>
      </c>
      <c r="BS17" s="692">
        <f t="shared" si="30"/>
        <v>20766.422500000001</v>
      </c>
      <c r="BT17" s="693">
        <v>192</v>
      </c>
      <c r="BU17" s="692">
        <f t="shared" si="45"/>
        <v>99.360873205741626</v>
      </c>
      <c r="BV17" s="693"/>
      <c r="BW17" s="692" t="e">
        <f t="shared" si="32"/>
        <v>#DIV/0!</v>
      </c>
      <c r="BX17" s="692">
        <f t="shared" si="35"/>
        <v>24016.385875</v>
      </c>
      <c r="BY17" s="692">
        <f>IF(BX17&gt;0,BX17/BT16,0)</f>
        <v>114.91093720095694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0">
        <v>24023415</v>
      </c>
      <c r="J18" s="636">
        <f t="shared" si="21"/>
        <v>7359</v>
      </c>
      <c r="K18" s="636">
        <f t="shared" si="22"/>
        <v>5567</v>
      </c>
      <c r="L18" s="770">
        <v>718426</v>
      </c>
      <c r="M18" s="636">
        <f t="shared" si="41"/>
        <v>3499</v>
      </c>
      <c r="N18" s="770">
        <v>589444</v>
      </c>
      <c r="O18" s="636">
        <f t="shared" si="40"/>
        <v>2068</v>
      </c>
      <c r="P18" s="770">
        <v>221964</v>
      </c>
      <c r="Q18" s="636">
        <f t="shared" si="2"/>
        <v>690</v>
      </c>
      <c r="R18" s="769">
        <v>184133</v>
      </c>
      <c r="S18" s="636">
        <f t="shared" si="3"/>
        <v>146</v>
      </c>
      <c r="T18" s="769">
        <v>336539</v>
      </c>
      <c r="U18" s="636">
        <f t="shared" si="4"/>
        <v>274</v>
      </c>
      <c r="V18" s="769">
        <v>821228</v>
      </c>
      <c r="W18" s="636">
        <f t="shared" si="5"/>
        <v>1583.1100000000001</v>
      </c>
      <c r="X18" s="770">
        <v>120829</v>
      </c>
      <c r="Y18" s="636">
        <f t="shared" si="6"/>
        <v>38.690000000000005</v>
      </c>
      <c r="Z18" s="769">
        <v>134801</v>
      </c>
      <c r="AA18" s="636">
        <f t="shared" si="7"/>
        <v>29.68</v>
      </c>
      <c r="AB18" s="769">
        <v>488405</v>
      </c>
      <c r="AC18" s="636">
        <f t="shared" si="34"/>
        <v>59.36</v>
      </c>
      <c r="AD18" s="769">
        <v>657323</v>
      </c>
      <c r="AE18" s="636">
        <f t="shared" si="23"/>
        <v>11.66</v>
      </c>
      <c r="AF18" s="769">
        <v>835974</v>
      </c>
      <c r="AG18" s="636">
        <f t="shared" si="43"/>
        <v>11.66</v>
      </c>
      <c r="AH18" s="769">
        <v>998101</v>
      </c>
      <c r="AI18" s="636">
        <f t="shared" si="9"/>
        <v>526.29000000000008</v>
      </c>
      <c r="AJ18" s="769">
        <v>803507</v>
      </c>
      <c r="AK18" s="636">
        <f t="shared" si="46"/>
        <v>2657.42</v>
      </c>
      <c r="AL18" s="769">
        <v>496956</v>
      </c>
      <c r="AM18" s="636">
        <f t="shared" si="11"/>
        <v>156.35</v>
      </c>
      <c r="AN18" s="636">
        <f t="shared" si="24"/>
        <v>5074.2200000000012</v>
      </c>
      <c r="AO18" s="769">
        <v>7652014</v>
      </c>
      <c r="AP18" s="636">
        <f t="shared" si="25"/>
        <v>53.550000000000004</v>
      </c>
      <c r="AQ18" s="770">
        <v>681810</v>
      </c>
      <c r="AR18" s="636">
        <f t="shared" si="12"/>
        <v>327</v>
      </c>
      <c r="AS18" s="770">
        <v>968052</v>
      </c>
      <c r="AT18" s="636">
        <f t="shared" si="26"/>
        <v>162</v>
      </c>
      <c r="AU18" s="770">
        <v>810757</v>
      </c>
      <c r="AV18" s="636">
        <f t="shared" si="13"/>
        <v>53</v>
      </c>
      <c r="AW18" s="770">
        <v>2628555</v>
      </c>
      <c r="AX18" s="636">
        <f t="shared" si="14"/>
        <v>722</v>
      </c>
      <c r="AY18" s="769">
        <v>229630</v>
      </c>
      <c r="AZ18" s="636">
        <f t="shared" si="15"/>
        <v>6</v>
      </c>
      <c r="BA18" s="769">
        <v>19353061</v>
      </c>
      <c r="BB18" s="636">
        <f t="shared" si="16"/>
        <v>5435</v>
      </c>
      <c r="BC18" s="769">
        <v>570128</v>
      </c>
      <c r="BD18" s="636">
        <f t="shared" si="16"/>
        <v>242</v>
      </c>
      <c r="BE18" s="769">
        <v>27312</v>
      </c>
      <c r="BF18" s="636">
        <f t="shared" si="16"/>
        <v>34</v>
      </c>
      <c r="BG18" s="770">
        <v>24200184</v>
      </c>
      <c r="BH18" s="636">
        <f t="shared" si="27"/>
        <v>5334.2</v>
      </c>
      <c r="BI18" s="636">
        <f t="shared" si="28"/>
        <v>12368.75</v>
      </c>
      <c r="BJ18" s="636">
        <f t="shared" si="29"/>
        <v>17442.97</v>
      </c>
      <c r="BK18" s="770">
        <v>1426592</v>
      </c>
      <c r="BL18" s="636">
        <f t="shared" si="17"/>
        <v>280</v>
      </c>
      <c r="BM18" s="769">
        <v>3944289</v>
      </c>
      <c r="BN18" s="636">
        <f t="shared" si="18"/>
        <v>823</v>
      </c>
      <c r="BO18" s="769">
        <v>415445</v>
      </c>
      <c r="BP18" s="636">
        <f t="shared" si="19"/>
        <v>141</v>
      </c>
      <c r="BQ18" s="769">
        <v>519678</v>
      </c>
      <c r="BR18" s="636">
        <f t="shared" si="42"/>
        <v>146</v>
      </c>
      <c r="BS18" s="692">
        <f t="shared" si="30"/>
        <v>25491.97</v>
      </c>
      <c r="BT18" s="693">
        <v>228</v>
      </c>
      <c r="BU18" s="692">
        <f t="shared" si="45"/>
        <v>132.77067708333334</v>
      </c>
      <c r="BV18" s="693"/>
      <c r="BW18" s="692" t="e">
        <f t="shared" si="32"/>
        <v>#DIV/0!</v>
      </c>
      <c r="BX18" s="692">
        <f t="shared" si="35"/>
        <v>29626.265499999998</v>
      </c>
      <c r="BY18" s="692">
        <f>IF(BX18&gt;0,BX18/BT17,0)</f>
        <v>154.30346614583331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0">
        <v>24030241</v>
      </c>
      <c r="J19" s="636">
        <f t="shared" si="21"/>
        <v>6826</v>
      </c>
      <c r="K19" s="636">
        <f t="shared" si="22"/>
        <v>3170</v>
      </c>
      <c r="L19" s="770">
        <v>720274</v>
      </c>
      <c r="M19" s="636">
        <f t="shared" si="41"/>
        <v>1848</v>
      </c>
      <c r="N19" s="770">
        <v>590766</v>
      </c>
      <c r="O19" s="636">
        <f t="shared" si="40"/>
        <v>1322</v>
      </c>
      <c r="P19" s="770">
        <v>221981</v>
      </c>
      <c r="Q19" s="636">
        <f t="shared" ref="Q19:Q36" si="47">IF(P19&gt;=P18,P19-P18,0)*30</f>
        <v>510</v>
      </c>
      <c r="R19" s="769">
        <v>184273</v>
      </c>
      <c r="S19" s="636">
        <f t="shared" si="3"/>
        <v>140</v>
      </c>
      <c r="T19" s="769">
        <v>336791</v>
      </c>
      <c r="U19" s="636">
        <f t="shared" si="4"/>
        <v>252</v>
      </c>
      <c r="V19" s="769">
        <v>822964</v>
      </c>
      <c r="W19" s="636">
        <f t="shared" si="5"/>
        <v>920.08</v>
      </c>
      <c r="X19" s="770">
        <v>120829</v>
      </c>
      <c r="Y19" s="636">
        <f t="shared" si="6"/>
        <v>0</v>
      </c>
      <c r="Z19" s="769">
        <v>134801</v>
      </c>
      <c r="AA19" s="636">
        <f t="shared" si="7"/>
        <v>0</v>
      </c>
      <c r="AB19" s="769">
        <v>488405</v>
      </c>
      <c r="AC19" s="636">
        <f t="shared" si="34"/>
        <v>0</v>
      </c>
      <c r="AD19" s="769">
        <v>657348</v>
      </c>
      <c r="AE19" s="636">
        <f t="shared" si="23"/>
        <v>13.25</v>
      </c>
      <c r="AF19" s="769">
        <v>835998</v>
      </c>
      <c r="AG19" s="636">
        <f t="shared" si="43"/>
        <v>12.72</v>
      </c>
      <c r="AH19" s="770">
        <v>998633</v>
      </c>
      <c r="AI19" s="636">
        <f t="shared" si="9"/>
        <v>281.96000000000004</v>
      </c>
      <c r="AJ19" s="770">
        <v>805959</v>
      </c>
      <c r="AK19" s="636">
        <f t="shared" si="46"/>
        <v>1299.5600000000002</v>
      </c>
      <c r="AL19" s="769">
        <v>497159</v>
      </c>
      <c r="AM19" s="636">
        <f t="shared" si="11"/>
        <v>107.59</v>
      </c>
      <c r="AN19" s="636">
        <f t="shared" si="24"/>
        <v>2635.1600000000008</v>
      </c>
      <c r="AO19" s="769">
        <v>7652871</v>
      </c>
      <c r="AP19" s="636">
        <f t="shared" si="25"/>
        <v>96.412500000000009</v>
      </c>
      <c r="AQ19" s="769">
        <v>682112</v>
      </c>
      <c r="AR19" s="636">
        <f t="shared" si="12"/>
        <v>302</v>
      </c>
      <c r="AS19" s="770">
        <v>968183</v>
      </c>
      <c r="AT19" s="636">
        <f t="shared" si="26"/>
        <v>131</v>
      </c>
      <c r="AU19" s="769">
        <v>810790</v>
      </c>
      <c r="AV19" s="636">
        <f t="shared" si="13"/>
        <v>33</v>
      </c>
      <c r="AW19" s="770">
        <v>2628991</v>
      </c>
      <c r="AX19" s="636">
        <f t="shared" si="14"/>
        <v>436</v>
      </c>
      <c r="AY19" s="769">
        <v>229636</v>
      </c>
      <c r="AZ19" s="636">
        <f t="shared" ref="AZ19:AZ36" si="48">IF(AY19&gt;=AY18,AY19-AY18,0)</f>
        <v>6</v>
      </c>
      <c r="BA19" s="770">
        <v>19356431</v>
      </c>
      <c r="BB19" s="636">
        <f t="shared" si="16"/>
        <v>3370</v>
      </c>
      <c r="BC19" s="769">
        <v>570396</v>
      </c>
      <c r="BD19" s="636">
        <f t="shared" si="16"/>
        <v>268</v>
      </c>
      <c r="BE19" s="769">
        <v>27346</v>
      </c>
      <c r="BF19" s="636">
        <f t="shared" si="16"/>
        <v>34</v>
      </c>
      <c r="BG19" s="770">
        <v>24206185</v>
      </c>
      <c r="BH19" s="636">
        <f t="shared" si="27"/>
        <v>5418.7</v>
      </c>
      <c r="BI19" s="636">
        <f t="shared" si="28"/>
        <v>10095.112499999999</v>
      </c>
      <c r="BJ19" s="636">
        <f t="shared" si="29"/>
        <v>12730.272499999999</v>
      </c>
      <c r="BK19" s="770">
        <v>1426887</v>
      </c>
      <c r="BL19" s="636">
        <f t="shared" si="17"/>
        <v>295</v>
      </c>
      <c r="BM19" s="769">
        <v>3945118</v>
      </c>
      <c r="BN19" s="636">
        <f t="shared" si="18"/>
        <v>829</v>
      </c>
      <c r="BO19" s="707">
        <v>415590</v>
      </c>
      <c r="BP19" s="636">
        <f t="shared" si="19"/>
        <v>145</v>
      </c>
      <c r="BQ19" s="770">
        <v>519822</v>
      </c>
      <c r="BR19" s="636">
        <f t="shared" si="42"/>
        <v>144</v>
      </c>
      <c r="BS19" s="692">
        <f t="shared" si="30"/>
        <v>20066.272499999999</v>
      </c>
      <c r="BT19" s="693">
        <v>230</v>
      </c>
      <c r="BU19" s="692">
        <f t="shared" si="45"/>
        <v>88.009967105263158</v>
      </c>
      <c r="BV19" s="693"/>
      <c r="BW19" s="692" t="e">
        <f t="shared" si="32"/>
        <v>#DIV/0!</v>
      </c>
      <c r="BX19" s="692">
        <f t="shared" si="35"/>
        <v>23305.713374999996</v>
      </c>
      <c r="BY19" s="692">
        <f>IF(BX19&gt;0,BX19/BT18,0)</f>
        <v>102.21804111842103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0">
        <v>24038128</v>
      </c>
      <c r="J20" s="636">
        <f>IF(I20&gt;=I19,I20-I19,0)</f>
        <v>7887</v>
      </c>
      <c r="K20" s="636">
        <f t="shared" si="22"/>
        <v>4907</v>
      </c>
      <c r="L20" s="770">
        <v>723199</v>
      </c>
      <c r="M20" s="636">
        <f t="shared" si="41"/>
        <v>2925</v>
      </c>
      <c r="N20" s="770">
        <v>592748</v>
      </c>
      <c r="O20" s="636">
        <f t="shared" si="40"/>
        <v>1982</v>
      </c>
      <c r="P20" s="770">
        <v>221992</v>
      </c>
      <c r="Q20" s="636">
        <f t="shared" si="47"/>
        <v>330</v>
      </c>
      <c r="R20" s="769">
        <v>184439</v>
      </c>
      <c r="S20" s="636">
        <f t="shared" si="3"/>
        <v>166</v>
      </c>
      <c r="T20" s="769">
        <v>337094</v>
      </c>
      <c r="U20" s="636">
        <f t="shared" si="4"/>
        <v>303</v>
      </c>
      <c r="V20" s="769">
        <v>825875</v>
      </c>
      <c r="W20" s="636">
        <f t="shared" si="5"/>
        <v>1542.8300000000002</v>
      </c>
      <c r="X20" s="770">
        <v>120829</v>
      </c>
      <c r="Y20" s="636">
        <f t="shared" si="6"/>
        <v>0</v>
      </c>
      <c r="Z20" s="770">
        <v>134801</v>
      </c>
      <c r="AA20" s="636">
        <f t="shared" si="7"/>
        <v>0</v>
      </c>
      <c r="AB20" s="769">
        <v>488405</v>
      </c>
      <c r="AC20" s="636">
        <f t="shared" si="34"/>
        <v>0</v>
      </c>
      <c r="AD20" s="769">
        <v>657377</v>
      </c>
      <c r="AE20" s="636">
        <f t="shared" si="23"/>
        <v>15.370000000000001</v>
      </c>
      <c r="AF20" s="769">
        <v>836026</v>
      </c>
      <c r="AG20" s="636">
        <f t="shared" si="43"/>
        <v>14.84</v>
      </c>
      <c r="AH20" s="769">
        <v>999471</v>
      </c>
      <c r="AI20" s="636">
        <f t="shared" si="9"/>
        <v>444.14000000000004</v>
      </c>
      <c r="AJ20" s="769">
        <v>810117</v>
      </c>
      <c r="AK20" s="636">
        <f t="shared" si="46"/>
        <v>2203.7400000000002</v>
      </c>
      <c r="AL20" s="769">
        <v>497481</v>
      </c>
      <c r="AM20" s="636">
        <f t="shared" si="11"/>
        <v>170.66</v>
      </c>
      <c r="AN20" s="636">
        <f t="shared" si="24"/>
        <v>4391.58</v>
      </c>
      <c r="AO20" s="769">
        <v>7653604</v>
      </c>
      <c r="AP20" s="636">
        <f t="shared" si="25"/>
        <v>82.462500000000006</v>
      </c>
      <c r="AQ20" s="770">
        <v>682443</v>
      </c>
      <c r="AR20" s="636">
        <f t="shared" si="12"/>
        <v>331</v>
      </c>
      <c r="AS20" s="770">
        <v>968314</v>
      </c>
      <c r="AT20" s="636">
        <f>IF(AS20&gt;=AS19,AS20-AS19,0)</f>
        <v>131</v>
      </c>
      <c r="AU20" s="769">
        <v>810838</v>
      </c>
      <c r="AV20" s="636">
        <f>IF(AU20&gt;=AU19,AU20-AU19,0)</f>
        <v>48</v>
      </c>
      <c r="AW20" s="769">
        <v>2629601</v>
      </c>
      <c r="AX20" s="636">
        <f t="shared" si="14"/>
        <v>610</v>
      </c>
      <c r="AY20" s="769">
        <v>229643</v>
      </c>
      <c r="AZ20" s="636">
        <f t="shared" si="48"/>
        <v>7</v>
      </c>
      <c r="BA20" s="769">
        <v>19361845</v>
      </c>
      <c r="BB20" s="636">
        <f t="shared" si="16"/>
        <v>5414</v>
      </c>
      <c r="BC20" s="769">
        <v>570642</v>
      </c>
      <c r="BD20" s="636">
        <f t="shared" si="16"/>
        <v>246</v>
      </c>
      <c r="BE20" s="769">
        <v>27380</v>
      </c>
      <c r="BF20" s="636">
        <f t="shared" si="16"/>
        <v>34</v>
      </c>
      <c r="BG20" s="770">
        <v>24211755</v>
      </c>
      <c r="BH20" s="636">
        <f t="shared" si="27"/>
        <v>5031.9500000000007</v>
      </c>
      <c r="BI20" s="636">
        <f t="shared" si="28"/>
        <v>11935.4125</v>
      </c>
      <c r="BJ20" s="636">
        <f t="shared" si="29"/>
        <v>16326.9925</v>
      </c>
      <c r="BK20" s="770">
        <v>1427172</v>
      </c>
      <c r="BL20" s="636">
        <f t="shared" si="17"/>
        <v>285</v>
      </c>
      <c r="BM20" s="769">
        <v>3945870</v>
      </c>
      <c r="BN20" s="636">
        <f t="shared" si="18"/>
        <v>752</v>
      </c>
      <c r="BO20" s="769">
        <v>415727</v>
      </c>
      <c r="BP20" s="636">
        <f t="shared" si="19"/>
        <v>137</v>
      </c>
      <c r="BQ20" s="769">
        <v>519960</v>
      </c>
      <c r="BR20" s="636">
        <f t="shared" si="42"/>
        <v>138</v>
      </c>
      <c r="BS20" s="692">
        <f t="shared" si="30"/>
        <v>24543.9925</v>
      </c>
      <c r="BT20" s="693">
        <v>235</v>
      </c>
      <c r="BU20" s="692">
        <f>IF(BS20&gt;0,BS20/BT20,0)</f>
        <v>104.44252127659574</v>
      </c>
      <c r="BV20" s="693"/>
      <c r="BW20" s="692" t="e">
        <f t="shared" si="32"/>
        <v>#DIV/0!</v>
      </c>
      <c r="BX20" s="692">
        <f t="shared" si="35"/>
        <v>28374.091375</v>
      </c>
      <c r="BY20" s="692">
        <f t="shared" ref="BY20:BY36" si="49">IF(BX20&gt;0,BX20/BT20,0)</f>
        <v>120.74081436170212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0">
        <v>24044642</v>
      </c>
      <c r="J21" s="636">
        <f>IF(I21&gt;=I20,I21-I20,0)</f>
        <v>6514</v>
      </c>
      <c r="K21" s="636">
        <f t="shared" si="22"/>
        <v>4061</v>
      </c>
      <c r="L21" s="770">
        <v>725615</v>
      </c>
      <c r="M21" s="636">
        <f t="shared" si="41"/>
        <v>2416</v>
      </c>
      <c r="N21" s="770">
        <v>594393</v>
      </c>
      <c r="O21" s="636">
        <f t="shared" si="40"/>
        <v>1645</v>
      </c>
      <c r="P21" s="770">
        <v>222012</v>
      </c>
      <c r="Q21" s="636">
        <f t="shared" si="47"/>
        <v>600</v>
      </c>
      <c r="R21" s="769">
        <v>184556</v>
      </c>
      <c r="S21" s="636">
        <f t="shared" ref="S21:S36" si="50">IF(R21&gt;=R20,R21-R20,0)</f>
        <v>117</v>
      </c>
      <c r="T21" s="769">
        <v>337306</v>
      </c>
      <c r="U21" s="636">
        <f t="shared" si="4"/>
        <v>212</v>
      </c>
      <c r="V21" s="769">
        <v>828031</v>
      </c>
      <c r="W21" s="636">
        <f t="shared" si="5"/>
        <v>1142.68</v>
      </c>
      <c r="X21" s="770">
        <v>121075</v>
      </c>
      <c r="Y21" s="636">
        <f t="shared" si="6"/>
        <v>130.38</v>
      </c>
      <c r="Z21" s="770">
        <v>134801</v>
      </c>
      <c r="AA21" s="636">
        <f t="shared" si="7"/>
        <v>0</v>
      </c>
      <c r="AB21" s="769">
        <v>488405</v>
      </c>
      <c r="AC21" s="636">
        <f t="shared" si="34"/>
        <v>0</v>
      </c>
      <c r="AD21" s="769">
        <v>657401</v>
      </c>
      <c r="AE21" s="636">
        <f t="shared" si="23"/>
        <v>12.72</v>
      </c>
      <c r="AF21" s="769">
        <v>836050</v>
      </c>
      <c r="AG21" s="636">
        <f t="shared" si="43"/>
        <v>12.72</v>
      </c>
      <c r="AH21" s="770"/>
      <c r="AI21" s="636">
        <f t="shared" si="9"/>
        <v>0</v>
      </c>
      <c r="AJ21" s="770">
        <v>813352</v>
      </c>
      <c r="AK21" s="636">
        <f t="shared" si="46"/>
        <v>1714.5500000000002</v>
      </c>
      <c r="AL21" s="769">
        <v>497745</v>
      </c>
      <c r="AM21" s="636">
        <f t="shared" si="11"/>
        <v>139.92000000000002</v>
      </c>
      <c r="AN21" s="636">
        <f t="shared" si="24"/>
        <v>3152.9700000000003</v>
      </c>
      <c r="AO21" s="769">
        <v>7654284</v>
      </c>
      <c r="AP21" s="636">
        <f t="shared" si="25"/>
        <v>76.5</v>
      </c>
      <c r="AQ21" s="769">
        <v>682767</v>
      </c>
      <c r="AR21" s="636">
        <f t="shared" si="12"/>
        <v>324</v>
      </c>
      <c r="AS21" s="770">
        <v>968445</v>
      </c>
      <c r="AT21" s="636">
        <f>IF(AS21&gt;=AS20,AS21-AS20,0)</f>
        <v>131</v>
      </c>
      <c r="AU21" s="769">
        <v>810876</v>
      </c>
      <c r="AV21" s="636">
        <f>IF(AU21&gt;=AU20,AU21-AU20,0)</f>
        <v>38</v>
      </c>
      <c r="AW21" s="769">
        <v>2630125</v>
      </c>
      <c r="AX21" s="636">
        <f t="shared" si="14"/>
        <v>524</v>
      </c>
      <c r="AY21" s="770">
        <v>229648</v>
      </c>
      <c r="AZ21" s="636">
        <f t="shared" si="48"/>
        <v>5</v>
      </c>
      <c r="BA21" s="770">
        <v>19366209</v>
      </c>
      <c r="BB21" s="636">
        <f t="shared" si="16"/>
        <v>4364</v>
      </c>
      <c r="BC21" s="769">
        <v>570878</v>
      </c>
      <c r="BD21" s="636">
        <f t="shared" si="16"/>
        <v>236</v>
      </c>
      <c r="BE21" s="769">
        <v>27414</v>
      </c>
      <c r="BF21" s="636">
        <f t="shared" si="16"/>
        <v>34</v>
      </c>
      <c r="BG21" s="770">
        <v>24216983</v>
      </c>
      <c r="BH21" s="636">
        <f t="shared" si="27"/>
        <v>4720.95</v>
      </c>
      <c r="BI21" s="636">
        <f t="shared" si="28"/>
        <v>10453.450000000001</v>
      </c>
      <c r="BJ21" s="636">
        <f t="shared" si="29"/>
        <v>13606.420000000002</v>
      </c>
      <c r="BK21" s="770">
        <v>1427434</v>
      </c>
      <c r="BL21" s="636">
        <f t="shared" si="17"/>
        <v>262</v>
      </c>
      <c r="BM21" s="769">
        <v>3946560</v>
      </c>
      <c r="BN21" s="636">
        <f t="shared" si="18"/>
        <v>690</v>
      </c>
      <c r="BO21" s="769">
        <v>415846</v>
      </c>
      <c r="BP21" s="636">
        <f t="shared" si="19"/>
        <v>119</v>
      </c>
      <c r="BQ21" s="769">
        <v>520103</v>
      </c>
      <c r="BR21" s="636">
        <f t="shared" si="42"/>
        <v>143</v>
      </c>
      <c r="BS21" s="692">
        <f t="shared" si="30"/>
        <v>20720.420000000002</v>
      </c>
      <c r="BT21" s="693">
        <v>248</v>
      </c>
      <c r="BU21" s="692">
        <f t="shared" ref="BU21:BU36" si="51">IF(BS21&gt;0,BS21/BT21,0)</f>
        <v>83.550080645161302</v>
      </c>
      <c r="BV21" s="693"/>
      <c r="BW21" s="692" t="e">
        <f t="shared" si="32"/>
        <v>#DIV/0!</v>
      </c>
      <c r="BX21" s="692">
        <f t="shared" si="35"/>
        <v>24098.483</v>
      </c>
      <c r="BY21" s="692">
        <f t="shared" si="49"/>
        <v>97.171302419354845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0">
        <v>24051813</v>
      </c>
      <c r="J22" s="636">
        <f t="shared" ref="J22:J31" si="52">IF(I22&gt;=I21,I22-I21,0)</f>
        <v>7171</v>
      </c>
      <c r="K22" s="636">
        <f t="shared" si="22"/>
        <v>4421</v>
      </c>
      <c r="L22" s="770">
        <v>728200</v>
      </c>
      <c r="M22" s="636">
        <f t="shared" si="41"/>
        <v>2585</v>
      </c>
      <c r="N22" s="770">
        <v>596229</v>
      </c>
      <c r="O22" s="636">
        <f t="shared" si="40"/>
        <v>1836</v>
      </c>
      <c r="P22" s="770">
        <v>222031</v>
      </c>
      <c r="Q22" s="636">
        <f t="shared" si="47"/>
        <v>570</v>
      </c>
      <c r="R22" s="769">
        <v>184694</v>
      </c>
      <c r="S22" s="636">
        <f t="shared" si="50"/>
        <v>138</v>
      </c>
      <c r="T22" s="769">
        <v>337558</v>
      </c>
      <c r="U22" s="636">
        <f t="shared" si="4"/>
        <v>252</v>
      </c>
      <c r="V22" s="769">
        <v>831223</v>
      </c>
      <c r="W22" s="636">
        <f t="shared" si="5"/>
        <v>1691.76</v>
      </c>
      <c r="X22" s="770">
        <v>121075</v>
      </c>
      <c r="Y22" s="636">
        <f t="shared" si="6"/>
        <v>0</v>
      </c>
      <c r="Z22" s="770">
        <v>134801</v>
      </c>
      <c r="AA22" s="636">
        <f t="shared" si="7"/>
        <v>0</v>
      </c>
      <c r="AB22" s="769">
        <v>488405</v>
      </c>
      <c r="AC22" s="636">
        <f t="shared" si="34"/>
        <v>0</v>
      </c>
      <c r="AD22" s="769">
        <v>657419</v>
      </c>
      <c r="AE22" s="636">
        <f t="shared" si="23"/>
        <v>9.5400000000000009</v>
      </c>
      <c r="AF22" s="769">
        <v>836067</v>
      </c>
      <c r="AG22" s="636">
        <f t="shared" si="43"/>
        <v>9.01</v>
      </c>
      <c r="AH22" s="769"/>
      <c r="AI22" s="636">
        <f t="shared" si="9"/>
        <v>0</v>
      </c>
      <c r="AJ22" s="769">
        <v>817200</v>
      </c>
      <c r="AK22" s="636">
        <f t="shared" si="46"/>
        <v>2039.44</v>
      </c>
      <c r="AL22" s="769">
        <v>498040</v>
      </c>
      <c r="AM22" s="636">
        <f t="shared" si="11"/>
        <v>156.35</v>
      </c>
      <c r="AN22" s="636">
        <f t="shared" si="24"/>
        <v>3906.1</v>
      </c>
      <c r="AO22" s="769">
        <v>7654778</v>
      </c>
      <c r="AP22" s="636">
        <f t="shared" si="25"/>
        <v>55.575000000000003</v>
      </c>
      <c r="AQ22" s="770">
        <v>683103</v>
      </c>
      <c r="AR22" s="636">
        <f t="shared" si="12"/>
        <v>336</v>
      </c>
      <c r="AS22" s="769">
        <v>968596</v>
      </c>
      <c r="AT22" s="636">
        <f t="shared" si="26"/>
        <v>151</v>
      </c>
      <c r="AU22" s="769">
        <v>810917</v>
      </c>
      <c r="AV22" s="636">
        <f t="shared" si="13"/>
        <v>41</v>
      </c>
      <c r="AW22" s="769">
        <v>2630712</v>
      </c>
      <c r="AX22" s="636">
        <f t="shared" si="14"/>
        <v>587</v>
      </c>
      <c r="AY22" s="769">
        <v>229653</v>
      </c>
      <c r="AZ22" s="636">
        <f t="shared" si="48"/>
        <v>5</v>
      </c>
      <c r="BA22" s="769">
        <v>19370187</v>
      </c>
      <c r="BB22" s="636">
        <f t="shared" si="16"/>
        <v>3978</v>
      </c>
      <c r="BC22" s="769">
        <v>571116</v>
      </c>
      <c r="BD22" s="636">
        <f t="shared" si="16"/>
        <v>238</v>
      </c>
      <c r="BE22" s="769">
        <v>27669</v>
      </c>
      <c r="BF22" s="636">
        <f t="shared" si="16"/>
        <v>255</v>
      </c>
      <c r="BG22" s="770">
        <v>24222184</v>
      </c>
      <c r="BH22" s="636">
        <f t="shared" si="27"/>
        <v>4722.05</v>
      </c>
      <c r="BI22" s="636">
        <f t="shared" si="28"/>
        <v>10368.625</v>
      </c>
      <c r="BJ22" s="636">
        <f t="shared" si="29"/>
        <v>14274.725</v>
      </c>
      <c r="BK22" s="770">
        <v>1427687</v>
      </c>
      <c r="BL22" s="636">
        <f t="shared" si="17"/>
        <v>253</v>
      </c>
      <c r="BM22" s="770">
        <v>3947239</v>
      </c>
      <c r="BN22" s="636">
        <f t="shared" si="18"/>
        <v>679</v>
      </c>
      <c r="BO22" s="769">
        <v>415958</v>
      </c>
      <c r="BP22" s="636">
        <f t="shared" si="19"/>
        <v>112</v>
      </c>
      <c r="BQ22" s="769">
        <v>520226</v>
      </c>
      <c r="BR22" s="636">
        <f t="shared" si="42"/>
        <v>123</v>
      </c>
      <c r="BS22" s="692">
        <f t="shared" si="30"/>
        <v>22015.724999999999</v>
      </c>
      <c r="BT22" s="693">
        <v>251</v>
      </c>
      <c r="BU22" s="692">
        <f t="shared" si="51"/>
        <v>87.712051792828674</v>
      </c>
      <c r="BV22" s="693"/>
      <c r="BW22" s="692" t="e">
        <f t="shared" si="32"/>
        <v>#DIV/0!</v>
      </c>
      <c r="BX22" s="692">
        <f t="shared" si="35"/>
        <v>25574.583749999998</v>
      </c>
      <c r="BY22" s="692">
        <f t="shared" si="49"/>
        <v>101.89077191235059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0">
        <v>24058640</v>
      </c>
      <c r="J23" s="636">
        <f t="shared" si="52"/>
        <v>6827</v>
      </c>
      <c r="K23" s="636">
        <f t="shared" si="22"/>
        <v>4237</v>
      </c>
      <c r="L23" s="770">
        <v>730715</v>
      </c>
      <c r="M23" s="636">
        <f t="shared" si="41"/>
        <v>2515</v>
      </c>
      <c r="N23" s="770">
        <v>597951</v>
      </c>
      <c r="O23" s="636">
        <f t="shared" si="40"/>
        <v>1722</v>
      </c>
      <c r="P23" s="770">
        <v>222051</v>
      </c>
      <c r="Q23" s="636">
        <f t="shared" si="47"/>
        <v>600</v>
      </c>
      <c r="R23" s="769">
        <v>184856</v>
      </c>
      <c r="S23" s="636">
        <f t="shared" si="50"/>
        <v>162</v>
      </c>
      <c r="T23" s="769">
        <v>337853</v>
      </c>
      <c r="U23" s="636">
        <f t="shared" si="4"/>
        <v>295</v>
      </c>
      <c r="V23" s="769">
        <v>834153</v>
      </c>
      <c r="W23" s="636">
        <f t="shared" si="5"/>
        <v>1552.9</v>
      </c>
      <c r="X23" s="770">
        <v>121075</v>
      </c>
      <c r="Y23" s="636">
        <f t="shared" si="6"/>
        <v>0</v>
      </c>
      <c r="Z23" s="773">
        <v>134801</v>
      </c>
      <c r="AA23" s="636">
        <f t="shared" si="7"/>
        <v>0</v>
      </c>
      <c r="AB23" s="769">
        <v>488405</v>
      </c>
      <c r="AC23" s="636">
        <f t="shared" si="34"/>
        <v>0</v>
      </c>
      <c r="AD23" s="769">
        <v>657444</v>
      </c>
      <c r="AE23" s="636">
        <f t="shared" si="23"/>
        <v>13.25</v>
      </c>
      <c r="AF23" s="769">
        <v>836093</v>
      </c>
      <c r="AG23" s="636">
        <f t="shared" si="43"/>
        <v>13.780000000000001</v>
      </c>
      <c r="AH23" s="769">
        <v>1665</v>
      </c>
      <c r="AI23" s="636">
        <f t="shared" si="9"/>
        <v>882.45</v>
      </c>
      <c r="AJ23" s="769">
        <v>820938</v>
      </c>
      <c r="AK23" s="636">
        <f t="shared" si="46"/>
        <v>1981.14</v>
      </c>
      <c r="AL23" s="769">
        <v>498330</v>
      </c>
      <c r="AM23" s="636">
        <f t="shared" si="11"/>
        <v>153.70000000000002</v>
      </c>
      <c r="AN23" s="636">
        <f t="shared" si="24"/>
        <v>4597.22</v>
      </c>
      <c r="AO23" s="707">
        <v>7654819</v>
      </c>
      <c r="AP23" s="636">
        <f t="shared" si="25"/>
        <v>4.6124999999999998</v>
      </c>
      <c r="AQ23" s="769">
        <v>683438</v>
      </c>
      <c r="AR23" s="636">
        <f t="shared" si="12"/>
        <v>335</v>
      </c>
      <c r="AS23" s="769">
        <v>968747</v>
      </c>
      <c r="AT23" s="636">
        <f t="shared" si="26"/>
        <v>151</v>
      </c>
      <c r="AU23" s="769">
        <v>810953</v>
      </c>
      <c r="AV23" s="636">
        <f t="shared" si="13"/>
        <v>36</v>
      </c>
      <c r="AW23" s="769">
        <v>2631289</v>
      </c>
      <c r="AX23" s="636">
        <f t="shared" si="14"/>
        <v>577</v>
      </c>
      <c r="AY23" s="770">
        <v>229660</v>
      </c>
      <c r="AZ23" s="636">
        <f t="shared" si="48"/>
        <v>7</v>
      </c>
      <c r="BA23" s="770">
        <v>19373832</v>
      </c>
      <c r="BB23" s="636">
        <f t="shared" si="16"/>
        <v>3645</v>
      </c>
      <c r="BC23" s="769">
        <v>571413</v>
      </c>
      <c r="BD23" s="636">
        <f t="shared" si="16"/>
        <v>297</v>
      </c>
      <c r="BE23" s="769">
        <v>27722</v>
      </c>
      <c r="BF23" s="636">
        <f t="shared" si="16"/>
        <v>53</v>
      </c>
      <c r="BG23" s="770">
        <v>24228051</v>
      </c>
      <c r="BH23" s="636">
        <f t="shared" si="27"/>
        <v>5319.4500000000007</v>
      </c>
      <c r="BI23" s="636">
        <f t="shared" si="28"/>
        <v>10425.0625</v>
      </c>
      <c r="BJ23" s="636">
        <f t="shared" si="29"/>
        <v>15022.282500000001</v>
      </c>
      <c r="BK23" s="770">
        <v>1427985</v>
      </c>
      <c r="BL23" s="636">
        <f t="shared" si="17"/>
        <v>298</v>
      </c>
      <c r="BM23" s="769">
        <v>3948006</v>
      </c>
      <c r="BN23" s="636">
        <f t="shared" si="18"/>
        <v>767</v>
      </c>
      <c r="BO23" s="769">
        <v>416090</v>
      </c>
      <c r="BP23" s="636">
        <f t="shared" si="19"/>
        <v>132</v>
      </c>
      <c r="BQ23" s="770">
        <v>520369</v>
      </c>
      <c r="BR23" s="636">
        <f t="shared" si="42"/>
        <v>143</v>
      </c>
      <c r="BS23" s="692">
        <f t="shared" si="30"/>
        <v>22449.282500000001</v>
      </c>
      <c r="BT23" s="693">
        <v>251</v>
      </c>
      <c r="BU23" s="692">
        <f t="shared" si="51"/>
        <v>89.439372509960165</v>
      </c>
      <c r="BV23" s="693"/>
      <c r="BW23" s="692" t="e">
        <f t="shared" si="32"/>
        <v>#DIV/0!</v>
      </c>
      <c r="BX23" s="692">
        <f t="shared" si="35"/>
        <v>26086.674875000001</v>
      </c>
      <c r="BY23" s="692">
        <f t="shared" si="49"/>
        <v>103.93097559760956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0">
        <v>24065506</v>
      </c>
      <c r="J24" s="636">
        <f t="shared" si="52"/>
        <v>6866</v>
      </c>
      <c r="K24" s="636">
        <f t="shared" si="22"/>
        <v>4184</v>
      </c>
      <c r="L24" s="770">
        <v>733324</v>
      </c>
      <c r="M24" s="636">
        <f t="shared" si="41"/>
        <v>2609</v>
      </c>
      <c r="N24" s="770">
        <v>599526</v>
      </c>
      <c r="O24" s="636">
        <f t="shared" si="40"/>
        <v>1575</v>
      </c>
      <c r="P24" s="770">
        <v>222061</v>
      </c>
      <c r="Q24" s="636">
        <f>IF(P24&gt;=P23,P24-P23,0)*30</f>
        <v>300</v>
      </c>
      <c r="R24" s="769">
        <v>184982</v>
      </c>
      <c r="S24" s="636">
        <f t="shared" si="50"/>
        <v>126</v>
      </c>
      <c r="T24" s="769">
        <v>338085</v>
      </c>
      <c r="U24" s="636">
        <f t="shared" si="4"/>
        <v>232</v>
      </c>
      <c r="V24" s="769">
        <v>836562</v>
      </c>
      <c r="W24" s="636">
        <f t="shared" si="5"/>
        <v>1276.77</v>
      </c>
      <c r="X24" s="770">
        <v>121075</v>
      </c>
      <c r="Y24" s="636">
        <f t="shared" si="6"/>
        <v>0</v>
      </c>
      <c r="Z24" s="769">
        <v>134801</v>
      </c>
      <c r="AA24" s="636">
        <f t="shared" si="7"/>
        <v>0</v>
      </c>
      <c r="AB24" s="769">
        <v>488405</v>
      </c>
      <c r="AC24" s="636">
        <f t="shared" si="34"/>
        <v>0</v>
      </c>
      <c r="AD24" s="769">
        <v>657469</v>
      </c>
      <c r="AE24" s="636">
        <f t="shared" si="23"/>
        <v>13.25</v>
      </c>
      <c r="AF24" s="769">
        <v>836117</v>
      </c>
      <c r="AG24" s="636">
        <f t="shared" si="43"/>
        <v>12.72</v>
      </c>
      <c r="AH24" s="769">
        <v>2396</v>
      </c>
      <c r="AI24" s="636">
        <f t="shared" si="9"/>
        <v>387.43</v>
      </c>
      <c r="AJ24" s="769">
        <v>824653</v>
      </c>
      <c r="AK24" s="636">
        <f t="shared" si="46"/>
        <v>1968.95</v>
      </c>
      <c r="AL24" s="769">
        <v>498621</v>
      </c>
      <c r="AM24" s="636">
        <f t="shared" si="11"/>
        <v>154.23000000000002</v>
      </c>
      <c r="AN24" s="636">
        <f t="shared" si="24"/>
        <v>3813.35</v>
      </c>
      <c r="AO24" s="769">
        <v>7654859</v>
      </c>
      <c r="AP24" s="636">
        <f t="shared" si="25"/>
        <v>4.5</v>
      </c>
      <c r="AQ24" s="770">
        <v>683741</v>
      </c>
      <c r="AR24" s="636">
        <f t="shared" si="12"/>
        <v>303</v>
      </c>
      <c r="AS24" s="770">
        <v>968887</v>
      </c>
      <c r="AT24" s="636">
        <f t="shared" si="26"/>
        <v>140</v>
      </c>
      <c r="AU24" s="769">
        <v>810994</v>
      </c>
      <c r="AV24" s="636">
        <f t="shared" si="13"/>
        <v>41</v>
      </c>
      <c r="AW24" s="769">
        <v>2631834</v>
      </c>
      <c r="AX24" s="636">
        <f t="shared" si="14"/>
        <v>545</v>
      </c>
      <c r="AY24" s="770">
        <v>229665</v>
      </c>
      <c r="AZ24" s="636">
        <f t="shared" si="48"/>
        <v>5</v>
      </c>
      <c r="BA24" s="769">
        <v>19378237</v>
      </c>
      <c r="BB24" s="636">
        <f t="shared" si="16"/>
        <v>4405</v>
      </c>
      <c r="BC24" s="769">
        <v>571653</v>
      </c>
      <c r="BD24" s="636">
        <f t="shared" si="16"/>
        <v>240</v>
      </c>
      <c r="BE24" s="769">
        <v>27776</v>
      </c>
      <c r="BF24" s="636">
        <f t="shared" si="16"/>
        <v>54</v>
      </c>
      <c r="BG24" s="770">
        <v>24232939</v>
      </c>
      <c r="BH24" s="636">
        <f t="shared" si="27"/>
        <v>4440.2999999999993</v>
      </c>
      <c r="BI24" s="636">
        <f t="shared" si="28"/>
        <v>10177.799999999999</v>
      </c>
      <c r="BJ24" s="636">
        <f t="shared" si="29"/>
        <v>13991.15</v>
      </c>
      <c r="BK24" s="770">
        <v>1428236</v>
      </c>
      <c r="BL24" s="636">
        <f t="shared" si="17"/>
        <v>251</v>
      </c>
      <c r="BM24" s="770">
        <v>3948619</v>
      </c>
      <c r="BN24" s="636">
        <f t="shared" si="18"/>
        <v>613</v>
      </c>
      <c r="BO24" s="769">
        <v>416203</v>
      </c>
      <c r="BP24" s="636">
        <f t="shared" si="19"/>
        <v>113</v>
      </c>
      <c r="BQ24" s="770">
        <v>520490</v>
      </c>
      <c r="BR24" s="636">
        <f t="shared" si="42"/>
        <v>121</v>
      </c>
      <c r="BS24" s="692">
        <f t="shared" si="30"/>
        <v>21157.15</v>
      </c>
      <c r="BT24" s="693">
        <v>253</v>
      </c>
      <c r="BU24" s="692">
        <f t="shared" si="51"/>
        <v>83.625098814229261</v>
      </c>
      <c r="BV24" s="693"/>
      <c r="BW24" s="692" t="e">
        <f t="shared" si="32"/>
        <v>#DIV/0!</v>
      </c>
      <c r="BX24" s="692">
        <f t="shared" si="35"/>
        <v>24465.7225</v>
      </c>
      <c r="BY24" s="692">
        <f t="shared" si="49"/>
        <v>96.702460474308296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0">
        <v>24071947</v>
      </c>
      <c r="J25" s="636">
        <f t="shared" si="52"/>
        <v>6441</v>
      </c>
      <c r="K25" s="636">
        <f t="shared" si="22"/>
        <v>4073</v>
      </c>
      <c r="L25" s="770">
        <v>735735</v>
      </c>
      <c r="M25" s="636">
        <f t="shared" si="41"/>
        <v>2411</v>
      </c>
      <c r="N25" s="770">
        <v>601188</v>
      </c>
      <c r="O25" s="636">
        <f t="shared" si="40"/>
        <v>1662</v>
      </c>
      <c r="P25" s="770">
        <v>222080</v>
      </c>
      <c r="Q25" s="636">
        <f t="shared" si="47"/>
        <v>570</v>
      </c>
      <c r="R25" s="769">
        <v>185115</v>
      </c>
      <c r="S25" s="636">
        <f t="shared" si="50"/>
        <v>133</v>
      </c>
      <c r="T25" s="769">
        <v>338329</v>
      </c>
      <c r="U25" s="636">
        <f t="shared" si="4"/>
        <v>244</v>
      </c>
      <c r="V25" s="769">
        <v>839195</v>
      </c>
      <c r="W25" s="636">
        <f t="shared" si="5"/>
        <v>1395.49</v>
      </c>
      <c r="X25" s="770">
        <v>121075</v>
      </c>
      <c r="Y25" s="636">
        <f t="shared" si="6"/>
        <v>0</v>
      </c>
      <c r="Z25" s="769">
        <v>134801</v>
      </c>
      <c r="AA25" s="636">
        <f t="shared" si="7"/>
        <v>0</v>
      </c>
      <c r="AB25" s="769">
        <v>488405</v>
      </c>
      <c r="AC25" s="636">
        <f t="shared" si="34"/>
        <v>0</v>
      </c>
      <c r="AD25" s="769">
        <v>657469</v>
      </c>
      <c r="AE25" s="636">
        <f t="shared" si="23"/>
        <v>0</v>
      </c>
      <c r="AF25" s="769">
        <v>836146</v>
      </c>
      <c r="AG25" s="636">
        <f t="shared" si="43"/>
        <v>15.370000000000001</v>
      </c>
      <c r="AH25" s="769">
        <v>3134</v>
      </c>
      <c r="AI25" s="636">
        <f t="shared" si="9"/>
        <v>391.14000000000004</v>
      </c>
      <c r="AJ25" s="769">
        <v>828434</v>
      </c>
      <c r="AK25" s="636">
        <f t="shared" si="46"/>
        <v>2003.93</v>
      </c>
      <c r="AL25" s="769">
        <v>498919</v>
      </c>
      <c r="AM25" s="636">
        <f t="shared" si="11"/>
        <v>157.94</v>
      </c>
      <c r="AN25" s="636">
        <f t="shared" si="24"/>
        <v>3963.8700000000003</v>
      </c>
      <c r="AO25" s="769">
        <v>7655023</v>
      </c>
      <c r="AP25" s="636">
        <f t="shared" si="25"/>
        <v>18.45</v>
      </c>
      <c r="AQ25" s="769">
        <v>684060</v>
      </c>
      <c r="AR25" s="636">
        <f>IF(AQ25&gt;=AQ24,AQ25-AQ24,0)</f>
        <v>319</v>
      </c>
      <c r="AS25" s="770">
        <v>969028</v>
      </c>
      <c r="AT25" s="636">
        <f t="shared" si="26"/>
        <v>141</v>
      </c>
      <c r="AU25" s="769">
        <v>811036</v>
      </c>
      <c r="AV25" s="636">
        <f t="shared" si="13"/>
        <v>42</v>
      </c>
      <c r="AW25" s="769">
        <v>2632406</v>
      </c>
      <c r="AX25" s="636">
        <f t="shared" si="14"/>
        <v>572</v>
      </c>
      <c r="AY25" s="770">
        <v>229671</v>
      </c>
      <c r="AZ25" s="636">
        <f t="shared" si="48"/>
        <v>6</v>
      </c>
      <c r="BA25" s="769">
        <v>19382645</v>
      </c>
      <c r="BB25" s="636">
        <f t="shared" si="16"/>
        <v>4408</v>
      </c>
      <c r="BC25" s="769">
        <v>571885</v>
      </c>
      <c r="BD25" s="636">
        <f t="shared" si="16"/>
        <v>232</v>
      </c>
      <c r="BE25" s="769">
        <v>27830</v>
      </c>
      <c r="BF25" s="636">
        <f t="shared" si="16"/>
        <v>54</v>
      </c>
      <c r="BG25" s="770">
        <v>24237980</v>
      </c>
      <c r="BH25" s="636">
        <f t="shared" si="27"/>
        <v>4589.7</v>
      </c>
      <c r="BI25" s="636">
        <f t="shared" si="28"/>
        <v>10382.15</v>
      </c>
      <c r="BJ25" s="636">
        <f t="shared" si="29"/>
        <v>14346.02</v>
      </c>
      <c r="BK25" s="770">
        <v>1428493</v>
      </c>
      <c r="BL25" s="636">
        <f t="shared" si="17"/>
        <v>257</v>
      </c>
      <c r="BM25" s="770">
        <v>3949234</v>
      </c>
      <c r="BN25" s="636">
        <f t="shared" si="18"/>
        <v>615</v>
      </c>
      <c r="BO25" s="707">
        <v>416322</v>
      </c>
      <c r="BP25" s="636">
        <f t="shared" si="19"/>
        <v>119</v>
      </c>
      <c r="BQ25" s="769">
        <v>520611</v>
      </c>
      <c r="BR25" s="636">
        <f t="shared" si="42"/>
        <v>121</v>
      </c>
      <c r="BS25" s="692">
        <f t="shared" si="30"/>
        <v>21357.02</v>
      </c>
      <c r="BT25" s="693">
        <v>248</v>
      </c>
      <c r="BU25" s="692">
        <f t="shared" si="51"/>
        <v>86.117016129032265</v>
      </c>
      <c r="BV25" s="693"/>
      <c r="BW25" s="692" t="e">
        <f t="shared" si="32"/>
        <v>#DIV/0!</v>
      </c>
      <c r="BX25" s="692">
        <f t="shared" si="35"/>
        <v>24817.073</v>
      </c>
      <c r="BY25" s="692">
        <f t="shared" si="49"/>
        <v>100.06884274193548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0">
        <v>24078324</v>
      </c>
      <c r="J26" s="636">
        <f t="shared" si="52"/>
        <v>6377</v>
      </c>
      <c r="K26" s="636">
        <f t="shared" si="22"/>
        <v>4186</v>
      </c>
      <c r="L26" s="770">
        <v>738110</v>
      </c>
      <c r="M26" s="636">
        <f t="shared" si="41"/>
        <v>2375</v>
      </c>
      <c r="N26" s="770">
        <v>602999</v>
      </c>
      <c r="O26" s="636">
        <f t="shared" si="40"/>
        <v>1811</v>
      </c>
      <c r="P26" s="770">
        <v>222100</v>
      </c>
      <c r="Q26" s="636">
        <f t="shared" si="47"/>
        <v>600</v>
      </c>
      <c r="R26" s="769">
        <v>185268</v>
      </c>
      <c r="S26" s="636">
        <f t="shared" si="50"/>
        <v>153</v>
      </c>
      <c r="T26" s="769">
        <v>338618</v>
      </c>
      <c r="U26" s="636">
        <f t="shared" si="4"/>
        <v>289</v>
      </c>
      <c r="V26" s="769">
        <v>842488</v>
      </c>
      <c r="W26" s="636">
        <f t="shared" si="5"/>
        <v>1745.2900000000002</v>
      </c>
      <c r="X26" s="770">
        <v>121075</v>
      </c>
      <c r="Y26" s="636">
        <f t="shared" si="6"/>
        <v>0</v>
      </c>
      <c r="Z26" s="770">
        <v>134801</v>
      </c>
      <c r="AA26" s="636">
        <f t="shared" si="7"/>
        <v>0</v>
      </c>
      <c r="AB26" s="769">
        <v>488405</v>
      </c>
      <c r="AC26" s="636">
        <f t="shared" si="34"/>
        <v>0</v>
      </c>
      <c r="AD26" s="769">
        <v>657469</v>
      </c>
      <c r="AE26" s="636">
        <f t="shared" si="23"/>
        <v>0</v>
      </c>
      <c r="AF26" s="769">
        <v>836163</v>
      </c>
      <c r="AG26" s="636">
        <f t="shared" si="43"/>
        <v>9.01</v>
      </c>
      <c r="AH26" s="769">
        <v>3955</v>
      </c>
      <c r="AI26" s="636">
        <f t="shared" si="9"/>
        <v>435.13</v>
      </c>
      <c r="AJ26" s="769">
        <v>832717</v>
      </c>
      <c r="AK26" s="636">
        <f t="shared" si="46"/>
        <v>2269.9900000000002</v>
      </c>
      <c r="AL26" s="769">
        <v>499235</v>
      </c>
      <c r="AM26" s="636">
        <f t="shared" si="11"/>
        <v>167.48000000000002</v>
      </c>
      <c r="AN26" s="636">
        <f t="shared" si="24"/>
        <v>4626.8999999999996</v>
      </c>
      <c r="AO26" s="769">
        <v>7655376</v>
      </c>
      <c r="AP26" s="636">
        <f t="shared" si="25"/>
        <v>39.712499999999999</v>
      </c>
      <c r="AQ26" s="770">
        <v>684380</v>
      </c>
      <c r="AR26" s="636">
        <f>IF(AQ26&gt;=AQ25,AQ26-AQ25,0)</f>
        <v>320</v>
      </c>
      <c r="AS26" s="770">
        <v>969176</v>
      </c>
      <c r="AT26" s="636">
        <f t="shared" si="26"/>
        <v>148</v>
      </c>
      <c r="AU26" s="769">
        <v>811086</v>
      </c>
      <c r="AV26" s="636">
        <f t="shared" si="13"/>
        <v>50</v>
      </c>
      <c r="AW26" s="769">
        <v>2633055</v>
      </c>
      <c r="AX26" s="636">
        <f t="shared" si="14"/>
        <v>649</v>
      </c>
      <c r="AY26" s="770">
        <v>229677</v>
      </c>
      <c r="AZ26" s="636">
        <f t="shared" si="48"/>
        <v>6</v>
      </c>
      <c r="BA26" s="769">
        <v>19386653</v>
      </c>
      <c r="BB26" s="636">
        <f t="shared" si="16"/>
        <v>4008</v>
      </c>
      <c r="BC26" s="769">
        <v>572147</v>
      </c>
      <c r="BD26" s="636">
        <f t="shared" si="16"/>
        <v>262</v>
      </c>
      <c r="BE26" s="769">
        <v>27884</v>
      </c>
      <c r="BF26" s="636">
        <f t="shared" si="16"/>
        <v>54</v>
      </c>
      <c r="BG26" s="770">
        <v>24243511</v>
      </c>
      <c r="BH26" s="636">
        <f t="shared" si="27"/>
        <v>4992.7</v>
      </c>
      <c r="BI26" s="636">
        <f t="shared" si="28"/>
        <v>10529.412499999999</v>
      </c>
      <c r="BJ26" s="636">
        <f t="shared" si="29"/>
        <v>15156.312499999998</v>
      </c>
      <c r="BK26" s="770">
        <v>1428569</v>
      </c>
      <c r="BL26" s="636">
        <f t="shared" si="17"/>
        <v>76</v>
      </c>
      <c r="BM26" s="769">
        <v>3949999</v>
      </c>
      <c r="BN26" s="636">
        <f t="shared" si="18"/>
        <v>765</v>
      </c>
      <c r="BO26" s="769">
        <v>416451</v>
      </c>
      <c r="BP26" s="636">
        <f t="shared" si="19"/>
        <v>129</v>
      </c>
      <c r="BQ26" s="769">
        <v>520747</v>
      </c>
      <c r="BR26" s="636">
        <f t="shared" si="42"/>
        <v>136</v>
      </c>
      <c r="BS26" s="692">
        <f t="shared" si="30"/>
        <v>22133.3125</v>
      </c>
      <c r="BT26" s="693">
        <v>246</v>
      </c>
      <c r="BU26" s="692">
        <f t="shared" si="51"/>
        <v>89.972815040650403</v>
      </c>
      <c r="BV26" s="693"/>
      <c r="BW26" s="692" t="e">
        <f t="shared" si="32"/>
        <v>#DIV/0!</v>
      </c>
      <c r="BX26" s="692">
        <f t="shared" si="35"/>
        <v>25723.309374999997</v>
      </c>
      <c r="BY26" s="692">
        <f t="shared" si="49"/>
        <v>104.56629827235771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0">
        <v>24084099</v>
      </c>
      <c r="J27" s="636">
        <f t="shared" si="52"/>
        <v>5775</v>
      </c>
      <c r="K27" s="636">
        <f t="shared" si="22"/>
        <v>3428</v>
      </c>
      <c r="L27" s="770">
        <v>740090</v>
      </c>
      <c r="M27" s="636">
        <f t="shared" si="41"/>
        <v>1980</v>
      </c>
      <c r="N27" s="770">
        <v>604447</v>
      </c>
      <c r="O27" s="636">
        <f t="shared" si="40"/>
        <v>1448</v>
      </c>
      <c r="P27" s="770">
        <v>222120</v>
      </c>
      <c r="Q27" s="636">
        <f>IF(P27&gt;=P26,P27-P26,0)*30</f>
        <v>600</v>
      </c>
      <c r="R27" s="769">
        <v>185396</v>
      </c>
      <c r="S27" s="636">
        <f>IF(R27&gt;=R26,R27-R26,0)</f>
        <v>128</v>
      </c>
      <c r="T27" s="769">
        <v>338907</v>
      </c>
      <c r="U27" s="636">
        <f t="shared" si="4"/>
        <v>289</v>
      </c>
      <c r="V27" s="769">
        <v>845492</v>
      </c>
      <c r="W27" s="636">
        <f t="shared" si="5"/>
        <v>1592.1200000000001</v>
      </c>
      <c r="X27" s="770">
        <v>121075</v>
      </c>
      <c r="Y27" s="636">
        <f t="shared" si="6"/>
        <v>0</v>
      </c>
      <c r="Z27" s="770">
        <v>134801</v>
      </c>
      <c r="AA27" s="636">
        <f t="shared" si="7"/>
        <v>0</v>
      </c>
      <c r="AB27" s="769">
        <v>488405</v>
      </c>
      <c r="AC27" s="636">
        <f t="shared" si="34"/>
        <v>0</v>
      </c>
      <c r="AD27" s="769">
        <v>1562</v>
      </c>
      <c r="AE27" s="636">
        <f t="shared" si="23"/>
        <v>0</v>
      </c>
      <c r="AF27" s="769">
        <v>836185</v>
      </c>
      <c r="AG27" s="636">
        <f t="shared" si="43"/>
        <v>11.66</v>
      </c>
      <c r="AH27" s="770">
        <v>4635</v>
      </c>
      <c r="AI27" s="636">
        <f t="shared" si="9"/>
        <v>360.40000000000003</v>
      </c>
      <c r="AJ27" s="770">
        <v>836140</v>
      </c>
      <c r="AK27" s="636">
        <f t="shared" si="46"/>
        <v>1814.19</v>
      </c>
      <c r="AL27" s="769">
        <v>499498</v>
      </c>
      <c r="AM27" s="636">
        <f t="shared" si="11"/>
        <v>139.39000000000001</v>
      </c>
      <c r="AN27" s="636">
        <f t="shared" si="24"/>
        <v>3917.76</v>
      </c>
      <c r="AO27" s="769">
        <v>7655703</v>
      </c>
      <c r="AP27" s="636">
        <f t="shared" si="25"/>
        <v>36.787500000000001</v>
      </c>
      <c r="AQ27" s="769">
        <v>684699</v>
      </c>
      <c r="AR27" s="636">
        <f>IF(AQ27&gt;=AQ26,AQ27-AQ26,0)</f>
        <v>319</v>
      </c>
      <c r="AS27" s="769">
        <v>969328</v>
      </c>
      <c r="AT27" s="636">
        <f t="shared" si="26"/>
        <v>152</v>
      </c>
      <c r="AU27" s="769">
        <v>811130</v>
      </c>
      <c r="AV27" s="636">
        <f t="shared" si="13"/>
        <v>44</v>
      </c>
      <c r="AW27" s="769">
        <v>2633664</v>
      </c>
      <c r="AX27" s="636">
        <f t="shared" si="14"/>
        <v>609</v>
      </c>
      <c r="AY27" s="770">
        <v>229683</v>
      </c>
      <c r="AZ27" s="636">
        <f t="shared" si="48"/>
        <v>6</v>
      </c>
      <c r="BA27" s="769">
        <v>19390645</v>
      </c>
      <c r="BB27" s="636">
        <f t="shared" si="16"/>
        <v>3992</v>
      </c>
      <c r="BC27" s="769">
        <v>572385</v>
      </c>
      <c r="BD27" s="636">
        <f t="shared" si="16"/>
        <v>238</v>
      </c>
      <c r="BE27" s="769">
        <v>27938</v>
      </c>
      <c r="BF27" s="636">
        <f t="shared" si="16"/>
        <v>54</v>
      </c>
      <c r="BG27" s="770">
        <v>24248879</v>
      </c>
      <c r="BH27" s="636">
        <f t="shared" si="27"/>
        <v>4771.45</v>
      </c>
      <c r="BI27" s="636">
        <f t="shared" si="28"/>
        <v>10222.237499999999</v>
      </c>
      <c r="BJ27" s="636">
        <f t="shared" si="29"/>
        <v>14139.997499999999</v>
      </c>
      <c r="BK27" s="770">
        <v>1428630</v>
      </c>
      <c r="BL27" s="636">
        <f t="shared" si="17"/>
        <v>61</v>
      </c>
      <c r="BM27" s="769">
        <v>3950919</v>
      </c>
      <c r="BN27" s="636">
        <f t="shared" si="18"/>
        <v>920</v>
      </c>
      <c r="BO27" s="769">
        <v>416570</v>
      </c>
      <c r="BP27" s="636">
        <f t="shared" si="19"/>
        <v>119</v>
      </c>
      <c r="BQ27" s="769">
        <v>520876</v>
      </c>
      <c r="BR27" s="636">
        <f t="shared" si="42"/>
        <v>129</v>
      </c>
      <c r="BS27" s="692">
        <f t="shared" si="30"/>
        <v>20514.997499999998</v>
      </c>
      <c r="BT27" s="693">
        <v>246</v>
      </c>
      <c r="BU27" s="692">
        <f t="shared" si="51"/>
        <v>83.394298780487802</v>
      </c>
      <c r="BV27" s="693"/>
      <c r="BW27" s="692" t="e">
        <f t="shared" si="32"/>
        <v>#DIV/0!</v>
      </c>
      <c r="BX27" s="692">
        <f t="shared" si="35"/>
        <v>23862.247124999994</v>
      </c>
      <c r="BY27" s="692">
        <f t="shared" si="49"/>
        <v>97.001004573170704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0">
        <v>24089977</v>
      </c>
      <c r="J28" s="636">
        <f t="shared" si="52"/>
        <v>5878</v>
      </c>
      <c r="K28" s="636">
        <f t="shared" si="22"/>
        <v>3653</v>
      </c>
      <c r="L28" s="770">
        <v>742085</v>
      </c>
      <c r="M28" s="636">
        <f t="shared" si="41"/>
        <v>1995</v>
      </c>
      <c r="N28" s="769">
        <v>606105</v>
      </c>
      <c r="O28" s="636">
        <f t="shared" si="1"/>
        <v>1658</v>
      </c>
      <c r="P28" s="770">
        <v>222140</v>
      </c>
      <c r="Q28" s="636">
        <f t="shared" si="47"/>
        <v>600</v>
      </c>
      <c r="R28" s="769">
        <v>185534</v>
      </c>
      <c r="S28" s="636">
        <f>IF(R28&gt;=R27,R28-R27,0)</f>
        <v>138</v>
      </c>
      <c r="T28" s="769">
        <v>339127</v>
      </c>
      <c r="U28" s="636">
        <f>IF(T28&gt;=T27,T28-T27,0)</f>
        <v>220</v>
      </c>
      <c r="V28" s="769">
        <v>848671</v>
      </c>
      <c r="W28" s="636">
        <f t="shared" si="5"/>
        <v>1684.8700000000001</v>
      </c>
      <c r="X28" s="770">
        <v>121075</v>
      </c>
      <c r="Y28" s="636">
        <f t="shared" si="6"/>
        <v>0</v>
      </c>
      <c r="Z28" s="770">
        <v>134801</v>
      </c>
      <c r="AA28" s="636">
        <f t="shared" si="7"/>
        <v>0</v>
      </c>
      <c r="AB28" s="769">
        <v>488405</v>
      </c>
      <c r="AC28" s="636">
        <f t="shared" si="34"/>
        <v>0</v>
      </c>
      <c r="AD28" s="769">
        <v>1562</v>
      </c>
      <c r="AE28" s="636">
        <f t="shared" si="23"/>
        <v>0</v>
      </c>
      <c r="AF28" s="769">
        <v>836207</v>
      </c>
      <c r="AG28" s="636">
        <f t="shared" si="43"/>
        <v>11.66</v>
      </c>
      <c r="AH28" s="769">
        <v>5366</v>
      </c>
      <c r="AI28" s="636">
        <f t="shared" si="9"/>
        <v>387.43</v>
      </c>
      <c r="AJ28" s="769">
        <v>839796</v>
      </c>
      <c r="AK28" s="636">
        <f t="shared" si="46"/>
        <v>1937.68</v>
      </c>
      <c r="AL28" s="769">
        <v>499784</v>
      </c>
      <c r="AM28" s="636">
        <f t="shared" si="11"/>
        <v>151.58000000000001</v>
      </c>
      <c r="AN28" s="636">
        <f t="shared" si="24"/>
        <v>4173.22</v>
      </c>
      <c r="AO28" s="769">
        <v>7656125</v>
      </c>
      <c r="AP28" s="636">
        <f t="shared" si="25"/>
        <v>47.475000000000001</v>
      </c>
      <c r="AQ28" s="769">
        <v>685027</v>
      </c>
      <c r="AR28" s="636">
        <f>IF(AQ28&gt;=AQ27,AQ28-AQ27,0)</f>
        <v>328</v>
      </c>
      <c r="AS28" s="770">
        <v>969480</v>
      </c>
      <c r="AT28" s="636">
        <f t="shared" si="26"/>
        <v>152</v>
      </c>
      <c r="AU28" s="769">
        <v>811177</v>
      </c>
      <c r="AV28" s="636">
        <f t="shared" si="13"/>
        <v>47</v>
      </c>
      <c r="AW28" s="769">
        <v>2634310</v>
      </c>
      <c r="AX28" s="636">
        <f t="shared" si="14"/>
        <v>646</v>
      </c>
      <c r="AY28" s="769">
        <v>229688</v>
      </c>
      <c r="AZ28" s="636">
        <f t="shared" si="48"/>
        <v>5</v>
      </c>
      <c r="BA28" s="769">
        <v>19394787</v>
      </c>
      <c r="BB28" s="636">
        <f t="shared" si="16"/>
        <v>4142</v>
      </c>
      <c r="BC28" s="769">
        <v>572598</v>
      </c>
      <c r="BD28" s="636">
        <f t="shared" si="16"/>
        <v>213</v>
      </c>
      <c r="BE28" s="769">
        <v>27992</v>
      </c>
      <c r="BF28" s="636">
        <f t="shared" si="16"/>
        <v>54</v>
      </c>
      <c r="BG28" s="769">
        <v>24254429</v>
      </c>
      <c r="BH28" s="636">
        <f t="shared" si="27"/>
        <v>4908</v>
      </c>
      <c r="BI28" s="636">
        <f t="shared" si="28"/>
        <v>10542.475</v>
      </c>
      <c r="BJ28" s="636">
        <f t="shared" si="29"/>
        <v>14715.695</v>
      </c>
      <c r="BK28" s="770">
        <v>1428835</v>
      </c>
      <c r="BL28" s="636">
        <f t="shared" si="17"/>
        <v>205</v>
      </c>
      <c r="BM28" s="769">
        <v>3951881</v>
      </c>
      <c r="BN28" s="636">
        <f t="shared" si="18"/>
        <v>962</v>
      </c>
      <c r="BO28" s="769">
        <v>416688</v>
      </c>
      <c r="BP28" s="636">
        <f t="shared" si="19"/>
        <v>118</v>
      </c>
      <c r="BQ28" s="769">
        <v>521032</v>
      </c>
      <c r="BR28" s="636">
        <f t="shared" si="42"/>
        <v>156</v>
      </c>
      <c r="BS28" s="692">
        <f t="shared" si="30"/>
        <v>21193.695</v>
      </c>
      <c r="BT28" s="693">
        <v>250</v>
      </c>
      <c r="BU28" s="692">
        <f t="shared" si="51"/>
        <v>84.774779999999993</v>
      </c>
      <c r="BV28" s="693"/>
      <c r="BW28" s="692" t="e">
        <f t="shared" si="32"/>
        <v>#DIV/0!</v>
      </c>
      <c r="BX28" s="692">
        <f t="shared" si="35"/>
        <v>24642.749249999997</v>
      </c>
      <c r="BY28" s="692">
        <f t="shared" si="49"/>
        <v>98.570996999999991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0">
        <v>24096517</v>
      </c>
      <c r="J29" s="636">
        <f t="shared" si="52"/>
        <v>6540</v>
      </c>
      <c r="K29" s="636">
        <f t="shared" si="22"/>
        <v>4051</v>
      </c>
      <c r="L29" s="769">
        <v>744382</v>
      </c>
      <c r="M29" s="636">
        <f t="shared" si="0"/>
        <v>2297</v>
      </c>
      <c r="N29" s="769">
        <v>607859</v>
      </c>
      <c r="O29" s="636">
        <f t="shared" si="1"/>
        <v>1754</v>
      </c>
      <c r="P29" s="770">
        <v>222160</v>
      </c>
      <c r="Q29" s="636">
        <f t="shared" si="47"/>
        <v>600</v>
      </c>
      <c r="R29" s="769">
        <v>185684</v>
      </c>
      <c r="S29" s="636">
        <f>IF(R29&gt;=R28,R29-R28,0)</f>
        <v>150</v>
      </c>
      <c r="T29" s="769">
        <v>339405</v>
      </c>
      <c r="U29" s="636">
        <f t="shared" ref="U29:U36" si="53">IF(T29&gt;=T28,T29-T28,0)</f>
        <v>278</v>
      </c>
      <c r="V29" s="769">
        <v>851594</v>
      </c>
      <c r="W29" s="636">
        <f t="shared" si="5"/>
        <v>1549.19</v>
      </c>
      <c r="X29" s="770">
        <v>121075</v>
      </c>
      <c r="Y29" s="636">
        <f t="shared" si="6"/>
        <v>0</v>
      </c>
      <c r="Z29" s="773">
        <v>134801</v>
      </c>
      <c r="AA29" s="636">
        <f t="shared" si="7"/>
        <v>0</v>
      </c>
      <c r="AB29" s="769">
        <v>488405</v>
      </c>
      <c r="AC29" s="636">
        <f t="shared" si="34"/>
        <v>0</v>
      </c>
      <c r="AD29" s="769">
        <v>1562</v>
      </c>
      <c r="AE29" s="636">
        <f t="shared" si="23"/>
        <v>0</v>
      </c>
      <c r="AF29" s="769">
        <v>836232</v>
      </c>
      <c r="AG29" s="636">
        <f t="shared" si="43"/>
        <v>13.25</v>
      </c>
      <c r="AH29" s="769">
        <v>6171</v>
      </c>
      <c r="AI29" s="636">
        <f t="shared" si="9"/>
        <v>426.65000000000003</v>
      </c>
      <c r="AJ29" s="769">
        <v>843731</v>
      </c>
      <c r="AK29" s="636">
        <f t="shared" si="46"/>
        <v>2085.5500000000002</v>
      </c>
      <c r="AL29" s="769">
        <v>500089</v>
      </c>
      <c r="AM29" s="636">
        <f t="shared" si="11"/>
        <v>161.65</v>
      </c>
      <c r="AN29" s="636">
        <f t="shared" si="24"/>
        <v>4236.29</v>
      </c>
      <c r="AO29" s="769">
        <v>7656179</v>
      </c>
      <c r="AP29" s="636">
        <f t="shared" si="25"/>
        <v>6.0750000000000002</v>
      </c>
      <c r="AQ29" s="769">
        <v>685414</v>
      </c>
      <c r="AR29" s="636">
        <f t="shared" si="12"/>
        <v>387</v>
      </c>
      <c r="AS29" s="769">
        <v>969626</v>
      </c>
      <c r="AT29" s="636">
        <f t="shared" si="26"/>
        <v>146</v>
      </c>
      <c r="AU29" s="769">
        <v>811226</v>
      </c>
      <c r="AV29" s="636">
        <f t="shared" si="13"/>
        <v>49</v>
      </c>
      <c r="AW29" s="769">
        <v>2634966</v>
      </c>
      <c r="AX29" s="636">
        <f t="shared" si="14"/>
        <v>656</v>
      </c>
      <c r="AY29" s="769">
        <v>229695</v>
      </c>
      <c r="AZ29" s="636">
        <f t="shared" si="48"/>
        <v>7</v>
      </c>
      <c r="BA29" s="769">
        <v>19399371</v>
      </c>
      <c r="BB29" s="636">
        <f t="shared" si="16"/>
        <v>4584</v>
      </c>
      <c r="BC29" s="769">
        <v>572832</v>
      </c>
      <c r="BD29" s="636">
        <f t="shared" si="16"/>
        <v>234</v>
      </c>
      <c r="BE29" s="769">
        <v>28046</v>
      </c>
      <c r="BF29" s="636">
        <f t="shared" si="16"/>
        <v>54</v>
      </c>
      <c r="BG29" s="770">
        <v>24260629</v>
      </c>
      <c r="BH29" s="636">
        <f t="shared" si="27"/>
        <v>5515.4000000000005</v>
      </c>
      <c r="BI29" s="636">
        <f t="shared" si="28"/>
        <v>11638.475</v>
      </c>
      <c r="BJ29" s="636">
        <f t="shared" si="29"/>
        <v>15874.764999999999</v>
      </c>
      <c r="BK29" s="770">
        <v>1429096</v>
      </c>
      <c r="BL29" s="636">
        <f t="shared" si="17"/>
        <v>261</v>
      </c>
      <c r="BM29" s="769">
        <v>3952893</v>
      </c>
      <c r="BN29" s="636">
        <f t="shared" si="18"/>
        <v>1012</v>
      </c>
      <c r="BO29" s="808">
        <v>416824</v>
      </c>
      <c r="BP29" s="636">
        <f t="shared" si="19"/>
        <v>136</v>
      </c>
      <c r="BQ29" s="770">
        <v>521200</v>
      </c>
      <c r="BR29" s="636">
        <f t="shared" si="42"/>
        <v>168</v>
      </c>
      <c r="BS29" s="692">
        <f t="shared" si="30"/>
        <v>23014.764999999999</v>
      </c>
      <c r="BT29" s="693">
        <v>247</v>
      </c>
      <c r="BU29" s="692">
        <f t="shared" si="51"/>
        <v>93.17718623481781</v>
      </c>
      <c r="BV29" s="693"/>
      <c r="BW29" s="692" t="e">
        <f t="shared" si="32"/>
        <v>#DIV/0!</v>
      </c>
      <c r="BX29" s="692">
        <f t="shared" si="35"/>
        <v>26736.979749999999</v>
      </c>
      <c r="BY29" s="692">
        <f t="shared" si="49"/>
        <v>108.24688157894737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4">IF(+B30-B29&gt;0,B30-B29,(B30-B29)&gt;0)*800</f>
        <v>0</v>
      </c>
      <c r="D30" s="432"/>
      <c r="E30" s="432">
        <f t="shared" ref="E30:E35" si="55">IF(+D30-D29&gt;0,D30-D29,(D30-D29)&gt;0)*80</f>
        <v>0</v>
      </c>
      <c r="F30" s="432"/>
      <c r="G30" s="432">
        <f t="shared" ref="G30:G35" si="56">IF(+F30-F29&gt;0,F30-F29,(F30-F29)&gt;0)*10</f>
        <v>0</v>
      </c>
      <c r="H30" s="433">
        <v>68</v>
      </c>
      <c r="I30" s="770">
        <v>24102492</v>
      </c>
      <c r="J30" s="636">
        <f t="shared" si="52"/>
        <v>5975</v>
      </c>
      <c r="K30" s="636">
        <f t="shared" si="22"/>
        <v>3797</v>
      </c>
      <c r="L30" s="770">
        <v>746585</v>
      </c>
      <c r="M30" s="636">
        <f t="shared" si="0"/>
        <v>2203</v>
      </c>
      <c r="N30" s="770">
        <v>609453</v>
      </c>
      <c r="O30" s="636">
        <f t="shared" si="1"/>
        <v>1594</v>
      </c>
      <c r="P30" s="770">
        <v>222171</v>
      </c>
      <c r="Q30" s="636">
        <f t="shared" si="47"/>
        <v>330</v>
      </c>
      <c r="R30" s="769">
        <v>185820</v>
      </c>
      <c r="S30" s="636">
        <f>IF(R30&gt;=R29,R30-R29,0)</f>
        <v>136</v>
      </c>
      <c r="T30" s="769">
        <v>339653</v>
      </c>
      <c r="U30" s="636">
        <f t="shared" si="53"/>
        <v>248</v>
      </c>
      <c r="V30" s="769">
        <v>854312</v>
      </c>
      <c r="W30" s="636">
        <f t="shared" si="5"/>
        <v>1440.54</v>
      </c>
      <c r="X30" s="770">
        <v>121075</v>
      </c>
      <c r="Y30" s="636">
        <f t="shared" si="6"/>
        <v>0</v>
      </c>
      <c r="Z30" s="769">
        <v>134801</v>
      </c>
      <c r="AA30" s="636">
        <f t="shared" si="7"/>
        <v>0</v>
      </c>
      <c r="AB30" s="769">
        <v>488405</v>
      </c>
      <c r="AC30" s="636">
        <f t="shared" si="34"/>
        <v>0</v>
      </c>
      <c r="AD30" s="769">
        <v>1562</v>
      </c>
      <c r="AE30" s="636">
        <f t="shared" si="23"/>
        <v>0</v>
      </c>
      <c r="AF30" s="769">
        <v>836255</v>
      </c>
      <c r="AG30" s="636">
        <f t="shared" si="43"/>
        <v>12.190000000000001</v>
      </c>
      <c r="AH30" s="769">
        <v>6910</v>
      </c>
      <c r="AI30" s="636">
        <f t="shared" si="9"/>
        <v>391.67</v>
      </c>
      <c r="AJ30" s="769">
        <v>847613</v>
      </c>
      <c r="AK30" s="636">
        <f t="shared" si="46"/>
        <v>2057.46</v>
      </c>
      <c r="AL30" s="769">
        <v>500369</v>
      </c>
      <c r="AM30" s="636">
        <f t="shared" si="11"/>
        <v>148.4</v>
      </c>
      <c r="AN30" s="636">
        <f t="shared" si="24"/>
        <v>4050.26</v>
      </c>
      <c r="AO30" s="769">
        <v>7656218</v>
      </c>
      <c r="AP30" s="636">
        <f t="shared" si="25"/>
        <v>4.3875000000000002</v>
      </c>
      <c r="AQ30" s="770">
        <v>685729</v>
      </c>
      <c r="AR30" s="636">
        <f t="shared" si="12"/>
        <v>315</v>
      </c>
      <c r="AS30" s="769">
        <v>969761</v>
      </c>
      <c r="AT30" s="636">
        <f t="shared" si="26"/>
        <v>135</v>
      </c>
      <c r="AU30" s="769">
        <v>811263</v>
      </c>
      <c r="AV30" s="636">
        <f t="shared" si="13"/>
        <v>37</v>
      </c>
      <c r="AW30" s="769">
        <v>2635544</v>
      </c>
      <c r="AX30" s="636">
        <f t="shared" si="14"/>
        <v>578</v>
      </c>
      <c r="AY30" s="769">
        <v>229700</v>
      </c>
      <c r="AZ30" s="636">
        <f t="shared" si="48"/>
        <v>5</v>
      </c>
      <c r="BA30" s="769">
        <v>19404180</v>
      </c>
      <c r="BB30" s="636">
        <f t="shared" si="16"/>
        <v>4809</v>
      </c>
      <c r="BC30" s="769">
        <v>573026</v>
      </c>
      <c r="BD30" s="636">
        <f t="shared" si="16"/>
        <v>194</v>
      </c>
      <c r="BE30" s="769">
        <v>28100</v>
      </c>
      <c r="BF30" s="636">
        <f t="shared" si="16"/>
        <v>54</v>
      </c>
      <c r="BG30" s="770">
        <v>24265957</v>
      </c>
      <c r="BH30" s="636">
        <f t="shared" si="27"/>
        <v>4735.1499999999996</v>
      </c>
      <c r="BI30" s="636">
        <f t="shared" si="28"/>
        <v>10866.537499999999</v>
      </c>
      <c r="BJ30" s="636">
        <f t="shared" si="29"/>
        <v>14916.797499999999</v>
      </c>
      <c r="BK30" s="770">
        <v>1429342</v>
      </c>
      <c r="BL30" s="636">
        <f t="shared" si="17"/>
        <v>246</v>
      </c>
      <c r="BM30" s="769">
        <v>3953766</v>
      </c>
      <c r="BN30" s="806">
        <f t="shared" si="18"/>
        <v>873</v>
      </c>
      <c r="BO30" s="804">
        <v>416944</v>
      </c>
      <c r="BP30" s="807">
        <f t="shared" si="19"/>
        <v>120</v>
      </c>
      <c r="BQ30" s="769">
        <v>521346</v>
      </c>
      <c r="BR30" s="636">
        <f t="shared" si="42"/>
        <v>146</v>
      </c>
      <c r="BS30" s="692">
        <f t="shared" si="30"/>
        <v>21221.797500000001</v>
      </c>
      <c r="BT30" s="693">
        <v>253</v>
      </c>
      <c r="BU30" s="692">
        <f t="shared" si="51"/>
        <v>83.88062252964427</v>
      </c>
      <c r="BV30" s="693"/>
      <c r="BW30" s="692" t="e">
        <f t="shared" si="32"/>
        <v>#DIV/0!</v>
      </c>
      <c r="BX30" s="692">
        <f t="shared" si="35"/>
        <v>24553.567124999998</v>
      </c>
      <c r="BY30" s="692">
        <f t="shared" si="49"/>
        <v>97.049672430830029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4"/>
        <v>0</v>
      </c>
      <c r="D31" s="432"/>
      <c r="E31" s="432">
        <f t="shared" si="55"/>
        <v>0</v>
      </c>
      <c r="F31" s="432"/>
      <c r="G31" s="432">
        <f t="shared" si="56"/>
        <v>0</v>
      </c>
      <c r="H31" s="433"/>
      <c r="I31" s="770">
        <v>24108531</v>
      </c>
      <c r="J31" s="636">
        <f t="shared" si="52"/>
        <v>6039</v>
      </c>
      <c r="K31" s="636">
        <f t="shared" si="22"/>
        <v>3809</v>
      </c>
      <c r="L31" s="770">
        <v>748704</v>
      </c>
      <c r="M31" s="636">
        <f t="shared" si="0"/>
        <v>2119</v>
      </c>
      <c r="N31" s="770">
        <v>611143</v>
      </c>
      <c r="O31" s="636">
        <f t="shared" si="1"/>
        <v>1690</v>
      </c>
      <c r="P31" s="770">
        <v>222190</v>
      </c>
      <c r="Q31" s="636">
        <f t="shared" si="47"/>
        <v>570</v>
      </c>
      <c r="R31" s="769">
        <v>185961</v>
      </c>
      <c r="S31" s="636">
        <f t="shared" si="50"/>
        <v>141</v>
      </c>
      <c r="T31" s="769">
        <v>339921</v>
      </c>
      <c r="U31" s="636">
        <f t="shared" si="53"/>
        <v>268</v>
      </c>
      <c r="V31" s="769">
        <v>857700</v>
      </c>
      <c r="W31" s="636">
        <f t="shared" si="5"/>
        <v>1795.64</v>
      </c>
      <c r="X31" s="770">
        <v>121075</v>
      </c>
      <c r="Y31" s="636">
        <f t="shared" si="6"/>
        <v>0</v>
      </c>
      <c r="Z31" s="769">
        <v>134801</v>
      </c>
      <c r="AA31" s="636">
        <f t="shared" si="7"/>
        <v>0</v>
      </c>
      <c r="AB31" s="769">
        <v>488405</v>
      </c>
      <c r="AC31" s="636">
        <f t="shared" si="34"/>
        <v>0</v>
      </c>
      <c r="AD31" s="769">
        <v>1562</v>
      </c>
      <c r="AE31" s="636">
        <f t="shared" si="23"/>
        <v>0</v>
      </c>
      <c r="AF31" s="769">
        <v>836284</v>
      </c>
      <c r="AG31" s="636">
        <f t="shared" si="43"/>
        <v>15.370000000000001</v>
      </c>
      <c r="AH31" s="770">
        <v>7603</v>
      </c>
      <c r="AI31" s="636">
        <f t="shared" si="9"/>
        <v>367.29</v>
      </c>
      <c r="AJ31" s="770">
        <v>850944</v>
      </c>
      <c r="AK31" s="636">
        <f t="shared" si="46"/>
        <v>1765.43</v>
      </c>
      <c r="AL31" s="769">
        <v>500728</v>
      </c>
      <c r="AM31" s="636">
        <f t="shared" si="11"/>
        <v>190.27</v>
      </c>
      <c r="AN31" s="636">
        <f t="shared" si="24"/>
        <v>4134.0000000000009</v>
      </c>
      <c r="AO31" s="769">
        <v>7656364</v>
      </c>
      <c r="AP31" s="636">
        <f t="shared" si="25"/>
        <v>16.425000000000001</v>
      </c>
      <c r="AQ31" s="769">
        <v>686062</v>
      </c>
      <c r="AR31" s="636">
        <f t="shared" si="12"/>
        <v>333</v>
      </c>
      <c r="AS31" s="769">
        <v>969906</v>
      </c>
      <c r="AT31" s="636">
        <f t="shared" si="26"/>
        <v>145</v>
      </c>
      <c r="AU31" s="769">
        <v>811306</v>
      </c>
      <c r="AV31" s="636">
        <f t="shared" si="13"/>
        <v>43</v>
      </c>
      <c r="AW31" s="769">
        <v>2636153</v>
      </c>
      <c r="AX31" s="636">
        <f t="shared" si="14"/>
        <v>609</v>
      </c>
      <c r="AY31" s="770">
        <v>229706</v>
      </c>
      <c r="AZ31" s="636">
        <f t="shared" si="48"/>
        <v>6</v>
      </c>
      <c r="BA31" s="769">
        <v>19409109</v>
      </c>
      <c r="BB31" s="636">
        <f t="shared" si="16"/>
        <v>4929</v>
      </c>
      <c r="BC31" s="769">
        <v>573262</v>
      </c>
      <c r="BD31" s="636">
        <f t="shared" si="16"/>
        <v>236</v>
      </c>
      <c r="BE31" s="769">
        <v>28154</v>
      </c>
      <c r="BF31" s="636">
        <f t="shared" si="16"/>
        <v>54</v>
      </c>
      <c r="BG31" s="769">
        <v>24271576</v>
      </c>
      <c r="BH31" s="636">
        <f t="shared" si="27"/>
        <v>5085.8</v>
      </c>
      <c r="BI31" s="636">
        <f t="shared" si="28"/>
        <v>11457.225</v>
      </c>
      <c r="BJ31" s="636">
        <f t="shared" si="29"/>
        <v>15591.225000000002</v>
      </c>
      <c r="BK31" s="770">
        <v>1429601</v>
      </c>
      <c r="BL31" s="636">
        <f t="shared" si="17"/>
        <v>259</v>
      </c>
      <c r="BM31" s="770">
        <v>3954473</v>
      </c>
      <c r="BN31" s="806">
        <f t="shared" si="18"/>
        <v>707</v>
      </c>
      <c r="BO31" s="805">
        <v>417073</v>
      </c>
      <c r="BP31" s="807">
        <f t="shared" si="19"/>
        <v>129</v>
      </c>
      <c r="BQ31" s="769">
        <v>521503</v>
      </c>
      <c r="BR31" s="636">
        <f t="shared" si="42"/>
        <v>157</v>
      </c>
      <c r="BS31" s="692">
        <f t="shared" si="30"/>
        <v>22200.224999999999</v>
      </c>
      <c r="BT31" s="693">
        <v>257</v>
      </c>
      <c r="BU31" s="692">
        <f t="shared" si="51"/>
        <v>86.382198443579767</v>
      </c>
      <c r="BV31" s="693"/>
      <c r="BW31" s="692" t="e">
        <f t="shared" si="32"/>
        <v>#DIV/0!</v>
      </c>
      <c r="BX31" s="692">
        <f t="shared" si="35"/>
        <v>25786.758749999997</v>
      </c>
      <c r="BY31" s="692">
        <f t="shared" si="49"/>
        <v>100.33758268482489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4"/>
        <v>0</v>
      </c>
      <c r="D32" s="1"/>
      <c r="E32" s="1">
        <f t="shared" si="55"/>
        <v>0</v>
      </c>
      <c r="F32" s="1"/>
      <c r="G32" s="1">
        <f t="shared" si="56"/>
        <v>0</v>
      </c>
      <c r="H32" s="30">
        <v>69</v>
      </c>
      <c r="I32" s="770">
        <v>24114625</v>
      </c>
      <c r="J32" s="636">
        <f t="shared" si="21"/>
        <v>6094</v>
      </c>
      <c r="K32" s="636">
        <f t="shared" si="22"/>
        <v>3809</v>
      </c>
      <c r="L32" s="770">
        <v>750978</v>
      </c>
      <c r="M32" s="636">
        <f t="shared" si="0"/>
        <v>2274</v>
      </c>
      <c r="N32" s="770">
        <v>612678</v>
      </c>
      <c r="O32" s="636">
        <f t="shared" si="1"/>
        <v>1535</v>
      </c>
      <c r="P32" s="770">
        <v>222211</v>
      </c>
      <c r="Q32" s="636">
        <f t="shared" si="47"/>
        <v>630</v>
      </c>
      <c r="R32" s="769">
        <v>186100</v>
      </c>
      <c r="S32" s="636">
        <f t="shared" si="50"/>
        <v>139</v>
      </c>
      <c r="T32" s="769">
        <v>340187</v>
      </c>
      <c r="U32" s="636">
        <f t="shared" si="53"/>
        <v>266</v>
      </c>
      <c r="V32" s="769">
        <v>860880</v>
      </c>
      <c r="W32" s="636">
        <f t="shared" si="5"/>
        <v>1685.4</v>
      </c>
      <c r="X32" s="770">
        <v>121144</v>
      </c>
      <c r="Y32" s="636">
        <f t="shared" si="6"/>
        <v>36.57</v>
      </c>
      <c r="Z32" s="770">
        <v>134875</v>
      </c>
      <c r="AA32" s="636">
        <f t="shared" si="7"/>
        <v>39.22</v>
      </c>
      <c r="AB32" s="769">
        <v>488524</v>
      </c>
      <c r="AC32" s="636">
        <f t="shared" si="34"/>
        <v>63.07</v>
      </c>
      <c r="AD32" s="769">
        <v>1562</v>
      </c>
      <c r="AE32" s="636">
        <f t="shared" si="23"/>
        <v>0</v>
      </c>
      <c r="AF32" s="769">
        <v>836301</v>
      </c>
      <c r="AG32" s="636">
        <f t="shared" si="43"/>
        <v>9.01</v>
      </c>
      <c r="AH32" s="769">
        <v>8334</v>
      </c>
      <c r="AI32" s="636">
        <f t="shared" si="9"/>
        <v>387.43</v>
      </c>
      <c r="AJ32" s="769">
        <v>854605</v>
      </c>
      <c r="AK32" s="636">
        <f t="shared" si="46"/>
        <v>1940.3300000000002</v>
      </c>
      <c r="AL32" s="769">
        <v>500943</v>
      </c>
      <c r="AM32" s="636">
        <f t="shared" si="11"/>
        <v>113.95</v>
      </c>
      <c r="AN32" s="636">
        <f t="shared" si="24"/>
        <v>4274.9799999999996</v>
      </c>
      <c r="AO32" s="769">
        <v>7656783</v>
      </c>
      <c r="AP32" s="636">
        <f t="shared" si="25"/>
        <v>47.137500000000003</v>
      </c>
      <c r="AQ32" s="770">
        <v>686393</v>
      </c>
      <c r="AR32" s="636">
        <f t="shared" si="12"/>
        <v>331</v>
      </c>
      <c r="AS32" s="769">
        <v>970059</v>
      </c>
      <c r="AT32" s="636">
        <f t="shared" si="26"/>
        <v>153</v>
      </c>
      <c r="AU32" s="769">
        <v>811351</v>
      </c>
      <c r="AV32" s="636">
        <f t="shared" si="13"/>
        <v>45</v>
      </c>
      <c r="AW32" s="769">
        <v>2636751</v>
      </c>
      <c r="AX32" s="636">
        <f t="shared" si="14"/>
        <v>598</v>
      </c>
      <c r="AY32" s="770">
        <v>229712</v>
      </c>
      <c r="AZ32" s="636">
        <f t="shared" si="48"/>
        <v>6</v>
      </c>
      <c r="BA32" s="769">
        <v>19413829</v>
      </c>
      <c r="BB32" s="636">
        <f t="shared" si="16"/>
        <v>4720</v>
      </c>
      <c r="BC32" s="769">
        <v>573501</v>
      </c>
      <c r="BD32" s="636">
        <f t="shared" si="16"/>
        <v>239</v>
      </c>
      <c r="BE32" s="769">
        <v>28208</v>
      </c>
      <c r="BF32" s="636">
        <f t="shared" si="16"/>
        <v>54</v>
      </c>
      <c r="BG32" s="770">
        <v>24277524</v>
      </c>
      <c r="BH32" s="636">
        <f t="shared" si="27"/>
        <v>5314.4000000000005</v>
      </c>
      <c r="BI32" s="636">
        <f t="shared" si="28"/>
        <v>11507.5375</v>
      </c>
      <c r="BJ32" s="636">
        <f t="shared" si="29"/>
        <v>15782.5175</v>
      </c>
      <c r="BK32" s="770">
        <v>1429855</v>
      </c>
      <c r="BL32" s="636">
        <f t="shared" si="17"/>
        <v>254</v>
      </c>
      <c r="BM32" s="770">
        <v>3955414</v>
      </c>
      <c r="BN32" s="806">
        <f t="shared" si="18"/>
        <v>941</v>
      </c>
      <c r="BO32" s="805">
        <v>417200</v>
      </c>
      <c r="BP32" s="807">
        <f t="shared" si="19"/>
        <v>127</v>
      </c>
      <c r="BQ32" s="769">
        <v>521656</v>
      </c>
      <c r="BR32" s="636">
        <f t="shared" si="42"/>
        <v>153</v>
      </c>
      <c r="BS32" s="692">
        <f t="shared" si="30"/>
        <v>22506.517500000002</v>
      </c>
      <c r="BT32" s="693">
        <v>229</v>
      </c>
      <c r="BU32" s="692">
        <f t="shared" si="51"/>
        <v>98.281735807860272</v>
      </c>
      <c r="BV32" s="695"/>
      <c r="BW32" s="692" t="e">
        <f t="shared" si="32"/>
        <v>#DIV/0!</v>
      </c>
      <c r="BX32" s="692">
        <f t="shared" si="35"/>
        <v>26165.995125000001</v>
      </c>
      <c r="BY32" s="692">
        <f t="shared" si="49"/>
        <v>114.26198744541485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4"/>
        <v>0</v>
      </c>
      <c r="D33" s="1"/>
      <c r="E33" s="1">
        <f t="shared" si="55"/>
        <v>0</v>
      </c>
      <c r="F33" s="1"/>
      <c r="G33" s="1">
        <f t="shared" si="56"/>
        <v>0</v>
      </c>
      <c r="H33" s="30"/>
      <c r="I33" s="770">
        <v>24120719</v>
      </c>
      <c r="J33" s="636">
        <f t="shared" si="21"/>
        <v>6094</v>
      </c>
      <c r="K33" s="636">
        <f t="shared" si="22"/>
        <v>3809</v>
      </c>
      <c r="L33" s="770">
        <v>753252</v>
      </c>
      <c r="M33" s="636">
        <f t="shared" si="0"/>
        <v>2274</v>
      </c>
      <c r="N33" s="770">
        <v>614213</v>
      </c>
      <c r="O33" s="636">
        <f t="shared" si="1"/>
        <v>1535</v>
      </c>
      <c r="P33" s="770">
        <v>222231</v>
      </c>
      <c r="Q33" s="636">
        <f t="shared" si="47"/>
        <v>600</v>
      </c>
      <c r="R33" s="769">
        <v>186239</v>
      </c>
      <c r="S33" s="636">
        <f t="shared" si="50"/>
        <v>139</v>
      </c>
      <c r="T33" s="769">
        <v>340453</v>
      </c>
      <c r="U33" s="636">
        <f t="shared" si="53"/>
        <v>266</v>
      </c>
      <c r="V33" s="769">
        <v>864060</v>
      </c>
      <c r="W33" s="636">
        <f t="shared" si="5"/>
        <v>1685.4</v>
      </c>
      <c r="X33" s="770">
        <v>121213</v>
      </c>
      <c r="Y33" s="636">
        <f t="shared" si="6"/>
        <v>36.57</v>
      </c>
      <c r="Z33" s="769">
        <v>134949</v>
      </c>
      <c r="AA33" s="636">
        <f t="shared" si="7"/>
        <v>39.22</v>
      </c>
      <c r="AB33" s="769">
        <v>488643</v>
      </c>
      <c r="AC33" s="636">
        <f t="shared" si="34"/>
        <v>63.07</v>
      </c>
      <c r="AD33" s="769">
        <v>1562</v>
      </c>
      <c r="AE33" s="636">
        <f t="shared" si="23"/>
        <v>0</v>
      </c>
      <c r="AF33" s="769">
        <v>836318</v>
      </c>
      <c r="AG33" s="636">
        <f t="shared" si="43"/>
        <v>9.01</v>
      </c>
      <c r="AH33" s="770">
        <v>9065</v>
      </c>
      <c r="AI33" s="636">
        <f t="shared" si="9"/>
        <v>387.43</v>
      </c>
      <c r="AJ33" s="770">
        <v>858266</v>
      </c>
      <c r="AK33" s="636">
        <f t="shared" si="46"/>
        <v>1940.3300000000002</v>
      </c>
      <c r="AL33" s="769">
        <v>501158</v>
      </c>
      <c r="AM33" s="636">
        <f t="shared" si="11"/>
        <v>113.95</v>
      </c>
      <c r="AN33" s="636">
        <f t="shared" si="24"/>
        <v>4274.9799999999996</v>
      </c>
      <c r="AO33" s="769">
        <v>7657202</v>
      </c>
      <c r="AP33" s="636">
        <f t="shared" si="25"/>
        <v>47.137500000000003</v>
      </c>
      <c r="AQ33" s="769">
        <v>686724</v>
      </c>
      <c r="AR33" s="636">
        <f t="shared" si="12"/>
        <v>331</v>
      </c>
      <c r="AS33" s="769">
        <v>970212</v>
      </c>
      <c r="AT33" s="636">
        <f t="shared" si="26"/>
        <v>153</v>
      </c>
      <c r="AU33" s="769">
        <v>811396</v>
      </c>
      <c r="AV33" s="636">
        <f t="shared" si="13"/>
        <v>45</v>
      </c>
      <c r="AW33" s="769">
        <v>2637349</v>
      </c>
      <c r="AX33" s="636">
        <f t="shared" si="14"/>
        <v>598</v>
      </c>
      <c r="AY33" s="770">
        <v>229718</v>
      </c>
      <c r="AZ33" s="636">
        <f t="shared" si="48"/>
        <v>6</v>
      </c>
      <c r="BA33" s="769">
        <v>19418549</v>
      </c>
      <c r="BB33" s="636">
        <f t="shared" si="16"/>
        <v>4720</v>
      </c>
      <c r="BC33" s="769">
        <v>573740</v>
      </c>
      <c r="BD33" s="636">
        <f t="shared" si="16"/>
        <v>239</v>
      </c>
      <c r="BE33" s="769">
        <v>28262</v>
      </c>
      <c r="BF33" s="636">
        <f t="shared" si="16"/>
        <v>54</v>
      </c>
      <c r="BG33" s="769">
        <v>24283472</v>
      </c>
      <c r="BH33" s="636">
        <f t="shared" si="27"/>
        <v>5314.4000000000005</v>
      </c>
      <c r="BI33" s="636">
        <f t="shared" si="28"/>
        <v>11507.5375</v>
      </c>
      <c r="BJ33" s="636">
        <f t="shared" si="29"/>
        <v>15782.5175</v>
      </c>
      <c r="BK33" s="770">
        <v>1430109</v>
      </c>
      <c r="BL33" s="636">
        <f t="shared" si="17"/>
        <v>254</v>
      </c>
      <c r="BM33" s="770">
        <v>3956355</v>
      </c>
      <c r="BN33" s="806">
        <f t="shared" si="18"/>
        <v>941</v>
      </c>
      <c r="BO33" s="805">
        <v>417327</v>
      </c>
      <c r="BP33" s="807">
        <f t="shared" si="19"/>
        <v>127</v>
      </c>
      <c r="BQ33" s="769">
        <v>521809</v>
      </c>
      <c r="BR33" s="636">
        <f t="shared" si="42"/>
        <v>153</v>
      </c>
      <c r="BS33" s="692">
        <f t="shared" si="30"/>
        <v>22476.517500000002</v>
      </c>
      <c r="BT33" s="693">
        <v>236</v>
      </c>
      <c r="BU33" s="692">
        <f t="shared" si="51"/>
        <v>95.239480932203392</v>
      </c>
      <c r="BV33" s="693"/>
      <c r="BW33" s="692" t="e">
        <f t="shared" si="32"/>
        <v>#DIV/0!</v>
      </c>
      <c r="BX33" s="692">
        <f t="shared" si="35"/>
        <v>26117.995125000001</v>
      </c>
      <c r="BY33" s="692">
        <f t="shared" si="49"/>
        <v>110.66947086864407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4"/>
        <v>0</v>
      </c>
      <c r="D34" s="1"/>
      <c r="E34" s="1">
        <f t="shared" si="55"/>
        <v>0</v>
      </c>
      <c r="F34" s="1"/>
      <c r="G34" s="1">
        <f t="shared" si="56"/>
        <v>0</v>
      </c>
      <c r="H34" s="30"/>
      <c r="I34" s="770">
        <v>24120719</v>
      </c>
      <c r="J34" s="636">
        <f t="shared" si="21"/>
        <v>0</v>
      </c>
      <c r="K34" s="636">
        <f t="shared" si="22"/>
        <v>0</v>
      </c>
      <c r="L34" s="770">
        <v>753252</v>
      </c>
      <c r="M34" s="636">
        <f t="shared" si="0"/>
        <v>0</v>
      </c>
      <c r="N34" s="770">
        <v>614213</v>
      </c>
      <c r="O34" s="636">
        <f t="shared" si="1"/>
        <v>0</v>
      </c>
      <c r="P34" s="770">
        <v>222231</v>
      </c>
      <c r="Q34" s="636">
        <f t="shared" si="47"/>
        <v>0</v>
      </c>
      <c r="R34" s="769">
        <v>186239</v>
      </c>
      <c r="S34" s="636">
        <f t="shared" si="50"/>
        <v>0</v>
      </c>
      <c r="T34" s="769">
        <v>340453</v>
      </c>
      <c r="U34" s="636">
        <f t="shared" si="53"/>
        <v>0</v>
      </c>
      <c r="V34" s="769">
        <v>864060</v>
      </c>
      <c r="W34" s="636">
        <f t="shared" si="5"/>
        <v>0</v>
      </c>
      <c r="X34" s="770">
        <v>121213</v>
      </c>
      <c r="Y34" s="636">
        <f t="shared" si="6"/>
        <v>0</v>
      </c>
      <c r="Z34" s="769">
        <v>134949</v>
      </c>
      <c r="AA34" s="636">
        <f t="shared" si="7"/>
        <v>0</v>
      </c>
      <c r="AB34" s="769">
        <v>488643</v>
      </c>
      <c r="AC34" s="636">
        <f t="shared" si="34"/>
        <v>0</v>
      </c>
      <c r="AD34" s="769">
        <v>1562</v>
      </c>
      <c r="AE34" s="636">
        <f t="shared" si="23"/>
        <v>0</v>
      </c>
      <c r="AF34" s="769">
        <v>836318</v>
      </c>
      <c r="AG34" s="636">
        <f t="shared" si="43"/>
        <v>0</v>
      </c>
      <c r="AH34" s="770">
        <v>9065</v>
      </c>
      <c r="AI34" s="636">
        <f t="shared" si="9"/>
        <v>0</v>
      </c>
      <c r="AJ34" s="770">
        <v>858266</v>
      </c>
      <c r="AK34" s="636">
        <f t="shared" si="46"/>
        <v>0</v>
      </c>
      <c r="AL34" s="769">
        <v>501158</v>
      </c>
      <c r="AM34" s="636">
        <f t="shared" si="11"/>
        <v>0</v>
      </c>
      <c r="AN34" s="636">
        <f t="shared" si="24"/>
        <v>0</v>
      </c>
      <c r="AO34" s="769">
        <v>7657202</v>
      </c>
      <c r="AP34" s="636">
        <f t="shared" si="25"/>
        <v>0</v>
      </c>
      <c r="AQ34" s="769">
        <v>686724</v>
      </c>
      <c r="AR34" s="636">
        <f t="shared" si="12"/>
        <v>0</v>
      </c>
      <c r="AS34" s="769">
        <v>970212</v>
      </c>
      <c r="AT34" s="636">
        <f t="shared" si="26"/>
        <v>0</v>
      </c>
      <c r="AU34" s="769">
        <v>811396</v>
      </c>
      <c r="AV34" s="636">
        <f t="shared" si="13"/>
        <v>0</v>
      </c>
      <c r="AW34" s="769">
        <v>2637349</v>
      </c>
      <c r="AX34" s="636">
        <f t="shared" si="14"/>
        <v>0</v>
      </c>
      <c r="AY34" s="770">
        <v>229718</v>
      </c>
      <c r="AZ34" s="636">
        <f t="shared" si="48"/>
        <v>0</v>
      </c>
      <c r="BA34" s="769">
        <v>19418549</v>
      </c>
      <c r="BB34" s="636">
        <f t="shared" si="16"/>
        <v>0</v>
      </c>
      <c r="BC34" s="769">
        <v>573740</v>
      </c>
      <c r="BD34" s="636">
        <f t="shared" si="16"/>
        <v>0</v>
      </c>
      <c r="BE34" s="769">
        <v>28262</v>
      </c>
      <c r="BF34" s="636">
        <f t="shared" si="16"/>
        <v>0</v>
      </c>
      <c r="BG34" s="769">
        <v>24283472</v>
      </c>
      <c r="BH34" s="636">
        <f t="shared" si="27"/>
        <v>0</v>
      </c>
      <c r="BI34" s="636">
        <f t="shared" si="28"/>
        <v>0</v>
      </c>
      <c r="BJ34" s="636">
        <f t="shared" si="29"/>
        <v>0</v>
      </c>
      <c r="BK34" s="770">
        <v>1430109</v>
      </c>
      <c r="BL34" s="636">
        <f t="shared" si="17"/>
        <v>0</v>
      </c>
      <c r="BM34" s="770">
        <v>3956355</v>
      </c>
      <c r="BN34" s="806">
        <f t="shared" si="18"/>
        <v>0</v>
      </c>
      <c r="BO34" s="805">
        <v>417327</v>
      </c>
      <c r="BP34" s="807">
        <f t="shared" si="19"/>
        <v>0</v>
      </c>
      <c r="BQ34" s="769">
        <v>521809</v>
      </c>
      <c r="BR34" s="636">
        <f t="shared" si="42"/>
        <v>0</v>
      </c>
      <c r="BS34" s="692">
        <f t="shared" si="30"/>
        <v>0</v>
      </c>
      <c r="BT34" s="693"/>
      <c r="BU34" s="692">
        <f t="shared" si="51"/>
        <v>0</v>
      </c>
      <c r="BV34" s="693"/>
      <c r="BW34" s="692">
        <f t="shared" si="32"/>
        <v>0</v>
      </c>
      <c r="BX34" s="692">
        <f t="shared" si="35"/>
        <v>0</v>
      </c>
      <c r="BY34" s="692">
        <f t="shared" si="49"/>
        <v>0</v>
      </c>
      <c r="BZ34" s="694">
        <f t="shared" si="36"/>
        <v>0</v>
      </c>
    </row>
    <row r="35" spans="1:78" ht="33.75" customHeight="1">
      <c r="A35" s="111">
        <v>30</v>
      </c>
      <c r="B35" s="110"/>
      <c r="C35" s="1">
        <f t="shared" si="54"/>
        <v>0</v>
      </c>
      <c r="D35" s="1"/>
      <c r="E35" s="1">
        <f t="shared" si="55"/>
        <v>0</v>
      </c>
      <c r="F35" s="1"/>
      <c r="G35" s="1">
        <f t="shared" si="56"/>
        <v>0</v>
      </c>
      <c r="H35" s="30"/>
      <c r="I35" s="770">
        <v>24120719</v>
      </c>
      <c r="J35" s="636">
        <f t="shared" si="21"/>
        <v>0</v>
      </c>
      <c r="K35" s="636">
        <f t="shared" si="22"/>
        <v>0</v>
      </c>
      <c r="L35" s="770">
        <v>753252</v>
      </c>
      <c r="M35" s="636">
        <f t="shared" si="0"/>
        <v>0</v>
      </c>
      <c r="N35" s="770">
        <v>614213</v>
      </c>
      <c r="O35" s="636">
        <f t="shared" si="1"/>
        <v>0</v>
      </c>
      <c r="P35" s="770">
        <v>222231</v>
      </c>
      <c r="Q35" s="636">
        <f t="shared" si="47"/>
        <v>0</v>
      </c>
      <c r="R35" s="769">
        <v>186239</v>
      </c>
      <c r="S35" s="636">
        <f t="shared" si="50"/>
        <v>0</v>
      </c>
      <c r="T35" s="769">
        <v>340453</v>
      </c>
      <c r="U35" s="636">
        <f t="shared" si="53"/>
        <v>0</v>
      </c>
      <c r="V35" s="769">
        <v>864060</v>
      </c>
      <c r="W35" s="636">
        <f t="shared" si="5"/>
        <v>0</v>
      </c>
      <c r="X35" s="770">
        <v>121213</v>
      </c>
      <c r="Y35" s="636">
        <f t="shared" si="6"/>
        <v>0</v>
      </c>
      <c r="Z35" s="769">
        <v>134949</v>
      </c>
      <c r="AA35" s="636">
        <f t="shared" si="7"/>
        <v>0</v>
      </c>
      <c r="AB35" s="769">
        <v>488643</v>
      </c>
      <c r="AC35" s="636">
        <f t="shared" si="34"/>
        <v>0</v>
      </c>
      <c r="AD35" s="769">
        <v>1562</v>
      </c>
      <c r="AE35" s="636">
        <f t="shared" si="23"/>
        <v>0</v>
      </c>
      <c r="AF35" s="769">
        <v>836318</v>
      </c>
      <c r="AG35" s="636">
        <f t="shared" si="43"/>
        <v>0</v>
      </c>
      <c r="AH35" s="770">
        <v>9065</v>
      </c>
      <c r="AI35" s="636">
        <f t="shared" si="9"/>
        <v>0</v>
      </c>
      <c r="AJ35" s="770">
        <v>858266</v>
      </c>
      <c r="AK35" s="636">
        <f t="shared" si="46"/>
        <v>0</v>
      </c>
      <c r="AL35" s="769">
        <v>501158</v>
      </c>
      <c r="AM35" s="636">
        <f t="shared" si="11"/>
        <v>0</v>
      </c>
      <c r="AN35" s="636">
        <f t="shared" si="24"/>
        <v>0</v>
      </c>
      <c r="AO35" s="769">
        <v>7657202</v>
      </c>
      <c r="AP35" s="636">
        <f t="shared" si="25"/>
        <v>0</v>
      </c>
      <c r="AQ35" s="769">
        <v>686724</v>
      </c>
      <c r="AR35" s="636">
        <f t="shared" si="12"/>
        <v>0</v>
      </c>
      <c r="AS35" s="769">
        <v>970212</v>
      </c>
      <c r="AT35" s="636">
        <f>IF(AS35&gt;=AS34,AS35-AS34,0)</f>
        <v>0</v>
      </c>
      <c r="AU35" s="769">
        <v>811396</v>
      </c>
      <c r="AV35" s="636">
        <f t="shared" si="13"/>
        <v>0</v>
      </c>
      <c r="AW35" s="769">
        <v>2637349</v>
      </c>
      <c r="AX35" s="636">
        <f t="shared" si="14"/>
        <v>0</v>
      </c>
      <c r="AY35" s="770">
        <v>229718</v>
      </c>
      <c r="AZ35" s="636">
        <f t="shared" si="48"/>
        <v>0</v>
      </c>
      <c r="BA35" s="769">
        <v>19418549</v>
      </c>
      <c r="BB35" s="636">
        <f t="shared" si="16"/>
        <v>0</v>
      </c>
      <c r="BC35" s="769">
        <v>573740</v>
      </c>
      <c r="BD35" s="636">
        <f t="shared" si="16"/>
        <v>0</v>
      </c>
      <c r="BE35" s="769">
        <v>28262</v>
      </c>
      <c r="BF35" s="636">
        <f t="shared" si="16"/>
        <v>0</v>
      </c>
      <c r="BG35" s="769">
        <v>24283472</v>
      </c>
      <c r="BH35" s="636">
        <f t="shared" si="27"/>
        <v>0</v>
      </c>
      <c r="BI35" s="636">
        <f t="shared" si="28"/>
        <v>0</v>
      </c>
      <c r="BJ35" s="636">
        <f t="shared" si="29"/>
        <v>0</v>
      </c>
      <c r="BK35" s="770">
        <v>1430109</v>
      </c>
      <c r="BL35" s="636">
        <f t="shared" si="17"/>
        <v>0</v>
      </c>
      <c r="BM35" s="770">
        <v>3956355</v>
      </c>
      <c r="BN35" s="806">
        <f t="shared" si="18"/>
        <v>0</v>
      </c>
      <c r="BO35" s="805">
        <v>417327</v>
      </c>
      <c r="BP35" s="807">
        <f t="shared" si="19"/>
        <v>0</v>
      </c>
      <c r="BQ35" s="769">
        <v>521809</v>
      </c>
      <c r="BR35" s="636">
        <f t="shared" si="42"/>
        <v>0</v>
      </c>
      <c r="BS35" s="692">
        <f t="shared" si="30"/>
        <v>0</v>
      </c>
      <c r="BT35" s="693"/>
      <c r="BU35" s="692">
        <f t="shared" si="51"/>
        <v>0</v>
      </c>
      <c r="BV35" s="693"/>
      <c r="BW35" s="692">
        <f t="shared" si="32"/>
        <v>0</v>
      </c>
      <c r="BX35" s="692">
        <f t="shared" si="35"/>
        <v>0</v>
      </c>
      <c r="BY35" s="692">
        <f t="shared" si="49"/>
        <v>0</v>
      </c>
      <c r="BZ35" s="694">
        <f t="shared" si="36"/>
        <v>0</v>
      </c>
    </row>
    <row r="36" spans="1:78" ht="33.75" customHeight="1">
      <c r="A36" s="111">
        <v>31</v>
      </c>
      <c r="B36" s="718"/>
      <c r="C36" s="719"/>
      <c r="D36" s="719"/>
      <c r="E36" s="719"/>
      <c r="F36" s="719"/>
      <c r="G36" s="719"/>
      <c r="H36" s="720"/>
      <c r="I36" s="770">
        <v>24120719</v>
      </c>
      <c r="J36" s="636">
        <f t="shared" si="21"/>
        <v>0</v>
      </c>
      <c r="K36" s="636">
        <f t="shared" si="22"/>
        <v>0</v>
      </c>
      <c r="L36" s="770">
        <v>753252</v>
      </c>
      <c r="M36" s="636">
        <f t="shared" si="0"/>
        <v>0</v>
      </c>
      <c r="N36" s="770">
        <v>614213</v>
      </c>
      <c r="O36" s="636">
        <f t="shared" si="1"/>
        <v>0</v>
      </c>
      <c r="P36" s="770">
        <v>222231</v>
      </c>
      <c r="Q36" s="636">
        <f t="shared" si="47"/>
        <v>0</v>
      </c>
      <c r="R36" s="769">
        <v>186239</v>
      </c>
      <c r="S36" s="636">
        <f t="shared" si="50"/>
        <v>0</v>
      </c>
      <c r="T36" s="769">
        <v>340453</v>
      </c>
      <c r="U36" s="636">
        <f t="shared" si="53"/>
        <v>0</v>
      </c>
      <c r="V36" s="769">
        <v>864060</v>
      </c>
      <c r="W36" s="636">
        <f t="shared" si="5"/>
        <v>0</v>
      </c>
      <c r="X36" s="770">
        <v>121213</v>
      </c>
      <c r="Y36" s="636">
        <f t="shared" si="6"/>
        <v>0</v>
      </c>
      <c r="Z36" s="769">
        <v>134949</v>
      </c>
      <c r="AA36" s="636">
        <f t="shared" si="7"/>
        <v>0</v>
      </c>
      <c r="AB36" s="769">
        <v>488643</v>
      </c>
      <c r="AC36" s="636">
        <f t="shared" si="34"/>
        <v>0</v>
      </c>
      <c r="AD36" s="769">
        <v>1562</v>
      </c>
      <c r="AE36" s="636">
        <f t="shared" si="23"/>
        <v>0</v>
      </c>
      <c r="AF36" s="769">
        <v>836318</v>
      </c>
      <c r="AG36" s="636">
        <f t="shared" si="43"/>
        <v>0</v>
      </c>
      <c r="AH36" s="770">
        <v>9065</v>
      </c>
      <c r="AI36" s="636">
        <f t="shared" si="9"/>
        <v>0</v>
      </c>
      <c r="AJ36" s="770">
        <v>858266</v>
      </c>
      <c r="AK36" s="636">
        <f t="shared" si="46"/>
        <v>0</v>
      </c>
      <c r="AL36" s="769">
        <v>501158</v>
      </c>
      <c r="AM36" s="636">
        <f t="shared" si="11"/>
        <v>0</v>
      </c>
      <c r="AN36" s="636">
        <f t="shared" si="24"/>
        <v>0</v>
      </c>
      <c r="AO36" s="769">
        <v>7657202</v>
      </c>
      <c r="AP36" s="636">
        <f t="shared" si="25"/>
        <v>0</v>
      </c>
      <c r="AQ36" s="769">
        <v>686724</v>
      </c>
      <c r="AR36" s="636">
        <f t="shared" si="12"/>
        <v>0</v>
      </c>
      <c r="AS36" s="769">
        <v>970212</v>
      </c>
      <c r="AT36" s="636">
        <f>IF(AS36&gt;=AS35,AS36-AS35,0)</f>
        <v>0</v>
      </c>
      <c r="AU36" s="769">
        <v>811396</v>
      </c>
      <c r="AV36" s="636">
        <f t="shared" si="13"/>
        <v>0</v>
      </c>
      <c r="AW36" s="769">
        <v>2637349</v>
      </c>
      <c r="AX36" s="636">
        <f t="shared" si="14"/>
        <v>0</v>
      </c>
      <c r="AY36" s="770">
        <v>229718</v>
      </c>
      <c r="AZ36" s="636">
        <f t="shared" si="48"/>
        <v>0</v>
      </c>
      <c r="BA36" s="769">
        <v>19418549</v>
      </c>
      <c r="BB36" s="636">
        <f t="shared" si="16"/>
        <v>0</v>
      </c>
      <c r="BC36" s="769">
        <v>573740</v>
      </c>
      <c r="BD36" s="636">
        <f t="shared" si="16"/>
        <v>0</v>
      </c>
      <c r="BE36" s="769">
        <v>28262</v>
      </c>
      <c r="BF36" s="636">
        <f t="shared" si="16"/>
        <v>0</v>
      </c>
      <c r="BG36" s="769">
        <v>24283472</v>
      </c>
      <c r="BH36" s="636">
        <f t="shared" si="27"/>
        <v>0</v>
      </c>
      <c r="BI36" s="636">
        <f t="shared" si="28"/>
        <v>0</v>
      </c>
      <c r="BJ36" s="636">
        <f t="shared" si="29"/>
        <v>0</v>
      </c>
      <c r="BK36" s="770">
        <v>1430109</v>
      </c>
      <c r="BL36" s="636">
        <f t="shared" si="17"/>
        <v>0</v>
      </c>
      <c r="BM36" s="770">
        <v>3956355</v>
      </c>
      <c r="BN36" s="806">
        <f t="shared" si="18"/>
        <v>0</v>
      </c>
      <c r="BO36" s="805">
        <v>417327</v>
      </c>
      <c r="BP36" s="807">
        <f t="shared" si="19"/>
        <v>0</v>
      </c>
      <c r="BQ36" s="769">
        <v>521809</v>
      </c>
      <c r="BR36" s="636">
        <f t="shared" si="42"/>
        <v>0</v>
      </c>
      <c r="BS36" s="692">
        <f t="shared" si="30"/>
        <v>0</v>
      </c>
      <c r="BT36" s="693"/>
      <c r="BU36" s="692">
        <f t="shared" si="51"/>
        <v>0</v>
      </c>
      <c r="BV36" s="721"/>
      <c r="BW36" s="692">
        <f t="shared" si="32"/>
        <v>0</v>
      </c>
      <c r="BX36" s="692">
        <f t="shared" si="35"/>
        <v>0</v>
      </c>
      <c r="BY36" s="692">
        <f t="shared" si="49"/>
        <v>0</v>
      </c>
      <c r="BZ36" s="694">
        <f t="shared" si="36"/>
        <v>0</v>
      </c>
    </row>
    <row r="37" spans="1:78" s="3" customFormat="1" ht="36.75" customHeigh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2">
        <f>SUM(J6:J36)</f>
        <v>185633</v>
      </c>
      <c r="K37" s="712">
        <f>SUM(K6:K36)</f>
        <v>116404</v>
      </c>
      <c r="L37" s="696"/>
      <c r="M37" s="552">
        <f>SUM(M6:M36)</f>
        <v>70642</v>
      </c>
      <c r="N37" s="696"/>
      <c r="O37" s="552">
        <f>SUM(O6:O36)</f>
        <v>45762</v>
      </c>
      <c r="P37" s="696"/>
      <c r="Q37" s="552">
        <f>SUM(Q6:Q36)</f>
        <v>15060</v>
      </c>
      <c r="R37" s="716"/>
      <c r="S37" s="552">
        <f>SUM(S6:S36)</f>
        <v>3953</v>
      </c>
      <c r="T37" s="716"/>
      <c r="U37" s="552">
        <f>SUM(U6:U36)</f>
        <v>7221.5</v>
      </c>
      <c r="V37" s="696"/>
      <c r="W37" s="552">
        <f>SUM(W6:W36)</f>
        <v>38151.520000000004</v>
      </c>
      <c r="X37" s="769"/>
      <c r="Y37" s="552">
        <f>SUM(Y5:Y36)</f>
        <v>242.20999999999998</v>
      </c>
      <c r="Z37" s="713"/>
      <c r="AA37" s="712">
        <f>SUM(AA6:AA36)</f>
        <v>108.12</v>
      </c>
      <c r="AB37" s="696"/>
      <c r="AC37" s="552">
        <f>SUM(AC6:AC36)</f>
        <v>185.5</v>
      </c>
      <c r="AD37" s="785"/>
      <c r="AE37" s="712">
        <f>SUM(AE6:AE36)</f>
        <v>253.34</v>
      </c>
      <c r="AF37" s="785"/>
      <c r="AG37" s="712">
        <f>SUM(AG6:AG36)</f>
        <v>352.45</v>
      </c>
      <c r="AH37" s="697"/>
      <c r="AI37" s="552">
        <f>SUM(AI6:AI36)</f>
        <v>10627.560000000003</v>
      </c>
      <c r="AJ37" s="697"/>
      <c r="AK37" s="552">
        <f>SUM(AK6:AK36)</f>
        <v>55617.67</v>
      </c>
      <c r="AL37" s="712"/>
      <c r="AM37" s="552">
        <f>SUM(AM6:AM36)</f>
        <v>4235.7599999999993</v>
      </c>
      <c r="AN37" s="712">
        <f>SUM(AN6:AN36)</f>
        <v>109774.12999999998</v>
      </c>
      <c r="AO37" s="774"/>
      <c r="AP37" s="552">
        <f>SUM(AP6:AP36)</f>
        <v>689.40000000000009</v>
      </c>
      <c r="AQ37" s="697"/>
      <c r="AR37" s="552">
        <f>SUM(AR6:AR36)</f>
        <v>9291</v>
      </c>
      <c r="AS37" s="697"/>
      <c r="AT37" s="552">
        <f>SUM(AT6:AT36)</f>
        <v>4054</v>
      </c>
      <c r="AU37" s="697"/>
      <c r="AV37" s="552">
        <f>SUM(AV6:AV36)</f>
        <v>1198</v>
      </c>
      <c r="AW37" s="697"/>
      <c r="AX37" s="552">
        <f>SUM(AX6:AX36)</f>
        <v>16357</v>
      </c>
      <c r="AY37" s="697"/>
      <c r="AZ37" s="552">
        <f>SUM(AZ6:AZ36)</f>
        <v>165</v>
      </c>
      <c r="BA37" s="697"/>
      <c r="BB37" s="552">
        <f>SUM(BB6:BB36)</f>
        <v>121160</v>
      </c>
      <c r="BC37" s="785"/>
      <c r="BD37" s="552">
        <f>SUM(BD6:BD36)</f>
        <v>6430</v>
      </c>
      <c r="BE37" s="785"/>
      <c r="BF37" s="552">
        <f>SUM(BF6:BF36)</f>
        <v>1534</v>
      </c>
      <c r="BG37" s="697"/>
      <c r="BH37" s="712">
        <f>SUM(BH6:BH36)</f>
        <v>138022.79999999999</v>
      </c>
      <c r="BI37" s="712">
        <f>SUM(BI6:BI36)</f>
        <v>298901.19999999995</v>
      </c>
      <c r="BJ37" s="712">
        <f>SUM(BJ6:BJ36)</f>
        <v>408675.33</v>
      </c>
      <c r="BK37" s="696"/>
      <c r="BL37" s="552">
        <f>SUM(BL6:BL36)</f>
        <v>4650</v>
      </c>
      <c r="BM37" s="697"/>
      <c r="BN37" s="552">
        <f>SUM(BN6:BN36)</f>
        <v>23210</v>
      </c>
      <c r="BO37" s="774"/>
      <c r="BP37" s="552">
        <f>SUM(BP6:BP36)</f>
        <v>3566</v>
      </c>
      <c r="BQ37" s="697"/>
      <c r="BR37" s="552">
        <f>SUM(BR6:BR36)</f>
        <v>3852</v>
      </c>
      <c r="BS37" s="552">
        <f>SUM(BS6:BS36)</f>
        <v>609368.32999999996</v>
      </c>
      <c r="BT37" s="698">
        <f>SUM(BT6:BT36)</f>
        <v>6256</v>
      </c>
      <c r="BU37" s="699">
        <f>IF(BS37&gt;0,BS37/BT37,0)</f>
        <v>97.405423593350378</v>
      </c>
      <c r="BV37" s="698">
        <f>SUM(BV6:BV35)</f>
        <v>0</v>
      </c>
      <c r="BW37" s="699" t="e">
        <f>IF(BS37&gt;0,BS37/BV37,0)</f>
        <v>#DIV/0!</v>
      </c>
      <c r="BX37" s="544">
        <f>SUM(BX6:BX35)</f>
        <v>707550.57949999988</v>
      </c>
      <c r="BY37" s="699">
        <f>IF(BX37&gt;0,BX37/BT37,0)</f>
        <v>113.09951718350382</v>
      </c>
      <c r="BZ37" s="700" t="e">
        <f>IF(BX37&gt;0,BX37/BV37,0)</f>
        <v>#DIV/0!</v>
      </c>
    </row>
    <row r="38" spans="1:78" s="3" customFormat="1" ht="36.75" customHeigh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6187.7666666666664</v>
      </c>
      <c r="K38" s="701">
        <f>K37/J39</f>
        <v>3880.1333333333332</v>
      </c>
      <c r="L38" s="702"/>
      <c r="M38" s="701">
        <f>M37/J39</f>
        <v>2354.7333333333331</v>
      </c>
      <c r="N38" s="702"/>
      <c r="O38" s="701">
        <f>O37/J39</f>
        <v>1525.4</v>
      </c>
      <c r="P38" s="702"/>
      <c r="Q38" s="701">
        <f>Q37/J39</f>
        <v>502</v>
      </c>
      <c r="R38" s="717"/>
      <c r="S38" s="701">
        <f>S37/J39</f>
        <v>131.76666666666668</v>
      </c>
      <c r="T38" s="717"/>
      <c r="U38" s="701">
        <f>U37/J39</f>
        <v>240.71666666666667</v>
      </c>
      <c r="V38" s="702"/>
      <c r="W38" s="701">
        <f>W37/J39</f>
        <v>1271.7173333333335</v>
      </c>
      <c r="X38" s="702"/>
      <c r="Y38" s="701">
        <f>Y37/J39</f>
        <v>8.0736666666666661</v>
      </c>
      <c r="Z38" s="703"/>
      <c r="AA38" s="701">
        <f>AA37/J39</f>
        <v>3.6040000000000001</v>
      </c>
      <c r="AB38" s="702"/>
      <c r="AC38" s="701">
        <f>AC37/J39</f>
        <v>6.1833333333333336</v>
      </c>
      <c r="AD38" s="784"/>
      <c r="AE38" s="701">
        <f>AE37/J39</f>
        <v>8.4446666666666665</v>
      </c>
      <c r="AF38" s="784"/>
      <c r="AG38" s="701">
        <f>AG37/J39</f>
        <v>11.748333333333333</v>
      </c>
      <c r="AH38" s="704"/>
      <c r="AI38" s="701">
        <f>AI37/J39</f>
        <v>354.25200000000012</v>
      </c>
      <c r="AJ38" s="704"/>
      <c r="AK38" s="701">
        <f>AK37/J39</f>
        <v>1853.9223333333332</v>
      </c>
      <c r="AL38" s="701"/>
      <c r="AM38" s="701">
        <f>AM37/J39</f>
        <v>141.19199999999998</v>
      </c>
      <c r="AN38" s="701">
        <f>AN37/J39</f>
        <v>3659.1376666666661</v>
      </c>
      <c r="AO38" s="704"/>
      <c r="AP38" s="701">
        <f>AP37/J39</f>
        <v>22.980000000000004</v>
      </c>
      <c r="AQ38" s="704"/>
      <c r="AR38" s="701">
        <f>AR37/J39</f>
        <v>309.7</v>
      </c>
      <c r="AS38" s="704"/>
      <c r="AT38" s="701">
        <f>AT37/J39</f>
        <v>135.13333333333333</v>
      </c>
      <c r="AU38" s="704"/>
      <c r="AV38" s="701">
        <f>AV37/J39</f>
        <v>39.93333333333333</v>
      </c>
      <c r="AW38" s="704"/>
      <c r="AX38" s="701">
        <f>AX37/J39</f>
        <v>545.23333333333335</v>
      </c>
      <c r="AY38" s="704"/>
      <c r="AZ38" s="701">
        <f>AZ37/J39</f>
        <v>5.5</v>
      </c>
      <c r="BA38" s="704"/>
      <c r="BB38" s="701">
        <f>BB37/J39</f>
        <v>4038.6666666666665</v>
      </c>
      <c r="BC38" s="784"/>
      <c r="BD38" s="701">
        <f>BD37/J39</f>
        <v>214.33333333333334</v>
      </c>
      <c r="BE38" s="784"/>
      <c r="BF38" s="701">
        <f>BF37/J39</f>
        <v>51.133333333333333</v>
      </c>
      <c r="BG38" s="704"/>
      <c r="BH38" s="701">
        <f>BH37/J39</f>
        <v>4600.7599999999993</v>
      </c>
      <c r="BI38" s="701"/>
      <c r="BJ38" s="701"/>
      <c r="BK38" s="702"/>
      <c r="BL38" s="701">
        <f>BL37/J39</f>
        <v>155</v>
      </c>
      <c r="BM38" s="704"/>
      <c r="BN38" s="701">
        <f>BN37/J39</f>
        <v>773.66666666666663</v>
      </c>
      <c r="BO38" s="704"/>
      <c r="BP38" s="701">
        <f>BP37/J39</f>
        <v>118.86666666666666</v>
      </c>
      <c r="BQ38" s="704"/>
      <c r="BR38" s="701">
        <f>BR37/J39</f>
        <v>128.4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21"/>
      <c r="B45" s="821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7" priority="158" stopIfTrue="1" operator="greaterThan">
      <formula>400</formula>
    </cfRule>
  </conditionalFormatting>
  <conditionalFormatting sqref="BN5:BN36 AI5:AI36">
    <cfRule type="cellIs" dxfId="36" priority="156" stopIfTrue="1" operator="greaterThan">
      <formula>2000</formula>
    </cfRule>
  </conditionalFormatting>
  <conditionalFormatting sqref="AR5:AR36 AX5:AX36 BL5:BL36 AV5:AV36 AT5:AT36">
    <cfRule type="cellIs" dxfId="35" priority="155" stopIfTrue="1" operator="greaterThan">
      <formula>1400</formula>
    </cfRule>
  </conditionalFormatting>
  <conditionalFormatting sqref="BH5:BH36 BB5:BB36 BD5:BD36 BF5:BF36">
    <cfRule type="cellIs" dxfId="34" priority="154" stopIfTrue="1" operator="greaterThan">
      <formula>8000</formula>
    </cfRule>
  </conditionalFormatting>
  <conditionalFormatting sqref="AZ5:AZ36">
    <cfRule type="cellIs" dxfId="33" priority="152" stopIfTrue="1" operator="greaterThan">
      <formula>700</formula>
    </cfRule>
  </conditionalFormatting>
  <conditionalFormatting sqref="AK5:AK12 AK14:AK36">
    <cfRule type="cellIs" dxfId="32" priority="150" stopIfTrue="1" operator="greaterThan">
      <formula>5000</formula>
    </cfRule>
  </conditionalFormatting>
  <conditionalFormatting sqref="Y5:Y36 AA5:AA36 AC5:AC36 AE5:AE36 AG5:AG36 W5:W36">
    <cfRule type="cellIs" dxfId="31" priority="148" stopIfTrue="1" operator="greaterThan">
      <formula>4000</formula>
    </cfRule>
  </conditionalFormatting>
  <conditionalFormatting sqref="S5:S36 U5:U36">
    <cfRule type="cellIs" dxfId="30" priority="144" stopIfTrue="1" operator="greaterThan">
      <formula>300</formula>
    </cfRule>
  </conditionalFormatting>
  <conditionalFormatting sqref="Q5:Q36">
    <cfRule type="cellIs" dxfId="29" priority="142" stopIfTrue="1" operator="greaterThan">
      <formula>1500</formula>
    </cfRule>
  </conditionalFormatting>
  <conditionalFormatting sqref="O5:O36">
    <cfRule type="cellIs" dxfId="28" priority="141" stopIfTrue="1" operator="greaterThan">
      <formula>6000</formula>
    </cfRule>
  </conditionalFormatting>
  <conditionalFormatting sqref="M5:M36">
    <cfRule type="cellIs" dxfId="27" priority="140" stopIfTrue="1" operator="greaterThan">
      <formula>3000</formula>
    </cfRule>
  </conditionalFormatting>
  <conditionalFormatting sqref="J5:J36">
    <cfRule type="cellIs" dxfId="26" priority="139" stopIfTrue="1" operator="greaterThan">
      <formula>12000</formula>
    </cfRule>
  </conditionalFormatting>
  <conditionalFormatting sqref="AP5:AP36">
    <cfRule type="cellIs" dxfId="25" priority="135" stopIfTrue="1" operator="greaterThan">
      <formula>2500</formula>
    </cfRule>
  </conditionalFormatting>
  <conditionalFormatting sqref="BT8:BT36">
    <cfRule type="cellIs" dxfId="24" priority="9" operator="greaterThan">
      <formula>262</formula>
    </cfRule>
  </conditionalFormatting>
  <conditionalFormatting sqref="BT5 BT7:BT36">
    <cfRule type="cellIs" dxfId="23" priority="8" operator="greaterThan">
      <formula>262</formula>
    </cfRule>
  </conditionalFormatting>
  <conditionalFormatting sqref="BT34:BT36 BT25:BT31">
    <cfRule type="cellIs" dxfId="22" priority="7" operator="greaterThan">
      <formula>262</formula>
    </cfRule>
  </conditionalFormatting>
  <conditionalFormatting sqref="BT34:BT36 BT25:BT31">
    <cfRule type="cellIs" dxfId="21" priority="6" operator="greaterThan">
      <formula>262</formula>
    </cfRule>
  </conditionalFormatting>
  <conditionalFormatting sqref="AM5:AM36">
    <cfRule type="cellIs" dxfId="20" priority="2" stopIfTrue="1" operator="greaterThan">
      <formula>4000</formula>
    </cfRule>
  </conditionalFormatting>
  <conditionalFormatting sqref="AK13">
    <cfRule type="cellIs" dxfId="19" priority="3" stopIfTrue="1" operator="greaterThan">
      <formula>4000</formula>
    </cfRule>
  </conditionalFormatting>
  <conditionalFormatting sqref="BT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tabSelected="1" zoomScale="50" zoomScaleNormal="50" zoomScaleSheetLayoutView="55" workbookViewId="0">
      <pane xSplit="1" ySplit="5" topLeftCell="B20" activePane="bottomRight" state="frozen"/>
      <selection pane="bottomRight" activeCell="F22" sqref="F22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41" t="str">
        <f>Elect!A1</f>
        <v>February</v>
      </c>
      <c r="E1" s="815" t="s">
        <v>47</v>
      </c>
      <c r="H1" s="564" t="s">
        <v>125</v>
      </c>
      <c r="I1" s="667"/>
      <c r="J1" s="565">
        <v>3.9</v>
      </c>
    </row>
    <row r="2" spans="1:13" ht="23.25" customHeight="1">
      <c r="A2" s="841"/>
      <c r="C2" s="27"/>
      <c r="E2" s="815"/>
      <c r="G2" s="27"/>
      <c r="H2" s="27"/>
      <c r="I2" s="27"/>
      <c r="K2" s="529"/>
      <c r="L2" s="528"/>
      <c r="M2" s="385"/>
    </row>
    <row r="3" spans="1:13" ht="21" customHeight="1" thickBot="1">
      <c r="A3" s="842"/>
      <c r="B3" s="27"/>
      <c r="C3" s="27"/>
      <c r="D3" s="27"/>
      <c r="E3" s="816"/>
      <c r="F3" s="27"/>
      <c r="G3" s="27"/>
      <c r="H3" s="27"/>
      <c r="I3" s="27"/>
    </row>
    <row r="4" spans="1:13" ht="53.25" customHeight="1">
      <c r="A4" s="660" t="s">
        <v>126</v>
      </c>
      <c r="B4" s="843" t="s">
        <v>127</v>
      </c>
      <c r="C4" s="844"/>
      <c r="D4" s="843" t="s">
        <v>128</v>
      </c>
      <c r="E4" s="844"/>
      <c r="F4" s="843" t="s">
        <v>129</v>
      </c>
      <c r="G4" s="844"/>
      <c r="H4" s="534" t="s">
        <v>130</v>
      </c>
      <c r="I4" s="534" t="s">
        <v>131</v>
      </c>
      <c r="J4" s="533" t="s">
        <v>132</v>
      </c>
      <c r="K4" s="734" t="s">
        <v>133</v>
      </c>
      <c r="L4" s="23"/>
      <c r="M4" s="23"/>
    </row>
    <row r="5" spans="1:13" ht="26.25" customHeight="1" thickBot="1">
      <c r="A5" s="661"/>
      <c r="B5" s="137" t="s">
        <v>134</v>
      </c>
      <c r="C5" s="138" t="s">
        <v>135</v>
      </c>
      <c r="D5" s="137" t="s">
        <v>134</v>
      </c>
      <c r="E5" s="138" t="s">
        <v>135</v>
      </c>
      <c r="F5" s="137" t="s">
        <v>134</v>
      </c>
      <c r="G5" s="138" t="s">
        <v>135</v>
      </c>
      <c r="H5" s="25" t="s">
        <v>136</v>
      </c>
      <c r="I5" s="25" t="s">
        <v>136</v>
      </c>
      <c r="J5" s="25" t="s">
        <v>136</v>
      </c>
      <c r="K5" s="138" t="s">
        <v>135</v>
      </c>
      <c r="L5" s="23"/>
      <c r="M5" s="23"/>
    </row>
    <row r="6" spans="1:13" s="3" customFormat="1" ht="41.25" customHeight="1">
      <c r="A6" s="662"/>
      <c r="B6" s="764">
        <v>8317884</v>
      </c>
      <c r="C6" s="636">
        <f t="shared" ref="C6:C14" si="0">IF(B6&gt;=B5,B6-B5,0)*1.06</f>
        <v>0</v>
      </c>
      <c r="D6" s="771">
        <v>463432</v>
      </c>
      <c r="E6" s="636">
        <f>IF(D6&gt;=D5,D6-D5,0)*0.7</f>
        <v>0</v>
      </c>
      <c r="F6" s="771">
        <v>601784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4">
        <v>8318884</v>
      </c>
      <c r="C7" s="636">
        <f t="shared" si="0"/>
        <v>1060</v>
      </c>
      <c r="D7" s="771">
        <v>463903</v>
      </c>
      <c r="E7" s="636">
        <f t="shared" ref="E7:E37" si="2">IF(D7&gt;=D6,D7-D6,0)*0.7</f>
        <v>329.7</v>
      </c>
      <c r="F7" s="771">
        <v>602041</v>
      </c>
      <c r="G7" s="636">
        <f t="shared" si="1"/>
        <v>257</v>
      </c>
      <c r="H7" s="636">
        <f>(E7*0.55)*1.61</f>
        <v>291.94935000000004</v>
      </c>
      <c r="I7" s="636">
        <f>C7*J1</f>
        <v>4134</v>
      </c>
      <c r="J7" s="636">
        <f>G7*J1</f>
        <v>1002.3</v>
      </c>
      <c r="K7" s="692">
        <f t="shared" ref="K7:K37" si="3">C7+E7</f>
        <v>1389.7</v>
      </c>
    </row>
    <row r="8" spans="1:13" s="3" customFormat="1" ht="41.25" customHeight="1">
      <c r="A8" s="662">
        <v>2</v>
      </c>
      <c r="B8" s="764">
        <v>8319884</v>
      </c>
      <c r="C8" s="636">
        <f t="shared" si="0"/>
        <v>1060</v>
      </c>
      <c r="D8" s="771">
        <v>464571</v>
      </c>
      <c r="E8" s="636">
        <f t="shared" si="2"/>
        <v>467.59999999999997</v>
      </c>
      <c r="F8" s="771">
        <v>601993</v>
      </c>
      <c r="G8" s="636">
        <f t="shared" si="1"/>
        <v>0</v>
      </c>
      <c r="H8" s="636">
        <f t="shared" ref="H8:H37" si="4">(E8*0.55)*1.61</f>
        <v>414.05980000000005</v>
      </c>
      <c r="I8" s="636">
        <f>C8*J1</f>
        <v>4134</v>
      </c>
      <c r="J8" s="636">
        <f>G8*J1</f>
        <v>0</v>
      </c>
      <c r="K8" s="692">
        <f t="shared" si="3"/>
        <v>1527.6</v>
      </c>
    </row>
    <row r="9" spans="1:13" s="3" customFormat="1" ht="41.25" customHeight="1">
      <c r="A9" s="662">
        <v>3</v>
      </c>
      <c r="B9" s="764">
        <v>8320884</v>
      </c>
      <c r="C9" s="636">
        <f t="shared" si="0"/>
        <v>1060</v>
      </c>
      <c r="D9" s="771">
        <v>465239</v>
      </c>
      <c r="E9" s="636">
        <f t="shared" si="2"/>
        <v>467.59999999999997</v>
      </c>
      <c r="F9" s="771">
        <v>601945</v>
      </c>
      <c r="G9" s="636">
        <f t="shared" si="1"/>
        <v>0</v>
      </c>
      <c r="H9" s="636">
        <f>(E9*0.55)*1.61</f>
        <v>414.05980000000005</v>
      </c>
      <c r="I9" s="636">
        <f>C9*J1</f>
        <v>4134</v>
      </c>
      <c r="J9" s="636">
        <f>G9*J1</f>
        <v>0</v>
      </c>
      <c r="K9" s="692">
        <f>C9+E9</f>
        <v>1527.6</v>
      </c>
    </row>
    <row r="10" spans="1:13" s="3" customFormat="1" ht="41.25" customHeight="1">
      <c r="A10" s="662">
        <v>4</v>
      </c>
      <c r="B10" s="764">
        <v>8321884</v>
      </c>
      <c r="C10" s="636">
        <f>IF(B10&gt;=B9,B10-B9,0)*1.06</f>
        <v>1060</v>
      </c>
      <c r="D10" s="771">
        <v>465732</v>
      </c>
      <c r="E10" s="636">
        <f t="shared" si="2"/>
        <v>345.09999999999997</v>
      </c>
      <c r="F10" s="771">
        <v>602070</v>
      </c>
      <c r="G10" s="636">
        <f t="shared" si="1"/>
        <v>125</v>
      </c>
      <c r="H10" s="636">
        <f>(E10*0.55)*1.61</f>
        <v>305.58605000000006</v>
      </c>
      <c r="I10" s="636">
        <f>C10*J1</f>
        <v>4134</v>
      </c>
      <c r="J10" s="636">
        <f>G10*J1</f>
        <v>487.5</v>
      </c>
      <c r="K10" s="692">
        <f t="shared" si="3"/>
        <v>1405.1</v>
      </c>
    </row>
    <row r="11" spans="1:13" s="3" customFormat="1" ht="41.25" customHeight="1">
      <c r="A11" s="662">
        <v>5</v>
      </c>
      <c r="B11" s="764">
        <v>8322884</v>
      </c>
      <c r="C11" s="636">
        <f>IF(B11&gt;=B10,B11-B10,0)*1.06</f>
        <v>1060</v>
      </c>
      <c r="D11" s="771">
        <v>466291</v>
      </c>
      <c r="E11" s="636">
        <f t="shared" si="2"/>
        <v>391.29999999999995</v>
      </c>
      <c r="F11" s="771">
        <v>602195</v>
      </c>
      <c r="G11" s="636">
        <f t="shared" si="1"/>
        <v>125</v>
      </c>
      <c r="H11" s="636">
        <f t="shared" si="4"/>
        <v>346.49615</v>
      </c>
      <c r="I11" s="636">
        <f>C11*J1</f>
        <v>4134</v>
      </c>
      <c r="J11" s="636">
        <f>G11*J1</f>
        <v>487.5</v>
      </c>
      <c r="K11" s="692">
        <f t="shared" si="3"/>
        <v>1451.3</v>
      </c>
    </row>
    <row r="12" spans="1:13" s="3" customFormat="1" ht="41.25" customHeight="1">
      <c r="A12" s="662">
        <v>6</v>
      </c>
      <c r="B12" s="764">
        <v>8323884</v>
      </c>
      <c r="C12" s="636">
        <f>IF(B12&gt;=B11,B12-B11,0)*1.06</f>
        <v>1060</v>
      </c>
      <c r="D12" s="771">
        <v>466850</v>
      </c>
      <c r="E12" s="636">
        <f t="shared" si="2"/>
        <v>391.29999999999995</v>
      </c>
      <c r="F12" s="771">
        <v>602320</v>
      </c>
      <c r="G12" s="636">
        <f t="shared" si="1"/>
        <v>125</v>
      </c>
      <c r="H12" s="636">
        <f t="shared" si="4"/>
        <v>346.49615</v>
      </c>
      <c r="I12" s="636">
        <f>C12*J1</f>
        <v>4134</v>
      </c>
      <c r="J12" s="636">
        <f>G12*J1</f>
        <v>487.5</v>
      </c>
      <c r="K12" s="692">
        <f t="shared" si="3"/>
        <v>1451.3</v>
      </c>
    </row>
    <row r="13" spans="1:13" s="3" customFormat="1" ht="41.25" customHeight="1">
      <c r="A13" s="662">
        <v>7</v>
      </c>
      <c r="B13" s="764">
        <v>8324884</v>
      </c>
      <c r="C13" s="636">
        <f>IF(B13&gt;=B12,B13-B12,0)*1.06</f>
        <v>1060</v>
      </c>
      <c r="D13" s="771">
        <v>467409</v>
      </c>
      <c r="E13" s="636">
        <f t="shared" si="2"/>
        <v>391.29999999999995</v>
      </c>
      <c r="F13" s="771">
        <v>602445</v>
      </c>
      <c r="G13" s="636">
        <f t="shared" si="1"/>
        <v>125</v>
      </c>
      <c r="H13" s="636">
        <f t="shared" si="4"/>
        <v>346.49615</v>
      </c>
      <c r="I13" s="636">
        <f>C13*J1</f>
        <v>4134</v>
      </c>
      <c r="J13" s="636">
        <f>G13*J1</f>
        <v>487.5</v>
      </c>
      <c r="K13" s="692">
        <f t="shared" si="3"/>
        <v>1451.3</v>
      </c>
    </row>
    <row r="14" spans="1:13" s="3" customFormat="1" ht="41.25" customHeight="1">
      <c r="A14" s="662">
        <v>8</v>
      </c>
      <c r="B14" s="764">
        <v>8325884</v>
      </c>
      <c r="C14" s="636">
        <f t="shared" si="0"/>
        <v>1060</v>
      </c>
      <c r="D14" s="771">
        <v>467968</v>
      </c>
      <c r="E14" s="636">
        <f t="shared" si="2"/>
        <v>391.29999999999995</v>
      </c>
      <c r="F14" s="771">
        <v>602570</v>
      </c>
      <c r="G14" s="636">
        <f t="shared" si="1"/>
        <v>125</v>
      </c>
      <c r="H14" s="636">
        <f t="shared" si="4"/>
        <v>346.49615</v>
      </c>
      <c r="I14" s="636">
        <f>C14*J1</f>
        <v>4134</v>
      </c>
      <c r="J14" s="636">
        <f>G14*J1</f>
        <v>487.5</v>
      </c>
      <c r="K14" s="692">
        <f t="shared" si="3"/>
        <v>1451.3</v>
      </c>
    </row>
    <row r="15" spans="1:13" s="3" customFormat="1" ht="41.25" customHeight="1">
      <c r="A15" s="662">
        <v>9</v>
      </c>
      <c r="B15" s="764">
        <v>8326884</v>
      </c>
      <c r="C15" s="636">
        <f t="shared" ref="C15:C27" si="5">IF(B15&gt;=B14,B15-B14,0)*1.06</f>
        <v>1060</v>
      </c>
      <c r="D15" s="771">
        <v>468527</v>
      </c>
      <c r="E15" s="636">
        <f t="shared" si="2"/>
        <v>391.29999999999995</v>
      </c>
      <c r="F15" s="771">
        <v>602695</v>
      </c>
      <c r="G15" s="636">
        <f t="shared" si="1"/>
        <v>125</v>
      </c>
      <c r="H15" s="636">
        <f t="shared" si="4"/>
        <v>346.49615</v>
      </c>
      <c r="I15" s="636">
        <f>C15*J1</f>
        <v>4134</v>
      </c>
      <c r="J15" s="636">
        <f>G15*J1</f>
        <v>487.5</v>
      </c>
      <c r="K15" s="692">
        <f t="shared" si="3"/>
        <v>1451.3</v>
      </c>
    </row>
    <row r="16" spans="1:13" s="3" customFormat="1" ht="41.25" customHeight="1">
      <c r="A16" s="662">
        <v>10</v>
      </c>
      <c r="B16" s="764">
        <v>8327884</v>
      </c>
      <c r="C16" s="636">
        <f t="shared" si="5"/>
        <v>1060</v>
      </c>
      <c r="D16" s="771">
        <v>468888</v>
      </c>
      <c r="E16" s="636">
        <f t="shared" si="2"/>
        <v>252.7</v>
      </c>
      <c r="F16" s="771">
        <v>602750</v>
      </c>
      <c r="G16" s="636">
        <f t="shared" si="1"/>
        <v>55</v>
      </c>
      <c r="H16" s="636">
        <f t="shared" si="4"/>
        <v>223.76585000000003</v>
      </c>
      <c r="I16" s="636">
        <f>C16*J1</f>
        <v>4134</v>
      </c>
      <c r="J16" s="636">
        <f>G16*J1</f>
        <v>214.5</v>
      </c>
      <c r="K16" s="692">
        <f t="shared" si="3"/>
        <v>1312.7</v>
      </c>
    </row>
    <row r="17" spans="1:11" s="3" customFormat="1" ht="41.25" customHeight="1">
      <c r="A17" s="662">
        <v>11</v>
      </c>
      <c r="B17" s="764">
        <v>8328884</v>
      </c>
      <c r="C17" s="636">
        <f t="shared" si="5"/>
        <v>1060</v>
      </c>
      <c r="D17" s="771">
        <v>469249</v>
      </c>
      <c r="E17" s="636">
        <f t="shared" si="2"/>
        <v>252.7</v>
      </c>
      <c r="F17" s="771">
        <v>602805</v>
      </c>
      <c r="G17" s="636">
        <f t="shared" si="1"/>
        <v>55</v>
      </c>
      <c r="H17" s="636">
        <f t="shared" si="4"/>
        <v>223.76585000000003</v>
      </c>
      <c r="I17" s="636">
        <f>C17*J1</f>
        <v>4134</v>
      </c>
      <c r="J17" s="636">
        <f>G17*J1</f>
        <v>214.5</v>
      </c>
      <c r="K17" s="692">
        <f t="shared" si="3"/>
        <v>1312.7</v>
      </c>
    </row>
    <row r="18" spans="1:11" s="3" customFormat="1" ht="41.25" customHeight="1">
      <c r="A18" s="662">
        <v>12</v>
      </c>
      <c r="B18" s="764">
        <v>8329884</v>
      </c>
      <c r="C18" s="636">
        <f t="shared" si="5"/>
        <v>1060</v>
      </c>
      <c r="D18" s="771">
        <v>469610</v>
      </c>
      <c r="E18" s="636">
        <f t="shared" si="2"/>
        <v>252.7</v>
      </c>
      <c r="F18" s="771">
        <v>602860</v>
      </c>
      <c r="G18" s="636">
        <f t="shared" ref="G18:G20" si="6">IF(F18&gt;=F17,F18-F17,0)</f>
        <v>55</v>
      </c>
      <c r="H18" s="636">
        <f t="shared" si="4"/>
        <v>223.76585000000003</v>
      </c>
      <c r="I18" s="636">
        <f>C18*J1</f>
        <v>4134</v>
      </c>
      <c r="J18" s="636">
        <f>G18*J1</f>
        <v>214.5</v>
      </c>
      <c r="K18" s="692">
        <f t="shared" si="3"/>
        <v>1312.7</v>
      </c>
    </row>
    <row r="19" spans="1:11" s="3" customFormat="1" ht="41.25" customHeight="1">
      <c r="A19" s="662">
        <v>13</v>
      </c>
      <c r="B19" s="764">
        <v>8330884</v>
      </c>
      <c r="C19" s="636">
        <f>IF(B19&gt;=B18,B19-B18,0)*1.06</f>
        <v>1060</v>
      </c>
      <c r="D19" s="771">
        <v>469971</v>
      </c>
      <c r="E19" s="636">
        <f>IF(D19&gt;=D18,D19-D18,0)*0.7</f>
        <v>252.7</v>
      </c>
      <c r="F19" s="771">
        <v>602915</v>
      </c>
      <c r="G19" s="636">
        <f t="shared" si="6"/>
        <v>55</v>
      </c>
      <c r="H19" s="636">
        <f t="shared" si="4"/>
        <v>223.76585000000003</v>
      </c>
      <c r="I19" s="636">
        <f>C19*J1</f>
        <v>4134</v>
      </c>
      <c r="J19" s="636">
        <f>G19*J1</f>
        <v>214.5</v>
      </c>
      <c r="K19" s="692">
        <f t="shared" si="3"/>
        <v>1312.7</v>
      </c>
    </row>
    <row r="20" spans="1:11" s="3" customFormat="1" ht="41.25" customHeight="1">
      <c r="A20" s="662">
        <v>14</v>
      </c>
      <c r="B20" s="764">
        <v>8331884</v>
      </c>
      <c r="C20" s="636">
        <f>IF(B20&gt;=B19,B20-B19,0)*1.06</f>
        <v>1060</v>
      </c>
      <c r="D20" s="771">
        <v>470332</v>
      </c>
      <c r="E20" s="636">
        <f>IF(D20&gt;=D19,D20-D19,0)*0.7</f>
        <v>252.7</v>
      </c>
      <c r="F20" s="771">
        <v>602970</v>
      </c>
      <c r="G20" s="636">
        <f t="shared" si="6"/>
        <v>55</v>
      </c>
      <c r="H20" s="636">
        <f t="shared" si="4"/>
        <v>223.76585000000003</v>
      </c>
      <c r="I20" s="636">
        <f>C20*J1</f>
        <v>4134</v>
      </c>
      <c r="J20" s="636">
        <f>G20*J1</f>
        <v>214.5</v>
      </c>
      <c r="K20" s="692">
        <f t="shared" si="3"/>
        <v>1312.7</v>
      </c>
    </row>
    <row r="21" spans="1:11" s="3" customFormat="1" ht="41.25" customHeight="1">
      <c r="A21" s="662">
        <v>15</v>
      </c>
      <c r="B21" s="764">
        <v>8332884</v>
      </c>
      <c r="C21" s="636">
        <f>IF(B21&gt;=B20,B21-B20,0)*1.06</f>
        <v>1060</v>
      </c>
      <c r="D21" s="771">
        <v>471530</v>
      </c>
      <c r="E21" s="636">
        <f>IF(D21&gt;=D20,D21-D20,0)*0.7</f>
        <v>838.59999999999991</v>
      </c>
      <c r="F21" s="771">
        <v>603125</v>
      </c>
      <c r="G21" s="636">
        <f t="shared" ref="G21:G37" si="7">IF(F21&gt;=F20,F21-F20,0)</f>
        <v>155</v>
      </c>
      <c r="H21" s="636">
        <f t="shared" si="4"/>
        <v>742.58029999999997</v>
      </c>
      <c r="I21" s="636">
        <f>C21*J1</f>
        <v>4134</v>
      </c>
      <c r="J21" s="636">
        <f>G21*J1</f>
        <v>604.5</v>
      </c>
      <c r="K21" s="692">
        <f t="shared" si="3"/>
        <v>1898.6</v>
      </c>
    </row>
    <row r="22" spans="1:11" s="3" customFormat="1" ht="41.25" customHeight="1">
      <c r="A22" s="662">
        <v>16</v>
      </c>
      <c r="B22" s="764">
        <v>8333884</v>
      </c>
      <c r="C22" s="636">
        <f t="shared" si="5"/>
        <v>1060</v>
      </c>
      <c r="D22" s="771">
        <v>472077</v>
      </c>
      <c r="E22" s="636">
        <f t="shared" si="2"/>
        <v>382.9</v>
      </c>
      <c r="F22" s="771">
        <v>603296</v>
      </c>
      <c r="G22" s="636">
        <f t="shared" si="7"/>
        <v>171</v>
      </c>
      <c r="H22" s="636">
        <f t="shared" si="4"/>
        <v>339.05795000000001</v>
      </c>
      <c r="I22" s="636">
        <f>C22*J1</f>
        <v>4134</v>
      </c>
      <c r="J22" s="636">
        <f>G22*J1</f>
        <v>666.9</v>
      </c>
      <c r="K22" s="692">
        <f t="shared" si="3"/>
        <v>1442.9</v>
      </c>
    </row>
    <row r="23" spans="1:11" s="3" customFormat="1" ht="41.25" customHeight="1">
      <c r="A23" s="662">
        <v>17</v>
      </c>
      <c r="B23" s="764">
        <v>8334884</v>
      </c>
      <c r="C23" s="636">
        <f t="shared" si="5"/>
        <v>1060</v>
      </c>
      <c r="D23" s="771">
        <v>472676</v>
      </c>
      <c r="E23" s="636">
        <f t="shared" si="2"/>
        <v>419.29999999999995</v>
      </c>
      <c r="F23" s="771">
        <v>603392</v>
      </c>
      <c r="G23" s="636">
        <f t="shared" si="7"/>
        <v>96</v>
      </c>
      <c r="H23" s="636">
        <f t="shared" si="4"/>
        <v>371.29014999999998</v>
      </c>
      <c r="I23" s="636">
        <f>C23*J1</f>
        <v>4134</v>
      </c>
      <c r="J23" s="636">
        <f>G23*J1</f>
        <v>374.4</v>
      </c>
      <c r="K23" s="692">
        <f t="shared" si="3"/>
        <v>1479.3</v>
      </c>
    </row>
    <row r="24" spans="1:11" s="3" customFormat="1" ht="41.25" customHeight="1">
      <c r="A24" s="662">
        <v>18</v>
      </c>
      <c r="B24" s="764">
        <v>8335884</v>
      </c>
      <c r="C24" s="636">
        <f t="shared" si="5"/>
        <v>1060</v>
      </c>
      <c r="D24" s="771">
        <v>473128</v>
      </c>
      <c r="E24" s="636">
        <f t="shared" si="2"/>
        <v>316.39999999999998</v>
      </c>
      <c r="F24" s="771">
        <v>603479</v>
      </c>
      <c r="G24" s="636">
        <f t="shared" si="7"/>
        <v>87</v>
      </c>
      <c r="H24" s="636">
        <f t="shared" si="4"/>
        <v>280.17220000000003</v>
      </c>
      <c r="I24" s="636">
        <f>C24*J1</f>
        <v>4134</v>
      </c>
      <c r="J24" s="636">
        <f>G24*J1</f>
        <v>339.3</v>
      </c>
      <c r="K24" s="692">
        <f t="shared" si="3"/>
        <v>1376.4</v>
      </c>
    </row>
    <row r="25" spans="1:11" s="3" customFormat="1" ht="41.25" customHeight="1">
      <c r="A25" s="662">
        <v>19</v>
      </c>
      <c r="B25" s="764">
        <v>8336884</v>
      </c>
      <c r="C25" s="636">
        <f t="shared" si="5"/>
        <v>1060</v>
      </c>
      <c r="D25" s="771">
        <v>473580</v>
      </c>
      <c r="E25" s="636">
        <f t="shared" si="2"/>
        <v>316.39999999999998</v>
      </c>
      <c r="F25" s="771">
        <v>603566</v>
      </c>
      <c r="G25" s="636">
        <f t="shared" si="7"/>
        <v>87</v>
      </c>
      <c r="H25" s="636">
        <f t="shared" si="4"/>
        <v>280.17220000000003</v>
      </c>
      <c r="I25" s="636">
        <f>C25*J1</f>
        <v>4134</v>
      </c>
      <c r="J25" s="636">
        <f>G25*J1</f>
        <v>339.3</v>
      </c>
      <c r="K25" s="692">
        <f t="shared" si="3"/>
        <v>1376.4</v>
      </c>
    </row>
    <row r="26" spans="1:11" s="3" customFormat="1" ht="41.25" customHeight="1">
      <c r="A26" s="662">
        <v>20</v>
      </c>
      <c r="B26" s="764">
        <v>8337884</v>
      </c>
      <c r="C26" s="636">
        <f t="shared" si="5"/>
        <v>1060</v>
      </c>
      <c r="D26" s="771">
        <v>474178</v>
      </c>
      <c r="E26" s="636">
        <f t="shared" si="2"/>
        <v>418.59999999999997</v>
      </c>
      <c r="F26" s="771">
        <v>603659</v>
      </c>
      <c r="G26" s="636">
        <f t="shared" si="7"/>
        <v>93</v>
      </c>
      <c r="H26" s="636">
        <f t="shared" si="4"/>
        <v>370.6703</v>
      </c>
      <c r="I26" s="636">
        <f>C26*J1</f>
        <v>4134</v>
      </c>
      <c r="J26" s="636">
        <f>G26*J1</f>
        <v>362.7</v>
      </c>
      <c r="K26" s="692">
        <f t="shared" si="3"/>
        <v>1478.6</v>
      </c>
    </row>
    <row r="27" spans="1:11" s="3" customFormat="1" ht="41.25" customHeight="1">
      <c r="A27" s="662">
        <v>21</v>
      </c>
      <c r="B27" s="764">
        <v>8338884</v>
      </c>
      <c r="C27" s="636">
        <f t="shared" si="5"/>
        <v>1060</v>
      </c>
      <c r="D27" s="771">
        <v>474706</v>
      </c>
      <c r="E27" s="636">
        <f t="shared" si="2"/>
        <v>369.59999999999997</v>
      </c>
      <c r="F27" s="771">
        <v>603759</v>
      </c>
      <c r="G27" s="636">
        <f t="shared" si="7"/>
        <v>100</v>
      </c>
      <c r="H27" s="636">
        <f t="shared" si="4"/>
        <v>327.2808</v>
      </c>
      <c r="I27" s="636">
        <f>C27*J1</f>
        <v>4134</v>
      </c>
      <c r="J27" s="636">
        <f>G27*J1</f>
        <v>390</v>
      </c>
      <c r="K27" s="692">
        <f t="shared" si="3"/>
        <v>1429.6</v>
      </c>
    </row>
    <row r="28" spans="1:11" s="3" customFormat="1" ht="41.25" customHeight="1">
      <c r="A28" s="662">
        <v>22</v>
      </c>
      <c r="B28" s="764">
        <v>8339884</v>
      </c>
      <c r="C28" s="636">
        <f t="shared" ref="C28:C37" si="8">IF(B28&gt;=B27,B28-B27,0)*1.06</f>
        <v>1060</v>
      </c>
      <c r="D28" s="771">
        <v>475367</v>
      </c>
      <c r="E28" s="636">
        <f t="shared" si="2"/>
        <v>462.7</v>
      </c>
      <c r="F28" s="771">
        <v>603853</v>
      </c>
      <c r="G28" s="636">
        <f t="shared" si="7"/>
        <v>94</v>
      </c>
      <c r="H28" s="636">
        <f>(E28*0.55)*1.61</f>
        <v>409.72085000000004</v>
      </c>
      <c r="I28" s="636">
        <f>C28*J1</f>
        <v>4134</v>
      </c>
      <c r="J28" s="636">
        <f>G28*J1</f>
        <v>366.59999999999997</v>
      </c>
      <c r="K28" s="692">
        <f t="shared" si="3"/>
        <v>1522.7</v>
      </c>
    </row>
    <row r="29" spans="1:11" s="3" customFormat="1" ht="41.25" customHeight="1">
      <c r="A29" s="662">
        <v>23</v>
      </c>
      <c r="B29" s="764">
        <v>8340884</v>
      </c>
      <c r="C29" s="636">
        <f t="shared" si="8"/>
        <v>1060</v>
      </c>
      <c r="D29" s="771">
        <v>475959</v>
      </c>
      <c r="E29" s="636">
        <f t="shared" si="2"/>
        <v>414.4</v>
      </c>
      <c r="F29" s="771">
        <v>603947</v>
      </c>
      <c r="G29" s="636">
        <f t="shared" si="7"/>
        <v>94</v>
      </c>
      <c r="H29" s="636">
        <f>(E29*0.55)*1.61</f>
        <v>366.95120000000003</v>
      </c>
      <c r="I29" s="636">
        <f>C29*J1</f>
        <v>4134</v>
      </c>
      <c r="J29" s="636">
        <f>G29*J1</f>
        <v>366.59999999999997</v>
      </c>
      <c r="K29" s="692">
        <f t="shared" si="3"/>
        <v>1474.4</v>
      </c>
    </row>
    <row r="30" spans="1:11" s="3" customFormat="1" ht="41.25" customHeight="1">
      <c r="A30" s="662">
        <v>24</v>
      </c>
      <c r="B30" s="764">
        <v>8341884</v>
      </c>
      <c r="C30" s="636">
        <f t="shared" si="8"/>
        <v>1060</v>
      </c>
      <c r="D30" s="771">
        <v>476578</v>
      </c>
      <c r="E30" s="636">
        <f t="shared" si="2"/>
        <v>433.29999999999995</v>
      </c>
      <c r="F30" s="771">
        <v>604052</v>
      </c>
      <c r="G30" s="636">
        <f t="shared" si="7"/>
        <v>105</v>
      </c>
      <c r="H30" s="636">
        <f>(E30*0.55)*1.61</f>
        <v>383.68715000000003</v>
      </c>
      <c r="I30" s="636">
        <f>C30*J1</f>
        <v>4134</v>
      </c>
      <c r="J30" s="636">
        <f>G30*J1</f>
        <v>409.5</v>
      </c>
      <c r="K30" s="692">
        <f t="shared" si="3"/>
        <v>1493.3</v>
      </c>
    </row>
    <row r="31" spans="1:11" s="3" customFormat="1" ht="41.25" customHeight="1">
      <c r="A31" s="662">
        <v>25</v>
      </c>
      <c r="B31" s="764">
        <v>8342884</v>
      </c>
      <c r="C31" s="636">
        <f t="shared" si="8"/>
        <v>1060</v>
      </c>
      <c r="D31" s="771">
        <v>477021</v>
      </c>
      <c r="E31" s="636">
        <f t="shared" si="2"/>
        <v>310.09999999999997</v>
      </c>
      <c r="F31" s="771">
        <v>604235</v>
      </c>
      <c r="G31" s="636">
        <f t="shared" si="7"/>
        <v>183</v>
      </c>
      <c r="H31" s="636">
        <f t="shared" si="4"/>
        <v>274.59355000000005</v>
      </c>
      <c r="I31" s="636">
        <f>C31*J3</f>
        <v>0</v>
      </c>
      <c r="J31" s="636">
        <f>G31*J1</f>
        <v>713.69999999999993</v>
      </c>
      <c r="K31" s="692">
        <f t="shared" si="3"/>
        <v>1370.1</v>
      </c>
    </row>
    <row r="32" spans="1:11" s="3" customFormat="1" ht="41.25" customHeight="1">
      <c r="A32" s="662">
        <v>26</v>
      </c>
      <c r="B32" s="764">
        <v>8343884</v>
      </c>
      <c r="C32" s="636">
        <f t="shared" si="8"/>
        <v>1060</v>
      </c>
      <c r="D32" s="771">
        <v>477475</v>
      </c>
      <c r="E32" s="636">
        <f t="shared" si="2"/>
        <v>317.79999999999995</v>
      </c>
      <c r="F32" s="771">
        <v>604314</v>
      </c>
      <c r="G32" s="636">
        <f t="shared" si="7"/>
        <v>79</v>
      </c>
      <c r="H32" s="636">
        <f t="shared" si="4"/>
        <v>281.4119</v>
      </c>
      <c r="I32" s="636">
        <f>C32*J1</f>
        <v>4134</v>
      </c>
      <c r="J32" s="636">
        <f>G32*J1</f>
        <v>308.09999999999997</v>
      </c>
      <c r="K32" s="692">
        <f t="shared" si="3"/>
        <v>1377.8</v>
      </c>
    </row>
    <row r="33" spans="1:13" s="205" customFormat="1" ht="41.25" customHeight="1">
      <c r="A33" s="663">
        <v>27</v>
      </c>
      <c r="B33" s="764">
        <v>8344884</v>
      </c>
      <c r="C33" s="636">
        <f t="shared" si="8"/>
        <v>1060</v>
      </c>
      <c r="D33" s="771">
        <v>477929</v>
      </c>
      <c r="E33" s="636">
        <f t="shared" si="2"/>
        <v>317.79999999999995</v>
      </c>
      <c r="F33" s="771">
        <v>604393</v>
      </c>
      <c r="G33" s="636">
        <f t="shared" si="7"/>
        <v>79</v>
      </c>
      <c r="H33" s="636">
        <f t="shared" si="4"/>
        <v>281.4119</v>
      </c>
      <c r="I33" s="636">
        <f>C33*J1</f>
        <v>4134</v>
      </c>
      <c r="J33" s="636">
        <f>G33*J1</f>
        <v>308.09999999999997</v>
      </c>
      <c r="K33" s="692">
        <f t="shared" si="3"/>
        <v>1377.8</v>
      </c>
    </row>
    <row r="34" spans="1:13" s="205" customFormat="1" ht="41.25" customHeight="1">
      <c r="A34" s="663">
        <v>28</v>
      </c>
      <c r="B34" s="764">
        <v>8345884</v>
      </c>
      <c r="C34" s="636">
        <f t="shared" si="8"/>
        <v>1060</v>
      </c>
      <c r="D34" s="771">
        <v>478383</v>
      </c>
      <c r="E34" s="636">
        <f t="shared" si="2"/>
        <v>317.79999999999995</v>
      </c>
      <c r="F34" s="771">
        <v>604472</v>
      </c>
      <c r="G34" s="636">
        <f t="shared" si="7"/>
        <v>79</v>
      </c>
      <c r="H34" s="636">
        <f t="shared" si="4"/>
        <v>281.4119</v>
      </c>
      <c r="I34" s="636">
        <f>C34*J1</f>
        <v>4134</v>
      </c>
      <c r="J34" s="636">
        <f>G34*J1</f>
        <v>308.09999999999997</v>
      </c>
      <c r="K34" s="692">
        <f t="shared" si="3"/>
        <v>1377.8</v>
      </c>
    </row>
    <row r="35" spans="1:13" s="205" customFormat="1" ht="41.25" customHeight="1">
      <c r="A35" s="662">
        <v>29</v>
      </c>
      <c r="B35" s="764">
        <v>8346884</v>
      </c>
      <c r="C35" s="636">
        <f t="shared" si="8"/>
        <v>1060</v>
      </c>
      <c r="D35" s="771">
        <v>478383</v>
      </c>
      <c r="E35" s="636">
        <f t="shared" si="2"/>
        <v>0</v>
      </c>
      <c r="F35" s="771">
        <v>604472</v>
      </c>
      <c r="G35" s="636">
        <f t="shared" si="7"/>
        <v>0</v>
      </c>
      <c r="H35" s="636">
        <f t="shared" si="4"/>
        <v>0</v>
      </c>
      <c r="I35" s="636">
        <f>C35*J1</f>
        <v>4134</v>
      </c>
      <c r="J35" s="636">
        <f>G35*J1</f>
        <v>0</v>
      </c>
      <c r="K35" s="692">
        <f t="shared" si="3"/>
        <v>1060</v>
      </c>
    </row>
    <row r="36" spans="1:13" s="205" customFormat="1" ht="41.25" customHeight="1">
      <c r="A36" s="663">
        <v>30</v>
      </c>
      <c r="B36" s="764">
        <v>8347884</v>
      </c>
      <c r="C36" s="636">
        <f t="shared" si="8"/>
        <v>1060</v>
      </c>
      <c r="D36" s="771">
        <v>478383</v>
      </c>
      <c r="E36" s="636">
        <f t="shared" si="2"/>
        <v>0</v>
      </c>
      <c r="F36" s="771">
        <v>604472</v>
      </c>
      <c r="G36" s="636">
        <f t="shared" si="7"/>
        <v>0</v>
      </c>
      <c r="H36" s="636">
        <f t="shared" si="4"/>
        <v>0</v>
      </c>
      <c r="I36" s="636">
        <f>C36*J1</f>
        <v>4134</v>
      </c>
      <c r="J36" s="636">
        <f>G36*J1</f>
        <v>0</v>
      </c>
      <c r="K36" s="692">
        <f t="shared" si="3"/>
        <v>1060</v>
      </c>
    </row>
    <row r="37" spans="1:13" s="205" customFormat="1" ht="41.25" customHeight="1" thickBot="1">
      <c r="A37" s="663">
        <v>31</v>
      </c>
      <c r="B37" s="764">
        <v>8348884</v>
      </c>
      <c r="C37" s="636">
        <f t="shared" si="8"/>
        <v>1060</v>
      </c>
      <c r="D37" s="771">
        <v>478383</v>
      </c>
      <c r="E37" s="636">
        <f t="shared" si="2"/>
        <v>0</v>
      </c>
      <c r="F37" s="771">
        <v>604472</v>
      </c>
      <c r="G37" s="636">
        <f t="shared" si="7"/>
        <v>0</v>
      </c>
      <c r="H37" s="636">
        <f t="shared" si="4"/>
        <v>0</v>
      </c>
      <c r="I37" s="636">
        <f>C37*J1</f>
        <v>4134</v>
      </c>
      <c r="J37" s="636">
        <f>G37*J1</f>
        <v>0</v>
      </c>
      <c r="K37" s="692">
        <f t="shared" si="3"/>
        <v>1060</v>
      </c>
    </row>
    <row r="38" spans="1:13" s="205" customFormat="1" ht="41.25" customHeight="1">
      <c r="A38" s="664" t="s">
        <v>121</v>
      </c>
      <c r="B38" s="687"/>
      <c r="C38" s="688">
        <f>SUM(C7:C37)</f>
        <v>32860</v>
      </c>
      <c r="D38" s="687"/>
      <c r="E38" s="688">
        <f>SUM(E7:E37)</f>
        <v>10465.699999999995</v>
      </c>
      <c r="F38" s="687"/>
      <c r="G38" s="688">
        <f>SUM(G7:G37)</f>
        <v>2784</v>
      </c>
      <c r="H38" s="689">
        <f>SUM(H6:H37)</f>
        <v>9267.3773499999988</v>
      </c>
      <c r="I38" s="689">
        <f>SUM(I6:I37)</f>
        <v>124020</v>
      </c>
      <c r="J38" s="689">
        <f>SUM(J6:J37)</f>
        <v>10857.600000000002</v>
      </c>
      <c r="K38" s="735">
        <f>SUM(K6:K37)</f>
        <v>43325.700000000012</v>
      </c>
    </row>
    <row r="39" spans="1:13" s="205" customFormat="1" ht="41.25" customHeight="1" thickBot="1">
      <c r="A39" s="665" t="s">
        <v>137</v>
      </c>
      <c r="B39" s="690"/>
      <c r="C39" s="691">
        <f>C38/A42</f>
        <v>1095.3333333333333</v>
      </c>
      <c r="D39" s="690"/>
      <c r="E39" s="691">
        <f>E38/A42</f>
        <v>348.85666666666651</v>
      </c>
      <c r="F39" s="690"/>
      <c r="G39" s="691">
        <f>G38/A42</f>
        <v>92.8</v>
      </c>
      <c r="H39" s="691">
        <f>H38/A42</f>
        <v>308.91257833333327</v>
      </c>
      <c r="I39" s="691">
        <f>I38/A42</f>
        <v>4134</v>
      </c>
      <c r="J39" s="691">
        <f>J38/A42</f>
        <v>361.92000000000007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C7:C37 E7:E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C7:C37 E7:E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45" t="str">
        <f>Elect!A1</f>
        <v>February</v>
      </c>
      <c r="B1" s="168"/>
      <c r="C1" s="168"/>
      <c r="H1" s="139"/>
      <c r="I1" s="140"/>
      <c r="J1" s="141"/>
      <c r="K1" s="141"/>
      <c r="L1" s="847" t="s">
        <v>138</v>
      </c>
      <c r="M1" s="847"/>
      <c r="N1" s="847"/>
      <c r="P1" s="848" t="str">
        <f>Elect!A1</f>
        <v>February</v>
      </c>
      <c r="Q1" s="848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46"/>
      <c r="B2" s="849" t="s">
        <v>139</v>
      </c>
      <c r="C2" s="850"/>
      <c r="D2" s="850"/>
      <c r="E2" s="850"/>
      <c r="F2" s="850"/>
      <c r="G2" s="851"/>
      <c r="H2" s="849" t="s">
        <v>140</v>
      </c>
      <c r="I2" s="850"/>
      <c r="J2" s="850"/>
      <c r="K2" s="850"/>
      <c r="L2" s="850"/>
      <c r="M2" s="850"/>
      <c r="N2" s="850"/>
      <c r="O2" s="850"/>
      <c r="P2" s="851"/>
      <c r="Q2" s="147"/>
      <c r="R2" s="794"/>
      <c r="S2" s="148"/>
      <c r="T2" s="149"/>
      <c r="U2" s="150" t="s">
        <v>141</v>
      </c>
      <c r="V2" s="149"/>
      <c r="W2" s="149"/>
      <c r="X2" s="149"/>
      <c r="Y2" s="149"/>
      <c r="Z2" s="797"/>
      <c r="AA2" s="796"/>
      <c r="AB2" s="151"/>
      <c r="AC2" s="169" t="s">
        <v>142</v>
      </c>
      <c r="AD2" s="795"/>
      <c r="AE2" s="798"/>
      <c r="AF2" s="152"/>
      <c r="AG2" s="877" t="s">
        <v>47</v>
      </c>
      <c r="AH2" s="878"/>
      <c r="AI2" s="878"/>
      <c r="AJ2" s="354" t="s">
        <v>143</v>
      </c>
      <c r="AK2" s="881" t="s">
        <v>144</v>
      </c>
      <c r="AL2" s="883" t="s">
        <v>145</v>
      </c>
      <c r="AM2" s="883" t="s">
        <v>146</v>
      </c>
      <c r="AN2" s="875" t="s">
        <v>147</v>
      </c>
      <c r="AO2" s="866" t="s">
        <v>148</v>
      </c>
      <c r="AP2" s="867" t="s">
        <v>149</v>
      </c>
      <c r="AQ2" s="869" t="s">
        <v>150</v>
      </c>
      <c r="AR2" s="871" t="s">
        <v>151</v>
      </c>
      <c r="AS2" s="873" t="s">
        <v>149</v>
      </c>
      <c r="AT2" s="864" t="s">
        <v>152</v>
      </c>
      <c r="AU2" s="865"/>
      <c r="AV2" s="849" t="s">
        <v>153</v>
      </c>
      <c r="AW2" s="850"/>
      <c r="AX2" s="172"/>
      <c r="AY2" s="173"/>
      <c r="AZ2" s="174" t="s">
        <v>154</v>
      </c>
      <c r="BA2" s="174"/>
      <c r="BB2" s="175"/>
      <c r="BC2" s="155"/>
      <c r="BD2" s="153"/>
      <c r="BE2" s="794" t="s">
        <v>155</v>
      </c>
      <c r="BF2" s="794"/>
      <c r="BG2" s="154"/>
      <c r="BH2" s="174"/>
      <c r="BI2" s="174"/>
      <c r="BJ2" s="174" t="s">
        <v>156</v>
      </c>
      <c r="BK2" s="174"/>
      <c r="BL2" s="175"/>
      <c r="BM2" s="794"/>
      <c r="BN2" s="794"/>
      <c r="BO2" s="794" t="s">
        <v>157</v>
      </c>
      <c r="BP2" s="794"/>
      <c r="BQ2" s="154"/>
    </row>
    <row r="3" spans="1:69" ht="174.75" customHeight="1" thickBot="1">
      <c r="A3" s="156" t="s">
        <v>59</v>
      </c>
      <c r="B3" s="852" t="s">
        <v>158</v>
      </c>
      <c r="C3" s="853"/>
      <c r="D3" s="854" t="s">
        <v>61</v>
      </c>
      <c r="E3" s="855"/>
      <c r="F3" s="856" t="s">
        <v>62</v>
      </c>
      <c r="G3" s="857"/>
      <c r="H3" s="856" t="s">
        <v>159</v>
      </c>
      <c r="I3" s="857"/>
      <c r="J3" s="858" t="s">
        <v>160</v>
      </c>
      <c r="K3" s="859"/>
      <c r="L3" s="860" t="s">
        <v>161</v>
      </c>
      <c r="M3" s="861"/>
      <c r="N3" s="152" t="s">
        <v>162</v>
      </c>
      <c r="O3" s="862" t="s">
        <v>163</v>
      </c>
      <c r="P3" s="863"/>
      <c r="Q3" s="862" t="s">
        <v>164</v>
      </c>
      <c r="R3" s="863"/>
      <c r="S3" s="879" t="s">
        <v>165</v>
      </c>
      <c r="T3" s="880"/>
      <c r="U3" s="879" t="s">
        <v>166</v>
      </c>
      <c r="V3" s="880"/>
      <c r="W3" s="885" t="s">
        <v>167</v>
      </c>
      <c r="X3" s="886"/>
      <c r="Y3" s="879" t="s">
        <v>168</v>
      </c>
      <c r="Z3" s="880"/>
      <c r="AA3" s="885" t="s">
        <v>169</v>
      </c>
      <c r="AB3" s="886"/>
      <c r="AC3" s="879" t="s">
        <v>170</v>
      </c>
      <c r="AD3" s="880"/>
      <c r="AE3" s="157" t="s">
        <v>171</v>
      </c>
      <c r="AF3" s="386" t="s">
        <v>172</v>
      </c>
      <c r="AG3" s="181" t="s">
        <v>173</v>
      </c>
      <c r="AH3" s="158" t="s">
        <v>174</v>
      </c>
      <c r="AI3" s="159" t="s">
        <v>175</v>
      </c>
      <c r="AJ3" s="355">
        <v>0</v>
      </c>
      <c r="AK3" s="882"/>
      <c r="AL3" s="884"/>
      <c r="AM3" s="884"/>
      <c r="AN3" s="876"/>
      <c r="AO3" s="956"/>
      <c r="AP3" s="868"/>
      <c r="AQ3" s="870"/>
      <c r="AR3" s="872"/>
      <c r="AS3" s="874"/>
      <c r="AT3" s="161" t="s">
        <v>176</v>
      </c>
      <c r="AU3" s="161" t="s">
        <v>177</v>
      </c>
      <c r="AV3" s="160" t="s">
        <v>178</v>
      </c>
      <c r="AW3" s="162" t="s">
        <v>179</v>
      </c>
      <c r="AX3" s="176" t="s">
        <v>180</v>
      </c>
      <c r="AY3" s="177" t="s">
        <v>181</v>
      </c>
      <c r="AZ3" s="356" t="s">
        <v>182</v>
      </c>
      <c r="BA3" s="178" t="s">
        <v>183</v>
      </c>
      <c r="BB3" s="179" t="s">
        <v>184</v>
      </c>
      <c r="BC3" s="387" t="s">
        <v>180</v>
      </c>
      <c r="BD3" s="388" t="s">
        <v>181</v>
      </c>
      <c r="BE3" s="357" t="s">
        <v>182</v>
      </c>
      <c r="BF3" s="164" t="s">
        <v>183</v>
      </c>
      <c r="BG3" s="165" t="s">
        <v>184</v>
      </c>
      <c r="BH3" s="177" t="s">
        <v>180</v>
      </c>
      <c r="BI3" s="177" t="s">
        <v>181</v>
      </c>
      <c r="BJ3" s="356" t="s">
        <v>182</v>
      </c>
      <c r="BK3" s="178" t="s">
        <v>183</v>
      </c>
      <c r="BL3" s="179" t="s">
        <v>184</v>
      </c>
      <c r="BM3" s="163" t="s">
        <v>180</v>
      </c>
      <c r="BN3" s="163" t="s">
        <v>181</v>
      </c>
      <c r="BO3" s="357" t="s">
        <v>182</v>
      </c>
      <c r="BP3" s="164" t="s">
        <v>183</v>
      </c>
      <c r="BQ3" s="165" t="s">
        <v>184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6679</v>
      </c>
      <c r="D5" s="461">
        <v>0</v>
      </c>
      <c r="E5" s="460">
        <f>Elect!M6</f>
        <v>2681</v>
      </c>
      <c r="F5" s="461">
        <v>20</v>
      </c>
      <c r="G5" s="460">
        <f>Elect!O6</f>
        <v>1739</v>
      </c>
      <c r="H5" s="461">
        <v>800</v>
      </c>
      <c r="I5" s="460">
        <f>Water!C7</f>
        <v>110.19999999999999</v>
      </c>
      <c r="J5" s="461">
        <v>0</v>
      </c>
      <c r="K5" s="460">
        <f>Water!E7</f>
        <v>150.79999999999998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261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151.38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1060</v>
      </c>
      <c r="AI5" s="465" t="e">
        <f>Gas!#REF!</f>
        <v>#REF!</v>
      </c>
      <c r="AJ5" s="466">
        <f>Gas!J7</f>
        <v>1002.3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111</v>
      </c>
      <c r="AU5" s="460">
        <f>Elect!BP6</f>
        <v>136</v>
      </c>
      <c r="AV5" s="460" t="e">
        <f>Elect!#REF!</f>
        <v>#REF!</v>
      </c>
      <c r="AW5" s="460">
        <f>Elect!BR6</f>
        <v>111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1.3453608247422681</v>
      </c>
      <c r="BN5" s="477" t="e">
        <f>Water!W7</f>
        <v>#DIV/0!</v>
      </c>
      <c r="BO5" s="472">
        <f>Water!X7</f>
        <v>1044</v>
      </c>
      <c r="BP5" s="477">
        <f>Water!Y7</f>
        <v>5.3814432989690726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6640</v>
      </c>
      <c r="D6" s="461">
        <v>0</v>
      </c>
      <c r="E6" s="460">
        <f>Elect!M7</f>
        <v>2582</v>
      </c>
      <c r="F6" s="461">
        <v>20</v>
      </c>
      <c r="G6" s="460">
        <f>Elect!O7</f>
        <v>1739</v>
      </c>
      <c r="H6" s="461">
        <v>936</v>
      </c>
      <c r="I6" s="460">
        <f>Water!C8</f>
        <v>150.79999999999998</v>
      </c>
      <c r="J6" s="461">
        <v>0</v>
      </c>
      <c r="K6" s="460">
        <f>Water!E8</f>
        <v>191.39999999999998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350.89999999999992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203.52199999999993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8318884</v>
      </c>
      <c r="AH6" s="464">
        <f>Gas!C8</f>
        <v>1060</v>
      </c>
      <c r="AI6" s="465" t="e">
        <f>Gas!#REF!</f>
        <v>#REF!</v>
      </c>
      <c r="AJ6" s="466">
        <f>Gas!J8</f>
        <v>0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133</v>
      </c>
      <c r="AU6" s="460">
        <f>Elect!BP7</f>
        <v>142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518201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1.8087628865979377</v>
      </c>
      <c r="BN6" s="477" t="e">
        <f>Water!W8</f>
        <v>#DIV/0!</v>
      </c>
      <c r="BO6" s="472">
        <f>Water!X8</f>
        <v>1403.5999999999997</v>
      </c>
      <c r="BP6" s="477">
        <f>Water!Y8</f>
        <v>7.2350515463917509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6891</v>
      </c>
      <c r="D7" s="461">
        <v>0</v>
      </c>
      <c r="E7" s="460">
        <f>Elect!M8</f>
        <v>2703</v>
      </c>
      <c r="F7" s="461">
        <v>20</v>
      </c>
      <c r="G7" s="460">
        <f>Elect!O8</f>
        <v>1428</v>
      </c>
      <c r="H7" s="461">
        <v>685</v>
      </c>
      <c r="I7" s="460">
        <f>Water!C9</f>
        <v>150.79999999999998</v>
      </c>
      <c r="J7" s="461">
        <v>0</v>
      </c>
      <c r="K7" s="460">
        <f>Water!E9</f>
        <v>191.39999999999998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350.89999999999992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203.52199999999993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8320884</v>
      </c>
      <c r="AH7" s="464">
        <f>Gas!C9</f>
        <v>1060</v>
      </c>
      <c r="AI7" s="465" t="e">
        <f>Gas!#REF!</f>
        <v>#REF!</v>
      </c>
      <c r="AJ7" s="466">
        <f>Gas!J9</f>
        <v>0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128</v>
      </c>
      <c r="AU7" s="460">
        <f>Elect!BP8</f>
        <v>135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518329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1.6551886792452826</v>
      </c>
      <c r="BN7" s="477" t="e">
        <f>Water!W9</f>
        <v>#DIV/0!</v>
      </c>
      <c r="BO7" s="472">
        <f>Water!X9</f>
        <v>1403.5999999999997</v>
      </c>
      <c r="BP7" s="477">
        <f>Water!Y9</f>
        <v>6.6207547169811303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6741</v>
      </c>
      <c r="D8" s="461">
        <v>0</v>
      </c>
      <c r="E8" s="460">
        <f>Elect!M9</f>
        <v>2760</v>
      </c>
      <c r="F8" s="461">
        <v>20</v>
      </c>
      <c r="G8" s="460">
        <f>Elect!O9</f>
        <v>1416</v>
      </c>
      <c r="H8" s="461">
        <v>786</v>
      </c>
      <c r="I8" s="460">
        <f>Water!C10</f>
        <v>278.39999999999998</v>
      </c>
      <c r="J8" s="461">
        <v>0</v>
      </c>
      <c r="K8" s="460">
        <f>Water!E10</f>
        <v>211.7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498.79999999999995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289.30399999999997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8321884</v>
      </c>
      <c r="AH8" s="464">
        <f>Gas!C10</f>
        <v>1060</v>
      </c>
      <c r="AI8" s="465" t="e">
        <f>Gas!#REF!</f>
        <v>#REF!</v>
      </c>
      <c r="AJ8" s="466">
        <f>Gas!J10</f>
        <v>487.5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129</v>
      </c>
      <c r="AU8" s="460">
        <f>Elect!BP9</f>
        <v>138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518458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2.1316239316239316</v>
      </c>
      <c r="BN8" s="477" t="e">
        <f>Water!W10</f>
        <v>#DIV/0!</v>
      </c>
      <c r="BO8" s="472">
        <f>Water!X10</f>
        <v>1995.1999999999998</v>
      </c>
      <c r="BP8" s="477">
        <f>Water!Y10</f>
        <v>8.5264957264957264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6857</v>
      </c>
      <c r="D9" s="461">
        <v>0</v>
      </c>
      <c r="E9" s="460">
        <f>Elect!M10</f>
        <v>2782</v>
      </c>
      <c r="F9" s="461">
        <v>20</v>
      </c>
      <c r="G9" s="460">
        <f>Elect!O10</f>
        <v>1590</v>
      </c>
      <c r="H9" s="461">
        <v>789</v>
      </c>
      <c r="I9" s="460">
        <f>Water!C11</f>
        <v>104.39999999999999</v>
      </c>
      <c r="J9" s="461">
        <v>0</v>
      </c>
      <c r="K9" s="460">
        <f>Water!E11</f>
        <v>171.1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284.2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164.83599999999998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8322884</v>
      </c>
      <c r="AH9" s="464">
        <f>Gas!C11</f>
        <v>1060</v>
      </c>
      <c r="AI9" s="465" t="e">
        <f>Gas!#REF!</f>
        <v>#REF!</v>
      </c>
      <c r="AJ9" s="466">
        <f>Gas!J11</f>
        <v>487.5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130</v>
      </c>
      <c r="AU9" s="460">
        <f>Elect!BP10</f>
        <v>139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518588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1.3157407407407407</v>
      </c>
      <c r="BN9" s="477" t="e">
        <f>Water!W11</f>
        <v>#DIV/0!</v>
      </c>
      <c r="BO9" s="472">
        <f>Water!X11</f>
        <v>1136.8</v>
      </c>
      <c r="BP9" s="477">
        <f>Water!Y11</f>
        <v>5.2629629629629626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6703</v>
      </c>
      <c r="D10" s="461">
        <v>0</v>
      </c>
      <c r="E10" s="460">
        <f>Elect!M11</f>
        <v>2632</v>
      </c>
      <c r="F10" s="461">
        <v>20</v>
      </c>
      <c r="G10" s="460">
        <f>Elect!O11</f>
        <v>1601</v>
      </c>
      <c r="H10" s="461">
        <v>805</v>
      </c>
      <c r="I10" s="460">
        <f>Water!C12</f>
        <v>104.39999999999999</v>
      </c>
      <c r="J10" s="461">
        <v>0</v>
      </c>
      <c r="K10" s="460">
        <f>Water!E12</f>
        <v>171.1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284.2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164.83599999999998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8323884</v>
      </c>
      <c r="AH10" s="464">
        <f>Gas!C12</f>
        <v>1060</v>
      </c>
      <c r="AI10" s="465" t="e">
        <f>Gas!#REF!</f>
        <v>#REF!</v>
      </c>
      <c r="AJ10" s="466">
        <f>Gas!J12</f>
        <v>487.5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132</v>
      </c>
      <c r="AU10" s="460">
        <f>Elect!BP11</f>
        <v>126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518720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1.4353535353535354</v>
      </c>
      <c r="BN10" s="477" t="e">
        <f>Water!W12</f>
        <v>#DIV/0!</v>
      </c>
      <c r="BO10" s="472">
        <f>Water!X12</f>
        <v>1136.8</v>
      </c>
      <c r="BP10" s="477">
        <f>Water!Y12</f>
        <v>5.7414141414141415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6377</v>
      </c>
      <c r="D11" s="461">
        <v>0</v>
      </c>
      <c r="E11" s="460">
        <f>Elect!M12</f>
        <v>2652</v>
      </c>
      <c r="F11" s="461">
        <v>20</v>
      </c>
      <c r="G11" s="460">
        <f>Elect!O12</f>
        <v>1572</v>
      </c>
      <c r="H11" s="461">
        <v>871</v>
      </c>
      <c r="I11" s="460">
        <f>Water!C13</f>
        <v>104.39999999999999</v>
      </c>
      <c r="J11" s="461">
        <v>0</v>
      </c>
      <c r="K11" s="460">
        <f>Water!E13</f>
        <v>171.1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284.2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164.83599999999998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8324884</v>
      </c>
      <c r="AH11" s="464">
        <f>Gas!C13</f>
        <v>1060</v>
      </c>
      <c r="AI11" s="465" t="e">
        <f>Gas!#REF!</f>
        <v>#REF!</v>
      </c>
      <c r="AJ11" s="466">
        <f>Gas!J13</f>
        <v>487.5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124</v>
      </c>
      <c r="AU11" s="460">
        <f>Elect!BP12</f>
        <v>119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518844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1.5788888888888888</v>
      </c>
      <c r="BN11" s="477" t="e">
        <f>Water!W13</f>
        <v>#DIV/0!</v>
      </c>
      <c r="BO11" s="472">
        <f>Water!X13</f>
        <v>1136.8</v>
      </c>
      <c r="BP11" s="477">
        <f>Water!Y13</f>
        <v>6.3155555555555551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6377</v>
      </c>
      <c r="D12" s="461">
        <v>0</v>
      </c>
      <c r="E12" s="460">
        <f>Elect!M13</f>
        <v>2727</v>
      </c>
      <c r="F12" s="461">
        <v>20</v>
      </c>
      <c r="G12" s="460">
        <f>Elect!O13</f>
        <v>1727</v>
      </c>
      <c r="H12" s="461">
        <v>963</v>
      </c>
      <c r="I12" s="460">
        <f>Water!C14</f>
        <v>104.39999999999999</v>
      </c>
      <c r="J12" s="461">
        <v>0</v>
      </c>
      <c r="K12" s="460">
        <f>Water!E14</f>
        <v>185.6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290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168.2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8325884</v>
      </c>
      <c r="AH12" s="464">
        <f>Gas!C14</f>
        <v>1060</v>
      </c>
      <c r="AI12" s="465" t="e">
        <f>Gas!#REF!</f>
        <v>#REF!</v>
      </c>
      <c r="AJ12" s="466">
        <f>Gas!J14</f>
        <v>487.5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155</v>
      </c>
      <c r="AU12" s="460">
        <f>Elect!BP13</f>
        <v>140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518999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1.7058823529411764</v>
      </c>
      <c r="BN12" s="477" t="e">
        <f>Water!W14</f>
        <v>#DIV/0!</v>
      </c>
      <c r="BO12" s="472">
        <f>Water!X14</f>
        <v>1160</v>
      </c>
      <c r="BP12" s="477">
        <f>Water!Y14</f>
        <v>6.8235294117647056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6885</v>
      </c>
      <c r="D13" s="461">
        <v>0</v>
      </c>
      <c r="E13" s="460">
        <f>Elect!M14</f>
        <v>3341</v>
      </c>
      <c r="F13" s="461">
        <v>20</v>
      </c>
      <c r="G13" s="460">
        <f>Elect!O14</f>
        <v>1839</v>
      </c>
      <c r="H13" s="461">
        <v>790</v>
      </c>
      <c r="I13" s="460">
        <f>Water!C15</f>
        <v>104.39999999999999</v>
      </c>
      <c r="J13" s="461">
        <v>0</v>
      </c>
      <c r="K13" s="460">
        <f>Water!E15</f>
        <v>127.6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234.9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136.24199999999999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8326884</v>
      </c>
      <c r="AH13" s="464">
        <f>Gas!C15</f>
        <v>1060</v>
      </c>
      <c r="AI13" s="465" t="e">
        <f>Gas!#REF!</f>
        <v>#REF!</v>
      </c>
      <c r="AJ13" s="466">
        <f>Gas!J15</f>
        <v>487.5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139</v>
      </c>
      <c r="AU13" s="460">
        <f>Elect!BP14</f>
        <v>126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519138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1.5253246753246754</v>
      </c>
      <c r="BN13" s="477" t="e">
        <f>Water!W15</f>
        <v>#DIV/0!</v>
      </c>
      <c r="BO13" s="472">
        <f>Water!X15</f>
        <v>939.6</v>
      </c>
      <c r="BP13" s="477">
        <f>Water!Y15</f>
        <v>6.1012987012987017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7165</v>
      </c>
      <c r="D14" s="461">
        <v>0</v>
      </c>
      <c r="E14" s="460">
        <f>Elect!M15</f>
        <v>2218</v>
      </c>
      <c r="F14" s="461">
        <v>20</v>
      </c>
      <c r="G14" s="460">
        <f>Elect!O15</f>
        <v>1236</v>
      </c>
      <c r="H14" s="461">
        <v>792</v>
      </c>
      <c r="I14" s="460">
        <f>Water!C16</f>
        <v>150.79999999999998</v>
      </c>
      <c r="J14" s="461">
        <v>0</v>
      </c>
      <c r="K14" s="460">
        <f>Water!E16</f>
        <v>178.35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329.15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190.90699999999998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8327884</v>
      </c>
      <c r="AH14" s="464">
        <f>Gas!C16</f>
        <v>1060</v>
      </c>
      <c r="AI14" s="465" t="e">
        <f>Gas!#REF!</f>
        <v>#REF!</v>
      </c>
      <c r="AJ14" s="466">
        <f>Gas!J16</f>
        <v>214.5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116</v>
      </c>
      <c r="AU14" s="460">
        <f>Elect!BP15</f>
        <v>104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519254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1.6879487179487178</v>
      </c>
      <c r="BN14" s="477" t="e">
        <f>Water!W16</f>
        <v>#DIV/0!</v>
      </c>
      <c r="BO14" s="472">
        <f>Water!X16</f>
        <v>1316.6</v>
      </c>
      <c r="BP14" s="477">
        <f>Water!Y16</f>
        <v>6.7517948717948713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7160</v>
      </c>
      <c r="D15" s="461">
        <v>0</v>
      </c>
      <c r="E15" s="460">
        <f>Elect!M16</f>
        <v>2798</v>
      </c>
      <c r="F15" s="461">
        <v>20</v>
      </c>
      <c r="G15" s="460">
        <f>Elect!O16</f>
        <v>1566</v>
      </c>
      <c r="H15" s="461">
        <v>817</v>
      </c>
      <c r="I15" s="460">
        <f>Water!C17</f>
        <v>150.79999999999998</v>
      </c>
      <c r="J15" s="461">
        <v>0</v>
      </c>
      <c r="K15" s="460">
        <f>Water!E17</f>
        <v>144.51666666668424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295.31666666668423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171.28366666667685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1060</v>
      </c>
      <c r="AI15" s="465" t="e">
        <f>Gas!#REF!</f>
        <v>#REF!</v>
      </c>
      <c r="AJ15" s="466">
        <f>Gas!J17</f>
        <v>214.5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144</v>
      </c>
      <c r="AU15" s="460">
        <f>Elect!BP16</f>
        <v>122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519398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1.4129984051037523</v>
      </c>
      <c r="BN15" s="477" t="e">
        <f>Water!W17</f>
        <v>#DIV/0!</v>
      </c>
      <c r="BO15" s="472">
        <f>Water!X17</f>
        <v>1181.2666666667369</v>
      </c>
      <c r="BP15" s="477">
        <f>Water!Y17</f>
        <v>5.6519936204150092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6495</v>
      </c>
      <c r="D16" s="461">
        <v>0</v>
      </c>
      <c r="E16" s="460">
        <f>Elect!M17</f>
        <v>2441</v>
      </c>
      <c r="F16" s="461">
        <v>20</v>
      </c>
      <c r="G16" s="460">
        <f>Elect!O17</f>
        <v>1472</v>
      </c>
      <c r="H16" s="461">
        <v>907</v>
      </c>
      <c r="I16" s="460">
        <f>Water!C18</f>
        <v>150.79999999999998</v>
      </c>
      <c r="J16" s="461">
        <v>0</v>
      </c>
      <c r="K16" s="460">
        <f>Water!E18</f>
        <v>152.97499999999999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303.77499999999998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176.18949999999998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8329884</v>
      </c>
      <c r="AH16" s="464">
        <f>Gas!C18</f>
        <v>1060</v>
      </c>
      <c r="AI16" s="465" t="e">
        <f>Gas!#REF!</f>
        <v>#REF!</v>
      </c>
      <c r="AJ16" s="466">
        <f>Gas!J18</f>
        <v>214.5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134</v>
      </c>
      <c r="AU16" s="460">
        <f>Elect!BP17</f>
        <v>116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519532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1.5821614583333332</v>
      </c>
      <c r="BN16" s="477" t="e">
        <f>Water!W18</f>
        <v>#DIV/0!</v>
      </c>
      <c r="BO16" s="472">
        <f>Water!X18</f>
        <v>1215.0999999999999</v>
      </c>
      <c r="BP16" s="477">
        <f>Water!Y18</f>
        <v>6.3286458333333329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7359</v>
      </c>
      <c r="D17" s="461">
        <v>0</v>
      </c>
      <c r="E17" s="460">
        <f>Elect!M18</f>
        <v>3499</v>
      </c>
      <c r="F17" s="461">
        <v>20</v>
      </c>
      <c r="G17" s="460">
        <f>Elect!O18</f>
        <v>2068</v>
      </c>
      <c r="H17" s="461">
        <v>812</v>
      </c>
      <c r="I17" s="460">
        <f>Water!C19</f>
        <v>150.79999999999998</v>
      </c>
      <c r="J17" s="461">
        <v>0</v>
      </c>
      <c r="K17" s="460">
        <f>Water!E19</f>
        <v>152.97499999999999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303.77499999999998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176.18949999999998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8330884</v>
      </c>
      <c r="AH17" s="464">
        <f>Gas!C19</f>
        <v>1060</v>
      </c>
      <c r="AI17" s="465" t="e">
        <f>Gas!#REF!</f>
        <v>#REF!</v>
      </c>
      <c r="AJ17" s="466">
        <f>Gas!J19</f>
        <v>214.5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146</v>
      </c>
      <c r="AU17" s="460">
        <f>Elect!BP18</f>
        <v>141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519678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1.33234649122807</v>
      </c>
      <c r="BN17" s="477" t="e">
        <f>Water!W19</f>
        <v>#DIV/0!</v>
      </c>
      <c r="BO17" s="472">
        <f>Water!X19</f>
        <v>1215.0999999999999</v>
      </c>
      <c r="BP17" s="477">
        <f>Water!Y19</f>
        <v>5.3293859649122801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6826</v>
      </c>
      <c r="D18" s="461">
        <v>0</v>
      </c>
      <c r="E18" s="460">
        <f>Elect!M19</f>
        <v>1848</v>
      </c>
      <c r="F18" s="461">
        <v>30</v>
      </c>
      <c r="G18" s="460">
        <f>Elect!O19</f>
        <v>1322</v>
      </c>
      <c r="H18" s="461">
        <v>810</v>
      </c>
      <c r="I18" s="460">
        <f>Water!C20</f>
        <v>150.79999999999998</v>
      </c>
      <c r="J18" s="461">
        <v>0</v>
      </c>
      <c r="K18" s="460">
        <f>Water!E20</f>
        <v>152.97499999999999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303.77499999999998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176.18949999999998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8331884</v>
      </c>
      <c r="AH18" s="464">
        <f>Gas!C20</f>
        <v>1060</v>
      </c>
      <c r="AI18" s="465" t="e">
        <f>Gas!#REF!</f>
        <v>#REF!</v>
      </c>
      <c r="AJ18" s="466">
        <f>Gas!J20</f>
        <v>214.5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144</v>
      </c>
      <c r="AU18" s="460">
        <f>Elect!BP19</f>
        <v>145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518068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1.3207608695652173</v>
      </c>
      <c r="BN18" s="477" t="e">
        <f>Water!W20</f>
        <v>#DIV/0!</v>
      </c>
      <c r="BO18" s="472">
        <f>Water!X20</f>
        <v>1215.0999999999999</v>
      </c>
      <c r="BP18" s="477">
        <f>Water!Y20</f>
        <v>5.2830434782608693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7887</v>
      </c>
      <c r="D19" s="461">
        <v>0</v>
      </c>
      <c r="E19" s="460">
        <f>Elect!M20</f>
        <v>2925</v>
      </c>
      <c r="F19" s="461">
        <v>20</v>
      </c>
      <c r="G19" s="460">
        <f>Elect!O20</f>
        <v>1982</v>
      </c>
      <c r="H19" s="461">
        <v>841</v>
      </c>
      <c r="I19" s="460">
        <f>Water!C21</f>
        <v>150.79999999999998</v>
      </c>
      <c r="J19" s="461">
        <v>0</v>
      </c>
      <c r="K19" s="460">
        <f>Water!E21</f>
        <v>152.97499999999999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303.77499999999998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176.18949999999998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8332884</v>
      </c>
      <c r="AH19" s="464">
        <f>Gas!C21</f>
        <v>1060</v>
      </c>
      <c r="AI19" s="465" t="e">
        <f>Gas!#REF!</f>
        <v>#REF!</v>
      </c>
      <c r="AJ19" s="466">
        <f>Gas!J21</f>
        <v>604.5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138</v>
      </c>
      <c r="AU19" s="460">
        <f>Elect!BP20</f>
        <v>137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519960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1.2926595744680851</v>
      </c>
      <c r="BN19" s="477" t="e">
        <f>Water!W21</f>
        <v>#DIV/0!</v>
      </c>
      <c r="BO19" s="472">
        <f>Water!X21</f>
        <v>1215.0999999999999</v>
      </c>
      <c r="BP19" s="477">
        <f>Water!Y21</f>
        <v>5.1706382978723404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6514</v>
      </c>
      <c r="D20" s="461">
        <v>0</v>
      </c>
      <c r="E20" s="460">
        <f>Elect!M21</f>
        <v>2416</v>
      </c>
      <c r="F20" s="461">
        <v>20</v>
      </c>
      <c r="G20" s="460">
        <f>Elect!O21</f>
        <v>1645</v>
      </c>
      <c r="H20" s="461">
        <v>932</v>
      </c>
      <c r="I20" s="460">
        <f>Water!C22</f>
        <v>17.399999999999999</v>
      </c>
      <c r="J20" s="461">
        <v>0</v>
      </c>
      <c r="K20" s="460">
        <f>Water!E22</f>
        <v>289.03333333331574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306.43333333331572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177.73133333332311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8333884</v>
      </c>
      <c r="AH20" s="464">
        <f>Gas!C22</f>
        <v>1060</v>
      </c>
      <c r="AI20" s="465" t="e">
        <f>Gas!#REF!</f>
        <v>#REF!</v>
      </c>
      <c r="AJ20" s="466">
        <f>Gas!J22</f>
        <v>666.9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143</v>
      </c>
      <c r="AU20" s="460">
        <f>Elect!BP21</f>
        <v>119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520103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1.2356182795698214</v>
      </c>
      <c r="BN20" s="477" t="e">
        <f>Water!W22</f>
        <v>#DIV/0!</v>
      </c>
      <c r="BO20" s="472">
        <f>Water!X22</f>
        <v>1225.7333333332629</v>
      </c>
      <c r="BP20" s="477">
        <f>Water!Y22</f>
        <v>4.9424731182792856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7171</v>
      </c>
      <c r="D21" s="461">
        <v>0</v>
      </c>
      <c r="E21" s="460">
        <f>Elect!M22</f>
        <v>2585</v>
      </c>
      <c r="F21" s="461">
        <v>20</v>
      </c>
      <c r="G21" s="460">
        <f>Elect!O22</f>
        <v>1836</v>
      </c>
      <c r="H21" s="461">
        <v>972</v>
      </c>
      <c r="I21" s="460">
        <f>Water!C23</f>
        <v>133.39999999999998</v>
      </c>
      <c r="J21" s="461">
        <v>0</v>
      </c>
      <c r="K21" s="460">
        <f>Water!E23</f>
        <v>174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310.88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180.31039999999999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8334884</v>
      </c>
      <c r="AH21" s="464">
        <f>Gas!C23</f>
        <v>1060</v>
      </c>
      <c r="AI21" s="465" t="e">
        <f>Gas!#REF!</f>
        <v>#REF!</v>
      </c>
      <c r="AJ21" s="466">
        <f>Gas!J23</f>
        <v>374.4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123</v>
      </c>
      <c r="AU21" s="460">
        <f>Elect!BP22</f>
        <v>112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1.2385657370517928</v>
      </c>
      <c r="BN21" s="477" t="e">
        <f>Water!W23</f>
        <v>#DIV/0!</v>
      </c>
      <c r="BO21" s="472">
        <f>Water!X23</f>
        <v>1243.52</v>
      </c>
      <c r="BP21" s="477">
        <f>Water!Y23</f>
        <v>4.9542629482071714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6827</v>
      </c>
      <c r="D22" s="461">
        <v>0</v>
      </c>
      <c r="E22" s="460">
        <f>Elect!M23</f>
        <v>2515</v>
      </c>
      <c r="F22" s="461">
        <v>20</v>
      </c>
      <c r="G22" s="460">
        <f>Elect!O23</f>
        <v>1722</v>
      </c>
      <c r="H22" s="461">
        <v>864</v>
      </c>
      <c r="I22" s="460">
        <f>Water!C24</f>
        <v>139.19999999999999</v>
      </c>
      <c r="J22" s="461">
        <v>0</v>
      </c>
      <c r="K22" s="460">
        <f>Water!E24</f>
        <v>174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313.2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181.65599999999998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8335884</v>
      </c>
      <c r="AH22" s="464">
        <f>Gas!C24</f>
        <v>1060</v>
      </c>
      <c r="AI22" s="465" t="e">
        <f>Gas!#REF!</f>
        <v>#REF!</v>
      </c>
      <c r="AJ22" s="466">
        <f>Gas!J24</f>
        <v>339.3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143</v>
      </c>
      <c r="AU22" s="460">
        <f>Elect!BP23</f>
        <v>132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520369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1.247808764940239</v>
      </c>
      <c r="BN22" s="477" t="e">
        <f>Water!W24</f>
        <v>#DIV/0!</v>
      </c>
      <c r="BO22" s="472">
        <f>Water!X24</f>
        <v>1252.8</v>
      </c>
      <c r="BP22" s="477">
        <f>Water!Y24</f>
        <v>4.9912350597609558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6866</v>
      </c>
      <c r="D23" s="461">
        <v>0</v>
      </c>
      <c r="E23" s="460">
        <f>Elect!M24</f>
        <v>2609</v>
      </c>
      <c r="F23" s="461">
        <v>30</v>
      </c>
      <c r="G23" s="460">
        <f>Elect!O24</f>
        <v>1575</v>
      </c>
      <c r="H23" s="461">
        <v>894</v>
      </c>
      <c r="I23" s="460">
        <f>Water!C25</f>
        <v>139.19999999999999</v>
      </c>
      <c r="J23" s="461">
        <v>0</v>
      </c>
      <c r="K23" s="460">
        <f>Water!E25</f>
        <v>174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313.2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181.65599999999998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8336884</v>
      </c>
      <c r="AH23" s="464">
        <f>Gas!C25</f>
        <v>1060</v>
      </c>
      <c r="AI23" s="465" t="e">
        <f>Gas!#REF!</f>
        <v>#REF!</v>
      </c>
      <c r="AJ23" s="466">
        <f>Gas!J25</f>
        <v>339.3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121</v>
      </c>
      <c r="AU23" s="460">
        <f>Elect!BP24</f>
        <v>113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520490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1.2379446640316205</v>
      </c>
      <c r="BN23" s="477" t="e">
        <f>Water!W25</f>
        <v>#DIV/0!</v>
      </c>
      <c r="BO23" s="472">
        <f>Water!X25</f>
        <v>1252.8</v>
      </c>
      <c r="BP23" s="477">
        <f>Water!Y25</f>
        <v>4.951778656126482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6441</v>
      </c>
      <c r="D24" s="461">
        <v>0</v>
      </c>
      <c r="E24" s="460">
        <f>Elect!M25</f>
        <v>2411</v>
      </c>
      <c r="F24" s="461">
        <v>20</v>
      </c>
      <c r="G24" s="460">
        <f>Elect!O25</f>
        <v>1662</v>
      </c>
      <c r="H24" s="461">
        <v>944</v>
      </c>
      <c r="I24" s="460">
        <f>Water!C26</f>
        <v>127.6</v>
      </c>
      <c r="J24" s="461">
        <v>0</v>
      </c>
      <c r="K24" s="460">
        <f>Water!E26</f>
        <v>179.79999999999998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307.39999999999998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178.29199999999997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8337884</v>
      </c>
      <c r="AH24" s="464">
        <f>Gas!C26</f>
        <v>1060</v>
      </c>
      <c r="AI24" s="465" t="e">
        <f>Gas!#REF!</f>
        <v>#REF!</v>
      </c>
      <c r="AJ24" s="466">
        <f>Gas!J26</f>
        <v>362.7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121</v>
      </c>
      <c r="AU24" s="460">
        <f>Elect!BP25</f>
        <v>119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520611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1.2395161290322581</v>
      </c>
      <c r="BN24" s="477" t="e">
        <f>Water!W26</f>
        <v>#DIV/0!</v>
      </c>
      <c r="BO24" s="472">
        <f>Water!X26</f>
        <v>1229.5999999999999</v>
      </c>
      <c r="BP24" s="477">
        <f>Water!Y26</f>
        <v>4.9580645161290322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6377</v>
      </c>
      <c r="D25" s="461">
        <v>0</v>
      </c>
      <c r="E25" s="460">
        <f>Elect!M26</f>
        <v>2375</v>
      </c>
      <c r="F25" s="461">
        <v>20</v>
      </c>
      <c r="G25" s="460">
        <f>Elect!O26</f>
        <v>1811</v>
      </c>
      <c r="H25" s="461">
        <v>916</v>
      </c>
      <c r="I25" s="460">
        <f>Water!C27</f>
        <v>127.6</v>
      </c>
      <c r="J25" s="461">
        <v>0</v>
      </c>
      <c r="K25" s="460">
        <f>Water!E27</f>
        <v>168.2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295.79999999999995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171.56399999999996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8338884</v>
      </c>
      <c r="AH25" s="464">
        <f>Gas!C27</f>
        <v>1060</v>
      </c>
      <c r="AI25" s="465" t="e">
        <f>Gas!#REF!</f>
        <v>#REF!</v>
      </c>
      <c r="AJ25" s="466">
        <f>Gas!J27</f>
        <v>390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136</v>
      </c>
      <c r="AU25" s="460">
        <f>Elect!BP26</f>
        <v>129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520747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1.2024390243902436</v>
      </c>
      <c r="BN25" s="477" t="e">
        <f>Water!W27</f>
        <v>#DIV/0!</v>
      </c>
      <c r="BO25" s="472">
        <f>Water!X27</f>
        <v>1183.1999999999998</v>
      </c>
      <c r="BP25" s="477">
        <f>Water!Y27</f>
        <v>4.8097560975609746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5775</v>
      </c>
      <c r="D26" s="461">
        <v>0</v>
      </c>
      <c r="E26" s="460">
        <f>Elect!M27</f>
        <v>1980</v>
      </c>
      <c r="F26" s="461">
        <v>20</v>
      </c>
      <c r="G26" s="460">
        <f>Elect!O27</f>
        <v>1448</v>
      </c>
      <c r="H26" s="461">
        <v>931</v>
      </c>
      <c r="I26" s="460">
        <f>Water!C28</f>
        <v>127.6</v>
      </c>
      <c r="J26" s="461">
        <v>0</v>
      </c>
      <c r="K26" s="460">
        <f>Water!E28</f>
        <v>168.2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295.79999999999995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171.56399999999996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8339884</v>
      </c>
      <c r="AH26" s="464">
        <f>Gas!C28</f>
        <v>1060</v>
      </c>
      <c r="AI26" s="465" t="e">
        <f>Gas!#REF!</f>
        <v>#REF!</v>
      </c>
      <c r="AJ26" s="466">
        <f>Gas!J28</f>
        <v>366.59999999999997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129</v>
      </c>
      <c r="AU26" s="460">
        <f>Elect!BP27</f>
        <v>119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520876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1.2024390243902436</v>
      </c>
      <c r="BN26" s="477" t="e">
        <f>Water!W28</f>
        <v>#DIV/0!</v>
      </c>
      <c r="BO26" s="472">
        <f>Water!X28</f>
        <v>1183.1999999999998</v>
      </c>
      <c r="BP26" s="477">
        <f>Water!Y28</f>
        <v>4.8097560975609746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5878</v>
      </c>
      <c r="D27" s="461">
        <v>0</v>
      </c>
      <c r="E27" s="460">
        <f>Elect!M28</f>
        <v>1995</v>
      </c>
      <c r="F27" s="461">
        <v>30</v>
      </c>
      <c r="G27" s="460">
        <f>Elect!O28</f>
        <v>1658</v>
      </c>
      <c r="H27" s="461">
        <v>1009</v>
      </c>
      <c r="I27" s="460">
        <f>Water!C29</f>
        <v>156.6</v>
      </c>
      <c r="J27" s="461">
        <v>0</v>
      </c>
      <c r="K27" s="460">
        <f>Water!E29</f>
        <v>203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359.6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208.56800000000001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8340884</v>
      </c>
      <c r="AH27" s="464">
        <f>Gas!C29</f>
        <v>1060</v>
      </c>
      <c r="AI27" s="465" t="e">
        <f>Gas!#REF!</f>
        <v>#REF!</v>
      </c>
      <c r="AJ27" s="466">
        <f>Gas!J29</f>
        <v>366.59999999999997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156</v>
      </c>
      <c r="AU27" s="460">
        <f>Elect!BP28</f>
        <v>118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521032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1.4384000000000001</v>
      </c>
      <c r="BN27" s="477" t="e">
        <f>Water!W29</f>
        <v>#DIV/0!</v>
      </c>
      <c r="BO27" s="472">
        <f>Water!X29</f>
        <v>1438.4</v>
      </c>
      <c r="BP27" s="477">
        <f>Water!Y29</f>
        <v>5.7536000000000005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6540</v>
      </c>
      <c r="D28" s="461">
        <v>0</v>
      </c>
      <c r="E28" s="460">
        <f>Elect!M29</f>
        <v>2297</v>
      </c>
      <c r="F28" s="461">
        <v>20</v>
      </c>
      <c r="G28" s="460">
        <f>Elect!O29</f>
        <v>1754</v>
      </c>
      <c r="H28" s="461">
        <v>891</v>
      </c>
      <c r="I28" s="460">
        <f>Water!C30</f>
        <v>150.79999999999998</v>
      </c>
      <c r="J28" s="461">
        <v>0</v>
      </c>
      <c r="K28" s="460">
        <f>Water!E30</f>
        <v>197.2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348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201.83999999999997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8341884</v>
      </c>
      <c r="AH28" s="464">
        <f>Gas!C30</f>
        <v>1060</v>
      </c>
      <c r="AI28" s="465" t="e">
        <f>Gas!#REF!</f>
        <v>#REF!</v>
      </c>
      <c r="AJ28" s="466">
        <f>Gas!J30</f>
        <v>409.5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168</v>
      </c>
      <c r="AU28" s="460">
        <f>Elect!BP29</f>
        <v>136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521200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1.4089068825910931</v>
      </c>
      <c r="BN28" s="477" t="e">
        <f>Water!W30</f>
        <v>#DIV/0!</v>
      </c>
      <c r="BO28" s="472">
        <f>Water!X30</f>
        <v>1392</v>
      </c>
      <c r="BP28" s="477">
        <f>Water!Y30</f>
        <v>5.6356275303643724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5975</v>
      </c>
      <c r="D29" s="461">
        <v>0</v>
      </c>
      <c r="E29" s="460">
        <f>Elect!M30</f>
        <v>2203</v>
      </c>
      <c r="F29" s="461">
        <v>20</v>
      </c>
      <c r="G29" s="460">
        <f>Elect!O30</f>
        <v>1594</v>
      </c>
      <c r="H29" s="461">
        <v>1008</v>
      </c>
      <c r="I29" s="460">
        <f>Water!C31</f>
        <v>261</v>
      </c>
      <c r="J29" s="461">
        <v>0</v>
      </c>
      <c r="K29" s="460">
        <f>Water!E31</f>
        <v>348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614.22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356.24759999999998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8342884</v>
      </c>
      <c r="AH29" s="464">
        <f>Gas!C31</f>
        <v>1060</v>
      </c>
      <c r="AI29" s="465" t="e">
        <f>Gas!#REF!</f>
        <v>#REF!</v>
      </c>
      <c r="AJ29" s="466">
        <f>Gas!J31</f>
        <v>713.69999999999993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146</v>
      </c>
      <c r="AU29" s="460">
        <f>Elect!BP30</f>
        <v>120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521346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2.4277470355731228</v>
      </c>
      <c r="BN29" s="477" t="e">
        <f>Water!W31</f>
        <v>#DIV/0!</v>
      </c>
      <c r="BO29" s="472">
        <f>Water!X31</f>
        <v>2456.88</v>
      </c>
      <c r="BP29" s="477">
        <f>Water!Y31</f>
        <v>9.7109881422924911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6039</v>
      </c>
      <c r="D30" s="461">
        <v>0</v>
      </c>
      <c r="E30" s="460">
        <f>Elect!M31</f>
        <v>2119</v>
      </c>
      <c r="F30" s="461">
        <v>20</v>
      </c>
      <c r="G30" s="460">
        <f>Elect!O31</f>
        <v>1690</v>
      </c>
      <c r="H30" s="461">
        <v>760</v>
      </c>
      <c r="I30" s="460">
        <f>Water!C32</f>
        <v>92.8</v>
      </c>
      <c r="J30" s="461">
        <v>0</v>
      </c>
      <c r="K30" s="460">
        <f>Water!E32</f>
        <v>121.8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214.6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124.46799999999999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8343884</v>
      </c>
      <c r="AH30" s="464">
        <f>Gas!C32</f>
        <v>1060</v>
      </c>
      <c r="AI30" s="465" t="e">
        <f>Gas!#REF!</f>
        <v>#REF!</v>
      </c>
      <c r="AJ30" s="466">
        <f>Gas!J32</f>
        <v>308.09999999999997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157</v>
      </c>
      <c r="AU30" s="460">
        <f>Elect!BP31</f>
        <v>129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521503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0.83501945525291832</v>
      </c>
      <c r="BN30" s="477" t="e">
        <f>Water!W32</f>
        <v>#DIV/0!</v>
      </c>
      <c r="BO30" s="472">
        <f>Water!X32</f>
        <v>858.4</v>
      </c>
      <c r="BP30" s="477">
        <f>Water!Y32</f>
        <v>3.3400778210116733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6094</v>
      </c>
      <c r="D31" s="461">
        <v>0</v>
      </c>
      <c r="E31" s="460">
        <f>Elect!M32</f>
        <v>2274</v>
      </c>
      <c r="F31" s="461">
        <v>30</v>
      </c>
      <c r="G31" s="460">
        <f>Elect!O32</f>
        <v>1535</v>
      </c>
      <c r="H31" s="461">
        <v>1010</v>
      </c>
      <c r="I31" s="460">
        <f>Water!C33</f>
        <v>92.8</v>
      </c>
      <c r="J31" s="461">
        <v>0</v>
      </c>
      <c r="K31" s="460">
        <f>Water!E33</f>
        <v>121.8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214.6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124.46799999999999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8344884</v>
      </c>
      <c r="AH31" s="464">
        <f>Gas!C33</f>
        <v>1060</v>
      </c>
      <c r="AI31" s="465" t="e">
        <f>Gas!#REF!</f>
        <v>#REF!</v>
      </c>
      <c r="AJ31" s="466">
        <f>Gas!J33</f>
        <v>308.09999999999997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153</v>
      </c>
      <c r="AU31" s="460">
        <f>Elect!BP32</f>
        <v>127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521656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0.93711790393013095</v>
      </c>
      <c r="BN31" s="477" t="e">
        <f>Water!W33</f>
        <v>#DIV/0!</v>
      </c>
      <c r="BO31" s="472">
        <f>Water!X33</f>
        <v>858.4</v>
      </c>
      <c r="BP31" s="477">
        <f>Water!Y33</f>
        <v>3.7484716157205238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6094</v>
      </c>
      <c r="D32" s="482">
        <v>0</v>
      </c>
      <c r="E32" s="481">
        <f>Elect!M33</f>
        <v>2274</v>
      </c>
      <c r="F32" s="482">
        <v>20</v>
      </c>
      <c r="G32" s="481">
        <f>Elect!O33</f>
        <v>1535</v>
      </c>
      <c r="H32" s="482">
        <v>1008</v>
      </c>
      <c r="I32" s="481">
        <f>Water!C34</f>
        <v>92.8</v>
      </c>
      <c r="J32" s="482">
        <v>0</v>
      </c>
      <c r="K32" s="481">
        <f>Water!E34</f>
        <v>121.8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214.6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124.46799999999999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8345884</v>
      </c>
      <c r="AH32" s="485">
        <f>Gas!C34</f>
        <v>1060</v>
      </c>
      <c r="AI32" s="486" t="e">
        <f>Gas!#REF!</f>
        <v>#REF!</v>
      </c>
      <c r="AJ32" s="487">
        <f>Gas!J34</f>
        <v>308.09999999999997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153</v>
      </c>
      <c r="AU32" s="481">
        <f>Elect!BP33</f>
        <v>127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521809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0.90932203389830502</v>
      </c>
      <c r="BN32" s="498" t="e">
        <f>Water!W34</f>
        <v>#DIV/0!</v>
      </c>
      <c r="BO32" s="493">
        <f>Water!X34</f>
        <v>858.4</v>
      </c>
      <c r="BP32" s="498">
        <f>Water!Y34</f>
        <v>3.6372881355932201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0</v>
      </c>
      <c r="D33" s="502">
        <v>0</v>
      </c>
      <c r="E33" s="501">
        <f>Elect!M34</f>
        <v>0</v>
      </c>
      <c r="F33" s="502">
        <v>600</v>
      </c>
      <c r="G33" s="501">
        <f>Elect!O34</f>
        <v>0</v>
      </c>
      <c r="H33" s="502">
        <v>24543</v>
      </c>
      <c r="I33" s="501">
        <f>Water!C38</f>
        <v>3775.8</v>
      </c>
      <c r="J33" s="502">
        <v>0</v>
      </c>
      <c r="K33" s="501">
        <f>Water!E39</f>
        <v>164.91333333333333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8787.0000000000018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5096.4599999999982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32860</v>
      </c>
      <c r="AI33" s="506" t="e">
        <f>Gas!#REF!</f>
        <v>#REF!</v>
      </c>
      <c r="AJ33" s="507">
        <f>Gas!J38</f>
        <v>10857.600000000002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0</v>
      </c>
      <c r="AU33" s="506">
        <f>Elect!BP34</f>
        <v>0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521809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1.4045716112531972</v>
      </c>
      <c r="BN33" s="518" t="e">
        <f>Water!W38</f>
        <v>#DIV/0!</v>
      </c>
      <c r="BO33" s="513">
        <f>Water!X38</f>
        <v>35148.000000000007</v>
      </c>
      <c r="BP33" s="518">
        <f>Water!Y38</f>
        <v>5.6182864450127887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0</v>
      </c>
      <c r="D34" s="502">
        <v>0</v>
      </c>
      <c r="E34" s="501">
        <f>Elect!M35</f>
        <v>0</v>
      </c>
      <c r="F34" s="502">
        <v>21.428571428571427</v>
      </c>
      <c r="G34" s="501">
        <f>Elect!O35</f>
        <v>0</v>
      </c>
      <c r="H34" s="502">
        <v>876.53571428571433</v>
      </c>
      <c r="I34" s="501">
        <f>Water!C39</f>
        <v>125.86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292.90000000000003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169.88199999999995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1095.3333333333333</v>
      </c>
      <c r="AI34" s="506" t="e">
        <f>Gas!#REF!</f>
        <v>#REF!</v>
      </c>
      <c r="AJ34" s="507">
        <f>Gas!J39</f>
        <v>361.92000000000007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0</v>
      </c>
      <c r="AU34" s="506">
        <f>Elect!BP35</f>
        <v>0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521809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1.4045716112531972</v>
      </c>
      <c r="BN34" s="518" t="e">
        <f>Water!W39</f>
        <v>#DIV/0!</v>
      </c>
      <c r="BO34" s="513">
        <f>Water!X39</f>
        <v>1171.6000000000001</v>
      </c>
      <c r="BP34" s="518">
        <f>Water!Y39</f>
        <v>5.6182864450127887</v>
      </c>
      <c r="BQ34" s="519" t="e">
        <f>Water!Z39</f>
        <v>#DIV/0!</v>
      </c>
    </row>
    <row r="35" spans="1:98" s="523" customFormat="1" ht="72" customHeight="1">
      <c r="A35" s="445" t="s">
        <v>185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517957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186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187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188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189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190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191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192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887" t="s">
        <v>193</v>
      </c>
      <c r="B4" s="887"/>
      <c r="C4" s="887"/>
      <c r="D4" s="887"/>
      <c r="E4" s="887"/>
      <c r="F4" s="887"/>
      <c r="G4" s="108" t="str">
        <f>Elect!A1</f>
        <v>February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194</v>
      </c>
      <c r="B7" s="99" t="s">
        <v>195</v>
      </c>
      <c r="C7" s="99" t="s">
        <v>196</v>
      </c>
      <c r="D7" s="99" t="s">
        <v>195</v>
      </c>
      <c r="E7" s="99" t="s">
        <v>196</v>
      </c>
      <c r="F7" s="99" t="s">
        <v>197</v>
      </c>
      <c r="G7" s="100" t="s">
        <v>198</v>
      </c>
      <c r="H7" s="100" t="s">
        <v>199</v>
      </c>
      <c r="I7" s="99" t="s">
        <v>121</v>
      </c>
      <c r="J7" s="101" t="s">
        <v>121</v>
      </c>
    </row>
    <row r="8" spans="1:10" ht="13.5" thickBot="1">
      <c r="A8" s="102"/>
      <c r="B8" s="103" t="s">
        <v>200</v>
      </c>
      <c r="C8" s="103" t="s">
        <v>200</v>
      </c>
      <c r="D8" s="103" t="s">
        <v>201</v>
      </c>
      <c r="E8" s="103" t="s">
        <v>201</v>
      </c>
      <c r="F8" s="104" t="s">
        <v>202</v>
      </c>
      <c r="G8" s="103" t="s">
        <v>12</v>
      </c>
      <c r="H8" s="103"/>
      <c r="I8" s="104" t="s">
        <v>203</v>
      </c>
      <c r="J8" s="105" t="s">
        <v>204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205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205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888"/>
      <c r="B3" s="890" t="str">
        <f>Elect!A1</f>
        <v>February</v>
      </c>
      <c r="C3" s="891"/>
      <c r="D3" s="891"/>
      <c r="E3" s="892"/>
    </row>
    <row r="4" spans="1:5" ht="14.25" customHeight="1" thickBot="1">
      <c r="A4" s="889"/>
      <c r="B4" s="893" t="s">
        <v>12</v>
      </c>
      <c r="C4" s="894"/>
      <c r="D4" s="895" t="s">
        <v>206</v>
      </c>
      <c r="E4" s="896"/>
    </row>
    <row r="5" spans="1:5" ht="13.5" thickBot="1">
      <c r="A5" s="34" t="s">
        <v>207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208</v>
      </c>
      <c r="B6" s="38"/>
      <c r="C6" s="39"/>
      <c r="D6" s="40"/>
      <c r="E6" s="41"/>
    </row>
    <row r="7" spans="1:5" ht="13.5" thickBot="1">
      <c r="A7" s="117" t="s">
        <v>209</v>
      </c>
      <c r="B7" s="42"/>
      <c r="C7" s="43" t="s">
        <v>210</v>
      </c>
      <c r="D7" s="42" t="s">
        <v>210</v>
      </c>
      <c r="E7" s="43" t="s">
        <v>210</v>
      </c>
    </row>
    <row r="8" spans="1:5">
      <c r="A8" s="118" t="s">
        <v>211</v>
      </c>
      <c r="B8" s="42"/>
      <c r="C8" s="43" t="s">
        <v>210</v>
      </c>
      <c r="D8" s="44" t="s">
        <v>210</v>
      </c>
      <c r="E8" s="45" t="s">
        <v>210</v>
      </c>
    </row>
    <row r="9" spans="1:5" ht="13.5" thickBot="1">
      <c r="A9" s="118" t="s">
        <v>212</v>
      </c>
      <c r="B9" s="359"/>
      <c r="C9" s="360" t="s">
        <v>210</v>
      </c>
      <c r="D9" s="44" t="s">
        <v>210</v>
      </c>
      <c r="E9" s="45" t="s">
        <v>210</v>
      </c>
    </row>
    <row r="10" spans="1:5" ht="13.5" thickBot="1">
      <c r="A10" s="119" t="s">
        <v>213</v>
      </c>
      <c r="B10" s="76"/>
      <c r="C10" s="361"/>
      <c r="D10" s="48"/>
      <c r="E10" s="47"/>
    </row>
    <row r="11" spans="1:5" ht="13.5" thickBot="1">
      <c r="A11" s="362" t="s">
        <v>214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215</v>
      </c>
      <c r="B12" s="366"/>
      <c r="C12" s="366" t="s">
        <v>210</v>
      </c>
      <c r="D12" s="52">
        <v>0</v>
      </c>
      <c r="E12" s="53" t="e">
        <v>#REF!</v>
      </c>
    </row>
    <row r="13" spans="1:5" ht="13.5" thickBot="1">
      <c r="A13" s="120" t="s">
        <v>216</v>
      </c>
      <c r="B13" s="76"/>
      <c r="C13" s="77"/>
      <c r="D13" s="42" t="s">
        <v>210</v>
      </c>
      <c r="E13" s="43" t="s">
        <v>210</v>
      </c>
    </row>
    <row r="14" spans="1:5">
      <c r="A14" s="117" t="s">
        <v>217</v>
      </c>
      <c r="B14" s="42"/>
      <c r="C14" s="63" t="s">
        <v>210</v>
      </c>
      <c r="D14" s="55"/>
      <c r="E14" s="56"/>
    </row>
    <row r="15" spans="1:5" ht="13.5" thickBot="1">
      <c r="A15" s="118" t="s">
        <v>218</v>
      </c>
      <c r="B15" s="44"/>
      <c r="C15" s="54" t="s">
        <v>210</v>
      </c>
      <c r="D15" s="58"/>
      <c r="E15" s="59"/>
    </row>
    <row r="16" spans="1:5" ht="13.5" thickBot="1">
      <c r="A16" s="118" t="s">
        <v>219</v>
      </c>
      <c r="B16" s="44"/>
      <c r="C16" s="54" t="s">
        <v>210</v>
      </c>
      <c r="D16" s="61"/>
      <c r="E16" s="62"/>
    </row>
    <row r="17" spans="1:5">
      <c r="A17" s="118" t="s">
        <v>220</v>
      </c>
      <c r="B17" s="44"/>
      <c r="C17" s="54" t="s">
        <v>210</v>
      </c>
      <c r="D17" s="44" t="s">
        <v>210</v>
      </c>
      <c r="E17" s="54" t="s">
        <v>210</v>
      </c>
    </row>
    <row r="18" spans="1:5">
      <c r="A18" s="118" t="s">
        <v>221</v>
      </c>
      <c r="B18" s="44"/>
      <c r="C18" s="54" t="s">
        <v>210</v>
      </c>
      <c r="D18" s="44" t="s">
        <v>210</v>
      </c>
      <c r="E18" s="54" t="s">
        <v>210</v>
      </c>
    </row>
    <row r="19" spans="1:5">
      <c r="A19" s="118" t="s">
        <v>222</v>
      </c>
      <c r="B19" s="44"/>
      <c r="C19" s="54" t="s">
        <v>210</v>
      </c>
      <c r="D19" s="44" t="s">
        <v>210</v>
      </c>
      <c r="E19" s="54" t="s">
        <v>210</v>
      </c>
    </row>
    <row r="20" spans="1:5">
      <c r="A20" s="118" t="s">
        <v>223</v>
      </c>
      <c r="B20" s="44"/>
      <c r="C20" s="64" t="e">
        <f>#REF!</f>
        <v>#REF!</v>
      </c>
      <c r="D20" s="44" t="s">
        <v>210</v>
      </c>
      <c r="E20" s="54" t="s">
        <v>210</v>
      </c>
    </row>
    <row r="21" spans="1:5">
      <c r="A21" s="118" t="s">
        <v>224</v>
      </c>
      <c r="B21" s="44"/>
      <c r="C21" s="54" t="s">
        <v>210</v>
      </c>
      <c r="D21" s="44" t="s">
        <v>210</v>
      </c>
      <c r="E21" s="54" t="s">
        <v>210</v>
      </c>
    </row>
    <row r="22" spans="1:5">
      <c r="A22" s="118" t="s">
        <v>225</v>
      </c>
      <c r="B22" s="44"/>
      <c r="C22" s="54">
        <f>Water!S38</f>
        <v>0</v>
      </c>
      <c r="D22" s="44" t="s">
        <v>210</v>
      </c>
      <c r="E22" s="54" t="s">
        <v>210</v>
      </c>
    </row>
    <row r="23" spans="1:5" ht="13.5" thickBot="1">
      <c r="A23" s="121" t="s">
        <v>226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227</v>
      </c>
      <c r="B24" s="49"/>
      <c r="C24" s="60"/>
      <c r="D24" s="55" t="s">
        <v>210</v>
      </c>
      <c r="E24" s="56" t="s">
        <v>210</v>
      </c>
    </row>
    <row r="25" spans="1:5">
      <c r="A25" s="123" t="s">
        <v>228</v>
      </c>
      <c r="B25" s="42"/>
      <c r="C25" s="67">
        <f>Elect!J34</f>
        <v>0</v>
      </c>
      <c r="D25" s="55">
        <v>12266</v>
      </c>
      <c r="E25" s="66">
        <v>814</v>
      </c>
    </row>
    <row r="26" spans="1:5" ht="13.5" thickBot="1">
      <c r="A26" s="128" t="s">
        <v>229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230</v>
      </c>
      <c r="B27" s="44"/>
      <c r="C27" s="69">
        <f>Water!H38</f>
        <v>8787.0000000000018</v>
      </c>
      <c r="D27" s="61"/>
      <c r="E27" s="62"/>
    </row>
    <row r="28" spans="1:5">
      <c r="A28" s="124" t="s">
        <v>231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232</v>
      </c>
      <c r="B29" s="44"/>
      <c r="C29" s="45" t="s">
        <v>210</v>
      </c>
      <c r="D29" s="70">
        <v>28880</v>
      </c>
      <c r="E29" s="66">
        <v>32980</v>
      </c>
    </row>
    <row r="30" spans="1:5" ht="13.5" thickBot="1">
      <c r="A30" s="125" t="s">
        <v>233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234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235</v>
      </c>
      <c r="B32" s="76"/>
      <c r="C32" s="77"/>
      <c r="D32" s="71" t="e">
        <v>#REF!</v>
      </c>
      <c r="E32" s="56" t="s">
        <v>210</v>
      </c>
    </row>
    <row r="33" spans="1:6" ht="13.5" thickBot="1">
      <c r="A33" s="123" t="s">
        <v>236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237</v>
      </c>
      <c r="B34" s="44"/>
      <c r="C34" s="69">
        <f>YTD!Q5</f>
        <v>0</v>
      </c>
      <c r="D34" s="74"/>
      <c r="E34" s="75"/>
    </row>
    <row r="35" spans="1:6" ht="13.5" thickBot="1">
      <c r="A35" s="124" t="s">
        <v>238</v>
      </c>
      <c r="B35" s="44"/>
      <c r="C35" s="69">
        <f>YTD!Q6</f>
        <v>0</v>
      </c>
      <c r="D35" s="61"/>
      <c r="E35" s="62"/>
    </row>
    <row r="36" spans="1:6">
      <c r="A36" s="128" t="s">
        <v>239</v>
      </c>
      <c r="B36" s="44"/>
      <c r="C36" s="82"/>
      <c r="D36" s="78" t="e">
        <v>#REF!</v>
      </c>
      <c r="E36" s="66" t="e">
        <v>#REF!</v>
      </c>
    </row>
    <row r="37" spans="1:6">
      <c r="A37" s="128" t="s">
        <v>240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241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242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243</v>
      </c>
      <c r="B40" s="76"/>
      <c r="C40" s="77"/>
      <c r="D40" s="55">
        <v>1583714</v>
      </c>
      <c r="E40" s="66">
        <v>1940567</v>
      </c>
    </row>
    <row r="41" spans="1:6">
      <c r="A41" s="367" t="s">
        <v>244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245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246</v>
      </c>
      <c r="B43" s="130"/>
      <c r="C43" s="64">
        <f>Water!X38</f>
        <v>35148.000000000007</v>
      </c>
      <c r="D43" s="58">
        <v>112</v>
      </c>
      <c r="E43" s="66">
        <v>97.529999999999944</v>
      </c>
    </row>
    <row r="44" spans="1:6" ht="13.5" thickBot="1">
      <c r="A44" s="129" t="s">
        <v>247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248</v>
      </c>
      <c r="B45" s="131"/>
      <c r="C45" s="54" t="s">
        <v>210</v>
      </c>
      <c r="D45" s="78">
        <v>2138156.84</v>
      </c>
      <c r="E45" s="66" t="e">
        <v>#REF!</v>
      </c>
    </row>
    <row r="46" spans="1:6" ht="13.5" thickBot="1">
      <c r="A46" s="132" t="s">
        <v>249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250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251</v>
      </c>
      <c r="B48" s="197"/>
      <c r="C48" s="89"/>
      <c r="D48" s="65">
        <v>330278</v>
      </c>
      <c r="E48" s="66" t="e">
        <v>#REF!</v>
      </c>
    </row>
    <row r="49" spans="1:6">
      <c r="A49" s="202" t="s">
        <v>252</v>
      </c>
      <c r="B49" s="195"/>
      <c r="C49" s="203">
        <v>6</v>
      </c>
      <c r="D49" s="44" t="s">
        <v>210</v>
      </c>
      <c r="E49" s="54" t="s">
        <v>210</v>
      </c>
    </row>
    <row r="50" spans="1:6" ht="13.5" thickBot="1">
      <c r="A50" s="222" t="s">
        <v>178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253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254</v>
      </c>
      <c r="B52" s="131"/>
      <c r="C52" s="54">
        <v>75064</v>
      </c>
      <c r="D52" s="61"/>
      <c r="E52" s="62"/>
    </row>
    <row r="53" spans="1:6" ht="13.5" thickBot="1">
      <c r="A53" s="204" t="s">
        <v>255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256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257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258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259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February</v>
      </c>
      <c r="C1" s="775"/>
      <c r="D1" s="775"/>
      <c r="E1" s="775"/>
      <c r="F1" s="775"/>
      <c r="G1" s="775"/>
      <c r="H1" s="211" t="s">
        <v>260</v>
      </c>
      <c r="I1" s="775"/>
      <c r="J1" s="775"/>
      <c r="K1" s="775"/>
      <c r="L1" s="775"/>
      <c r="M1" s="775"/>
      <c r="N1" s="775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3"/>
      <c r="AV1" s="733"/>
      <c r="AW1" s="733"/>
      <c r="AX1" s="733"/>
      <c r="AY1" s="733"/>
      <c r="AZ1" s="733"/>
      <c r="BA1" s="733"/>
      <c r="BB1" s="733"/>
      <c r="BC1" s="733"/>
      <c r="BD1" s="733"/>
      <c r="BE1" s="733"/>
      <c r="BF1" s="733"/>
      <c r="BG1" s="733"/>
      <c r="BH1" s="733"/>
      <c r="BI1" s="733"/>
      <c r="BJ1" s="733"/>
      <c r="BK1" s="733"/>
      <c r="BL1" s="733"/>
      <c r="BM1" s="733"/>
      <c r="BN1" s="733"/>
      <c r="BO1" s="733"/>
      <c r="BP1" s="733"/>
      <c r="BQ1" s="733"/>
      <c r="BR1" s="733"/>
      <c r="BS1" s="733"/>
      <c r="BT1" s="733"/>
      <c r="BU1" s="733"/>
      <c r="BV1" s="733"/>
      <c r="BW1" s="733"/>
      <c r="BX1" s="733"/>
      <c r="BY1" s="733"/>
      <c r="BZ1" s="733"/>
      <c r="CA1" s="733"/>
      <c r="CB1" s="733"/>
      <c r="CC1" s="733"/>
      <c r="CD1" s="733"/>
      <c r="CE1" s="733"/>
      <c r="CF1" s="733"/>
      <c r="CG1" s="733"/>
      <c r="CH1" s="733"/>
      <c r="CI1" s="733"/>
      <c r="CJ1" s="733"/>
      <c r="CK1" s="733"/>
      <c r="CL1" s="733"/>
      <c r="CM1" s="733"/>
      <c r="CN1" s="733"/>
      <c r="CO1" s="733"/>
      <c r="CP1" s="733"/>
      <c r="CQ1" s="733"/>
      <c r="CR1" s="733"/>
      <c r="CS1" s="733"/>
      <c r="CT1" s="733"/>
      <c r="CU1" s="733"/>
      <c r="CV1" s="733"/>
      <c r="CW1" s="733"/>
      <c r="CX1" s="733"/>
      <c r="CY1" s="733"/>
      <c r="CZ1" s="733"/>
      <c r="DA1" s="733"/>
      <c r="DB1" s="733"/>
      <c r="DC1" s="733"/>
      <c r="DD1" s="733"/>
      <c r="DE1" s="733"/>
      <c r="DF1" s="733"/>
    </row>
    <row r="2" spans="1:110" ht="6.75" customHeight="1" thickBot="1">
      <c r="C2" s="775"/>
      <c r="D2" s="775"/>
      <c r="E2" s="775"/>
      <c r="F2" s="775"/>
      <c r="G2" s="212"/>
      <c r="H2" s="775"/>
      <c r="I2" s="775"/>
      <c r="J2" s="775"/>
      <c r="K2" s="775"/>
      <c r="L2" s="775"/>
      <c r="M2" s="775"/>
      <c r="N2" s="775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AW2" s="733"/>
      <c r="AX2" s="733"/>
      <c r="AY2" s="733"/>
      <c r="AZ2" s="733"/>
      <c r="BA2" s="733"/>
      <c r="BB2" s="733"/>
      <c r="BC2" s="733"/>
      <c r="BD2" s="733"/>
      <c r="BE2" s="733"/>
      <c r="BF2" s="733"/>
      <c r="BG2" s="733"/>
      <c r="BH2" s="733"/>
      <c r="BI2" s="733"/>
      <c r="BJ2" s="733"/>
      <c r="BK2" s="733"/>
      <c r="BL2" s="733"/>
      <c r="BM2" s="733"/>
      <c r="BN2" s="733"/>
      <c r="BO2" s="733"/>
      <c r="BP2" s="733"/>
      <c r="BQ2" s="733"/>
      <c r="BR2" s="733"/>
      <c r="BS2" s="733"/>
      <c r="BT2" s="733"/>
      <c r="BU2" s="733"/>
      <c r="BV2" s="733"/>
      <c r="BW2" s="733"/>
      <c r="BX2" s="733"/>
      <c r="BY2" s="733"/>
      <c r="BZ2" s="733"/>
      <c r="CA2" s="733"/>
      <c r="CB2" s="733"/>
      <c r="CC2" s="733"/>
      <c r="CD2" s="733"/>
      <c r="CE2" s="733"/>
      <c r="CF2" s="733"/>
      <c r="CG2" s="733"/>
      <c r="CH2" s="733"/>
      <c r="CI2" s="733"/>
      <c r="CJ2" s="733"/>
      <c r="CK2" s="733"/>
      <c r="CL2" s="733"/>
      <c r="CM2" s="733"/>
      <c r="CN2" s="733"/>
      <c r="CO2" s="733"/>
      <c r="CP2" s="733"/>
      <c r="CQ2" s="733"/>
      <c r="CR2" s="733"/>
      <c r="CS2" s="733"/>
      <c r="CT2" s="733"/>
      <c r="CU2" s="733"/>
      <c r="CV2" s="733"/>
      <c r="CW2" s="733"/>
      <c r="CX2" s="733"/>
      <c r="CY2" s="733"/>
      <c r="CZ2" s="733"/>
      <c r="DA2" s="733"/>
      <c r="DB2" s="733"/>
      <c r="DC2" s="733"/>
      <c r="DD2" s="733"/>
      <c r="DE2" s="733"/>
      <c r="DF2" s="733"/>
    </row>
    <row r="3" spans="1:110" ht="24" customHeight="1" thickTop="1" thickBot="1">
      <c r="A3" s="292"/>
      <c r="B3" s="293"/>
      <c r="C3" s="227" t="s">
        <v>261</v>
      </c>
      <c r="D3" s="227" t="s">
        <v>262</v>
      </c>
      <c r="E3" s="227" t="s">
        <v>263</v>
      </c>
      <c r="F3" s="227" t="s">
        <v>264</v>
      </c>
      <c r="G3" s="227" t="s">
        <v>265</v>
      </c>
      <c r="H3" s="227" t="s">
        <v>266</v>
      </c>
      <c r="I3" s="227" t="s">
        <v>267</v>
      </c>
      <c r="J3" s="227" t="s">
        <v>268</v>
      </c>
      <c r="K3" s="227" t="s">
        <v>269</v>
      </c>
      <c r="L3" s="227" t="s">
        <v>270</v>
      </c>
      <c r="M3" s="227" t="s">
        <v>271</v>
      </c>
      <c r="N3" s="227" t="s">
        <v>272</v>
      </c>
      <c r="O3" s="228" t="s">
        <v>273</v>
      </c>
      <c r="P3" s="229" t="s">
        <v>274</v>
      </c>
      <c r="Q3" s="230" t="s">
        <v>275</v>
      </c>
      <c r="R3" s="218"/>
      <c r="S3" s="218"/>
      <c r="T3" s="218"/>
      <c r="U3" s="218"/>
      <c r="V3" s="218"/>
      <c r="W3" s="218"/>
      <c r="X3" s="218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733"/>
      <c r="CK3" s="733"/>
      <c r="CL3" s="733"/>
      <c r="CM3" s="733"/>
      <c r="CN3" s="733"/>
      <c r="CO3" s="733"/>
      <c r="CP3" s="733"/>
      <c r="CQ3" s="733"/>
      <c r="CR3" s="733"/>
      <c r="CS3" s="733"/>
      <c r="CT3" s="733"/>
      <c r="CU3" s="733"/>
      <c r="CV3" s="733"/>
      <c r="CW3" s="733"/>
      <c r="CX3" s="733"/>
      <c r="CY3" s="733"/>
      <c r="CZ3" s="733"/>
      <c r="DA3" s="733"/>
      <c r="DB3" s="733"/>
      <c r="DC3" s="733"/>
      <c r="DD3" s="733"/>
      <c r="DE3" s="733"/>
      <c r="DF3" s="733"/>
    </row>
    <row r="4" spans="1:110" ht="23.25">
      <c r="A4" s="294" t="s">
        <v>276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277</v>
      </c>
      <c r="B5" s="296"/>
      <c r="C5" s="234">
        <v>25072</v>
      </c>
      <c r="D5" s="380">
        <f>Elect!BP34</f>
        <v>0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25072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278</v>
      </c>
      <c r="B6" s="298"/>
      <c r="C6" s="235">
        <v>50662</v>
      </c>
      <c r="D6" s="235">
        <f>Elect!BR34</f>
        <v>0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50662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279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280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281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282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283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284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285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286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287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288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289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290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291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292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293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294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295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296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297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298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299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300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301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302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303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304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305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306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307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308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309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310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311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312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313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314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315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316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317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318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319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320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321</v>
      </c>
      <c r="B51" s="312" t="s">
        <v>322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323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324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325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326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327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328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329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330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331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332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333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334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335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336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337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3"/>
      <c r="Z66" s="733"/>
    </row>
    <row r="67" spans="1:110" s="10" customFormat="1" ht="15.75" hidden="1">
      <c r="A67" s="319" t="s">
        <v>338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3"/>
      <c r="Z67" s="733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3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3"/>
      <c r="AY68" s="733"/>
      <c r="AZ68" s="733"/>
      <c r="BA68" s="733"/>
      <c r="BB68" s="733"/>
      <c r="BC68" s="733"/>
      <c r="BD68" s="733"/>
      <c r="BE68" s="733"/>
      <c r="BF68" s="733"/>
      <c r="BG68" s="733"/>
      <c r="BH68" s="733"/>
      <c r="BI68" s="733"/>
      <c r="BJ68" s="733"/>
      <c r="BK68" s="733"/>
      <c r="BL68" s="733"/>
      <c r="BM68" s="733"/>
      <c r="BN68" s="733"/>
      <c r="BO68" s="733"/>
      <c r="BP68" s="733"/>
      <c r="BQ68" s="733"/>
      <c r="BR68" s="733"/>
      <c r="BS68" s="733"/>
      <c r="BT68" s="733"/>
      <c r="BU68" s="733"/>
      <c r="BV68" s="733"/>
      <c r="BW68" s="733"/>
      <c r="BX68" s="733"/>
      <c r="BY68" s="733"/>
      <c r="BZ68" s="733"/>
      <c r="CA68" s="733"/>
      <c r="CB68" s="733"/>
      <c r="CC68" s="733"/>
      <c r="CD68" s="733"/>
      <c r="CE68" s="733"/>
      <c r="CF68" s="733"/>
      <c r="CG68" s="733"/>
      <c r="CH68" s="733"/>
      <c r="CI68" s="733"/>
      <c r="CJ68" s="733"/>
      <c r="CK68" s="733"/>
      <c r="CL68" s="733"/>
      <c r="CM68" s="733"/>
      <c r="CN68" s="733"/>
      <c r="CO68" s="733"/>
      <c r="CP68" s="733"/>
      <c r="CQ68" s="733"/>
      <c r="CR68" s="733"/>
      <c r="CS68" s="733"/>
      <c r="CT68" s="733"/>
      <c r="CU68" s="733"/>
      <c r="CV68" s="733"/>
      <c r="CW68" s="733"/>
      <c r="CX68" s="733"/>
      <c r="CY68" s="733"/>
      <c r="CZ68" s="733"/>
      <c r="DA68" s="733"/>
      <c r="DB68" s="733"/>
      <c r="DC68" s="733"/>
      <c r="DD68" s="733"/>
      <c r="DE68" s="733"/>
      <c r="DF68" s="733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3"/>
      <c r="Z69" s="733"/>
      <c r="AA69" s="733"/>
      <c r="AB69" s="733"/>
      <c r="AC69" s="733"/>
      <c r="AD69" s="733"/>
      <c r="AE69" s="733"/>
      <c r="AF69" s="733"/>
      <c r="AG69" s="733"/>
      <c r="AH69" s="733"/>
      <c r="AI69" s="733"/>
      <c r="AJ69" s="73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3"/>
      <c r="AY69" s="733"/>
      <c r="AZ69" s="733"/>
      <c r="BA69" s="733"/>
      <c r="BB69" s="733"/>
      <c r="BC69" s="733"/>
      <c r="BD69" s="733"/>
      <c r="BE69" s="733"/>
      <c r="BF69" s="733"/>
      <c r="BG69" s="733"/>
      <c r="BH69" s="733"/>
      <c r="BI69" s="733"/>
      <c r="BJ69" s="733"/>
      <c r="BK69" s="733"/>
      <c r="BL69" s="733"/>
      <c r="BM69" s="733"/>
      <c r="BN69" s="733"/>
      <c r="BO69" s="733"/>
      <c r="BP69" s="733"/>
      <c r="BQ69" s="733"/>
      <c r="BR69" s="733"/>
      <c r="BS69" s="733"/>
      <c r="BT69" s="733"/>
      <c r="BU69" s="733"/>
      <c r="BV69" s="733"/>
      <c r="BW69" s="733"/>
      <c r="BX69" s="733"/>
      <c r="BY69" s="733"/>
      <c r="BZ69" s="733"/>
      <c r="CA69" s="733"/>
      <c r="CB69" s="733"/>
      <c r="CC69" s="733"/>
      <c r="CD69" s="733"/>
      <c r="CE69" s="733"/>
      <c r="CF69" s="733"/>
      <c r="CG69" s="733"/>
      <c r="CH69" s="733"/>
      <c r="CI69" s="733"/>
      <c r="CJ69" s="733"/>
      <c r="CK69" s="733"/>
      <c r="CL69" s="733"/>
      <c r="CM69" s="733"/>
      <c r="CN69" s="733"/>
      <c r="CO69" s="733"/>
      <c r="CP69" s="733"/>
      <c r="CQ69" s="733"/>
      <c r="CR69" s="733"/>
      <c r="CS69" s="733"/>
      <c r="CT69" s="733"/>
      <c r="CU69" s="733"/>
      <c r="CV69" s="733"/>
      <c r="CW69" s="733"/>
      <c r="CX69" s="733"/>
      <c r="CY69" s="733"/>
      <c r="CZ69" s="733"/>
      <c r="DA69" s="733"/>
      <c r="DB69" s="733"/>
      <c r="DC69" s="733"/>
      <c r="DD69" s="733"/>
      <c r="DE69" s="733"/>
      <c r="DF69" s="733"/>
    </row>
    <row r="70" spans="1:110" s="10" customFormat="1" ht="15.75" hidden="1">
      <c r="A70" s="320" t="s">
        <v>339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3"/>
      <c r="Z70" s="733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3"/>
      <c r="Z71" s="73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  <c r="BX71" s="733"/>
      <c r="BY71" s="733"/>
      <c r="BZ71" s="733"/>
      <c r="CA71" s="733"/>
      <c r="CB71" s="733"/>
      <c r="CC71" s="733"/>
      <c r="CD71" s="733"/>
      <c r="CE71" s="733"/>
      <c r="CF71" s="733"/>
      <c r="CG71" s="733"/>
      <c r="CH71" s="733"/>
      <c r="CI71" s="733"/>
      <c r="CJ71" s="733"/>
      <c r="CK71" s="733"/>
      <c r="CL71" s="733"/>
      <c r="CM71" s="733"/>
      <c r="CN71" s="733"/>
      <c r="CO71" s="733"/>
      <c r="CP71" s="733"/>
      <c r="CQ71" s="733"/>
      <c r="CR71" s="733"/>
      <c r="CS71" s="733"/>
      <c r="CT71" s="733"/>
      <c r="CU71" s="733"/>
      <c r="CV71" s="733"/>
      <c r="CW71" s="733"/>
      <c r="CX71" s="733"/>
      <c r="CY71" s="733"/>
      <c r="CZ71" s="733"/>
      <c r="DA71" s="733"/>
      <c r="DB71" s="733"/>
      <c r="DC71" s="733"/>
      <c r="DD71" s="733"/>
      <c r="DE71" s="733"/>
      <c r="DF71" s="733"/>
    </row>
    <row r="72" spans="1:110" s="10" customFormat="1" ht="16.5" hidden="1" thickBot="1">
      <c r="A72" s="321" t="s">
        <v>340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3"/>
      <c r="Z72" s="733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3"/>
      <c r="Z73" s="733"/>
      <c r="AA73" s="733"/>
      <c r="AB73" s="733"/>
      <c r="AC73" s="733"/>
      <c r="AD73" s="733"/>
      <c r="AE73" s="733"/>
      <c r="AF73" s="733"/>
      <c r="AG73" s="733"/>
      <c r="AH73" s="733"/>
      <c r="AI73" s="733"/>
      <c r="AJ73" s="733"/>
      <c r="AK73" s="733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3"/>
      <c r="AY73" s="733"/>
      <c r="AZ73" s="733"/>
      <c r="BA73" s="733"/>
      <c r="BB73" s="733"/>
      <c r="BC73" s="733"/>
      <c r="BD73" s="733"/>
      <c r="BE73" s="733"/>
      <c r="BF73" s="733"/>
      <c r="BG73" s="733"/>
      <c r="BH73" s="733"/>
      <c r="BI73" s="733"/>
      <c r="BJ73" s="733"/>
      <c r="BK73" s="733"/>
      <c r="BL73" s="733"/>
      <c r="BM73" s="733"/>
      <c r="BN73" s="733"/>
      <c r="BO73" s="733"/>
      <c r="BP73" s="733"/>
      <c r="BQ73" s="733"/>
      <c r="BR73" s="733"/>
      <c r="BS73" s="733"/>
      <c r="BT73" s="733"/>
      <c r="BU73" s="733"/>
      <c r="BV73" s="733"/>
      <c r="BW73" s="733"/>
      <c r="BX73" s="733"/>
      <c r="BY73" s="733"/>
      <c r="BZ73" s="733"/>
      <c r="CA73" s="733"/>
      <c r="CB73" s="733"/>
      <c r="CC73" s="733"/>
      <c r="CD73" s="733"/>
      <c r="CE73" s="733"/>
      <c r="CF73" s="733"/>
      <c r="CG73" s="733"/>
      <c r="CH73" s="733"/>
      <c r="CI73" s="733"/>
      <c r="CJ73" s="733"/>
      <c r="CK73" s="733"/>
      <c r="CL73" s="733"/>
      <c r="CM73" s="733"/>
      <c r="CN73" s="733"/>
      <c r="CO73" s="733"/>
      <c r="CP73" s="733"/>
      <c r="CQ73" s="733"/>
      <c r="CR73" s="733"/>
      <c r="CS73" s="733"/>
      <c r="CT73" s="733"/>
      <c r="CU73" s="733"/>
      <c r="CV73" s="733"/>
      <c r="CW73" s="733"/>
      <c r="CX73" s="733"/>
      <c r="CY73" s="733"/>
      <c r="CZ73" s="733"/>
      <c r="DA73" s="733"/>
      <c r="DB73" s="733"/>
      <c r="DC73" s="733"/>
      <c r="DD73" s="733"/>
      <c r="DE73" s="733"/>
      <c r="DF73" s="733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3"/>
      <c r="Z74" s="73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  <c r="BX74" s="733"/>
      <c r="BY74" s="733"/>
      <c r="BZ74" s="733"/>
      <c r="CA74" s="733"/>
      <c r="CB74" s="733"/>
      <c r="CC74" s="733"/>
      <c r="CD74" s="733"/>
      <c r="CE74" s="733"/>
      <c r="CF74" s="733"/>
      <c r="CG74" s="733"/>
      <c r="CH74" s="733"/>
      <c r="CI74" s="733"/>
      <c r="CJ74" s="733"/>
      <c r="CK74" s="733"/>
      <c r="CL74" s="733"/>
      <c r="CM74" s="733"/>
      <c r="CN74" s="733"/>
      <c r="CO74" s="733"/>
      <c r="CP74" s="733"/>
      <c r="CQ74" s="733"/>
      <c r="CR74" s="733"/>
      <c r="CS74" s="733"/>
      <c r="CT74" s="733"/>
      <c r="CU74" s="733"/>
      <c r="CV74" s="733"/>
      <c r="CW74" s="733"/>
      <c r="CX74" s="733"/>
      <c r="CY74" s="733"/>
      <c r="CZ74" s="733"/>
      <c r="DA74" s="733"/>
      <c r="DB74" s="733"/>
      <c r="DC74" s="733"/>
      <c r="DD74" s="733"/>
      <c r="DE74" s="733"/>
      <c r="DF74" s="733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3"/>
      <c r="Z75" s="73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  <c r="BX75" s="733"/>
      <c r="BY75" s="733"/>
      <c r="BZ75" s="733"/>
      <c r="CA75" s="733"/>
      <c r="CB75" s="733"/>
      <c r="CC75" s="733"/>
      <c r="CD75" s="733"/>
      <c r="CE75" s="733"/>
      <c r="CF75" s="733"/>
      <c r="CG75" s="733"/>
      <c r="CH75" s="733"/>
      <c r="CI75" s="733"/>
      <c r="CJ75" s="733"/>
      <c r="CK75" s="733"/>
      <c r="CL75" s="733"/>
      <c r="CM75" s="733"/>
      <c r="CN75" s="733"/>
      <c r="CO75" s="733"/>
      <c r="CP75" s="733"/>
      <c r="CQ75" s="733"/>
      <c r="CR75" s="733"/>
      <c r="CS75" s="733"/>
      <c r="CT75" s="733"/>
      <c r="CU75" s="733"/>
      <c r="CV75" s="733"/>
      <c r="CW75" s="733"/>
      <c r="CX75" s="733"/>
      <c r="CY75" s="733"/>
      <c r="CZ75" s="733"/>
      <c r="DA75" s="733"/>
      <c r="DB75" s="733"/>
      <c r="DC75" s="733"/>
      <c r="DD75" s="733"/>
      <c r="DE75" s="733"/>
      <c r="DF75" s="733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3"/>
      <c r="Z76" s="733"/>
      <c r="AA76" s="733"/>
      <c r="AB76" s="733"/>
      <c r="AC76" s="733"/>
      <c r="AD76" s="733"/>
      <c r="AE76" s="733"/>
      <c r="AF76" s="733"/>
      <c r="AG76" s="733"/>
      <c r="AH76" s="733"/>
      <c r="AI76" s="733"/>
      <c r="AJ76" s="733"/>
      <c r="AK76" s="733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3"/>
      <c r="AY76" s="733"/>
      <c r="AZ76" s="733"/>
      <c r="BA76" s="733"/>
      <c r="BB76" s="733"/>
      <c r="BC76" s="733"/>
      <c r="BD76" s="733"/>
      <c r="BE76" s="733"/>
      <c r="BF76" s="733"/>
      <c r="BG76" s="733"/>
      <c r="BH76" s="733"/>
      <c r="BI76" s="733"/>
      <c r="BJ76" s="733"/>
      <c r="BK76" s="733"/>
      <c r="BL76" s="733"/>
      <c r="BM76" s="733"/>
      <c r="BN76" s="733"/>
      <c r="BO76" s="733"/>
      <c r="BP76" s="733"/>
      <c r="BQ76" s="733"/>
      <c r="BR76" s="733"/>
      <c r="BS76" s="733"/>
      <c r="BT76" s="733"/>
      <c r="BU76" s="733"/>
      <c r="BV76" s="733"/>
      <c r="BW76" s="733"/>
      <c r="BX76" s="733"/>
      <c r="BY76" s="733"/>
      <c r="BZ76" s="733"/>
      <c r="CA76" s="733"/>
      <c r="CB76" s="733"/>
      <c r="CC76" s="733"/>
      <c r="CD76" s="733"/>
      <c r="CE76" s="733"/>
      <c r="CF76" s="733"/>
      <c r="CG76" s="733"/>
      <c r="CH76" s="733"/>
      <c r="CI76" s="733"/>
      <c r="CJ76" s="733"/>
      <c r="CK76" s="733"/>
      <c r="CL76" s="733"/>
      <c r="CM76" s="733"/>
      <c r="CN76" s="733"/>
      <c r="CO76" s="733"/>
      <c r="CP76" s="733"/>
      <c r="CQ76" s="733"/>
      <c r="CR76" s="733"/>
      <c r="CS76" s="733"/>
      <c r="CT76" s="733"/>
      <c r="CU76" s="733"/>
      <c r="CV76" s="733"/>
      <c r="CW76" s="733"/>
      <c r="CX76" s="733"/>
      <c r="CY76" s="733"/>
      <c r="CZ76" s="733"/>
      <c r="DA76" s="733"/>
      <c r="DB76" s="733"/>
      <c r="DC76" s="733"/>
      <c r="DD76" s="733"/>
      <c r="DE76" s="733"/>
      <c r="DF76" s="733"/>
    </row>
    <row r="77" spans="1:110" ht="15.75" hidden="1">
      <c r="A77" s="320" t="s">
        <v>341</v>
      </c>
      <c r="B77" s="320" t="s">
        <v>342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3"/>
      <c r="Z77" s="733"/>
      <c r="AA77" s="733"/>
      <c r="AB77" s="733"/>
      <c r="AC77" s="733"/>
      <c r="AD77" s="733"/>
      <c r="AE77" s="733"/>
      <c r="AF77" s="733"/>
      <c r="AG77" s="733"/>
      <c r="AH77" s="733"/>
      <c r="AI77" s="733"/>
      <c r="AJ77" s="733"/>
      <c r="AK77" s="733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3"/>
      <c r="AY77" s="733"/>
      <c r="AZ77" s="733"/>
      <c r="BA77" s="733"/>
      <c r="BB77" s="733"/>
      <c r="BC77" s="733"/>
      <c r="BD77" s="733"/>
      <c r="BE77" s="733"/>
      <c r="BF77" s="733"/>
      <c r="BG77" s="733"/>
      <c r="BH77" s="733"/>
      <c r="BI77" s="733"/>
      <c r="BJ77" s="733"/>
      <c r="BK77" s="733"/>
      <c r="BL77" s="733"/>
      <c r="BM77" s="733"/>
      <c r="BN77" s="733"/>
      <c r="BO77" s="733"/>
      <c r="BP77" s="733"/>
      <c r="BQ77" s="733"/>
      <c r="BR77" s="733"/>
      <c r="BS77" s="733"/>
      <c r="BT77" s="733"/>
      <c r="BU77" s="733"/>
      <c r="BV77" s="733"/>
      <c r="BW77" s="733"/>
      <c r="BX77" s="733"/>
      <c r="BY77" s="733"/>
      <c r="BZ77" s="733"/>
      <c r="CA77" s="733"/>
      <c r="CB77" s="733"/>
      <c r="CC77" s="733"/>
      <c r="CD77" s="733"/>
      <c r="CE77" s="733"/>
      <c r="CF77" s="733"/>
      <c r="CG77" s="733"/>
      <c r="CH77" s="733"/>
      <c r="CI77" s="733"/>
      <c r="CJ77" s="733"/>
      <c r="CK77" s="733"/>
      <c r="CL77" s="733"/>
      <c r="CM77" s="733"/>
      <c r="CN77" s="733"/>
      <c r="CO77" s="733"/>
      <c r="CP77" s="733"/>
      <c r="CQ77" s="733"/>
      <c r="CR77" s="733"/>
      <c r="CS77" s="733"/>
      <c r="CT77" s="733"/>
      <c r="CU77" s="733"/>
      <c r="CV77" s="733"/>
      <c r="CW77" s="733"/>
      <c r="CX77" s="733"/>
      <c r="CY77" s="733"/>
      <c r="CZ77" s="733"/>
      <c r="DA77" s="733"/>
      <c r="DB77" s="733"/>
      <c r="DC77" s="733"/>
      <c r="DD77" s="733"/>
      <c r="DE77" s="733"/>
      <c r="DF77" s="733"/>
    </row>
    <row r="78" spans="1:110" ht="15.75" hidden="1">
      <c r="A78" s="320" t="s">
        <v>343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3"/>
      <c r="Z78" s="733"/>
      <c r="AA78" s="733"/>
      <c r="AB78" s="733"/>
      <c r="AC78" s="733"/>
      <c r="AD78" s="733"/>
      <c r="AE78" s="733"/>
      <c r="AF78" s="733"/>
      <c r="AG78" s="733"/>
      <c r="AH78" s="733"/>
      <c r="AI78" s="733"/>
      <c r="AJ78" s="733"/>
      <c r="AK78" s="733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3"/>
      <c r="AY78" s="733"/>
      <c r="AZ78" s="733"/>
      <c r="BA78" s="733"/>
      <c r="BB78" s="733"/>
      <c r="BC78" s="733"/>
      <c r="BD78" s="733"/>
      <c r="BE78" s="733"/>
      <c r="BF78" s="733"/>
      <c r="BG78" s="733"/>
      <c r="BH78" s="733"/>
      <c r="BI78" s="733"/>
      <c r="BJ78" s="733"/>
      <c r="BK78" s="733"/>
      <c r="BL78" s="733"/>
      <c r="BM78" s="733"/>
      <c r="BN78" s="733"/>
      <c r="BO78" s="733"/>
      <c r="BP78" s="733"/>
      <c r="BQ78" s="733"/>
      <c r="BR78" s="733"/>
      <c r="BS78" s="733"/>
      <c r="BT78" s="733"/>
      <c r="BU78" s="733"/>
      <c r="BV78" s="733"/>
      <c r="BW78" s="733"/>
      <c r="BX78" s="733"/>
      <c r="BY78" s="733"/>
      <c r="BZ78" s="733"/>
      <c r="CA78" s="733"/>
      <c r="CB78" s="733"/>
      <c r="CC78" s="733"/>
      <c r="CD78" s="733"/>
      <c r="CE78" s="733"/>
      <c r="CF78" s="733"/>
      <c r="CG78" s="733"/>
      <c r="CH78" s="733"/>
      <c r="CI78" s="733"/>
      <c r="CJ78" s="733"/>
      <c r="CK78" s="733"/>
      <c r="CL78" s="733"/>
      <c r="CM78" s="733"/>
      <c r="CN78" s="733"/>
      <c r="CO78" s="733"/>
      <c r="CP78" s="733"/>
      <c r="CQ78" s="733"/>
      <c r="CR78" s="733"/>
      <c r="CS78" s="733"/>
      <c r="CT78" s="733"/>
      <c r="CU78" s="733"/>
      <c r="CV78" s="733"/>
      <c r="CW78" s="733"/>
      <c r="CX78" s="733"/>
      <c r="CY78" s="733"/>
      <c r="CZ78" s="733"/>
      <c r="DA78" s="733"/>
      <c r="DB78" s="733"/>
      <c r="DC78" s="733"/>
      <c r="DD78" s="733"/>
      <c r="DE78" s="733"/>
      <c r="DF78" s="733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3"/>
      <c r="Z79" s="73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  <c r="BX79" s="733"/>
      <c r="BY79" s="733"/>
      <c r="BZ79" s="733"/>
      <c r="CA79" s="733"/>
      <c r="CB79" s="733"/>
      <c r="CC79" s="733"/>
      <c r="CD79" s="733"/>
      <c r="CE79" s="733"/>
      <c r="CF79" s="733"/>
      <c r="CG79" s="733"/>
      <c r="CH79" s="733"/>
      <c r="CI79" s="733"/>
      <c r="CJ79" s="733"/>
      <c r="CK79" s="733"/>
      <c r="CL79" s="733"/>
      <c r="CM79" s="733"/>
      <c r="CN79" s="733"/>
      <c r="CO79" s="733"/>
      <c r="CP79" s="733"/>
      <c r="CQ79" s="733"/>
      <c r="CR79" s="733"/>
      <c r="CS79" s="733"/>
      <c r="CT79" s="733"/>
      <c r="CU79" s="733"/>
      <c r="CV79" s="733"/>
      <c r="CW79" s="733"/>
      <c r="CX79" s="733"/>
      <c r="CY79" s="733"/>
      <c r="CZ79" s="733"/>
      <c r="DA79" s="733"/>
      <c r="DB79" s="733"/>
      <c r="DC79" s="733"/>
      <c r="DD79" s="733"/>
      <c r="DE79" s="733"/>
      <c r="DF79" s="733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3"/>
      <c r="Z80" s="73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  <c r="BX80" s="733"/>
      <c r="BY80" s="733"/>
      <c r="BZ80" s="733"/>
      <c r="CA80" s="733"/>
      <c r="CB80" s="733"/>
      <c r="CC80" s="733"/>
      <c r="CD80" s="733"/>
      <c r="CE80" s="733"/>
      <c r="CF80" s="733"/>
      <c r="CG80" s="733"/>
      <c r="CH80" s="733"/>
      <c r="CI80" s="733"/>
      <c r="CJ80" s="733"/>
      <c r="CK80" s="733"/>
      <c r="CL80" s="733"/>
      <c r="CM80" s="733"/>
      <c r="CN80" s="733"/>
      <c r="CO80" s="733"/>
      <c r="CP80" s="733"/>
      <c r="CQ80" s="733"/>
      <c r="CR80" s="733"/>
      <c r="CS80" s="733"/>
      <c r="CT80" s="733"/>
      <c r="CU80" s="733"/>
      <c r="CV80" s="733"/>
      <c r="CW80" s="733"/>
      <c r="CX80" s="733"/>
      <c r="CY80" s="733"/>
      <c r="CZ80" s="733"/>
      <c r="DA80" s="733"/>
      <c r="DB80" s="733"/>
      <c r="DC80" s="733"/>
      <c r="DD80" s="733"/>
      <c r="DE80" s="733"/>
      <c r="DF80" s="733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341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343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341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343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344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345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346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286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287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288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289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290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291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292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293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294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295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296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297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298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299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300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301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347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303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304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305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306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307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308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309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310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311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312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313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314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315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316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317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318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319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320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321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323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324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325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326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327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348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329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330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331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335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336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349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346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286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287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288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289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290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291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292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293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294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295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296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297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298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299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300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301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347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303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304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305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306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307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308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309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310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311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312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313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314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315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316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317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318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319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320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321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323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324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325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326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327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348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329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330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331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335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336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350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351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352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353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354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355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356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357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358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359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360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361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362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329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363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292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293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294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295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296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297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298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299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300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301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347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303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304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305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306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307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308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309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310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311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312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313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314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315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316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317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318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319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320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321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323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324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325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326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327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348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329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330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331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332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333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335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364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292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293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294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295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296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297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298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299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300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301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347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303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304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305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306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307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308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309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310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311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312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313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314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315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316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317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318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319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320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321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323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324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325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326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327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348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329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330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331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332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333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335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6"/>
      <c r="D2336" s="776"/>
      <c r="E2336" s="776"/>
      <c r="F2336" s="776"/>
      <c r="G2336" s="776"/>
      <c r="H2336" s="776"/>
      <c r="I2336" s="776"/>
      <c r="J2336" s="776"/>
      <c r="K2336" s="776"/>
      <c r="L2336" s="776"/>
      <c r="M2336" s="776"/>
      <c r="N2336" s="776"/>
      <c r="O2336" s="266"/>
      <c r="P2336" s="266"/>
      <c r="Q2336" s="777"/>
      <c r="R2336" s="733"/>
      <c r="S2336" s="733"/>
      <c r="T2336" s="733"/>
      <c r="U2336" s="733"/>
      <c r="V2336" s="733"/>
      <c r="W2336" s="733"/>
      <c r="X2336" s="733"/>
    </row>
    <row r="2337" spans="1:26">
      <c r="B2337" s="323"/>
      <c r="C2337" s="776">
        <v>39814</v>
      </c>
      <c r="D2337" s="776">
        <v>39845</v>
      </c>
      <c r="E2337" s="776">
        <v>39873</v>
      </c>
      <c r="F2337" s="776">
        <v>39904</v>
      </c>
      <c r="G2337" s="776">
        <v>39934</v>
      </c>
      <c r="H2337" s="776">
        <v>39965</v>
      </c>
      <c r="I2337" s="776">
        <v>39995</v>
      </c>
      <c r="J2337" s="776">
        <v>40026</v>
      </c>
      <c r="K2337" s="776">
        <v>40057</v>
      </c>
      <c r="L2337" s="776">
        <v>40087</v>
      </c>
      <c r="M2337" s="776">
        <v>40118</v>
      </c>
      <c r="N2337" s="776">
        <v>40148</v>
      </c>
      <c r="O2337" s="267"/>
      <c r="P2337" s="267"/>
      <c r="Q2337" s="778"/>
      <c r="R2337" s="733"/>
      <c r="S2337" s="733"/>
      <c r="T2337" s="733"/>
      <c r="U2337" s="733"/>
      <c r="V2337" s="733"/>
      <c r="W2337" s="733"/>
      <c r="X2337" s="733"/>
      <c r="Y2337" s="733"/>
      <c r="Z2337" s="733"/>
    </row>
    <row r="2338" spans="1:26" ht="21.75" customHeight="1">
      <c r="A2338" s="323"/>
      <c r="B2338" s="323"/>
      <c r="C2338" s="775"/>
      <c r="D2338" s="775"/>
      <c r="E2338" s="775"/>
      <c r="F2338" s="775"/>
      <c r="G2338" s="775"/>
      <c r="H2338" s="211" t="s">
        <v>365</v>
      </c>
      <c r="I2338" s="214"/>
      <c r="J2338" s="775"/>
      <c r="K2338" s="775"/>
      <c r="L2338" s="775"/>
      <c r="M2338" s="775"/>
      <c r="N2338" s="775"/>
      <c r="Q2338" s="733"/>
      <c r="R2338" s="733"/>
      <c r="S2338" s="733"/>
      <c r="T2338" s="733"/>
      <c r="U2338" s="733"/>
      <c r="V2338" s="733"/>
      <c r="W2338" s="733"/>
      <c r="X2338" s="733"/>
      <c r="Y2338" s="733"/>
      <c r="Z2338" s="733"/>
    </row>
    <row r="2339" spans="1:26" ht="13.5" thickBot="1">
      <c r="A2339" s="323"/>
      <c r="B2339" s="323"/>
      <c r="C2339" s="775"/>
      <c r="D2339" s="775"/>
      <c r="E2339" s="775"/>
      <c r="F2339" s="775"/>
      <c r="G2339" s="775"/>
      <c r="H2339" s="775"/>
      <c r="I2339" s="775"/>
      <c r="J2339" s="775"/>
      <c r="K2339" s="775"/>
      <c r="L2339" s="775"/>
      <c r="M2339" s="775"/>
      <c r="N2339" s="775"/>
      <c r="Q2339" s="733"/>
      <c r="R2339" s="733"/>
      <c r="S2339" s="733"/>
      <c r="T2339" s="733"/>
      <c r="U2339" s="733"/>
      <c r="V2339" s="733"/>
      <c r="W2339" s="733"/>
      <c r="X2339" s="733"/>
      <c r="Y2339" s="733"/>
      <c r="Z2339" s="733"/>
    </row>
    <row r="2340" spans="1:26" s="219" customFormat="1" ht="27.75" customHeight="1" thickTop="1" thickBot="1">
      <c r="A2340" s="324"/>
      <c r="B2340" s="325"/>
      <c r="C2340" s="268" t="s">
        <v>261</v>
      </c>
      <c r="D2340" s="268" t="s">
        <v>262</v>
      </c>
      <c r="E2340" s="268" t="s">
        <v>263</v>
      </c>
      <c r="F2340" s="268" t="s">
        <v>264</v>
      </c>
      <c r="G2340" s="268" t="s">
        <v>265</v>
      </c>
      <c r="H2340" s="268" t="s">
        <v>266</v>
      </c>
      <c r="I2340" s="268" t="s">
        <v>267</v>
      </c>
      <c r="J2340" s="268" t="s">
        <v>268</v>
      </c>
      <c r="K2340" s="268" t="s">
        <v>269</v>
      </c>
      <c r="L2340" s="268" t="s">
        <v>270</v>
      </c>
      <c r="M2340" s="268" t="s">
        <v>271</v>
      </c>
      <c r="N2340" s="269" t="s">
        <v>272</v>
      </c>
      <c r="O2340" s="226" t="s">
        <v>366</v>
      </c>
      <c r="P2340" s="270" t="s">
        <v>274</v>
      </c>
      <c r="Q2340" s="230" t="s">
        <v>367</v>
      </c>
      <c r="R2340" s="779"/>
      <c r="S2340" s="779"/>
      <c r="T2340" s="779"/>
      <c r="U2340" s="779"/>
      <c r="V2340" s="779"/>
      <c r="W2340" s="779"/>
      <c r="X2340" s="779"/>
      <c r="Y2340" s="779"/>
      <c r="Z2340" s="779"/>
    </row>
    <row r="2341" spans="1:26" s="213" customFormat="1" ht="16.5" thickTop="1">
      <c r="A2341" s="326" t="s">
        <v>277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278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285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3"/>
      <c r="Z2343" s="733"/>
    </row>
    <row r="2344" spans="1:26" s="219" customFormat="1" ht="15.75">
      <c r="A2344" s="330" t="s">
        <v>346</v>
      </c>
      <c r="B2344" s="331"/>
      <c r="C2344" s="780"/>
      <c r="D2344" s="780"/>
      <c r="E2344" s="780"/>
      <c r="F2344" s="780"/>
      <c r="G2344" s="780"/>
      <c r="H2344" s="780"/>
      <c r="I2344" s="780"/>
      <c r="J2344" s="780"/>
      <c r="K2344" s="780"/>
      <c r="L2344" s="780"/>
      <c r="M2344" s="780"/>
      <c r="N2344" s="781"/>
      <c r="O2344" s="273"/>
      <c r="P2344" s="274">
        <f t="shared" si="44"/>
        <v>0</v>
      </c>
      <c r="Q2344" s="275">
        <f t="shared" si="45"/>
        <v>0</v>
      </c>
      <c r="R2344" s="779"/>
      <c r="S2344" s="779"/>
      <c r="T2344" s="779"/>
      <c r="U2344" s="779"/>
      <c r="V2344" s="779"/>
      <c r="W2344" s="779"/>
      <c r="X2344" s="779"/>
      <c r="Y2344" s="779"/>
      <c r="Z2344" s="779"/>
    </row>
    <row r="2345" spans="1:26" s="219" customFormat="1" ht="18.75" customHeight="1">
      <c r="A2345" s="782" t="s">
        <v>368</v>
      </c>
      <c r="B2345" s="783" t="s">
        <v>369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9"/>
      <c r="S2345" s="779"/>
      <c r="T2345" s="779"/>
      <c r="U2345" s="779"/>
      <c r="V2345" s="779"/>
      <c r="W2345" s="779"/>
      <c r="X2345" s="779"/>
      <c r="Y2345" s="779"/>
      <c r="Z2345" s="779"/>
    </row>
    <row r="2346" spans="1:26" s="219" customFormat="1" ht="18.75" customHeight="1">
      <c r="A2346" s="782" t="s">
        <v>370</v>
      </c>
      <c r="B2346" s="783" t="s">
        <v>369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9"/>
      <c r="S2346" s="779"/>
      <c r="T2346" s="779"/>
      <c r="U2346" s="779"/>
      <c r="V2346" s="779"/>
      <c r="W2346" s="779"/>
      <c r="X2346" s="779"/>
      <c r="Y2346" s="779"/>
      <c r="Z2346" s="779"/>
    </row>
    <row r="2347" spans="1:26" s="219" customFormat="1" ht="18.75" customHeight="1">
      <c r="A2347" s="782" t="s">
        <v>371</v>
      </c>
      <c r="B2347" s="783" t="s">
        <v>369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9"/>
      <c r="S2347" s="779"/>
      <c r="T2347" s="779"/>
      <c r="U2347" s="779"/>
      <c r="V2347" s="779"/>
      <c r="W2347" s="779"/>
      <c r="X2347" s="779"/>
      <c r="Y2347" s="779"/>
      <c r="Z2347" s="779"/>
    </row>
    <row r="2348" spans="1:26" s="219" customFormat="1" ht="18.75" customHeight="1" thickBot="1">
      <c r="A2348" s="782" t="s">
        <v>372</v>
      </c>
      <c r="B2348" s="783" t="s">
        <v>369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9"/>
      <c r="S2348" s="779"/>
      <c r="T2348" s="779"/>
      <c r="U2348" s="779"/>
      <c r="V2348" s="779"/>
      <c r="W2348" s="779"/>
      <c r="X2348" s="779"/>
      <c r="Y2348" s="779"/>
      <c r="Z2348" s="779"/>
    </row>
    <row r="2349" spans="1:26" s="220" customFormat="1" ht="21.75" customHeight="1" thickTop="1" thickBot="1">
      <c r="A2349" s="379" t="s">
        <v>290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6"/>
      <c r="D2350" s="776"/>
      <c r="E2350" s="776"/>
      <c r="F2350" s="776"/>
      <c r="G2350" s="776"/>
      <c r="H2350" s="776"/>
      <c r="I2350" s="776"/>
      <c r="J2350" s="776"/>
      <c r="K2350" s="776"/>
      <c r="L2350" s="776"/>
      <c r="M2350" s="776"/>
      <c r="N2350" s="776"/>
      <c r="O2350" s="267"/>
      <c r="P2350" s="274">
        <f t="shared" si="44"/>
        <v>0</v>
      </c>
      <c r="Q2350" s="275">
        <f t="shared" si="45"/>
        <v>0</v>
      </c>
      <c r="R2350" s="733"/>
      <c r="S2350" s="733"/>
      <c r="T2350" s="733"/>
      <c r="U2350" s="733"/>
      <c r="V2350" s="733"/>
      <c r="W2350" s="733"/>
      <c r="X2350" s="733"/>
      <c r="Y2350" s="733"/>
      <c r="Z2350" s="733"/>
    </row>
    <row r="2351" spans="1:26" s="10" customFormat="1" ht="17.25" thickTop="1" thickBot="1">
      <c r="A2351" s="334" t="s">
        <v>335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3"/>
      <c r="Z2351" s="733"/>
    </row>
    <row r="2352" spans="1:26" s="10" customFormat="1" ht="17.25" thickTop="1" thickBot="1">
      <c r="A2352" s="336" t="s">
        <v>336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3"/>
      <c r="Z2352" s="733"/>
    </row>
    <row r="2353" spans="1:26" s="10" customFormat="1" ht="19.5" customHeight="1" thickBot="1">
      <c r="A2353" s="337" t="s">
        <v>337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3"/>
      <c r="Z2353" s="733"/>
    </row>
    <row r="2354" spans="1:26" ht="13.5" thickTop="1">
      <c r="A2354" s="323"/>
      <c r="B2354" s="323"/>
      <c r="C2354" s="775"/>
      <c r="D2354" s="775"/>
      <c r="E2354" s="775"/>
      <c r="F2354" s="775"/>
      <c r="G2354" s="775"/>
      <c r="H2354" s="775"/>
      <c r="I2354" s="775"/>
      <c r="J2354" s="775"/>
      <c r="K2354" s="775"/>
      <c r="L2354" s="775"/>
      <c r="M2354" s="775"/>
      <c r="N2354" s="775"/>
      <c r="O2354" s="775"/>
      <c r="P2354" s="775"/>
      <c r="Q2354" s="775"/>
      <c r="R2354" s="775"/>
      <c r="S2354" s="775"/>
      <c r="T2354" s="10"/>
      <c r="U2354" s="733"/>
      <c r="V2354" s="733"/>
      <c r="W2354" s="733"/>
      <c r="X2354" s="733"/>
      <c r="Y2354" s="733"/>
      <c r="Z2354" s="733"/>
    </row>
    <row r="2355" spans="1:26" ht="21.75" customHeight="1">
      <c r="A2355" s="323"/>
      <c r="B2355" s="323"/>
      <c r="C2355" s="775"/>
      <c r="D2355" s="775"/>
      <c r="E2355" s="775"/>
      <c r="F2355" s="775"/>
      <c r="G2355" s="775"/>
      <c r="H2355" s="211" t="s">
        <v>373</v>
      </c>
      <c r="I2355" s="214"/>
      <c r="J2355" s="775"/>
      <c r="K2355" s="775"/>
      <c r="L2355" s="775"/>
      <c r="M2355" s="775"/>
      <c r="N2355" s="775"/>
      <c r="Q2355" s="733"/>
      <c r="R2355" s="733"/>
      <c r="S2355" s="733"/>
      <c r="T2355" s="733"/>
      <c r="U2355" s="733"/>
      <c r="V2355" s="733"/>
      <c r="W2355" s="733"/>
      <c r="X2355" s="733"/>
      <c r="Y2355" s="733"/>
      <c r="Z2355" s="733"/>
    </row>
    <row r="2356" spans="1:26" ht="13.5" thickBot="1">
      <c r="A2356" s="323"/>
      <c r="B2356" s="323"/>
      <c r="C2356" s="775"/>
      <c r="D2356" s="775"/>
      <c r="E2356" s="775"/>
      <c r="F2356" s="775"/>
      <c r="G2356" s="775"/>
      <c r="H2356" s="775"/>
      <c r="I2356" s="775"/>
      <c r="J2356" s="775"/>
      <c r="K2356" s="775"/>
      <c r="L2356" s="775"/>
      <c r="M2356" s="775"/>
      <c r="N2356" s="775"/>
      <c r="Q2356" s="733"/>
      <c r="R2356" s="733"/>
      <c r="S2356" s="733"/>
      <c r="T2356" s="733"/>
      <c r="U2356" s="733"/>
      <c r="V2356" s="733"/>
      <c r="W2356" s="733"/>
      <c r="X2356" s="733"/>
      <c r="Y2356" s="733"/>
      <c r="Z2356" s="733"/>
    </row>
    <row r="2357" spans="1:26" s="219" customFormat="1" ht="27.75" customHeight="1" thickTop="1" thickBot="1">
      <c r="A2357" s="324"/>
      <c r="B2357" s="325"/>
      <c r="C2357" s="268" t="s">
        <v>261</v>
      </c>
      <c r="D2357" s="268" t="s">
        <v>262</v>
      </c>
      <c r="E2357" s="268" t="s">
        <v>263</v>
      </c>
      <c r="F2357" s="268" t="s">
        <v>264</v>
      </c>
      <c r="G2357" s="268" t="s">
        <v>265</v>
      </c>
      <c r="H2357" s="268" t="s">
        <v>266</v>
      </c>
      <c r="I2357" s="268" t="s">
        <v>267</v>
      </c>
      <c r="J2357" s="268" t="s">
        <v>268</v>
      </c>
      <c r="K2357" s="268" t="s">
        <v>269</v>
      </c>
      <c r="L2357" s="268" t="s">
        <v>270</v>
      </c>
      <c r="M2357" s="268" t="s">
        <v>271</v>
      </c>
      <c r="N2357" s="269" t="s">
        <v>272</v>
      </c>
      <c r="O2357" s="226" t="s">
        <v>366</v>
      </c>
      <c r="P2357" s="270" t="s">
        <v>274</v>
      </c>
      <c r="Q2357" s="230" t="s">
        <v>367</v>
      </c>
      <c r="R2357" s="779"/>
      <c r="S2357" s="779"/>
      <c r="T2357" s="779"/>
      <c r="U2357" s="779"/>
      <c r="V2357" s="779"/>
      <c r="W2357" s="779"/>
      <c r="X2357" s="779"/>
      <c r="Y2357" s="779"/>
      <c r="Z2357" s="779"/>
    </row>
    <row r="2358" spans="1:26" s="213" customFormat="1" ht="16.5" thickTop="1">
      <c r="A2358" s="326" t="s">
        <v>277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278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285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3"/>
      <c r="Z2360" s="733"/>
    </row>
    <row r="2361" spans="1:26" s="219" customFormat="1" ht="15.75">
      <c r="A2361" s="330" t="s">
        <v>346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9"/>
      <c r="S2361" s="779"/>
      <c r="T2361" s="779"/>
      <c r="U2361" s="779"/>
      <c r="V2361" s="779"/>
      <c r="W2361" s="779"/>
      <c r="X2361" s="779"/>
      <c r="Y2361" s="779"/>
      <c r="Z2361" s="779"/>
    </row>
    <row r="2362" spans="1:26" s="219" customFormat="1" ht="18.75" customHeight="1">
      <c r="A2362" s="782" t="s">
        <v>368</v>
      </c>
      <c r="B2362" s="783" t="s">
        <v>369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9"/>
      <c r="S2362" s="779"/>
      <c r="T2362" s="779"/>
      <c r="U2362" s="779"/>
      <c r="V2362" s="779"/>
      <c r="W2362" s="779"/>
      <c r="X2362" s="779"/>
      <c r="Y2362" s="779"/>
      <c r="Z2362" s="779"/>
    </row>
    <row r="2363" spans="1:26" s="219" customFormat="1" ht="18.75" customHeight="1">
      <c r="A2363" s="782" t="s">
        <v>370</v>
      </c>
      <c r="B2363" s="783" t="s">
        <v>369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9"/>
      <c r="S2363" s="779"/>
      <c r="T2363" s="779"/>
      <c r="U2363" s="779"/>
      <c r="V2363" s="779"/>
      <c r="W2363" s="779"/>
      <c r="X2363" s="779"/>
      <c r="Y2363" s="779"/>
      <c r="Z2363" s="779"/>
    </row>
    <row r="2364" spans="1:26" s="219" customFormat="1" ht="18.75" customHeight="1">
      <c r="A2364" s="782" t="s">
        <v>371</v>
      </c>
      <c r="B2364" s="783" t="s">
        <v>369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9"/>
      <c r="S2364" s="779"/>
      <c r="T2364" s="779"/>
      <c r="U2364" s="779"/>
      <c r="V2364" s="779"/>
      <c r="W2364" s="779"/>
      <c r="X2364" s="779"/>
      <c r="Y2364" s="779"/>
      <c r="Z2364" s="779"/>
    </row>
    <row r="2365" spans="1:26" s="219" customFormat="1" ht="18.75" customHeight="1" thickBot="1">
      <c r="A2365" s="782" t="s">
        <v>372</v>
      </c>
      <c r="B2365" s="783" t="s">
        <v>369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9"/>
      <c r="S2365" s="779"/>
      <c r="T2365" s="779"/>
      <c r="U2365" s="779"/>
      <c r="V2365" s="779"/>
      <c r="W2365" s="779"/>
      <c r="X2365" s="779"/>
      <c r="Y2365" s="779"/>
      <c r="Z2365" s="779"/>
    </row>
    <row r="2366" spans="1:26" s="220" customFormat="1" ht="21.75" customHeight="1" thickTop="1" thickBot="1">
      <c r="A2366" s="332" t="s">
        <v>290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6"/>
      <c r="D2367" s="776"/>
      <c r="E2367" s="776"/>
      <c r="F2367" s="776"/>
      <c r="G2367" s="776"/>
      <c r="H2367" s="776"/>
      <c r="I2367" s="776"/>
      <c r="J2367" s="776"/>
      <c r="K2367" s="776"/>
      <c r="L2367" s="776"/>
      <c r="M2367" s="776"/>
      <c r="N2367" s="776"/>
      <c r="O2367" s="267"/>
      <c r="P2367" s="274">
        <f t="shared" si="49"/>
        <v>0</v>
      </c>
      <c r="Q2367" s="275">
        <f t="shared" si="50"/>
        <v>0</v>
      </c>
      <c r="R2367" s="733"/>
      <c r="S2367" s="733"/>
      <c r="T2367" s="733"/>
      <c r="U2367" s="733"/>
      <c r="V2367" s="733"/>
      <c r="W2367" s="733"/>
      <c r="X2367" s="733"/>
      <c r="Y2367" s="733"/>
      <c r="Z2367" s="733"/>
    </row>
    <row r="2368" spans="1:26" s="10" customFormat="1" ht="17.25" thickTop="1" thickBot="1">
      <c r="A2368" s="334" t="s">
        <v>335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3"/>
      <c r="Z2368" s="733"/>
    </row>
    <row r="2369" spans="1:26" s="10" customFormat="1" ht="17.25" thickTop="1" thickBot="1">
      <c r="A2369" s="336" t="s">
        <v>336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3"/>
      <c r="Z2369" s="733"/>
    </row>
    <row r="2370" spans="1:26" s="10" customFormat="1" ht="19.5" customHeight="1" thickBot="1">
      <c r="A2370" s="337" t="s">
        <v>337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3"/>
      <c r="Z2370" s="733"/>
    </row>
    <row r="2371" spans="1:26" ht="13.5" thickTop="1">
      <c r="C2371" s="775"/>
      <c r="D2371" s="775"/>
      <c r="E2371" s="775"/>
      <c r="F2371" s="775"/>
      <c r="G2371" s="775"/>
      <c r="H2371" s="775"/>
      <c r="I2371" s="775"/>
      <c r="J2371" s="775"/>
      <c r="K2371" s="775"/>
      <c r="L2371" s="775"/>
      <c r="M2371" s="775"/>
      <c r="N2371" s="775"/>
      <c r="Q2371" s="733"/>
      <c r="R2371" s="733"/>
      <c r="S2371" s="733"/>
      <c r="T2371" s="733"/>
      <c r="U2371" s="733"/>
      <c r="V2371" s="733"/>
      <c r="W2371" s="733"/>
      <c r="X2371" s="733"/>
      <c r="Y2371" s="733"/>
      <c r="Z2371" s="73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16" activePane="bottomRight" state="frozen"/>
      <selection pane="bottomRight" activeCell="D22" sqref="D22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924" t="str">
        <f>Elect!A1</f>
        <v>February</v>
      </c>
      <c r="B1" s="579"/>
      <c r="C1" s="580"/>
      <c r="D1" s="918"/>
      <c r="E1" s="918"/>
      <c r="F1" s="918"/>
      <c r="G1" s="918"/>
      <c r="H1" s="918"/>
      <c r="I1" s="918"/>
      <c r="J1" s="918"/>
      <c r="K1" s="918"/>
      <c r="L1" s="918"/>
      <c r="M1" s="918"/>
      <c r="N1" s="918"/>
      <c r="O1" s="581"/>
      <c r="P1" s="926"/>
      <c r="Q1" s="926"/>
      <c r="R1" s="926"/>
      <c r="S1" s="2"/>
      <c r="T1" s="582" t="s">
        <v>374</v>
      </c>
      <c r="U1" s="566"/>
      <c r="V1" s="565">
        <v>4</v>
      </c>
      <c r="W1" s="564" t="s">
        <v>375</v>
      </c>
      <c r="X1" s="583"/>
      <c r="Y1" s="584"/>
      <c r="Z1" s="566"/>
    </row>
    <row r="2" spans="1:26" ht="39.75" customHeight="1" thickBot="1">
      <c r="A2" s="925"/>
      <c r="B2" s="586"/>
      <c r="C2" s="580"/>
      <c r="O2" s="581"/>
      <c r="P2" s="927"/>
      <c r="Q2" s="927"/>
      <c r="R2" s="927"/>
    </row>
    <row r="3" spans="1:26" s="3" customFormat="1" ht="42" customHeight="1" thickBot="1">
      <c r="A3" s="919" t="s">
        <v>1</v>
      </c>
      <c r="B3" s="587"/>
      <c r="C3" s="588"/>
      <c r="D3" s="588"/>
      <c r="E3" s="589" t="s">
        <v>140</v>
      </c>
      <c r="F3" s="588"/>
      <c r="G3" s="588"/>
      <c r="H3" s="590"/>
      <c r="I3" s="913" t="s">
        <v>376</v>
      </c>
      <c r="J3" s="914"/>
      <c r="K3" s="914"/>
      <c r="L3" s="914"/>
      <c r="M3" s="915"/>
      <c r="N3" s="904" t="s">
        <v>377</v>
      </c>
      <c r="O3" s="905"/>
      <c r="P3" s="922" t="s">
        <v>378</v>
      </c>
      <c r="Q3" s="922"/>
      <c r="R3" s="922" t="s">
        <v>379</v>
      </c>
      <c r="S3" s="922"/>
      <c r="T3" s="897" t="s">
        <v>178</v>
      </c>
      <c r="U3" s="900" t="s">
        <v>180</v>
      </c>
      <c r="V3" s="900" t="s">
        <v>179</v>
      </c>
      <c r="W3" s="900" t="s">
        <v>181</v>
      </c>
      <c r="X3" s="930" t="s">
        <v>182</v>
      </c>
      <c r="Y3" s="591" t="s">
        <v>73</v>
      </c>
      <c r="Z3" s="592" t="s">
        <v>73</v>
      </c>
    </row>
    <row r="4" spans="1:26" s="3" customFormat="1" ht="45" customHeight="1" thickBot="1">
      <c r="A4" s="920"/>
      <c r="B4" s="907" t="s">
        <v>380</v>
      </c>
      <c r="C4" s="908"/>
      <c r="D4" s="909" t="s">
        <v>381</v>
      </c>
      <c r="E4" s="910"/>
      <c r="F4" s="909" t="s">
        <v>382</v>
      </c>
      <c r="G4" s="910"/>
      <c r="H4" s="906" t="s">
        <v>163</v>
      </c>
      <c r="I4" s="911" t="s">
        <v>383</v>
      </c>
      <c r="J4" s="912"/>
      <c r="K4" s="911" t="s">
        <v>384</v>
      </c>
      <c r="L4" s="912"/>
      <c r="M4" s="793"/>
      <c r="N4" s="906" t="s">
        <v>385</v>
      </c>
      <c r="O4" s="906" t="s">
        <v>386</v>
      </c>
      <c r="P4" s="901" t="s">
        <v>387</v>
      </c>
      <c r="Q4" s="901" t="s">
        <v>175</v>
      </c>
      <c r="R4" s="901" t="s">
        <v>387</v>
      </c>
      <c r="S4" s="901" t="s">
        <v>175</v>
      </c>
      <c r="T4" s="898"/>
      <c r="U4" s="901"/>
      <c r="V4" s="901"/>
      <c r="W4" s="901"/>
      <c r="X4" s="931"/>
      <c r="Y4" s="928" t="s">
        <v>118</v>
      </c>
      <c r="Z4" s="916" t="s">
        <v>119</v>
      </c>
    </row>
    <row r="5" spans="1:26" s="3" customFormat="1" ht="48.75" customHeight="1" thickBot="1">
      <c r="A5" s="921"/>
      <c r="B5" s="593" t="s">
        <v>388</v>
      </c>
      <c r="C5" s="792" t="s">
        <v>389</v>
      </c>
      <c r="D5" s="594" t="s">
        <v>388</v>
      </c>
      <c r="E5" s="792" t="s">
        <v>389</v>
      </c>
      <c r="F5" s="594" t="s">
        <v>388</v>
      </c>
      <c r="G5" s="792" t="s">
        <v>389</v>
      </c>
      <c r="H5" s="923"/>
      <c r="I5" s="726" t="s">
        <v>388</v>
      </c>
      <c r="J5" s="727"/>
      <c r="K5" s="726" t="s">
        <v>388</v>
      </c>
      <c r="L5" s="727"/>
      <c r="M5" s="725"/>
      <c r="N5" s="902"/>
      <c r="O5" s="902"/>
      <c r="P5" s="902"/>
      <c r="Q5" s="902"/>
      <c r="R5" s="902"/>
      <c r="S5" s="902"/>
      <c r="T5" s="899"/>
      <c r="U5" s="902"/>
      <c r="V5" s="902"/>
      <c r="W5" s="902"/>
      <c r="X5" s="932"/>
      <c r="Y5" s="929"/>
      <c r="Z5" s="917"/>
    </row>
    <row r="6" spans="1:26" s="3" customFormat="1" ht="36.75" customHeight="1">
      <c r="A6" s="595"/>
      <c r="B6" s="768">
        <v>83174</v>
      </c>
      <c r="C6" s="636">
        <f t="shared" ref="C6:C37" si="0">IF(B6&gt;=B5,B6-B5,0)*10*0.58</f>
        <v>0</v>
      </c>
      <c r="D6" s="771">
        <v>4285</v>
      </c>
      <c r="E6" s="636">
        <f t="shared" ref="E6:E37" si="1">IF(D6&gt;=D5,D6-D5,0)*10*0.58</f>
        <v>0</v>
      </c>
      <c r="F6" s="767">
        <v>29139</v>
      </c>
      <c r="G6" s="636">
        <f>IF(F6&gt;=F5,F6-F5,0)*0.58</f>
        <v>0</v>
      </c>
      <c r="H6" s="708"/>
      <c r="I6" s="767">
        <v>249</v>
      </c>
      <c r="J6" s="724"/>
      <c r="K6" s="767">
        <v>4179</v>
      </c>
      <c r="L6" s="724"/>
      <c r="M6" s="724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8">
        <v>83193</v>
      </c>
      <c r="C7" s="636">
        <f t="shared" si="0"/>
        <v>110.19999999999999</v>
      </c>
      <c r="D7" s="771">
        <v>4311</v>
      </c>
      <c r="E7" s="636">
        <f t="shared" si="1"/>
        <v>150.79999999999998</v>
      </c>
      <c r="F7" s="767">
        <v>29124</v>
      </c>
      <c r="G7" s="636">
        <f t="shared" ref="G7:G37" si="2">IF(F7&gt;=F6,F7-F6,0)*0.58</f>
        <v>0</v>
      </c>
      <c r="H7" s="636">
        <f t="shared" ref="H7:H37" si="3">C7+E7+G7</f>
        <v>261</v>
      </c>
      <c r="I7" s="767"/>
      <c r="J7" s="636"/>
      <c r="K7" s="767"/>
      <c r="L7" s="636"/>
      <c r="M7" s="636"/>
      <c r="N7" s="109"/>
      <c r="O7" s="535">
        <f>IF(N7&gt;=N6,N7-N6,0)</f>
        <v>0</v>
      </c>
      <c r="P7" s="109"/>
      <c r="Q7" s="436">
        <f>(H7-O7)*0.58</f>
        <v>151.38</v>
      </c>
      <c r="R7" s="109"/>
      <c r="S7" s="436">
        <f>IF(R7-R6&gt;0,R7-R6,0)</f>
        <v>0</v>
      </c>
      <c r="T7" s="706">
        <f>Elect!BT6</f>
        <v>194</v>
      </c>
      <c r="U7" s="604">
        <f>H7/T7</f>
        <v>1.3453608247422681</v>
      </c>
      <c r="V7" s="706">
        <f>Elect!BV6</f>
        <v>0</v>
      </c>
      <c r="W7" s="604" t="e">
        <f>H7/V7</f>
        <v>#DIV/0!</v>
      </c>
      <c r="X7" s="429">
        <f>H7*V1</f>
        <v>1044</v>
      </c>
      <c r="Y7" s="604">
        <f>IF(X7&gt;0,X7/T7,0)</f>
        <v>5.3814432989690726</v>
      </c>
      <c r="Z7" s="607">
        <v>0</v>
      </c>
    </row>
    <row r="8" spans="1:26" s="3" customFormat="1" ht="36.75" customHeight="1">
      <c r="A8" s="595">
        <v>2</v>
      </c>
      <c r="B8" s="768">
        <v>83219</v>
      </c>
      <c r="C8" s="636">
        <f t="shared" si="0"/>
        <v>150.79999999999998</v>
      </c>
      <c r="D8" s="771">
        <v>4344</v>
      </c>
      <c r="E8" s="636">
        <f t="shared" si="1"/>
        <v>191.39999999999998</v>
      </c>
      <c r="F8" s="767">
        <v>29139</v>
      </c>
      <c r="G8" s="636">
        <f t="shared" si="2"/>
        <v>8.6999999999999993</v>
      </c>
      <c r="H8" s="636">
        <f t="shared" si="3"/>
        <v>350.89999999999992</v>
      </c>
      <c r="I8" s="767"/>
      <c r="J8" s="636"/>
      <c r="K8" s="767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203.52199999999993</v>
      </c>
      <c r="R8" s="109"/>
      <c r="S8" s="436">
        <f t="shared" ref="S8:S37" si="6">IF(R8-R7&gt;0,R8-R7,0)</f>
        <v>0</v>
      </c>
      <c r="T8" s="706">
        <f>Elect!BT7</f>
        <v>194</v>
      </c>
      <c r="U8" s="604">
        <f t="shared" ref="U8:U37" si="7">H8/T8</f>
        <v>1.8087628865979377</v>
      </c>
      <c r="V8" s="706">
        <f>Elect!BV7</f>
        <v>0</v>
      </c>
      <c r="W8" s="604" t="e">
        <f t="shared" ref="W8:W37" si="8">H8/V8</f>
        <v>#DIV/0!</v>
      </c>
      <c r="X8" s="429">
        <f>H8*V1</f>
        <v>1403.5999999999997</v>
      </c>
      <c r="Y8" s="604">
        <f>IF(X8&gt;0,X8/T8,0)</f>
        <v>7.2350515463917509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8">
        <v>83245</v>
      </c>
      <c r="C9" s="636">
        <f t="shared" si="0"/>
        <v>150.79999999999998</v>
      </c>
      <c r="D9" s="771">
        <v>4377</v>
      </c>
      <c r="E9" s="636">
        <f t="shared" si="1"/>
        <v>191.39999999999998</v>
      </c>
      <c r="F9" s="767">
        <v>29154</v>
      </c>
      <c r="G9" s="636">
        <f t="shared" si="2"/>
        <v>8.6999999999999993</v>
      </c>
      <c r="H9" s="636">
        <f t="shared" si="3"/>
        <v>350.89999999999992</v>
      </c>
      <c r="I9" s="767"/>
      <c r="J9" s="636"/>
      <c r="K9" s="767"/>
      <c r="L9" s="636"/>
      <c r="M9" s="636"/>
      <c r="N9" s="109"/>
      <c r="O9" s="535">
        <f t="shared" si="4"/>
        <v>0</v>
      </c>
      <c r="P9" s="109"/>
      <c r="Q9" s="436">
        <f t="shared" si="5"/>
        <v>203.52199999999993</v>
      </c>
      <c r="R9" s="109"/>
      <c r="S9" s="436">
        <f t="shared" si="6"/>
        <v>0</v>
      </c>
      <c r="T9" s="706">
        <f>Elect!BT8</f>
        <v>212</v>
      </c>
      <c r="U9" s="604">
        <f t="shared" si="7"/>
        <v>1.6551886792452826</v>
      </c>
      <c r="V9" s="706">
        <f>Elect!BV8</f>
        <v>0</v>
      </c>
      <c r="W9" s="604" t="e">
        <f t="shared" si="8"/>
        <v>#DIV/0!</v>
      </c>
      <c r="X9" s="429">
        <f>H9*V1</f>
        <v>1403.5999999999997</v>
      </c>
      <c r="Y9" s="604">
        <f t="shared" ref="Y9:Y37" si="9">IF(X9&gt;0,X9/T9,0)</f>
        <v>6.6207547169811303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8">
        <v>83293</v>
      </c>
      <c r="C10" s="636">
        <f t="shared" si="0"/>
        <v>278.39999999999998</v>
      </c>
      <c r="D10" s="771">
        <v>4413.5</v>
      </c>
      <c r="E10" s="636">
        <f t="shared" si="1"/>
        <v>211.7</v>
      </c>
      <c r="F10" s="767">
        <v>29169</v>
      </c>
      <c r="G10" s="636">
        <f t="shared" si="2"/>
        <v>8.6999999999999993</v>
      </c>
      <c r="H10" s="636">
        <f t="shared" si="3"/>
        <v>498.79999999999995</v>
      </c>
      <c r="I10" s="767"/>
      <c r="J10" s="636"/>
      <c r="K10" s="767"/>
      <c r="L10" s="636"/>
      <c r="M10" s="636"/>
      <c r="N10" s="109"/>
      <c r="O10" s="535">
        <f t="shared" si="4"/>
        <v>0</v>
      </c>
      <c r="P10" s="109"/>
      <c r="Q10" s="436">
        <f t="shared" si="5"/>
        <v>289.30399999999997</v>
      </c>
      <c r="R10" s="109"/>
      <c r="S10" s="436">
        <f t="shared" si="6"/>
        <v>0</v>
      </c>
      <c r="T10" s="706">
        <f>Elect!BT9</f>
        <v>234</v>
      </c>
      <c r="U10" s="604">
        <f t="shared" si="7"/>
        <v>2.1316239316239316</v>
      </c>
      <c r="V10" s="706">
        <f>Elect!BV9</f>
        <v>0</v>
      </c>
      <c r="W10" s="604" t="e">
        <f t="shared" si="8"/>
        <v>#DIV/0!</v>
      </c>
      <c r="X10" s="429">
        <f>H10*V1</f>
        <v>1995.1999999999998</v>
      </c>
      <c r="Y10" s="604">
        <f t="shared" si="9"/>
        <v>8.5264957264957264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8">
        <v>83311</v>
      </c>
      <c r="C11" s="636">
        <f t="shared" si="0"/>
        <v>104.39999999999999</v>
      </c>
      <c r="D11" s="771">
        <v>4443</v>
      </c>
      <c r="E11" s="636">
        <f t="shared" si="1"/>
        <v>171.1</v>
      </c>
      <c r="F11" s="767">
        <v>29184</v>
      </c>
      <c r="G11" s="636">
        <f t="shared" si="2"/>
        <v>8.6999999999999993</v>
      </c>
      <c r="H11" s="636">
        <f t="shared" si="3"/>
        <v>284.2</v>
      </c>
      <c r="I11" s="767"/>
      <c r="J11" s="636"/>
      <c r="K11" s="767"/>
      <c r="L11" s="636"/>
      <c r="M11" s="636"/>
      <c r="N11" s="109"/>
      <c r="O11" s="535">
        <f t="shared" si="4"/>
        <v>0</v>
      </c>
      <c r="P11" s="109"/>
      <c r="Q11" s="436">
        <f t="shared" si="5"/>
        <v>164.83599999999998</v>
      </c>
      <c r="R11" s="109"/>
      <c r="S11" s="436">
        <f t="shared" si="6"/>
        <v>0</v>
      </c>
      <c r="T11" s="706">
        <f>Elect!BT10</f>
        <v>216</v>
      </c>
      <c r="U11" s="604">
        <f t="shared" si="7"/>
        <v>1.3157407407407407</v>
      </c>
      <c r="V11" s="706">
        <f>Elect!BV10</f>
        <v>0</v>
      </c>
      <c r="W11" s="604" t="e">
        <f t="shared" si="8"/>
        <v>#DIV/0!</v>
      </c>
      <c r="X11" s="429">
        <f>H11*V1</f>
        <v>1136.8</v>
      </c>
      <c r="Y11" s="604">
        <f t="shared" si="9"/>
        <v>5.2629629629629626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8">
        <v>83329</v>
      </c>
      <c r="C12" s="636">
        <f t="shared" si="0"/>
        <v>104.39999999999999</v>
      </c>
      <c r="D12" s="771">
        <v>4472.5</v>
      </c>
      <c r="E12" s="636">
        <f t="shared" si="1"/>
        <v>171.1</v>
      </c>
      <c r="F12" s="767">
        <v>29199</v>
      </c>
      <c r="G12" s="636">
        <f t="shared" si="2"/>
        <v>8.6999999999999993</v>
      </c>
      <c r="H12" s="636">
        <f t="shared" si="3"/>
        <v>284.2</v>
      </c>
      <c r="I12" s="767"/>
      <c r="J12" s="636"/>
      <c r="K12" s="767"/>
      <c r="L12" s="636"/>
      <c r="M12" s="636"/>
      <c r="N12" s="109"/>
      <c r="O12" s="535">
        <f t="shared" si="4"/>
        <v>0</v>
      </c>
      <c r="P12" s="109"/>
      <c r="Q12" s="436">
        <f t="shared" si="5"/>
        <v>164.83599999999998</v>
      </c>
      <c r="R12" s="109"/>
      <c r="S12" s="436">
        <f t="shared" si="6"/>
        <v>0</v>
      </c>
      <c r="T12" s="706">
        <f>Elect!BT11</f>
        <v>198</v>
      </c>
      <c r="U12" s="604">
        <f t="shared" si="7"/>
        <v>1.4353535353535354</v>
      </c>
      <c r="V12" s="706">
        <f>Elect!BV11</f>
        <v>0</v>
      </c>
      <c r="W12" s="604" t="e">
        <f t="shared" si="8"/>
        <v>#DIV/0!</v>
      </c>
      <c r="X12" s="429">
        <f>H12*V1</f>
        <v>1136.8</v>
      </c>
      <c r="Y12" s="604">
        <f t="shared" si="9"/>
        <v>5.7414141414141415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8">
        <v>83347</v>
      </c>
      <c r="C13" s="636">
        <f t="shared" si="0"/>
        <v>104.39999999999999</v>
      </c>
      <c r="D13" s="771">
        <v>4502</v>
      </c>
      <c r="E13" s="636">
        <f t="shared" si="1"/>
        <v>171.1</v>
      </c>
      <c r="F13" s="767">
        <v>29214</v>
      </c>
      <c r="G13" s="636">
        <f t="shared" si="2"/>
        <v>8.6999999999999993</v>
      </c>
      <c r="H13" s="636">
        <f t="shared" si="3"/>
        <v>284.2</v>
      </c>
      <c r="I13" s="767"/>
      <c r="J13" s="636"/>
      <c r="K13" s="767"/>
      <c r="L13" s="636"/>
      <c r="M13" s="636"/>
      <c r="N13" s="109"/>
      <c r="O13" s="535">
        <f t="shared" si="4"/>
        <v>0</v>
      </c>
      <c r="P13" s="109"/>
      <c r="Q13" s="436">
        <f t="shared" si="5"/>
        <v>164.83599999999998</v>
      </c>
      <c r="R13" s="109"/>
      <c r="S13" s="436">
        <f t="shared" si="6"/>
        <v>0</v>
      </c>
      <c r="T13" s="706">
        <f>Elect!BT12</f>
        <v>180</v>
      </c>
      <c r="U13" s="604">
        <f t="shared" si="7"/>
        <v>1.5788888888888888</v>
      </c>
      <c r="V13" s="706">
        <f>Elect!BV12</f>
        <v>0</v>
      </c>
      <c r="W13" s="604" t="e">
        <f t="shared" si="8"/>
        <v>#DIV/0!</v>
      </c>
      <c r="X13" s="429">
        <f>H13*V1</f>
        <v>1136.8</v>
      </c>
      <c r="Y13" s="604">
        <f t="shared" si="9"/>
        <v>6.3155555555555551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8">
        <v>83365</v>
      </c>
      <c r="C14" s="636">
        <f>IF(B14&gt;=B13,B14-B13,0)*10*0.58</f>
        <v>104.39999999999999</v>
      </c>
      <c r="D14" s="771">
        <v>4534</v>
      </c>
      <c r="E14" s="636">
        <f t="shared" si="1"/>
        <v>185.6</v>
      </c>
      <c r="F14" s="767">
        <v>29154</v>
      </c>
      <c r="G14" s="636">
        <f t="shared" si="2"/>
        <v>0</v>
      </c>
      <c r="H14" s="636">
        <f t="shared" si="3"/>
        <v>290</v>
      </c>
      <c r="I14" s="767"/>
      <c r="J14" s="636"/>
      <c r="K14" s="767"/>
      <c r="L14" s="636"/>
      <c r="M14" s="636"/>
      <c r="N14" s="109"/>
      <c r="O14" s="535">
        <f t="shared" si="4"/>
        <v>0</v>
      </c>
      <c r="P14" s="109"/>
      <c r="Q14" s="436">
        <f t="shared" si="5"/>
        <v>168.2</v>
      </c>
      <c r="R14" s="109"/>
      <c r="S14" s="436">
        <f t="shared" si="6"/>
        <v>0</v>
      </c>
      <c r="T14" s="706">
        <f>Elect!BT13</f>
        <v>170</v>
      </c>
      <c r="U14" s="604">
        <f t="shared" si="7"/>
        <v>1.7058823529411764</v>
      </c>
      <c r="V14" s="706">
        <f>Elect!BV13</f>
        <v>0</v>
      </c>
      <c r="W14" s="604" t="e">
        <f t="shared" si="8"/>
        <v>#DIV/0!</v>
      </c>
      <c r="X14" s="429">
        <f>H14*V1</f>
        <v>1160</v>
      </c>
      <c r="Y14" s="604">
        <f t="shared" si="9"/>
        <v>6.8235294117647056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8">
        <v>83383</v>
      </c>
      <c r="C15" s="636">
        <f>IF(B15&gt;=B14,B15-B14,0)*10*0.58</f>
        <v>104.39999999999999</v>
      </c>
      <c r="D15" s="771">
        <v>4556</v>
      </c>
      <c r="E15" s="636">
        <f t="shared" si="1"/>
        <v>127.6</v>
      </c>
      <c r="F15" s="767">
        <v>29159</v>
      </c>
      <c r="G15" s="636">
        <f t="shared" si="2"/>
        <v>2.9</v>
      </c>
      <c r="H15" s="636">
        <f t="shared" si="3"/>
        <v>234.9</v>
      </c>
      <c r="I15" s="767"/>
      <c r="J15" s="636"/>
      <c r="K15" s="767"/>
      <c r="L15" s="636"/>
      <c r="M15" s="636"/>
      <c r="N15" s="109"/>
      <c r="O15" s="535">
        <f t="shared" si="4"/>
        <v>0</v>
      </c>
      <c r="P15" s="109"/>
      <c r="Q15" s="436">
        <f t="shared" si="5"/>
        <v>136.24199999999999</v>
      </c>
      <c r="R15" s="109"/>
      <c r="S15" s="436">
        <f t="shared" si="6"/>
        <v>0</v>
      </c>
      <c r="T15" s="706">
        <f>Elect!BT14</f>
        <v>154</v>
      </c>
      <c r="U15" s="604">
        <f t="shared" si="7"/>
        <v>1.5253246753246754</v>
      </c>
      <c r="V15" s="706">
        <f>Elect!BV14</f>
        <v>0</v>
      </c>
      <c r="W15" s="604" t="e">
        <f t="shared" si="8"/>
        <v>#DIV/0!</v>
      </c>
      <c r="X15" s="429">
        <f>H15*V1</f>
        <v>939.6</v>
      </c>
      <c r="Y15" s="604">
        <f t="shared" si="9"/>
        <v>6.1012987012987017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8">
        <v>83409</v>
      </c>
      <c r="C16" s="636">
        <f>IF(B16&gt;=B15,B16-B15,0)*10*0.58</f>
        <v>150.79999999999998</v>
      </c>
      <c r="D16" s="771">
        <v>4586.75</v>
      </c>
      <c r="E16" s="636">
        <f t="shared" si="1"/>
        <v>178.35</v>
      </c>
      <c r="F16" s="767">
        <v>29157</v>
      </c>
      <c r="G16" s="636">
        <f t="shared" si="2"/>
        <v>0</v>
      </c>
      <c r="H16" s="636">
        <f t="shared" si="3"/>
        <v>329.15</v>
      </c>
      <c r="I16" s="767"/>
      <c r="J16" s="636"/>
      <c r="K16" s="767"/>
      <c r="L16" s="636"/>
      <c r="M16" s="636"/>
      <c r="N16" s="109"/>
      <c r="O16" s="535">
        <f t="shared" si="4"/>
        <v>0</v>
      </c>
      <c r="P16" s="109"/>
      <c r="Q16" s="436">
        <f t="shared" si="5"/>
        <v>190.90699999999998</v>
      </c>
      <c r="R16" s="109"/>
      <c r="S16" s="436">
        <f t="shared" si="6"/>
        <v>0</v>
      </c>
      <c r="T16" s="706">
        <f>Elect!BT15</f>
        <v>195</v>
      </c>
      <c r="U16" s="604">
        <f t="shared" si="7"/>
        <v>1.6879487179487178</v>
      </c>
      <c r="V16" s="706">
        <f>Elect!BV15</f>
        <v>0</v>
      </c>
      <c r="W16" s="604" t="e">
        <f t="shared" si="8"/>
        <v>#DIV/0!</v>
      </c>
      <c r="X16" s="429">
        <f>H16*V1</f>
        <v>1316.6</v>
      </c>
      <c r="Y16" s="604">
        <f t="shared" si="9"/>
        <v>6.7517948717948713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8">
        <v>83435</v>
      </c>
      <c r="C17" s="636">
        <f t="shared" si="0"/>
        <v>150.79999999999998</v>
      </c>
      <c r="D17" s="771">
        <v>4611.6666666666697</v>
      </c>
      <c r="E17" s="636">
        <f t="shared" si="1"/>
        <v>144.51666666668424</v>
      </c>
      <c r="F17" s="767">
        <v>29157</v>
      </c>
      <c r="G17" s="636">
        <f t="shared" si="2"/>
        <v>0</v>
      </c>
      <c r="H17" s="636">
        <f t="shared" si="3"/>
        <v>295.31666666668423</v>
      </c>
      <c r="I17" s="767"/>
      <c r="J17" s="636"/>
      <c r="K17" s="767"/>
      <c r="L17" s="636"/>
      <c r="M17" s="636"/>
      <c r="N17" s="109"/>
      <c r="O17" s="535">
        <f t="shared" si="4"/>
        <v>0</v>
      </c>
      <c r="P17" s="109"/>
      <c r="Q17" s="436">
        <f t="shared" si="5"/>
        <v>171.28366666667685</v>
      </c>
      <c r="R17" s="109"/>
      <c r="S17" s="436">
        <f t="shared" si="6"/>
        <v>0</v>
      </c>
      <c r="T17" s="706">
        <f>Elect!BT16</f>
        <v>209</v>
      </c>
      <c r="U17" s="604">
        <f t="shared" si="7"/>
        <v>1.4129984051037523</v>
      </c>
      <c r="V17" s="706">
        <f>Elect!BV16</f>
        <v>0</v>
      </c>
      <c r="W17" s="604" t="e">
        <f t="shared" si="8"/>
        <v>#DIV/0!</v>
      </c>
      <c r="X17" s="429">
        <f>H17*V1</f>
        <v>1181.2666666667369</v>
      </c>
      <c r="Y17" s="604">
        <f t="shared" si="9"/>
        <v>5.6519936204150092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8">
        <v>83461</v>
      </c>
      <c r="C18" s="636">
        <f t="shared" si="0"/>
        <v>150.79999999999998</v>
      </c>
      <c r="D18" s="771">
        <v>4638.0416666666697</v>
      </c>
      <c r="E18" s="636">
        <f t="shared" si="1"/>
        <v>152.97499999999999</v>
      </c>
      <c r="F18" s="767">
        <v>29157</v>
      </c>
      <c r="G18" s="636">
        <f t="shared" si="2"/>
        <v>0</v>
      </c>
      <c r="H18" s="636">
        <f t="shared" si="3"/>
        <v>303.77499999999998</v>
      </c>
      <c r="I18" s="767"/>
      <c r="J18" s="636"/>
      <c r="K18" s="767"/>
      <c r="L18" s="636"/>
      <c r="M18" s="636"/>
      <c r="N18" s="109"/>
      <c r="O18" s="535">
        <f t="shared" si="4"/>
        <v>0</v>
      </c>
      <c r="P18" s="109"/>
      <c r="Q18" s="436">
        <f t="shared" si="5"/>
        <v>176.18949999999998</v>
      </c>
      <c r="R18" s="109"/>
      <c r="S18" s="436">
        <f t="shared" si="6"/>
        <v>0</v>
      </c>
      <c r="T18" s="706">
        <f>Elect!BT17</f>
        <v>192</v>
      </c>
      <c r="U18" s="604">
        <f t="shared" si="7"/>
        <v>1.5821614583333332</v>
      </c>
      <c r="V18" s="706">
        <f>Elect!BV17</f>
        <v>0</v>
      </c>
      <c r="W18" s="604" t="e">
        <f t="shared" si="8"/>
        <v>#DIV/0!</v>
      </c>
      <c r="X18" s="429">
        <f>H18*V1</f>
        <v>1215.0999999999999</v>
      </c>
      <c r="Y18" s="604">
        <f t="shared" si="9"/>
        <v>6.3286458333333329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8">
        <v>83487</v>
      </c>
      <c r="C19" s="636">
        <f t="shared" si="0"/>
        <v>150.79999999999998</v>
      </c>
      <c r="D19" s="771">
        <v>4664.4166666666697</v>
      </c>
      <c r="E19" s="636">
        <f t="shared" si="1"/>
        <v>152.97499999999999</v>
      </c>
      <c r="F19" s="767">
        <v>29157</v>
      </c>
      <c r="G19" s="636">
        <f t="shared" si="2"/>
        <v>0</v>
      </c>
      <c r="H19" s="636">
        <f t="shared" si="3"/>
        <v>303.77499999999998</v>
      </c>
      <c r="I19" s="767"/>
      <c r="J19" s="636"/>
      <c r="K19" s="767"/>
      <c r="L19" s="636"/>
      <c r="M19" s="636"/>
      <c r="N19" s="109"/>
      <c r="O19" s="535">
        <f t="shared" si="4"/>
        <v>0</v>
      </c>
      <c r="P19" s="109"/>
      <c r="Q19" s="436">
        <f t="shared" si="5"/>
        <v>176.18949999999998</v>
      </c>
      <c r="R19" s="109"/>
      <c r="S19" s="436">
        <f t="shared" si="6"/>
        <v>0</v>
      </c>
      <c r="T19" s="706">
        <f>Elect!BT18</f>
        <v>228</v>
      </c>
      <c r="U19" s="604">
        <f t="shared" si="7"/>
        <v>1.33234649122807</v>
      </c>
      <c r="V19" s="706">
        <f>Elect!BV18</f>
        <v>0</v>
      </c>
      <c r="W19" s="604" t="e">
        <f t="shared" si="8"/>
        <v>#DIV/0!</v>
      </c>
      <c r="X19" s="429">
        <f>H19*V1</f>
        <v>1215.0999999999999</v>
      </c>
      <c r="Y19" s="604">
        <f t="shared" si="9"/>
        <v>5.3293859649122801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8">
        <v>83513</v>
      </c>
      <c r="C20" s="636">
        <f t="shared" si="0"/>
        <v>150.79999999999998</v>
      </c>
      <c r="D20" s="771">
        <v>4690.7916666666697</v>
      </c>
      <c r="E20" s="636">
        <f t="shared" si="1"/>
        <v>152.97499999999999</v>
      </c>
      <c r="F20" s="767">
        <v>29157</v>
      </c>
      <c r="G20" s="636">
        <f t="shared" si="2"/>
        <v>0</v>
      </c>
      <c r="H20" s="636">
        <f t="shared" si="3"/>
        <v>303.77499999999998</v>
      </c>
      <c r="I20" s="767"/>
      <c r="J20" s="636"/>
      <c r="K20" s="767"/>
      <c r="L20" s="636"/>
      <c r="M20" s="636"/>
      <c r="N20" s="109"/>
      <c r="O20" s="535">
        <f t="shared" si="4"/>
        <v>0</v>
      </c>
      <c r="P20" s="109"/>
      <c r="Q20" s="436">
        <f t="shared" si="5"/>
        <v>176.18949999999998</v>
      </c>
      <c r="R20" s="109"/>
      <c r="S20" s="436">
        <f t="shared" si="6"/>
        <v>0</v>
      </c>
      <c r="T20" s="706">
        <f>Elect!BT19</f>
        <v>230</v>
      </c>
      <c r="U20" s="604">
        <f t="shared" si="7"/>
        <v>1.3207608695652173</v>
      </c>
      <c r="V20" s="706">
        <f>Elect!BV19</f>
        <v>0</v>
      </c>
      <c r="W20" s="604" t="e">
        <f t="shared" si="8"/>
        <v>#DIV/0!</v>
      </c>
      <c r="X20" s="429">
        <f>H20*V1</f>
        <v>1215.0999999999999</v>
      </c>
      <c r="Y20" s="604">
        <f t="shared" si="9"/>
        <v>5.2830434782608693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8">
        <v>83539</v>
      </c>
      <c r="C21" s="636">
        <f t="shared" si="0"/>
        <v>150.79999999999998</v>
      </c>
      <c r="D21" s="771">
        <v>4717.1666666666697</v>
      </c>
      <c r="E21" s="636">
        <f t="shared" si="1"/>
        <v>152.97499999999999</v>
      </c>
      <c r="F21" s="767">
        <v>29157</v>
      </c>
      <c r="G21" s="636">
        <f t="shared" si="2"/>
        <v>0</v>
      </c>
      <c r="H21" s="636">
        <f t="shared" si="3"/>
        <v>303.77499999999998</v>
      </c>
      <c r="I21" s="767"/>
      <c r="J21" s="636"/>
      <c r="K21" s="767"/>
      <c r="L21" s="636"/>
      <c r="M21" s="636"/>
      <c r="N21" s="109"/>
      <c r="O21" s="535">
        <f t="shared" si="4"/>
        <v>0</v>
      </c>
      <c r="P21" s="109"/>
      <c r="Q21" s="436">
        <f t="shared" si="5"/>
        <v>176.18949999999998</v>
      </c>
      <c r="R21" s="109"/>
      <c r="S21" s="436">
        <f t="shared" si="6"/>
        <v>0</v>
      </c>
      <c r="T21" s="706">
        <f>Elect!BT20</f>
        <v>235</v>
      </c>
      <c r="U21" s="604">
        <f t="shared" si="7"/>
        <v>1.2926595744680851</v>
      </c>
      <c r="V21" s="706">
        <f>Elect!BV20</f>
        <v>0</v>
      </c>
      <c r="W21" s="604" t="e">
        <f t="shared" si="8"/>
        <v>#DIV/0!</v>
      </c>
      <c r="X21" s="429">
        <f>H21*V1</f>
        <v>1215.0999999999999</v>
      </c>
      <c r="Y21" s="604">
        <f t="shared" si="9"/>
        <v>5.1706382978723404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8">
        <v>83542</v>
      </c>
      <c r="C22" s="636">
        <f t="shared" si="0"/>
        <v>17.399999999999999</v>
      </c>
      <c r="D22" s="771">
        <v>4767</v>
      </c>
      <c r="E22" s="636">
        <f t="shared" si="1"/>
        <v>289.03333333331574</v>
      </c>
      <c r="F22" s="767">
        <v>29157</v>
      </c>
      <c r="G22" s="636">
        <f t="shared" si="2"/>
        <v>0</v>
      </c>
      <c r="H22" s="636">
        <f t="shared" si="3"/>
        <v>306.43333333331572</v>
      </c>
      <c r="I22" s="767"/>
      <c r="J22" s="636"/>
      <c r="K22" s="767"/>
      <c r="L22" s="636"/>
      <c r="M22" s="636"/>
      <c r="N22" s="109"/>
      <c r="O22" s="535">
        <f t="shared" si="4"/>
        <v>0</v>
      </c>
      <c r="P22" s="109"/>
      <c r="Q22" s="436">
        <f t="shared" si="5"/>
        <v>177.73133333332311</v>
      </c>
      <c r="R22" s="109"/>
      <c r="S22" s="436">
        <f t="shared" si="6"/>
        <v>0</v>
      </c>
      <c r="T22" s="706">
        <f>Elect!BT21</f>
        <v>248</v>
      </c>
      <c r="U22" s="604">
        <f t="shared" si="7"/>
        <v>1.2356182795698214</v>
      </c>
      <c r="V22" s="706">
        <f>Elect!BV21</f>
        <v>0</v>
      </c>
      <c r="W22" s="604" t="e">
        <f t="shared" si="8"/>
        <v>#DIV/0!</v>
      </c>
      <c r="X22" s="429">
        <f>H22*V1</f>
        <v>1225.7333333332629</v>
      </c>
      <c r="Y22" s="604">
        <f t="shared" si="9"/>
        <v>4.9424731182792856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8">
        <v>83565</v>
      </c>
      <c r="C23" s="636">
        <f t="shared" si="0"/>
        <v>133.39999999999998</v>
      </c>
      <c r="D23" s="771">
        <v>4797</v>
      </c>
      <c r="E23" s="636">
        <f t="shared" si="1"/>
        <v>174</v>
      </c>
      <c r="F23" s="767">
        <v>29163</v>
      </c>
      <c r="G23" s="636">
        <f t="shared" si="2"/>
        <v>3.4799999999999995</v>
      </c>
      <c r="H23" s="636">
        <f t="shared" si="3"/>
        <v>310.88</v>
      </c>
      <c r="I23" s="767"/>
      <c r="J23" s="636"/>
      <c r="K23" s="767"/>
      <c r="L23" s="636"/>
      <c r="M23" s="636"/>
      <c r="N23" s="109"/>
      <c r="O23" s="535">
        <f t="shared" si="4"/>
        <v>0</v>
      </c>
      <c r="P23" s="109"/>
      <c r="Q23" s="436">
        <f t="shared" si="5"/>
        <v>180.31039999999999</v>
      </c>
      <c r="R23" s="109"/>
      <c r="S23" s="436">
        <f t="shared" si="6"/>
        <v>0</v>
      </c>
      <c r="T23" s="706">
        <f>Elect!BT22</f>
        <v>251</v>
      </c>
      <c r="U23" s="604">
        <f t="shared" si="7"/>
        <v>1.2385657370517928</v>
      </c>
      <c r="V23" s="706">
        <f>Elect!BV22</f>
        <v>0</v>
      </c>
      <c r="W23" s="604" t="e">
        <f t="shared" si="8"/>
        <v>#DIV/0!</v>
      </c>
      <c r="X23" s="429">
        <f>H23*V1</f>
        <v>1243.52</v>
      </c>
      <c r="Y23" s="604">
        <f t="shared" si="9"/>
        <v>4.9542629482071714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8">
        <v>83589</v>
      </c>
      <c r="C24" s="636">
        <f t="shared" si="0"/>
        <v>139.19999999999999</v>
      </c>
      <c r="D24" s="771">
        <v>4827</v>
      </c>
      <c r="E24" s="636">
        <f t="shared" si="1"/>
        <v>174</v>
      </c>
      <c r="F24" s="767">
        <v>29163</v>
      </c>
      <c r="G24" s="636">
        <f t="shared" si="2"/>
        <v>0</v>
      </c>
      <c r="H24" s="636">
        <f t="shared" si="3"/>
        <v>313.2</v>
      </c>
      <c r="I24" s="767"/>
      <c r="J24" s="636"/>
      <c r="K24" s="767"/>
      <c r="L24" s="636"/>
      <c r="M24" s="636"/>
      <c r="N24" s="109"/>
      <c r="O24" s="535">
        <f t="shared" si="4"/>
        <v>0</v>
      </c>
      <c r="P24" s="109"/>
      <c r="Q24" s="436">
        <f t="shared" si="5"/>
        <v>181.65599999999998</v>
      </c>
      <c r="R24" s="109"/>
      <c r="S24" s="436">
        <f t="shared" si="6"/>
        <v>0</v>
      </c>
      <c r="T24" s="706">
        <f>Elect!BT23</f>
        <v>251</v>
      </c>
      <c r="U24" s="604">
        <f t="shared" si="7"/>
        <v>1.247808764940239</v>
      </c>
      <c r="V24" s="706">
        <f>Elect!BV23</f>
        <v>0</v>
      </c>
      <c r="W24" s="604" t="e">
        <f t="shared" si="8"/>
        <v>#DIV/0!</v>
      </c>
      <c r="X24" s="429">
        <f>H24*V1</f>
        <v>1252.8</v>
      </c>
      <c r="Y24" s="604">
        <f t="shared" si="9"/>
        <v>4.9912350597609558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8">
        <v>83613</v>
      </c>
      <c r="C25" s="636">
        <f t="shared" si="0"/>
        <v>139.19999999999999</v>
      </c>
      <c r="D25" s="771">
        <v>4857</v>
      </c>
      <c r="E25" s="636">
        <f t="shared" si="1"/>
        <v>174</v>
      </c>
      <c r="F25" s="767">
        <v>29163</v>
      </c>
      <c r="G25" s="636">
        <f t="shared" si="2"/>
        <v>0</v>
      </c>
      <c r="H25" s="636">
        <f t="shared" si="3"/>
        <v>313.2</v>
      </c>
      <c r="I25" s="767"/>
      <c r="J25" s="636"/>
      <c r="K25" s="767"/>
      <c r="L25" s="636"/>
      <c r="M25" s="636"/>
      <c r="N25" s="109"/>
      <c r="O25" s="535">
        <f t="shared" si="4"/>
        <v>0</v>
      </c>
      <c r="P25" s="109"/>
      <c r="Q25" s="436">
        <f t="shared" si="5"/>
        <v>181.65599999999998</v>
      </c>
      <c r="R25" s="109"/>
      <c r="S25" s="436">
        <f t="shared" si="6"/>
        <v>0</v>
      </c>
      <c r="T25" s="706">
        <f>Elect!BT24</f>
        <v>253</v>
      </c>
      <c r="U25" s="604">
        <f t="shared" si="7"/>
        <v>1.2379446640316205</v>
      </c>
      <c r="V25" s="706">
        <f>Elect!BV24</f>
        <v>0</v>
      </c>
      <c r="W25" s="604" t="e">
        <f t="shared" si="8"/>
        <v>#DIV/0!</v>
      </c>
      <c r="X25" s="429">
        <f>H25*V1</f>
        <v>1252.8</v>
      </c>
      <c r="Y25" s="604">
        <f t="shared" si="9"/>
        <v>4.951778656126482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8">
        <v>83635</v>
      </c>
      <c r="C26" s="636">
        <f t="shared" si="0"/>
        <v>127.6</v>
      </c>
      <c r="D26" s="771">
        <v>4888</v>
      </c>
      <c r="E26" s="636">
        <f t="shared" si="1"/>
        <v>179.79999999999998</v>
      </c>
      <c r="F26" s="767">
        <v>29163</v>
      </c>
      <c r="G26" s="636">
        <f t="shared" si="2"/>
        <v>0</v>
      </c>
      <c r="H26" s="636">
        <f t="shared" si="3"/>
        <v>307.39999999999998</v>
      </c>
      <c r="I26" s="767"/>
      <c r="J26" s="636"/>
      <c r="K26" s="767"/>
      <c r="L26" s="636"/>
      <c r="M26" s="636"/>
      <c r="N26" s="109"/>
      <c r="O26" s="535">
        <f t="shared" si="4"/>
        <v>0</v>
      </c>
      <c r="P26" s="109"/>
      <c r="Q26" s="436">
        <f t="shared" si="5"/>
        <v>178.29199999999997</v>
      </c>
      <c r="R26" s="109"/>
      <c r="S26" s="436">
        <f t="shared" si="6"/>
        <v>0</v>
      </c>
      <c r="T26" s="706">
        <f>Elect!BT25</f>
        <v>248</v>
      </c>
      <c r="U26" s="604">
        <f t="shared" si="7"/>
        <v>1.2395161290322581</v>
      </c>
      <c r="V26" s="706">
        <f>Elect!BV25</f>
        <v>0</v>
      </c>
      <c r="W26" s="604" t="e">
        <f t="shared" si="8"/>
        <v>#DIV/0!</v>
      </c>
      <c r="X26" s="429">
        <f>H26*V1</f>
        <v>1229.5999999999999</v>
      </c>
      <c r="Y26" s="604">
        <f t="shared" si="9"/>
        <v>4.9580645161290322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8">
        <v>83657</v>
      </c>
      <c r="C27" s="636">
        <f t="shared" si="0"/>
        <v>127.6</v>
      </c>
      <c r="D27" s="771">
        <v>4917</v>
      </c>
      <c r="E27" s="636">
        <f t="shared" si="1"/>
        <v>168.2</v>
      </c>
      <c r="F27" s="767">
        <v>29163</v>
      </c>
      <c r="G27" s="636">
        <f t="shared" si="2"/>
        <v>0</v>
      </c>
      <c r="H27" s="636">
        <f t="shared" si="3"/>
        <v>295.79999999999995</v>
      </c>
      <c r="I27" s="767"/>
      <c r="J27" s="636"/>
      <c r="K27" s="767"/>
      <c r="L27" s="636"/>
      <c r="M27" s="636"/>
      <c r="N27" s="109"/>
      <c r="O27" s="535">
        <f t="shared" si="4"/>
        <v>0</v>
      </c>
      <c r="P27" s="109"/>
      <c r="Q27" s="436">
        <f t="shared" si="5"/>
        <v>171.56399999999996</v>
      </c>
      <c r="R27" s="109"/>
      <c r="S27" s="436">
        <f t="shared" si="6"/>
        <v>0</v>
      </c>
      <c r="T27" s="706">
        <f>Elect!BT26</f>
        <v>246</v>
      </c>
      <c r="U27" s="604">
        <f t="shared" si="7"/>
        <v>1.2024390243902436</v>
      </c>
      <c r="V27" s="706">
        <f>Elect!BV26</f>
        <v>0</v>
      </c>
      <c r="W27" s="604" t="e">
        <f t="shared" si="8"/>
        <v>#DIV/0!</v>
      </c>
      <c r="X27" s="429">
        <f>H27*V1</f>
        <v>1183.1999999999998</v>
      </c>
      <c r="Y27" s="604">
        <f t="shared" si="9"/>
        <v>4.8097560975609746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8">
        <v>83679</v>
      </c>
      <c r="C28" s="636">
        <f t="shared" si="0"/>
        <v>127.6</v>
      </c>
      <c r="D28" s="771">
        <v>4946</v>
      </c>
      <c r="E28" s="636">
        <f t="shared" si="1"/>
        <v>168.2</v>
      </c>
      <c r="F28" s="767">
        <v>29163</v>
      </c>
      <c r="G28" s="636">
        <f t="shared" si="2"/>
        <v>0</v>
      </c>
      <c r="H28" s="636">
        <f t="shared" si="3"/>
        <v>295.79999999999995</v>
      </c>
      <c r="I28" s="767"/>
      <c r="J28" s="636"/>
      <c r="K28" s="767"/>
      <c r="L28" s="636"/>
      <c r="M28" s="636"/>
      <c r="N28" s="109"/>
      <c r="O28" s="535">
        <f t="shared" si="4"/>
        <v>0</v>
      </c>
      <c r="P28" s="109"/>
      <c r="Q28" s="436">
        <f t="shared" si="5"/>
        <v>171.56399999999996</v>
      </c>
      <c r="R28" s="109"/>
      <c r="S28" s="436">
        <f t="shared" si="6"/>
        <v>0</v>
      </c>
      <c r="T28" s="706">
        <f>Elect!BT27</f>
        <v>246</v>
      </c>
      <c r="U28" s="604">
        <f t="shared" si="7"/>
        <v>1.2024390243902436</v>
      </c>
      <c r="V28" s="706">
        <f>Elect!BV27</f>
        <v>0</v>
      </c>
      <c r="W28" s="604" t="e">
        <f t="shared" si="8"/>
        <v>#DIV/0!</v>
      </c>
      <c r="X28" s="429">
        <f>H28*V1</f>
        <v>1183.1999999999998</v>
      </c>
      <c r="Y28" s="604">
        <f t="shared" si="9"/>
        <v>4.8097560975609746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8">
        <v>83706</v>
      </c>
      <c r="C29" s="636">
        <f t="shared" si="0"/>
        <v>156.6</v>
      </c>
      <c r="D29" s="771">
        <v>4981</v>
      </c>
      <c r="E29" s="636">
        <f t="shared" si="1"/>
        <v>203</v>
      </c>
      <c r="F29" s="767">
        <v>29163</v>
      </c>
      <c r="G29" s="636">
        <f t="shared" si="2"/>
        <v>0</v>
      </c>
      <c r="H29" s="636">
        <f t="shared" si="3"/>
        <v>359.6</v>
      </c>
      <c r="I29" s="767"/>
      <c r="J29" s="636"/>
      <c r="K29" s="767"/>
      <c r="L29" s="636"/>
      <c r="M29" s="636"/>
      <c r="N29" s="109"/>
      <c r="O29" s="535">
        <f t="shared" si="4"/>
        <v>0</v>
      </c>
      <c r="P29" s="109"/>
      <c r="Q29" s="436">
        <f t="shared" si="5"/>
        <v>208.56800000000001</v>
      </c>
      <c r="R29" s="458"/>
      <c r="S29" s="436">
        <f t="shared" si="6"/>
        <v>0</v>
      </c>
      <c r="T29" s="706">
        <f>Elect!BT28</f>
        <v>250</v>
      </c>
      <c r="U29" s="604">
        <f t="shared" si="7"/>
        <v>1.4384000000000001</v>
      </c>
      <c r="V29" s="706">
        <f>Elect!BV28</f>
        <v>0</v>
      </c>
      <c r="W29" s="604" t="e">
        <f t="shared" si="8"/>
        <v>#DIV/0!</v>
      </c>
      <c r="X29" s="429">
        <f>H29*V1</f>
        <v>1438.4</v>
      </c>
      <c r="Y29" s="604">
        <f t="shared" si="9"/>
        <v>5.7536000000000005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8">
        <v>83732</v>
      </c>
      <c r="C30" s="636">
        <f t="shared" si="0"/>
        <v>150.79999999999998</v>
      </c>
      <c r="D30" s="771">
        <v>5015</v>
      </c>
      <c r="E30" s="636">
        <f t="shared" si="1"/>
        <v>197.2</v>
      </c>
      <c r="F30" s="767">
        <v>29163</v>
      </c>
      <c r="G30" s="636">
        <f t="shared" si="2"/>
        <v>0</v>
      </c>
      <c r="H30" s="636">
        <f t="shared" si="3"/>
        <v>348</v>
      </c>
      <c r="I30" s="767"/>
      <c r="J30" s="636"/>
      <c r="K30" s="767"/>
      <c r="L30" s="636"/>
      <c r="M30" s="636"/>
      <c r="N30" s="109"/>
      <c r="O30" s="535">
        <f t="shared" si="4"/>
        <v>0</v>
      </c>
      <c r="P30" s="109"/>
      <c r="Q30" s="436">
        <f t="shared" si="5"/>
        <v>201.83999999999997</v>
      </c>
      <c r="R30" s="458"/>
      <c r="S30" s="436">
        <f t="shared" si="6"/>
        <v>0</v>
      </c>
      <c r="T30" s="706">
        <f>Elect!BT29</f>
        <v>247</v>
      </c>
      <c r="U30" s="604">
        <f t="shared" si="7"/>
        <v>1.4089068825910931</v>
      </c>
      <c r="V30" s="706">
        <f>Elect!BV29</f>
        <v>0</v>
      </c>
      <c r="W30" s="604" t="e">
        <f t="shared" si="8"/>
        <v>#DIV/0!</v>
      </c>
      <c r="X30" s="429">
        <f>H30*V1</f>
        <v>1392</v>
      </c>
      <c r="Y30" s="604">
        <f t="shared" si="9"/>
        <v>5.6356275303643724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8">
        <v>83777</v>
      </c>
      <c r="C31" s="636">
        <f t="shared" si="0"/>
        <v>261</v>
      </c>
      <c r="D31" s="771">
        <v>5075</v>
      </c>
      <c r="E31" s="636">
        <f>IF(D31&gt;=D30,D31-D30,0)*10*0.58</f>
        <v>348</v>
      </c>
      <c r="F31" s="767">
        <v>29172</v>
      </c>
      <c r="G31" s="636">
        <f t="shared" si="2"/>
        <v>5.22</v>
      </c>
      <c r="H31" s="636">
        <f t="shared" si="3"/>
        <v>614.22</v>
      </c>
      <c r="I31" s="767"/>
      <c r="J31" s="636"/>
      <c r="K31" s="767"/>
      <c r="L31" s="636"/>
      <c r="M31" s="636"/>
      <c r="N31" s="109"/>
      <c r="O31" s="535">
        <f t="shared" si="4"/>
        <v>0</v>
      </c>
      <c r="P31" s="109"/>
      <c r="Q31" s="436">
        <f t="shared" si="5"/>
        <v>356.24759999999998</v>
      </c>
      <c r="R31" s="458"/>
      <c r="S31" s="436">
        <f t="shared" si="6"/>
        <v>0</v>
      </c>
      <c r="T31" s="706">
        <f>Elect!BT30</f>
        <v>253</v>
      </c>
      <c r="U31" s="604">
        <f t="shared" si="7"/>
        <v>2.4277470355731228</v>
      </c>
      <c r="V31" s="706">
        <f>Elect!BV30</f>
        <v>0</v>
      </c>
      <c r="W31" s="604" t="e">
        <f t="shared" si="8"/>
        <v>#DIV/0!</v>
      </c>
      <c r="X31" s="429">
        <f>H31*V1</f>
        <v>2456.88</v>
      </c>
      <c r="Y31" s="604">
        <f t="shared" si="9"/>
        <v>9.7109881422924911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8">
        <v>83793</v>
      </c>
      <c r="C32" s="636">
        <f t="shared" si="0"/>
        <v>92.8</v>
      </c>
      <c r="D32" s="771">
        <v>5096</v>
      </c>
      <c r="E32" s="636">
        <f>IF(D32&gt;=D31,D32-D31,0)*10*0.58</f>
        <v>121.8</v>
      </c>
      <c r="F32" s="767">
        <v>29172</v>
      </c>
      <c r="G32" s="636">
        <f t="shared" si="2"/>
        <v>0</v>
      </c>
      <c r="H32" s="636">
        <f t="shared" si="3"/>
        <v>214.6</v>
      </c>
      <c r="I32" s="767"/>
      <c r="J32" s="636"/>
      <c r="K32" s="767"/>
      <c r="L32" s="636"/>
      <c r="M32" s="636"/>
      <c r="N32" s="109"/>
      <c r="O32" s="535">
        <f t="shared" si="4"/>
        <v>0</v>
      </c>
      <c r="P32" s="109"/>
      <c r="Q32" s="436">
        <f t="shared" si="5"/>
        <v>124.46799999999999</v>
      </c>
      <c r="R32" s="458"/>
      <c r="S32" s="436">
        <f t="shared" si="6"/>
        <v>0</v>
      </c>
      <c r="T32" s="706">
        <f>Elect!BT31</f>
        <v>257</v>
      </c>
      <c r="U32" s="604">
        <f t="shared" si="7"/>
        <v>0.83501945525291832</v>
      </c>
      <c r="V32" s="706">
        <f>Elect!BV31</f>
        <v>0</v>
      </c>
      <c r="W32" s="604" t="e">
        <f t="shared" si="8"/>
        <v>#DIV/0!</v>
      </c>
      <c r="X32" s="429">
        <f>H32*V1</f>
        <v>858.4</v>
      </c>
      <c r="Y32" s="604">
        <f t="shared" si="9"/>
        <v>3.3400778210116733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8">
        <v>83809</v>
      </c>
      <c r="C33" s="636">
        <f t="shared" si="0"/>
        <v>92.8</v>
      </c>
      <c r="D33" s="771">
        <v>5117</v>
      </c>
      <c r="E33" s="636">
        <f>IF(D33&gt;=D32,D33-D32,0)*10*0.58</f>
        <v>121.8</v>
      </c>
      <c r="F33" s="767">
        <v>29172</v>
      </c>
      <c r="G33" s="636">
        <f t="shared" si="2"/>
        <v>0</v>
      </c>
      <c r="H33" s="636">
        <f t="shared" si="3"/>
        <v>214.6</v>
      </c>
      <c r="I33" s="767"/>
      <c r="J33" s="636"/>
      <c r="K33" s="767"/>
      <c r="L33" s="636"/>
      <c r="M33" s="636"/>
      <c r="N33" s="109"/>
      <c r="O33" s="535">
        <f t="shared" si="4"/>
        <v>0</v>
      </c>
      <c r="P33" s="109"/>
      <c r="Q33" s="436">
        <f t="shared" si="5"/>
        <v>124.46799999999999</v>
      </c>
      <c r="R33" s="458"/>
      <c r="S33" s="436">
        <f t="shared" si="6"/>
        <v>0</v>
      </c>
      <c r="T33" s="706">
        <f>Elect!BT32</f>
        <v>229</v>
      </c>
      <c r="U33" s="604">
        <f t="shared" si="7"/>
        <v>0.93711790393013095</v>
      </c>
      <c r="V33" s="706">
        <f>Elect!BV32</f>
        <v>0</v>
      </c>
      <c r="W33" s="604" t="e">
        <f t="shared" si="8"/>
        <v>#DIV/0!</v>
      </c>
      <c r="X33" s="429">
        <f>H33*V1</f>
        <v>858.4</v>
      </c>
      <c r="Y33" s="604">
        <f t="shared" si="9"/>
        <v>3.7484716157205238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8">
        <v>83825</v>
      </c>
      <c r="C34" s="636">
        <f t="shared" si="0"/>
        <v>92.8</v>
      </c>
      <c r="D34" s="771">
        <v>5138</v>
      </c>
      <c r="E34" s="636">
        <f t="shared" si="1"/>
        <v>121.8</v>
      </c>
      <c r="F34" s="767">
        <v>29172</v>
      </c>
      <c r="G34" s="636">
        <f t="shared" si="2"/>
        <v>0</v>
      </c>
      <c r="H34" s="636">
        <f t="shared" si="3"/>
        <v>214.6</v>
      </c>
      <c r="I34" s="767"/>
      <c r="J34" s="636"/>
      <c r="K34" s="767"/>
      <c r="L34" s="636"/>
      <c r="M34" s="636"/>
      <c r="N34" s="109"/>
      <c r="O34" s="535">
        <f t="shared" si="4"/>
        <v>0</v>
      </c>
      <c r="P34" s="109"/>
      <c r="Q34" s="436">
        <f t="shared" si="5"/>
        <v>124.46799999999999</v>
      </c>
      <c r="R34" s="458"/>
      <c r="S34" s="436">
        <f t="shared" si="6"/>
        <v>0</v>
      </c>
      <c r="T34" s="706">
        <f>Elect!BT33</f>
        <v>236</v>
      </c>
      <c r="U34" s="604">
        <f t="shared" si="7"/>
        <v>0.90932203389830502</v>
      </c>
      <c r="V34" s="706">
        <f>Elect!BV33</f>
        <v>0</v>
      </c>
      <c r="W34" s="604" t="e">
        <f t="shared" si="8"/>
        <v>#DIV/0!</v>
      </c>
      <c r="X34" s="429">
        <f>H34*V1</f>
        <v>858.4</v>
      </c>
      <c r="Y34" s="604">
        <f t="shared" si="9"/>
        <v>3.6372881355932201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8">
        <v>83825</v>
      </c>
      <c r="C35" s="636">
        <f t="shared" si="0"/>
        <v>0</v>
      </c>
      <c r="D35" s="771">
        <v>5138</v>
      </c>
      <c r="E35" s="636">
        <f t="shared" si="1"/>
        <v>0</v>
      </c>
      <c r="F35" s="767">
        <v>29172</v>
      </c>
      <c r="G35" s="636">
        <f t="shared" si="2"/>
        <v>0</v>
      </c>
      <c r="H35" s="636">
        <f t="shared" si="3"/>
        <v>0</v>
      </c>
      <c r="I35" s="767"/>
      <c r="J35" s="636"/>
      <c r="K35" s="767"/>
      <c r="L35" s="636"/>
      <c r="M35" s="636"/>
      <c r="N35" s="109"/>
      <c r="O35" s="535">
        <f t="shared" si="4"/>
        <v>0</v>
      </c>
      <c r="P35" s="526"/>
      <c r="Q35" s="436">
        <f t="shared" si="5"/>
        <v>0</v>
      </c>
      <c r="R35" s="458"/>
      <c r="S35" s="436">
        <f t="shared" si="6"/>
        <v>0</v>
      </c>
      <c r="T35" s="706">
        <f>Elect!BT34</f>
        <v>0</v>
      </c>
      <c r="U35" s="604" t="e">
        <f t="shared" si="7"/>
        <v>#DIV/0!</v>
      </c>
      <c r="V35" s="706">
        <f>Elect!BV34</f>
        <v>0</v>
      </c>
      <c r="W35" s="604" t="e">
        <f t="shared" si="8"/>
        <v>#DIV/0!</v>
      </c>
      <c r="X35" s="429">
        <f>H35*V1</f>
        <v>0</v>
      </c>
      <c r="Y35" s="604">
        <f t="shared" si="9"/>
        <v>0</v>
      </c>
      <c r="Z35" s="607">
        <f t="shared" si="11"/>
        <v>0</v>
      </c>
    </row>
    <row r="36" spans="1:26" s="3" customFormat="1" ht="36.75" customHeight="1">
      <c r="A36" s="596">
        <v>30</v>
      </c>
      <c r="B36" s="768">
        <v>83825</v>
      </c>
      <c r="C36" s="636">
        <f t="shared" si="0"/>
        <v>0</v>
      </c>
      <c r="D36" s="771">
        <v>5138</v>
      </c>
      <c r="E36" s="636">
        <f t="shared" si="1"/>
        <v>0</v>
      </c>
      <c r="F36" s="767">
        <v>29172</v>
      </c>
      <c r="G36" s="636">
        <f t="shared" si="2"/>
        <v>0</v>
      </c>
      <c r="H36" s="636">
        <f t="shared" si="3"/>
        <v>0</v>
      </c>
      <c r="I36" s="767"/>
      <c r="J36" s="636"/>
      <c r="K36" s="767"/>
      <c r="L36" s="636"/>
      <c r="M36" s="636"/>
      <c r="N36" s="109"/>
      <c r="O36" s="535">
        <f t="shared" si="4"/>
        <v>0</v>
      </c>
      <c r="P36" s="526"/>
      <c r="Q36" s="436">
        <f t="shared" si="5"/>
        <v>0</v>
      </c>
      <c r="R36" s="458"/>
      <c r="S36" s="436">
        <f t="shared" si="6"/>
        <v>0</v>
      </c>
      <c r="T36" s="706">
        <f>Elect!BT35</f>
        <v>0</v>
      </c>
      <c r="U36" s="604" t="e">
        <f t="shared" si="7"/>
        <v>#DIV/0!</v>
      </c>
      <c r="V36" s="706">
        <f>Elect!BV35</f>
        <v>0</v>
      </c>
      <c r="W36" s="604" t="e">
        <f t="shared" si="8"/>
        <v>#DIV/0!</v>
      </c>
      <c r="X36" s="429">
        <f>H36*V1</f>
        <v>0</v>
      </c>
      <c r="Y36" s="604">
        <f t="shared" si="9"/>
        <v>0</v>
      </c>
      <c r="Z36" s="607">
        <f t="shared" si="11"/>
        <v>0</v>
      </c>
    </row>
    <row r="37" spans="1:26" s="3" customFormat="1" ht="36.75" customHeight="1">
      <c r="A37" s="595">
        <v>31</v>
      </c>
      <c r="B37" s="768">
        <v>83825</v>
      </c>
      <c r="C37" s="636">
        <f t="shared" si="0"/>
        <v>0</v>
      </c>
      <c r="D37" s="771">
        <v>5138</v>
      </c>
      <c r="E37" s="636">
        <f t="shared" si="1"/>
        <v>0</v>
      </c>
      <c r="F37" s="767">
        <v>29172</v>
      </c>
      <c r="G37" s="636">
        <f t="shared" si="2"/>
        <v>0</v>
      </c>
      <c r="H37" s="636">
        <f t="shared" si="3"/>
        <v>0</v>
      </c>
      <c r="I37" s="767">
        <v>252</v>
      </c>
      <c r="J37" s="723"/>
      <c r="K37" s="767">
        <v>4355</v>
      </c>
      <c r="L37" s="723"/>
      <c r="M37" s="723"/>
      <c r="N37" s="526"/>
      <c r="O37" s="535">
        <f t="shared" si="4"/>
        <v>0</v>
      </c>
      <c r="P37" s="526"/>
      <c r="Q37" s="436">
        <f t="shared" si="5"/>
        <v>0</v>
      </c>
      <c r="R37" s="722"/>
      <c r="S37" s="436">
        <f t="shared" si="6"/>
        <v>0</v>
      </c>
      <c r="T37" s="706">
        <f>Elect!BT36</f>
        <v>0</v>
      </c>
      <c r="U37" s="604" t="e">
        <f t="shared" si="7"/>
        <v>#DIV/0!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121</v>
      </c>
      <c r="B38" s="801"/>
      <c r="C38" s="728">
        <f>SUM(C7:C37)</f>
        <v>3775.8</v>
      </c>
      <c r="D38" s="538"/>
      <c r="E38" s="728">
        <f>SUM(E7:E37)</f>
        <v>4947.3999999999996</v>
      </c>
      <c r="F38" s="538"/>
      <c r="G38" s="728">
        <f>SUM(G7:G37)</f>
        <v>63.8</v>
      </c>
      <c r="H38" s="728">
        <f>SUM(H7:H37)</f>
        <v>8787.0000000000018</v>
      </c>
      <c r="I38" s="728">
        <f>I37-I6</f>
        <v>3</v>
      </c>
      <c r="J38" s="542"/>
      <c r="K38" s="728">
        <f>K37-K6</f>
        <v>176</v>
      </c>
      <c r="L38" s="542"/>
      <c r="M38" s="542"/>
      <c r="N38" s="538"/>
      <c r="O38" s="542">
        <f>SUM(O7:O36)</f>
        <v>0</v>
      </c>
      <c r="P38" s="538"/>
      <c r="Q38" s="542">
        <f>SUM(Q7:Q34)</f>
        <v>5096.4599999999982</v>
      </c>
      <c r="R38" s="538"/>
      <c r="S38" s="542">
        <f>SUM(S7:S34)</f>
        <v>0</v>
      </c>
      <c r="T38" s="543">
        <f>SUM(T7:T36)</f>
        <v>6256</v>
      </c>
      <c r="U38" s="605">
        <f>IF(H38&gt;0,H38/T38,0)</f>
        <v>1.4045716112531972</v>
      </c>
      <c r="V38" s="659">
        <f>SUM(V7:V36)</f>
        <v>0</v>
      </c>
      <c r="W38" s="605" t="e">
        <f>IF(H38&gt;0,H38/V38,0)</f>
        <v>#DIV/0!</v>
      </c>
      <c r="X38" s="608">
        <f>SUM(X7:X36)</f>
        <v>35148.000000000007</v>
      </c>
      <c r="Y38" s="605">
        <f t="shared" ref="Y38:Y44" si="12">IF(X38&gt;0,X38/T38,0)</f>
        <v>5.6182864450127887</v>
      </c>
      <c r="Z38" s="609" t="e">
        <f t="shared" ref="Z38:Z44" si="13">IF(X38&gt;0,X38/V38,0)</f>
        <v>#DIV/0!</v>
      </c>
    </row>
    <row r="39" spans="1:26" s="3" customFormat="1" ht="36.75" customHeight="1">
      <c r="A39" s="545" t="s">
        <v>122</v>
      </c>
      <c r="B39" s="801"/>
      <c r="C39" s="547">
        <f>C38/B48</f>
        <v>125.86</v>
      </c>
      <c r="D39" s="539"/>
      <c r="E39" s="547">
        <f>E38/B48</f>
        <v>164.91333333333333</v>
      </c>
      <c r="F39" s="539"/>
      <c r="G39" s="547">
        <f>G38/B48</f>
        <v>2.1266666666666665</v>
      </c>
      <c r="H39" s="547">
        <f>H38/B48</f>
        <v>292.90000000000003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169.88199999999995</v>
      </c>
      <c r="R39" s="539"/>
      <c r="S39" s="547" t="e">
        <f>S38/C48</f>
        <v>#DIV/0!</v>
      </c>
      <c r="T39" s="548">
        <f>T38/B48</f>
        <v>208.53333333333333</v>
      </c>
      <c r="U39" s="606">
        <f>IF(H39&gt;0,H39/T39,0)</f>
        <v>1.4045716112531972</v>
      </c>
      <c r="V39" s="619">
        <f>V38/B48</f>
        <v>0</v>
      </c>
      <c r="W39" s="605" t="e">
        <f>IF(H39&gt;0,H39/V39,0)</f>
        <v>#DIV/0!</v>
      </c>
      <c r="X39" s="610">
        <f>X38/B48</f>
        <v>1171.6000000000001</v>
      </c>
      <c r="Y39" s="606">
        <f t="shared" si="12"/>
        <v>5.6182864450127887</v>
      </c>
      <c r="Z39" s="611" t="e">
        <f t="shared" si="13"/>
        <v>#DIV/0!</v>
      </c>
    </row>
    <row r="40" spans="1:26" s="3" customFormat="1" ht="36.75" customHeight="1">
      <c r="A40" s="597" t="s">
        <v>185</v>
      </c>
      <c r="B40" s="802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186</v>
      </c>
      <c r="B41" s="803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28" customFormat="1" ht="42.75" customHeight="1" thickBot="1">
      <c r="A42" s="599" t="s">
        <v>187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188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2"/>
        <v>0</v>
      </c>
      <c r="Z43" s="633">
        <f t="shared" si="13"/>
        <v>0</v>
      </c>
    </row>
    <row r="44" spans="1:26" ht="36" customHeight="1">
      <c r="A44" s="601" t="s">
        <v>189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190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390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391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03" t="s">
        <v>140</v>
      </c>
      <c r="B136" s="903"/>
      <c r="C136" s="903"/>
      <c r="D136" s="903"/>
      <c r="E136" s="903"/>
      <c r="F136" s="903"/>
      <c r="G136" s="903"/>
      <c r="H136" s="903"/>
      <c r="I136" s="903"/>
      <c r="J136" s="903"/>
      <c r="K136" s="903"/>
      <c r="L136" s="903"/>
      <c r="M136" s="903"/>
      <c r="N136" s="903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LI4mg6c9NHnGqdKrNcDXgCMTJsyK/dWVUx09okDtHgBVLUnc6ZbYqAaYFasR7bCjomLQt7RW3eGlGV8c8tarFA==" saltValue="ef7ahQuPSpw6T/j8S9uvbw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C6:C37 E6:E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J13" sqref="J1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392</v>
      </c>
      <c r="F6" s="669"/>
      <c r="G6" s="668"/>
      <c r="H6" s="670" t="str">
        <f>Elect!A1</f>
        <v>February</v>
      </c>
      <c r="I6" s="668"/>
      <c r="J6" s="668"/>
      <c r="K6" s="668"/>
    </row>
    <row r="9" spans="2:13" ht="13.5" customHeight="1">
      <c r="B9" s="939" t="s">
        <v>393</v>
      </c>
      <c r="C9" s="940"/>
      <c r="D9" s="940"/>
      <c r="E9" s="940"/>
      <c r="F9" s="940"/>
      <c r="G9" s="940"/>
      <c r="H9" s="940"/>
      <c r="I9" s="940"/>
      <c r="J9" s="940"/>
      <c r="K9" s="940"/>
      <c r="L9" s="940"/>
      <c r="M9" s="940"/>
    </row>
    <row r="10" spans="2:13" ht="13.5" customHeight="1" thickBot="1">
      <c r="B10" s="946"/>
      <c r="C10" s="947"/>
      <c r="D10" s="947"/>
      <c r="E10" s="947"/>
      <c r="F10" s="947"/>
      <c r="G10" s="947"/>
      <c r="H10" s="947"/>
      <c r="I10" s="947"/>
      <c r="J10" s="947"/>
      <c r="K10" s="947"/>
      <c r="L10" s="947"/>
      <c r="M10" s="947"/>
    </row>
    <row r="11" spans="2:13" ht="16.5" thickBot="1">
      <c r="B11" s="955" t="s">
        <v>394</v>
      </c>
      <c r="C11" s="955"/>
      <c r="D11" s="955" t="s">
        <v>395</v>
      </c>
      <c r="E11" s="955"/>
      <c r="F11" s="955" t="s">
        <v>396</v>
      </c>
      <c r="G11" s="955"/>
      <c r="H11" s="953" t="s">
        <v>397</v>
      </c>
      <c r="I11" s="954"/>
      <c r="J11" s="953" t="s">
        <v>398</v>
      </c>
      <c r="K11" s="954"/>
      <c r="L11" s="953" t="s">
        <v>399</v>
      </c>
      <c r="M11" s="954"/>
    </row>
    <row r="12" spans="2:13" ht="16.5" thickBot="1">
      <c r="B12" s="671" t="s">
        <v>400</v>
      </c>
      <c r="C12" s="671" t="s">
        <v>401</v>
      </c>
      <c r="D12" s="671" t="s">
        <v>400</v>
      </c>
      <c r="E12" s="671" t="s">
        <v>401</v>
      </c>
      <c r="F12" s="671" t="s">
        <v>400</v>
      </c>
      <c r="G12" s="671" t="s">
        <v>401</v>
      </c>
      <c r="H12" s="671" t="s">
        <v>400</v>
      </c>
      <c r="I12" s="671" t="s">
        <v>401</v>
      </c>
      <c r="J12" s="671" t="s">
        <v>400</v>
      </c>
      <c r="K12" s="671" t="s">
        <v>401</v>
      </c>
      <c r="L12" s="671" t="s">
        <v>400</v>
      </c>
      <c r="M12" s="671" t="s">
        <v>401</v>
      </c>
    </row>
    <row r="13" spans="2:13" ht="13.5" thickBot="1">
      <c r="B13" s="672">
        <f>Elect!AN37</f>
        <v>109774.12999999998</v>
      </c>
      <c r="C13" s="759">
        <f>(B13*1.15)+(2879*60*0.72)</f>
        <v>250613.04949999996</v>
      </c>
      <c r="D13" s="672">
        <f>Elect!J37</f>
        <v>185633</v>
      </c>
      <c r="E13" s="759">
        <f>(D13*1.15)+(573*60)+10000</f>
        <v>257857.94999999998</v>
      </c>
      <c r="F13" s="672">
        <f>Elect!BI37</f>
        <v>298901.19999999995</v>
      </c>
      <c r="G13" s="759">
        <f>(F13*1.15)</f>
        <v>343736.37999999995</v>
      </c>
      <c r="H13" s="672">
        <f>Elect!Q37</f>
        <v>15060</v>
      </c>
      <c r="I13" s="759">
        <f>H13*1.6+1500</f>
        <v>25596</v>
      </c>
      <c r="J13" s="800">
        <f>B13+D13+F13+H13</f>
        <v>609368.32999999996</v>
      </c>
      <c r="K13" s="760">
        <f>G13+E13+C13+I13</f>
        <v>877803.37949999992</v>
      </c>
      <c r="L13" s="800">
        <f>B13+F13</f>
        <v>408675.32999999996</v>
      </c>
      <c r="M13" s="761">
        <f>C13+G13</f>
        <v>594349.42949999985</v>
      </c>
    </row>
    <row r="16" spans="2:13" ht="0.75" customHeight="1" thickBot="1">
      <c r="K16">
        <f>K18</f>
        <v>1134643.6094999998</v>
      </c>
    </row>
    <row r="17" spans="4:11" ht="13.5" customHeight="1">
      <c r="E17" s="948" t="s">
        <v>402</v>
      </c>
      <c r="F17" s="949"/>
      <c r="J17" s="757" t="s">
        <v>403</v>
      </c>
      <c r="K17" s="758">
        <f>K13/J13</f>
        <v>1.4405136208834481</v>
      </c>
    </row>
    <row r="18" spans="4:11" ht="34.5" customHeight="1" thickBot="1">
      <c r="E18" s="950"/>
      <c r="F18" s="951"/>
      <c r="J18" s="757" t="s">
        <v>404</v>
      </c>
      <c r="K18" s="762">
        <f>K13+F20+F27+G35</f>
        <v>1134643.6094999998</v>
      </c>
    </row>
    <row r="19" spans="4:11" ht="13.5" thickBot="1">
      <c r="E19" s="674" t="s">
        <v>405</v>
      </c>
      <c r="F19" s="674" t="s">
        <v>401</v>
      </c>
    </row>
    <row r="20" spans="4:11" ht="13.5" thickBot="1">
      <c r="E20" s="952">
        <f>Water!H38</f>
        <v>8787.0000000000018</v>
      </c>
      <c r="F20" s="935">
        <f>E20*10</f>
        <v>87870.000000000015</v>
      </c>
    </row>
    <row r="21" spans="4:11" ht="13.5" thickBot="1">
      <c r="E21" s="934"/>
      <c r="F21" s="935"/>
    </row>
    <row r="23" spans="4:11" ht="13.5" thickBot="1"/>
    <row r="24" spans="4:11" ht="13.5" thickBot="1">
      <c r="E24" s="933" t="s">
        <v>406</v>
      </c>
      <c r="F24" s="933"/>
    </row>
    <row r="25" spans="4:11" ht="11.25" customHeight="1" thickBot="1">
      <c r="E25" s="933"/>
      <c r="F25" s="933"/>
      <c r="H25" s="83"/>
    </row>
    <row r="26" spans="4:11" ht="13.5" thickBot="1">
      <c r="E26" s="674" t="s">
        <v>405</v>
      </c>
      <c r="F26" s="674" t="s">
        <v>401</v>
      </c>
    </row>
    <row r="27" spans="4:11" ht="13.5" thickBot="1">
      <c r="E27" s="934">
        <f>Gas!C38</f>
        <v>32860</v>
      </c>
      <c r="F27" s="935">
        <f>E27*3.9</f>
        <v>128154</v>
      </c>
    </row>
    <row r="28" spans="4:11" ht="13.5" thickBot="1">
      <c r="E28" s="934"/>
      <c r="F28" s="935"/>
    </row>
    <row r="30" spans="4:11" ht="13.5" thickBot="1"/>
    <row r="31" spans="4:11" ht="20.25">
      <c r="D31" s="936" t="s">
        <v>407</v>
      </c>
      <c r="E31" s="937"/>
      <c r="F31" s="937"/>
      <c r="G31" s="938"/>
      <c r="H31" s="676"/>
      <c r="I31" s="676"/>
    </row>
    <row r="32" spans="4:11" ht="21" thickBot="1">
      <c r="D32" s="939"/>
      <c r="E32" s="940"/>
      <c r="F32" s="940"/>
      <c r="G32" s="941"/>
      <c r="H32" s="676"/>
      <c r="I32" s="676"/>
    </row>
    <row r="33" spans="3:9" ht="13.5" thickBot="1">
      <c r="D33" s="677" t="s">
        <v>408</v>
      </c>
      <c r="E33" s="677" t="s">
        <v>409</v>
      </c>
      <c r="F33" s="677" t="s">
        <v>410</v>
      </c>
      <c r="G33" s="677" t="s">
        <v>401</v>
      </c>
      <c r="H33" s="678"/>
      <c r="I33" s="678"/>
    </row>
    <row r="34" spans="3:9" ht="13.5" thickBot="1">
      <c r="C34" s="740"/>
      <c r="D34" s="682">
        <f>Gas!D6</f>
        <v>463432</v>
      </c>
      <c r="E34" s="682">
        <f>Gas!D36</f>
        <v>478383</v>
      </c>
      <c r="F34" s="715">
        <f>Gas!E38</f>
        <v>10465.699999999995</v>
      </c>
      <c r="G34" s="799">
        <f>F34*3.9</f>
        <v>40816.229999999981</v>
      </c>
      <c r="H34" s="680"/>
      <c r="I34" s="680"/>
    </row>
    <row r="35" spans="3:9" ht="18.75" thickBot="1">
      <c r="D35" s="945" t="s">
        <v>411</v>
      </c>
      <c r="E35" s="945"/>
      <c r="F35" s="945"/>
      <c r="G35" s="799">
        <f>G34</f>
        <v>40816.229999999981</v>
      </c>
      <c r="H35" s="33"/>
      <c r="I35" s="33"/>
    </row>
    <row r="37" spans="3:9" ht="13.5" thickBot="1"/>
    <row r="38" spans="3:9" ht="20.25">
      <c r="D38" s="936" t="s">
        <v>412</v>
      </c>
      <c r="E38" s="937"/>
      <c r="F38" s="937"/>
      <c r="G38" s="938"/>
      <c r="H38" s="676"/>
      <c r="I38" s="676"/>
    </row>
    <row r="39" spans="3:9" ht="21" thickBot="1">
      <c r="D39" s="939"/>
      <c r="E39" s="940"/>
      <c r="F39" s="940"/>
      <c r="G39" s="941"/>
      <c r="H39" s="676"/>
      <c r="I39" s="676"/>
    </row>
    <row r="40" spans="3:9" ht="18.75" customHeight="1" thickBot="1">
      <c r="D40" s="677" t="s">
        <v>408</v>
      </c>
      <c r="E40" s="677" t="s">
        <v>409</v>
      </c>
      <c r="F40" s="677" t="s">
        <v>400</v>
      </c>
      <c r="G40" s="677" t="s">
        <v>401</v>
      </c>
      <c r="H40" s="678"/>
      <c r="I40" s="678"/>
    </row>
    <row r="41" spans="3:9" ht="13.5" thickBot="1">
      <c r="C41" s="679" t="s">
        <v>86</v>
      </c>
      <c r="D41" s="683">
        <f>Elect!R5</f>
        <v>182286</v>
      </c>
      <c r="E41" s="763">
        <f>Elect!R36</f>
        <v>186239</v>
      </c>
      <c r="F41" s="684">
        <f>E41-D41</f>
        <v>3953</v>
      </c>
      <c r="G41" s="765">
        <f>F41*1.15</f>
        <v>4545.95</v>
      </c>
      <c r="H41" s="685"/>
      <c r="I41" s="685"/>
    </row>
    <row r="42" spans="3:9" ht="13.5" thickBot="1">
      <c r="C42" s="679" t="s">
        <v>87</v>
      </c>
      <c r="D42" s="683">
        <f>Elect!T5</f>
        <v>333231.5</v>
      </c>
      <c r="E42" s="683">
        <f>Elect!T36</f>
        <v>340453</v>
      </c>
      <c r="F42" s="684">
        <f>E42-D42</f>
        <v>7221.5</v>
      </c>
      <c r="G42" s="765">
        <f>F42*1.15</f>
        <v>8304.7249999999985</v>
      </c>
      <c r="H42" s="685"/>
      <c r="I42" s="685"/>
    </row>
    <row r="43" spans="3:9" ht="18.75" thickBot="1">
      <c r="D43" s="942" t="s">
        <v>411</v>
      </c>
      <c r="E43" s="943"/>
      <c r="F43" s="944"/>
      <c r="G43" s="766">
        <f>G42+G41</f>
        <v>12850.674999999999</v>
      </c>
      <c r="H43" s="33"/>
      <c r="I43" s="33"/>
    </row>
    <row r="44" spans="3:9">
      <c r="F44" s="225"/>
    </row>
    <row r="48" spans="3:9" ht="13.5" thickBot="1"/>
    <row r="49" spans="3:7">
      <c r="D49" s="936" t="s">
        <v>413</v>
      </c>
      <c r="E49" s="937"/>
      <c r="F49" s="937"/>
      <c r="G49" s="938"/>
    </row>
    <row r="50" spans="3:7" ht="13.5" thickBot="1">
      <c r="D50" s="939"/>
      <c r="E50" s="940"/>
      <c r="F50" s="940"/>
      <c r="G50" s="941"/>
    </row>
    <row r="51" spans="3:7" ht="13.5" thickBot="1">
      <c r="D51" s="677" t="s">
        <v>408</v>
      </c>
      <c r="E51" s="677" t="s">
        <v>409</v>
      </c>
      <c r="F51" s="677" t="s">
        <v>405</v>
      </c>
      <c r="G51" s="677" t="s">
        <v>401</v>
      </c>
    </row>
    <row r="52" spans="3:7" ht="13.5" thickBot="1">
      <c r="C52" s="679" t="s">
        <v>414</v>
      </c>
      <c r="D52" s="682">
        <f>Water!I6</f>
        <v>249</v>
      </c>
      <c r="E52" s="683">
        <f>Water!I37</f>
        <v>252</v>
      </c>
      <c r="F52" s="800">
        <f>E52-D52</f>
        <v>3</v>
      </c>
      <c r="G52" s="675">
        <f>F52*10</f>
        <v>30</v>
      </c>
    </row>
    <row r="53" spans="3:7" ht="13.5" thickBot="1">
      <c r="C53" s="679" t="s">
        <v>415</v>
      </c>
      <c r="D53" s="683">
        <f>Water!K6</f>
        <v>4179</v>
      </c>
      <c r="E53" s="683">
        <f>Water!K37</f>
        <v>4355</v>
      </c>
      <c r="F53" s="684">
        <f>E53-D53</f>
        <v>176</v>
      </c>
      <c r="G53" s="673">
        <f>F53*10</f>
        <v>1760</v>
      </c>
    </row>
    <row r="54" spans="3:7" ht="18.75" thickBot="1">
      <c r="D54" s="942" t="s">
        <v>411</v>
      </c>
      <c r="E54" s="943"/>
      <c r="F54" s="944"/>
      <c r="G54" s="681">
        <f>G52+G53</f>
        <v>1790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BCC85-6B82-491C-B493-C004743EA634}"/>
</file>

<file path=customXml/itemProps2.xml><?xml version="1.0" encoding="utf-8"?>
<ds:datastoreItem xmlns:ds="http://schemas.openxmlformats.org/officeDocument/2006/customXml" ds:itemID="{E756C7FE-DB90-4257-94B4-4DB9CA84BDC6}"/>
</file>

<file path=customXml/itemProps3.xml><?xml version="1.0" encoding="utf-8"?>
<ds:datastoreItem xmlns:ds="http://schemas.openxmlformats.org/officeDocument/2006/customXml" ds:itemID="{4D3130CD-D410-4CE4-A243-9F17F1661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2023-03-09T21:17:48Z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