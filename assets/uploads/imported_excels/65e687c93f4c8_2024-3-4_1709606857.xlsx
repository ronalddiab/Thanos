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75" documentId="8_{570E39A5-4344-4CF9-9BBE-67993DB36049}" xr6:coauthVersionLast="36" xr6:coauthVersionMax="36" xr10:uidLastSave="{51929A20-61CE-4CFA-BA59-29B0B3CA9747}"/>
  <bookViews>
    <workbookView xWindow="-100" yWindow="-100" windowWidth="18190" windowHeight="11470" tabRatio="614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<sst xmlns="http://schemas.openxmlformats.org/spreadsheetml/2006/main" count="144" uniqueCount="43">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</sst>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5" sqref="L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0</v>
      </c>
      <c r="F6" s="10">
        <v>0.2989</v>
      </c>
      <c r="G6" s="13">
        <f>-'Submetering '!J6+'Submetering '!K6</f>
        <v>0</v>
      </c>
      <c r="H6" s="10">
        <v>0.23150000000000001</v>
      </c>
      <c r="I6" s="13">
        <f>'Submetering '!L6+'Submetering '!M6</f>
        <v>0</v>
      </c>
      <c r="J6" s="10">
        <v>2.74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0</v>
      </c>
      <c r="F7" s="10">
        <v>0.2989</v>
      </c>
      <c r="G7" s="13">
        <f>-'Submetering '!J7+'Submetering '!K7</f>
        <v>0</v>
      </c>
      <c r="H7" s="10">
        <v>0.23150000000000001</v>
      </c>
      <c r="I7" s="13">
        <f>'Submetering '!L7+'Submetering '!M7</f>
        <v>0</v>
      </c>
      <c r="J7" s="10">
        <v>2.74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0</v>
      </c>
      <c r="F8" s="10">
        <v>0.2989</v>
      </c>
      <c r="G8" s="13">
        <f>-'Submetering '!J8+'Submetering '!K8</f>
        <v>0</v>
      </c>
      <c r="H8" s="10">
        <v>0.23150000000000001</v>
      </c>
      <c r="I8" s="13">
        <f>'Submetering '!L8+'Submetering '!M8</f>
        <v>0</v>
      </c>
      <c r="J8" s="10">
        <v>2.74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Z5" sqref="Z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 t="str">
        <f>IF((Electrical!E7-Electrical!E6)&lt;0,"0",(Electrical!E7-Electrical!E6))</f>
        <v>0</v>
      </c>
      <c r="I6" s="33" t="str">
        <f>IF((Electrical!F7-Electrical!F6)&lt;0,"0",(Electrical!F7-Electrical!F6))</f>
        <v>0</v>
      </c>
      <c r="J6" s="33">
        <f>IF((Gas!B7-Gas!B6)&lt;0,"0",(Gas!B7-Gas!B6))</f>
        <v>0</v>
      </c>
      <c r="K6" s="33" t="str">
        <f>IF((Gas!C7-Gas!C6)&lt;0,"0",(Gas!C7-Gas!C6))</f>
        <v>0</v>
      </c>
      <c r="L6" s="33">
        <f>(IF((Water!B7-Water!B6)&lt;0,"0",(Water!B7-Water!B6)))*10</f>
        <v>0</v>
      </c>
      <c r="M6" s="33" t="str">
        <f>IF((Water!C7-Water!C6)&lt;0,"0",(Water!C7-Water!C6))</f>
        <v>0</v>
      </c>
      <c r="N6" s="33">
        <f>IF((Water!D7-Water!D6)&lt;0,"0",(Water!D7-Water!D6))</f>
        <v>0</v>
      </c>
      <c r="O6" s="33" t="str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 t="str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 t="str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5" sqref="J5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K7" sqref="K7:K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" zoomScale="85" zoomScaleNormal="85" workbookViewId="0">
      <selection activeCell="O6" sqref="O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c0c63084-832f-4b13-a501-c844d9f3bfed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2024-03-05T00:28:57Z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