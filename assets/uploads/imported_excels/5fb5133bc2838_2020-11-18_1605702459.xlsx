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<sst xmlns="http://schemas.openxmlformats.org/spreadsheetml/2006/main" count="313" uniqueCount="148">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</sst>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4329.9999999996653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31.299999999999955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4699.9999999998035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3730.000000000432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10.400000000000091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4400.0000000001601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11.099999999999909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4759.99999999993</v>
      </c>
      <c r="F17" s="11">
        <f t="shared" si="1"/>
        <v>0.58765030286592534</v>
      </c>
      <c r="G17" s="12">
        <f>(Submetering!AX17+Submetering!AY17+Submetering!AZ17+Submetering!BA17+Submetering!BB17)</f>
        <v>9.1574999999999989</v>
      </c>
      <c r="H17" s="11">
        <f t="shared" si="2"/>
        <v>0.99</v>
      </c>
      <c r="I17" s="12">
        <f>'FS Desroches Daily'!CM19</f>
        <v>19.400000000000091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4650.0000000000582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79.999999999984084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 t="str">
        <f>'FS Desroches Daily'!V11</f>
        <v/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79.999999999984084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 t="str">
        <f>'FS Desroches Daily'!AZ11</f>
        <v/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116.90000000002328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 t="str">
        <f>'FS Desroches Daily'!AR12</f>
        <v/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1100.000000000101</v>
      </c>
      <c r="F13" s="32">
        <f>'FS Desroches Daily'!F15</f>
        <v>699.99999999970089</v>
      </c>
      <c r="G13" s="31">
        <f>'FS Desroches Daily'!H15</f>
        <v>1599.9999999998238</v>
      </c>
      <c r="H13" s="32">
        <f>'FS Desroches Daily'!J15</f>
        <v>900.0000000001229</v>
      </c>
      <c r="I13" s="31">
        <f>'FS Desroches Daily'!L15</f>
        <v>2000.0000000002237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2</v>
      </c>
      <c r="M13" s="31">
        <f>'FS Desroches Daily'!T15</f>
        <v>151</v>
      </c>
      <c r="N13" s="31">
        <f>'FS Desroches Daily'!V15</f>
        <v>100.29999999998836</v>
      </c>
      <c r="O13" s="31">
        <f>'FS Desroches Daily'!X15</f>
        <v>99.999999999965894</v>
      </c>
      <c r="P13" s="31">
        <f>'FS Desroches Daily'!Z15</f>
        <v>399.99999999995595</v>
      </c>
      <c r="Q13" s="31">
        <f>'FS Desroches Daily'!AB15</f>
        <v>120.00000000000455</v>
      </c>
      <c r="R13" s="31">
        <f>'FS Desroches Daily'!AD15</f>
        <v>139.99999999998636</v>
      </c>
      <c r="S13" s="31">
        <f>'FS Desroches Daily'!AF15</f>
        <v>159.99999999996817</v>
      </c>
      <c r="T13" s="31">
        <f>'FS Desroches Daily'!AH15</f>
        <v>1.2000000000000455</v>
      </c>
      <c r="U13" s="35">
        <f>'FS Desroches Daily'!AJ15</f>
        <v>210.00000000003638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159.99999999999659</v>
      </c>
      <c r="Y13" s="35">
        <f>'FS Desroches Daily'!AR15</f>
        <v>30.000000000001137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30.000000000029559</v>
      </c>
      <c r="AC13" s="35">
        <f>'FS Desroches Daily'!AZ15</f>
        <v>30.000000000029559</v>
      </c>
      <c r="AD13" s="35">
        <f>'FS Desroches Daily'!BB15</f>
        <v>29.999999999972715</v>
      </c>
      <c r="AE13" s="35">
        <f>'FS Desroches Daily'!BD15</f>
        <v>20.000000000010232</v>
      </c>
      <c r="AF13" s="31">
        <f>'FS Desroches Daily'!BF15</f>
        <v>30</v>
      </c>
      <c r="AG13" s="32">
        <f>'FS Desroches Daily'!BH15</f>
        <v>10.000000000019327</v>
      </c>
      <c r="AH13" s="32">
        <f>'FS Desroches Daily'!BJ15</f>
        <v>10.000000000047748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12</v>
      </c>
      <c r="AM13" s="32">
        <f>'FS Desroches Daily'!BT15</f>
        <v>9.9999999999909051</v>
      </c>
      <c r="AN13" s="32">
        <f>'FS Desroches Daily'!BV15</f>
        <v>40</v>
      </c>
      <c r="AO13" s="32">
        <f>'FS Desroches Daily'!BX15</f>
        <v>9.9999999999909051</v>
      </c>
      <c r="AP13" s="32">
        <f>'FS Desroches Daily'!BZ15</f>
        <v>24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21</v>
      </c>
      <c r="AU13" s="31">
        <f>'FS Desroches Daily'!CJ15</f>
        <v>213</v>
      </c>
      <c r="AV13" s="31">
        <f>'FS Desroches Daily'!CL15</f>
        <v>470.00000000002728</v>
      </c>
      <c r="AW13" s="31">
        <f>'FS Desroches Daily'!CM15</f>
        <v>31.299999999999955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1199.9999999998679</v>
      </c>
      <c r="F14" s="32">
        <f>'FS Desroches Daily'!F16</f>
        <v>700.00000000014495</v>
      </c>
      <c r="G14" s="31">
        <f>'FS Desroches Daily'!H16</f>
        <v>1900.0000000000127</v>
      </c>
      <c r="H14" s="32">
        <f>'FS Desroches Daily'!J16</f>
        <v>899.99999999990087</v>
      </c>
      <c r="I14" s="31">
        <f>'FS Desroches Daily'!L16</f>
        <v>2099.9999999999909</v>
      </c>
      <c r="J14" s="32">
        <f>'FS Desroches Daily'!N16</f>
        <v>699.99999999992292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209.20000000006985</v>
      </c>
      <c r="N14" s="31">
        <f>'FS Desroches Daily'!V16</f>
        <v>139.79999999998836</v>
      </c>
      <c r="O14" s="31">
        <f>'FS Desroches Daily'!X16</f>
        <v>90.000000000031832</v>
      </c>
      <c r="P14" s="31">
        <f>'FS Desroches Daily'!Z16</f>
        <v>500.00000000016701</v>
      </c>
      <c r="Q14" s="31">
        <f>'FS Desroches Daily'!AB16</f>
        <v>129.99999999999545</v>
      </c>
      <c r="R14" s="31">
        <f>'FS Desroches Daily'!AD16</f>
        <v>170.00000000001592</v>
      </c>
      <c r="S14" s="31">
        <f>'FS Desroches Daily'!AF16</f>
        <v>259.99999999999091</v>
      </c>
      <c r="T14" s="31">
        <f>'FS Desroches Daily'!AH16</f>
        <v>1.2999999999999545</v>
      </c>
      <c r="U14" s="35">
        <f>'FS Desroches Daily'!AJ16</f>
        <v>219.99999999997044</v>
      </c>
      <c r="V14" s="35">
        <f>'FS Desroches Daily'!AL16</f>
        <v>180.00000000000682</v>
      </c>
      <c r="W14" s="35">
        <f>'FS Desroches Daily'!AN16</f>
        <v>170.00000000001592</v>
      </c>
      <c r="X14" s="35">
        <f>'FS Desroches Daily'!AP16</f>
        <v>159.99999999999659</v>
      </c>
      <c r="Y14" s="35">
        <f>'FS Desroches Daily'!AR16</f>
        <v>39.999999999992042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29.999999999972715</v>
      </c>
      <c r="AE14" s="35">
        <f>'FS Desroches Daily'!BD16</f>
        <v>20.000000000010232</v>
      </c>
      <c r="AF14" s="31">
        <f>'FS Desroches Daily'!BF16</f>
        <v>37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9.9999999999909051</v>
      </c>
      <c r="AN14" s="32">
        <f>'FS Desroches Daily'!BV16</f>
        <v>40</v>
      </c>
      <c r="AO14" s="32">
        <f>'FS Desroches Daily'!BX16</f>
        <v>10.000000000019327</v>
      </c>
      <c r="AP14" s="32">
        <f>'FS Desroches Daily'!BZ16</f>
        <v>26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28.5</v>
      </c>
      <c r="AU14" s="31">
        <f>'FS Desroches Daily'!CJ16</f>
        <v>217</v>
      </c>
      <c r="AV14" s="31">
        <f>'FS Desroches Daily'!CL16</f>
        <v>700.00000000004547</v>
      </c>
      <c r="AW14" s="31">
        <f>'FS Desroches Daily'!CM16</f>
        <v>16.299999999999955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1200.0000000000898</v>
      </c>
      <c r="F15" s="32">
        <f>'FS Desroches Daily'!F17</f>
        <v>500.00000000016701</v>
      </c>
      <c r="G15" s="31">
        <f>'FS Desroches Daily'!H17</f>
        <v>1300.0000000000789</v>
      </c>
      <c r="H15" s="32">
        <f>'FS Desroches Daily'!J17</f>
        <v>699.99999999992292</v>
      </c>
      <c r="I15" s="31">
        <f>'FS Desroches Daily'!L17</f>
        <v>1700.0000000000348</v>
      </c>
      <c r="J15" s="32">
        <f>'FS Desroches Daily'!N17</f>
        <v>400.00000000017798</v>
      </c>
      <c r="K15" s="13">
        <f>'FS Desroches Daily'!P17</f>
        <v>1</v>
      </c>
      <c r="L15" s="31">
        <f>'FS Desroches Daily'!R17</f>
        <v>2</v>
      </c>
      <c r="M15" s="31">
        <f>'FS Desroches Daily'!T17</f>
        <v>101.59999999997672</v>
      </c>
      <c r="N15" s="31">
        <f>'FS Desroches Daily'!V17</f>
        <v>66.200000000011642</v>
      </c>
      <c r="O15" s="31">
        <f>'FS Desroches Daily'!X17</f>
        <v>79.999999999984084</v>
      </c>
      <c r="P15" s="31">
        <f>'FS Desroches Daily'!Z17</f>
        <v>399.99999999995595</v>
      </c>
      <c r="Q15" s="31" t="str">
        <f>'FS Desroches Daily'!AB17</f>
        <v/>
      </c>
      <c r="R15" s="31">
        <f>'FS Desroches Daily'!AD17</f>
        <v>120.00000000000455</v>
      </c>
      <c r="S15" s="31">
        <f>'FS Desroches Daily'!AF17</f>
        <v>120.00000000000455</v>
      </c>
      <c r="T15" s="31">
        <f>'FS Desroches Daily'!AH17</f>
        <v>0.90000000000009095</v>
      </c>
      <c r="U15" s="35">
        <f>'FS Desroches Daily'!AJ17</f>
        <v>500</v>
      </c>
      <c r="V15" s="35">
        <f>'FS Desroches Daily'!AL17</f>
        <v>129.99999999999545</v>
      </c>
      <c r="W15" s="35">
        <f>'FS Desroches Daily'!AN17</f>
        <v>139.99999999998636</v>
      </c>
      <c r="X15" s="35">
        <f>'FS Desroches Daily'!AP17</f>
        <v>120.00000000000455</v>
      </c>
      <c r="Y15" s="35">
        <f>'FS Desroches Daily'!AR17</f>
        <v>10.000000000019327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10.000000000047748</v>
      </c>
      <c r="AE15" s="35">
        <f>'FS Desroches Daily'!BD17</f>
        <v>19.99999999998181</v>
      </c>
      <c r="AF15" s="31">
        <f>'FS Desroches Daily'!BF17</f>
        <v>16</v>
      </c>
      <c r="AG15" s="32">
        <f>'FS Desroches Daily'!BH17</f>
        <v>9.9999999999909051</v>
      </c>
      <c r="AH15" s="32">
        <f>'FS Desroches Daily'!BJ17</f>
        <v>19.99999999998181</v>
      </c>
      <c r="AI15" s="32">
        <f>'FS Desroches Daily'!BL17</f>
        <v>10.000000000019327</v>
      </c>
      <c r="AJ15" s="32">
        <f>'FS Desroches Daily'!BN17</f>
        <v>10.000000000019327</v>
      </c>
      <c r="AK15" s="32">
        <f>'FS Desroches Daily'!BP17</f>
        <v>19.99999999998181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27</v>
      </c>
      <c r="AO15" s="32">
        <f>'FS Desroches Daily'!BX17</f>
        <v>9.9999999999909051</v>
      </c>
      <c r="AP15" s="32">
        <f>'FS Desroches Daily'!BZ17</f>
        <v>17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11.5</v>
      </c>
      <c r="AU15" s="31">
        <f>'FS Desroches Daily'!CJ17</f>
        <v>185</v>
      </c>
      <c r="AV15" s="31">
        <f>'FS Desroches Daily'!CL17</f>
        <v>370.00000000000455</v>
      </c>
      <c r="AW15" s="31">
        <f>'FS Desroches Daily'!CM17</f>
        <v>10.400000000000091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1300.0000000000789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900.0000000001229</v>
      </c>
      <c r="I16" s="31">
        <f>'FS Desroches Daily'!L18</f>
        <v>1900.0000000000127</v>
      </c>
      <c r="J16" s="32">
        <f>'FS Desroches Daily'!N18</f>
        <v>499.99999999994492</v>
      </c>
      <c r="K16" s="13">
        <f>'FS Desroches Daily'!P18</f>
        <v>1</v>
      </c>
      <c r="L16" s="31">
        <f>'FS Desroches Daily'!R18</f>
        <v>3</v>
      </c>
      <c r="M16" s="31">
        <f>'FS Desroches Daily'!T18</f>
        <v>58.400000000023283</v>
      </c>
      <c r="N16" s="31">
        <f>'FS Desroches Daily'!V18</f>
        <v>46.099999999976717</v>
      </c>
      <c r="O16" s="31">
        <f>'FS Desroches Daily'!X18</f>
        <v>79.999999999984084</v>
      </c>
      <c r="P16" s="31">
        <f>'FS Desroches Daily'!Z18</f>
        <v>399.99999999995595</v>
      </c>
      <c r="Q16" s="31">
        <f>'FS Desroches Daily'!AB18</f>
        <v>350.00000000002274</v>
      </c>
      <c r="R16" s="31">
        <f>'FS Desroches Daily'!AD18</f>
        <v>139.99999999998636</v>
      </c>
      <c r="S16" s="31">
        <f>'FS Desroches Daily'!AF18</f>
        <v>150.00000000003411</v>
      </c>
      <c r="T16" s="31">
        <f>'FS Desroches Daily'!AH18</f>
        <v>1.0999999999999091</v>
      </c>
      <c r="U16" s="35">
        <f>'FS Desroches Daily'!AJ18</f>
        <v>500</v>
      </c>
      <c r="V16" s="35">
        <f>'FS Desroches Daily'!AL18</f>
        <v>150.00000000000568</v>
      </c>
      <c r="W16" s="35">
        <f>'FS Desroches Daily'!AN18</f>
        <v>159.99999999999659</v>
      </c>
      <c r="X16" s="35">
        <f>'FS Desroches Daily'!AP18</f>
        <v>149.99999999997726</v>
      </c>
      <c r="Y16" s="35">
        <f>'FS Desroches Daily'!AR18</f>
        <v>19.99999999998181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30.000000000029559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9.9999999999909051</v>
      </c>
      <c r="AF16" s="31">
        <f>'FS Desroches Daily'!BF18</f>
        <v>37</v>
      </c>
      <c r="AG16" s="32">
        <f>'FS Desroches Daily'!BH18</f>
        <v>19.99999999998181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12</v>
      </c>
      <c r="AM16" s="32">
        <f>'FS Desroches Daily'!BT18</f>
        <v>9.9999999999909051</v>
      </c>
      <c r="AN16" s="32">
        <f>'FS Desroches Daily'!BV18</f>
        <v>42</v>
      </c>
      <c r="AO16" s="32">
        <f>'FS Desroches Daily'!BX18</f>
        <v>20.000000000010232</v>
      </c>
      <c r="AP16" s="32">
        <f>'FS Desroches Daily'!BZ18</f>
        <v>18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18.80000000000291</v>
      </c>
      <c r="AU16" s="31">
        <f>'FS Desroches Daily'!CJ18</f>
        <v>216</v>
      </c>
      <c r="AV16" s="31">
        <f>'FS Desroches Daily'!CL18</f>
        <v>399.99999999997726</v>
      </c>
      <c r="AW16" s="31">
        <f>'FS Desroches Daily'!CM18</f>
        <v>11.099999999999909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1399.9999999998458</v>
      </c>
      <c r="F17" s="32">
        <f>'FS Desroches Daily'!F19</f>
        <v>700.00000000014495</v>
      </c>
      <c r="G17" s="31">
        <f>'FS Desroches Daily'!H19</f>
        <v>1700.0000000000348</v>
      </c>
      <c r="H17" s="32">
        <f>'FS Desroches Daily'!J19</f>
        <v>799.99999999991189</v>
      </c>
      <c r="I17" s="31">
        <f>'FS Desroches Daily'!L19</f>
        <v>1999.9999999997797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262</v>
      </c>
      <c r="N17" s="31">
        <f>'FS Desroches Daily'!V19</f>
        <v>175.70000000001164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109.9999999999568</v>
      </c>
      <c r="R17" s="31">
        <f>'FS Desroches Daily'!AD19</f>
        <v>159.99999999996817</v>
      </c>
      <c r="S17" s="31">
        <f>'FS Desroches Daily'!AF19</f>
        <v>230.00000000001819</v>
      </c>
      <c r="T17" s="31">
        <f>'FS Desroches Daily'!AH19</f>
        <v>1</v>
      </c>
      <c r="U17" s="35">
        <f>'FS Desroches Daily'!AJ19</f>
        <v>470.00000000002728</v>
      </c>
      <c r="V17" s="35">
        <f>'FS Desroches Daily'!AL19</f>
        <v>180.00000000000682</v>
      </c>
      <c r="W17" s="35">
        <f>'FS Desroches Daily'!AN19</f>
        <v>170.00000000001592</v>
      </c>
      <c r="X17" s="35">
        <f>'FS Desroches Daily'!AP19</f>
        <v>160.00000000002501</v>
      </c>
      <c r="Y17" s="35">
        <f>'FS Desroches Daily'!AR19</f>
        <v>40.000000000020464</v>
      </c>
      <c r="Z17" s="35">
        <f>'FS Desroches Daily'!AU20</f>
        <v>269.24</v>
      </c>
      <c r="AA17" s="35">
        <f>'FS Desroches Daily'!AU20</f>
        <v>269.24</v>
      </c>
      <c r="AB17" s="35">
        <f>'FS Desroches Daily'!AV19</f>
        <v>29.999999999972715</v>
      </c>
      <c r="AC17" s="35">
        <f>'FS Desroches Daily'!AZ19</f>
        <v>29.999999999972715</v>
      </c>
      <c r="AD17" s="35">
        <f>'FS Desroches Daily'!BB19</f>
        <v>30.000000000029559</v>
      </c>
      <c r="AE17" s="35">
        <f>'FS Desroches Daily'!BD19</f>
        <v>20.000000000010232</v>
      </c>
      <c r="AF17" s="31">
        <f>'FS Desroches Daily'!BF19</f>
        <v>28</v>
      </c>
      <c r="AG17" s="32">
        <f>'FS Desroches Daily'!BH19</f>
        <v>20.000000000010232</v>
      </c>
      <c r="AH17" s="32">
        <f>'FS Desroches Daily'!BJ19</f>
        <v>20.000000000038654</v>
      </c>
      <c r="AI17" s="32">
        <f>'FS Desroches Daily'!BL19</f>
        <v>9.9999999999909051</v>
      </c>
      <c r="AJ17" s="32">
        <f>'FS Desroches Daily'!BN19</f>
        <v>20.000000000010232</v>
      </c>
      <c r="AK17" s="32">
        <f>'FS Desroches Daily'!BP19</f>
        <v>20.000000000038654</v>
      </c>
      <c r="AL17" s="32">
        <f>'FS Desroches Daily'!BR19</f>
        <v>12</v>
      </c>
      <c r="AM17" s="32">
        <f>'FS Desroches Daily'!BT19</f>
        <v>0</v>
      </c>
      <c r="AN17" s="32">
        <f>'FS Desroches Daily'!BV19</f>
        <v>38</v>
      </c>
      <c r="AO17" s="32">
        <f>'FS Desroches Daily'!BX19</f>
        <v>9.9999999999909051</v>
      </c>
      <c r="AP17" s="32">
        <f>'FS Desroches Daily'!BZ19</f>
        <v>28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</v>
      </c>
      <c r="AU17" s="31">
        <f>'FS Desroches Daily'!CJ19</f>
        <v>217</v>
      </c>
      <c r="AV17" s="31">
        <f>'FS Desroches Daily'!CL19</f>
        <v>439.99999999994088</v>
      </c>
      <c r="AW17" s="31">
        <f>'FS Desroches Daily'!CM19</f>
        <v>19.400000000000091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1400.0000000000678</v>
      </c>
      <c r="F18" s="32">
        <f>'FS Desroches Daily'!F20</f>
        <v>599.99999999993395</v>
      </c>
      <c r="G18" s="31">
        <f>'FS Desroches Daily'!H20</f>
        <v>1599.9999999998238</v>
      </c>
      <c r="H18" s="32">
        <f>'FS Desroches Daily'!J20</f>
        <v>900.0000000001229</v>
      </c>
      <c r="I18" s="31">
        <f>'FS Desroches Daily'!L20</f>
        <v>1900.0000000000127</v>
      </c>
      <c r="J18" s="32">
        <f>'FS Desroches Daily'!N20</f>
        <v>600.00000000015598</v>
      </c>
      <c r="K18" s="13">
        <f>'FS Desroches Daily'!P20</f>
        <v>1</v>
      </c>
      <c r="L18" s="31">
        <f>'FS Desroches Daily'!R20</f>
        <v>2</v>
      </c>
      <c r="M18" s="31">
        <f>'FS Desroches Daily'!T20</f>
        <v>262.59999999997672</v>
      </c>
      <c r="N18" s="31">
        <f>'FS Desroches Daily'!V20</f>
        <v>167.20000000001164</v>
      </c>
      <c r="O18" s="31">
        <f>'FS Desroches Daily'!X20</f>
        <v>80.000000000040927</v>
      </c>
      <c r="P18" s="31">
        <f>'FS Desroches Daily'!Z20</f>
        <v>399.99999999995595</v>
      </c>
      <c r="Q18" s="31">
        <f>'FS Desroches Daily'!AB20</f>
        <v>150.00000000003411</v>
      </c>
      <c r="R18" s="31">
        <f>'FS Desroches Daily'!AD20</f>
        <v>140.0000000000432</v>
      </c>
      <c r="S18" s="31">
        <f>'FS Desroches Daily'!AF20</f>
        <v>179.99999999994998</v>
      </c>
      <c r="T18" s="31">
        <f>'FS Desroches Daily'!AH20</f>
        <v>1.1000000000001364</v>
      </c>
      <c r="U18" s="35">
        <f>'FS Desroches Daily'!AJ20</f>
        <v>469.99999999997044</v>
      </c>
      <c r="V18" s="35">
        <f>'FS Desroches Daily'!AL20</f>
        <v>159.99999999999659</v>
      </c>
      <c r="W18" s="35">
        <f>'FS Desroches Daily'!AN20</f>
        <v>180.00000000000682</v>
      </c>
      <c r="X18" s="35">
        <f>'FS Desroches Daily'!AP20</f>
        <v>159.99999999999659</v>
      </c>
      <c r="Y18" s="35">
        <f>'FS Desroches Daily'!AR20</f>
        <v>39.999999999992042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30.000000000029559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32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10.000000000019327</v>
      </c>
      <c r="AJ18" s="32">
        <f>'FS Desroches Daily'!BN20</f>
        <v>9.9999999999909051</v>
      </c>
      <c r="AK18" s="32">
        <f>'FS Desroches Daily'!BP20</f>
        <v>19.99999999998181</v>
      </c>
      <c r="AL18" s="32">
        <f>'FS Desroches Daily'!BR20</f>
        <v>14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9.9999999999909051</v>
      </c>
      <c r="AP18" s="32">
        <f>'FS Desroches Daily'!BZ20</f>
        <v>25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16.900000000001455</v>
      </c>
      <c r="AU18" s="31">
        <f>'FS Desroches Daily'!CJ20</f>
        <v>213</v>
      </c>
      <c r="AV18" s="31">
        <f>'FS Desroches Daily'!CL20</f>
        <v>450.00000000004547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e">
        <f>'FS Desroches Daily'!P21</f>
        <v>#REF!</v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 t="e">
        <f>'FS Desroches Daily'!P22</f>
        <v>#REF!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20599.999999999953</v>
      </c>
      <c r="F33" s="17">
        <f t="shared" ref="F33:BC33" si="1">SUM(F2:F32)</f>
        <v>11300.000000000313</v>
      </c>
      <c r="G33" s="17">
        <f t="shared" si="1"/>
        <v>26899.999999999927</v>
      </c>
      <c r="H33" s="17">
        <f t="shared" si="1"/>
        <v>14199.999999999996</v>
      </c>
      <c r="I33" s="17">
        <f t="shared" si="1"/>
        <v>32000.000000000029</v>
      </c>
      <c r="J33" s="17">
        <f t="shared" si="1"/>
        <v>10200.000000000209</v>
      </c>
      <c r="K33" s="17" t="e">
        <f t="shared" si="1"/>
        <v>#REF!</v>
      </c>
      <c r="L33" s="17">
        <f t="shared" si="1"/>
        <v>43</v>
      </c>
      <c r="M33" s="17">
        <f t="shared" si="1"/>
        <v>3022.4000000000233</v>
      </c>
      <c r="N33" s="17">
        <f t="shared" si="1"/>
        <v>1873.9000000000233</v>
      </c>
      <c r="O33" s="17">
        <f t="shared" si="1"/>
        <v>1859.9999999999568</v>
      </c>
      <c r="P33" s="17">
        <f t="shared" si="1"/>
        <v>7637.8099999998649</v>
      </c>
      <c r="Q33" s="17">
        <f t="shared" si="1"/>
        <v>2376.6800000000112</v>
      </c>
      <c r="R33" s="17">
        <f t="shared" si="1"/>
        <v>2979.8300000000272</v>
      </c>
      <c r="S33" s="17">
        <f t="shared" si="1"/>
        <v>3689.9999999999977</v>
      </c>
      <c r="T33" s="17">
        <f t="shared" si="1"/>
        <v>18.600000000000136</v>
      </c>
      <c r="U33" s="35">
        <f t="shared" si="1"/>
        <v>4959.99999999998</v>
      </c>
      <c r="V33" s="35">
        <f t="shared" si="1"/>
        <v>2620.0000000000045</v>
      </c>
      <c r="W33" s="35">
        <f t="shared" si="1"/>
        <v>2930.0000000000073</v>
      </c>
      <c r="X33" s="35">
        <f t="shared" si="1"/>
        <v>2400.0000000000055</v>
      </c>
      <c r="Y33" s="35">
        <f t="shared" si="1"/>
        <v>689.99999999999773</v>
      </c>
      <c r="Z33" s="35">
        <f t="shared" si="1"/>
        <v>989.23999999997045</v>
      </c>
      <c r="AA33" s="35">
        <f t="shared" si="1"/>
        <v>989.23999999997045</v>
      </c>
      <c r="AB33" s="35">
        <f t="shared" si="1"/>
        <v>560.00000000000227</v>
      </c>
      <c r="AC33" s="35">
        <f t="shared" si="1"/>
        <v>659.99999999996817</v>
      </c>
      <c r="AD33" s="35">
        <f t="shared" si="1"/>
        <v>540.00000000002046</v>
      </c>
      <c r="AE33" s="35">
        <f t="shared" si="1"/>
        <v>370.00000000000455</v>
      </c>
      <c r="AF33" s="17">
        <f t="shared" si="1"/>
        <v>470</v>
      </c>
      <c r="AG33" s="32">
        <f t="shared" si="1"/>
        <v>219.99999999999886</v>
      </c>
      <c r="AH33" s="32">
        <f t="shared" si="1"/>
        <v>220.00000000002728</v>
      </c>
      <c r="AI33" s="32">
        <f t="shared" si="1"/>
        <v>129.99999999999545</v>
      </c>
      <c r="AJ33" s="32">
        <f t="shared" si="1"/>
        <v>269.99999999998181</v>
      </c>
      <c r="AK33" s="32">
        <f t="shared" si="1"/>
        <v>360.00000000001364</v>
      </c>
      <c r="AL33" s="32">
        <f t="shared" si="1"/>
        <v>207</v>
      </c>
      <c r="AM33" s="32">
        <f t="shared" si="1"/>
        <v>240.00000000000909</v>
      </c>
      <c r="AN33" s="32">
        <f t="shared" si="1"/>
        <v>517</v>
      </c>
      <c r="AO33" s="32">
        <f t="shared" si="1"/>
        <v>209.99999999997954</v>
      </c>
      <c r="AP33" s="32">
        <f t="shared" si="1"/>
        <v>413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351</v>
      </c>
      <c r="AU33" s="17">
        <f t="shared" si="1"/>
        <v>3545</v>
      </c>
      <c r="AV33" s="17">
        <f t="shared" si="1"/>
        <v>7940.0000000000546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84.248999999999995</v>
      </c>
      <c r="BC33" s="17">
        <f t="shared" si="1"/>
        <v>0</v>
      </c>
    </row>
    <row r="35" spans="5:55" x14ac:dyDescent="0.25">
      <c r="E35" s="38">
        <f>E33/E37</f>
        <v>0.27711264763646914</v>
      </c>
      <c r="G35" s="29">
        <f>G33-M36</f>
        <v>22003.699999999881</v>
      </c>
      <c r="AE35" s="35">
        <f>SUM(U33:AE33)</f>
        <v>17708.479999999934</v>
      </c>
      <c r="AG35" s="32">
        <f>SUM(AG33:AP33)</f>
        <v>2787.0000000000059</v>
      </c>
    </row>
    <row r="36" spans="5:55" x14ac:dyDescent="0.25">
      <c r="G36" s="29">
        <f>G35-633*14</f>
        <v>13141.699999999881</v>
      </c>
      <c r="M36" s="29">
        <f>M33+N33</f>
        <v>4896.3000000000466</v>
      </c>
    </row>
    <row r="37" spans="5:55" x14ac:dyDescent="0.25">
      <c r="E37" s="17">
        <f>E33+F33+G33+H33+J33-633*14</f>
        <v>74338.000000000393</v>
      </c>
      <c r="G37" s="37">
        <f>M36/E37</f>
        <v>6.5865371680701945E-2</v>
      </c>
      <c r="M37" s="35">
        <f>AE35</f>
        <v>17708.479999999934</v>
      </c>
    </row>
    <row r="38" spans="5:55" x14ac:dyDescent="0.25">
      <c r="L38" s="27">
        <f>M38/E37</f>
        <v>3.749091985256519E-2</v>
      </c>
      <c r="M38" s="29">
        <f>AG35</f>
        <v>2787.0000000000059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T1" zoomScale="80" zoomScaleNormal="80" workbookViewId="0">
      <pane ySplit="1" topLeftCell="A5" activePane="bottomLeft" state="frozen"/>
      <selection pane="bottomLeft" activeCell="BL26" sqref="BL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347.77</v>
      </c>
      <c r="AZ10" s="65">
        <f t="shared" si="20"/>
        <v>79.999999999984084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353942.8</v>
      </c>
      <c r="V11" s="67" t="str">
        <f t="shared" si="8"/>
        <v/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223.17</v>
      </c>
      <c r="AR11" s="65">
        <f t="shared" si="16"/>
        <v>79.999999999984084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 t="str">
        <f t="shared" si="20"/>
        <v/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116.90000000002328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 t="str">
        <f t="shared" si="16"/>
        <v/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>
        <v>1.8947000000000001</v>
      </c>
      <c r="D15" s="64">
        <f t="shared" si="0"/>
        <v>1100.000000000101</v>
      </c>
      <c r="E15" s="58">
        <v>2.8060999999999998</v>
      </c>
      <c r="F15" s="64">
        <f t="shared" si="1"/>
        <v>699.99999999970089</v>
      </c>
      <c r="G15" s="58">
        <v>2.8066</v>
      </c>
      <c r="H15" s="64">
        <f t="shared" si="2"/>
        <v>1599.9999999998238</v>
      </c>
      <c r="I15" s="58">
        <v>1.3642000000000001</v>
      </c>
      <c r="J15" s="64">
        <f t="shared" si="3"/>
        <v>900.0000000001229</v>
      </c>
      <c r="K15" s="58">
        <v>2.1787000000000001</v>
      </c>
      <c r="L15" s="64">
        <f t="shared" si="4"/>
        <v>2000.0000000002237</v>
      </c>
      <c r="M15" s="58">
        <v>1.2785</v>
      </c>
      <c r="N15" s="64">
        <f t="shared" si="5"/>
        <v>499.99999999994492</v>
      </c>
      <c r="O15" s="58">
        <v>12692</v>
      </c>
      <c r="P15" s="67">
        <f t="shared" si="44"/>
        <v>1</v>
      </c>
      <c r="Q15" s="58">
        <v>5984</v>
      </c>
      <c r="R15" s="67">
        <f t="shared" si="6"/>
        <v>2</v>
      </c>
      <c r="S15" s="58">
        <v>864966.2</v>
      </c>
      <c r="T15" s="67">
        <f t="shared" si="7"/>
        <v>151</v>
      </c>
      <c r="U15" s="58">
        <v>354415.7</v>
      </c>
      <c r="V15" s="67">
        <f t="shared" si="8"/>
        <v>100.29999999998836</v>
      </c>
      <c r="W15" s="58">
        <v>346.77</v>
      </c>
      <c r="X15" s="65">
        <f t="shared" si="9"/>
        <v>99.999999999965894</v>
      </c>
      <c r="Y15" s="58">
        <v>2.4554999999999998</v>
      </c>
      <c r="Z15" s="65">
        <f t="shared" si="10"/>
        <v>399.99999999995595</v>
      </c>
      <c r="AA15" s="58">
        <v>338.74</v>
      </c>
      <c r="AB15" s="65">
        <f t="shared" si="11"/>
        <v>120.00000000000455</v>
      </c>
      <c r="AC15" s="58">
        <v>327.81</v>
      </c>
      <c r="AD15" s="65">
        <f t="shared" si="12"/>
        <v>139.99999999998636</v>
      </c>
      <c r="AE15" s="58">
        <v>511.32</v>
      </c>
      <c r="AF15" s="65">
        <f t="shared" si="13"/>
        <v>159.99999999996817</v>
      </c>
      <c r="AG15" s="58">
        <v>1436.3</v>
      </c>
      <c r="AH15" s="67">
        <f t="shared" si="14"/>
        <v>1.2000000000000455</v>
      </c>
      <c r="AI15" s="58">
        <v>485.04</v>
      </c>
      <c r="AJ15" s="65">
        <f t="shared" si="15"/>
        <v>210.00000000003638</v>
      </c>
      <c r="AK15" s="58">
        <v>170.01</v>
      </c>
      <c r="AL15" s="65">
        <f t="shared" si="15"/>
        <v>169.99999999998749</v>
      </c>
      <c r="AM15" s="58">
        <v>168.45</v>
      </c>
      <c r="AN15" s="65">
        <f t="shared" si="15"/>
        <v>169.99999999998749</v>
      </c>
      <c r="AO15" s="58">
        <v>162.24</v>
      </c>
      <c r="AP15" s="65">
        <f t="shared" si="15"/>
        <v>159.99999999999659</v>
      </c>
      <c r="AQ15" s="58">
        <v>223.22</v>
      </c>
      <c r="AR15" s="65">
        <f t="shared" si="16"/>
        <v>30.000000000001137</v>
      </c>
      <c r="AS15" s="58">
        <v>348.73</v>
      </c>
      <c r="AT15" s="65">
        <f t="shared" si="17"/>
        <v>30.000000000029559</v>
      </c>
      <c r="AU15" s="58">
        <v>269.10000000000002</v>
      </c>
      <c r="AV15" s="65">
        <f t="shared" si="18"/>
        <v>30.000000000029559</v>
      </c>
      <c r="AW15" s="58">
        <v>296.42</v>
      </c>
      <c r="AX15" s="65">
        <f t="shared" si="19"/>
        <v>20.000000000038654</v>
      </c>
      <c r="AY15" s="58">
        <v>347.85</v>
      </c>
      <c r="AZ15" s="65">
        <f t="shared" si="20"/>
        <v>30.000000000029559</v>
      </c>
      <c r="BA15" s="58">
        <v>367.5</v>
      </c>
      <c r="BB15" s="65">
        <f t="shared" si="21"/>
        <v>29.999999999972715</v>
      </c>
      <c r="BC15" s="58">
        <v>233.84</v>
      </c>
      <c r="BD15" s="65">
        <f t="shared" si="22"/>
        <v>20.000000000010232</v>
      </c>
      <c r="BE15" s="59">
        <v>32817</v>
      </c>
      <c r="BF15" s="67">
        <f t="shared" si="39"/>
        <v>30</v>
      </c>
      <c r="BG15" s="60">
        <v>226.58</v>
      </c>
      <c r="BH15" s="65">
        <f t="shared" si="23"/>
        <v>10.000000000019327</v>
      </c>
      <c r="BI15" s="60">
        <v>284.72000000000003</v>
      </c>
      <c r="BJ15" s="65">
        <f t="shared" si="40"/>
        <v>10.000000000047748</v>
      </c>
      <c r="BK15" s="60">
        <v>231.7</v>
      </c>
      <c r="BL15" s="65">
        <f t="shared" si="24"/>
        <v>9.9999999999909051</v>
      </c>
      <c r="BM15" s="60">
        <v>216.5</v>
      </c>
      <c r="BN15" s="65">
        <f t="shared" si="25"/>
        <v>20.000000000010232</v>
      </c>
      <c r="BO15" s="60">
        <v>281.52999999999997</v>
      </c>
      <c r="BP15" s="65">
        <f t="shared" si="26"/>
        <v>19.99999999998181</v>
      </c>
      <c r="BQ15" s="60">
        <v>40492</v>
      </c>
      <c r="BR15" s="65">
        <f t="shared" si="27"/>
        <v>12</v>
      </c>
      <c r="BS15" s="60">
        <v>194.97</v>
      </c>
      <c r="BT15" s="65">
        <f t="shared" si="42"/>
        <v>9.9999999999909051</v>
      </c>
      <c r="BU15" s="60">
        <v>33245</v>
      </c>
      <c r="BV15" s="65">
        <f t="shared" si="29"/>
        <v>40</v>
      </c>
      <c r="BW15" s="60">
        <v>226.39</v>
      </c>
      <c r="BX15" s="65">
        <f t="shared" si="30"/>
        <v>9.9999999999909051</v>
      </c>
      <c r="BY15" s="60">
        <v>51557</v>
      </c>
      <c r="BZ15" s="67">
        <f t="shared" si="31"/>
        <v>24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50954.2</v>
      </c>
      <c r="CF15" s="67">
        <f t="shared" si="34"/>
        <v>0</v>
      </c>
      <c r="CG15" s="60">
        <v>51198.2</v>
      </c>
      <c r="CH15" s="67">
        <f t="shared" si="35"/>
        <v>21</v>
      </c>
      <c r="CI15" s="60">
        <v>889020</v>
      </c>
      <c r="CJ15" s="67">
        <f t="shared" si="36"/>
        <v>213</v>
      </c>
      <c r="CK15" s="60">
        <v>631.51</v>
      </c>
      <c r="CL15" s="64">
        <f t="shared" si="37"/>
        <v>470.00000000002728</v>
      </c>
      <c r="CM15" s="65">
        <f t="shared" si="41"/>
        <v>31.299999999999955</v>
      </c>
      <c r="CN15" s="62">
        <v>0</v>
      </c>
      <c r="CO15" s="62">
        <v>0</v>
      </c>
      <c r="CP15" s="68">
        <v>1606</v>
      </c>
      <c r="CQ15" s="67">
        <f t="shared" si="38"/>
        <v>23.299999999999955</v>
      </c>
      <c r="CR15" s="68">
        <v>10947</v>
      </c>
      <c r="CS15" s="67">
        <f t="shared" si="38"/>
        <v>8</v>
      </c>
      <c r="CT15" s="75">
        <v>3625</v>
      </c>
      <c r="CU15" s="67">
        <f t="shared" si="38"/>
        <v>10</v>
      </c>
      <c r="CV15" s="68">
        <v>10124</v>
      </c>
      <c r="CW15" s="67">
        <f t="shared" si="38"/>
        <v>10</v>
      </c>
    </row>
    <row r="16" spans="1:102" ht="25.5" customHeight="1" thickBot="1" x14ac:dyDescent="0.45">
      <c r="A16" s="63">
        <v>44148</v>
      </c>
      <c r="B16" s="44"/>
      <c r="C16" s="58">
        <v>1.8958999999999999</v>
      </c>
      <c r="D16" s="64">
        <f t="shared" si="0"/>
        <v>1199.9999999998679</v>
      </c>
      <c r="E16" s="58">
        <v>2.8068</v>
      </c>
      <c r="F16" s="64">
        <f t="shared" si="1"/>
        <v>700.00000000014495</v>
      </c>
      <c r="G16" s="58">
        <v>2.8085</v>
      </c>
      <c r="H16" s="64">
        <f t="shared" si="2"/>
        <v>1900.0000000000127</v>
      </c>
      <c r="I16" s="58">
        <v>1.3651</v>
      </c>
      <c r="J16" s="64">
        <f t="shared" si="3"/>
        <v>899.99999999990087</v>
      </c>
      <c r="K16" s="58">
        <v>2.1808000000000001</v>
      </c>
      <c r="L16" s="64">
        <f t="shared" si="4"/>
        <v>2099.9999999999909</v>
      </c>
      <c r="M16" s="58">
        <v>1.2791999999999999</v>
      </c>
      <c r="N16" s="64">
        <f t="shared" si="5"/>
        <v>699.99999999992292</v>
      </c>
      <c r="O16" s="58">
        <v>12693</v>
      </c>
      <c r="P16" s="67">
        <f t="shared" si="44"/>
        <v>1</v>
      </c>
      <c r="Q16" s="58">
        <v>5987</v>
      </c>
      <c r="R16" s="67">
        <f t="shared" si="6"/>
        <v>3</v>
      </c>
      <c r="S16" s="58">
        <v>865175.4</v>
      </c>
      <c r="T16" s="67">
        <f t="shared" si="7"/>
        <v>209.20000000006985</v>
      </c>
      <c r="U16" s="58">
        <v>354555.5</v>
      </c>
      <c r="V16" s="67">
        <f t="shared" si="8"/>
        <v>139.79999999998836</v>
      </c>
      <c r="W16" s="58">
        <v>346.86</v>
      </c>
      <c r="X16" s="65">
        <f t="shared" si="9"/>
        <v>90.000000000031832</v>
      </c>
      <c r="Y16" s="58">
        <v>2.456</v>
      </c>
      <c r="Z16" s="65">
        <f t="shared" si="10"/>
        <v>500.00000000016701</v>
      </c>
      <c r="AA16" s="58">
        <v>338.87</v>
      </c>
      <c r="AB16" s="65">
        <f t="shared" si="11"/>
        <v>129.99999999999545</v>
      </c>
      <c r="AC16" s="58">
        <v>327.98</v>
      </c>
      <c r="AD16" s="65">
        <f t="shared" si="12"/>
        <v>170.00000000001592</v>
      </c>
      <c r="AE16" s="58">
        <v>511.58</v>
      </c>
      <c r="AF16" s="65">
        <f t="shared" si="13"/>
        <v>259.99999999999091</v>
      </c>
      <c r="AG16" s="58">
        <v>1437.6</v>
      </c>
      <c r="AH16" s="67">
        <f t="shared" si="14"/>
        <v>1.2999999999999545</v>
      </c>
      <c r="AI16" s="58">
        <v>485.26</v>
      </c>
      <c r="AJ16" s="65">
        <f t="shared" si="15"/>
        <v>219.99999999997044</v>
      </c>
      <c r="AK16" s="58">
        <v>170.19</v>
      </c>
      <c r="AL16" s="65">
        <f t="shared" si="15"/>
        <v>180.00000000000682</v>
      </c>
      <c r="AM16" s="58">
        <v>168.62</v>
      </c>
      <c r="AN16" s="65">
        <f t="shared" si="15"/>
        <v>170.00000000001592</v>
      </c>
      <c r="AO16" s="58">
        <v>162.4</v>
      </c>
      <c r="AP16" s="65">
        <f t="shared" si="15"/>
        <v>159.99999999999659</v>
      </c>
      <c r="AQ16" s="58">
        <v>223.26</v>
      </c>
      <c r="AR16" s="65">
        <f t="shared" si="16"/>
        <v>39.999999999992042</v>
      </c>
      <c r="AS16" s="58">
        <v>348.77</v>
      </c>
      <c r="AT16" s="65">
        <f t="shared" si="17"/>
        <v>39.99999999996362</v>
      </c>
      <c r="AU16" s="58">
        <v>269.13</v>
      </c>
      <c r="AV16" s="65">
        <f t="shared" si="18"/>
        <v>29.999999999972715</v>
      </c>
      <c r="AW16" s="58">
        <v>296.45</v>
      </c>
      <c r="AX16" s="65">
        <f t="shared" si="19"/>
        <v>29.999999999972715</v>
      </c>
      <c r="AY16" s="58">
        <v>347.88</v>
      </c>
      <c r="AZ16" s="65">
        <f t="shared" si="20"/>
        <v>29.999999999972715</v>
      </c>
      <c r="BA16" s="58">
        <v>367.53</v>
      </c>
      <c r="BB16" s="65">
        <f t="shared" si="21"/>
        <v>29.999999999972715</v>
      </c>
      <c r="BC16" s="58">
        <v>233.86</v>
      </c>
      <c r="BD16" s="65">
        <f t="shared" si="22"/>
        <v>20.000000000010232</v>
      </c>
      <c r="BE16" s="59">
        <v>32854</v>
      </c>
      <c r="BF16" s="67">
        <f t="shared" si="39"/>
        <v>37</v>
      </c>
      <c r="BG16" s="60">
        <v>226.61</v>
      </c>
      <c r="BH16" s="65">
        <f t="shared" si="23"/>
        <v>30.000000000001137</v>
      </c>
      <c r="BI16" s="60">
        <v>284.74</v>
      </c>
      <c r="BJ16" s="65">
        <f t="shared" si="40"/>
        <v>19.99999999998181</v>
      </c>
      <c r="BK16" s="60">
        <v>231.7</v>
      </c>
      <c r="BL16" s="65">
        <f t="shared" si="24"/>
        <v>0</v>
      </c>
      <c r="BM16" s="60">
        <v>216.51</v>
      </c>
      <c r="BN16" s="65">
        <f t="shared" si="25"/>
        <v>9.9999999999909051</v>
      </c>
      <c r="BO16" s="60">
        <v>281.55</v>
      </c>
      <c r="BP16" s="65">
        <f t="shared" si="26"/>
        <v>20.000000000038654</v>
      </c>
      <c r="BQ16" s="60">
        <v>40503</v>
      </c>
      <c r="BR16" s="65">
        <f t="shared" si="27"/>
        <v>11</v>
      </c>
      <c r="BS16" s="60">
        <v>194.98</v>
      </c>
      <c r="BT16" s="65">
        <f t="shared" si="42"/>
        <v>9.9999999999909051</v>
      </c>
      <c r="BU16" s="60">
        <v>33285</v>
      </c>
      <c r="BV16" s="65">
        <f t="shared" si="29"/>
        <v>40</v>
      </c>
      <c r="BW16" s="60">
        <v>226.4</v>
      </c>
      <c r="BX16" s="65">
        <f t="shared" si="30"/>
        <v>10.000000000019327</v>
      </c>
      <c r="BY16" s="60">
        <v>51583</v>
      </c>
      <c r="BZ16" s="67">
        <f t="shared" si="31"/>
        <v>26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50954.2</v>
      </c>
      <c r="CF16" s="67">
        <f t="shared" si="34"/>
        <v>0</v>
      </c>
      <c r="CG16" s="60">
        <v>51226.7</v>
      </c>
      <c r="CH16" s="67">
        <f t="shared" si="35"/>
        <v>28.5</v>
      </c>
      <c r="CI16" s="60">
        <v>889237</v>
      </c>
      <c r="CJ16" s="67">
        <f t="shared" si="36"/>
        <v>217</v>
      </c>
      <c r="CK16" s="60">
        <v>632.21</v>
      </c>
      <c r="CL16" s="64">
        <f t="shared" si="37"/>
        <v>700.00000000004547</v>
      </c>
      <c r="CM16" s="65">
        <f t="shared" si="41"/>
        <v>16.299999999999955</v>
      </c>
      <c r="CN16" s="62">
        <v>0</v>
      </c>
      <c r="CO16" s="62">
        <v>0</v>
      </c>
      <c r="CP16" s="68">
        <v>1618.3</v>
      </c>
      <c r="CQ16" s="67">
        <f t="shared" si="38"/>
        <v>12.299999999999955</v>
      </c>
      <c r="CR16" s="68">
        <v>10951</v>
      </c>
      <c r="CS16" s="67">
        <f t="shared" si="38"/>
        <v>4</v>
      </c>
      <c r="CT16" s="75">
        <v>3634</v>
      </c>
      <c r="CU16" s="67">
        <f t="shared" si="38"/>
        <v>9</v>
      </c>
      <c r="CV16" s="68">
        <v>10133</v>
      </c>
      <c r="CW16" s="67">
        <f t="shared" si="38"/>
        <v>9</v>
      </c>
    </row>
    <row r="17" spans="1:101" ht="25.5" customHeight="1" thickBot="1" x14ac:dyDescent="0.45">
      <c r="A17" s="63">
        <v>44149</v>
      </c>
      <c r="B17" s="44"/>
      <c r="C17" s="58">
        <v>1.8971</v>
      </c>
      <c r="D17" s="64">
        <f t="shared" si="0"/>
        <v>1200.0000000000898</v>
      </c>
      <c r="E17" s="58">
        <v>2.8073000000000001</v>
      </c>
      <c r="F17" s="64">
        <f t="shared" si="1"/>
        <v>500.00000000016701</v>
      </c>
      <c r="G17" s="58">
        <v>2.8098000000000001</v>
      </c>
      <c r="H17" s="64">
        <f t="shared" si="2"/>
        <v>1300.0000000000789</v>
      </c>
      <c r="I17" s="58">
        <v>1.3657999999999999</v>
      </c>
      <c r="J17" s="64">
        <f t="shared" si="3"/>
        <v>699.99999999992292</v>
      </c>
      <c r="K17" s="58">
        <v>2.1825000000000001</v>
      </c>
      <c r="L17" s="64">
        <f t="shared" si="4"/>
        <v>1700.0000000000348</v>
      </c>
      <c r="M17" s="58">
        <v>1.2796000000000001</v>
      </c>
      <c r="N17" s="64">
        <f t="shared" si="5"/>
        <v>400.00000000017798</v>
      </c>
      <c r="O17" s="58">
        <v>12694</v>
      </c>
      <c r="P17" s="67">
        <f t="shared" si="44"/>
        <v>1</v>
      </c>
      <c r="Q17" s="58">
        <v>5989</v>
      </c>
      <c r="R17" s="67">
        <f t="shared" si="6"/>
        <v>2</v>
      </c>
      <c r="S17" s="58">
        <v>865277</v>
      </c>
      <c r="T17" s="67">
        <f t="shared" si="7"/>
        <v>101.59999999997672</v>
      </c>
      <c r="U17" s="58">
        <v>354621.7</v>
      </c>
      <c r="V17" s="67">
        <f t="shared" si="8"/>
        <v>66.200000000011642</v>
      </c>
      <c r="W17" s="58">
        <v>346.94</v>
      </c>
      <c r="X17" s="65">
        <f t="shared" si="9"/>
        <v>79.999999999984084</v>
      </c>
      <c r="Y17" s="58">
        <v>2.4563999999999999</v>
      </c>
      <c r="Z17" s="65">
        <f t="shared" si="10"/>
        <v>399.99999999995595</v>
      </c>
      <c r="AA17" s="58">
        <v>338.69</v>
      </c>
      <c r="AB17" s="65" t="str">
        <f t="shared" si="11"/>
        <v/>
      </c>
      <c r="AC17" s="58">
        <v>328.1</v>
      </c>
      <c r="AD17" s="65">
        <f t="shared" si="12"/>
        <v>120.00000000000455</v>
      </c>
      <c r="AE17" s="58">
        <v>511.7</v>
      </c>
      <c r="AF17" s="65">
        <f t="shared" si="13"/>
        <v>120.00000000000455</v>
      </c>
      <c r="AG17" s="58">
        <v>1438.5</v>
      </c>
      <c r="AH17" s="67">
        <f t="shared" si="14"/>
        <v>0.90000000000009095</v>
      </c>
      <c r="AI17" s="58">
        <v>485.76</v>
      </c>
      <c r="AJ17" s="65">
        <f t="shared" si="15"/>
        <v>500</v>
      </c>
      <c r="AK17" s="58">
        <v>170.32</v>
      </c>
      <c r="AL17" s="65">
        <f t="shared" si="15"/>
        <v>129.99999999999545</v>
      </c>
      <c r="AM17" s="58">
        <v>168.76</v>
      </c>
      <c r="AN17" s="65">
        <f t="shared" si="15"/>
        <v>139.99999999998636</v>
      </c>
      <c r="AO17" s="58">
        <v>162.52000000000001</v>
      </c>
      <c r="AP17" s="65">
        <f t="shared" si="15"/>
        <v>120.00000000000455</v>
      </c>
      <c r="AQ17" s="58">
        <v>223.27</v>
      </c>
      <c r="AR17" s="65">
        <f t="shared" si="16"/>
        <v>10.000000000019327</v>
      </c>
      <c r="AS17" s="58">
        <v>348.8</v>
      </c>
      <c r="AT17" s="65">
        <f t="shared" si="17"/>
        <v>30.000000000029559</v>
      </c>
      <c r="AU17" s="58">
        <v>269.14999999999998</v>
      </c>
      <c r="AV17" s="65">
        <f t="shared" si="18"/>
        <v>19.99999999998181</v>
      </c>
      <c r="AW17" s="58">
        <v>296.47000000000003</v>
      </c>
      <c r="AX17" s="65">
        <f t="shared" si="19"/>
        <v>20.000000000038654</v>
      </c>
      <c r="AY17" s="58">
        <v>347.9</v>
      </c>
      <c r="AZ17" s="65">
        <f t="shared" si="20"/>
        <v>19.99999999998181</v>
      </c>
      <c r="BA17" s="58">
        <v>367.54</v>
      </c>
      <c r="BB17" s="65">
        <f t="shared" si="21"/>
        <v>10.000000000047748</v>
      </c>
      <c r="BC17" s="58">
        <v>233.88</v>
      </c>
      <c r="BD17" s="65">
        <f t="shared" si="22"/>
        <v>19.99999999998181</v>
      </c>
      <c r="BE17" s="59">
        <v>32870</v>
      </c>
      <c r="BF17" s="67">
        <f t="shared" si="39"/>
        <v>16</v>
      </c>
      <c r="BG17" s="60">
        <v>226.62</v>
      </c>
      <c r="BH17" s="65">
        <f t="shared" si="23"/>
        <v>9.9999999999909051</v>
      </c>
      <c r="BI17" s="60">
        <v>284.76</v>
      </c>
      <c r="BJ17" s="65">
        <f t="shared" si="40"/>
        <v>19.99999999998181</v>
      </c>
      <c r="BK17" s="60">
        <v>231.71</v>
      </c>
      <c r="BL17" s="65">
        <f t="shared" si="24"/>
        <v>10.000000000019327</v>
      </c>
      <c r="BM17" s="60">
        <v>216.52</v>
      </c>
      <c r="BN17" s="65">
        <f t="shared" si="25"/>
        <v>10.000000000019327</v>
      </c>
      <c r="BO17" s="60">
        <v>281.57</v>
      </c>
      <c r="BP17" s="65">
        <f t="shared" si="26"/>
        <v>19.99999999998181</v>
      </c>
      <c r="BQ17" s="60">
        <v>40512</v>
      </c>
      <c r="BR17" s="65">
        <f t="shared" si="27"/>
        <v>9</v>
      </c>
      <c r="BS17" s="60">
        <v>195</v>
      </c>
      <c r="BT17" s="65">
        <f t="shared" si="42"/>
        <v>20.000000000010232</v>
      </c>
      <c r="BU17" s="60">
        <v>33312</v>
      </c>
      <c r="BV17" s="65">
        <f t="shared" si="29"/>
        <v>27</v>
      </c>
      <c r="BW17" s="60">
        <v>226.41</v>
      </c>
      <c r="BX17" s="65">
        <f t="shared" si="30"/>
        <v>9.9999999999909051</v>
      </c>
      <c r="BY17" s="60">
        <v>51600</v>
      </c>
      <c r="BZ17" s="67">
        <f t="shared" si="31"/>
        <v>17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50954.2</v>
      </c>
      <c r="CF17" s="67">
        <f t="shared" si="34"/>
        <v>0</v>
      </c>
      <c r="CG17" s="60">
        <v>51238.2</v>
      </c>
      <c r="CH17" s="67">
        <f t="shared" si="35"/>
        <v>11.5</v>
      </c>
      <c r="CI17" s="60">
        <v>889422</v>
      </c>
      <c r="CJ17" s="67">
        <f t="shared" si="36"/>
        <v>185</v>
      </c>
      <c r="CK17" s="60">
        <v>632.58000000000004</v>
      </c>
      <c r="CL17" s="64">
        <f t="shared" si="37"/>
        <v>370.00000000000455</v>
      </c>
      <c r="CM17" s="65">
        <f t="shared" si="41"/>
        <v>10.400000000000091</v>
      </c>
      <c r="CN17" s="62">
        <v>0</v>
      </c>
      <c r="CO17" s="62">
        <v>0</v>
      </c>
      <c r="CP17" s="68">
        <v>1624.7</v>
      </c>
      <c r="CQ17" s="67">
        <f t="shared" si="38"/>
        <v>6.4000000000000909</v>
      </c>
      <c r="CR17" s="68">
        <v>10955</v>
      </c>
      <c r="CS17" s="67">
        <f t="shared" si="38"/>
        <v>4</v>
      </c>
      <c r="CT17" s="75">
        <v>3641</v>
      </c>
      <c r="CU17" s="67">
        <f t="shared" si="38"/>
        <v>7</v>
      </c>
      <c r="CV17" s="68">
        <v>10140</v>
      </c>
      <c r="CW17" s="67">
        <f t="shared" si="38"/>
        <v>7</v>
      </c>
    </row>
    <row r="18" spans="1:101" ht="25.5" customHeight="1" thickBot="1" x14ac:dyDescent="0.45">
      <c r="A18" s="63">
        <v>44150</v>
      </c>
      <c r="B18" s="44"/>
      <c r="C18" s="58">
        <v>1.8984000000000001</v>
      </c>
      <c r="D18" s="64">
        <f t="shared" si="0"/>
        <v>1300.0000000000789</v>
      </c>
      <c r="E18" s="58">
        <v>2.8079000000000001</v>
      </c>
      <c r="F18" s="64">
        <f t="shared" si="1"/>
        <v>599.99999999993395</v>
      </c>
      <c r="G18" s="58">
        <v>2.8113000000000001</v>
      </c>
      <c r="H18" s="64">
        <f t="shared" si="2"/>
        <v>1500.0000000000568</v>
      </c>
      <c r="I18" s="58">
        <v>1.3667</v>
      </c>
      <c r="J18" s="64">
        <f t="shared" si="3"/>
        <v>900.0000000001229</v>
      </c>
      <c r="K18" s="58">
        <v>2.1844000000000001</v>
      </c>
      <c r="L18" s="64">
        <f t="shared" si="4"/>
        <v>1900.0000000000127</v>
      </c>
      <c r="M18" s="58">
        <v>1.2801</v>
      </c>
      <c r="N18" s="64">
        <f t="shared" si="5"/>
        <v>499.99999999994492</v>
      </c>
      <c r="O18" s="58">
        <v>12695</v>
      </c>
      <c r="P18" s="67">
        <f t="shared" si="44"/>
        <v>1</v>
      </c>
      <c r="Q18" s="58">
        <v>5992</v>
      </c>
      <c r="R18" s="67">
        <f t="shared" si="6"/>
        <v>3</v>
      </c>
      <c r="S18" s="58">
        <v>865335.4</v>
      </c>
      <c r="T18" s="67">
        <f t="shared" si="7"/>
        <v>58.400000000023283</v>
      </c>
      <c r="U18" s="58">
        <v>354667.8</v>
      </c>
      <c r="V18" s="67">
        <f t="shared" si="8"/>
        <v>46.099999999976717</v>
      </c>
      <c r="W18" s="58">
        <v>347.02</v>
      </c>
      <c r="X18" s="65">
        <f t="shared" si="9"/>
        <v>79.999999999984084</v>
      </c>
      <c r="Y18" s="58">
        <v>2.4567999999999999</v>
      </c>
      <c r="Z18" s="65">
        <f t="shared" si="10"/>
        <v>399.99999999995595</v>
      </c>
      <c r="AA18" s="58">
        <v>339.04</v>
      </c>
      <c r="AB18" s="65">
        <f t="shared" si="11"/>
        <v>350.00000000002274</v>
      </c>
      <c r="AC18" s="58">
        <v>328.24</v>
      </c>
      <c r="AD18" s="65">
        <f t="shared" si="12"/>
        <v>139.99999999998636</v>
      </c>
      <c r="AE18" s="58">
        <v>511.85</v>
      </c>
      <c r="AF18" s="65">
        <f t="shared" si="13"/>
        <v>150.00000000003411</v>
      </c>
      <c r="AG18" s="58">
        <v>1439.6</v>
      </c>
      <c r="AH18" s="67">
        <f t="shared" si="14"/>
        <v>1.0999999999999091</v>
      </c>
      <c r="AI18" s="58">
        <v>486.26</v>
      </c>
      <c r="AJ18" s="65">
        <f t="shared" si="15"/>
        <v>500</v>
      </c>
      <c r="AK18" s="58">
        <v>170.47</v>
      </c>
      <c r="AL18" s="65">
        <f t="shared" si="15"/>
        <v>150.00000000000568</v>
      </c>
      <c r="AM18" s="58">
        <v>168.92</v>
      </c>
      <c r="AN18" s="65">
        <f t="shared" si="15"/>
        <v>159.99999999999659</v>
      </c>
      <c r="AO18" s="58">
        <v>162.66999999999999</v>
      </c>
      <c r="AP18" s="65">
        <f t="shared" si="15"/>
        <v>149.99999999997726</v>
      </c>
      <c r="AQ18" s="58">
        <v>223.29</v>
      </c>
      <c r="AR18" s="65">
        <f t="shared" si="16"/>
        <v>19.99999999998181</v>
      </c>
      <c r="AS18" s="58">
        <v>348.83</v>
      </c>
      <c r="AT18" s="65">
        <f t="shared" si="17"/>
        <v>29.999999999972715</v>
      </c>
      <c r="AU18" s="58">
        <v>269.18</v>
      </c>
      <c r="AV18" s="65">
        <f t="shared" si="18"/>
        <v>30.000000000029559</v>
      </c>
      <c r="AW18" s="58">
        <v>296.49</v>
      </c>
      <c r="AX18" s="65">
        <f t="shared" si="19"/>
        <v>19.99999999998181</v>
      </c>
      <c r="AY18" s="58">
        <v>347.93</v>
      </c>
      <c r="AZ18" s="65">
        <f t="shared" si="20"/>
        <v>30.000000000029559</v>
      </c>
      <c r="BA18" s="58">
        <v>367.57</v>
      </c>
      <c r="BB18" s="65">
        <f t="shared" si="21"/>
        <v>29.999999999972715</v>
      </c>
      <c r="BC18" s="58">
        <v>233.89</v>
      </c>
      <c r="BD18" s="65">
        <f t="shared" si="22"/>
        <v>9.9999999999909051</v>
      </c>
      <c r="BE18" s="59">
        <v>32907</v>
      </c>
      <c r="BF18" s="67">
        <f t="shared" si="39"/>
        <v>37</v>
      </c>
      <c r="BG18" s="60">
        <v>226.64</v>
      </c>
      <c r="BH18" s="65">
        <f t="shared" si="23"/>
        <v>19.99999999998181</v>
      </c>
      <c r="BI18" s="60">
        <v>284.77</v>
      </c>
      <c r="BJ18" s="65">
        <f t="shared" si="40"/>
        <v>9.9999999999909051</v>
      </c>
      <c r="BK18" s="60">
        <v>231.72</v>
      </c>
      <c r="BL18" s="65">
        <f t="shared" si="24"/>
        <v>9.9999999999909051</v>
      </c>
      <c r="BM18" s="60">
        <v>216.54</v>
      </c>
      <c r="BN18" s="65">
        <f t="shared" si="25"/>
        <v>19.99999999998181</v>
      </c>
      <c r="BO18" s="60">
        <v>281.58999999999997</v>
      </c>
      <c r="BP18" s="65">
        <f t="shared" si="26"/>
        <v>19.99999999998181</v>
      </c>
      <c r="BQ18" s="60">
        <v>40524</v>
      </c>
      <c r="BR18" s="65">
        <f t="shared" si="27"/>
        <v>12</v>
      </c>
      <c r="BS18" s="60">
        <v>195.01</v>
      </c>
      <c r="BT18" s="65">
        <f t="shared" si="42"/>
        <v>9.9999999999909051</v>
      </c>
      <c r="BU18" s="60">
        <v>33354</v>
      </c>
      <c r="BV18" s="65">
        <f t="shared" si="29"/>
        <v>42</v>
      </c>
      <c r="BW18" s="60">
        <v>226.43</v>
      </c>
      <c r="BX18" s="65">
        <f t="shared" si="30"/>
        <v>20.000000000010232</v>
      </c>
      <c r="BY18" s="60">
        <v>51618</v>
      </c>
      <c r="BZ18" s="67">
        <f t="shared" si="31"/>
        <v>18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50954.2</v>
      </c>
      <c r="CF18" s="67">
        <f t="shared" si="34"/>
        <v>0</v>
      </c>
      <c r="CG18" s="60">
        <v>51257</v>
      </c>
      <c r="CH18" s="67">
        <f t="shared" si="35"/>
        <v>18.80000000000291</v>
      </c>
      <c r="CI18" s="60">
        <v>889638</v>
      </c>
      <c r="CJ18" s="67">
        <f t="shared" si="36"/>
        <v>216</v>
      </c>
      <c r="CK18" s="60">
        <v>632.98</v>
      </c>
      <c r="CL18" s="64">
        <f t="shared" si="37"/>
        <v>399.99999999997726</v>
      </c>
      <c r="CM18" s="65">
        <f t="shared" si="41"/>
        <v>11.099999999999909</v>
      </c>
      <c r="CN18" s="62">
        <v>0</v>
      </c>
      <c r="CO18" s="62">
        <v>0</v>
      </c>
      <c r="CP18" s="68">
        <v>1630.8</v>
      </c>
      <c r="CQ18" s="67">
        <f t="shared" si="38"/>
        <v>6.0999999999999091</v>
      </c>
      <c r="CR18" s="68">
        <v>10960</v>
      </c>
      <c r="CS18" s="67">
        <f t="shared" si="38"/>
        <v>5</v>
      </c>
      <c r="CT18" s="75">
        <v>3650</v>
      </c>
      <c r="CU18" s="67">
        <f t="shared" si="38"/>
        <v>9</v>
      </c>
      <c r="CV18" s="68">
        <v>10150</v>
      </c>
      <c r="CW18" s="67">
        <f t="shared" si="38"/>
        <v>10</v>
      </c>
    </row>
    <row r="19" spans="1:101" ht="25.5" customHeight="1" thickBot="1" x14ac:dyDescent="0.45">
      <c r="A19" s="63">
        <v>44151</v>
      </c>
      <c r="B19" s="44"/>
      <c r="C19" s="58">
        <v>1.8997999999999999</v>
      </c>
      <c r="D19" s="64">
        <f t="shared" si="0"/>
        <v>1399.9999999998458</v>
      </c>
      <c r="E19" s="58">
        <v>2.8086000000000002</v>
      </c>
      <c r="F19" s="64">
        <f t="shared" si="1"/>
        <v>700.00000000014495</v>
      </c>
      <c r="G19" s="58">
        <v>2.8130000000000002</v>
      </c>
      <c r="H19" s="64">
        <f t="shared" si="2"/>
        <v>1700.0000000000348</v>
      </c>
      <c r="I19" s="58">
        <v>1.3674999999999999</v>
      </c>
      <c r="J19" s="64">
        <f t="shared" si="3"/>
        <v>799.99999999991189</v>
      </c>
      <c r="K19" s="58">
        <v>2.1863999999999999</v>
      </c>
      <c r="L19" s="64">
        <f t="shared" si="4"/>
        <v>1999.9999999997797</v>
      </c>
      <c r="M19" s="58">
        <v>1.2806999999999999</v>
      </c>
      <c r="N19" s="64">
        <f t="shared" si="5"/>
        <v>599.99999999993395</v>
      </c>
      <c r="O19" s="58">
        <v>12696</v>
      </c>
      <c r="P19" s="67">
        <f t="shared" si="44"/>
        <v>1</v>
      </c>
      <c r="Q19" s="58">
        <v>5995</v>
      </c>
      <c r="R19" s="67">
        <f t="shared" si="6"/>
        <v>3</v>
      </c>
      <c r="S19" s="58">
        <v>865597.4</v>
      </c>
      <c r="T19" s="67">
        <f t="shared" si="7"/>
        <v>262</v>
      </c>
      <c r="U19" s="58">
        <v>354843.5</v>
      </c>
      <c r="V19" s="67">
        <f t="shared" si="8"/>
        <v>175.70000000001164</v>
      </c>
      <c r="W19" s="58">
        <v>347.14</v>
      </c>
      <c r="X19" s="65">
        <f t="shared" si="9"/>
        <v>120.00000000000455</v>
      </c>
      <c r="Y19" s="58">
        <v>2.4573</v>
      </c>
      <c r="Z19" s="65">
        <f t="shared" si="10"/>
        <v>500.00000000016701</v>
      </c>
      <c r="AA19" s="58">
        <v>339.15</v>
      </c>
      <c r="AB19" s="65">
        <f t="shared" si="11"/>
        <v>109.9999999999568</v>
      </c>
      <c r="AC19" s="58">
        <v>328.4</v>
      </c>
      <c r="AD19" s="65">
        <f t="shared" si="12"/>
        <v>159.99999999996817</v>
      </c>
      <c r="AE19" s="58">
        <v>512.08000000000004</v>
      </c>
      <c r="AF19" s="65">
        <f t="shared" si="13"/>
        <v>230.00000000001819</v>
      </c>
      <c r="AG19" s="58">
        <v>1440.6</v>
      </c>
      <c r="AH19" s="67">
        <f t="shared" si="14"/>
        <v>1</v>
      </c>
      <c r="AI19" s="58">
        <v>486.73</v>
      </c>
      <c r="AJ19" s="65">
        <f t="shared" si="15"/>
        <v>470.00000000002728</v>
      </c>
      <c r="AK19" s="58">
        <v>170.65</v>
      </c>
      <c r="AL19" s="65">
        <f t="shared" si="15"/>
        <v>180.00000000000682</v>
      </c>
      <c r="AM19" s="58">
        <v>169.09</v>
      </c>
      <c r="AN19" s="65">
        <f t="shared" si="15"/>
        <v>170.00000000001592</v>
      </c>
      <c r="AO19" s="58">
        <v>162.83000000000001</v>
      </c>
      <c r="AP19" s="65">
        <f t="shared" si="15"/>
        <v>160.00000000002501</v>
      </c>
      <c r="AQ19" s="58">
        <v>223.33</v>
      </c>
      <c r="AR19" s="65">
        <f t="shared" si="16"/>
        <v>40.000000000020464</v>
      </c>
      <c r="AS19" s="58">
        <v>348.87</v>
      </c>
      <c r="AT19" s="65">
        <f t="shared" si="17"/>
        <v>40.000000000020464</v>
      </c>
      <c r="AU19" s="58">
        <v>269.20999999999998</v>
      </c>
      <c r="AV19" s="65">
        <f t="shared" si="18"/>
        <v>29.999999999972715</v>
      </c>
      <c r="AW19" s="58">
        <v>296.52</v>
      </c>
      <c r="AX19" s="65">
        <f t="shared" si="19"/>
        <v>29.999999999972715</v>
      </c>
      <c r="AY19" s="58">
        <v>347.96</v>
      </c>
      <c r="AZ19" s="65">
        <f t="shared" si="20"/>
        <v>29.999999999972715</v>
      </c>
      <c r="BA19" s="58">
        <v>367.6</v>
      </c>
      <c r="BB19" s="65">
        <f t="shared" si="21"/>
        <v>30.000000000029559</v>
      </c>
      <c r="BC19" s="58">
        <v>233.91</v>
      </c>
      <c r="BD19" s="65">
        <f t="shared" si="22"/>
        <v>20.000000000010232</v>
      </c>
      <c r="BE19" s="59">
        <v>32935</v>
      </c>
      <c r="BF19" s="67">
        <f t="shared" si="39"/>
        <v>28</v>
      </c>
      <c r="BG19" s="60">
        <v>226.66</v>
      </c>
      <c r="BH19" s="65">
        <f t="shared" si="23"/>
        <v>20.000000000010232</v>
      </c>
      <c r="BI19" s="60">
        <v>284.79000000000002</v>
      </c>
      <c r="BJ19" s="65">
        <f t="shared" si="40"/>
        <v>20.000000000038654</v>
      </c>
      <c r="BK19" s="60">
        <v>231.73</v>
      </c>
      <c r="BL19" s="65">
        <f t="shared" si="24"/>
        <v>9.9999999999909051</v>
      </c>
      <c r="BM19" s="60">
        <v>216.56</v>
      </c>
      <c r="BN19" s="65">
        <f t="shared" si="25"/>
        <v>20.000000000010232</v>
      </c>
      <c r="BO19" s="60">
        <v>281.61</v>
      </c>
      <c r="BP19" s="65">
        <f t="shared" si="26"/>
        <v>20.000000000038654</v>
      </c>
      <c r="BQ19" s="60">
        <v>40536</v>
      </c>
      <c r="BR19" s="65">
        <f t="shared" si="27"/>
        <v>12</v>
      </c>
      <c r="BS19" s="60">
        <v>195.01</v>
      </c>
      <c r="BT19" s="65">
        <f t="shared" si="42"/>
        <v>0</v>
      </c>
      <c r="BU19" s="60">
        <v>33392</v>
      </c>
      <c r="BV19" s="65">
        <f t="shared" si="29"/>
        <v>38</v>
      </c>
      <c r="BW19" s="60">
        <v>226.44</v>
      </c>
      <c r="BX19" s="65">
        <f t="shared" si="30"/>
        <v>9.9999999999909051</v>
      </c>
      <c r="BY19" s="60">
        <v>51646</v>
      </c>
      <c r="BZ19" s="67">
        <f t="shared" si="31"/>
        <v>28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50954.2</v>
      </c>
      <c r="CF19" s="67">
        <f t="shared" si="34"/>
        <v>0</v>
      </c>
      <c r="CG19" s="60">
        <v>51274</v>
      </c>
      <c r="CH19" s="67">
        <f t="shared" si="35"/>
        <v>17</v>
      </c>
      <c r="CI19" s="60">
        <v>889855</v>
      </c>
      <c r="CJ19" s="67">
        <f t="shared" si="36"/>
        <v>217</v>
      </c>
      <c r="CK19" s="60">
        <v>633.41999999999996</v>
      </c>
      <c r="CL19" s="64">
        <f t="shared" si="37"/>
        <v>439.99999999994088</v>
      </c>
      <c r="CM19" s="65">
        <f t="shared" si="41"/>
        <v>19.400000000000091</v>
      </c>
      <c r="CN19" s="62">
        <v>0</v>
      </c>
      <c r="CO19" s="62">
        <v>0</v>
      </c>
      <c r="CP19" s="68">
        <v>1642.2</v>
      </c>
      <c r="CQ19" s="67">
        <f t="shared" si="38"/>
        <v>11.400000000000091</v>
      </c>
      <c r="CR19" s="68">
        <v>10968</v>
      </c>
      <c r="CS19" s="67">
        <f t="shared" si="38"/>
        <v>8</v>
      </c>
      <c r="CT19" s="75">
        <v>3659</v>
      </c>
      <c r="CU19" s="67">
        <f t="shared" si="38"/>
        <v>9</v>
      </c>
      <c r="CV19" s="68">
        <v>10158</v>
      </c>
      <c r="CW19" s="67">
        <f t="shared" si="38"/>
        <v>8</v>
      </c>
    </row>
    <row r="20" spans="1:101" ht="25.5" customHeight="1" thickBot="1" x14ac:dyDescent="0.45">
      <c r="A20" s="63">
        <v>44152</v>
      </c>
      <c r="B20" s="44"/>
      <c r="C20" s="58">
        <v>1.9012</v>
      </c>
      <c r="D20" s="64">
        <f t="shared" si="0"/>
        <v>1400.0000000000678</v>
      </c>
      <c r="E20" s="58">
        <v>2.8092000000000001</v>
      </c>
      <c r="F20" s="64">
        <f t="shared" si="1"/>
        <v>599.99999999993395</v>
      </c>
      <c r="G20" s="58">
        <v>2.8146</v>
      </c>
      <c r="H20" s="64">
        <f t="shared" si="2"/>
        <v>1599.9999999998238</v>
      </c>
      <c r="I20" s="58">
        <v>1.3684000000000001</v>
      </c>
      <c r="J20" s="64">
        <f t="shared" si="3"/>
        <v>900.0000000001229</v>
      </c>
      <c r="K20" s="58">
        <v>2.1882999999999999</v>
      </c>
      <c r="L20" s="64">
        <f t="shared" si="4"/>
        <v>1900.0000000000127</v>
      </c>
      <c r="M20" s="58">
        <v>1.2813000000000001</v>
      </c>
      <c r="N20" s="64">
        <f t="shared" si="5"/>
        <v>600.00000000015598</v>
      </c>
      <c r="O20" s="58">
        <v>12697</v>
      </c>
      <c r="P20" s="67">
        <f t="shared" si="44"/>
        <v>1</v>
      </c>
      <c r="Q20" s="58">
        <v>5997</v>
      </c>
      <c r="R20" s="67">
        <f t="shared" si="6"/>
        <v>2</v>
      </c>
      <c r="S20" s="58">
        <v>865860</v>
      </c>
      <c r="T20" s="67">
        <f t="shared" si="7"/>
        <v>262.59999999997672</v>
      </c>
      <c r="U20" s="58">
        <v>355010.7</v>
      </c>
      <c r="V20" s="67">
        <f t="shared" si="8"/>
        <v>167.20000000001164</v>
      </c>
      <c r="W20" s="58">
        <v>347.22</v>
      </c>
      <c r="X20" s="65">
        <f t="shared" si="9"/>
        <v>80.000000000040927</v>
      </c>
      <c r="Y20" s="58">
        <v>2.4577</v>
      </c>
      <c r="Z20" s="65">
        <f t="shared" si="10"/>
        <v>399.99999999995595</v>
      </c>
      <c r="AA20" s="58">
        <v>339.3</v>
      </c>
      <c r="AB20" s="65">
        <f t="shared" si="11"/>
        <v>150.00000000003411</v>
      </c>
      <c r="AC20" s="58">
        <v>328.54</v>
      </c>
      <c r="AD20" s="65">
        <f t="shared" si="12"/>
        <v>140.0000000000432</v>
      </c>
      <c r="AE20" s="58">
        <v>512.26</v>
      </c>
      <c r="AF20" s="65">
        <f t="shared" si="13"/>
        <v>179.99999999994998</v>
      </c>
      <c r="AG20" s="58">
        <v>1441.7</v>
      </c>
      <c r="AH20" s="67">
        <f t="shared" si="14"/>
        <v>1.1000000000001364</v>
      </c>
      <c r="AI20" s="58">
        <v>487.2</v>
      </c>
      <c r="AJ20" s="65">
        <f t="shared" si="15"/>
        <v>469.99999999997044</v>
      </c>
      <c r="AK20" s="58">
        <v>170.81</v>
      </c>
      <c r="AL20" s="65">
        <f t="shared" si="15"/>
        <v>159.99999999999659</v>
      </c>
      <c r="AM20" s="58">
        <v>169.27</v>
      </c>
      <c r="AN20" s="65">
        <f t="shared" si="15"/>
        <v>180.00000000000682</v>
      </c>
      <c r="AO20" s="58">
        <v>162.99</v>
      </c>
      <c r="AP20" s="65">
        <f t="shared" si="15"/>
        <v>159.99999999999659</v>
      </c>
      <c r="AQ20" s="58">
        <v>223.37</v>
      </c>
      <c r="AR20" s="65">
        <f t="shared" si="16"/>
        <v>39.999999999992042</v>
      </c>
      <c r="AS20" s="58">
        <v>348.9</v>
      </c>
      <c r="AT20" s="65">
        <f t="shared" si="17"/>
        <v>29.999999999972715</v>
      </c>
      <c r="AU20" s="58">
        <v>269.24</v>
      </c>
      <c r="AV20" s="65">
        <f t="shared" si="18"/>
        <v>30.000000000029559</v>
      </c>
      <c r="AW20" s="58">
        <v>296.54000000000002</v>
      </c>
      <c r="AX20" s="65">
        <f t="shared" si="19"/>
        <v>20.000000000038654</v>
      </c>
      <c r="AY20" s="58">
        <v>347.99</v>
      </c>
      <c r="AZ20" s="65">
        <f t="shared" si="20"/>
        <v>30.000000000029559</v>
      </c>
      <c r="BA20" s="58">
        <v>367.62</v>
      </c>
      <c r="BB20" s="65">
        <f t="shared" si="21"/>
        <v>19.99999999998181</v>
      </c>
      <c r="BC20" s="58">
        <v>233.93</v>
      </c>
      <c r="BD20" s="65">
        <f t="shared" si="22"/>
        <v>20.000000000010232</v>
      </c>
      <c r="BE20" s="59">
        <v>32967</v>
      </c>
      <c r="BF20" s="67">
        <f t="shared" si="39"/>
        <v>32</v>
      </c>
      <c r="BG20" s="60">
        <v>226.67</v>
      </c>
      <c r="BH20" s="65">
        <f t="shared" si="23"/>
        <v>9.9999999999909051</v>
      </c>
      <c r="BI20" s="60">
        <v>284.8</v>
      </c>
      <c r="BJ20" s="65">
        <f t="shared" si="40"/>
        <v>9.9999999999909051</v>
      </c>
      <c r="BK20" s="60">
        <v>231.74</v>
      </c>
      <c r="BL20" s="65">
        <f t="shared" si="24"/>
        <v>10.000000000019327</v>
      </c>
      <c r="BM20" s="60">
        <v>216.57</v>
      </c>
      <c r="BN20" s="65">
        <f t="shared" si="25"/>
        <v>9.9999999999909051</v>
      </c>
      <c r="BO20" s="60">
        <v>281.63</v>
      </c>
      <c r="BP20" s="65">
        <f t="shared" si="26"/>
        <v>19.99999999998181</v>
      </c>
      <c r="BQ20" s="60">
        <v>40550</v>
      </c>
      <c r="BR20" s="65">
        <f t="shared" si="27"/>
        <v>14</v>
      </c>
      <c r="BS20" s="60">
        <v>195.03</v>
      </c>
      <c r="BT20" s="65">
        <f t="shared" si="42"/>
        <v>20.000000000010232</v>
      </c>
      <c r="BU20" s="60">
        <v>33430</v>
      </c>
      <c r="BV20" s="65">
        <f t="shared" si="29"/>
        <v>38</v>
      </c>
      <c r="BW20" s="60">
        <v>226.45</v>
      </c>
      <c r="BX20" s="65">
        <f t="shared" si="30"/>
        <v>9.9999999999909051</v>
      </c>
      <c r="BY20" s="60">
        <v>51671</v>
      </c>
      <c r="BZ20" s="67">
        <f t="shared" si="31"/>
        <v>25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50954.2</v>
      </c>
      <c r="CF20" s="67">
        <f t="shared" si="34"/>
        <v>0</v>
      </c>
      <c r="CG20" s="60">
        <v>51290.9</v>
      </c>
      <c r="CH20" s="67">
        <f t="shared" si="35"/>
        <v>16.900000000001455</v>
      </c>
      <c r="CI20" s="60">
        <v>890068</v>
      </c>
      <c r="CJ20" s="67">
        <f t="shared" si="36"/>
        <v>213</v>
      </c>
      <c r="CK20" s="60">
        <v>633.87</v>
      </c>
      <c r="CL20" s="64">
        <f t="shared" si="37"/>
        <v>450.00000000004547</v>
      </c>
      <c r="CM20" s="65">
        <f t="shared" si="41"/>
        <v>16.200000000000045</v>
      </c>
      <c r="CN20" s="62">
        <v>0</v>
      </c>
      <c r="CO20" s="62">
        <v>0</v>
      </c>
      <c r="CP20" s="68">
        <v>1653.4</v>
      </c>
      <c r="CQ20" s="67">
        <f t="shared" si="38"/>
        <v>11.200000000000045</v>
      </c>
      <c r="CR20" s="68">
        <v>10973</v>
      </c>
      <c r="CS20" s="67">
        <f t="shared" si="38"/>
        <v>5</v>
      </c>
      <c r="CT20" s="75">
        <v>3667</v>
      </c>
      <c r="CU20" s="67">
        <f t="shared" si="38"/>
        <v>8</v>
      </c>
      <c r="CV20" s="68">
        <v>10167</v>
      </c>
      <c r="CW20" s="67">
        <f t="shared" si="38"/>
        <v>9</v>
      </c>
    </row>
    <row r="21" spans="1:101" ht="25.5" customHeight="1" thickBot="1" x14ac:dyDescent="0.45">
      <c r="A21" s="63">
        <v>44153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e">
        <f>IF((#REF!-O20&lt;0), "",#REF!-O20)</f>
        <v>#REF!</v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 t="str">
        <f t="shared" si="39"/>
        <v/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44154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 t="e">
        <f>IF((O22-#REF!&lt;0), "",O22-#REF!)</f>
        <v>#REF!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44155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44156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44157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44158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N24" sqref="N24:Q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36</v>
      </c>
      <c r="O20" s="39">
        <v>84</v>
      </c>
      <c r="P20" s="39">
        <v>83</v>
      </c>
      <c r="Q20" s="39">
        <v>2983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32</v>
      </c>
      <c r="O21" s="39">
        <v>84</v>
      </c>
      <c r="P21" s="39">
        <v>83</v>
      </c>
      <c r="Q21" s="39">
        <v>2986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30</v>
      </c>
      <c r="O22" s="39">
        <v>84</v>
      </c>
      <c r="P22" s="39">
        <v>83</v>
      </c>
      <c r="Q22" s="39">
        <v>2987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28</v>
      </c>
      <c r="O23" s="39">
        <v>84</v>
      </c>
      <c r="P23" s="39">
        <v>83</v>
      </c>
      <c r="Q23" s="39">
        <v>2990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24</v>
      </c>
      <c r="O24" s="39">
        <v>84</v>
      </c>
      <c r="P24" s="39">
        <v>83</v>
      </c>
      <c r="Q24" s="39">
        <v>2995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/>
      <c r="O25" s="39"/>
      <c r="P25" s="39"/>
      <c r="Q25" s="39"/>
      <c r="R25" s="78"/>
      <c r="S25" s="78"/>
      <c r="T25">
        <f t="shared" si="0"/>
        <v>-196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2020-11-18T12:25:35Z</dcterms:modified>
</cp:coreProperties>
</file>