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<sst xmlns="http://schemas.openxmlformats.org/spreadsheetml/2006/main" count="129" uniqueCount="50">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</sst>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66140</v>
      </c>
      <c r="F2" s="11">
        <v>5.0000000000000001E-3</v>
      </c>
      <c r="G2" s="12">
        <f>Submetering!R2</f>
        <v>793.800477</v>
      </c>
      <c r="H2" s="11">
        <v>0.52800000000000002</v>
      </c>
      <c r="I2" s="12">
        <f>Hotel!B7</f>
        <v>185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69370</v>
      </c>
      <c r="F3" s="11">
        <v>5.0000000000000001E-3</v>
      </c>
      <c r="G3" s="12">
        <f>Submetering!R3</f>
        <v>1104.5826379999999</v>
      </c>
      <c r="H3" s="11">
        <v>0.52800000000000002</v>
      </c>
      <c r="I3" s="12">
        <f>Hotel!B8</f>
        <v>127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65470</v>
      </c>
      <c r="F4" s="11">
        <v>5.0000000000000001E-3</v>
      </c>
      <c r="G4" s="12">
        <f>Submetering!R4</f>
        <v>1028.8744379999998</v>
      </c>
      <c r="H4" s="11">
        <v>0.52800000000000002</v>
      </c>
      <c r="I4" s="12">
        <f>Hotel!B9</f>
        <v>109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67770</v>
      </c>
      <c r="F5" s="11">
        <v>5.0000000000000001E-3</v>
      </c>
      <c r="G5" s="12">
        <f>Submetering!R5</f>
        <v>929.69669599999986</v>
      </c>
      <c r="H5" s="11">
        <v>0.52800000000000002</v>
      </c>
      <c r="I5" s="12">
        <f>Hotel!B10</f>
        <v>105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2022</v>
      </c>
      <c r="E2" s="4">
        <f>Hotel!Q7</f>
        <v>980</v>
      </c>
      <c r="F2" s="4">
        <f>Hotel!R7</f>
        <v>13460</v>
      </c>
      <c r="G2" s="4">
        <f>Hotel!S7</f>
        <v>3510</v>
      </c>
      <c r="H2" s="4">
        <f>Hotel!T7</f>
        <v>1610</v>
      </c>
      <c r="I2" s="4">
        <f>Hotel!U7</f>
        <v>4840</v>
      </c>
      <c r="J2" s="4">
        <f>Hotel!V7</f>
        <v>3990</v>
      </c>
      <c r="K2" s="4">
        <f>Hotel!W7</f>
        <v>3180</v>
      </c>
      <c r="L2" s="4">
        <f>Hotel!X7</f>
        <v>4290</v>
      </c>
      <c r="M2" s="4">
        <f>Hotel!Y7</f>
        <v>5220</v>
      </c>
      <c r="N2" s="4">
        <f>Hotel!Z7</f>
        <v>2760</v>
      </c>
      <c r="O2" s="4">
        <f>Hotel!AA7</f>
        <v>3220</v>
      </c>
      <c r="P2" s="4">
        <f>Hotel!AB7</f>
        <v>7180</v>
      </c>
      <c r="Q2" s="4">
        <f>Hotel!AC7</f>
        <v>11900</v>
      </c>
      <c r="R2" s="4">
        <f>Hotel!AV7*0.00378541*100</f>
        <v>793.800477</v>
      </c>
      <c r="S2" s="4">
        <f>Hotel!B7</f>
        <v>185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2022</v>
      </c>
      <c r="E3" s="4">
        <f>Hotel!Q8</f>
        <v>1030</v>
      </c>
      <c r="F3" s="4">
        <f>Hotel!R8</f>
        <v>14030</v>
      </c>
      <c r="G3" s="4">
        <f>Hotel!S8</f>
        <v>3650</v>
      </c>
      <c r="H3" s="4">
        <f>Hotel!T8</f>
        <v>1700</v>
      </c>
      <c r="I3" s="4">
        <f>Hotel!U8</f>
        <v>5000</v>
      </c>
      <c r="J3" s="4">
        <f>Hotel!V8</f>
        <v>4380</v>
      </c>
      <c r="K3" s="4">
        <f>Hotel!W8</f>
        <v>3510</v>
      </c>
      <c r="L3" s="4">
        <f>Hotel!X8</f>
        <v>4410</v>
      </c>
      <c r="M3" s="4">
        <f>Hotel!Y8</f>
        <v>5270</v>
      </c>
      <c r="N3" s="4">
        <f>Hotel!Z8</f>
        <v>2860</v>
      </c>
      <c r="O3" s="4">
        <f>Hotel!AA8</f>
        <v>3290</v>
      </c>
      <c r="P3" s="4">
        <f>Hotel!AB8</f>
        <v>7290</v>
      </c>
      <c r="Q3" s="4">
        <f>Hotel!AC8</f>
        <v>12950</v>
      </c>
      <c r="R3" s="4">
        <f>Hotel!AV8*0.00378541*100</f>
        <v>1104.5826379999999</v>
      </c>
      <c r="S3" s="4">
        <f>Hotel!B8</f>
        <v>127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2022</v>
      </c>
      <c r="E4" s="4">
        <f>Hotel!Q9</f>
        <v>1030</v>
      </c>
      <c r="F4" s="4">
        <f>Hotel!R9</f>
        <v>13810</v>
      </c>
      <c r="G4" s="4">
        <f>Hotel!S9</f>
        <v>3580</v>
      </c>
      <c r="H4" s="4">
        <f>Hotel!T9</f>
        <v>1690</v>
      </c>
      <c r="I4" s="4">
        <f>Hotel!U9</f>
        <v>4840</v>
      </c>
      <c r="J4" s="4">
        <f>Hotel!V9</f>
        <v>4160</v>
      </c>
      <c r="K4" s="4">
        <f>Hotel!W9</f>
        <v>3370</v>
      </c>
      <c r="L4" s="4">
        <f>Hotel!X9</f>
        <v>4150</v>
      </c>
      <c r="M4" s="4">
        <f>Hotel!Y9</f>
        <v>4930</v>
      </c>
      <c r="N4" s="4">
        <f>Hotel!Z9</f>
        <v>2700</v>
      </c>
      <c r="O4" s="4">
        <f>Hotel!AA9</f>
        <v>3270</v>
      </c>
      <c r="P4" s="4">
        <f>Hotel!AB9</f>
        <v>7280</v>
      </c>
      <c r="Q4" s="4">
        <f>Hotel!AC9</f>
        <v>10660</v>
      </c>
      <c r="R4" s="4">
        <f>Hotel!AV9*0.00378541*100</f>
        <v>1028.8744379999998</v>
      </c>
      <c r="S4" s="4">
        <f>Hotel!B9</f>
        <v>109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2022</v>
      </c>
      <c r="E5" s="4">
        <f>Hotel!Q10</f>
        <v>1070</v>
      </c>
      <c r="F5" s="4">
        <f>Hotel!R10</f>
        <v>14050</v>
      </c>
      <c r="G5" s="4">
        <f>Hotel!S10</f>
        <v>3620</v>
      </c>
      <c r="H5" s="4">
        <f>Hotel!T10</f>
        <v>1750</v>
      </c>
      <c r="I5" s="4">
        <f>Hotel!U10</f>
        <v>5060</v>
      </c>
      <c r="J5" s="4">
        <f>Hotel!V10</f>
        <v>4280</v>
      </c>
      <c r="K5" s="4">
        <f>Hotel!W10</f>
        <v>3570</v>
      </c>
      <c r="L5" s="4">
        <f>Hotel!X10</f>
        <v>4410</v>
      </c>
      <c r="M5" s="4">
        <f>Hotel!Y10</f>
        <v>5350</v>
      </c>
      <c r="N5" s="4">
        <f>Hotel!Z10</f>
        <v>2840</v>
      </c>
      <c r="O5" s="4">
        <f>Hotel!AA10</f>
        <v>3160</v>
      </c>
      <c r="P5" s="4">
        <f>Hotel!AB10</f>
        <v>7580</v>
      </c>
      <c r="Q5" s="4">
        <f>Hotel!AC10</f>
        <v>11030</v>
      </c>
      <c r="R5" s="4">
        <f>Hotel!AV10*0.00378541*100</f>
        <v>929.69669599999986</v>
      </c>
      <c r="S5" s="4">
        <f>Hotel!B10</f>
        <v>105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2022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I1" zoomScale="93" zoomScaleNormal="93" workbookViewId="0">
      <selection activeCell="AO18" sqref="AO1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44742</v>
      </c>
      <c r="B2" s="40">
        <v>136</v>
      </c>
      <c r="C2" s="56">
        <v>8175500</v>
      </c>
      <c r="D2" s="56">
        <v>19282930</v>
      </c>
      <c r="E2" s="56">
        <v>3322210</v>
      </c>
      <c r="F2" s="56">
        <v>4118970</v>
      </c>
      <c r="G2" s="56">
        <v>12196220</v>
      </c>
      <c r="H2" s="56">
        <v>7037610</v>
      </c>
      <c r="I2" s="56">
        <v>6146040</v>
      </c>
      <c r="J2" s="56">
        <v>7595190</v>
      </c>
      <c r="K2" s="56">
        <v>11168960</v>
      </c>
      <c r="L2" s="56">
        <v>4840270</v>
      </c>
      <c r="M2" s="56">
        <v>9110100</v>
      </c>
      <c r="N2" s="56">
        <v>14803710</v>
      </c>
      <c r="O2" s="56">
        <v>20713280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35143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35143</v>
      </c>
    </row>
    <row r="7" spans="1:50" x14ac:dyDescent="0.25">
      <c r="A7" s="23">
        <v>44743</v>
      </c>
      <c r="B7" s="40">
        <v>185</v>
      </c>
      <c r="C7" s="24">
        <v>8176480</v>
      </c>
      <c r="D7" s="24">
        <v>19296390</v>
      </c>
      <c r="E7" s="24">
        <v>3325720</v>
      </c>
      <c r="F7" s="24">
        <v>4120580</v>
      </c>
      <c r="G7" s="24">
        <v>12201060</v>
      </c>
      <c r="H7" s="24">
        <v>7041600</v>
      </c>
      <c r="I7" s="24">
        <v>6149220</v>
      </c>
      <c r="J7" s="24">
        <v>7599480</v>
      </c>
      <c r="K7" s="24">
        <v>11174180</v>
      </c>
      <c r="L7" s="24">
        <v>4843030</v>
      </c>
      <c r="M7" s="24">
        <v>9113320</v>
      </c>
      <c r="N7" s="24">
        <v>14810890</v>
      </c>
      <c r="O7" s="24">
        <v>20725180</v>
      </c>
      <c r="Q7" s="37">
        <f t="shared" ref="Q7:AC7" si="0">IF((C7-C2&lt;0), "0",C7-C2)</f>
        <v>980</v>
      </c>
      <c r="R7" s="37">
        <f t="shared" si="0"/>
        <v>13460</v>
      </c>
      <c r="S7" s="37">
        <f t="shared" si="0"/>
        <v>3510</v>
      </c>
      <c r="T7" s="37">
        <f t="shared" si="0"/>
        <v>1610</v>
      </c>
      <c r="U7" s="37">
        <f t="shared" si="0"/>
        <v>4840</v>
      </c>
      <c r="V7" s="37">
        <f t="shared" si="0"/>
        <v>3990</v>
      </c>
      <c r="W7" s="37">
        <f t="shared" si="0"/>
        <v>3180</v>
      </c>
      <c r="X7" s="37">
        <f t="shared" si="0"/>
        <v>4290</v>
      </c>
      <c r="Y7" s="37">
        <f t="shared" si="0"/>
        <v>5220</v>
      </c>
      <c r="Z7" s="37">
        <f t="shared" si="0"/>
        <v>2760</v>
      </c>
      <c r="AA7" s="37">
        <f t="shared" si="0"/>
        <v>3220</v>
      </c>
      <c r="AB7" s="37">
        <f t="shared" si="0"/>
        <v>7180</v>
      </c>
      <c r="AC7" s="37">
        <f t="shared" si="0"/>
        <v>11900</v>
      </c>
      <c r="AD7" s="34">
        <f>SUM(Q7:AC7)</f>
        <v>66140</v>
      </c>
      <c r="AF7" s="20">
        <f t="shared" ref="AF7:AF36" si="1">Q7*$D$39</f>
        <v>4.9000000000000004</v>
      </c>
      <c r="AG7" s="20">
        <f t="shared" ref="AG7:AG36" si="2">R7*$D$39</f>
        <v>67.3</v>
      </c>
      <c r="AH7" s="20">
        <f t="shared" ref="AH7:AH36" si="3">S7*$D$39</f>
        <v>17.55</v>
      </c>
      <c r="AI7" s="20">
        <f t="shared" ref="AI7:AI36" si="4">T7*$D$39</f>
        <v>8.0500000000000007</v>
      </c>
      <c r="AJ7" s="20">
        <f t="shared" ref="AJ7:AJ36" si="5">U7*$D$39</f>
        <v>24.2</v>
      </c>
      <c r="AK7" s="20">
        <f t="shared" ref="AK7:AK36" si="6">V7*$D$39</f>
        <v>19.95</v>
      </c>
      <c r="AL7" s="20">
        <f t="shared" ref="AL7:AL36" si="7">W7*$D$39</f>
        <v>15.9</v>
      </c>
      <c r="AM7" s="20">
        <f t="shared" ref="AM7:AM36" si="8">X7*$D$39</f>
        <v>21.45</v>
      </c>
      <c r="AN7" s="20">
        <f t="shared" ref="AN7:AN36" si="9">Y7*$D$39</f>
        <v>26.1</v>
      </c>
      <c r="AO7" s="20">
        <f t="shared" ref="AO7:AO36" si="10">Z7*$D$39</f>
        <v>13.8</v>
      </c>
      <c r="AP7" s="20">
        <f t="shared" ref="AP7:AP36" si="11">AA7*$D$39</f>
        <v>16.100000000000001</v>
      </c>
      <c r="AQ7" s="20">
        <f t="shared" ref="AQ7:AQ36" si="12">AB7*$D$39</f>
        <v>35.9</v>
      </c>
      <c r="AR7" s="20">
        <f t="shared" ref="AR7:AR36" si="13">AC7*$D$39</f>
        <v>59.5</v>
      </c>
      <c r="AS7" s="35">
        <f>SUM(AF7:AR7)</f>
        <v>330.7</v>
      </c>
      <c r="AU7" s="47">
        <v>37240</v>
      </c>
      <c r="AV7" s="37">
        <f>IF((AU7-AU6&lt;0),"0",AU7-AU6)</f>
        <v>2097</v>
      </c>
      <c r="AW7" s="37">
        <f>AV7*100*AV44</f>
        <v>793.800477</v>
      </c>
      <c r="AX7" s="35">
        <f t="shared" ref="AX7:AX35" si="14">AV7*$D$40</f>
        <v>4.194</v>
      </c>
    </row>
    <row r="8" spans="1:50" x14ac:dyDescent="0.25">
      <c r="A8" s="23">
        <v>44744</v>
      </c>
      <c r="B8" s="40">
        <v>127</v>
      </c>
      <c r="C8" s="24">
        <v>8177510</v>
      </c>
      <c r="D8" s="24">
        <v>19310420</v>
      </c>
      <c r="E8" s="24">
        <v>3329370</v>
      </c>
      <c r="F8" s="24">
        <v>4122280</v>
      </c>
      <c r="G8" s="24">
        <v>12206060</v>
      </c>
      <c r="H8" s="24">
        <v>7045980</v>
      </c>
      <c r="I8" s="24">
        <v>6152730</v>
      </c>
      <c r="J8" s="24">
        <v>7603890</v>
      </c>
      <c r="K8" s="24">
        <v>11179450</v>
      </c>
      <c r="L8" s="24">
        <v>4845890</v>
      </c>
      <c r="M8" s="24">
        <v>9116610</v>
      </c>
      <c r="N8" s="24">
        <v>14818180</v>
      </c>
      <c r="O8" s="24">
        <v>20738130</v>
      </c>
      <c r="Q8" s="37">
        <f>IF((C8-C7&lt;0), "0",C8-C7)</f>
        <v>1030</v>
      </c>
      <c r="R8" s="37">
        <f t="shared" ref="R8:AC8" si="15">IF((D8-D7&lt;0), "0",D8-D7)</f>
        <v>14030</v>
      </c>
      <c r="S8" s="37">
        <f t="shared" ref="S8:S35" si="16">IF((E8-E7&lt;0), "0",E8-E7)</f>
        <v>3650</v>
      </c>
      <c r="T8" s="37">
        <f t="shared" si="15"/>
        <v>1700</v>
      </c>
      <c r="U8" s="37">
        <f t="shared" si="15"/>
        <v>5000</v>
      </c>
      <c r="V8" s="37">
        <f t="shared" si="15"/>
        <v>4380</v>
      </c>
      <c r="W8" s="37">
        <f t="shared" si="15"/>
        <v>3510</v>
      </c>
      <c r="X8" s="37">
        <f t="shared" si="15"/>
        <v>4410</v>
      </c>
      <c r="Y8" s="37">
        <f t="shared" si="15"/>
        <v>5270</v>
      </c>
      <c r="Z8" s="37">
        <f t="shared" si="15"/>
        <v>2860</v>
      </c>
      <c r="AA8" s="37">
        <f t="shared" si="15"/>
        <v>3290</v>
      </c>
      <c r="AB8" s="37">
        <f t="shared" si="15"/>
        <v>7290</v>
      </c>
      <c r="AC8" s="37">
        <f t="shared" si="15"/>
        <v>12950</v>
      </c>
      <c r="AD8" s="35">
        <f>SUM(Q8:AC8)</f>
        <v>69370</v>
      </c>
      <c r="AF8" s="20">
        <f t="shared" si="1"/>
        <v>5.15</v>
      </c>
      <c r="AG8" s="20">
        <f t="shared" si="2"/>
        <v>70.150000000000006</v>
      </c>
      <c r="AH8" s="20">
        <f t="shared" si="3"/>
        <v>18.25</v>
      </c>
      <c r="AI8" s="20">
        <f t="shared" si="4"/>
        <v>8.5</v>
      </c>
      <c r="AJ8" s="20">
        <f t="shared" si="5"/>
        <v>25</v>
      </c>
      <c r="AK8" s="20">
        <f t="shared" si="6"/>
        <v>21.900000000000002</v>
      </c>
      <c r="AL8" s="20">
        <f t="shared" si="7"/>
        <v>17.55</v>
      </c>
      <c r="AM8" s="20">
        <f t="shared" si="8"/>
        <v>22.05</v>
      </c>
      <c r="AN8" s="20">
        <f t="shared" si="9"/>
        <v>26.35</v>
      </c>
      <c r="AO8" s="20">
        <f t="shared" si="10"/>
        <v>14.3</v>
      </c>
      <c r="AP8" s="20">
        <f t="shared" si="11"/>
        <v>16.45</v>
      </c>
      <c r="AQ8" s="20">
        <f t="shared" si="12"/>
        <v>36.450000000000003</v>
      </c>
      <c r="AR8" s="20">
        <f t="shared" si="13"/>
        <v>64.75</v>
      </c>
      <c r="AS8" s="35">
        <f>SUM(AF8:AR8)</f>
        <v>346.85</v>
      </c>
      <c r="AU8" s="47">
        <v>40158</v>
      </c>
      <c r="AV8" s="37">
        <f>IF((AU8-AU7&lt;0),"0",AU8-AU7)</f>
        <v>2918</v>
      </c>
      <c r="AW8" s="37">
        <f>AV8*100*AV44</f>
        <v>1104.5826379999999</v>
      </c>
      <c r="AX8" s="35">
        <f t="shared" si="14"/>
        <v>5.8360000000000003</v>
      </c>
    </row>
    <row r="9" spans="1:50" x14ac:dyDescent="0.25">
      <c r="A9" s="23">
        <v>44745</v>
      </c>
      <c r="B9" s="40">
        <v>109</v>
      </c>
      <c r="C9" s="24">
        <v>8178540</v>
      </c>
      <c r="D9" s="24">
        <v>19324230</v>
      </c>
      <c r="E9" s="24">
        <v>3332950</v>
      </c>
      <c r="F9" s="24">
        <v>4123970</v>
      </c>
      <c r="G9" s="24">
        <v>12210900</v>
      </c>
      <c r="H9" s="24">
        <v>7050140</v>
      </c>
      <c r="I9" s="24">
        <v>6156100</v>
      </c>
      <c r="J9" s="24">
        <v>7608040</v>
      </c>
      <c r="K9" s="24">
        <v>11184380</v>
      </c>
      <c r="L9" s="24">
        <v>4848590</v>
      </c>
      <c r="M9" s="24">
        <v>9119880</v>
      </c>
      <c r="N9" s="24">
        <v>14825460</v>
      </c>
      <c r="O9" s="24">
        <v>20748790</v>
      </c>
      <c r="Q9" s="37">
        <f t="shared" ref="Q9:Q30" si="17">IF((C9-C8&lt;0), "0",C9-C8)</f>
        <v>1030</v>
      </c>
      <c r="R9" s="37">
        <f t="shared" ref="R9:R37" si="18">IF((D9-D8&lt;0), "0",D9-D8)</f>
        <v>13810</v>
      </c>
      <c r="S9" s="37">
        <f t="shared" si="16"/>
        <v>3580</v>
      </c>
      <c r="T9" s="37">
        <f t="shared" ref="T9:T35" si="19">IF((F9-F8&lt;0), "0",F9-F8)</f>
        <v>1690</v>
      </c>
      <c r="U9" s="37">
        <f t="shared" ref="U9:U35" si="20">IF((G9-G8&lt;0), "0",G9-G8)</f>
        <v>4840</v>
      </c>
      <c r="V9" s="37">
        <f t="shared" ref="V9:V35" si="21">IF((H9-H8&lt;0), "0",H9-H8)</f>
        <v>4160</v>
      </c>
      <c r="W9" s="37">
        <f t="shared" ref="W9:W35" si="22">IF((I9-I8&lt;0), "0",I9-I8)</f>
        <v>3370</v>
      </c>
      <c r="X9" s="37">
        <f t="shared" ref="X9:X37" si="23">IF((J9-J8&lt;0), "0",J9-J8)</f>
        <v>4150</v>
      </c>
      <c r="Y9" s="37">
        <f t="shared" ref="Y9:Y35" si="24">IF((K9-K8&lt;0), "0",K9-K8)</f>
        <v>4930</v>
      </c>
      <c r="Z9" s="37">
        <f t="shared" ref="Z9:Z35" si="25">IF((L9-L8&lt;0), "0",L9-L8)</f>
        <v>2700</v>
      </c>
      <c r="AA9" s="37">
        <f t="shared" ref="AA9:AA35" si="26">IF((M9-M8&lt;0), "0",M9-M8)</f>
        <v>3270</v>
      </c>
      <c r="AB9" s="37">
        <f t="shared" ref="AB9:AB37" si="27">IF((N9-N8&lt;0), "0",N9-N8)</f>
        <v>7280</v>
      </c>
      <c r="AC9" s="37">
        <f t="shared" ref="AC9:AC37" si="28">IF((O9-O8&lt;0), "0",O9-O8)</f>
        <v>10660</v>
      </c>
      <c r="AD9" s="35">
        <f t="shared" ref="AD9:AD37" si="29">SUM(Q9:AC9)</f>
        <v>65470</v>
      </c>
      <c r="AF9" s="20">
        <f t="shared" si="1"/>
        <v>5.15</v>
      </c>
      <c r="AG9" s="20">
        <f t="shared" si="2"/>
        <v>69.05</v>
      </c>
      <c r="AH9" s="20">
        <f t="shared" si="3"/>
        <v>17.900000000000002</v>
      </c>
      <c r="AI9" s="20">
        <f t="shared" si="4"/>
        <v>8.4499999999999993</v>
      </c>
      <c r="AJ9" s="20">
        <f t="shared" si="5"/>
        <v>24.2</v>
      </c>
      <c r="AK9" s="20">
        <f t="shared" si="6"/>
        <v>20.8</v>
      </c>
      <c r="AL9" s="20">
        <f t="shared" si="7"/>
        <v>16.850000000000001</v>
      </c>
      <c r="AM9" s="20">
        <f t="shared" si="8"/>
        <v>20.75</v>
      </c>
      <c r="AN9" s="20">
        <f t="shared" si="9"/>
        <v>24.650000000000002</v>
      </c>
      <c r="AO9" s="20">
        <f t="shared" si="10"/>
        <v>13.5</v>
      </c>
      <c r="AP9" s="20">
        <f t="shared" si="11"/>
        <v>16.350000000000001</v>
      </c>
      <c r="AQ9" s="20">
        <f t="shared" si="12"/>
        <v>36.4</v>
      </c>
      <c r="AR9" s="20">
        <f t="shared" si="13"/>
        <v>53.300000000000004</v>
      </c>
      <c r="AS9" s="35">
        <f t="shared" ref="AS9:AS33" si="30">SUM(AF9:AR9)</f>
        <v>327.35000000000002</v>
      </c>
      <c r="AU9" s="47">
        <v>42876</v>
      </c>
      <c r="AV9" s="37">
        <f>IF((AU9-AU8&lt;0),"0",AU9-AU8)</f>
        <v>2718</v>
      </c>
      <c r="AW9" s="37">
        <f>AV9*100*AV44</f>
        <v>1028.8744380000001</v>
      </c>
      <c r="AX9" s="35">
        <f t="shared" si="14"/>
        <v>5.4359999999999999</v>
      </c>
    </row>
    <row r="10" spans="1:50" x14ac:dyDescent="0.25">
      <c r="A10" s="23">
        <v>44746</v>
      </c>
      <c r="B10" s="40">
        <v>105</v>
      </c>
      <c r="C10" s="24">
        <v>8179610</v>
      </c>
      <c r="D10" s="24">
        <v>19338280</v>
      </c>
      <c r="E10" s="24">
        <v>3336570</v>
      </c>
      <c r="F10" s="24">
        <v>4125720</v>
      </c>
      <c r="G10" s="24">
        <v>12215960</v>
      </c>
      <c r="H10" s="24">
        <v>7054420</v>
      </c>
      <c r="I10" s="24">
        <v>6159670</v>
      </c>
      <c r="J10" s="24">
        <v>7612450</v>
      </c>
      <c r="K10" s="24">
        <v>11189730</v>
      </c>
      <c r="L10" s="24">
        <v>4851430</v>
      </c>
      <c r="M10" s="24">
        <v>9123040</v>
      </c>
      <c r="N10" s="24">
        <v>14833040</v>
      </c>
      <c r="O10" s="24">
        <v>20759820</v>
      </c>
      <c r="Q10" s="37">
        <f t="shared" si="17"/>
        <v>1070</v>
      </c>
      <c r="R10" s="37">
        <f t="shared" si="18"/>
        <v>14050</v>
      </c>
      <c r="S10" s="37">
        <f t="shared" si="16"/>
        <v>3620</v>
      </c>
      <c r="T10" s="37">
        <f t="shared" si="19"/>
        <v>1750</v>
      </c>
      <c r="U10" s="37">
        <f t="shared" si="20"/>
        <v>5060</v>
      </c>
      <c r="V10" s="37">
        <f t="shared" si="21"/>
        <v>4280</v>
      </c>
      <c r="W10" s="37">
        <f t="shared" si="22"/>
        <v>3570</v>
      </c>
      <c r="X10" s="37">
        <f t="shared" si="23"/>
        <v>4410</v>
      </c>
      <c r="Y10" s="37">
        <f t="shared" si="24"/>
        <v>5350</v>
      </c>
      <c r="Z10" s="37">
        <f t="shared" si="25"/>
        <v>2840</v>
      </c>
      <c r="AA10" s="37">
        <f t="shared" si="26"/>
        <v>3160</v>
      </c>
      <c r="AB10" s="37">
        <f t="shared" si="27"/>
        <v>7580</v>
      </c>
      <c r="AC10" s="37">
        <f t="shared" si="28"/>
        <v>11030</v>
      </c>
      <c r="AD10" s="35">
        <f t="shared" si="29"/>
        <v>67770</v>
      </c>
      <c r="AF10" s="20">
        <f t="shared" si="1"/>
        <v>5.3500000000000005</v>
      </c>
      <c r="AG10" s="20">
        <f t="shared" si="2"/>
        <v>70.25</v>
      </c>
      <c r="AH10" s="20">
        <f t="shared" si="3"/>
        <v>18.100000000000001</v>
      </c>
      <c r="AI10" s="20">
        <f t="shared" si="4"/>
        <v>8.75</v>
      </c>
      <c r="AJ10" s="20">
        <f t="shared" si="5"/>
        <v>25.3</v>
      </c>
      <c r="AK10" s="20">
        <f t="shared" si="6"/>
        <v>21.400000000000002</v>
      </c>
      <c r="AL10" s="20">
        <f t="shared" si="7"/>
        <v>17.850000000000001</v>
      </c>
      <c r="AM10" s="20">
        <f t="shared" si="8"/>
        <v>22.05</v>
      </c>
      <c r="AN10" s="20">
        <f t="shared" si="9"/>
        <v>26.75</v>
      </c>
      <c r="AO10" s="20">
        <f t="shared" si="10"/>
        <v>14.200000000000001</v>
      </c>
      <c r="AP10" s="20">
        <f t="shared" si="11"/>
        <v>15.8</v>
      </c>
      <c r="AQ10" s="20">
        <f t="shared" si="12"/>
        <v>37.9</v>
      </c>
      <c r="AR10" s="20">
        <f t="shared" si="13"/>
        <v>55.15</v>
      </c>
      <c r="AS10" s="35">
        <f t="shared" si="30"/>
        <v>338.84999999999997</v>
      </c>
      <c r="AU10" s="47">
        <v>45332</v>
      </c>
      <c r="AV10" s="37">
        <f t="shared" ref="AV10:AV26" si="31">IF((AU10-AU9&lt;0),"0",AU10-AU9)</f>
        <v>2456</v>
      </c>
      <c r="AW10" s="37">
        <f>AV10*100*AV44</f>
        <v>929.69669599999997</v>
      </c>
      <c r="AX10" s="35">
        <f t="shared" si="14"/>
        <v>4.9119999999999999</v>
      </c>
    </row>
    <row r="11" spans="1:50" x14ac:dyDescent="0.25">
      <c r="A11" s="23">
        <v>44747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7"/>
        <v>0</v>
      </c>
      <c r="R11" s="37" t="str">
        <f t="shared" si="18"/>
        <v>0</v>
      </c>
      <c r="S11" s="37" t="str">
        <f t="shared" si="16"/>
        <v>0</v>
      </c>
      <c r="T11" s="37" t="str">
        <f t="shared" si="19"/>
        <v>0</v>
      </c>
      <c r="U11" s="37" t="str">
        <f t="shared" si="20"/>
        <v>0</v>
      </c>
      <c r="V11" s="37" t="str">
        <f t="shared" si="21"/>
        <v>0</v>
      </c>
      <c r="W11" s="37" t="str">
        <f t="shared" si="22"/>
        <v>0</v>
      </c>
      <c r="X11" s="37" t="str">
        <f t="shared" si="23"/>
        <v>0</v>
      </c>
      <c r="Y11" s="37" t="str">
        <f t="shared" si="24"/>
        <v>0</v>
      </c>
      <c r="Z11" s="37" t="str">
        <f t="shared" si="25"/>
        <v>0</v>
      </c>
      <c r="AA11" s="37" t="str">
        <f t="shared" si="26"/>
        <v>0</v>
      </c>
      <c r="AB11" s="37" t="str">
        <f t="shared" si="27"/>
        <v>0</v>
      </c>
      <c r="AC11" s="37" t="str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 t="str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44748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44749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44750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44751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44752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44753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44754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44755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44756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44757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44758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7"/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44759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7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44760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7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44761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44762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44763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44764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44765</v>
      </c>
      <c r="B29" s="40"/>
      <c r="C29" s="2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44766</v>
      </c>
      <c r="B30" s="40"/>
      <c r="C30" s="2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9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44767</v>
      </c>
      <c r="B31" s="40"/>
      <c r="C31" s="2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44768</v>
      </c>
      <c r="B32" s="40"/>
      <c r="C32" s="24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9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44769</v>
      </c>
      <c r="B33" s="40"/>
      <c r="C33" s="2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8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44770</v>
      </c>
      <c r="B34" s="51"/>
      <c r="C34" s="50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9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44771</v>
      </c>
      <c r="B35" s="40"/>
      <c r="C35" s="2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44772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44773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4110</v>
      </c>
      <c r="R38" s="38">
        <f t="shared" ref="R38:AD38" si="60">SUM(R7:R37)</f>
        <v>55350</v>
      </c>
      <c r="S38" s="38">
        <f t="shared" si="60"/>
        <v>14360</v>
      </c>
      <c r="T38" s="38">
        <f t="shared" si="60"/>
        <v>6750</v>
      </c>
      <c r="U38" s="38">
        <f t="shared" si="60"/>
        <v>19740</v>
      </c>
      <c r="V38" s="38">
        <f t="shared" si="60"/>
        <v>16810</v>
      </c>
      <c r="W38" s="38">
        <f t="shared" si="60"/>
        <v>13630</v>
      </c>
      <c r="X38" s="38">
        <f t="shared" si="60"/>
        <v>17260</v>
      </c>
      <c r="Y38" s="38">
        <f t="shared" si="60"/>
        <v>20770</v>
      </c>
      <c r="Z38" s="38">
        <f t="shared" si="60"/>
        <v>11160</v>
      </c>
      <c r="AA38" s="38">
        <f t="shared" si="60"/>
        <v>12940</v>
      </c>
      <c r="AB38" s="38">
        <f t="shared" si="60"/>
        <v>29330</v>
      </c>
      <c r="AC38" s="38">
        <f t="shared" si="60"/>
        <v>46540</v>
      </c>
      <c r="AD38" s="38">
        <f t="shared" si="60"/>
        <v>268750</v>
      </c>
      <c r="AF38" s="35">
        <f>SUM(AF7:AF37)</f>
        <v>20.55</v>
      </c>
      <c r="AG38" s="35">
        <f t="shared" ref="AG38:AS38" si="61">SUM(AG7:AG37)</f>
        <v>276.75</v>
      </c>
      <c r="AH38" s="35">
        <f t="shared" si="61"/>
        <v>71.800000000000011</v>
      </c>
      <c r="AI38" s="35">
        <f t="shared" si="61"/>
        <v>33.75</v>
      </c>
      <c r="AJ38" s="35">
        <f t="shared" si="61"/>
        <v>98.7</v>
      </c>
      <c r="AK38" s="35">
        <f t="shared" si="61"/>
        <v>84.050000000000011</v>
      </c>
      <c r="AL38" s="35">
        <f t="shared" si="61"/>
        <v>68.150000000000006</v>
      </c>
      <c r="AM38" s="35">
        <f t="shared" si="61"/>
        <v>86.3</v>
      </c>
      <c r="AN38" s="35">
        <f t="shared" si="61"/>
        <v>103.85000000000001</v>
      </c>
      <c r="AO38" s="35">
        <f t="shared" si="61"/>
        <v>55.800000000000004</v>
      </c>
      <c r="AP38" s="35">
        <f t="shared" si="61"/>
        <v>64.7</v>
      </c>
      <c r="AQ38" s="35">
        <f t="shared" si="61"/>
        <v>146.65</v>
      </c>
      <c r="AR38" s="35">
        <f t="shared" si="61"/>
        <v>232.70000000000002</v>
      </c>
      <c r="AS38" s="35">
        <f t="shared" si="61"/>
        <v>1343.75</v>
      </c>
      <c r="AU38" s="48"/>
      <c r="AV38" s="34">
        <f>SUM(AV7:AV37)</f>
        <v>10189</v>
      </c>
      <c r="AW38" s="34">
        <f>SUM(AW7:AW37)</f>
        <v>3856.9542489999999</v>
      </c>
      <c r="AX38" s="35">
        <f>SUM(AX7:AX37)</f>
        <v>20.378</v>
      </c>
    </row>
    <row r="39" spans="1:50" x14ac:dyDescent="0.25">
      <c r="B39" s="39">
        <f>SUM(B7:B36)</f>
        <v>526</v>
      </c>
      <c r="D39">
        <v>5.0000000000000001E-3</v>
      </c>
      <c r="AV39" s="36"/>
      <c r="AW39" s="54">
        <f>AW38/31</f>
        <v>124.417879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2022-07-05T05:24:27Z</dcterms:modified>
</cp:coreProperties>
</file>