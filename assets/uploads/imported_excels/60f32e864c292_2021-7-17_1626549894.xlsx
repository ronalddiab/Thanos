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<sst xmlns="http://schemas.openxmlformats.org/spreadsheetml/2006/main" count="313" uniqueCount="148">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</sst>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 t="e">
        <f>Submetering!E18+Submetering!F18+Submetering!G18+Submetering!H18+Submetering!J18-Submetering!AV18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'FS Desroches Daily'!CM20</f>
        <v>#VALUE!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31299.999999999876</v>
      </c>
      <c r="F33" s="17">
        <f t="shared" ref="F33:BC33" si="1">SUM(F2:F32)</f>
        <v>40699.999999999738</v>
      </c>
      <c r="G33" s="17">
        <f t="shared" si="1"/>
        <v>38400.000000000211</v>
      </c>
      <c r="H33" s="17">
        <f t="shared" si="1"/>
        <v>19500.000000000073</v>
      </c>
      <c r="I33" s="17">
        <f t="shared" si="1"/>
        <v>29500.000000000095</v>
      </c>
      <c r="J33" s="17">
        <f t="shared" si="1"/>
        <v>14799.999999999922</v>
      </c>
      <c r="K33" s="17">
        <f t="shared" si="1"/>
        <v>67</v>
      </c>
      <c r="L33" s="17">
        <f t="shared" si="1"/>
        <v>32</v>
      </c>
      <c r="M33" s="17">
        <f t="shared" si="1"/>
        <v>11964.599999999977</v>
      </c>
      <c r="N33" s="17">
        <f t="shared" si="1"/>
        <v>4592.1000000000349</v>
      </c>
      <c r="O33" s="17">
        <f t="shared" si="1"/>
        <v>3980.0000000000182</v>
      </c>
      <c r="P33" s="17">
        <f t="shared" si="1"/>
        <v>36099.999999999804</v>
      </c>
      <c r="Q33" s="17">
        <f t="shared" si="1"/>
        <v>4160.0000000000255</v>
      </c>
      <c r="R33" s="17">
        <f t="shared" si="1"/>
        <v>3879.9999999999955</v>
      </c>
      <c r="S33" s="17">
        <f t="shared" si="1"/>
        <v>5009.9999999999909</v>
      </c>
      <c r="T33" s="17">
        <f t="shared" si="1"/>
        <v>525</v>
      </c>
      <c r="U33" s="35">
        <f t="shared" si="1"/>
        <v>10830.00000000004</v>
      </c>
      <c r="V33" s="35">
        <f t="shared" si="1"/>
        <v>2680.0000000000064</v>
      </c>
      <c r="W33" s="35">
        <f t="shared" si="1"/>
        <v>2219.9999999999991</v>
      </c>
      <c r="X33" s="35">
        <f t="shared" si="1"/>
        <v>1659.9999999999966</v>
      </c>
      <c r="Y33" s="35">
        <f t="shared" si="1"/>
        <v>2580.0000000000127</v>
      </c>
      <c r="Z33" s="35">
        <f t="shared" si="1"/>
        <v>2660.000000000025</v>
      </c>
      <c r="AA33" s="35">
        <f t="shared" si="1"/>
        <v>2660.000000000025</v>
      </c>
      <c r="AB33" s="35">
        <f t="shared" si="1"/>
        <v>1050.0000000000114</v>
      </c>
      <c r="AC33" s="35">
        <f t="shared" si="1"/>
        <v>719.99999999997044</v>
      </c>
      <c r="AD33" s="35">
        <f t="shared" si="1"/>
        <v>380.0000000000523</v>
      </c>
      <c r="AE33" s="35">
        <f t="shared" si="1"/>
        <v>1409.9999999999966</v>
      </c>
      <c r="AF33" s="17">
        <f t="shared" si="1"/>
        <v>462</v>
      </c>
      <c r="AG33" s="32">
        <f t="shared" si="1"/>
        <v>629.99999999999545</v>
      </c>
      <c r="AH33" s="32">
        <f t="shared" si="1"/>
        <v>430.00000000000682</v>
      </c>
      <c r="AI33" s="32">
        <f t="shared" si="1"/>
        <v>450.00000000001705</v>
      </c>
      <c r="AJ33" s="32">
        <f t="shared" si="1"/>
        <v>590.00000000000341</v>
      </c>
      <c r="AK33" s="32">
        <f t="shared" si="1"/>
        <v>569.99999999999318</v>
      </c>
      <c r="AL33" s="32">
        <f t="shared" si="1"/>
        <v>432</v>
      </c>
      <c r="AM33" s="32">
        <f t="shared" si="1"/>
        <v>460.00000000000796</v>
      </c>
      <c r="AN33" s="32">
        <f t="shared" si="1"/>
        <v>624</v>
      </c>
      <c r="AO33" s="32">
        <f t="shared" si="1"/>
        <v>370.00000000000455</v>
      </c>
      <c r="AP33" s="32">
        <f t="shared" si="1"/>
        <v>689</v>
      </c>
      <c r="AQ33" s="17">
        <f t="shared" si="1"/>
        <v>556</v>
      </c>
      <c r="AR33" s="17">
        <f t="shared" si="1"/>
        <v>143.5</v>
      </c>
      <c r="AS33" s="17">
        <f t="shared" si="1"/>
        <v>79.800000000000182</v>
      </c>
      <c r="AT33" s="17">
        <f t="shared" si="1"/>
        <v>537.29999999999563</v>
      </c>
      <c r="AU33" s="17">
        <f t="shared" si="1"/>
        <v>4318</v>
      </c>
      <c r="AV33" s="17">
        <f t="shared" si="1"/>
        <v>9579.9999999999272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108.05850000000001</v>
      </c>
      <c r="BC33" s="17">
        <f t="shared" si="1"/>
        <v>148</v>
      </c>
    </row>
    <row r="35" spans="5:55" x14ac:dyDescent="0.25">
      <c r="E35" s="38">
        <f>E33/E37</f>
        <v>0.23042153153020448</v>
      </c>
      <c r="G35" s="29">
        <f>G33-M36</f>
        <v>21843.300000000199</v>
      </c>
      <c r="AE35" s="35">
        <f>SUM(U33:AE33)</f>
        <v>28850.000000000138</v>
      </c>
      <c r="AG35" s="32">
        <f>SUM(AG33:AP33)</f>
        <v>5245.0000000000282</v>
      </c>
    </row>
    <row r="36" spans="5:55" x14ac:dyDescent="0.25">
      <c r="G36" s="29">
        <f>G35-633*14</f>
        <v>12981.300000000199</v>
      </c>
      <c r="M36" s="29">
        <f>M33+N33</f>
        <v>16556.700000000012</v>
      </c>
    </row>
    <row r="37" spans="5:55" x14ac:dyDescent="0.25">
      <c r="E37" s="17">
        <f>E33+F33+G33+H33+J33-633*14</f>
        <v>135837.99999999983</v>
      </c>
      <c r="G37" s="37">
        <f>M36/E37</f>
        <v>0.12188562846920621</v>
      </c>
      <c r="M37" s="35">
        <f>AE35</f>
        <v>28850.000000000138</v>
      </c>
    </row>
    <row r="38" spans="5:55" x14ac:dyDescent="0.25">
      <c r="L38" s="27">
        <f>M38/E37</f>
        <v>3.8612170379422807E-2</v>
      </c>
      <c r="M38" s="29">
        <f>AG35</f>
        <v>5245.0000000000282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Z1" zoomScale="80" zoomScaleNormal="80" workbookViewId="0">
      <pane ySplit="1" topLeftCell="A2" activePane="bottomLeft" state="frozen"/>
      <selection pane="bottomLeft" activeCell="CR20" sqref="CR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286.63</v>
      </c>
      <c r="AV19" s="65" t="str">
        <f>IF((AU19-AU18&lt;0), "",(AU19-AU18)*1000)</f>
        <v/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/>
      <c r="D20" s="64" t="str">
        <f t="shared" si="0"/>
        <v>0</v>
      </c>
      <c r="E20" s="58"/>
      <c r="F20" s="64" t="str">
        <f t="shared" si="1"/>
        <v>0</v>
      </c>
      <c r="G20" s="58"/>
      <c r="H20" s="64" t="str">
        <f t="shared" si="2"/>
        <v>0</v>
      </c>
      <c r="I20" s="58"/>
      <c r="J20" s="64" t="str">
        <f t="shared" si="3"/>
        <v>0</v>
      </c>
      <c r="K20" s="58"/>
      <c r="L20" s="64" t="str">
        <f t="shared" si="4"/>
        <v>0</v>
      </c>
      <c r="M20" s="58"/>
      <c r="N20" s="64" t="str">
        <f t="shared" si="5"/>
        <v/>
      </c>
      <c r="O20" s="58"/>
      <c r="P20" s="67" t="str">
        <f t="shared" si="44"/>
        <v/>
      </c>
      <c r="Q20" s="58"/>
      <c r="R20" s="67" t="str">
        <f t="shared" si="6"/>
        <v/>
      </c>
      <c r="S20" s="58"/>
      <c r="T20" s="67" t="str">
        <f t="shared" si="7"/>
        <v/>
      </c>
      <c r="U20" s="58"/>
      <c r="V20" s="67" t="str">
        <f t="shared" si="8"/>
        <v/>
      </c>
      <c r="W20" s="58"/>
      <c r="X20" s="65" t="str">
        <f t="shared" si="9"/>
        <v/>
      </c>
      <c r="Y20" s="58"/>
      <c r="Z20" s="65" t="str">
        <f t="shared" si="10"/>
        <v/>
      </c>
      <c r="AA20" s="58"/>
      <c r="AB20" s="65" t="str">
        <f t="shared" si="11"/>
        <v/>
      </c>
      <c r="AC20" s="58"/>
      <c r="AD20" s="65" t="str">
        <f t="shared" si="12"/>
        <v/>
      </c>
      <c r="AE20" s="58"/>
      <c r="AF20" s="65" t="str">
        <f t="shared" si="13"/>
        <v/>
      </c>
      <c r="AG20" s="58"/>
      <c r="AH20" s="67" t="str">
        <f t="shared" si="14"/>
        <v/>
      </c>
      <c r="AI20" s="58"/>
      <c r="AJ20" s="65" t="str">
        <f t="shared" si="15"/>
        <v/>
      </c>
      <c r="AK20" s="58"/>
      <c r="AL20" s="65" t="str">
        <f t="shared" si="15"/>
        <v/>
      </c>
      <c r="AM20" s="58"/>
      <c r="AN20" s="65" t="str">
        <f t="shared" si="15"/>
        <v/>
      </c>
      <c r="AO20" s="58"/>
      <c r="AP20" s="65" t="str">
        <f t="shared" si="15"/>
        <v/>
      </c>
      <c r="AQ20" s="58"/>
      <c r="AR20" s="65" t="str">
        <f t="shared" si="16"/>
        <v/>
      </c>
      <c r="AS20" s="58"/>
      <c r="AT20" s="65" t="str">
        <f t="shared" si="17"/>
        <v/>
      </c>
      <c r="AU20" s="58"/>
      <c r="AV20" s="65" t="str">
        <f>IF((AU20-AU19&lt;0), "",(AU20-AU19)*1000)</f>
        <v/>
      </c>
      <c r="AW20" s="58"/>
      <c r="AX20" s="65" t="str">
        <f t="shared" si="19"/>
        <v/>
      </c>
      <c r="AY20" s="58"/>
      <c r="AZ20" s="65" t="str">
        <f t="shared" si="20"/>
        <v/>
      </c>
      <c r="BA20" s="58"/>
      <c r="BB20" s="65" t="str">
        <f t="shared" si="21"/>
        <v/>
      </c>
      <c r="BC20" s="58"/>
      <c r="BD20" s="65" t="str">
        <f t="shared" si="22"/>
        <v/>
      </c>
      <c r="BE20" s="59"/>
      <c r="BF20" s="67" t="str">
        <f t="shared" si="39"/>
        <v/>
      </c>
      <c r="BG20" s="60"/>
      <c r="BH20" s="65" t="str">
        <f t="shared" si="23"/>
        <v/>
      </c>
      <c r="BI20" s="60"/>
      <c r="BJ20" s="65" t="str">
        <f t="shared" si="40"/>
        <v/>
      </c>
      <c r="BK20" s="60"/>
      <c r="BL20" s="65" t="str">
        <f t="shared" si="24"/>
        <v/>
      </c>
      <c r="BM20" s="60"/>
      <c r="BN20" s="65" t="str">
        <f t="shared" si="25"/>
        <v/>
      </c>
      <c r="BO20" s="60"/>
      <c r="BP20" s="65" t="str">
        <f t="shared" si="26"/>
        <v/>
      </c>
      <c r="BQ20" s="60"/>
      <c r="BR20" s="65" t="str">
        <f t="shared" si="27"/>
        <v/>
      </c>
      <c r="BS20" s="60"/>
      <c r="BT20" s="65" t="str">
        <f t="shared" si="42"/>
        <v/>
      </c>
      <c r="BU20" s="60"/>
      <c r="BV20" s="65" t="str">
        <f t="shared" si="29"/>
        <v/>
      </c>
      <c r="BW20" s="60"/>
      <c r="BX20" s="65" t="str">
        <f t="shared" si="30"/>
        <v/>
      </c>
      <c r="BY20" s="60"/>
      <c r="BZ20" s="67" t="str">
        <f t="shared" si="31"/>
        <v/>
      </c>
      <c r="CA20" s="60"/>
      <c r="CB20" s="67" t="str">
        <f t="shared" si="32"/>
        <v/>
      </c>
      <c r="CC20" s="60"/>
      <c r="CD20" s="67" t="str">
        <f t="shared" si="33"/>
        <v/>
      </c>
      <c r="CE20" s="60"/>
      <c r="CF20" s="67" t="str">
        <f t="shared" si="34"/>
        <v/>
      </c>
      <c r="CG20" s="60"/>
      <c r="CH20" s="67" t="str">
        <f t="shared" si="35"/>
        <v/>
      </c>
      <c r="CI20" s="60"/>
      <c r="CJ20" s="67" t="str">
        <f t="shared" si="36"/>
        <v/>
      </c>
      <c r="CK20" s="60"/>
      <c r="CL20" s="64" t="str">
        <f t="shared" si="37"/>
        <v/>
      </c>
      <c r="CM20" s="65" t="e">
        <f t="shared" si="41"/>
        <v>#VALUE!</v>
      </c>
      <c r="CN20" s="62">
        <v>0</v>
      </c>
      <c r="CO20" s="62">
        <v>0</v>
      </c>
      <c r="CP20" s="68"/>
      <c r="CQ20" s="67" t="str">
        <f t="shared" si="38"/>
        <v/>
      </c>
      <c r="CR20" s="68"/>
      <c r="CS20" s="67" t="str">
        <f t="shared" si="38"/>
        <v/>
      </c>
      <c r="CT20" s="75"/>
      <c r="CU20" s="67" t="str">
        <f t="shared" si="38"/>
        <v/>
      </c>
      <c r="CV20" s="68"/>
      <c r="CW20" s="67" t="str">
        <f t="shared" si="38"/>
        <v/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G27" sqref="G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7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7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7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0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-198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2021-07-17T17:20:28Z</dcterms:modified>
</cp:coreProperties>
</file>