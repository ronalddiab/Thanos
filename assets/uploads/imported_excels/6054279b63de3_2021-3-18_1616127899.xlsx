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3A7EF2B6-0CA3-4C13-B17D-D00BC1EA21D0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8" l="1"/>
  <c r="C17" i="2"/>
  <c r="C18" i="2"/>
  <c r="C19" i="2"/>
  <c r="G17" i="8" l="1"/>
  <c r="B8" i="8" l="1"/>
  <c r="B9" i="8"/>
  <c r="B10" i="8"/>
  <c r="B4" i="2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<sst xmlns="http://schemas.openxmlformats.org/spreadsheetml/2006/main" count="201" uniqueCount="128">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</sst>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</c:v>
                </c:pt>
                <c:pt idx="2">
                  <c:v>-202200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-32171</c:v>
                </c:pt>
                <c:pt idx="7">
                  <c:v>0.12927556498537307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4763.6999999999971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84256"/>
        <c:axId val="212785792"/>
      </c:barChart>
      <c:catAx>
        <c:axId val="212784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2785792"/>
        <c:crosses val="autoZero"/>
        <c:auto val="1"/>
        <c:lblAlgn val="ctr"/>
        <c:lblOffset val="100"/>
        <c:noMultiLvlLbl val="0"/>
      </c:catAx>
      <c:valAx>
        <c:axId val="21278579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278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8" sqref="M18:O18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22069.999999999709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23210.000000000262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22360.000000000357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22909.999999999625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23109.999999999898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22680.000000000065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>
        <v>28</v>
      </c>
      <c r="N7" s="72">
        <v>70</v>
      </c>
      <c r="O7" s="72">
        <v>175</v>
      </c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>
        <v>21099.99999999968</v>
      </c>
      <c r="F8" s="48">
        <v>0.14000000000000001</v>
      </c>
      <c r="G8" s="107">
        <v>6035</v>
      </c>
      <c r="H8" s="48">
        <v>0.4453480216384178</v>
      </c>
      <c r="I8" s="65">
        <v>329</v>
      </c>
      <c r="J8" s="76">
        <v>0.4</v>
      </c>
      <c r="K8" s="108">
        <v>0</v>
      </c>
      <c r="L8" s="76">
        <v>1.5287027707808565</v>
      </c>
      <c r="M8" s="72">
        <v>30</v>
      </c>
      <c r="N8" s="72">
        <v>78</v>
      </c>
      <c r="O8" s="72">
        <v>205</v>
      </c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>
        <v>21140.000000000095</v>
      </c>
      <c r="F9" s="48">
        <v>0.14000000000000001</v>
      </c>
      <c r="G9" s="107">
        <v>5946</v>
      </c>
      <c r="H9" s="48">
        <v>0.4453480216384178</v>
      </c>
      <c r="I9" s="65">
        <v>242.40000000000146</v>
      </c>
      <c r="J9" s="76">
        <v>0.4</v>
      </c>
      <c r="K9" s="108">
        <v>0</v>
      </c>
      <c r="L9" s="76">
        <v>1.5287027707808565</v>
      </c>
      <c r="M9" s="72">
        <v>34</v>
      </c>
      <c r="N9" s="72">
        <v>87</v>
      </c>
      <c r="O9" s="72">
        <v>226</v>
      </c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>
        <v>21810.000000000859</v>
      </c>
      <c r="F10" s="48">
        <v>0.14000000000000001</v>
      </c>
      <c r="G10" s="107">
        <v>6086</v>
      </c>
      <c r="H10" s="48">
        <v>0.4453480216384178</v>
      </c>
      <c r="I10" s="65">
        <v>219.59999999999854</v>
      </c>
      <c r="J10" s="76">
        <v>0.4</v>
      </c>
      <c r="K10" s="108">
        <v>0</v>
      </c>
      <c r="L10" s="76">
        <v>1.5287027707808565</v>
      </c>
      <c r="M10" s="72">
        <v>32</v>
      </c>
      <c r="N10" s="72">
        <v>82</v>
      </c>
      <c r="O10" s="72">
        <v>220</v>
      </c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>
        <v>20779.999999999745</v>
      </c>
      <c r="F11" s="48">
        <v>0.14000000000000001</v>
      </c>
      <c r="G11" s="107">
        <v>6030</v>
      </c>
      <c r="H11" s="48">
        <v>0.4453480216384178</v>
      </c>
      <c r="I11" s="65">
        <v>297</v>
      </c>
      <c r="J11" s="76">
        <v>0.4</v>
      </c>
      <c r="K11" s="108">
        <v>0</v>
      </c>
      <c r="L11" s="76">
        <v>1.5287027707808565</v>
      </c>
      <c r="M11" s="72">
        <v>32</v>
      </c>
      <c r="N11" s="72">
        <v>84</v>
      </c>
      <c r="O11" s="72">
        <v>190</v>
      </c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>
        <v>18449.999999999134</v>
      </c>
      <c r="F12" s="48">
        <v>0.14000000000000001</v>
      </c>
      <c r="G12" s="107">
        <v>5145</v>
      </c>
      <c r="H12" s="48">
        <v>0.4453480216384178</v>
      </c>
      <c r="I12" s="65">
        <v>300</v>
      </c>
      <c r="J12" s="76">
        <v>0.4</v>
      </c>
      <c r="K12" s="108">
        <v>0</v>
      </c>
      <c r="L12" s="76">
        <v>1.5287027707808565</v>
      </c>
      <c r="M12" s="72">
        <v>36</v>
      </c>
      <c r="N12" s="72">
        <v>94</v>
      </c>
      <c r="O12" s="72">
        <v>242</v>
      </c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>
        <v>21800.000000000182</v>
      </c>
      <c r="F13" s="48">
        <v>0.14000000000000001</v>
      </c>
      <c r="G13" s="107">
        <v>6214</v>
      </c>
      <c r="H13" s="48">
        <v>0.4453480216384178</v>
      </c>
      <c r="I13" s="65">
        <v>213</v>
      </c>
      <c r="J13" s="76">
        <v>0.4</v>
      </c>
      <c r="K13" s="108">
        <v>0</v>
      </c>
      <c r="L13" s="76">
        <v>1.5287027707808565</v>
      </c>
      <c r="M13" s="72">
        <v>38</v>
      </c>
      <c r="N13" s="72">
        <v>92</v>
      </c>
      <c r="O13" s="72">
        <v>275</v>
      </c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>
        <v>23610.000000000124</v>
      </c>
      <c r="F14" s="48">
        <v>0.14000000000000001</v>
      </c>
      <c r="G14" s="107">
        <v>6590</v>
      </c>
      <c r="H14" s="48">
        <v>0.4453480216384178</v>
      </c>
      <c r="I14" s="65">
        <v>339</v>
      </c>
      <c r="J14" s="76">
        <v>0.4</v>
      </c>
      <c r="K14" s="108">
        <v>0</v>
      </c>
      <c r="L14" s="76">
        <v>1.5287027707808565</v>
      </c>
      <c r="M14" s="72">
        <v>36</v>
      </c>
      <c r="N14" s="72">
        <v>93</v>
      </c>
      <c r="O14" s="72">
        <v>277</v>
      </c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>
        <v>21940.000000000735</v>
      </c>
      <c r="F15" s="48">
        <v>0.14000000000000001</v>
      </c>
      <c r="G15" s="107">
        <v>6294</v>
      </c>
      <c r="H15" s="48">
        <v>0.4453480216384178</v>
      </c>
      <c r="I15" s="65">
        <v>233</v>
      </c>
      <c r="J15" s="76">
        <v>0.4</v>
      </c>
      <c r="K15" s="108">
        <v>0</v>
      </c>
      <c r="L15" s="76">
        <v>1.5287027707808565</v>
      </c>
      <c r="M15" s="72">
        <v>31</v>
      </c>
      <c r="N15" s="72">
        <v>92</v>
      </c>
      <c r="O15" s="72">
        <v>250</v>
      </c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>
        <v>21919.999999999614</v>
      </c>
      <c r="F16" s="48">
        <v>0.14000000000000001</v>
      </c>
      <c r="G16" s="107">
        <v>6174</v>
      </c>
      <c r="H16" s="48">
        <v>0.4453480216384178</v>
      </c>
      <c r="I16" s="65">
        <v>257</v>
      </c>
      <c r="J16" s="76">
        <v>0.4</v>
      </c>
      <c r="K16" s="108">
        <v>0</v>
      </c>
      <c r="L16" s="76">
        <v>1.5287027707808565</v>
      </c>
      <c r="M16" s="72">
        <v>22</v>
      </c>
      <c r="N16" s="72">
        <v>64</v>
      </c>
      <c r="O16" s="72">
        <v>177</v>
      </c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>
        <v>21259.999999999993</v>
      </c>
      <c r="F17" s="48">
        <v>0.14000000000000001</v>
      </c>
      <c r="G17" s="107">
        <v>5903</v>
      </c>
      <c r="H17" s="48">
        <v>0.4453480216384178</v>
      </c>
      <c r="I17" s="65">
        <v>208</v>
      </c>
      <c r="J17" s="76">
        <v>0.4</v>
      </c>
      <c r="K17" s="108">
        <v>0</v>
      </c>
      <c r="L17" s="76">
        <v>1.5287027707808565</v>
      </c>
      <c r="M17" s="72">
        <v>23</v>
      </c>
      <c r="N17" s="72">
        <v>64</v>
      </c>
      <c r="O17" s="72">
        <v>161</v>
      </c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>
        <v>21260.000000000218</v>
      </c>
      <c r="F18" s="48">
        <v>0.14000000000000001</v>
      </c>
      <c r="G18" s="107">
        <v>6102</v>
      </c>
      <c r="H18" s="48">
        <v>0.4453480216384178</v>
      </c>
      <c r="I18" s="65">
        <v>272</v>
      </c>
      <c r="J18" s="76">
        <v>0.4</v>
      </c>
      <c r="K18" s="108">
        <v>0</v>
      </c>
      <c r="L18" s="76">
        <v>1.5287027707808565</v>
      </c>
      <c r="M18" s="72">
        <v>27</v>
      </c>
      <c r="N18" s="72">
        <v>73</v>
      </c>
      <c r="O18" s="72">
        <v>182</v>
      </c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>
        <v>21660.00000000008</v>
      </c>
      <c r="F19" s="48">
        <v>0.14000000000000001</v>
      </c>
      <c r="G19" s="107">
        <v>5675</v>
      </c>
      <c r="H19" s="48">
        <v>0.4453480216384178</v>
      </c>
      <c r="I19" s="65">
        <v>220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393070.00000000035</v>
      </c>
      <c r="F33" s="104">
        <v>0</v>
      </c>
      <c r="G33" s="101">
        <f>SUM(G2:G32)</f>
        <v>111102</v>
      </c>
      <c r="H33" s="102">
        <v>0</v>
      </c>
      <c r="I33" s="103">
        <f>SUM(I2:I32)</f>
        <v>4763.6999999999971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609</v>
      </c>
      <c r="N33" s="106">
        <f t="shared" si="1"/>
        <v>1520</v>
      </c>
      <c r="O33" s="106">
        <f t="shared" si="1"/>
        <v>4084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4" zoomScale="78" zoomScaleNormal="78" workbookViewId="0">
      <selection activeCell="V20" sqref="V20:X2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>
        <v>28</v>
      </c>
      <c r="W9" s="71">
        <v>70</v>
      </c>
      <c r="X9" s="71">
        <v>175</v>
      </c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>
        <v>30</v>
      </c>
      <c r="W10" s="71">
        <v>78</v>
      </c>
      <c r="X10" s="71">
        <v>205</v>
      </c>
      <c r="Y10" s="17"/>
    </row>
    <row r="11" spans="1:25" ht="21" customHeight="1" x14ac:dyDescent="0.25">
      <c r="A11" s="8">
        <v>44263</v>
      </c>
      <c r="B11" s="1">
        <v>831.24</v>
      </c>
      <c r="C11" s="1">
        <v>203.88</v>
      </c>
      <c r="D11" s="1">
        <v>7204562.9000000004</v>
      </c>
      <c r="E11" s="1">
        <v>7831066.2000000002</v>
      </c>
      <c r="F11" s="1">
        <v>2.1006</v>
      </c>
      <c r="G11" s="1">
        <v>641.01</v>
      </c>
      <c r="H11" s="1">
        <v>538.91999999999996</v>
      </c>
      <c r="I11" s="1">
        <v>199.36</v>
      </c>
      <c r="J11" s="1">
        <v>292.2</v>
      </c>
      <c r="K11" s="1">
        <v>308.19</v>
      </c>
      <c r="L11" s="1">
        <v>210.73</v>
      </c>
      <c r="M11" s="1">
        <v>432.57</v>
      </c>
      <c r="N11" s="1">
        <v>382.25</v>
      </c>
      <c r="O11" s="1">
        <v>123.19</v>
      </c>
      <c r="P11" s="1">
        <v>502.51</v>
      </c>
      <c r="Q11" s="1">
        <v>376.32</v>
      </c>
      <c r="R11" s="1">
        <v>124.75</v>
      </c>
      <c r="S11" s="1">
        <v>100.21</v>
      </c>
      <c r="T11" s="1">
        <v>367.66</v>
      </c>
      <c r="V11" s="71">
        <v>34</v>
      </c>
      <c r="W11" s="71">
        <v>87</v>
      </c>
      <c r="X11" s="71">
        <v>226</v>
      </c>
      <c r="Y11" s="17"/>
    </row>
    <row r="12" spans="1:25" ht="21" customHeight="1" x14ac:dyDescent="0.25">
      <c r="A12" s="8">
        <v>44264</v>
      </c>
      <c r="B12" s="1">
        <v>832.36</v>
      </c>
      <c r="C12" s="1">
        <v>204.13</v>
      </c>
      <c r="D12" s="1">
        <v>7206805.2000000002</v>
      </c>
      <c r="E12" s="1">
        <v>7833854.7199999997</v>
      </c>
      <c r="F12" s="1">
        <v>2.1029</v>
      </c>
      <c r="G12" s="1">
        <v>641.96</v>
      </c>
      <c r="H12" s="1">
        <v>539.66</v>
      </c>
      <c r="I12" s="1">
        <v>199.7</v>
      </c>
      <c r="J12" s="1">
        <v>292.24</v>
      </c>
      <c r="K12" s="1">
        <v>308.54000000000002</v>
      </c>
      <c r="L12" s="1">
        <v>210.97</v>
      </c>
      <c r="M12" s="1">
        <v>433.33</v>
      </c>
      <c r="N12" s="1">
        <v>383.06</v>
      </c>
      <c r="O12" s="1">
        <v>123.44</v>
      </c>
      <c r="P12" s="1">
        <v>503.49</v>
      </c>
      <c r="Q12" s="1">
        <v>377.04</v>
      </c>
      <c r="R12" s="1">
        <v>124.87</v>
      </c>
      <c r="S12" s="1">
        <v>100.27</v>
      </c>
      <c r="T12" s="1">
        <v>368.15</v>
      </c>
      <c r="V12" s="71">
        <v>32</v>
      </c>
      <c r="W12" s="71">
        <v>82</v>
      </c>
      <c r="X12" s="71">
        <v>220</v>
      </c>
      <c r="Y12" s="17"/>
    </row>
    <row r="13" spans="1:25" ht="21" customHeight="1" x14ac:dyDescent="0.25">
      <c r="A13" s="8">
        <v>44265</v>
      </c>
      <c r="B13" s="1">
        <v>833.46</v>
      </c>
      <c r="C13" s="1">
        <v>204.35</v>
      </c>
      <c r="D13" s="1">
        <v>7209153.1900000004</v>
      </c>
      <c r="E13" s="1">
        <v>7836582.9500000002</v>
      </c>
      <c r="F13" s="1">
        <v>2.1053000000000002</v>
      </c>
      <c r="G13" s="1">
        <v>642.82000000000005</v>
      </c>
      <c r="H13" s="1">
        <v>540.41999999999996</v>
      </c>
      <c r="I13" s="1">
        <v>200</v>
      </c>
      <c r="J13" s="1">
        <v>292.27999999999997</v>
      </c>
      <c r="K13" s="1">
        <v>308.88</v>
      </c>
      <c r="L13" s="1">
        <v>211.2</v>
      </c>
      <c r="M13" s="1">
        <v>434.07</v>
      </c>
      <c r="N13" s="1">
        <v>383.93</v>
      </c>
      <c r="O13" s="1">
        <v>123.66</v>
      </c>
      <c r="P13" s="1">
        <v>504.53</v>
      </c>
      <c r="Q13" s="1">
        <v>377.81</v>
      </c>
      <c r="R13" s="1">
        <v>124.92</v>
      </c>
      <c r="S13" s="1">
        <v>100.27</v>
      </c>
      <c r="T13" s="1">
        <v>368.84</v>
      </c>
      <c r="V13" s="71">
        <v>32</v>
      </c>
      <c r="W13" s="71">
        <v>84</v>
      </c>
      <c r="X13" s="71">
        <v>190</v>
      </c>
      <c r="Y13" s="17"/>
    </row>
    <row r="14" spans="1:25" ht="21" customHeight="1" x14ac:dyDescent="0.25">
      <c r="A14" s="8">
        <v>44266</v>
      </c>
      <c r="B14" s="1">
        <v>834.68</v>
      </c>
      <c r="C14" s="1">
        <v>204.58</v>
      </c>
      <c r="D14" s="1">
        <v>7211533.5899999999</v>
      </c>
      <c r="E14" s="1">
        <v>7839332.0999999996</v>
      </c>
      <c r="F14" s="1">
        <v>2.1076999999999999</v>
      </c>
      <c r="G14" s="1">
        <v>643.59</v>
      </c>
      <c r="H14" s="1">
        <v>541.15</v>
      </c>
      <c r="I14" s="1">
        <v>200.3</v>
      </c>
      <c r="J14" s="1">
        <v>292.48</v>
      </c>
      <c r="K14" s="1">
        <v>309.25</v>
      </c>
      <c r="L14" s="1">
        <v>211.45</v>
      </c>
      <c r="M14" s="1">
        <v>434.78</v>
      </c>
      <c r="N14" s="1">
        <v>384.69</v>
      </c>
      <c r="O14" s="1">
        <v>123.89</v>
      </c>
      <c r="P14" s="1">
        <v>505.44</v>
      </c>
      <c r="Q14" s="1">
        <v>378.53</v>
      </c>
      <c r="R14" s="1">
        <v>125.07</v>
      </c>
      <c r="S14" s="1">
        <v>100.36</v>
      </c>
      <c r="T14" s="1">
        <v>369.13</v>
      </c>
      <c r="V14" s="71">
        <v>36</v>
      </c>
      <c r="W14" s="71">
        <v>94</v>
      </c>
      <c r="X14" s="71">
        <v>242</v>
      </c>
      <c r="Y14" s="17"/>
    </row>
    <row r="15" spans="1:25" ht="21" customHeight="1" x14ac:dyDescent="0.25">
      <c r="A15" s="8">
        <v>44267</v>
      </c>
      <c r="B15" s="1">
        <v>835.6</v>
      </c>
      <c r="C15" s="1">
        <v>204.8</v>
      </c>
      <c r="D15" s="1">
        <v>7213309.6100000003</v>
      </c>
      <c r="E15" s="1">
        <v>7841305.5999999996</v>
      </c>
      <c r="F15" s="1">
        <v>2.1097999999999999</v>
      </c>
      <c r="G15" s="1">
        <v>644.20000000000005</v>
      </c>
      <c r="H15" s="1">
        <v>541.59</v>
      </c>
      <c r="I15" s="1">
        <v>200.49</v>
      </c>
      <c r="J15" s="1">
        <v>292.72000000000003</v>
      </c>
      <c r="K15" s="1">
        <v>309.52</v>
      </c>
      <c r="L15" s="1">
        <v>211.64</v>
      </c>
      <c r="M15" s="1">
        <v>435.21</v>
      </c>
      <c r="N15" s="1">
        <v>385.17</v>
      </c>
      <c r="O15" s="1">
        <v>124.11</v>
      </c>
      <c r="P15" s="1">
        <v>506.1</v>
      </c>
      <c r="Q15" s="1">
        <v>378.99</v>
      </c>
      <c r="R15" s="1">
        <v>125.26</v>
      </c>
      <c r="S15" s="1">
        <v>100.51</v>
      </c>
      <c r="T15" s="1">
        <v>369.56</v>
      </c>
      <c r="V15" s="71">
        <v>38</v>
      </c>
      <c r="W15" s="71">
        <v>92</v>
      </c>
      <c r="X15" s="71">
        <v>275</v>
      </c>
      <c r="Y15" s="17"/>
    </row>
    <row r="16" spans="1:25" ht="21" customHeight="1" x14ac:dyDescent="0.25">
      <c r="A16" s="8">
        <v>44268</v>
      </c>
      <c r="B16" s="1">
        <v>836.82</v>
      </c>
      <c r="C16" s="1">
        <v>205.06</v>
      </c>
      <c r="D16" s="1">
        <v>7215903.8799999999</v>
      </c>
      <c r="E16" s="1">
        <v>7843974.1600000001</v>
      </c>
      <c r="F16" s="1">
        <v>2.1122000000000001</v>
      </c>
      <c r="G16" s="1">
        <v>645.15</v>
      </c>
      <c r="H16" s="1">
        <v>542.47</v>
      </c>
      <c r="I16" s="1">
        <v>200.79</v>
      </c>
      <c r="J16" s="1">
        <v>292.94</v>
      </c>
      <c r="K16" s="1">
        <v>309.86</v>
      </c>
      <c r="L16" s="1">
        <v>211.86</v>
      </c>
      <c r="M16" s="1">
        <v>435.87</v>
      </c>
      <c r="N16" s="1">
        <v>385.94</v>
      </c>
      <c r="O16" s="1">
        <v>124.35</v>
      </c>
      <c r="P16" s="1">
        <v>507.03</v>
      </c>
      <c r="Q16" s="1">
        <v>379.57</v>
      </c>
      <c r="R16" s="1">
        <v>125.52</v>
      </c>
      <c r="S16" s="1">
        <v>100.67</v>
      </c>
      <c r="T16" s="1">
        <v>369.8</v>
      </c>
      <c r="V16" s="71">
        <v>36</v>
      </c>
      <c r="W16" s="71">
        <v>93</v>
      </c>
      <c r="X16" s="71">
        <v>277</v>
      </c>
      <c r="Y16" s="17"/>
    </row>
    <row r="17" spans="1:25" ht="21" customHeight="1" x14ac:dyDescent="0.25">
      <c r="A17" s="8">
        <v>44269</v>
      </c>
      <c r="B17" s="1">
        <v>838.08</v>
      </c>
      <c r="C17" s="1">
        <v>205.28</v>
      </c>
      <c r="D17" s="1">
        <v>7218523.3099999996</v>
      </c>
      <c r="E17" s="1">
        <v>7847064.7599999998</v>
      </c>
      <c r="F17" s="1">
        <v>2.1145999999999998</v>
      </c>
      <c r="G17" s="1">
        <v>646.1</v>
      </c>
      <c r="H17" s="1">
        <v>543.29999999999995</v>
      </c>
      <c r="I17" s="1">
        <v>201.11</v>
      </c>
      <c r="J17" s="1">
        <v>293.23</v>
      </c>
      <c r="K17" s="1">
        <v>310.20999999999998</v>
      </c>
      <c r="L17" s="1">
        <v>212.09</v>
      </c>
      <c r="M17" s="1">
        <v>436.57</v>
      </c>
      <c r="N17" s="1">
        <v>386.77</v>
      </c>
      <c r="O17" s="1">
        <v>124.55</v>
      </c>
      <c r="P17" s="1">
        <v>508.04</v>
      </c>
      <c r="Q17" s="1">
        <v>380.23</v>
      </c>
      <c r="R17" s="1">
        <v>125.8</v>
      </c>
      <c r="S17" s="1">
        <v>100.81</v>
      </c>
      <c r="T17" s="1">
        <v>370.31</v>
      </c>
      <c r="V17" s="71">
        <v>31</v>
      </c>
      <c r="W17" s="71">
        <v>92</v>
      </c>
      <c r="X17" s="71">
        <v>250</v>
      </c>
      <c r="Y17" s="17"/>
    </row>
    <row r="18" spans="1:25" ht="21" customHeight="1" x14ac:dyDescent="0.25">
      <c r="A18" s="8">
        <v>44270</v>
      </c>
      <c r="B18" s="1">
        <v>839.29</v>
      </c>
      <c r="C18" s="1">
        <v>205.51</v>
      </c>
      <c r="D18" s="1">
        <v>7220983.7300000004</v>
      </c>
      <c r="E18" s="1">
        <v>7850002.3499999996</v>
      </c>
      <c r="F18" s="1">
        <v>2.117</v>
      </c>
      <c r="G18" s="1">
        <v>647.08000000000004</v>
      </c>
      <c r="H18" s="1">
        <v>544.16999999999996</v>
      </c>
      <c r="I18" s="1">
        <v>201.4</v>
      </c>
      <c r="J18" s="1">
        <v>293.51</v>
      </c>
      <c r="K18" s="1">
        <v>310.35000000000002</v>
      </c>
      <c r="L18" s="1">
        <v>212.32</v>
      </c>
      <c r="M18" s="1">
        <v>437.21</v>
      </c>
      <c r="N18" s="1">
        <v>387.55</v>
      </c>
      <c r="O18" s="1">
        <v>124.77</v>
      </c>
      <c r="P18" s="1">
        <v>508.95</v>
      </c>
      <c r="Q18" s="1">
        <v>380.98</v>
      </c>
      <c r="R18" s="1">
        <v>126.1</v>
      </c>
      <c r="S18" s="1">
        <v>100.93</v>
      </c>
      <c r="T18" s="1">
        <v>370.91</v>
      </c>
      <c r="V18" s="71">
        <v>22</v>
      </c>
      <c r="W18" s="71">
        <v>64</v>
      </c>
      <c r="X18" s="71">
        <v>177</v>
      </c>
      <c r="Y18" s="17"/>
    </row>
    <row r="19" spans="1:25" ht="21" customHeight="1" x14ac:dyDescent="0.25">
      <c r="A19" s="8">
        <v>44271</v>
      </c>
      <c r="B19" s="1">
        <v>840.6</v>
      </c>
      <c r="C19" s="1">
        <v>205.76</v>
      </c>
      <c r="D19" s="1">
        <v>7223240.7300000004</v>
      </c>
      <c r="E19" s="1">
        <v>7853029.5599999996</v>
      </c>
      <c r="F19" s="1">
        <v>2.1196000000000002</v>
      </c>
      <c r="G19" s="1">
        <v>648.04</v>
      </c>
      <c r="H19" s="1">
        <v>545.13</v>
      </c>
      <c r="I19" s="1">
        <v>201.72</v>
      </c>
      <c r="J19" s="1">
        <v>293.83</v>
      </c>
      <c r="K19" s="1">
        <v>310.95</v>
      </c>
      <c r="L19" s="1">
        <v>212.57</v>
      </c>
      <c r="M19" s="1">
        <v>437.91</v>
      </c>
      <c r="N19" s="1">
        <v>388.45</v>
      </c>
      <c r="O19" s="1">
        <v>125</v>
      </c>
      <c r="P19" s="1">
        <v>509.87</v>
      </c>
      <c r="Q19" s="1">
        <v>381.72</v>
      </c>
      <c r="R19" s="1">
        <v>126.41</v>
      </c>
      <c r="S19" s="1">
        <v>101.89</v>
      </c>
      <c r="T19" s="1">
        <v>371.31</v>
      </c>
      <c r="V19" s="71">
        <v>23</v>
      </c>
      <c r="W19" s="71">
        <v>64</v>
      </c>
      <c r="X19" s="71">
        <v>161</v>
      </c>
      <c r="Y19" s="17"/>
    </row>
    <row r="20" spans="1:25" ht="21" customHeight="1" x14ac:dyDescent="0.25">
      <c r="A20" s="8">
        <v>44272</v>
      </c>
      <c r="B20" s="1">
        <v>841.81</v>
      </c>
      <c r="C20" s="1">
        <v>205.97</v>
      </c>
      <c r="D20" s="1">
        <v>7225104.8600000003</v>
      </c>
      <c r="E20" s="1">
        <v>7855690.04</v>
      </c>
      <c r="F20" s="1">
        <v>2.1217999999999999</v>
      </c>
      <c r="G20" s="1">
        <v>648.89</v>
      </c>
      <c r="H20" s="1">
        <v>545.95000000000005</v>
      </c>
      <c r="I20" s="1">
        <v>202.01</v>
      </c>
      <c r="J20" s="1">
        <v>294.07</v>
      </c>
      <c r="K20" s="1">
        <v>311.14999999999998</v>
      </c>
      <c r="L20" s="1">
        <v>212.74</v>
      </c>
      <c r="M20" s="1">
        <v>438.5</v>
      </c>
      <c r="N20" s="1">
        <v>389.2</v>
      </c>
      <c r="O20" s="1">
        <v>125.21</v>
      </c>
      <c r="P20" s="1">
        <v>510.72</v>
      </c>
      <c r="Q20" s="1">
        <v>382.38</v>
      </c>
      <c r="R20" s="1">
        <v>126.63</v>
      </c>
      <c r="S20" s="1">
        <v>101.23</v>
      </c>
      <c r="T20" s="1">
        <v>371.84</v>
      </c>
      <c r="V20" s="71">
        <v>27</v>
      </c>
      <c r="W20" s="71">
        <v>73</v>
      </c>
      <c r="X20" s="71">
        <v>182</v>
      </c>
      <c r="Y20" s="17"/>
    </row>
    <row r="21" spans="1:25" ht="21" customHeight="1" x14ac:dyDescent="0.25">
      <c r="A21" s="8">
        <v>44273</v>
      </c>
      <c r="B21" s="1">
        <v>843.05</v>
      </c>
      <c r="C21" s="1">
        <v>206.2</v>
      </c>
      <c r="D21" s="1">
        <v>7227216.1900000004</v>
      </c>
      <c r="E21" s="1">
        <v>7858673.7800000003</v>
      </c>
      <c r="F21" s="1">
        <v>2.1242000000000001</v>
      </c>
      <c r="G21" s="1">
        <v>649.80999999999995</v>
      </c>
      <c r="H21" s="1">
        <v>546.82000000000005</v>
      </c>
      <c r="I21" s="1">
        <v>202.3</v>
      </c>
      <c r="J21" s="1">
        <v>294.32</v>
      </c>
      <c r="K21" s="1">
        <v>311.52</v>
      </c>
      <c r="L21" s="1">
        <v>212.97</v>
      </c>
      <c r="M21" s="1">
        <v>439.13</v>
      </c>
      <c r="N21" s="1">
        <v>390.07</v>
      </c>
      <c r="O21" s="1">
        <v>125.43</v>
      </c>
      <c r="P21" s="1">
        <v>511.68</v>
      </c>
      <c r="Q21" s="1">
        <v>383.15</v>
      </c>
      <c r="R21" s="1">
        <v>126.78</v>
      </c>
      <c r="S21" s="1">
        <v>101.37</v>
      </c>
      <c r="T21" s="1">
        <v>372.35</v>
      </c>
      <c r="V21" s="71"/>
      <c r="W21" s="71"/>
      <c r="X21" s="71"/>
      <c r="Y21" s="17"/>
    </row>
    <row r="22" spans="1:25" ht="21" customHeight="1" x14ac:dyDescent="0.25">
      <c r="A22" s="8">
        <v>44274</v>
      </c>
      <c r="B22" s="1">
        <v>844.4</v>
      </c>
      <c r="C22" s="1">
        <v>206.45</v>
      </c>
      <c r="D22" s="1">
        <v>7229652.5199999996</v>
      </c>
      <c r="E22" s="1">
        <v>7861553.21</v>
      </c>
      <c r="F22" s="1">
        <v>2.1267</v>
      </c>
      <c r="G22" s="1">
        <v>650.73</v>
      </c>
      <c r="H22" s="1">
        <v>547.69000000000005</v>
      </c>
      <c r="I22" s="1">
        <v>202.62</v>
      </c>
      <c r="J22" s="1">
        <v>294.54000000000002</v>
      </c>
      <c r="K22" s="1">
        <v>311.86</v>
      </c>
      <c r="L22" s="1">
        <v>213.18</v>
      </c>
      <c r="M22" s="1">
        <v>439.81</v>
      </c>
      <c r="N22" s="1">
        <v>390.87</v>
      </c>
      <c r="O22" s="1">
        <v>125.66</v>
      </c>
      <c r="P22" s="1">
        <v>512.72</v>
      </c>
      <c r="Q22" s="1">
        <v>383.86</v>
      </c>
      <c r="R22" s="28">
        <v>126.97</v>
      </c>
      <c r="S22" s="28">
        <v>101.53</v>
      </c>
      <c r="T22" s="1">
        <v>372.86</v>
      </c>
      <c r="V22" s="71"/>
      <c r="W22" s="71"/>
      <c r="X22" s="71"/>
      <c r="Y22" s="17"/>
    </row>
    <row r="23" spans="1:25" ht="21" customHeight="1" x14ac:dyDescent="0.25">
      <c r="A23" s="8">
        <v>44275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44276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44280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44281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44282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609</v>
      </c>
      <c r="W35" s="78">
        <f>SUM(W4:W34)</f>
        <v>1520</v>
      </c>
      <c r="X35" s="78">
        <f>SUM(X4:X34)</f>
        <v>4084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G41" sqref="G4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22069.999999999709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5772.0100000004095</v>
      </c>
    </row>
    <row r="5" spans="1:22" x14ac:dyDescent="0.25">
      <c r="A5" s="3">
        <f>'Kwh Reading'!A5</f>
        <v>44257</v>
      </c>
      <c r="B5" s="26">
        <f>TOTAL!E3</f>
        <v>23210.000000000262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6802.1599999997961</v>
      </c>
    </row>
    <row r="6" spans="1:22" x14ac:dyDescent="0.25">
      <c r="A6" s="3">
        <f>'Kwh Reading'!A6</f>
        <v>44258</v>
      </c>
      <c r="B6" s="26">
        <f>TOTAL!E4</f>
        <v>22360.000000000357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6106.2600000006132</v>
      </c>
    </row>
    <row r="7" spans="1:22" x14ac:dyDescent="0.25">
      <c r="A7" s="3">
        <f>'Kwh Reading'!A7</f>
        <v>44259</v>
      </c>
      <c r="B7" s="26">
        <f>TOTAL!E5</f>
        <v>22909.999999999625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6233.2000000000589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22680.000000000065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5979.0700000001343</v>
      </c>
    </row>
    <row r="10" spans="1:22" x14ac:dyDescent="0.25">
      <c r="A10" s="3">
        <f>'Kwh Reading'!A10</f>
        <v>44262</v>
      </c>
      <c r="B10" s="26">
        <f>TOTAL!E8</f>
        <v>21099.99999999968</v>
      </c>
      <c r="C10" s="4">
        <f>('Kwh Reading'!T11-'Kwh Reading'!T10)*1000</f>
        <v>480.00000000001819</v>
      </c>
      <c r="D10" s="2">
        <f>('Kwh Reading'!F11-'Kwh Reading'!F10)*1000000</f>
        <v>2299.9999999999686</v>
      </c>
      <c r="E10" s="2">
        <f>('Kwh Reading'!C11-'Kwh Reading'!C10)*1000</f>
        <v>210.00000000000796</v>
      </c>
      <c r="F10" s="2">
        <f>('Kwh Reading'!J11-'Kwh Reading'!J10)*1000</f>
        <v>219.99999999997044</v>
      </c>
      <c r="G10" s="2">
        <f>('Kwh Reading'!K11-'Kwh Reading'!K10)*1000</f>
        <v>360.00000000001364</v>
      </c>
      <c r="H10" s="2">
        <f>('Kwh Reading'!L11-'Kwh Reading'!L10)*1000</f>
        <v>229.99999999998977</v>
      </c>
      <c r="I10" s="2">
        <f>('Kwh Reading'!R11-'Kwh Reading'!R10)*1000</f>
        <v>99.999999999994316</v>
      </c>
      <c r="J10" s="2">
        <f>('Kwh Reading'!S11-'Kwh Reading'!S10)*1000</f>
        <v>49.999999999997158</v>
      </c>
      <c r="K10" s="2">
        <f>('Kwh Reading'!I11-'Kwh Reading'!I10)*1000</f>
        <v>320.0000000000216</v>
      </c>
      <c r="L10" s="2">
        <f>('Kwh Reading'!B11-'Kwh Reading'!B10)*1000</f>
        <v>1269.9999999999818</v>
      </c>
      <c r="M10" s="2">
        <f>('Kwh Reading'!M11-'Kwh Reading'!M10)*1000</f>
        <v>689.99999999999773</v>
      </c>
      <c r="N10" s="2">
        <f>('Kwh Reading'!H11-'Kwh Reading'!H10)*1000</f>
        <v>860.00000000001364</v>
      </c>
      <c r="O10" s="2">
        <f>('Kwh Reading'!P11-'Kwh Reading'!P10)*1000</f>
        <v>1000</v>
      </c>
      <c r="P10" s="2">
        <f>('Kwh Reading'!G11-'Kwh Reading'!G10)*1000</f>
        <v>830.00000000004093</v>
      </c>
      <c r="Q10" s="2">
        <f>('Kwh Reading'!Q11-'Kwh Reading'!Q10)*1000</f>
        <v>709.99999999997954</v>
      </c>
      <c r="R10" s="2">
        <f>('Kwh Reading'!N11-'Kwh Reading'!N10)*1000</f>
        <v>899.99999999997726</v>
      </c>
      <c r="S10" s="34">
        <f>'Kwh Reading'!E11-'Kwh Reading'!E10</f>
        <v>2720.140000000596</v>
      </c>
      <c r="T10" s="34">
        <f>'Kwh Reading'!D11-'Kwh Reading'!D10</f>
        <v>1957.820000000298</v>
      </c>
      <c r="U10" s="27">
        <f>('Kwh Reading'!O11-'Kwh Reading'!O10)*1000</f>
        <v>219.99999999999886</v>
      </c>
      <c r="V10" s="16">
        <f t="shared" si="0"/>
        <v>5672.0399999988131</v>
      </c>
    </row>
    <row r="11" spans="1:22" x14ac:dyDescent="0.25">
      <c r="A11" s="3">
        <f>'Kwh Reading'!A11</f>
        <v>44263</v>
      </c>
      <c r="B11" s="26">
        <f>TOTAL!E9</f>
        <v>21140.000000000095</v>
      </c>
      <c r="C11" s="4">
        <f>('Kwh Reading'!T12-'Kwh Reading'!T11)*1000</f>
        <v>489.99999999995225</v>
      </c>
      <c r="D11" s="2">
        <f>('Kwh Reading'!F12-'Kwh Reading'!F11)*1000000</f>
        <v>2299.9999999999686</v>
      </c>
      <c r="E11" s="2">
        <f>('Kwh Reading'!C12-'Kwh Reading'!C11)*1000</f>
        <v>250</v>
      </c>
      <c r="F11" s="2">
        <f>('Kwh Reading'!J12-'Kwh Reading'!J11)*1000</f>
        <v>40.000000000020464</v>
      </c>
      <c r="G11" s="2">
        <f>('Kwh Reading'!K12-'Kwh Reading'!K11)*1000</f>
        <v>350.00000000002274</v>
      </c>
      <c r="H11" s="2">
        <f>('Kwh Reading'!L12-'Kwh Reading'!L11)*1000</f>
        <v>240.00000000000909</v>
      </c>
      <c r="I11" s="2">
        <f>('Kwh Reading'!R12-'Kwh Reading'!R11)*1000</f>
        <v>120.00000000000455</v>
      </c>
      <c r="J11" s="2">
        <f>('Kwh Reading'!S12-'Kwh Reading'!S11)*1000</f>
        <v>60.000000000002274</v>
      </c>
      <c r="K11" s="2">
        <f>('Kwh Reading'!I12-'Kwh Reading'!I11)*1000</f>
        <v>339.99999999997499</v>
      </c>
      <c r="L11" s="2">
        <f>('Kwh Reading'!B12-'Kwh Reading'!B11)*1000</f>
        <v>1120.0000000000045</v>
      </c>
      <c r="M11" s="2">
        <f>('Kwh Reading'!M12-'Kwh Reading'!M11)*1000</f>
        <v>759.99999999999091</v>
      </c>
      <c r="N11" s="2">
        <f>('Kwh Reading'!H12-'Kwh Reading'!H11)*1000</f>
        <v>740.00000000000909</v>
      </c>
      <c r="O11" s="2">
        <f>('Kwh Reading'!P12-'Kwh Reading'!P11)*1000</f>
        <v>980.00000000001819</v>
      </c>
      <c r="P11" s="2">
        <f>('Kwh Reading'!G12-'Kwh Reading'!G11)*1000</f>
        <v>950.00000000004547</v>
      </c>
      <c r="Q11" s="2">
        <f>('Kwh Reading'!Q12-'Kwh Reading'!Q11)*1000</f>
        <v>720.00000000002728</v>
      </c>
      <c r="R11" s="2">
        <f>('Kwh Reading'!N12-'Kwh Reading'!N11)*1000</f>
        <v>810.00000000000227</v>
      </c>
      <c r="S11" s="34">
        <f>'Kwh Reading'!E12-'Kwh Reading'!E11</f>
        <v>2788.519999999553</v>
      </c>
      <c r="T11" s="34">
        <f>'Kwh Reading'!D12-'Kwh Reading'!D11</f>
        <v>2242.2999999998137</v>
      </c>
      <c r="U11" s="27">
        <f>('Kwh Reading'!O12-'Kwh Reading'!O11)*1000</f>
        <v>250</v>
      </c>
      <c r="V11" s="16">
        <f t="shared" si="0"/>
        <v>5589.180000000677</v>
      </c>
    </row>
    <row r="12" spans="1:22" x14ac:dyDescent="0.25">
      <c r="A12" s="3">
        <f>'Kwh Reading'!A12</f>
        <v>44264</v>
      </c>
      <c r="B12" s="26">
        <f>TOTAL!E10</f>
        <v>21810.000000000859</v>
      </c>
      <c r="C12" s="4">
        <f>('Kwh Reading'!T13-'Kwh Reading'!T12)*1000</f>
        <v>689.99999999999773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39.99999999996362</v>
      </c>
      <c r="G12" s="2">
        <f>('Kwh Reading'!K13-'Kwh Reading'!K12)*1000</f>
        <v>339.99999999997499</v>
      </c>
      <c r="H12" s="2">
        <f>('Kwh Reading'!L13-'Kwh Reading'!L12)*1000</f>
        <v>229.99999999998977</v>
      </c>
      <c r="I12" s="2">
        <f>('Kwh Reading'!R13-'Kwh Reading'!R12)*1000</f>
        <v>49.999999999997158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</f>
        <v>1100.0000000000227</v>
      </c>
      <c r="M12" s="2">
        <f>('Kwh Reading'!M13-'Kwh Reading'!M12)*1000</f>
        <v>740.00000000000909</v>
      </c>
      <c r="N12" s="2">
        <f>('Kwh Reading'!H13-'Kwh Reading'!H12)*1000</f>
        <v>759.99999999999091</v>
      </c>
      <c r="O12" s="2">
        <f>('Kwh Reading'!P13-'Kwh Reading'!P12)*1000</f>
        <v>1039.9999999999636</v>
      </c>
      <c r="P12" s="2">
        <f>('Kwh Reading'!G13-'Kwh Reading'!G12)*1000</f>
        <v>860.00000000001364</v>
      </c>
      <c r="Q12" s="2">
        <f>('Kwh Reading'!Q13-'Kwh Reading'!Q12)*1000</f>
        <v>769.99999999998181</v>
      </c>
      <c r="R12" s="2">
        <f>('Kwh Reading'!N13-'Kwh Reading'!N12)*1000</f>
        <v>870.00000000000455</v>
      </c>
      <c r="S12" s="34">
        <f>'Kwh Reading'!E13-'Kwh Reading'!E12</f>
        <v>2728.230000000447</v>
      </c>
      <c r="T12" s="34">
        <f>'Kwh Reading'!D13-'Kwh Reading'!D12</f>
        <v>2347.9900000002235</v>
      </c>
      <c r="U12" s="27">
        <f>('Kwh Reading'!O13-'Kwh Reading'!O12)*1000</f>
        <v>219.99999999999886</v>
      </c>
      <c r="V12" s="16">
        <f t="shared" si="0"/>
        <v>6103.7800000000916</v>
      </c>
    </row>
    <row r="13" spans="1:22" x14ac:dyDescent="0.25">
      <c r="A13" s="3">
        <f>'Kwh Reading'!A13</f>
        <v>44265</v>
      </c>
      <c r="B13" s="26">
        <f>TOTAL!E11</f>
        <v>20779.999999999745</v>
      </c>
      <c r="C13" s="4">
        <f>('Kwh Reading'!T14-'Kwh Reading'!T13)*1000</f>
        <v>290.00000000002046</v>
      </c>
      <c r="D13" s="2">
        <f>('Kwh Reading'!F14-'Kwh Reading'!F13)*1000000</f>
        <v>2399.9999999997358</v>
      </c>
      <c r="E13" s="2">
        <f>('Kwh Reading'!C14-'Kwh Reading'!C13)*1000</f>
        <v>230.00000000001819</v>
      </c>
      <c r="F13" s="2">
        <f>('Kwh Reading'!J14-'Kwh Reading'!J13)*1000</f>
        <v>200.00000000004547</v>
      </c>
      <c r="G13" s="2">
        <f>('Kwh Reading'!K14-'Kwh Reading'!K13)*1000</f>
        <v>370.00000000000455</v>
      </c>
      <c r="H13" s="2">
        <f>('Kwh Reading'!L14-'Kwh Reading'!L13)*1000</f>
        <v>250</v>
      </c>
      <c r="I13" s="2">
        <f>('Kwh Reading'!R14-'Kwh Reading'!R13)*1000</f>
        <v>149.99999999999147</v>
      </c>
      <c r="J13" s="2">
        <f>('Kwh Reading'!S14-'Kwh Reading'!S13)*1000</f>
        <v>90.000000000003411</v>
      </c>
      <c r="K13" s="2">
        <f>('Kwh Reading'!I14-'Kwh Reading'!I13)*1000</f>
        <v>300.00000000001137</v>
      </c>
      <c r="L13" s="2">
        <f>('Kwh Reading'!B14-'Kwh Reading'!B13)*1000</f>
        <v>1219.9999999999136</v>
      </c>
      <c r="M13" s="2">
        <f>('Kwh Reading'!M14-'Kwh Reading'!M13)*1000</f>
        <v>709.99999999997954</v>
      </c>
      <c r="N13" s="2">
        <f>('Kwh Reading'!H14-'Kwh Reading'!H13)*1000</f>
        <v>730.00000000001819</v>
      </c>
      <c r="O13" s="2">
        <f>('Kwh Reading'!P14-'Kwh Reading'!P13)*1000</f>
        <v>910.00000000002501</v>
      </c>
      <c r="P13" s="2">
        <f>('Kwh Reading'!G14-'Kwh Reading'!G13)*1000</f>
        <v>769.99999999998181</v>
      </c>
      <c r="Q13" s="2">
        <f>('Kwh Reading'!Q14-'Kwh Reading'!Q13)*1000</f>
        <v>719.99999999997044</v>
      </c>
      <c r="R13" s="2">
        <f>('Kwh Reading'!N14-'Kwh Reading'!N13)*1000</f>
        <v>759.99999999999091</v>
      </c>
      <c r="S13" s="34">
        <f>'Kwh Reading'!E14-'Kwh Reading'!E13</f>
        <v>2749.1499999994412</v>
      </c>
      <c r="T13" s="34">
        <f>'Kwh Reading'!D14-'Kwh Reading'!D13</f>
        <v>2380.3999999994412</v>
      </c>
      <c r="U13" s="27">
        <f>('Kwh Reading'!O14-'Kwh Reading'!O13)*1000</f>
        <v>230.00000000000398</v>
      </c>
      <c r="V13" s="16">
        <f t="shared" si="0"/>
        <v>5320.4500000011485</v>
      </c>
    </row>
    <row r="14" spans="1:22" x14ac:dyDescent="0.25">
      <c r="A14" s="3">
        <f>'Kwh Reading'!A14</f>
        <v>44266</v>
      </c>
      <c r="B14" s="26">
        <f>TOTAL!E12</f>
        <v>18449.999999999134</v>
      </c>
      <c r="C14" s="4">
        <f>('Kwh Reading'!T15-'Kwh Reading'!T14)*1000</f>
        <v>430.00000000000682</v>
      </c>
      <c r="D14" s="2">
        <f>('Kwh Reading'!F15-'Kwh Reading'!F14)*1000000</f>
        <v>2099.9999999999909</v>
      </c>
      <c r="E14" s="2">
        <f>('Kwh Reading'!C15-'Kwh Reading'!C14)*1000</f>
        <v>219.99999999999886</v>
      </c>
      <c r="F14" s="2">
        <f>('Kwh Reading'!J15-'Kwh Reading'!J14)*1000</f>
        <v>240.00000000000909</v>
      </c>
      <c r="G14" s="2">
        <f>('Kwh Reading'!K15-'Kwh Reading'!K14)*1000</f>
        <v>269.99999999998181</v>
      </c>
      <c r="H14" s="2">
        <f>('Kwh Reading'!L15-'Kwh Reading'!L14)*1000</f>
        <v>189.99999999999773</v>
      </c>
      <c r="I14" s="2">
        <f>('Kwh Reading'!R15-'Kwh Reading'!R14)*1000</f>
        <v>190.00000000001194</v>
      </c>
      <c r="J14" s="2">
        <f>('Kwh Reading'!S15-'Kwh Reading'!S14)*1000</f>
        <v>150.00000000000568</v>
      </c>
      <c r="K14" s="2">
        <f>('Kwh Reading'!I15-'Kwh Reading'!I14)*1000</f>
        <v>189.99999999999773</v>
      </c>
      <c r="L14" s="2">
        <f>('Kwh Reading'!B15-'Kwh Reading'!B14)*1000</f>
        <v>920.00000000007276</v>
      </c>
      <c r="M14" s="2">
        <f>('Kwh Reading'!M15-'Kwh Reading'!M14)*1000</f>
        <v>430.00000000000682</v>
      </c>
      <c r="N14" s="2">
        <f>('Kwh Reading'!H15-'Kwh Reading'!H14)*1000</f>
        <v>440.00000000005457</v>
      </c>
      <c r="O14" s="2">
        <f>('Kwh Reading'!P15-'Kwh Reading'!P14)*1000</f>
        <v>660.00000000002501</v>
      </c>
      <c r="P14" s="2">
        <f>('Kwh Reading'!G15-'Kwh Reading'!G14)*1000</f>
        <v>610.00000000001364</v>
      </c>
      <c r="Q14" s="2">
        <f>('Kwh Reading'!Q15-'Kwh Reading'!Q14)*1000</f>
        <v>460.00000000003638</v>
      </c>
      <c r="R14" s="2">
        <f>('Kwh Reading'!N15-'Kwh Reading'!N14)*1000</f>
        <v>480.00000000001819</v>
      </c>
      <c r="S14" s="34">
        <f>'Kwh Reading'!E15-'Kwh Reading'!E14</f>
        <v>1973.5</v>
      </c>
      <c r="T14" s="34">
        <f>'Kwh Reading'!D15-'Kwh Reading'!D14</f>
        <v>1776.0200000004843</v>
      </c>
      <c r="U14" s="27">
        <f>('Kwh Reading'!O15-'Kwh Reading'!O14)*1000</f>
        <v>219.99999999999886</v>
      </c>
      <c r="V14" s="16">
        <f t="shared" si="0"/>
        <v>6500.4799999984225</v>
      </c>
    </row>
    <row r="15" spans="1:22" x14ac:dyDescent="0.25">
      <c r="A15" s="3">
        <f>'Kwh Reading'!A15</f>
        <v>44267</v>
      </c>
      <c r="B15" s="26">
        <f>TOTAL!E13</f>
        <v>21800.000000000182</v>
      </c>
      <c r="C15" s="4">
        <f>('Kwh Reading'!T16-'Kwh Reading'!T15)*1000</f>
        <v>240.00000000000909</v>
      </c>
      <c r="D15" s="2">
        <f>('Kwh Reading'!F16-'Kwh Reading'!F15)*1000000</f>
        <v>2400.0000000001796</v>
      </c>
      <c r="E15" s="2">
        <f>('Kwh Reading'!C16-'Kwh Reading'!C15)*1000</f>
        <v>259.99999999999091</v>
      </c>
      <c r="F15" s="2">
        <f>('Kwh Reading'!J16-'Kwh Reading'!J15)*1000</f>
        <v>219.99999999997044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259.99999999999091</v>
      </c>
      <c r="J15" s="2">
        <f>('Kwh Reading'!S16-'Kwh Reading'!S15)*1000</f>
        <v>159.99999999999659</v>
      </c>
      <c r="K15" s="2">
        <f>('Kwh Reading'!I16-'Kwh Reading'!I15)*1000</f>
        <v>299.99999999998295</v>
      </c>
      <c r="L15" s="2">
        <f>('Kwh Reading'!B16-'Kwh Reading'!B15)*1000</f>
        <v>1220.0000000000273</v>
      </c>
      <c r="M15" s="2">
        <f>('Kwh Reading'!M16-'Kwh Reading'!M15)*1000</f>
        <v>660.00000000002501</v>
      </c>
      <c r="N15" s="2">
        <f>('Kwh Reading'!H16-'Kwh Reading'!H15)*1000</f>
        <v>879.99999999999545</v>
      </c>
      <c r="O15" s="2">
        <f>('Kwh Reading'!P16-'Kwh Reading'!P15)*1000</f>
        <v>929.99999999994998</v>
      </c>
      <c r="P15" s="2">
        <f>('Kwh Reading'!G16-'Kwh Reading'!G15)*1000</f>
        <v>949.99999999993179</v>
      </c>
      <c r="Q15" s="2">
        <f>('Kwh Reading'!Q16-'Kwh Reading'!Q15)*1000</f>
        <v>579.99999999998408</v>
      </c>
      <c r="R15" s="2">
        <f>('Kwh Reading'!N16-'Kwh Reading'!N15)*1000</f>
        <v>769.99999999998181</v>
      </c>
      <c r="S15" s="34">
        <f>'Kwh Reading'!E16-'Kwh Reading'!E15</f>
        <v>2668.5600000005215</v>
      </c>
      <c r="T15" s="34">
        <f>'Kwh Reading'!D16-'Kwh Reading'!D15</f>
        <v>2594.269999999553</v>
      </c>
      <c r="U15" s="27">
        <f>('Kwh Reading'!O16-'Kwh Reading'!O15)*1000</f>
        <v>239.99999999999488</v>
      </c>
      <c r="V15" s="16">
        <f t="shared" si="0"/>
        <v>5907.1700000000383</v>
      </c>
    </row>
    <row r="16" spans="1:22" x14ac:dyDescent="0.25">
      <c r="A16" s="3">
        <f>'Kwh Reading'!A16</f>
        <v>44268</v>
      </c>
      <c r="B16" s="26">
        <f>TOTAL!E14</f>
        <v>23610.000000000124</v>
      </c>
      <c r="C16" s="4">
        <f>('Kwh Reading'!T17-'Kwh Reading'!T16)*1000</f>
        <v>509.99999999999091</v>
      </c>
      <c r="D16" s="2">
        <f>('Kwh Reading'!F17-'Kwh Reading'!F16)*1000000</f>
        <v>2399.9999999997358</v>
      </c>
      <c r="E16" s="2">
        <f>('Kwh Reading'!C17-'Kwh Reading'!C16)*1000</f>
        <v>219.99999999999886</v>
      </c>
      <c r="F16" s="2">
        <f>('Kwh Reading'!J17-'Kwh Reading'!J16)*1000</f>
        <v>290.00000000002046</v>
      </c>
      <c r="G16" s="2">
        <f>('Kwh Reading'!K17-'Kwh Reading'!K16)*1000</f>
        <v>349.99999999996589</v>
      </c>
      <c r="H16" s="2">
        <f>('Kwh Reading'!L17-'Kwh Reading'!L16)*1000</f>
        <v>229.99999999998977</v>
      </c>
      <c r="I16" s="2">
        <f>('Kwh Reading'!R17-'Kwh Reading'!R16)*1000</f>
        <v>280.00000000000114</v>
      </c>
      <c r="J16" s="2">
        <f>('Kwh Reading'!S17-'Kwh Reading'!S16)*1000</f>
        <v>140.00000000000057</v>
      </c>
      <c r="K16" s="2">
        <f>('Kwh Reading'!I17-'Kwh Reading'!I16)*1000</f>
        <v>320.0000000000216</v>
      </c>
      <c r="L16" s="2">
        <f>('Kwh Reading'!B17-'Kwh Reading'!B16)*1000</f>
        <v>1259.9999999999909</v>
      </c>
      <c r="M16" s="2">
        <f>('Kwh Reading'!M17-'Kwh Reading'!M16)*1000</f>
        <v>699.99999999998863</v>
      </c>
      <c r="N16" s="2">
        <f>('Kwh Reading'!H17-'Kwh Reading'!H16)*1000</f>
        <v>829.99999999992724</v>
      </c>
      <c r="O16" s="2">
        <f>('Kwh Reading'!P17-'Kwh Reading'!P16)*1000</f>
        <v>1010.0000000000477</v>
      </c>
      <c r="P16" s="2">
        <f>('Kwh Reading'!G17-'Kwh Reading'!G16)*1000</f>
        <v>950.00000000004547</v>
      </c>
      <c r="Q16" s="2">
        <f>('Kwh Reading'!Q17-'Kwh Reading'!Q16)*1000</f>
        <v>660.00000000002501</v>
      </c>
      <c r="R16" s="2">
        <f>('Kwh Reading'!N17-'Kwh Reading'!N16)*1000</f>
        <v>829.99999999998408</v>
      </c>
      <c r="S16" s="34">
        <f>'Kwh Reading'!E17-'Kwh Reading'!E16</f>
        <v>3090.5999999996275</v>
      </c>
      <c r="T16" s="34">
        <f>'Kwh Reading'!D17-'Kwh Reading'!D16</f>
        <v>2619.429999999702</v>
      </c>
      <c r="U16" s="27">
        <f>('Kwh Reading'!O17-'Kwh Reading'!O16)*1000</f>
        <v>200.00000000000284</v>
      </c>
      <c r="V16" s="16">
        <f t="shared" si="0"/>
        <v>6719.9700000010562</v>
      </c>
    </row>
    <row r="17" spans="1:22" x14ac:dyDescent="0.25">
      <c r="A17" s="3">
        <f>'Kwh Reading'!A17</f>
        <v>44269</v>
      </c>
      <c r="B17" s="26">
        <f>TOTAL!E15</f>
        <v>21940.000000000735</v>
      </c>
      <c r="C17" s="4">
        <f>('Kwh Reading'!T18-'Kwh Reading'!T17)*1000</f>
        <v>600.00000000002274</v>
      </c>
      <c r="D17" s="2">
        <f>('Kwh Reading'!F18-'Kwh Reading'!F17)*1000000</f>
        <v>2400.0000000001796</v>
      </c>
      <c r="E17" s="2">
        <f>('Kwh Reading'!C18-'Kwh Reading'!C17)*1000</f>
        <v>229.99999999998977</v>
      </c>
      <c r="F17" s="2">
        <f>('Kwh Reading'!J18-'Kwh Reading'!J17)*1000</f>
        <v>279.99999999997272</v>
      </c>
      <c r="G17" s="2">
        <f>('Kwh Reading'!K18-'Kwh Reading'!K17)*1000</f>
        <v>140.0000000000432</v>
      </c>
      <c r="H17" s="2">
        <f>('Kwh Reading'!L18-'Kwh Reading'!L17)*1000</f>
        <v>229.99999999998977</v>
      </c>
      <c r="I17" s="2">
        <f>('Kwh Reading'!R18-'Kwh Reading'!R17)*1000</f>
        <v>299.99999999999716</v>
      </c>
      <c r="J17" s="2">
        <f>('Kwh Reading'!S18-'Kwh Reading'!S17)*1000</f>
        <v>120.00000000000455</v>
      </c>
      <c r="K17" s="2">
        <f>('Kwh Reading'!I18-'Kwh Reading'!I17)*1000</f>
        <v>289.99999999999204</v>
      </c>
      <c r="L17" s="2">
        <f>('Kwh Reading'!B18-'Kwh Reading'!B17)*1000</f>
        <v>1209.9999999999227</v>
      </c>
      <c r="M17" s="2">
        <f>('Kwh Reading'!M18-'Kwh Reading'!M17)*1000</f>
        <v>639.99999999998636</v>
      </c>
      <c r="N17" s="2">
        <f>('Kwh Reading'!H18-'Kwh Reading'!H17)*1000</f>
        <v>870.00000000000455</v>
      </c>
      <c r="O17" s="2">
        <f>('Kwh Reading'!P18-'Kwh Reading'!P17)*1000</f>
        <v>909.99999999996817</v>
      </c>
      <c r="P17" s="2">
        <f>('Kwh Reading'!G18-'Kwh Reading'!G17)*1000</f>
        <v>980.00000000001819</v>
      </c>
      <c r="Q17" s="2">
        <f>('Kwh Reading'!Q18-'Kwh Reading'!Q17)*1000</f>
        <v>750</v>
      </c>
      <c r="R17" s="2">
        <f>('Kwh Reading'!N18-'Kwh Reading'!N17)*1000</f>
        <v>780.00000000002956</v>
      </c>
      <c r="S17" s="34">
        <f>'Kwh Reading'!E18-'Kwh Reading'!E17</f>
        <v>2937.589999999851</v>
      </c>
      <c r="T17" s="34">
        <f>'Kwh Reading'!D18-'Kwh Reading'!D17</f>
        <v>2460.4200000008568</v>
      </c>
      <c r="U17" s="27">
        <f>('Kwh Reading'!O18-'Kwh Reading'!O17)*1000</f>
        <v>219.99999999999886</v>
      </c>
      <c r="V17" s="16">
        <f t="shared" si="0"/>
        <v>5591.9899999999088</v>
      </c>
    </row>
    <row r="18" spans="1:22" x14ac:dyDescent="0.25">
      <c r="A18" s="3">
        <f>'Kwh Reading'!A18</f>
        <v>44270</v>
      </c>
      <c r="B18" s="26">
        <f>TOTAL!E16</f>
        <v>21919.999999999614</v>
      </c>
      <c r="C18" s="4">
        <f>('Kwh Reading'!T19-'Kwh Reading'!T18)*1000</f>
        <v>399.99999999997726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319.99999999999318</v>
      </c>
      <c r="G18" s="2">
        <f>('Kwh Reading'!K19-'Kwh Reading'!K18)*1000</f>
        <v>599.99999999996589</v>
      </c>
      <c r="H18" s="2">
        <f>('Kwh Reading'!L19-'Kwh Reading'!L18)*1000</f>
        <v>250</v>
      </c>
      <c r="I18" s="2">
        <f>('Kwh Reading'!R19-'Kwh Reading'!R18)*1000</f>
        <v>310.00000000000227</v>
      </c>
      <c r="J18" s="2">
        <f>('Kwh Reading'!S19-'Kwh Reading'!S18)*1000</f>
        <v>959.99999999999375</v>
      </c>
      <c r="K18" s="2">
        <f>('Kwh Reading'!I19-'Kwh Reading'!I18)*1000</f>
        <v>319.99999999999318</v>
      </c>
      <c r="L18" s="2">
        <f>('Kwh Reading'!B19-'Kwh Reading'!B18)*1000</f>
        <v>1310.0000000000591</v>
      </c>
      <c r="M18" s="2">
        <f>('Kwh Reading'!M19-'Kwh Reading'!M18)*1000</f>
        <v>700.00000000004547</v>
      </c>
      <c r="N18" s="2">
        <f>('Kwh Reading'!H19-'Kwh Reading'!H18)*1000</f>
        <v>960.00000000003638</v>
      </c>
      <c r="O18" s="2">
        <f>('Kwh Reading'!P19-'Kwh Reading'!P18)*1000</f>
        <v>920.00000000001592</v>
      </c>
      <c r="P18" s="2">
        <f>('Kwh Reading'!G19-'Kwh Reading'!G18)*1000</f>
        <v>959.99999999992269</v>
      </c>
      <c r="Q18" s="2">
        <f>('Kwh Reading'!Q19-'Kwh Reading'!Q18)*1000</f>
        <v>740.00000000000909</v>
      </c>
      <c r="R18" s="2">
        <f>('Kwh Reading'!N19-'Kwh Reading'!N18)*1000</f>
        <v>899.99999999997726</v>
      </c>
      <c r="S18" s="34">
        <f>'Kwh Reading'!E19-'Kwh Reading'!E18</f>
        <v>3027.2099999999627</v>
      </c>
      <c r="T18" s="34">
        <f>'Kwh Reading'!D19-'Kwh Reading'!D18</f>
        <v>2257</v>
      </c>
      <c r="U18" s="27">
        <f>('Kwh Reading'!O19-'Kwh Reading'!O18)*1000</f>
        <v>230.00000000000398</v>
      </c>
      <c r="V18" s="16">
        <f t="shared" si="0"/>
        <v>3905.7899999994988</v>
      </c>
    </row>
    <row r="19" spans="1:22" x14ac:dyDescent="0.25">
      <c r="A19" s="3">
        <f>'Kwh Reading'!A19</f>
        <v>44271</v>
      </c>
      <c r="B19" s="26">
        <f>TOTAL!E17</f>
        <v>21259.999999999993</v>
      </c>
      <c r="C19" s="4">
        <f>('Kwh Reading'!T20-'Kwh Reading'!T19)*1000</f>
        <v>529.99999999997272</v>
      </c>
      <c r="D19" s="2">
        <f>('Kwh Reading'!F20-'Kwh Reading'!F19)*1000000</f>
        <v>2199.9999999997576</v>
      </c>
      <c r="E19" s="2">
        <f>('Kwh Reading'!C20-'Kwh Reading'!C19)*1000</f>
        <v>210.00000000000796</v>
      </c>
      <c r="F19" s="2">
        <f>('Kwh Reading'!J20-'Kwh Reading'!J19)*1000</f>
        <v>240.00000000000909</v>
      </c>
      <c r="G19" s="2">
        <f>('Kwh Reading'!K20-'Kwh Reading'!K19)*1000</f>
        <v>199.99999999998863</v>
      </c>
      <c r="H19" s="2">
        <f>('Kwh Reading'!L20-'Kwh Reading'!L19)*1000</f>
        <v>170.00000000001592</v>
      </c>
      <c r="I19" s="2">
        <f>('Kwh Reading'!R20-'Kwh Reading'!R19)*1000</f>
        <v>219.99999999999886</v>
      </c>
      <c r="J19" s="2">
        <f>('Kwh Reading'!S20-'Kwh Reading'!S19)*1000</f>
        <v>-659.99999999999659</v>
      </c>
      <c r="K19" s="2">
        <f>('Kwh Reading'!I20-'Kwh Reading'!I19)*1000</f>
        <v>289.99999999999204</v>
      </c>
      <c r="L19" s="2">
        <f>('Kwh Reading'!B20-'Kwh Reading'!B19)*1000</f>
        <v>1209.9999999999227</v>
      </c>
      <c r="M19" s="2">
        <f>('Kwh Reading'!M20-'Kwh Reading'!M19)*1000</f>
        <v>589.99999999997499</v>
      </c>
      <c r="N19" s="2">
        <f>('Kwh Reading'!H20-'Kwh Reading'!H19)*1000</f>
        <v>820.00000000005002</v>
      </c>
      <c r="O19" s="2">
        <f>('Kwh Reading'!P20-'Kwh Reading'!P19)*1000</f>
        <v>850.00000000002274</v>
      </c>
      <c r="P19" s="2">
        <f>('Kwh Reading'!G20-'Kwh Reading'!G19)*1000</f>
        <v>850.00000000002274</v>
      </c>
      <c r="Q19" s="2">
        <f>('Kwh Reading'!Q20-'Kwh Reading'!Q19)*1000</f>
        <v>659.99999999996817</v>
      </c>
      <c r="R19" s="2">
        <f>('Kwh Reading'!N20-'Kwh Reading'!N19)*1000</f>
        <v>750</v>
      </c>
      <c r="S19" s="34">
        <f>'Kwh Reading'!E20-'Kwh Reading'!E19</f>
        <v>2660.480000000447</v>
      </c>
      <c r="T19" s="34">
        <f>'Kwh Reading'!D20-'Kwh Reading'!D19</f>
        <v>1864.1299999998882</v>
      </c>
      <c r="U19" s="27">
        <f>('Kwh Reading'!O20-'Kwh Reading'!O19)*1000</f>
        <v>209.99999999999375</v>
      </c>
      <c r="V19" s="16">
        <f t="shared" si="0"/>
        <v>7395.3899999999558</v>
      </c>
    </row>
    <row r="20" spans="1:22" x14ac:dyDescent="0.25">
      <c r="A20" s="3">
        <f>'Kwh Reading'!A20</f>
        <v>44272</v>
      </c>
      <c r="B20" s="26">
        <f>TOTAL!E18</f>
        <v>21260.000000000218</v>
      </c>
      <c r="C20" s="4">
        <f>('Kwh Reading'!T21-'Kwh Reading'!T20)*1000</f>
        <v>510.00000000004775</v>
      </c>
      <c r="D20" s="2">
        <f>('Kwh Reading'!F21-'Kwh Reading'!F20)*1000000</f>
        <v>2400.0000000001796</v>
      </c>
      <c r="E20" s="2">
        <f>('Kwh Reading'!C21-'Kwh Reading'!C20)*1000</f>
        <v>229.99999999998977</v>
      </c>
      <c r="F20" s="2">
        <f>('Kwh Reading'!J21-'Kwh Reading'!J20)*1000</f>
        <v>250</v>
      </c>
      <c r="G20" s="2">
        <f>('Kwh Reading'!K21-'Kwh Reading'!K20)*1000</f>
        <v>370.00000000000455</v>
      </c>
      <c r="H20" s="2">
        <f>('Kwh Reading'!L21-'Kwh Reading'!L20)*1000</f>
        <v>229.99999999998977</v>
      </c>
      <c r="I20" s="2">
        <f>('Kwh Reading'!R21-'Kwh Reading'!R20)*1000</f>
        <v>150.00000000000568</v>
      </c>
      <c r="J20" s="2">
        <f>('Kwh Reading'!S21-'Kwh Reading'!S20)*1000</f>
        <v>140.00000000000057</v>
      </c>
      <c r="K20" s="2">
        <f>('Kwh Reading'!I21-'Kwh Reading'!I20)*1000</f>
        <v>290.00000000002046</v>
      </c>
      <c r="L20" s="2">
        <f>('Kwh Reading'!B21-'Kwh Reading'!B20)*1000</f>
        <v>1240.0000000000091</v>
      </c>
      <c r="M20" s="2">
        <f>('Kwh Reading'!M21-'Kwh Reading'!M20)*1000</f>
        <v>629.99999999999545</v>
      </c>
      <c r="N20" s="2">
        <f>('Kwh Reading'!H21-'Kwh Reading'!H20)*1000</f>
        <v>870.00000000000455</v>
      </c>
      <c r="O20" s="2">
        <f>('Kwh Reading'!P21-'Kwh Reading'!P20)*1000</f>
        <v>959.99999999997954</v>
      </c>
      <c r="P20" s="2">
        <f>('Kwh Reading'!G21-'Kwh Reading'!G20)*1000</f>
        <v>919.99999999995907</v>
      </c>
      <c r="Q20" s="2">
        <f>('Kwh Reading'!Q21-'Kwh Reading'!Q20)*1000</f>
        <v>769.99999999998181</v>
      </c>
      <c r="R20" s="2">
        <f>('Kwh Reading'!N21-'Kwh Reading'!N20)*1000</f>
        <v>870.00000000000455</v>
      </c>
      <c r="S20" s="34">
        <f>'Kwh Reading'!E21-'Kwh Reading'!E20</f>
        <v>2983.7400000002235</v>
      </c>
      <c r="T20" s="34">
        <f>'Kwh Reading'!D21-'Kwh Reading'!D20</f>
        <v>2111.3300000000745</v>
      </c>
      <c r="U20" s="27">
        <f>('Kwh Reading'!O21-'Kwh Reading'!O20)*1000</f>
        <v>220.00000000001307</v>
      </c>
      <c r="V20" s="16">
        <f t="shared" si="0"/>
        <v>5114.9299999997365</v>
      </c>
    </row>
    <row r="21" spans="1:22" ht="16.5" customHeight="1" x14ac:dyDescent="0.25">
      <c r="A21" s="3">
        <f>'Kwh Reading'!A21</f>
        <v>44273</v>
      </c>
      <c r="B21" s="26">
        <f>TOTAL!E19</f>
        <v>21660.00000000008</v>
      </c>
      <c r="C21" s="4">
        <f>('Kwh Reading'!T22-'Kwh Reading'!T21)*1000</f>
        <v>509.99999999999091</v>
      </c>
      <c r="D21" s="2">
        <f>('Kwh Reading'!F22-'Kwh Reading'!F21)*1000000</f>
        <v>2499.9999999999468</v>
      </c>
      <c r="E21" s="2">
        <f>('Kwh Reading'!C22-'Kwh Reading'!C21)*1000</f>
        <v>250</v>
      </c>
      <c r="F21" s="2">
        <f>('Kwh Reading'!J22-'Kwh Reading'!J21)*1000</f>
        <v>220.00000000002728</v>
      </c>
      <c r="G21" s="2">
        <f>('Kwh Reading'!K22-'Kwh Reading'!K21)*1000</f>
        <v>340.00000000003183</v>
      </c>
      <c r="H21" s="2">
        <f>('Kwh Reading'!L22-'Kwh Reading'!L21)*1000</f>
        <v>210.00000000000796</v>
      </c>
      <c r="I21" s="2">
        <f>('Kwh Reading'!R22-'Kwh Reading'!R21)*1000</f>
        <v>189.99999999999773</v>
      </c>
      <c r="J21" s="2">
        <f>('Kwh Reading'!S22-'Kwh Reading'!S21)*1000</f>
        <v>159.99999999999659</v>
      </c>
      <c r="K21" s="2">
        <f>('Kwh Reading'!I22-'Kwh Reading'!I21)*1000</f>
        <v>319.99999999999318</v>
      </c>
      <c r="L21" s="2">
        <f>('Kwh Reading'!B22-'Kwh Reading'!B21)*1000</f>
        <v>1350.0000000000227</v>
      </c>
      <c r="M21" s="2">
        <f>('Kwh Reading'!M22-'Kwh Reading'!M21)*1000</f>
        <v>680.00000000000682</v>
      </c>
      <c r="N21" s="2">
        <f>('Kwh Reading'!H22-'Kwh Reading'!H21)*1000</f>
        <v>870.00000000000455</v>
      </c>
      <c r="O21" s="2">
        <f>('Kwh Reading'!P22-'Kwh Reading'!P21)*1000</f>
        <v>1040.0000000000205</v>
      </c>
      <c r="P21" s="2">
        <f>('Kwh Reading'!G22-'Kwh Reading'!G21)*1000</f>
        <v>920.00000000007276</v>
      </c>
      <c r="Q21" s="2">
        <f>('Kwh Reading'!Q22-'Kwh Reading'!Q21)*1000</f>
        <v>710.00000000003638</v>
      </c>
      <c r="R21" s="2">
        <f>('Kwh Reading'!N22-'Kwh Reading'!N21)*1000</f>
        <v>800.00000000001137</v>
      </c>
      <c r="S21" s="34">
        <f>'Kwh Reading'!E22-'Kwh Reading'!E21</f>
        <v>2879.429999999702</v>
      </c>
      <c r="T21" s="34">
        <f>'Kwh Reading'!D22-'Kwh Reading'!D21</f>
        <v>2436.3299999991432</v>
      </c>
      <c r="U21" s="27">
        <f>('Kwh Reading'!O22-'Kwh Reading'!O21)*1000</f>
        <v>229.99999999998977</v>
      </c>
      <c r="V21" s="16">
        <f t="shared" si="0"/>
        <v>5044.2400000010784</v>
      </c>
    </row>
    <row r="22" spans="1:22" x14ac:dyDescent="0.25">
      <c r="A22" s="3">
        <f>'Kwh Reading'!A22</f>
        <v>44274</v>
      </c>
      <c r="B22" s="26">
        <f>TOTAL!E20</f>
        <v>0</v>
      </c>
      <c r="C22" s="4">
        <f>('Kwh Reading'!T23-'Kwh Reading'!T22)*1000</f>
        <v>-372860</v>
      </c>
      <c r="D22" s="2">
        <f>('Kwh Reading'!F23-'Kwh Reading'!F22)*1000000</f>
        <v>-2126700</v>
      </c>
      <c r="E22" s="2">
        <f>('Kwh Reading'!C23-'Kwh Reading'!C22)*1000</f>
        <v>-206450</v>
      </c>
      <c r="F22" s="2">
        <f>('Kwh Reading'!J23-'Kwh Reading'!J22)*1000</f>
        <v>-294540</v>
      </c>
      <c r="G22" s="2">
        <f>('Kwh Reading'!K23-'Kwh Reading'!K22)*1000</f>
        <v>-311860</v>
      </c>
      <c r="H22" s="2">
        <f>('Kwh Reading'!L23-'Kwh Reading'!L22)*1000</f>
        <v>-213180</v>
      </c>
      <c r="I22" s="2">
        <f>('Kwh Reading'!R23-'Kwh Reading'!R22)*1000</f>
        <v>-126970</v>
      </c>
      <c r="J22" s="2">
        <f>('Kwh Reading'!S23-'Kwh Reading'!S22)*1000</f>
        <v>-101530</v>
      </c>
      <c r="K22" s="2">
        <f>('Kwh Reading'!I23-'Kwh Reading'!I22)*1000</f>
        <v>-202620</v>
      </c>
      <c r="L22" s="2">
        <f>('Kwh Reading'!B23-'Kwh Reading'!B22)*1000</f>
        <v>-844400</v>
      </c>
      <c r="M22" s="2">
        <f>('Kwh Reading'!M23-'Kwh Reading'!M22)*1000</f>
        <v>-439810</v>
      </c>
      <c r="N22" s="2">
        <f>('Kwh Reading'!H23-'Kwh Reading'!H22)*1000</f>
        <v>-547690</v>
      </c>
      <c r="O22" s="2">
        <f>('Kwh Reading'!P23-'Kwh Reading'!P22)*1000</f>
        <v>-512720</v>
      </c>
      <c r="P22" s="2">
        <f>('Kwh Reading'!G23-'Kwh Reading'!G22)*1000</f>
        <v>-650730</v>
      </c>
      <c r="Q22" s="2">
        <f>('Kwh Reading'!Q23-'Kwh Reading'!Q22)*1000</f>
        <v>-383860</v>
      </c>
      <c r="R22" s="2">
        <f>('Kwh Reading'!N23-'Kwh Reading'!N22)*1000</f>
        <v>-390870</v>
      </c>
      <c r="S22" s="34">
        <f>'Kwh Reading'!E23-'Kwh Reading'!E22</f>
        <v>-7861553.21</v>
      </c>
      <c r="T22" s="34">
        <f>'Kwh Reading'!D23-'Kwh Reading'!D22</f>
        <v>-7229652.5199999996</v>
      </c>
      <c r="U22" s="27">
        <f>('Kwh Reading'!O23-'Kwh Reading'!O22)*1000</f>
        <v>-125660</v>
      </c>
      <c r="V22" s="16">
        <f t="shared" si="0"/>
        <v>22943655.73</v>
      </c>
    </row>
    <row r="23" spans="1:22" x14ac:dyDescent="0.25">
      <c r="A23" s="3">
        <f>'Kwh Reading'!A23</f>
        <v>44275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44276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44277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44278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44279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44280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44281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393070.00000000047</v>
      </c>
      <c r="C35" s="75">
        <f t="shared" ref="C35" si="1">SUM(C4:C34)</f>
        <v>-364120</v>
      </c>
      <c r="D35" s="75">
        <f t="shared" ref="D35" si="2">SUM(D4:D34)</f>
        <v>-2084000</v>
      </c>
      <c r="E35" s="75">
        <f t="shared" ref="E35" si="3">SUM(E4:E34)</f>
        <v>-202200</v>
      </c>
      <c r="F35" s="75">
        <f t="shared" ref="F35" si="4">SUM(F4:F34)</f>
        <v>-290290</v>
      </c>
      <c r="G35" s="75">
        <f t="shared" ref="G35:U35" si="5">SUM(G4:G34)</f>
        <v>-305370</v>
      </c>
      <c r="H35" s="75">
        <f t="shared" si="5"/>
        <v>-209050</v>
      </c>
      <c r="I35" s="75">
        <f t="shared" si="5"/>
        <v>-124010</v>
      </c>
      <c r="J35" s="75">
        <f t="shared" si="5"/>
        <v>-99441</v>
      </c>
      <c r="K35" s="75">
        <f t="shared" si="5"/>
        <v>-197090</v>
      </c>
      <c r="L35" s="75">
        <f t="shared" si="5"/>
        <v>-822660</v>
      </c>
      <c r="M35" s="75">
        <f t="shared" si="5"/>
        <v>-427590</v>
      </c>
      <c r="N35" s="75">
        <f t="shared" si="5"/>
        <v>-532789.99999999988</v>
      </c>
      <c r="O35" s="75">
        <f t="shared" si="5"/>
        <v>-495620</v>
      </c>
      <c r="P35" s="75">
        <f t="shared" si="5"/>
        <v>-634350</v>
      </c>
      <c r="Q35" s="75">
        <f t="shared" si="5"/>
        <v>-370649.99999999994</v>
      </c>
      <c r="R35" s="75">
        <f t="shared" si="5"/>
        <v>-376040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23049383.220000003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22069.999999999709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5772.0100000004059</v>
      </c>
    </row>
    <row r="4" spans="1:12" x14ac:dyDescent="0.25">
      <c r="A4" s="14">
        <f>'Kwh Reading'!A5</f>
        <v>44257</v>
      </c>
      <c r="B4" s="83">
        <f>TOTAL!E3</f>
        <v>23210.000000000262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6802.1599999997998</v>
      </c>
    </row>
    <row r="5" spans="1:12" x14ac:dyDescent="0.25">
      <c r="A5" s="14">
        <f>'Kwh Reading'!A6</f>
        <v>44258</v>
      </c>
      <c r="B5" s="83">
        <f>TOTAL!E4</f>
        <v>22360.000000000357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6106.2600000006187</v>
      </c>
    </row>
    <row r="6" spans="1:12" x14ac:dyDescent="0.25">
      <c r="A6" s="14">
        <f>'Kwh Reading'!A7</f>
        <v>44259</v>
      </c>
      <c r="B6" s="83">
        <f>TOTAL!E5</f>
        <v>22909.999999999625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6233.2000000000626</v>
      </c>
    </row>
    <row r="7" spans="1:12" x14ac:dyDescent="0.25">
      <c r="A7" s="14">
        <f>'Kwh Reading'!A8</f>
        <v>44260</v>
      </c>
      <c r="B7" s="83">
        <f>TOTAL!E6</f>
        <v>23109.999999999898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5969.3799999999719</v>
      </c>
    </row>
    <row r="8" spans="1:12" x14ac:dyDescent="0.25">
      <c r="A8" s="14">
        <f>'Kwh Reading'!A9</f>
        <v>44261</v>
      </c>
      <c r="B8" s="83">
        <f>TOTAL!E7</f>
        <v>22680.000000000065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5979.0700000001343</v>
      </c>
    </row>
    <row r="9" spans="1:12" x14ac:dyDescent="0.25">
      <c r="A9" s="14">
        <f>'Kwh Reading'!A10</f>
        <v>44262</v>
      </c>
      <c r="B9" s="83">
        <f>TOTAL!E8</f>
        <v>21099.99999999968</v>
      </c>
      <c r="C9" s="1">
        <f>'Kwh Consumption'!C10</f>
        <v>480.00000000001819</v>
      </c>
      <c r="D9" s="1">
        <f>'Kwh Consumption'!D10</f>
        <v>2299.9999999999686</v>
      </c>
      <c r="E9" s="1">
        <f>'Kwh Consumption'!E10</f>
        <v>210.00000000000796</v>
      </c>
      <c r="F9" s="1">
        <f>('Kwh Consumption'!F10+'Kwh Consumption'!G10+'Kwh Consumption'!H10)</f>
        <v>809.99999999997385</v>
      </c>
      <c r="G9" s="16">
        <f>('Kwh Consumption'!I10+'Kwh Consumption'!J10)</f>
        <v>149.99999999999147</v>
      </c>
      <c r="H9" s="1">
        <f>('Kwh Consumption'!K10+'Kwh Consumption'!L10)</f>
        <v>1590.0000000000034</v>
      </c>
      <c r="I9" s="1">
        <f>('Kwh Consumption'!M10+'Kwh Consumption'!N10+'Kwh Consumption'!O10+'Kwh Consumption'!P10+'Kwh Consumption'!Q10+'Kwh Consumption'!R10)</f>
        <v>4990.0000000000091</v>
      </c>
      <c r="J9" s="1">
        <f>('Kwh Consumption'!S10+'Kwh Consumption'!T10)</f>
        <v>4677.9600000008941</v>
      </c>
      <c r="K9" s="1">
        <f>'Kwh Consumption'!U10</f>
        <v>219.99999999999886</v>
      </c>
      <c r="L9" s="32">
        <f t="shared" si="0"/>
        <v>5672.039999998814</v>
      </c>
    </row>
    <row r="10" spans="1:12" x14ac:dyDescent="0.25">
      <c r="A10" s="14">
        <f>'Kwh Reading'!A11</f>
        <v>44263</v>
      </c>
      <c r="B10" s="83">
        <f>TOTAL!E9</f>
        <v>21140.000000000095</v>
      </c>
      <c r="C10" s="1">
        <f>'Kwh Consumption'!C11</f>
        <v>489.99999999995225</v>
      </c>
      <c r="D10" s="1">
        <f>'Kwh Consumption'!D11</f>
        <v>2299.9999999999686</v>
      </c>
      <c r="E10" s="1">
        <f>'Kwh Consumption'!E11</f>
        <v>250</v>
      </c>
      <c r="F10" s="1">
        <f>('Kwh Consumption'!F11+'Kwh Consumption'!G11+'Kwh Consumption'!H11)</f>
        <v>630.0000000000523</v>
      </c>
      <c r="G10" s="16">
        <f>('Kwh Consumption'!I11+'Kwh Consumption'!J11)</f>
        <v>180.00000000000682</v>
      </c>
      <c r="H10" s="1">
        <f>('Kwh Consumption'!K11+'Kwh Consumption'!L11)</f>
        <v>1459.9999999999795</v>
      </c>
      <c r="I10" s="1">
        <f>('Kwh Consumption'!M11+'Kwh Consumption'!N11+'Kwh Consumption'!O11+'Kwh Consumption'!P11+'Kwh Consumption'!Q11+'Kwh Consumption'!R11)</f>
        <v>4960.0000000000928</v>
      </c>
      <c r="J10" s="1">
        <f>('Kwh Consumption'!S11+'Kwh Consumption'!T11)</f>
        <v>5030.8199999993667</v>
      </c>
      <c r="K10" s="1">
        <f>'Kwh Consumption'!U11</f>
        <v>250</v>
      </c>
      <c r="L10" s="32">
        <f t="shared" si="0"/>
        <v>5589.180000000677</v>
      </c>
    </row>
    <row r="11" spans="1:12" x14ac:dyDescent="0.25">
      <c r="A11" s="14">
        <f>'Kwh Reading'!A12</f>
        <v>44264</v>
      </c>
      <c r="B11" s="83">
        <f>TOTAL!E10</f>
        <v>21810.000000000859</v>
      </c>
      <c r="C11" s="1">
        <f>'Kwh Consumption'!C12</f>
        <v>689.99999999999773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609.99999999992838</v>
      </c>
      <c r="G11" s="16">
        <f>('Kwh Consumption'!I12+'Kwh Consumption'!J12)</f>
        <v>49.999999999997158</v>
      </c>
      <c r="H11" s="1">
        <f>('Kwh Consumption'!K12+'Kwh Consumption'!L12)</f>
        <v>1400.0000000000341</v>
      </c>
      <c r="I11" s="1">
        <f>('Kwh Consumption'!M12+'Kwh Consumption'!N12+'Kwh Consumption'!O12+'Kwh Consumption'!P12+'Kwh Consumption'!Q12+'Kwh Consumption'!R12)</f>
        <v>5039.9999999999636</v>
      </c>
      <c r="J11" s="1">
        <f>('Kwh Consumption'!S12+'Kwh Consumption'!T12)</f>
        <v>5076.2200000006706</v>
      </c>
      <c r="K11" s="1">
        <f>'Kwh Consumption'!U12</f>
        <v>219.99999999999886</v>
      </c>
      <c r="L11" s="32">
        <f t="shared" si="0"/>
        <v>6103.7800000000943</v>
      </c>
    </row>
    <row r="12" spans="1:12" x14ac:dyDescent="0.25">
      <c r="A12" s="14">
        <f>'Kwh Reading'!A13</f>
        <v>44265</v>
      </c>
      <c r="B12" s="83">
        <f>TOTAL!E11</f>
        <v>20779.999999999745</v>
      </c>
      <c r="C12" s="1">
        <f>'Kwh Consumption'!C13</f>
        <v>290.00000000002046</v>
      </c>
      <c r="D12" s="1">
        <f>'Kwh Consumption'!D13</f>
        <v>2399.9999999997358</v>
      </c>
      <c r="E12" s="1">
        <f>'Kwh Consumption'!E13</f>
        <v>230.00000000001819</v>
      </c>
      <c r="F12" s="1">
        <f>('Kwh Consumption'!F13+'Kwh Consumption'!G13+'Kwh Consumption'!H13)</f>
        <v>820.00000000005002</v>
      </c>
      <c r="G12" s="16">
        <f>('Kwh Consumption'!I13+'Kwh Consumption'!J13)</f>
        <v>239.99999999999488</v>
      </c>
      <c r="H12" s="1">
        <f>('Kwh Consumption'!K13+'Kwh Consumption'!L13)</f>
        <v>1519.999999999925</v>
      </c>
      <c r="I12" s="1">
        <f>('Kwh Consumption'!M13+'Kwh Consumption'!N13+'Kwh Consumption'!O13+'Kwh Consumption'!P13+'Kwh Consumption'!Q13+'Kwh Consumption'!R13)</f>
        <v>4599.9999999999654</v>
      </c>
      <c r="J12" s="1">
        <f>('Kwh Consumption'!S13+'Kwh Consumption'!T13)</f>
        <v>5129.5499999988824</v>
      </c>
      <c r="K12" s="1">
        <f>'Kwh Consumption'!U13</f>
        <v>230.00000000000398</v>
      </c>
      <c r="L12" s="32">
        <f t="shared" si="0"/>
        <v>5320.4500000011467</v>
      </c>
    </row>
    <row r="13" spans="1:12" x14ac:dyDescent="0.25">
      <c r="A13" s="14">
        <f>'Kwh Reading'!A14</f>
        <v>44266</v>
      </c>
      <c r="B13" s="83">
        <f>TOTAL!E12</f>
        <v>18449.999999999134</v>
      </c>
      <c r="C13" s="1">
        <f>'Kwh Consumption'!C14</f>
        <v>430.00000000000682</v>
      </c>
      <c r="D13" s="1">
        <f>'Kwh Consumption'!D14</f>
        <v>2099.9999999999909</v>
      </c>
      <c r="E13" s="1">
        <f>'Kwh Consumption'!E14</f>
        <v>219.99999999999886</v>
      </c>
      <c r="F13" s="1">
        <f>('Kwh Consumption'!F14+'Kwh Consumption'!G14+'Kwh Consumption'!H14)</f>
        <v>699.99999999998863</v>
      </c>
      <c r="G13" s="16">
        <f>('Kwh Consumption'!I14+'Kwh Consumption'!J14)</f>
        <v>340.00000000001762</v>
      </c>
      <c r="H13" s="1">
        <f>('Kwh Consumption'!K14+'Kwh Consumption'!L14)</f>
        <v>1110.0000000000705</v>
      </c>
      <c r="I13" s="1">
        <f>('Kwh Consumption'!M14+'Kwh Consumption'!N14+'Kwh Consumption'!O14+'Kwh Consumption'!P14+'Kwh Consumption'!Q14+'Kwh Consumption'!R14)</f>
        <v>3080.0000000001546</v>
      </c>
      <c r="J13" s="1">
        <f>('Kwh Consumption'!S14+'Kwh Consumption'!T14)</f>
        <v>3749.5200000004843</v>
      </c>
      <c r="K13" s="1">
        <f>'Kwh Consumption'!U14</f>
        <v>219.99999999999886</v>
      </c>
      <c r="L13" s="32">
        <f t="shared" si="0"/>
        <v>6500.4799999984216</v>
      </c>
    </row>
    <row r="14" spans="1:12" x14ac:dyDescent="0.25">
      <c r="A14" s="14">
        <f>'Kwh Reading'!A15</f>
        <v>44267</v>
      </c>
      <c r="B14" s="83">
        <f>TOTAL!E13</f>
        <v>21800.000000000182</v>
      </c>
      <c r="C14" s="1">
        <f>'Kwh Consumption'!C15</f>
        <v>240.00000000000909</v>
      </c>
      <c r="D14" s="1">
        <f>'Kwh Consumption'!D15</f>
        <v>2400.0000000001796</v>
      </c>
      <c r="E14" s="1">
        <f>'Kwh Consumption'!E15</f>
        <v>259.99999999999091</v>
      </c>
      <c r="F14" s="1">
        <f>('Kwh Consumption'!F15+'Kwh Consumption'!G15+'Kwh Consumption'!H15)</f>
        <v>780.00000000002956</v>
      </c>
      <c r="G14" s="16">
        <f>('Kwh Consumption'!I15+'Kwh Consumption'!J15)</f>
        <v>419.99999999998749</v>
      </c>
      <c r="H14" s="1">
        <f>('Kwh Consumption'!K15+'Kwh Consumption'!L15)</f>
        <v>1520.0000000000102</v>
      </c>
      <c r="I14" s="1">
        <f>('Kwh Consumption'!M15+'Kwh Consumption'!N15+'Kwh Consumption'!O15+'Kwh Consumption'!P15+'Kwh Consumption'!Q15+'Kwh Consumption'!R15)</f>
        <v>4769.9999999998681</v>
      </c>
      <c r="J14" s="1">
        <f>('Kwh Consumption'!S15+'Kwh Consumption'!T15)</f>
        <v>5262.8300000000745</v>
      </c>
      <c r="K14" s="1">
        <f>'Kwh Consumption'!U15</f>
        <v>239.99999999999488</v>
      </c>
      <c r="L14" s="32">
        <f t="shared" si="0"/>
        <v>5907.1700000000401</v>
      </c>
    </row>
    <row r="15" spans="1:12" x14ac:dyDescent="0.25">
      <c r="A15" s="14">
        <f>'Kwh Reading'!A16</f>
        <v>44268</v>
      </c>
      <c r="B15" s="83">
        <f>TOTAL!E14</f>
        <v>23610.000000000124</v>
      </c>
      <c r="C15" s="1">
        <f>'Kwh Consumption'!C16</f>
        <v>509.99999999999091</v>
      </c>
      <c r="D15" s="1">
        <f>'Kwh Consumption'!D16</f>
        <v>2399.9999999997358</v>
      </c>
      <c r="E15" s="1">
        <f>'Kwh Consumption'!E16</f>
        <v>219.99999999999886</v>
      </c>
      <c r="F15" s="1">
        <f>('Kwh Consumption'!F16+'Kwh Consumption'!G16+'Kwh Consumption'!H16)</f>
        <v>869.99999999997613</v>
      </c>
      <c r="G15" s="16">
        <f>('Kwh Consumption'!I16+'Kwh Consumption'!J16)</f>
        <v>420.00000000000171</v>
      </c>
      <c r="H15" s="1">
        <f>('Kwh Consumption'!K16+'Kwh Consumption'!L16)</f>
        <v>1580.0000000000125</v>
      </c>
      <c r="I15" s="1">
        <f>('Kwh Consumption'!M16+'Kwh Consumption'!N16+'Kwh Consumption'!O16+'Kwh Consumption'!P16+'Kwh Consumption'!Q16+'Kwh Consumption'!R16)</f>
        <v>4980.0000000000182</v>
      </c>
      <c r="J15" s="1">
        <f>('Kwh Consumption'!S16+'Kwh Consumption'!T16)</f>
        <v>5710.0299999993294</v>
      </c>
      <c r="K15" s="1">
        <f>'Kwh Consumption'!U16</f>
        <v>200.00000000000284</v>
      </c>
      <c r="L15" s="32">
        <f t="shared" si="0"/>
        <v>6719.9700000010607</v>
      </c>
    </row>
    <row r="16" spans="1:12" x14ac:dyDescent="0.25">
      <c r="A16" s="14">
        <f>'Kwh Reading'!A17</f>
        <v>44269</v>
      </c>
      <c r="B16" s="83">
        <f>TOTAL!E15</f>
        <v>21940.000000000735</v>
      </c>
      <c r="C16" s="1">
        <f>'Kwh Consumption'!C17</f>
        <v>600.00000000002274</v>
      </c>
      <c r="D16" s="1">
        <f>'Kwh Consumption'!D17</f>
        <v>2400.0000000001796</v>
      </c>
      <c r="E16" s="1">
        <f>'Kwh Consumption'!E17</f>
        <v>229.99999999998977</v>
      </c>
      <c r="F16" s="1">
        <f>('Kwh Consumption'!F17+'Kwh Consumption'!G17+'Kwh Consumption'!H17)</f>
        <v>650.00000000000568</v>
      </c>
      <c r="G16" s="16">
        <f>('Kwh Consumption'!I17+'Kwh Consumption'!J17)</f>
        <v>420.00000000000171</v>
      </c>
      <c r="H16" s="1">
        <f>('Kwh Consumption'!K17+'Kwh Consumption'!L17)</f>
        <v>1499.9999999999147</v>
      </c>
      <c r="I16" s="1">
        <f>('Kwh Consumption'!M17+'Kwh Consumption'!N17+'Kwh Consumption'!O17+'Kwh Consumption'!P17+'Kwh Consumption'!Q17+'Kwh Consumption'!R17)</f>
        <v>4930.0000000000073</v>
      </c>
      <c r="J16" s="1">
        <f>('Kwh Consumption'!S17+'Kwh Consumption'!T17)</f>
        <v>5398.0100000007078</v>
      </c>
      <c r="K16" s="1">
        <f>'Kwh Consumption'!U17</f>
        <v>219.99999999999886</v>
      </c>
      <c r="L16" s="32">
        <f t="shared" si="0"/>
        <v>5591.9899999999097</v>
      </c>
    </row>
    <row r="17" spans="1:12" x14ac:dyDescent="0.25">
      <c r="A17" s="14">
        <f>'Kwh Reading'!A18</f>
        <v>44270</v>
      </c>
      <c r="B17" s="83">
        <f>TOTAL!E16</f>
        <v>21919.999999999614</v>
      </c>
      <c r="C17" s="1">
        <f>'Kwh Consumption'!C18</f>
        <v>399.99999999997726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1169.9999999999591</v>
      </c>
      <c r="G17" s="16">
        <f>('Kwh Consumption'!I18+'Kwh Consumption'!J18)</f>
        <v>1269.9999999999959</v>
      </c>
      <c r="H17" s="1">
        <f>('Kwh Consumption'!K18+'Kwh Consumption'!L18)</f>
        <v>1630.0000000000523</v>
      </c>
      <c r="I17" s="1">
        <f>('Kwh Consumption'!M18+'Kwh Consumption'!N18+'Kwh Consumption'!O18+'Kwh Consumption'!P18+'Kwh Consumption'!Q18+'Kwh Consumption'!R18)</f>
        <v>5180.0000000000064</v>
      </c>
      <c r="J17" s="1">
        <f>('Kwh Consumption'!S18+'Kwh Consumption'!T18)</f>
        <v>5284.2099999999627</v>
      </c>
      <c r="K17" s="31">
        <f>'Kwh Consumption'!U18</f>
        <v>230.00000000000398</v>
      </c>
      <c r="L17" s="32">
        <f t="shared" si="0"/>
        <v>3905.7899999994984</v>
      </c>
    </row>
    <row r="18" spans="1:12" x14ac:dyDescent="0.25">
      <c r="A18" s="14">
        <f>'Kwh Reading'!A19</f>
        <v>44271</v>
      </c>
      <c r="B18" s="83">
        <f>TOTAL!E17</f>
        <v>21259.999999999993</v>
      </c>
      <c r="C18" s="1">
        <f>'Kwh Consumption'!C19</f>
        <v>529.99999999997272</v>
      </c>
      <c r="D18" s="1">
        <f>'Kwh Consumption'!D19</f>
        <v>2199.9999999997576</v>
      </c>
      <c r="E18" s="1">
        <f>'Kwh Consumption'!E19</f>
        <v>210.00000000000796</v>
      </c>
      <c r="F18" s="1">
        <f>('Kwh Consumption'!F19+'Kwh Consumption'!G19+'Kwh Consumption'!H19)</f>
        <v>610.00000000001364</v>
      </c>
      <c r="G18" s="16">
        <f>('Kwh Consumption'!I19+'Kwh Consumption'!J19)</f>
        <v>-439.99999999999773</v>
      </c>
      <c r="H18" s="1">
        <f>('Kwh Consumption'!K19+'Kwh Consumption'!L19)</f>
        <v>1499.9999999999147</v>
      </c>
      <c r="I18" s="1">
        <f>('Kwh Consumption'!M19+'Kwh Consumption'!N19+'Kwh Consumption'!O19+'Kwh Consumption'!P19+'Kwh Consumption'!Q19+'Kwh Consumption'!R19)</f>
        <v>4520.0000000000382</v>
      </c>
      <c r="J18" s="1">
        <f>('Kwh Consumption'!S19+'Kwh Consumption'!T19)</f>
        <v>4524.6100000003353</v>
      </c>
      <c r="K18" s="31">
        <f>'Kwh Consumption'!U19</f>
        <v>209.99999999999375</v>
      </c>
      <c r="L18" s="32">
        <f t="shared" si="0"/>
        <v>7395.3899999999567</v>
      </c>
    </row>
    <row r="19" spans="1:12" x14ac:dyDescent="0.25">
      <c r="A19" s="14">
        <f>'Kwh Reading'!A20</f>
        <v>44272</v>
      </c>
      <c r="B19" s="83">
        <f>TOTAL!E18</f>
        <v>21260.000000000218</v>
      </c>
      <c r="C19" s="1">
        <f>'Kwh Consumption'!C20</f>
        <v>510.00000000004775</v>
      </c>
      <c r="D19" s="1">
        <f>'Kwh Consumption'!D20</f>
        <v>2400.0000000001796</v>
      </c>
      <c r="E19" s="1">
        <f>'Kwh Consumption'!E20</f>
        <v>229.99999999998977</v>
      </c>
      <c r="F19" s="1">
        <f>('Kwh Consumption'!F20+'Kwh Consumption'!G20+'Kwh Consumption'!H20)</f>
        <v>849.99999999999432</v>
      </c>
      <c r="G19" s="16">
        <f>('Kwh Consumption'!I20+'Kwh Consumption'!J20)</f>
        <v>290.00000000000625</v>
      </c>
      <c r="H19" s="1">
        <f>('Kwh Consumption'!K20+'Kwh Consumption'!L20)</f>
        <v>1530.0000000000296</v>
      </c>
      <c r="I19" s="1">
        <f>('Kwh Consumption'!M20+'Kwh Consumption'!N20+'Kwh Consumption'!O20+'Kwh Consumption'!P20+'Kwh Consumption'!Q20+'Kwh Consumption'!R20)</f>
        <v>5019.9999999999245</v>
      </c>
      <c r="J19" s="1">
        <f>('Kwh Consumption'!S20+'Kwh Consumption'!T20)</f>
        <v>5095.070000000298</v>
      </c>
      <c r="K19" s="1">
        <f>'Kwh Consumption'!U20</f>
        <v>220.00000000001307</v>
      </c>
      <c r="L19" s="32">
        <f t="shared" si="0"/>
        <v>5114.9299999997402</v>
      </c>
    </row>
    <row r="20" spans="1:12" x14ac:dyDescent="0.25">
      <c r="A20" s="14">
        <f>'Kwh Reading'!A21</f>
        <v>44273</v>
      </c>
      <c r="B20" s="83">
        <f>TOTAL!E19</f>
        <v>21660.00000000008</v>
      </c>
      <c r="C20" s="1">
        <f>'Kwh Consumption'!C21</f>
        <v>509.99999999999091</v>
      </c>
      <c r="D20" s="1">
        <f>'Kwh Consumption'!D21</f>
        <v>2499.9999999999468</v>
      </c>
      <c r="E20" s="1">
        <f>'Kwh Consumption'!E21</f>
        <v>250</v>
      </c>
      <c r="F20" s="1">
        <f>('Kwh Consumption'!F21+'Kwh Consumption'!G21+'Kwh Consumption'!H21)</f>
        <v>770.00000000006708</v>
      </c>
      <c r="G20" s="16">
        <f>('Kwh Consumption'!I21+'Kwh Consumption'!J21)</f>
        <v>349.99999999999432</v>
      </c>
      <c r="H20" s="1">
        <f>('Kwh Consumption'!K21+'Kwh Consumption'!L21)</f>
        <v>1670.0000000000159</v>
      </c>
      <c r="I20" s="1">
        <f>('Kwh Consumption'!M21+'Kwh Consumption'!N21+'Kwh Consumption'!O21+'Kwh Consumption'!P21+'Kwh Consumption'!Q21+'Kwh Consumption'!R21)</f>
        <v>5020.0000000001528</v>
      </c>
      <c r="J20" s="1">
        <f>('Kwh Consumption'!S21+'Kwh Consumption'!T21)</f>
        <v>5315.7599999988452</v>
      </c>
      <c r="K20" s="1">
        <f>'Kwh Consumption'!U21</f>
        <v>229.99999999998977</v>
      </c>
      <c r="L20" s="32">
        <f t="shared" si="0"/>
        <v>5044.2400000010794</v>
      </c>
    </row>
    <row r="21" spans="1:12" x14ac:dyDescent="0.25">
      <c r="A21" s="14">
        <f>'Kwh Reading'!A22</f>
        <v>44274</v>
      </c>
      <c r="B21" s="83">
        <f>TOTAL!E20</f>
        <v>0</v>
      </c>
      <c r="C21" s="1">
        <f>'Kwh Consumption'!C22</f>
        <v>-372860</v>
      </c>
      <c r="D21" s="1">
        <f>'Kwh Consumption'!D22</f>
        <v>-2126700</v>
      </c>
      <c r="E21" s="1">
        <f>'Kwh Consumption'!E22</f>
        <v>-206450</v>
      </c>
      <c r="F21" s="1">
        <f>('Kwh Consumption'!F22+'Kwh Consumption'!G22+'Kwh Consumption'!H22)</f>
        <v>-819580</v>
      </c>
      <c r="G21" s="16">
        <f>('Kwh Consumption'!I22+'Kwh Consumption'!J22)</f>
        <v>-228500</v>
      </c>
      <c r="H21" s="1">
        <f>('Kwh Consumption'!K22+'Kwh Consumption'!L22)</f>
        <v>-1047020</v>
      </c>
      <c r="I21" s="1">
        <f>('Kwh Consumption'!M22+'Kwh Consumption'!N22+'Kwh Consumption'!O22+'Kwh Consumption'!P22+'Kwh Consumption'!Q22+'Kwh Consumption'!R22)</f>
        <v>-2925680</v>
      </c>
      <c r="J21" s="1">
        <f>('Kwh Consumption'!S22+'Kwh Consumption'!T22)</f>
        <v>-15091205.73</v>
      </c>
      <c r="K21" s="1">
        <f>'Kwh Consumption'!U22</f>
        <v>-125660</v>
      </c>
      <c r="L21" s="32">
        <f t="shared" si="0"/>
        <v>22943655.73</v>
      </c>
    </row>
    <row r="22" spans="1:12" x14ac:dyDescent="0.25">
      <c r="A22" s="14">
        <f>'Kwh Reading'!A23</f>
        <v>44275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44276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44277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44278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44279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44280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44281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393070.00000000035</v>
      </c>
      <c r="C34" s="75">
        <f>SUM(C3:C33)</f>
        <v>-364120</v>
      </c>
      <c r="D34" s="75">
        <f t="shared" ref="D34:L34" si="1">SUM(D3:D33)</f>
        <v>-2084000</v>
      </c>
      <c r="E34" s="75">
        <f t="shared" si="1"/>
        <v>-202200</v>
      </c>
      <c r="F34" s="75">
        <f t="shared" si="1"/>
        <v>-804710</v>
      </c>
      <c r="G34" s="75">
        <f t="shared" si="1"/>
        <v>-223451</v>
      </c>
      <c r="H34" s="75">
        <f t="shared" si="1"/>
        <v>-1019750</v>
      </c>
      <c r="I34" s="75">
        <f t="shared" si="1"/>
        <v>-2837040</v>
      </c>
      <c r="J34" s="75">
        <f t="shared" si="1"/>
        <v>-14999702.220000003</v>
      </c>
      <c r="K34" s="75">
        <f t="shared" si="1"/>
        <v>-121340</v>
      </c>
      <c r="L34" s="75">
        <f t="shared" si="1"/>
        <v>23049383.220000003</v>
      </c>
      <c r="M34" s="84">
        <f>C34+D34+E34+F34+G34+H34+I34+J34+K34+L34</f>
        <v>393070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</v>
      </c>
      <c r="E36" s="75">
        <f>E34*B36</f>
        <v>-28308.000000000004</v>
      </c>
      <c r="F36" s="75">
        <f>F34*B36</f>
        <v>-112659.40000000001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-2099958.3108000006</v>
      </c>
      <c r="K36" s="75">
        <f>K34*B36</f>
        <v>-16987.600000000002</v>
      </c>
      <c r="L36" s="75">
        <f>L34*B36</f>
        <v>3226913.6508000009</v>
      </c>
      <c r="M36" s="84">
        <f>C36+D36+E36+F36+G36+H36+I36+J36+K36+L36</f>
        <v>55029.800000000279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3089.7999999999597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808.08140000005744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3249.4000000000369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952.3023999999715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3130.4000000000501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854.87640000008594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3207.3999999999478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872.64800000000832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3175.2000000000094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837.06980000001886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2953.9999999999554</v>
      </c>
      <c r="D9" s="1">
        <f>'Kwh Consumption'!C10*' Kwh area wise $ '!B9</f>
        <v>67.200000000002547</v>
      </c>
      <c r="E9" s="1">
        <f>'Kwh Consumption'!D10*' Kwh area wise $ '!B9</f>
        <v>321.99999999999562</v>
      </c>
      <c r="F9" s="1">
        <f>'Kwh Consumption'!E10*' Kwh area wise $ '!B9</f>
        <v>29.400000000001118</v>
      </c>
      <c r="G9" s="1">
        <f>('Kwh Consumption'!F10+'Kwh Consumption'!G10+'Kwh Consumption'!H10)*' Kwh area wise $ '!B9</f>
        <v>113.39999999999635</v>
      </c>
      <c r="H9" s="16">
        <f>('Kwh Consumption'!I10+'Kwh Consumption'!J10)*' Kwh area wise $ '!B9</f>
        <v>20.99999999999881</v>
      </c>
      <c r="I9" s="1">
        <f>('Kwh Consumption'!K10+'Kwh Consumption'!L10)*' Kwh area wise $ '!B9</f>
        <v>222.60000000000051</v>
      </c>
      <c r="J9" s="1">
        <f>('Kwh Consumption'!M10+'Kwh Consumption'!N10+'Kwh Consumption'!O10+'Kwh Consumption'!P10+'Kwh Consumption'!Q10+'Kwh Consumption'!R10)*' Kwh area wise $ '!B9</f>
        <v>698.60000000000139</v>
      </c>
      <c r="K9" s="1">
        <f>('Kwh Consumption'!S10+'Kwh Consumption'!T10)*' Kwh area wise $ '!B9</f>
        <v>654.91440000012528</v>
      </c>
      <c r="L9" s="1">
        <f>'Kwh Consumption'!U10*' Kwh area wise $ '!B9</f>
        <v>30.799999999999844</v>
      </c>
      <c r="M9" s="1">
        <f>'Kwh Consumption'!V10*' Kwh area wise $ '!B9</f>
        <v>794.0855999998339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2959.6000000000136</v>
      </c>
      <c r="D10" s="1">
        <f>'Kwh Consumption'!C11*' Kwh area wise $ '!B10</f>
        <v>68.599999999993315</v>
      </c>
      <c r="E10" s="1">
        <f>'Kwh Consumption'!D11*' Kwh area wise $ '!B10</f>
        <v>321.99999999999562</v>
      </c>
      <c r="F10" s="1">
        <f>'Kwh Consumption'!E11*' Kwh area wise $ '!B10</f>
        <v>35</v>
      </c>
      <c r="G10" s="1">
        <f>('Kwh Consumption'!F11+'Kwh Consumption'!G11+'Kwh Consumption'!H11)*' Kwh area wise $ '!B10</f>
        <v>88.200000000007336</v>
      </c>
      <c r="H10" s="16">
        <f>('Kwh Consumption'!I11+'Kwh Consumption'!J11)*' Kwh area wise $ '!B10</f>
        <v>25.200000000000959</v>
      </c>
      <c r="I10" s="1">
        <f>('Kwh Consumption'!K11+'Kwh Consumption'!L11)*' Kwh area wise $ '!B10</f>
        <v>204.39999999999716</v>
      </c>
      <c r="J10" s="1">
        <f>('Kwh Consumption'!M11+'Kwh Consumption'!N11+'Kwh Consumption'!O11+'Kwh Consumption'!P11+'Kwh Consumption'!Q11+'Kwh Consumption'!R11)*' Kwh area wise $ '!B10</f>
        <v>694.40000000001305</v>
      </c>
      <c r="K10" s="1">
        <f>('Kwh Consumption'!S11+'Kwh Consumption'!T11)*' Kwh area wise $ '!B10</f>
        <v>704.31479999991143</v>
      </c>
      <c r="L10" s="1">
        <f>'Kwh Consumption'!U11*' Kwh area wise $ '!B10</f>
        <v>35</v>
      </c>
      <c r="M10" s="1">
        <f>'Kwh Consumption'!V11*' Kwh area wise $ '!B10</f>
        <v>782.48520000009489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3053.4000000001206</v>
      </c>
      <c r="D11" s="1">
        <f>'Kwh Consumption'!C12*' Kwh area wise $ '!B11</f>
        <v>96.599999999999696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85.399999999989987</v>
      </c>
      <c r="H11" s="16">
        <f>('Kwh Consumption'!I12+'Kwh Consumption'!J12)*' Kwh area wise $ '!B11</f>
        <v>6.999999999999603</v>
      </c>
      <c r="I11" s="1">
        <f>('Kwh Consumption'!K12+'Kwh Consumption'!L12)*' Kwh area wise $ '!B11</f>
        <v>196.0000000000048</v>
      </c>
      <c r="J11" s="1">
        <f>('Kwh Consumption'!M12+'Kwh Consumption'!N12+'Kwh Consumption'!O12+'Kwh Consumption'!P12+'Kwh Consumption'!Q12+'Kwh Consumption'!R12)*' Kwh area wise $ '!B11</f>
        <v>705.59999999999502</v>
      </c>
      <c r="K11" s="1">
        <f>('Kwh Consumption'!S12+'Kwh Consumption'!T12)*' Kwh area wise $ '!B11</f>
        <v>710.67080000009389</v>
      </c>
      <c r="L11" s="1">
        <f>'Kwh Consumption'!U12*' Kwh area wise $ '!B11</f>
        <v>30.799999999999844</v>
      </c>
      <c r="M11" s="1">
        <f>'Kwh Consumption'!V12*' Kwh area wise $ '!B11</f>
        <v>854.52920000001291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2909.1999999999648</v>
      </c>
      <c r="D12" s="1">
        <f>'Kwh Consumption'!C13*' Kwh area wise $ '!B12</f>
        <v>40.600000000002872</v>
      </c>
      <c r="E12" s="1">
        <f>'Kwh Consumption'!D13*' Kwh area wise $ '!B12</f>
        <v>335.99999999996305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114.80000000000702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212.79999999998952</v>
      </c>
      <c r="J12" s="1">
        <f>('Kwh Consumption'!M13+'Kwh Consumption'!N13+'Kwh Consumption'!O13+'Kwh Consumption'!P13+'Kwh Consumption'!Q13+'Kwh Consumption'!R13)*' Kwh area wise $ '!B12</f>
        <v>643.99999999999523</v>
      </c>
      <c r="K12" s="1">
        <f>('Kwh Consumption'!S13+'Kwh Consumption'!T13)*' Kwh area wise $ '!B12</f>
        <v>718.13699999984362</v>
      </c>
      <c r="L12" s="1">
        <f>'Kwh Consumption'!U13*' Kwh area wise $ '!B12</f>
        <v>32.200000000000557</v>
      </c>
      <c r="M12" s="1">
        <f>'Kwh Consumption'!V13*' Kwh area wise $ '!B12</f>
        <v>744.86300000016081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2582.999999999879</v>
      </c>
      <c r="D13" s="1">
        <f>'Kwh Consumption'!C14*' Kwh area wise $ '!B13</f>
        <v>60.200000000000962</v>
      </c>
      <c r="E13" s="1">
        <f>'Kwh Consumption'!D14*' Kwh area wise $ '!B13</f>
        <v>293.99999999999875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97.999999999998423</v>
      </c>
      <c r="H13" s="16">
        <f>('Kwh Consumption'!I14+'Kwh Consumption'!J14)*' Kwh area wise $ '!B13</f>
        <v>47.600000000002474</v>
      </c>
      <c r="I13" s="1">
        <f>('Kwh Consumption'!K14+'Kwh Consumption'!L14)*' Kwh area wise $ '!B13</f>
        <v>155.4000000000099</v>
      </c>
      <c r="J13" s="1">
        <f>('Kwh Consumption'!M14+'Kwh Consumption'!N14+'Kwh Consumption'!O14+'Kwh Consumption'!P14+'Kwh Consumption'!Q14+'Kwh Consumption'!R14)*' Kwh area wise $ '!B13</f>
        <v>431.2000000000217</v>
      </c>
      <c r="K13" s="1">
        <f>('Kwh Consumption'!S14+'Kwh Consumption'!T14)*' Kwh area wise $ '!B13</f>
        <v>524.9328000000678</v>
      </c>
      <c r="L13" s="1">
        <f>'Kwh Consumption'!U14*' Kwh area wise $ '!B13</f>
        <v>30.799999999999844</v>
      </c>
      <c r="M13" s="1">
        <f>'Kwh Consumption'!V14*' Kwh area wise $ '!B13</f>
        <v>910.06719999977929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3052.0000000000259</v>
      </c>
      <c r="D14" s="1">
        <f>'Kwh Consumption'!C15*' Kwh area wise $ '!B14</f>
        <v>33.600000000001273</v>
      </c>
      <c r="E14" s="1">
        <f>'Kwh Consumption'!D15*' Kwh area wise $ '!B14</f>
        <v>336.00000000002518</v>
      </c>
      <c r="F14" s="1">
        <f>'Kwh Consumption'!E15*' Kwh area wise $ '!B14</f>
        <v>36.399999999998727</v>
      </c>
      <c r="G14" s="1">
        <f>('Kwh Consumption'!F15+'Kwh Consumption'!G15+'Kwh Consumption'!H15)*' Kwh area wise $ '!B14</f>
        <v>109.20000000000415</v>
      </c>
      <c r="H14" s="16">
        <f>('Kwh Consumption'!I15+'Kwh Consumption'!J15)*' Kwh area wise $ '!B14</f>
        <v>58.799999999998256</v>
      </c>
      <c r="I14" s="1">
        <f>('Kwh Consumption'!K15+'Kwh Consumption'!L15)*' Kwh area wise $ '!B14</f>
        <v>212.80000000000146</v>
      </c>
      <c r="J14" s="1">
        <f>('Kwh Consumption'!M15+'Kwh Consumption'!N15+'Kwh Consumption'!O15+'Kwh Consumption'!P15+'Kwh Consumption'!Q15+'Kwh Consumption'!R15)*' Kwh area wise $ '!B14</f>
        <v>667.79999999998165</v>
      </c>
      <c r="K14" s="1">
        <f>('Kwh Consumption'!S15+'Kwh Consumption'!T15)*' Kwh area wise $ '!B14</f>
        <v>736.79620000001046</v>
      </c>
      <c r="L14" s="1">
        <f>'Kwh Consumption'!U15*' Kwh area wise $ '!B14</f>
        <v>33.599999999999284</v>
      </c>
      <c r="M14" s="1">
        <f>'Kwh Consumption'!V15*' Kwh area wise $ '!B14</f>
        <v>827.00380000000541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3305.4000000000178</v>
      </c>
      <c r="D15" s="1">
        <f>'Kwh Consumption'!C16*' Kwh area wise $ '!B15</f>
        <v>71.399999999998727</v>
      </c>
      <c r="E15" s="1">
        <f>'Kwh Consumption'!D16*' Kwh area wise $ '!B15</f>
        <v>335.99999999996305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121.79999999999667</v>
      </c>
      <c r="H15" s="16">
        <f>('Kwh Consumption'!I16+'Kwh Consumption'!J16)*' Kwh area wise $ '!B15</f>
        <v>58.800000000000246</v>
      </c>
      <c r="I15" s="1">
        <f>('Kwh Consumption'!K16+'Kwh Consumption'!L16)*' Kwh area wise $ '!B15</f>
        <v>221.20000000000178</v>
      </c>
      <c r="J15" s="1">
        <f>('Kwh Consumption'!M16+'Kwh Consumption'!N16+'Kwh Consumption'!O16+'Kwh Consumption'!P16+'Kwh Consumption'!Q16+'Kwh Consumption'!R16)*' Kwh area wise $ '!B15</f>
        <v>697.20000000000266</v>
      </c>
      <c r="K15" s="1">
        <f>('Kwh Consumption'!S16+'Kwh Consumption'!T16)*' Kwh area wise $ '!B15</f>
        <v>799.40419999990615</v>
      </c>
      <c r="L15" s="1">
        <f>'Kwh Consumption'!U16*' Kwh area wise $ '!B15</f>
        <v>28.000000000000401</v>
      </c>
      <c r="M15" s="1">
        <f>'Kwh Consumption'!V16*' Kwh area wise $ '!B15</f>
        <v>940.79580000014801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3071.6000000001031</v>
      </c>
      <c r="D16" s="1">
        <f>'Kwh Consumption'!C17*' Kwh area wise $ '!B16</f>
        <v>84.000000000003197</v>
      </c>
      <c r="E16" s="1">
        <f>'Kwh Consumption'!D17*' Kwh area wise $ '!B16</f>
        <v>336.00000000002518</v>
      </c>
      <c r="F16" s="1">
        <f>'Kwh Consumption'!E17*' Kwh area wise $ '!B16</f>
        <v>32.199999999998568</v>
      </c>
      <c r="G16" s="1">
        <f>('Kwh Consumption'!F17+'Kwh Consumption'!G17+'Kwh Consumption'!H17)*' Kwh area wise $ '!B16</f>
        <v>91.00000000000081</v>
      </c>
      <c r="H16" s="16">
        <f>('Kwh Consumption'!I17+'Kwh Consumption'!J17)*' Kwh area wise $ '!B16</f>
        <v>58.800000000000246</v>
      </c>
      <c r="I16" s="1">
        <f>('Kwh Consumption'!K17+'Kwh Consumption'!L17)*' Kwh area wise $ '!B16</f>
        <v>209.99999999998809</v>
      </c>
      <c r="J16" s="1">
        <f>('Kwh Consumption'!M17+'Kwh Consumption'!N17+'Kwh Consumption'!O17+'Kwh Consumption'!P17+'Kwh Consumption'!Q17+'Kwh Consumption'!R17)*' Kwh area wise $ '!B16</f>
        <v>690.20000000000107</v>
      </c>
      <c r="K16" s="1">
        <f>('Kwh Consumption'!S17+'Kwh Consumption'!T17)*' Kwh area wise $ '!B16</f>
        <v>755.72140000009915</v>
      </c>
      <c r="L16" s="1">
        <f>'Kwh Consumption'!U17*' Kwh area wise $ '!B16</f>
        <v>30.799999999999844</v>
      </c>
      <c r="M16" s="1">
        <f>'Kwh Consumption'!V17*' Kwh area wise $ '!B16</f>
        <v>782.87859999998727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3068.7999999999465</v>
      </c>
      <c r="D17" s="1">
        <f>'Kwh Consumption'!C18*' Kwh area wise $ '!B17</f>
        <v>55.999999999996824</v>
      </c>
      <c r="E17" s="1">
        <f>'Kwh Consumption'!D18*' Kwh area wise $ '!B17</f>
        <v>364.00000000002211</v>
      </c>
      <c r="F17" s="1">
        <f>'Kwh Consumption'!E18*' Kwh area wise $ '!B17</f>
        <v>35</v>
      </c>
      <c r="G17" s="1">
        <f>('Kwh Consumption'!F18+'Kwh Consumption'!G18+'Kwh Consumption'!H18)*' Kwh area wise $ '!B17</f>
        <v>163.7999999999943</v>
      </c>
      <c r="H17" s="16">
        <f>('Kwh Consumption'!I18+'Kwh Consumption'!J18)*' Kwh area wise $ '!B17</f>
        <v>177.79999999999944</v>
      </c>
      <c r="I17" s="1">
        <f>('Kwh Consumption'!K18+'Kwh Consumption'!L18)*' Kwh area wise $ '!B17</f>
        <v>228.20000000000735</v>
      </c>
      <c r="J17" s="1">
        <f>('Kwh Consumption'!M18+'Kwh Consumption'!N18+'Kwh Consumption'!O18+'Kwh Consumption'!P18+'Kwh Consumption'!Q18+'Kwh Consumption'!R18)*' Kwh area wise $ '!B17</f>
        <v>725.20000000000095</v>
      </c>
      <c r="K17" s="1">
        <f>('Kwh Consumption'!S18+'Kwh Consumption'!T18)*' Kwh area wise $ '!B17</f>
        <v>739.78939999999488</v>
      </c>
      <c r="L17" s="1">
        <f>'Kwh Consumption'!U18*' Kwh area wise $ '!B17</f>
        <v>32.200000000000557</v>
      </c>
      <c r="M17" s="1">
        <f>'Kwh Consumption'!V18*' Kwh area wise $ '!B17</f>
        <v>546.81059999992988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2976.3999999999992</v>
      </c>
      <c r="D18" s="1">
        <f>'Kwh Consumption'!C19*' Kwh area wise $ '!B18</f>
        <v>74.19999999999618</v>
      </c>
      <c r="E18" s="1">
        <f>'Kwh Consumption'!D19*' Kwh area wise $ '!B18</f>
        <v>307.99999999996612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85.400000000001924</v>
      </c>
      <c r="H18" s="16">
        <f>('Kwh Consumption'!I19+'Kwh Consumption'!J19)*' Kwh area wise $ '!B18</f>
        <v>-61.599999999999689</v>
      </c>
      <c r="I18" s="1">
        <f>('Kwh Consumption'!K19+'Kwh Consumption'!L19)*' Kwh area wise $ '!B18</f>
        <v>209.99999999998809</v>
      </c>
      <c r="J18" s="1">
        <f>('Kwh Consumption'!M19+'Kwh Consumption'!N19+'Kwh Consumption'!O19+'Kwh Consumption'!P19+'Kwh Consumption'!Q19+'Kwh Consumption'!R19)*' Kwh area wise $ '!B18</f>
        <v>632.80000000000541</v>
      </c>
      <c r="K18" s="1">
        <f>('Kwh Consumption'!S19+'Kwh Consumption'!T19)*' Kwh area wise $ '!B18</f>
        <v>633.44540000004702</v>
      </c>
      <c r="L18" s="1">
        <f>'Kwh Consumption'!U19*' Kwh area wise $ '!B18</f>
        <v>29.399999999999128</v>
      </c>
      <c r="M18" s="1">
        <f>'Kwh Consumption'!V19*' Kwh area wise $ '!B18</f>
        <v>1035.354599999994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2976.400000000031</v>
      </c>
      <c r="D19" s="1">
        <f>'Kwh Consumption'!C20*' Kwh area wise $ '!B19</f>
        <v>71.400000000006685</v>
      </c>
      <c r="E19" s="1">
        <f>'Kwh Consumption'!D20*' Kwh area wise $ '!B19</f>
        <v>336.00000000002518</v>
      </c>
      <c r="F19" s="1">
        <f>'Kwh Consumption'!E20*' Kwh area wise $ '!B19</f>
        <v>32.199999999998568</v>
      </c>
      <c r="G19" s="1">
        <f>('Kwh Consumption'!F20+'Kwh Consumption'!G20+'Kwh Consumption'!H20)*' Kwh area wise $ '!B19</f>
        <v>118.99999999999922</v>
      </c>
      <c r="H19" s="16">
        <f>('Kwh Consumption'!I20+'Kwh Consumption'!J20)*' Kwh area wise $ '!B19</f>
        <v>40.600000000000882</v>
      </c>
      <c r="I19" s="1">
        <f>('Kwh Consumption'!K20+'Kwh Consumption'!L20)*' Kwh area wise $ '!B19</f>
        <v>214.20000000000417</v>
      </c>
      <c r="J19" s="1">
        <f>('Kwh Consumption'!M20+'Kwh Consumption'!N20+'Kwh Consumption'!O20+'Kwh Consumption'!P20+'Kwh Consumption'!Q20+'Kwh Consumption'!R20)*' Kwh area wise $ '!B19</f>
        <v>702.7999999999895</v>
      </c>
      <c r="K19" s="1">
        <f>('Kwh Consumption'!S20+'Kwh Consumption'!T20)*' Kwh area wise $ '!B19</f>
        <v>713.30980000004183</v>
      </c>
      <c r="L19" s="1">
        <f>'Kwh Consumption'!U20*' Kwh area wise $ '!B19</f>
        <v>30.800000000001834</v>
      </c>
      <c r="M19" s="1">
        <f>'Kwh Consumption'!V20*' Kwh area wise $ '!B19</f>
        <v>716.09019999996315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3032.4000000000115</v>
      </c>
      <c r="D20" s="1">
        <f>'Kwh Consumption'!C21*' Kwh area wise $ '!B20</f>
        <v>71.399999999998727</v>
      </c>
      <c r="E20" s="1">
        <f>'Kwh Consumption'!D21*' Kwh area wise $ '!B20</f>
        <v>349.99999999999261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107.8000000000094</v>
      </c>
      <c r="H20" s="16">
        <f>('Kwh Consumption'!I21+'Kwh Consumption'!J21)*' Kwh area wise $ '!B20</f>
        <v>48.999999999999211</v>
      </c>
      <c r="I20" s="1">
        <f>('Kwh Consumption'!K21+'Kwh Consumption'!L21)*' Kwh area wise $ '!B20</f>
        <v>233.80000000000226</v>
      </c>
      <c r="J20" s="1">
        <f>('Kwh Consumption'!M21+'Kwh Consumption'!N21+'Kwh Consumption'!O21+'Kwh Consumption'!P21+'Kwh Consumption'!Q21+'Kwh Consumption'!R21)*' Kwh area wise $ '!B20</f>
        <v>702.80000000002144</v>
      </c>
      <c r="K20" s="1">
        <f>('Kwh Consumption'!S21+'Kwh Consumption'!T21)*' Kwh area wise $ '!B20</f>
        <v>744.20639999983837</v>
      </c>
      <c r="L20" s="1">
        <f>'Kwh Consumption'!U21*' Kwh area wise $ '!B20</f>
        <v>32.199999999998568</v>
      </c>
      <c r="M20" s="1">
        <f>'Kwh Consumption'!V21*' Kwh area wise $ '!B20</f>
        <v>706.19360000015104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-52200.4</v>
      </c>
      <c r="E21" s="1">
        <f>'Kwh Consumption'!D22*' Kwh area wise $ '!B21</f>
        <v>-297738</v>
      </c>
      <c r="F21" s="1">
        <f>'Kwh Consumption'!E22*' Kwh area wise $ '!B21</f>
        <v>-28903.000000000004</v>
      </c>
      <c r="G21" s="1">
        <f>('Kwh Consumption'!F22+'Kwh Consumption'!G22+'Kwh Consumption'!H22)*' Kwh area wise $ '!B21</f>
        <v>-114741.20000000001</v>
      </c>
      <c r="H21" s="16">
        <f>('Kwh Consumption'!I22+'Kwh Consumption'!J22)*' Kwh area wise $ '!B21</f>
        <v>-31990.000000000004</v>
      </c>
      <c r="I21" s="1">
        <f>('Kwh Consumption'!K22+'Kwh Consumption'!L22)*' Kwh area wise $ '!B21</f>
        <v>-146582.80000000002</v>
      </c>
      <c r="J21" s="1">
        <f>('Kwh Consumption'!M22+'Kwh Consumption'!N22+'Kwh Consumption'!O22+'Kwh Consumption'!P22+'Kwh Consumption'!Q22+'Kwh Consumption'!R22)*' Kwh area wise $ '!B21</f>
        <v>-409595.2</v>
      </c>
      <c r="K21" s="1">
        <f>('Kwh Consumption'!S22+'Kwh Consumption'!T22)*' Kwh area wise $ '!B21</f>
        <v>-2112768.8022000003</v>
      </c>
      <c r="L21" s="1">
        <f>'Kwh Consumption'!U22*' Kwh area wise $ '!B21</f>
        <v>-17592.400000000001</v>
      </c>
      <c r="M21" s="1">
        <f>'Kwh Consumption'!V22*' Kwh area wise $ '!B21</f>
        <v>3212111.8022000003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55029.800000000068</v>
      </c>
      <c r="D34" s="75">
        <f t="shared" si="0"/>
        <v>-50976.800000000003</v>
      </c>
      <c r="E34" s="75">
        <f t="shared" si="0"/>
        <v>-291760</v>
      </c>
      <c r="F34" s="75">
        <f t="shared" si="0"/>
        <v>-28308.000000000004</v>
      </c>
      <c r="G34" s="75">
        <f t="shared" si="0"/>
        <v>-112659.40000000001</v>
      </c>
      <c r="H34" s="75">
        <f t="shared" si="0"/>
        <v>-31283.140000000003</v>
      </c>
      <c r="I34" s="75">
        <f t="shared" si="0"/>
        <v>-142765</v>
      </c>
      <c r="J34" s="75">
        <f t="shared" si="0"/>
        <v>-397185.6</v>
      </c>
      <c r="K34" s="75">
        <f t="shared" si="0"/>
        <v>-2099958.3108000006</v>
      </c>
      <c r="L34" s="75">
        <f t="shared" si="0"/>
        <v>-16987.600000000002</v>
      </c>
      <c r="M34" s="75">
        <f>SUM(M3:M33)</f>
        <v>3226913.6508000004</v>
      </c>
      <c r="N34" s="84">
        <f>D34+E34+F34+G34+H34+I34+J34+K34+L34+M34</f>
        <v>55029.799999999814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1" sqref="R2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>
        <v>147207</v>
      </c>
      <c r="C10" s="56">
        <v>104194</v>
      </c>
      <c r="D10" s="55">
        <v>192398</v>
      </c>
      <c r="E10" s="55">
        <v>241004</v>
      </c>
      <c r="F10" s="55">
        <v>66854</v>
      </c>
      <c r="G10" s="55">
        <v>109548</v>
      </c>
      <c r="H10" s="33">
        <v>47013</v>
      </c>
      <c r="I10" s="55">
        <v>58483</v>
      </c>
      <c r="J10" s="55">
        <v>18739</v>
      </c>
      <c r="K10" s="55">
        <v>1024</v>
      </c>
      <c r="L10" s="55">
        <v>16481</v>
      </c>
      <c r="M10" s="55">
        <v>22532</v>
      </c>
      <c r="N10" s="55">
        <v>6778</v>
      </c>
      <c r="O10" s="55">
        <v>1572</v>
      </c>
      <c r="P10" s="55">
        <v>26063</v>
      </c>
      <c r="Q10" s="33">
        <v>182</v>
      </c>
      <c r="R10" s="55">
        <v>5693</v>
      </c>
    </row>
    <row r="11" spans="1:18" x14ac:dyDescent="0.25">
      <c r="A11" s="54">
        <v>44264</v>
      </c>
      <c r="B11" s="33">
        <v>147328</v>
      </c>
      <c r="C11" s="33">
        <v>104364</v>
      </c>
      <c r="D11" s="55">
        <v>192523</v>
      </c>
      <c r="E11" s="55">
        <v>241033</v>
      </c>
      <c r="F11" s="55">
        <v>66854</v>
      </c>
      <c r="G11" s="55">
        <v>109568</v>
      </c>
      <c r="H11" s="33">
        <v>47054</v>
      </c>
      <c r="I11" s="55">
        <v>58500</v>
      </c>
      <c r="J11" s="55">
        <v>18751</v>
      </c>
      <c r="K11" s="55">
        <v>1024</v>
      </c>
      <c r="L11" s="55">
        <v>16487</v>
      </c>
      <c r="M11" s="55">
        <v>22547</v>
      </c>
      <c r="N11" s="55">
        <v>6779</v>
      </c>
      <c r="O11" s="55">
        <v>1572</v>
      </c>
      <c r="P11" s="55">
        <v>26063</v>
      </c>
      <c r="Q11" s="33">
        <v>190</v>
      </c>
      <c r="R11" s="55">
        <v>5699</v>
      </c>
    </row>
    <row r="12" spans="1:18" x14ac:dyDescent="0.25">
      <c r="A12" s="54">
        <v>44265</v>
      </c>
      <c r="B12" s="33">
        <v>147500</v>
      </c>
      <c r="C12" s="56">
        <v>104517</v>
      </c>
      <c r="D12" s="55">
        <v>192684</v>
      </c>
      <c r="E12" s="55">
        <v>241118</v>
      </c>
      <c r="F12" s="55">
        <v>66855</v>
      </c>
      <c r="G12" s="55">
        <v>109587</v>
      </c>
      <c r="H12" s="33">
        <v>47094</v>
      </c>
      <c r="I12" s="55">
        <v>58513</v>
      </c>
      <c r="J12" s="55">
        <v>18763</v>
      </c>
      <c r="K12" s="55">
        <v>1024</v>
      </c>
      <c r="L12" s="55">
        <v>16493</v>
      </c>
      <c r="M12" s="55">
        <v>22561</v>
      </c>
      <c r="N12" s="55">
        <v>6786</v>
      </c>
      <c r="O12" s="55">
        <v>1572</v>
      </c>
      <c r="P12" s="55">
        <v>26063</v>
      </c>
      <c r="Q12" s="33">
        <v>193</v>
      </c>
      <c r="R12" s="55">
        <v>5705</v>
      </c>
    </row>
    <row r="13" spans="1:18" x14ac:dyDescent="0.25">
      <c r="A13" s="54">
        <v>44266</v>
      </c>
      <c r="B13" s="33">
        <v>147631</v>
      </c>
      <c r="C13" s="33">
        <v>104722</v>
      </c>
      <c r="D13" s="55">
        <v>192810</v>
      </c>
      <c r="E13" s="55">
        <v>241180</v>
      </c>
      <c r="F13" s="55">
        <v>66855</v>
      </c>
      <c r="G13" s="55">
        <v>109608</v>
      </c>
      <c r="H13" s="33">
        <v>47144</v>
      </c>
      <c r="I13" s="55">
        <v>58569</v>
      </c>
      <c r="J13" s="55">
        <v>18775</v>
      </c>
      <c r="K13" s="55">
        <v>1024</v>
      </c>
      <c r="L13" s="55">
        <v>16499</v>
      </c>
      <c r="M13" s="55">
        <v>22574</v>
      </c>
      <c r="N13" s="55">
        <v>6796</v>
      </c>
      <c r="O13" s="55">
        <v>1574</v>
      </c>
      <c r="P13" s="55">
        <v>26096</v>
      </c>
      <c r="Q13" s="33">
        <v>199</v>
      </c>
      <c r="R13" s="55">
        <v>5712</v>
      </c>
    </row>
    <row r="14" spans="1:18" x14ac:dyDescent="0.25">
      <c r="A14" s="54">
        <v>44267</v>
      </c>
      <c r="B14" s="33">
        <v>147752</v>
      </c>
      <c r="C14" s="56">
        <v>104912</v>
      </c>
      <c r="D14" s="55">
        <v>192976</v>
      </c>
      <c r="E14" s="55">
        <v>241229</v>
      </c>
      <c r="F14" s="55">
        <v>66855</v>
      </c>
      <c r="G14" s="55">
        <v>109627</v>
      </c>
      <c r="H14" s="33">
        <v>47183</v>
      </c>
      <c r="I14" s="55">
        <v>58584</v>
      </c>
      <c r="J14" s="55">
        <v>18787</v>
      </c>
      <c r="K14" s="55">
        <v>1024</v>
      </c>
      <c r="L14" s="55">
        <v>16505</v>
      </c>
      <c r="M14" s="55">
        <v>22588</v>
      </c>
      <c r="N14" s="55">
        <v>6799</v>
      </c>
      <c r="O14" s="55">
        <v>1574</v>
      </c>
      <c r="P14" s="55">
        <v>26096</v>
      </c>
      <c r="Q14" s="33">
        <v>201.8</v>
      </c>
      <c r="R14" s="55">
        <v>5718</v>
      </c>
    </row>
    <row r="15" spans="1:18" x14ac:dyDescent="0.25">
      <c r="A15" s="54">
        <v>44268</v>
      </c>
      <c r="B15" s="33">
        <v>147865</v>
      </c>
      <c r="C15" s="33">
        <v>105091</v>
      </c>
      <c r="D15" s="55">
        <v>193097</v>
      </c>
      <c r="E15" s="55">
        <v>241283</v>
      </c>
      <c r="F15" s="55">
        <v>66856</v>
      </c>
      <c r="G15" s="55">
        <v>109650</v>
      </c>
      <c r="H15" s="33">
        <v>47227</v>
      </c>
      <c r="I15" s="55">
        <v>58607</v>
      </c>
      <c r="J15" s="55">
        <v>18798</v>
      </c>
      <c r="K15" s="55">
        <v>1024</v>
      </c>
      <c r="L15" s="55">
        <v>16511</v>
      </c>
      <c r="M15" s="55">
        <v>22604</v>
      </c>
      <c r="N15" s="55">
        <v>6803</v>
      </c>
      <c r="O15" s="55">
        <v>1574</v>
      </c>
      <c r="P15" s="55">
        <v>26096</v>
      </c>
      <c r="Q15" s="33">
        <v>204</v>
      </c>
      <c r="R15" s="55">
        <v>5720</v>
      </c>
    </row>
    <row r="16" spans="1:18" x14ac:dyDescent="0.25">
      <c r="A16" s="54">
        <v>44269</v>
      </c>
      <c r="B16" s="33">
        <v>148194</v>
      </c>
      <c r="C16" s="56">
        <v>105298</v>
      </c>
      <c r="D16" s="55">
        <v>193259</v>
      </c>
      <c r="E16" s="55">
        <v>241337</v>
      </c>
      <c r="F16" s="55">
        <v>66856</v>
      </c>
      <c r="G16" s="55">
        <v>109670</v>
      </c>
      <c r="H16" s="33">
        <v>47319</v>
      </c>
      <c r="I16" s="55">
        <v>58626</v>
      </c>
      <c r="J16" s="55">
        <v>18810</v>
      </c>
      <c r="K16" s="55">
        <v>1024</v>
      </c>
      <c r="L16" s="55">
        <v>16517</v>
      </c>
      <c r="M16" s="55">
        <v>22617</v>
      </c>
      <c r="N16" s="55">
        <v>6804</v>
      </c>
      <c r="O16" s="55">
        <v>1575</v>
      </c>
      <c r="P16" s="55">
        <v>26096</v>
      </c>
      <c r="Q16" s="33">
        <v>207</v>
      </c>
      <c r="R16" s="55">
        <v>5727</v>
      </c>
    </row>
    <row r="17" spans="1:22" x14ac:dyDescent="0.25">
      <c r="A17" s="54">
        <v>44270</v>
      </c>
      <c r="B17" s="33">
        <v>148322</v>
      </c>
      <c r="C17" s="33">
        <v>105495</v>
      </c>
      <c r="D17" s="55">
        <v>193400</v>
      </c>
      <c r="E17" s="55">
        <v>241391</v>
      </c>
      <c r="F17" s="55">
        <v>66856</v>
      </c>
      <c r="G17" s="55">
        <v>109692</v>
      </c>
      <c r="H17" s="33">
        <v>47361</v>
      </c>
      <c r="I17" s="55">
        <v>58664</v>
      </c>
      <c r="J17" s="55">
        <v>18822</v>
      </c>
      <c r="K17" s="55">
        <v>1024</v>
      </c>
      <c r="L17" s="55">
        <v>16523</v>
      </c>
      <c r="M17" s="55">
        <v>22633</v>
      </c>
      <c r="N17" s="55">
        <v>6806</v>
      </c>
      <c r="O17" s="55">
        <v>1576</v>
      </c>
      <c r="P17" s="55">
        <v>26109</v>
      </c>
      <c r="Q17" s="33">
        <v>209</v>
      </c>
      <c r="R17" s="55">
        <v>5732</v>
      </c>
    </row>
    <row r="18" spans="1:22" x14ac:dyDescent="0.25">
      <c r="A18" s="54">
        <v>44271</v>
      </c>
      <c r="B18" s="33">
        <v>148445</v>
      </c>
      <c r="C18" s="56">
        <v>105690</v>
      </c>
      <c r="D18" s="55">
        <v>193544</v>
      </c>
      <c r="E18" s="55">
        <v>241450</v>
      </c>
      <c r="F18" s="55">
        <v>66856</v>
      </c>
      <c r="G18" s="55">
        <v>109713</v>
      </c>
      <c r="H18" s="33">
        <v>47400</v>
      </c>
      <c r="I18" s="55">
        <v>58688</v>
      </c>
      <c r="J18" s="33">
        <v>18835</v>
      </c>
      <c r="K18" s="55">
        <v>1024</v>
      </c>
      <c r="L18" s="55">
        <v>16529</v>
      </c>
      <c r="M18" s="55">
        <v>22649</v>
      </c>
      <c r="N18" s="55">
        <v>6808</v>
      </c>
      <c r="O18" s="55">
        <v>1577</v>
      </c>
      <c r="P18" s="55">
        <v>26109</v>
      </c>
      <c r="Q18" s="33">
        <v>210</v>
      </c>
      <c r="R18" s="55">
        <v>5738</v>
      </c>
    </row>
    <row r="19" spans="1:22" x14ac:dyDescent="0.25">
      <c r="A19" s="54">
        <v>44272</v>
      </c>
      <c r="B19" s="33">
        <v>148566</v>
      </c>
      <c r="C19" s="33">
        <v>105814</v>
      </c>
      <c r="D19" s="55">
        <v>193631</v>
      </c>
      <c r="E19" s="55">
        <v>241513</v>
      </c>
      <c r="F19" s="55">
        <v>66857</v>
      </c>
      <c r="G19" s="55">
        <v>109730</v>
      </c>
      <c r="H19" s="33">
        <v>47436</v>
      </c>
      <c r="I19" s="55">
        <v>58704</v>
      </c>
      <c r="J19" s="55">
        <v>18846</v>
      </c>
      <c r="K19" s="55">
        <v>1024</v>
      </c>
      <c r="L19" s="55">
        <v>16536</v>
      </c>
      <c r="M19" s="55">
        <v>22665</v>
      </c>
      <c r="N19" s="55">
        <v>6811</v>
      </c>
      <c r="O19" s="55">
        <v>1578</v>
      </c>
      <c r="P19" s="55">
        <v>26109</v>
      </c>
      <c r="Q19" s="33">
        <v>212</v>
      </c>
      <c r="R19" s="55">
        <v>5751</v>
      </c>
    </row>
    <row r="20" spans="1:22" x14ac:dyDescent="0.25">
      <c r="A20" s="54">
        <v>44273</v>
      </c>
      <c r="B20" s="33">
        <v>148785</v>
      </c>
      <c r="C20" s="56">
        <v>105946</v>
      </c>
      <c r="D20" s="10">
        <v>193743</v>
      </c>
      <c r="E20" s="55">
        <v>241574</v>
      </c>
      <c r="F20" s="55">
        <v>66858</v>
      </c>
      <c r="G20" s="55">
        <v>109753</v>
      </c>
      <c r="H20" s="33">
        <v>47486</v>
      </c>
      <c r="I20" s="55">
        <v>58724</v>
      </c>
      <c r="J20" s="55">
        <v>18857</v>
      </c>
      <c r="K20" s="55">
        <v>1024</v>
      </c>
      <c r="L20" s="55">
        <v>16542</v>
      </c>
      <c r="M20" s="55">
        <v>22679</v>
      </c>
      <c r="N20" s="55">
        <v>6813</v>
      </c>
      <c r="O20" s="55">
        <v>1583</v>
      </c>
      <c r="P20" s="55">
        <v>26109</v>
      </c>
      <c r="Q20" s="33">
        <v>214</v>
      </c>
      <c r="R20" s="55">
        <v>5757</v>
      </c>
    </row>
    <row r="21" spans="1:22" x14ac:dyDescent="0.25">
      <c r="A21" s="54">
        <v>44274</v>
      </c>
      <c r="B21" s="33">
        <v>148979</v>
      </c>
      <c r="C21" s="33">
        <v>106117</v>
      </c>
      <c r="D21" s="55">
        <v>193898</v>
      </c>
      <c r="E21" s="55">
        <v>241630</v>
      </c>
      <c r="F21" s="55">
        <v>66858</v>
      </c>
      <c r="G21" s="55">
        <v>109773</v>
      </c>
      <c r="H21" s="33">
        <v>47528</v>
      </c>
      <c r="I21" s="55">
        <v>58744</v>
      </c>
      <c r="J21" s="55">
        <v>18870</v>
      </c>
      <c r="K21" s="55">
        <v>1024</v>
      </c>
      <c r="L21" s="55">
        <v>16548</v>
      </c>
      <c r="M21" s="55">
        <v>22695</v>
      </c>
      <c r="N21" s="55">
        <v>6815</v>
      </c>
      <c r="O21" s="55">
        <v>1584</v>
      </c>
      <c r="P21" s="55">
        <v>26109</v>
      </c>
      <c r="Q21" s="33">
        <v>215</v>
      </c>
      <c r="R21" s="55">
        <v>5767</v>
      </c>
    </row>
    <row r="22" spans="1:22" x14ac:dyDescent="0.25">
      <c r="A22" s="54">
        <v>44275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44276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44277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44278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44279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44280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44281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44282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4" activePane="bottomLeft" state="frozen"/>
      <selection activeCell="C25" sqref="C25"/>
      <selection pane="bottomLeft" activeCell="C16" sqref="C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329</v>
      </c>
      <c r="C10" s="66">
        <f>('Water Reading'!B10-'Water Reading'!B9)+('Water Reading'!C10-'Water Reading'!C9)</f>
        <v>355</v>
      </c>
      <c r="D10" s="67">
        <f t="shared" si="2"/>
        <v>1.0790273556231003</v>
      </c>
      <c r="E10" s="88">
        <f>'Water Reading'!H10-'Water Reading'!H9</f>
        <v>50</v>
      </c>
      <c r="F10" s="89">
        <f t="shared" si="3"/>
        <v>0.14084507042253522</v>
      </c>
      <c r="G10" s="93">
        <f>('Water Reading'!D10-'Water Reading'!D9)-('Water Reading'!R10-'Water Reading'!R9)-('Water Reading'!Q10-'Water Reading'!Q9)</f>
        <v>149</v>
      </c>
      <c r="H10" s="89">
        <f t="shared" si="4"/>
        <v>0.41971830985915493</v>
      </c>
      <c r="I10" s="90">
        <f>'Water Reading'!P10-'Water Reading'!P9</f>
        <v>22</v>
      </c>
      <c r="J10" s="68">
        <f t="shared" si="5"/>
        <v>6.1971830985915494E-2</v>
      </c>
      <c r="K10" s="91">
        <f>('Water Reading'!I10-'Water Reading'!I9)</f>
        <v>43</v>
      </c>
      <c r="L10" s="68">
        <f t="shared" si="6"/>
        <v>0.12112676056338029</v>
      </c>
      <c r="M10" s="90">
        <f>'Water Reading'!R10-'Water Reading'!R9</f>
        <v>7</v>
      </c>
      <c r="N10" s="92">
        <f t="shared" si="7"/>
        <v>1.9718309859154931E-2</v>
      </c>
      <c r="O10" s="90">
        <f>'Water Reading'!Q10-'Water Reading'!Q9</f>
        <v>1</v>
      </c>
      <c r="P10" s="99">
        <f t="shared" si="8"/>
        <v>2.8169014084507044E-3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64</v>
      </c>
      <c r="T10" s="100">
        <f t="shared" si="10"/>
        <v>0.18028169014084508</v>
      </c>
      <c r="U10" s="90">
        <f>'Water Reading'!G10-'Water Reading'!G9</f>
        <v>19</v>
      </c>
      <c r="V10" s="100">
        <f t="shared" si="11"/>
        <v>5.3521126760563378E-2</v>
      </c>
      <c r="W10" s="90">
        <f>'Water Reading'!J10-'Water Reading'!J9</f>
        <v>12</v>
      </c>
      <c r="X10" s="100">
        <f t="shared" si="12"/>
        <v>3.3802816901408447E-2</v>
      </c>
      <c r="Y10" s="66">
        <f t="shared" si="0"/>
        <v>367</v>
      </c>
      <c r="Z10" s="67">
        <f t="shared" si="1"/>
        <v>1.115501519756839</v>
      </c>
    </row>
    <row r="11" spans="1:26" x14ac:dyDescent="0.25">
      <c r="A11" s="8">
        <f>'Water Reading'!A10</f>
        <v>44263</v>
      </c>
      <c r="B11" s="65">
        <f>TOTAL!I9</f>
        <v>242.40000000000146</v>
      </c>
      <c r="C11" s="66">
        <f>('Water Reading'!B11-'Water Reading'!B10)+('Water Reading'!C11-'Water Reading'!C10)</f>
        <v>291</v>
      </c>
      <c r="D11" s="67">
        <f t="shared" si="2"/>
        <v>1.2004950495049433</v>
      </c>
      <c r="E11" s="88">
        <f>'Water Reading'!H11-'Water Reading'!H10</f>
        <v>41</v>
      </c>
      <c r="F11" s="89">
        <f t="shared" si="3"/>
        <v>0.14089347079037801</v>
      </c>
      <c r="G11" s="93">
        <f>('Water Reading'!D11-'Water Reading'!D10)-('Water Reading'!R11-'Water Reading'!R10)-('Water Reading'!Q11-'Water Reading'!Q10)</f>
        <v>111</v>
      </c>
      <c r="H11" s="89">
        <f t="shared" si="4"/>
        <v>0.38144329896907214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</f>
        <v>17</v>
      </c>
      <c r="L11" s="68">
        <f t="shared" si="6"/>
        <v>5.8419243986254296E-2</v>
      </c>
      <c r="M11" s="90">
        <f>'Water Reading'!R11-'Water Reading'!R10</f>
        <v>6</v>
      </c>
      <c r="N11" s="92">
        <f t="shared" si="7"/>
        <v>2.0618556701030927E-2</v>
      </c>
      <c r="O11" s="98">
        <f>'Water Reading'!Q11-'Water Reading'!Q10</f>
        <v>8</v>
      </c>
      <c r="P11" s="99">
        <f t="shared" si="8"/>
        <v>2.7491408934707903E-2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29</v>
      </c>
      <c r="T11" s="100">
        <f t="shared" si="10"/>
        <v>9.9656357388316158E-2</v>
      </c>
      <c r="U11" s="90">
        <f>'Water Reading'!G11-'Water Reading'!G10</f>
        <v>20</v>
      </c>
      <c r="V11" s="100">
        <f t="shared" si="11"/>
        <v>6.8728522336769765E-2</v>
      </c>
      <c r="W11" s="90">
        <f>'Water Reading'!J11-'Water Reading'!J10</f>
        <v>12</v>
      </c>
      <c r="X11" s="100">
        <f t="shared" si="12"/>
        <v>4.1237113402061855E-2</v>
      </c>
      <c r="Y11" s="66">
        <f t="shared" si="0"/>
        <v>244</v>
      </c>
      <c r="Z11" s="67">
        <f t="shared" si="1"/>
        <v>1.0066006600660005</v>
      </c>
    </row>
    <row r="12" spans="1:26" x14ac:dyDescent="0.25">
      <c r="A12" s="8">
        <f>'Water Reading'!A11</f>
        <v>44264</v>
      </c>
      <c r="B12" s="65">
        <f>TOTAL!I10</f>
        <v>219.59999999999854</v>
      </c>
      <c r="C12" s="66">
        <f>('Water Reading'!B12-'Water Reading'!B11)+('Water Reading'!C12-'Water Reading'!C11)</f>
        <v>325</v>
      </c>
      <c r="D12" s="67">
        <f t="shared" si="2"/>
        <v>1.4799635701275144</v>
      </c>
      <c r="E12" s="88">
        <f>'Water Reading'!H12-'Water Reading'!H11</f>
        <v>40</v>
      </c>
      <c r="F12" s="89">
        <f t="shared" si="3"/>
        <v>0.12307692307692308</v>
      </c>
      <c r="G12" s="93">
        <f>('Water Reading'!D12-'Water Reading'!D11)-('Water Reading'!R12-'Water Reading'!R11)-('Water Reading'!Q12-'Water Reading'!Q11)</f>
        <v>152</v>
      </c>
      <c r="H12" s="89">
        <f t="shared" si="4"/>
        <v>0.46769230769230768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13</v>
      </c>
      <c r="L12" s="68">
        <f t="shared" si="6"/>
        <v>0.04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3</v>
      </c>
      <c r="P12" s="99">
        <f t="shared" si="8"/>
        <v>9.2307692307692316E-3</v>
      </c>
      <c r="Q12" s="91">
        <f>'Water Reading'!F12-'Water Reading'!F11</f>
        <v>1</v>
      </c>
      <c r="R12" s="100">
        <f t="shared" si="9"/>
        <v>3.0769230769230769E-3</v>
      </c>
      <c r="S12" s="90">
        <f>'Water Reading'!E12-'Water Reading'!E11</f>
        <v>85</v>
      </c>
      <c r="T12" s="100">
        <f t="shared" si="10"/>
        <v>0.26153846153846155</v>
      </c>
      <c r="U12" s="90">
        <f>'Water Reading'!G12-'Water Reading'!G11</f>
        <v>19</v>
      </c>
      <c r="V12" s="100">
        <f t="shared" si="11"/>
        <v>5.8461538461538461E-2</v>
      </c>
      <c r="W12" s="90">
        <f>'Water Reading'!J12-'Water Reading'!J11</f>
        <v>12</v>
      </c>
      <c r="X12" s="100">
        <f t="shared" si="12"/>
        <v>3.6923076923076927E-2</v>
      </c>
      <c r="Y12" s="66">
        <f t="shared" si="0"/>
        <v>331</v>
      </c>
      <c r="Z12" s="67">
        <f t="shared" si="1"/>
        <v>1.5072859744990992</v>
      </c>
    </row>
    <row r="13" spans="1:26" x14ac:dyDescent="0.25">
      <c r="A13" s="8">
        <f>'Water Reading'!A12</f>
        <v>44265</v>
      </c>
      <c r="B13" s="65">
        <f>TOTAL!I11</f>
        <v>297</v>
      </c>
      <c r="C13" s="66">
        <f>('Water Reading'!B13-'Water Reading'!B12)+('Water Reading'!C13-'Water Reading'!C12)</f>
        <v>336</v>
      </c>
      <c r="D13" s="67">
        <f t="shared" si="2"/>
        <v>1.1313131313131313</v>
      </c>
      <c r="E13" s="87">
        <f>'Water Reading'!H13-'Water Reading'!H12</f>
        <v>50</v>
      </c>
      <c r="F13" s="89">
        <f t="shared" si="3"/>
        <v>0.14880952380952381</v>
      </c>
      <c r="G13" s="93">
        <f>('Water Reading'!D13-'Water Reading'!D12)-('Water Reading'!R13-'Water Reading'!R12)-('Water Reading'!Q13-'Water Reading'!Q12)</f>
        <v>113</v>
      </c>
      <c r="H13" s="89">
        <f t="shared" si="4"/>
        <v>0.33630952380952384</v>
      </c>
      <c r="I13" s="90">
        <f>'Water Reading'!P13-'Water Reading'!P12</f>
        <v>33</v>
      </c>
      <c r="J13" s="68">
        <f t="shared" si="5"/>
        <v>9.8214285714285712E-2</v>
      </c>
      <c r="K13" s="91">
        <f>('Water Reading'!I13-'Water Reading'!I12)</f>
        <v>56</v>
      </c>
      <c r="L13" s="68">
        <f t="shared" si="6"/>
        <v>0.16666666666666666</v>
      </c>
      <c r="M13" s="90">
        <f>'Water Reading'!R13-'Water Reading'!R12</f>
        <v>7</v>
      </c>
      <c r="N13" s="92">
        <f t="shared" si="7"/>
        <v>2.0833333333333332E-2</v>
      </c>
      <c r="O13" s="90">
        <f>'Water Reading'!Q13-'Water Reading'!Q12</f>
        <v>6</v>
      </c>
      <c r="P13" s="99">
        <f t="shared" si="8"/>
        <v>1.7857142857142856E-2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62</v>
      </c>
      <c r="T13" s="100">
        <f t="shared" si="10"/>
        <v>0.18452380952380953</v>
      </c>
      <c r="U13" s="90">
        <f>'Water Reading'!G13-'Water Reading'!G12</f>
        <v>21</v>
      </c>
      <c r="V13" s="100">
        <f t="shared" si="11"/>
        <v>6.25E-2</v>
      </c>
      <c r="W13" s="90">
        <f>'Water Reading'!J13-'Water Reading'!J12</f>
        <v>12</v>
      </c>
      <c r="X13" s="100">
        <f t="shared" si="12"/>
        <v>3.5714285714285712E-2</v>
      </c>
      <c r="Y13" s="66">
        <f t="shared" si="0"/>
        <v>360</v>
      </c>
      <c r="Z13" s="67">
        <f t="shared" si="1"/>
        <v>1.2121212121212122</v>
      </c>
    </row>
    <row r="14" spans="1:26" x14ac:dyDescent="0.25">
      <c r="A14" s="8">
        <f>'Water Reading'!A13</f>
        <v>44266</v>
      </c>
      <c r="B14" s="65">
        <f>TOTAL!I12</f>
        <v>300</v>
      </c>
      <c r="C14" s="66">
        <f>('Water Reading'!B14-'Water Reading'!B13)+('Water Reading'!C14-'Water Reading'!C13)</f>
        <v>311</v>
      </c>
      <c r="D14" s="67">
        <f t="shared" si="2"/>
        <v>1.0366666666666666</v>
      </c>
      <c r="E14" s="88">
        <f>'Water Reading'!H14-'Water Reading'!H13</f>
        <v>39</v>
      </c>
      <c r="F14" s="89">
        <f t="shared" si="3"/>
        <v>0.12540192926045016</v>
      </c>
      <c r="G14" s="93">
        <f>('Water Reading'!D14-'Water Reading'!D13)-('Water Reading'!R14-'Water Reading'!R13)-('Water Reading'!Q14-'Water Reading'!Q13)</f>
        <v>157.19999999999999</v>
      </c>
      <c r="H14" s="89">
        <f t="shared" si="4"/>
        <v>0.5054662379421222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15</v>
      </c>
      <c r="L14" s="68">
        <f t="shared" si="6"/>
        <v>4.8231511254019289E-2</v>
      </c>
      <c r="M14" s="90">
        <f>'Water Reading'!R14-'Water Reading'!R13</f>
        <v>6</v>
      </c>
      <c r="N14" s="92">
        <f t="shared" si="7"/>
        <v>1.9292604501607719E-2</v>
      </c>
      <c r="O14" s="90">
        <f>'Water Reading'!Q14-'Water Reading'!Q13</f>
        <v>2.8000000000000114</v>
      </c>
      <c r="P14" s="99">
        <f t="shared" si="8"/>
        <v>9.0032154340836373E-3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49</v>
      </c>
      <c r="T14" s="100">
        <f t="shared" si="10"/>
        <v>0.15755627009646303</v>
      </c>
      <c r="U14" s="90">
        <f>'Water Reading'!G14-'Water Reading'!G13</f>
        <v>19</v>
      </c>
      <c r="V14" s="100">
        <f t="shared" si="11"/>
        <v>6.1093247588424437E-2</v>
      </c>
      <c r="W14" s="90">
        <f>'Water Reading'!J14-'Water Reading'!J13</f>
        <v>12</v>
      </c>
      <c r="X14" s="100">
        <f t="shared" si="12"/>
        <v>3.8585209003215437E-2</v>
      </c>
      <c r="Y14" s="66">
        <f t="shared" si="0"/>
        <v>300</v>
      </c>
      <c r="Z14" s="67">
        <f t="shared" si="1"/>
        <v>1</v>
      </c>
    </row>
    <row r="15" spans="1:26" x14ac:dyDescent="0.25">
      <c r="A15" s="8">
        <f>'Water Reading'!A14</f>
        <v>44267</v>
      </c>
      <c r="B15" s="65">
        <f>TOTAL!I13</f>
        <v>213</v>
      </c>
      <c r="C15" s="66">
        <f>('Water Reading'!B15-'Water Reading'!B14)+('Water Reading'!C15-'Water Reading'!C14)</f>
        <v>292</v>
      </c>
      <c r="D15" s="67">
        <f t="shared" si="2"/>
        <v>1.3708920187793427</v>
      </c>
      <c r="E15" s="87">
        <f>'Water Reading'!H15-'Water Reading'!H14</f>
        <v>44</v>
      </c>
      <c r="F15" s="89">
        <f t="shared" si="3"/>
        <v>0.15068493150684931</v>
      </c>
      <c r="G15" s="93">
        <f>('Water Reading'!D15-'Water Reading'!D14)-('Water Reading'!R15-'Water Reading'!R14)-('Water Reading'!Q15-'Water Reading'!Q14)</f>
        <v>116.80000000000001</v>
      </c>
      <c r="H15" s="89">
        <f t="shared" si="4"/>
        <v>0.4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23</v>
      </c>
      <c r="L15" s="68">
        <f t="shared" si="6"/>
        <v>7.8767123287671229E-2</v>
      </c>
      <c r="M15" s="90">
        <f>'Water Reading'!R15-'Water Reading'!R14</f>
        <v>2</v>
      </c>
      <c r="N15" s="92">
        <f t="shared" si="7"/>
        <v>6.8493150684931503E-3</v>
      </c>
      <c r="O15" s="90">
        <f>'Water Reading'!Q15-'Water Reading'!Q14</f>
        <v>2.1999999999999886</v>
      </c>
      <c r="P15" s="99">
        <f t="shared" si="8"/>
        <v>7.534246575342427E-3</v>
      </c>
      <c r="Q15" s="91">
        <f>'Water Reading'!F15-'Water Reading'!F14</f>
        <v>1</v>
      </c>
      <c r="R15" s="100">
        <f t="shared" si="9"/>
        <v>3.4246575342465752E-3</v>
      </c>
      <c r="S15" s="94">
        <f>'Water Reading'!E15-'Water Reading'!E14</f>
        <v>54</v>
      </c>
      <c r="T15" s="100">
        <f t="shared" si="10"/>
        <v>0.18493150684931506</v>
      </c>
      <c r="U15" s="90">
        <f>'Water Reading'!G15-'Water Reading'!G14</f>
        <v>23</v>
      </c>
      <c r="V15" s="100">
        <f t="shared" si="11"/>
        <v>7.8767123287671229E-2</v>
      </c>
      <c r="W15" s="90">
        <f>'Water Reading'!J15-'Water Reading'!J14</f>
        <v>11</v>
      </c>
      <c r="X15" s="100">
        <f t="shared" si="12"/>
        <v>3.7671232876712327E-2</v>
      </c>
      <c r="Y15" s="66">
        <f t="shared" si="0"/>
        <v>277</v>
      </c>
      <c r="Z15" s="67">
        <f t="shared" si="1"/>
        <v>1.300469483568075</v>
      </c>
    </row>
    <row r="16" spans="1:26" x14ac:dyDescent="0.25">
      <c r="A16" s="8">
        <f>'Water Reading'!A15</f>
        <v>44268</v>
      </c>
      <c r="B16" s="65">
        <f>TOTAL!I14</f>
        <v>339</v>
      </c>
      <c r="C16" s="66">
        <f>('Water Reading'!B16-'Water Reading'!B15)+('Water Reading'!C16-'Water Reading'!C15)</f>
        <v>536</v>
      </c>
      <c r="D16" s="67">
        <f t="shared" si="2"/>
        <v>1.5811209439528024</v>
      </c>
      <c r="E16" s="87">
        <f>'Water Reading'!H16-'Water Reading'!H15</f>
        <v>92</v>
      </c>
      <c r="F16" s="89">
        <f t="shared" si="3"/>
        <v>0.17164179104477612</v>
      </c>
      <c r="G16" s="93">
        <f>('Water Reading'!D16-'Water Reading'!D15)-('Water Reading'!R16-'Water Reading'!R15)-('Water Reading'!Q16-'Water Reading'!Q15)</f>
        <v>152</v>
      </c>
      <c r="H16" s="89">
        <f t="shared" si="4"/>
        <v>0.28358208955223879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19</v>
      </c>
      <c r="L16" s="68">
        <f t="shared" si="6"/>
        <v>3.5447761194029849E-2</v>
      </c>
      <c r="M16" s="90">
        <f>'Water Reading'!R16-'Water Reading'!R15</f>
        <v>7</v>
      </c>
      <c r="N16" s="92">
        <f t="shared" si="7"/>
        <v>1.3059701492537313E-2</v>
      </c>
      <c r="O16" s="90">
        <f>'Water Reading'!Q16-'Water Reading'!Q15</f>
        <v>3</v>
      </c>
      <c r="P16" s="99">
        <f t="shared" si="8"/>
        <v>5.597014925373134E-3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54</v>
      </c>
      <c r="T16" s="100">
        <f t="shared" si="10"/>
        <v>0.10074626865671642</v>
      </c>
      <c r="U16" s="90">
        <f>'Water Reading'!G16-'Water Reading'!G15</f>
        <v>20</v>
      </c>
      <c r="V16" s="100">
        <f t="shared" si="11"/>
        <v>3.7313432835820892E-2</v>
      </c>
      <c r="W16" s="90">
        <f>'Water Reading'!J16-'Water Reading'!J15</f>
        <v>12</v>
      </c>
      <c r="X16" s="100">
        <f t="shared" si="12"/>
        <v>2.2388059701492536E-2</v>
      </c>
      <c r="Y16" s="66">
        <f t="shared" si="0"/>
        <v>359</v>
      </c>
      <c r="Z16" s="67">
        <f t="shared" si="1"/>
        <v>1.0589970501474926</v>
      </c>
    </row>
    <row r="17" spans="1:26" x14ac:dyDescent="0.25">
      <c r="A17" s="8">
        <f>'Water Reading'!A16</f>
        <v>44269</v>
      </c>
      <c r="B17" s="65">
        <f>TOTAL!I15</f>
        <v>233</v>
      </c>
      <c r="C17" s="66">
        <f>('Water Reading'!B17-'Water Reading'!B16)+('Water Reading'!C17-'Water Reading'!C16)</f>
        <v>325</v>
      </c>
      <c r="D17" s="67">
        <f t="shared" si="2"/>
        <v>1.3948497854077253</v>
      </c>
      <c r="E17" s="87">
        <f>'Water Reading'!H17-'Water Reading'!H16</f>
        <v>42</v>
      </c>
      <c r="F17" s="89">
        <f t="shared" si="3"/>
        <v>0.12923076923076923</v>
      </c>
      <c r="G17" s="93">
        <f>('Water Reading'!D17-'Water Reading'!D16)-('Water Reading'!R17-'Water Reading'!R16)-('Water Reading'!Q17-'Water Reading'!Q16)</f>
        <v>134</v>
      </c>
      <c r="H17" s="89">
        <f t="shared" si="4"/>
        <v>0.41230769230769232</v>
      </c>
      <c r="I17" s="90">
        <f>'Water Reading'!P17-'Water Reading'!P16</f>
        <v>13</v>
      </c>
      <c r="J17" s="68">
        <f t="shared" si="5"/>
        <v>0.04</v>
      </c>
      <c r="K17" s="90">
        <f>('Water Reading'!I17-'Water Reading'!I16)-('Water Reading'!P17-'Water Reading'!P16)</f>
        <v>25</v>
      </c>
      <c r="L17" s="68">
        <f t="shared" si="6"/>
        <v>7.6923076923076927E-2</v>
      </c>
      <c r="M17" s="90">
        <f>'Water Reading'!R17-'Water Reading'!R16</f>
        <v>5</v>
      </c>
      <c r="N17" s="92">
        <f t="shared" si="7"/>
        <v>1.5384615384615385E-2</v>
      </c>
      <c r="O17" s="90">
        <f>'Water Reading'!Q17-'Water Reading'!Q16</f>
        <v>2</v>
      </c>
      <c r="P17" s="99">
        <f t="shared" si="8"/>
        <v>6.1538461538461538E-3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54</v>
      </c>
      <c r="T17" s="100">
        <f t="shared" si="10"/>
        <v>0.16615384615384615</v>
      </c>
      <c r="U17" s="90">
        <f>'Water Reading'!G17-'Water Reading'!G16</f>
        <v>22</v>
      </c>
      <c r="V17" s="100">
        <f t="shared" si="11"/>
        <v>6.7692307692307691E-2</v>
      </c>
      <c r="W17" s="90">
        <f>'Water Reading'!J17-'Water Reading'!J16</f>
        <v>12</v>
      </c>
      <c r="X17" s="100">
        <f t="shared" si="12"/>
        <v>3.6923076923076927E-2</v>
      </c>
      <c r="Y17" s="66">
        <f t="shared" si="0"/>
        <v>309</v>
      </c>
      <c r="Z17" s="67">
        <f t="shared" si="1"/>
        <v>1.3261802575107295</v>
      </c>
    </row>
    <row r="18" spans="1:26" x14ac:dyDescent="0.25">
      <c r="A18" s="8">
        <f>'Water Reading'!A17</f>
        <v>44270</v>
      </c>
      <c r="B18" s="65">
        <f>TOTAL!I16</f>
        <v>257</v>
      </c>
      <c r="C18" s="66">
        <f>('Water Reading'!B18-'Water Reading'!B17)+('Water Reading'!C18-'Water Reading'!C17)</f>
        <v>318</v>
      </c>
      <c r="D18" s="67">
        <f t="shared" si="2"/>
        <v>1.2373540856031129</v>
      </c>
      <c r="E18" s="87">
        <f>'Water Reading'!H18-'Water Reading'!H17</f>
        <v>39</v>
      </c>
      <c r="F18" s="89">
        <f t="shared" si="3"/>
        <v>0.12264150943396226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0.4308176100628931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24</v>
      </c>
      <c r="L18" s="68">
        <f t="shared" si="6"/>
        <v>7.5471698113207544E-2</v>
      </c>
      <c r="M18" s="90">
        <f>'Water Reading'!R18-'Water Reading'!R17</f>
        <v>6</v>
      </c>
      <c r="N18" s="92">
        <f t="shared" si="7"/>
        <v>1.8867924528301886E-2</v>
      </c>
      <c r="O18" s="90">
        <f>'Water Reading'!Q18-'Water Reading'!Q17</f>
        <v>1</v>
      </c>
      <c r="P18" s="99">
        <f t="shared" si="8"/>
        <v>3.1446540880503146E-3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59</v>
      </c>
      <c r="T18" s="100">
        <f t="shared" si="10"/>
        <v>0.18553459119496854</v>
      </c>
      <c r="U18" s="90">
        <f>'Water Reading'!G18-'Water Reading'!G17</f>
        <v>21</v>
      </c>
      <c r="V18" s="100">
        <f t="shared" si="11"/>
        <v>6.6037735849056603E-2</v>
      </c>
      <c r="W18" s="90">
        <f>'Water Reading'!J18-'Water Reading'!J17</f>
        <v>13</v>
      </c>
      <c r="X18" s="100">
        <f t="shared" si="12"/>
        <v>4.0880503144654086E-2</v>
      </c>
      <c r="Y18" s="66">
        <f t="shared" si="0"/>
        <v>300</v>
      </c>
      <c r="Z18" s="67">
        <f t="shared" si="1"/>
        <v>1.1673151750972763</v>
      </c>
    </row>
    <row r="19" spans="1:26" x14ac:dyDescent="0.25">
      <c r="A19" s="8">
        <f>'Water Reading'!A18</f>
        <v>44271</v>
      </c>
      <c r="B19" s="65">
        <f>TOTAL!I17</f>
        <v>208</v>
      </c>
      <c r="C19" s="66">
        <f>('Water Reading'!B19-'Water Reading'!B18)+('Water Reading'!C19-'Water Reading'!C18)</f>
        <v>245</v>
      </c>
      <c r="D19" s="67">
        <f t="shared" si="2"/>
        <v>1.1778846153846154</v>
      </c>
      <c r="E19" s="87">
        <f>'Water Reading'!H19-'Water Reading'!H18</f>
        <v>36</v>
      </c>
      <c r="F19" s="89">
        <f t="shared" si="3"/>
        <v>0.14693877551020409</v>
      </c>
      <c r="G19" s="93">
        <f>('Water Reading'!D19-'Water Reading'!D18)-('Water Reading'!R19-'Water Reading'!R18)-('Water Reading'!Q19-'Water Reading'!Q18)</f>
        <v>72</v>
      </c>
      <c r="H19" s="89">
        <f t="shared" si="4"/>
        <v>0.29387755102040819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16</v>
      </c>
      <c r="L19" s="68">
        <f t="shared" si="6"/>
        <v>6.5306122448979598E-2</v>
      </c>
      <c r="M19" s="90">
        <f>'Water Reading'!R19-'Water Reading'!R18</f>
        <v>13</v>
      </c>
      <c r="N19" s="92">
        <f t="shared" si="7"/>
        <v>5.3061224489795916E-2</v>
      </c>
      <c r="O19" s="90">
        <f>'Water Reading'!Q19-'Water Reading'!Q18</f>
        <v>2</v>
      </c>
      <c r="P19" s="99">
        <f t="shared" si="8"/>
        <v>8.1632653061224497E-3</v>
      </c>
      <c r="Q19" s="91">
        <f>'Water Reading'!F19-'Water Reading'!F18</f>
        <v>1</v>
      </c>
      <c r="R19" s="100">
        <f t="shared" si="9"/>
        <v>4.0816326530612249E-3</v>
      </c>
      <c r="S19" s="94">
        <f>'Water Reading'!E19-'Water Reading'!E18</f>
        <v>63</v>
      </c>
      <c r="T19" s="100">
        <f t="shared" si="10"/>
        <v>0.25714285714285712</v>
      </c>
      <c r="U19" s="90">
        <f>'Water Reading'!G19-'Water Reading'!G18</f>
        <v>17</v>
      </c>
      <c r="V19" s="100">
        <f t="shared" si="11"/>
        <v>6.9387755102040816E-2</v>
      </c>
      <c r="W19" s="90">
        <f>'Water Reading'!J19-'Water Reading'!J18</f>
        <v>11</v>
      </c>
      <c r="X19" s="100">
        <f t="shared" si="12"/>
        <v>4.4897959183673466E-2</v>
      </c>
      <c r="Y19" s="66">
        <f t="shared" si="0"/>
        <v>231</v>
      </c>
      <c r="Z19" s="67">
        <f t="shared" si="1"/>
        <v>1.1105769230769231</v>
      </c>
    </row>
    <row r="20" spans="1:26" x14ac:dyDescent="0.25">
      <c r="A20" s="8">
        <f>'Water Reading'!A19</f>
        <v>44272</v>
      </c>
      <c r="B20" s="65">
        <f>TOTAL!I18</f>
        <v>272</v>
      </c>
      <c r="C20" s="66">
        <f>('Water Reading'!B20-'Water Reading'!B19)+('Water Reading'!C20-'Water Reading'!C19)</f>
        <v>351</v>
      </c>
      <c r="D20" s="67">
        <f t="shared" si="2"/>
        <v>1.2904411764705883</v>
      </c>
      <c r="E20" s="87">
        <f>'Water Reading'!H20-'Water Reading'!H19</f>
        <v>50</v>
      </c>
      <c r="F20" s="89">
        <f t="shared" si="3"/>
        <v>0.14245014245014245</v>
      </c>
      <c r="G20" s="93">
        <f>('Water Reading'!D20-'Water Reading'!D19)-('Water Reading'!R20-'Water Reading'!R19)-('Water Reading'!Q20-'Water Reading'!Q19)</f>
        <v>104</v>
      </c>
      <c r="H20" s="89">
        <f t="shared" si="4"/>
        <v>0.29629629629629628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20</v>
      </c>
      <c r="L20" s="68">
        <f t="shared" si="6"/>
        <v>5.6980056980056981E-2</v>
      </c>
      <c r="M20" s="90">
        <f>'Water Reading'!R20-'Water Reading'!R19</f>
        <v>6</v>
      </c>
      <c r="N20" s="92">
        <f t="shared" si="7"/>
        <v>1.7094017094017096E-2</v>
      </c>
      <c r="O20" s="90">
        <f>'Water Reading'!Q20-'Water Reading'!Q19</f>
        <v>2</v>
      </c>
      <c r="P20" s="99">
        <f t="shared" si="8"/>
        <v>5.6980056980056983E-3</v>
      </c>
      <c r="Q20" s="91">
        <f>'Water Reading'!F20-'Water Reading'!F19</f>
        <v>1</v>
      </c>
      <c r="R20" s="100">
        <f t="shared" si="9"/>
        <v>2.8490028490028491E-3</v>
      </c>
      <c r="S20" s="94">
        <f>'Water Reading'!E20-'Water Reading'!E19</f>
        <v>61</v>
      </c>
      <c r="T20" s="100">
        <f t="shared" si="10"/>
        <v>0.1737891737891738</v>
      </c>
      <c r="U20" s="90">
        <f>'Water Reading'!G20-'Water Reading'!G19</f>
        <v>23</v>
      </c>
      <c r="V20" s="100">
        <f t="shared" si="11"/>
        <v>6.5527065527065526E-2</v>
      </c>
      <c r="W20" s="90">
        <f>'Water Reading'!J20-'Water Reading'!J19</f>
        <v>11</v>
      </c>
      <c r="X20" s="100">
        <f t="shared" si="12"/>
        <v>3.1339031339031341E-2</v>
      </c>
      <c r="Y20" s="66">
        <f t="shared" si="0"/>
        <v>278</v>
      </c>
      <c r="Z20" s="67">
        <f t="shared" si="1"/>
        <v>1.0220588235294117</v>
      </c>
    </row>
    <row r="21" spans="1:26" x14ac:dyDescent="0.25">
      <c r="A21" s="8">
        <f>'Water Reading'!A20</f>
        <v>44273</v>
      </c>
      <c r="B21" s="65">
        <f>TOTAL!I19</f>
        <v>220</v>
      </c>
      <c r="C21" s="66">
        <f>('Water Reading'!B21-'Water Reading'!B20)+('Water Reading'!C21-'Water Reading'!C20)</f>
        <v>365</v>
      </c>
      <c r="D21" s="67">
        <f t="shared" si="2"/>
        <v>1.6590909090909092</v>
      </c>
      <c r="E21" s="87">
        <f>'Water Reading'!H21-'Water Reading'!H20</f>
        <v>42</v>
      </c>
      <c r="F21" s="89">
        <f t="shared" si="3"/>
        <v>0.11506849315068493</v>
      </c>
      <c r="G21" s="93">
        <f>('Water Reading'!D21-'Water Reading'!D20)-('Water Reading'!R21-'Water Reading'!R20)-('Water Reading'!Q21-'Water Reading'!Q20)</f>
        <v>144</v>
      </c>
      <c r="H21" s="89">
        <f t="shared" si="4"/>
        <v>0.39452054794520547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20</v>
      </c>
      <c r="L21" s="68">
        <f t="shared" si="6"/>
        <v>5.4794520547945202E-2</v>
      </c>
      <c r="M21" s="90">
        <f>'Water Reading'!R21-'Water Reading'!R20</f>
        <v>10</v>
      </c>
      <c r="N21" s="92">
        <f t="shared" si="7"/>
        <v>2.7397260273972601E-2</v>
      </c>
      <c r="O21" s="90">
        <f>'Water Reading'!Q21-'Water Reading'!Q20</f>
        <v>1</v>
      </c>
      <c r="P21" s="99">
        <f t="shared" si="8"/>
        <v>2.7397260273972603E-3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56</v>
      </c>
      <c r="T21" s="100">
        <f t="shared" si="10"/>
        <v>0.15342465753424658</v>
      </c>
      <c r="U21" s="90">
        <f>'Water Reading'!G21-'Water Reading'!G20</f>
        <v>20</v>
      </c>
      <c r="V21" s="100">
        <f t="shared" si="11"/>
        <v>5.4794520547945202E-2</v>
      </c>
      <c r="W21" s="90">
        <f>'Water Reading'!J21-'Water Reading'!J20</f>
        <v>13</v>
      </c>
      <c r="X21" s="100">
        <f t="shared" si="12"/>
        <v>3.5616438356164383E-2</v>
      </c>
      <c r="Y21" s="66">
        <f t="shared" si="0"/>
        <v>306</v>
      </c>
      <c r="Z21" s="67">
        <f t="shared" si="1"/>
        <v>1.3909090909090909</v>
      </c>
    </row>
    <row r="22" spans="1:26" x14ac:dyDescent="0.25">
      <c r="A22" s="8">
        <f>'Water Reading'!A21</f>
        <v>44274</v>
      </c>
      <c r="B22" s="65">
        <f>TOTAL!I20</f>
        <v>0</v>
      </c>
      <c r="C22" s="66">
        <f>('Water Reading'!B22-'Water Reading'!B21)+('Water Reading'!C22-'Water Reading'!C21)</f>
        <v>-255096</v>
      </c>
      <c r="D22" s="67" t="e">
        <f t="shared" si="2"/>
        <v>#DIV/0!</v>
      </c>
      <c r="E22" s="87">
        <f>'Water Reading'!H22-'Water Reading'!H21</f>
        <v>-47528</v>
      </c>
      <c r="F22" s="89">
        <f t="shared" si="3"/>
        <v>0.18631417191959104</v>
      </c>
      <c r="G22" s="93">
        <f>('Water Reading'!D22-'Water Reading'!D21)-('Water Reading'!R22-'Water Reading'!R21)-('Water Reading'!Q22-'Water Reading'!Q21)</f>
        <v>-187916</v>
      </c>
      <c r="H22" s="89">
        <f t="shared" si="4"/>
        <v>0.7366481638285195</v>
      </c>
      <c r="I22" s="90">
        <f>'Water Reading'!P22-'Water Reading'!P21</f>
        <v>-26109</v>
      </c>
      <c r="J22" s="68">
        <f t="shared" si="5"/>
        <v>0.10234970364098221</v>
      </c>
      <c r="K22" s="90">
        <f>('Water Reading'!I22-'Water Reading'!I21)-('Water Reading'!P22-'Water Reading'!P21)</f>
        <v>-32635</v>
      </c>
      <c r="L22" s="68">
        <f t="shared" si="6"/>
        <v>0.12793222943519303</v>
      </c>
      <c r="M22" s="90">
        <f>'Water Reading'!R22-'Water Reading'!R21</f>
        <v>-5767</v>
      </c>
      <c r="N22" s="92">
        <f t="shared" si="7"/>
        <v>2.2607175337912001E-2</v>
      </c>
      <c r="O22" s="90">
        <f>'Water Reading'!Q22-'Water Reading'!Q21</f>
        <v>-215</v>
      </c>
      <c r="P22" s="99">
        <f t="shared" si="8"/>
        <v>8.4281995797660491E-4</v>
      </c>
      <c r="Q22" s="91">
        <f>'Water Reading'!F22-'Water Reading'!F21</f>
        <v>-66858</v>
      </c>
      <c r="R22" s="100">
        <f t="shared" si="9"/>
        <v>0.26208956628092955</v>
      </c>
      <c r="S22" s="94">
        <f>'Water Reading'!E22-'Water Reading'!E21</f>
        <v>-241630</v>
      </c>
      <c r="T22" s="100">
        <f t="shared" si="10"/>
        <v>0.94721202998086995</v>
      </c>
      <c r="U22" s="90">
        <f>'Water Reading'!G22-'Water Reading'!G21</f>
        <v>-109773</v>
      </c>
      <c r="V22" s="100">
        <f t="shared" si="11"/>
        <v>0.43032034998588764</v>
      </c>
      <c r="W22" s="90">
        <f>'Water Reading'!J22-'Water Reading'!J21</f>
        <v>-18870</v>
      </c>
      <c r="X22" s="100">
        <f t="shared" si="12"/>
        <v>7.3972151660551322E-2</v>
      </c>
      <c r="Y22" s="66">
        <f t="shared" si="0"/>
        <v>-737301</v>
      </c>
      <c r="Z22" s="67" t="e">
        <f t="shared" si="1"/>
        <v>#DIV/0!</v>
      </c>
    </row>
    <row r="23" spans="1:26" x14ac:dyDescent="0.25">
      <c r="A23" s="8">
        <f>'Water Reading'!A22</f>
        <v>44275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44276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44277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44278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44279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44280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44281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4763.6999999999971</v>
      </c>
      <c r="C35" s="75">
        <f>SUM(C4:C34)</f>
        <v>-248856</v>
      </c>
      <c r="D35" s="96">
        <f>C35/B35</f>
        <v>-52.240065495308301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-32171</v>
      </c>
      <c r="L35" s="95">
        <f>K35/C35</f>
        <v>0.12927556498537307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-731740</v>
      </c>
      <c r="Z35" s="95">
        <f t="shared" si="1"/>
        <v>-153.60748997627903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2021-03-19T04:23:44Z</dcterms:modified>
  <cp:category/>
  <cp:contentStatus/>
</cp:coreProperties>
</file>