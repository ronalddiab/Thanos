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BAA6A74A-3403-48EF-BA29-0206A310100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0654830B-AFB0-436F-BA56-78E14FA29F8A}">
      <text>
        <r>
          <rPr>
            <sz val="11"/>
            <color theme="1"/>
            <rFont val="Calibri"/>
            <family val="2"/>
            <scheme val="minor"/>
          </rPr>
          <t>Comment:
    Informed meter reading has issue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<sst xmlns="http://schemas.openxmlformats.org/spreadsheetml/2006/main" count="201" uniqueCount="128">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</sst>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-420700</c:v>
                </c:pt>
                <c:pt idx="1">
                  <c:v>-2380799.9999999995</c:v>
                </c:pt>
                <c:pt idx="2">
                  <c:v>-229580.00000000003</c:v>
                </c:pt>
                <c:pt idx="3">
                  <c:v>-891160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-52942</c:v>
                </c:pt>
                <c:pt idx="1">
                  <c:v>0.17797724101995194</c:v>
                </c:pt>
                <c:pt idx="2" formatCode="_(* #,##0.00_);_(* \(#,##0.00\);_(* &quot;-&quot;??_);_(@_)">
                  <c:v>-202425.5</c:v>
                </c:pt>
                <c:pt idx="3">
                  <c:v>0.68050190778747077</c:v>
                </c:pt>
                <c:pt idx="4" formatCode="0.00">
                  <c:v>-27014</c:v>
                </c:pt>
                <c:pt idx="5">
                  <c:v>9.0814045349873099E-2</c:v>
                </c:pt>
                <c:pt idx="6" formatCode="0.00">
                  <c:v>-36614</c:v>
                </c:pt>
                <c:pt idx="7">
                  <c:v>0.12308674970164557</c:v>
                </c:pt>
                <c:pt idx="8" formatCode="0.00">
                  <c:v>-6229</c:v>
                </c:pt>
                <c:pt idx="9">
                  <c:v>2.0940278688249037E-2</c:v>
                </c:pt>
                <c:pt idx="10" formatCode="0.00">
                  <c:v>-641.5</c:v>
                </c:pt>
                <c:pt idx="11">
                  <c:v>2.1565562335064629E-3</c:v>
                </c:pt>
                <c:pt idx="12" formatCode="0.00">
                  <c:v>-66928</c:v>
                </c:pt>
                <c:pt idx="13">
                  <c:v>0.22499453717244045</c:v>
                </c:pt>
                <c:pt idx="14" formatCode="_(* #,##0.00_);_(* \(#,##0.00\);_(* &quot;-&quot;??_);_(@_)">
                  <c:v>-247852</c:v>
                </c:pt>
                <c:pt idx="15">
                  <c:v>0.83321399156203246</c:v>
                </c:pt>
                <c:pt idx="16" formatCode="0.00">
                  <c:v>-111641</c:v>
                </c:pt>
                <c:pt idx="17">
                  <c:v>0.3753080194308574</c:v>
                </c:pt>
                <c:pt idx="18" formatCode="0.00">
                  <c:v>-20282</c:v>
                </c:pt>
                <c:pt idx="19">
                  <c:v>6.8182811423192644E-2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17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/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/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/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/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>
        <v>22669.999999998934</v>
      </c>
      <c r="F6" s="48">
        <v>0.14000000000000001</v>
      </c>
      <c r="G6" s="107">
        <v>6184</v>
      </c>
      <c r="H6" s="48">
        <v>0.45</v>
      </c>
      <c r="I6" s="65">
        <v>245</v>
      </c>
      <c r="J6" s="76">
        <v>0.4</v>
      </c>
      <c r="K6" s="108"/>
      <c r="L6" s="76"/>
      <c r="M6" s="72">
        <v>15</v>
      </c>
      <c r="N6" s="72">
        <v>43</v>
      </c>
      <c r="O6" s="72">
        <v>117</v>
      </c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>
        <v>22710.000000002081</v>
      </c>
      <c r="F7" s="48">
        <v>0.14000000000000001</v>
      </c>
      <c r="G7" s="107">
        <v>6070</v>
      </c>
      <c r="H7" s="48">
        <v>0.45</v>
      </c>
      <c r="I7" s="65">
        <v>240</v>
      </c>
      <c r="J7" s="76">
        <v>0.4</v>
      </c>
      <c r="K7" s="108"/>
      <c r="L7" s="76"/>
      <c r="M7" s="72">
        <v>10</v>
      </c>
      <c r="N7" s="72">
        <v>31</v>
      </c>
      <c r="O7" s="72">
        <v>97</v>
      </c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>
        <v>23189.99999999869</v>
      </c>
      <c r="F8" s="48">
        <v>0.14000000000000001</v>
      </c>
      <c r="G8" s="107">
        <v>6272</v>
      </c>
      <c r="H8" s="48">
        <v>0.45</v>
      </c>
      <c r="I8" s="65">
        <v>226</v>
      </c>
      <c r="J8" s="76">
        <v>0.4</v>
      </c>
      <c r="K8" s="108"/>
      <c r="L8" s="76"/>
      <c r="M8" s="72">
        <v>10</v>
      </c>
      <c r="N8" s="72">
        <v>35</v>
      </c>
      <c r="O8" s="72">
        <v>93</v>
      </c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>
        <v>22890.000000000327</v>
      </c>
      <c r="F9" s="48">
        <v>0.14000000000000001</v>
      </c>
      <c r="G9" s="107">
        <v>6236</v>
      </c>
      <c r="H9" s="48">
        <v>0.45</v>
      </c>
      <c r="I9" s="65">
        <v>235</v>
      </c>
      <c r="J9" s="76">
        <v>0.4</v>
      </c>
      <c r="K9" s="108"/>
      <c r="L9" s="76"/>
      <c r="M9" s="72">
        <v>13</v>
      </c>
      <c r="N9" s="72">
        <v>36</v>
      </c>
      <c r="O9" s="72">
        <v>117</v>
      </c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>
        <v>19059.99999999904</v>
      </c>
      <c r="F10" s="48">
        <v>0.14000000000000001</v>
      </c>
      <c r="G10" s="107">
        <v>5185</v>
      </c>
      <c r="H10" s="48">
        <v>0.45</v>
      </c>
      <c r="I10" s="65">
        <v>325</v>
      </c>
      <c r="J10" s="76">
        <v>0.4</v>
      </c>
      <c r="K10" s="108"/>
      <c r="L10" s="76"/>
      <c r="M10" s="72">
        <v>12</v>
      </c>
      <c r="N10" s="72">
        <v>32</v>
      </c>
      <c r="O10" s="72">
        <v>83</v>
      </c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>
        <v>21280.000000001113</v>
      </c>
      <c r="F11" s="48">
        <v>0.14000000000000001</v>
      </c>
      <c r="G11" s="107">
        <v>5833</v>
      </c>
      <c r="H11" s="48">
        <v>0.45</v>
      </c>
      <c r="I11" s="65">
        <v>239</v>
      </c>
      <c r="J11" s="76">
        <v>0.4</v>
      </c>
      <c r="K11" s="108"/>
      <c r="L11" s="76"/>
      <c r="M11" s="72">
        <v>11</v>
      </c>
      <c r="N11" s="72">
        <v>27</v>
      </c>
      <c r="O11" s="72">
        <v>87</v>
      </c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>
        <v>23830.000000000378</v>
      </c>
      <c r="F12" s="48">
        <v>0.14000000000000001</v>
      </c>
      <c r="G12" s="107">
        <v>6356</v>
      </c>
      <c r="H12" s="48">
        <v>0.45</v>
      </c>
      <c r="I12" s="65">
        <v>376</v>
      </c>
      <c r="J12" s="76">
        <v>0.4</v>
      </c>
      <c r="K12" s="108"/>
      <c r="L12" s="76"/>
      <c r="M12" s="72">
        <v>9</v>
      </c>
      <c r="N12" s="72">
        <v>23</v>
      </c>
      <c r="O12" s="72">
        <v>54</v>
      </c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>
        <v>22739.999999998417</v>
      </c>
      <c r="F13" s="48">
        <v>0.14000000000000001</v>
      </c>
      <c r="G13" s="107">
        <v>6141</v>
      </c>
      <c r="H13" s="48">
        <v>0.45</v>
      </c>
      <c r="I13" s="65">
        <v>387</v>
      </c>
      <c r="J13" s="76">
        <v>0.4</v>
      </c>
      <c r="K13" s="108"/>
      <c r="L13" s="76"/>
      <c r="M13" s="72">
        <v>14</v>
      </c>
      <c r="N13" s="72">
        <v>31</v>
      </c>
      <c r="O13" s="72">
        <v>83</v>
      </c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>
        <v>22780.000000002023</v>
      </c>
      <c r="F14" s="48">
        <v>0.14000000000000001</v>
      </c>
      <c r="G14" s="107">
        <v>6142</v>
      </c>
      <c r="H14" s="48">
        <v>0.45</v>
      </c>
      <c r="I14" s="65">
        <v>253</v>
      </c>
      <c r="J14" s="76">
        <v>0.4</v>
      </c>
      <c r="K14" s="108"/>
      <c r="L14" s="76"/>
      <c r="M14" s="72">
        <v>16</v>
      </c>
      <c r="N14" s="72">
        <v>40</v>
      </c>
      <c r="O14" s="72">
        <v>97</v>
      </c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>
        <v>22879.9999999992</v>
      </c>
      <c r="F15" s="48">
        <v>0.14000000000000001</v>
      </c>
      <c r="G15" s="107">
        <v>6162</v>
      </c>
      <c r="H15" s="48">
        <v>0.45</v>
      </c>
      <c r="I15" s="65">
        <v>263</v>
      </c>
      <c r="J15" s="76">
        <v>0.4</v>
      </c>
      <c r="K15" s="108"/>
      <c r="L15" s="76"/>
      <c r="M15" s="72">
        <v>57</v>
      </c>
      <c r="N15" s="72">
        <v>115</v>
      </c>
      <c r="O15" s="72">
        <v>249</v>
      </c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>
        <v>23499.999999999091</v>
      </c>
      <c r="F16" s="48">
        <v>0.14000000000000001</v>
      </c>
      <c r="G16" s="107">
        <v>6437</v>
      </c>
      <c r="H16" s="48">
        <v>0.45</v>
      </c>
      <c r="I16" s="65">
        <v>289</v>
      </c>
      <c r="J16" s="76">
        <v>0.4</v>
      </c>
      <c r="K16" s="108"/>
      <c r="L16" s="76"/>
      <c r="M16" s="72">
        <v>57</v>
      </c>
      <c r="N16" s="72">
        <v>116</v>
      </c>
      <c r="O16" s="72">
        <v>243</v>
      </c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>
        <v>21690.000000000284</v>
      </c>
      <c r="F17" s="48">
        <v>0.14000000000000001</v>
      </c>
      <c r="G17" s="107">
        <v>6365</v>
      </c>
      <c r="H17" s="48">
        <v>0.45</v>
      </c>
      <c r="I17" s="65">
        <v>324</v>
      </c>
      <c r="J17" s="76">
        <v>0.4</v>
      </c>
      <c r="K17" s="108"/>
      <c r="L17" s="76"/>
      <c r="M17" s="72">
        <v>57</v>
      </c>
      <c r="N17" s="72">
        <v>112</v>
      </c>
      <c r="O17" s="72">
        <v>323</v>
      </c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/>
      <c r="F18" s="48">
        <v>0.14000000000000001</v>
      </c>
      <c r="G18" s="107"/>
      <c r="H18" s="48">
        <v>0.45</v>
      </c>
      <c r="I18" s="65"/>
      <c r="J18" s="76">
        <v>0.4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/>
      <c r="F19" s="48">
        <v>0.14000000000000001</v>
      </c>
      <c r="G19" s="107"/>
      <c r="H19" s="48">
        <v>0.45</v>
      </c>
      <c r="I19" s="65"/>
      <c r="J19" s="76">
        <v>0.4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/>
      <c r="F20" s="48">
        <v>0.14000000000000001</v>
      </c>
      <c r="G20" s="107"/>
      <c r="H20" s="48">
        <v>0.45</v>
      </c>
      <c r="I20" s="65"/>
      <c r="J20" s="76">
        <v>0.4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/>
      <c r="F21" s="48">
        <v>0.14000000000000001</v>
      </c>
      <c r="G21" s="107"/>
      <c r="H21" s="48">
        <v>0.45</v>
      </c>
      <c r="I21" s="65"/>
      <c r="J21" s="76">
        <v>0.4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/>
      <c r="F22" s="48">
        <v>0.14000000000000001</v>
      </c>
      <c r="G22" s="107"/>
      <c r="H22" s="48">
        <v>0.45</v>
      </c>
      <c r="I22" s="65"/>
      <c r="J22" s="76">
        <v>0.4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/>
      <c r="F23" s="48">
        <v>0.14000000000000001</v>
      </c>
      <c r="G23" s="107"/>
      <c r="H23" s="48">
        <v>0.45</v>
      </c>
      <c r="I23" s="65"/>
      <c r="J23" s="76">
        <v>0.4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/>
      <c r="F24" s="48">
        <v>0.14000000000000001</v>
      </c>
      <c r="G24" s="107"/>
      <c r="H24" s="48">
        <v>0.45</v>
      </c>
      <c r="I24" s="65"/>
      <c r="J24" s="76">
        <v>0.4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/>
      <c r="F25" s="48">
        <v>0.14000000000000001</v>
      </c>
      <c r="G25" s="107"/>
      <c r="H25" s="48">
        <v>0.45</v>
      </c>
      <c r="I25" s="65"/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361209.99999999977</v>
      </c>
      <c r="F33" s="104">
        <v>0</v>
      </c>
      <c r="G33" s="101">
        <f>SUM(G2:G32)</f>
        <v>98282</v>
      </c>
      <c r="H33" s="102">
        <v>0</v>
      </c>
      <c r="I33" s="103">
        <f>SUM(I2:I32)</f>
        <v>4364</v>
      </c>
      <c r="J33" s="104">
        <v>0</v>
      </c>
      <c r="K33" s="105">
        <v>0</v>
      </c>
      <c r="L33" s="102">
        <v>0</v>
      </c>
      <c r="M33" s="106">
        <f t="shared" ref="M33:O33" si="1">SUM(M2:M32)</f>
        <v>333</v>
      </c>
      <c r="N33" s="106">
        <f t="shared" si="1"/>
        <v>779</v>
      </c>
      <c r="O33" s="106">
        <f t="shared" si="1"/>
        <v>1989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1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>
        <v>15</v>
      </c>
      <c r="W8" s="71">
        <v>43</v>
      </c>
      <c r="X8" s="71">
        <v>117</v>
      </c>
      <c r="Y8" s="17"/>
    </row>
    <row r="9" spans="1:25" ht="21" customHeight="1" x14ac:dyDescent="0.25">
      <c r="A9" s="8">
        <v>44383</v>
      </c>
      <c r="B9" s="111">
        <v>987.81</v>
      </c>
      <c r="C9" s="15">
        <v>230.67</v>
      </c>
      <c r="D9" s="111">
        <v>7493053.2699999996</v>
      </c>
      <c r="E9" s="111">
        <v>8201080.5499999998</v>
      </c>
      <c r="F9" s="15">
        <v>2.3925999999999998</v>
      </c>
      <c r="G9" s="111">
        <v>750.01</v>
      </c>
      <c r="H9" s="111">
        <v>624.63</v>
      </c>
      <c r="I9" s="111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71">
        <v>10</v>
      </c>
      <c r="W9" s="71">
        <v>31</v>
      </c>
      <c r="X9" s="71">
        <v>97</v>
      </c>
      <c r="Y9" s="17"/>
    </row>
    <row r="10" spans="1:25" ht="21" customHeight="1" x14ac:dyDescent="0.25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71">
        <v>10</v>
      </c>
      <c r="W10" s="71">
        <v>35</v>
      </c>
      <c r="X10" s="71">
        <v>93</v>
      </c>
      <c r="Y10" s="17"/>
    </row>
    <row r="11" spans="1:25" ht="21" customHeight="1" x14ac:dyDescent="0.25">
      <c r="A11" s="8">
        <v>44385</v>
      </c>
      <c r="B11" s="1">
        <v>990.52</v>
      </c>
      <c r="C11" s="1">
        <v>231.14</v>
      </c>
      <c r="D11" s="1">
        <v>7497622.3600000003</v>
      </c>
      <c r="E11" s="1">
        <v>8208026.9699999997</v>
      </c>
      <c r="F11" s="1">
        <v>2.3973</v>
      </c>
      <c r="G11" s="1">
        <v>751.68</v>
      </c>
      <c r="H11" s="1">
        <v>625.54</v>
      </c>
      <c r="I11" s="1">
        <v>238.37</v>
      </c>
      <c r="J11" s="1">
        <v>317.81</v>
      </c>
      <c r="K11" s="1">
        <v>342.54</v>
      </c>
      <c r="L11" s="1">
        <v>235.19</v>
      </c>
      <c r="M11" s="1">
        <v>524.04999999999995</v>
      </c>
      <c r="N11" s="1">
        <v>477.96</v>
      </c>
      <c r="O11" s="1">
        <v>152.86000000000001</v>
      </c>
      <c r="P11" s="1">
        <v>626.41</v>
      </c>
      <c r="Q11" s="1">
        <v>466.22</v>
      </c>
      <c r="R11" s="1">
        <v>159.94</v>
      </c>
      <c r="S11" s="1">
        <v>115.99</v>
      </c>
      <c r="T11" s="1">
        <v>423.79</v>
      </c>
      <c r="V11" s="71">
        <v>13</v>
      </c>
      <c r="W11" s="71">
        <v>36</v>
      </c>
      <c r="X11" s="71">
        <v>117</v>
      </c>
      <c r="Y11" s="17"/>
    </row>
    <row r="12" spans="1:25" ht="21" customHeight="1" x14ac:dyDescent="0.25">
      <c r="A12" s="8">
        <v>44386</v>
      </c>
      <c r="B12" s="1">
        <v>991.81</v>
      </c>
      <c r="C12" s="1">
        <v>231.27</v>
      </c>
      <c r="D12" s="1">
        <v>7500214.96</v>
      </c>
      <c r="E12" s="1">
        <v>8211331</v>
      </c>
      <c r="F12" s="1">
        <v>2.3996</v>
      </c>
      <c r="G12" s="1">
        <v>752.51</v>
      </c>
      <c r="H12" s="1">
        <v>626</v>
      </c>
      <c r="I12" s="1">
        <v>238.73</v>
      </c>
      <c r="J12" s="1">
        <v>318</v>
      </c>
      <c r="K12" s="1">
        <v>342.77</v>
      </c>
      <c r="L12" s="1">
        <v>235.38</v>
      </c>
      <c r="M12" s="1">
        <v>524.85</v>
      </c>
      <c r="N12" s="1">
        <v>478.76</v>
      </c>
      <c r="O12" s="1">
        <v>153.07</v>
      </c>
      <c r="P12" s="1">
        <v>627.51</v>
      </c>
      <c r="Q12" s="1">
        <v>466.8</v>
      </c>
      <c r="R12" s="1">
        <v>160.24</v>
      </c>
      <c r="S12" s="1">
        <v>116.11</v>
      </c>
      <c r="T12" s="1">
        <v>424.26</v>
      </c>
      <c r="V12" s="71">
        <v>12</v>
      </c>
      <c r="W12" s="71">
        <v>32</v>
      </c>
      <c r="X12" s="71">
        <v>83</v>
      </c>
      <c r="Y12" s="17"/>
    </row>
    <row r="13" spans="1:25" ht="21" customHeight="1" x14ac:dyDescent="0.25">
      <c r="A13" s="8">
        <v>44387</v>
      </c>
      <c r="B13" s="1">
        <v>992.95</v>
      </c>
      <c r="C13" s="1">
        <v>231.62</v>
      </c>
      <c r="D13" s="1">
        <v>7502353.7400000002</v>
      </c>
      <c r="E13" s="1">
        <v>8213764.3600000003</v>
      </c>
      <c r="F13" s="1">
        <v>2.4018999999999999</v>
      </c>
      <c r="G13" s="1">
        <v>753.13</v>
      </c>
      <c r="H13" s="1">
        <v>626.4</v>
      </c>
      <c r="I13" s="1">
        <v>239.02</v>
      </c>
      <c r="J13" s="1">
        <v>318.23</v>
      </c>
      <c r="K13" s="1">
        <v>343.01</v>
      </c>
      <c r="L13" s="1">
        <v>235.59</v>
      </c>
      <c r="M13" s="1">
        <v>525.47</v>
      </c>
      <c r="N13" s="1">
        <v>479.35</v>
      </c>
      <c r="O13" s="1">
        <v>153.29</v>
      </c>
      <c r="P13" s="1">
        <v>628.38</v>
      </c>
      <c r="Q13" s="1">
        <v>467.2</v>
      </c>
      <c r="R13" s="1">
        <v>160.53</v>
      </c>
      <c r="S13" s="1">
        <v>116.22</v>
      </c>
      <c r="T13" s="1">
        <v>424.53</v>
      </c>
      <c r="V13" s="71">
        <v>11</v>
      </c>
      <c r="W13" s="71">
        <v>27</v>
      </c>
      <c r="X13" s="71">
        <v>87</v>
      </c>
      <c r="Y13" s="17"/>
    </row>
    <row r="14" spans="1:25" ht="21" customHeight="1" x14ac:dyDescent="0.25">
      <c r="A14" s="8">
        <v>44388</v>
      </c>
      <c r="B14" s="1">
        <v>994.2</v>
      </c>
      <c r="C14" s="1">
        <v>231.84</v>
      </c>
      <c r="D14" s="1">
        <v>7504440.0499999998</v>
      </c>
      <c r="E14" s="1">
        <v>8216837.4900000002</v>
      </c>
      <c r="F14" s="1">
        <v>2.4041999999999999</v>
      </c>
      <c r="G14" s="1">
        <v>753.96</v>
      </c>
      <c r="H14" s="1">
        <v>626.84</v>
      </c>
      <c r="I14" s="1">
        <v>239.32</v>
      </c>
      <c r="J14" s="1">
        <v>318.43</v>
      </c>
      <c r="K14" s="1">
        <v>343.21</v>
      </c>
      <c r="L14" s="1">
        <v>235.8</v>
      </c>
      <c r="M14" s="1">
        <v>526.19000000000005</v>
      </c>
      <c r="N14" s="1">
        <v>480.03</v>
      </c>
      <c r="O14" s="1">
        <v>153.53</v>
      </c>
      <c r="P14" s="1">
        <v>629.30999999999995</v>
      </c>
      <c r="Q14" s="1">
        <v>467.8</v>
      </c>
      <c r="R14" s="1">
        <v>160.84</v>
      </c>
      <c r="S14" s="1">
        <v>116.34</v>
      </c>
      <c r="T14" s="1">
        <v>424.97</v>
      </c>
      <c r="V14" s="71">
        <v>9</v>
      </c>
      <c r="W14" s="71">
        <v>23</v>
      </c>
      <c r="X14" s="71">
        <v>54</v>
      </c>
      <c r="Y14" s="17"/>
    </row>
    <row r="15" spans="1:25" ht="21" customHeight="1" x14ac:dyDescent="0.25">
      <c r="A15" s="8">
        <v>44389</v>
      </c>
      <c r="B15" s="1">
        <v>995.58</v>
      </c>
      <c r="C15" s="1">
        <v>232.06</v>
      </c>
      <c r="D15" s="1">
        <v>7506979.3600000003</v>
      </c>
      <c r="E15" s="1">
        <v>8220073.29</v>
      </c>
      <c r="F15" s="1">
        <v>2.4066999999999998</v>
      </c>
      <c r="G15" s="1">
        <v>754.82</v>
      </c>
      <c r="H15" s="1">
        <v>627.33000000000004</v>
      </c>
      <c r="I15" s="1">
        <v>239.64</v>
      </c>
      <c r="J15" s="1">
        <v>318.64999999999998</v>
      </c>
      <c r="K15" s="1">
        <v>343.44</v>
      </c>
      <c r="L15" s="1">
        <v>235.99</v>
      </c>
      <c r="M15" s="1">
        <v>527.02</v>
      </c>
      <c r="N15" s="1">
        <v>480.81</v>
      </c>
      <c r="O15" s="1">
        <v>153.76</v>
      </c>
      <c r="P15" s="1">
        <v>630.39</v>
      </c>
      <c r="Q15" s="1">
        <v>468.54</v>
      </c>
      <c r="R15" s="1">
        <v>161.13999999999999</v>
      </c>
      <c r="S15" s="1">
        <v>116.46</v>
      </c>
      <c r="T15" s="1">
        <v>425.43</v>
      </c>
      <c r="V15" s="71">
        <v>14</v>
      </c>
      <c r="W15" s="71">
        <v>31</v>
      </c>
      <c r="X15" s="71">
        <v>83</v>
      </c>
      <c r="Y15" s="17"/>
    </row>
    <row r="16" spans="1:25" ht="21" customHeight="1" x14ac:dyDescent="0.25">
      <c r="A16" s="8">
        <v>44390</v>
      </c>
      <c r="B16" s="1">
        <v>996.99</v>
      </c>
      <c r="C16" s="1">
        <v>232.31</v>
      </c>
      <c r="D16" s="1">
        <v>7509414.8799999999</v>
      </c>
      <c r="E16" s="1">
        <v>8223229.8700000001</v>
      </c>
      <c r="F16" s="1">
        <v>2.4089</v>
      </c>
      <c r="G16" s="1">
        <v>755.69</v>
      </c>
      <c r="H16" s="1">
        <v>627.78</v>
      </c>
      <c r="I16" s="1">
        <v>239.69</v>
      </c>
      <c r="J16" s="1">
        <v>318.82</v>
      </c>
      <c r="K16" s="1">
        <v>343.67</v>
      </c>
      <c r="L16" s="1">
        <v>236.17</v>
      </c>
      <c r="M16" s="1">
        <v>527.89</v>
      </c>
      <c r="N16" s="1">
        <v>481.56</v>
      </c>
      <c r="O16" s="1">
        <v>154.03</v>
      </c>
      <c r="P16" s="1">
        <v>631.46</v>
      </c>
      <c r="Q16" s="1">
        <v>469.33</v>
      </c>
      <c r="R16" s="1">
        <v>161.44999999999999</v>
      </c>
      <c r="S16" s="1">
        <v>116.58</v>
      </c>
      <c r="T16" s="1">
        <v>425.92</v>
      </c>
      <c r="V16" s="71">
        <v>16</v>
      </c>
      <c r="W16" s="71">
        <v>40</v>
      </c>
      <c r="X16" s="71">
        <v>97</v>
      </c>
      <c r="Y16" s="17"/>
    </row>
    <row r="17" spans="1:25" ht="21" customHeight="1" x14ac:dyDescent="0.25">
      <c r="A17" s="8">
        <v>44391</v>
      </c>
      <c r="B17" s="1">
        <v>998.48</v>
      </c>
      <c r="C17" s="1">
        <v>232.56</v>
      </c>
      <c r="D17" s="1">
        <v>7511993.0199999996</v>
      </c>
      <c r="E17" s="1">
        <v>8226617.2999999998</v>
      </c>
      <c r="F17" s="1">
        <v>2.4112</v>
      </c>
      <c r="G17" s="1">
        <v>756.56</v>
      </c>
      <c r="H17" s="1">
        <v>628.25</v>
      </c>
      <c r="I17" s="1">
        <v>240.06</v>
      </c>
      <c r="J17" s="1">
        <v>318.98</v>
      </c>
      <c r="K17" s="1">
        <v>343.89</v>
      </c>
      <c r="L17" s="1">
        <v>236.36</v>
      </c>
      <c r="M17" s="1">
        <v>528.74</v>
      </c>
      <c r="N17" s="1">
        <v>482.31</v>
      </c>
      <c r="O17" s="1">
        <v>154.26</v>
      </c>
      <c r="P17" s="1">
        <v>632.53</v>
      </c>
      <c r="Q17" s="1">
        <v>470.16</v>
      </c>
      <c r="R17" s="1">
        <v>161.76</v>
      </c>
      <c r="S17" s="1">
        <v>116.7</v>
      </c>
      <c r="T17" s="1">
        <v>426.39</v>
      </c>
      <c r="V17" s="71">
        <v>57</v>
      </c>
      <c r="W17" s="71">
        <v>115</v>
      </c>
      <c r="X17" s="71">
        <v>249</v>
      </c>
      <c r="Y17" s="17"/>
    </row>
    <row r="18" spans="1:25" ht="21" customHeight="1" x14ac:dyDescent="0.25">
      <c r="A18" s="8">
        <v>44392</v>
      </c>
      <c r="B18" s="1">
        <v>999.86</v>
      </c>
      <c r="C18" s="1">
        <v>232.76</v>
      </c>
      <c r="D18" s="1">
        <v>7514405.6500000004</v>
      </c>
      <c r="E18" s="1">
        <v>8229770.5</v>
      </c>
      <c r="F18" s="1">
        <v>2.4137</v>
      </c>
      <c r="G18" s="1">
        <v>757.43</v>
      </c>
      <c r="H18" s="1">
        <v>628.64</v>
      </c>
      <c r="I18" s="1">
        <v>240.63</v>
      </c>
      <c r="J18" s="1">
        <v>319.13</v>
      </c>
      <c r="K18" s="1">
        <v>344.08</v>
      </c>
      <c r="L18" s="1">
        <v>236.53</v>
      </c>
      <c r="M18" s="1">
        <v>529.54999999999995</v>
      </c>
      <c r="N18" s="1">
        <v>482.82</v>
      </c>
      <c r="O18" s="1">
        <v>154.47</v>
      </c>
      <c r="P18" s="1">
        <v>633.58000000000004</v>
      </c>
      <c r="Q18" s="1">
        <v>470.93</v>
      </c>
      <c r="R18" s="1">
        <v>162.05000000000001</v>
      </c>
      <c r="S18" s="1">
        <v>116.81</v>
      </c>
      <c r="T18" s="1">
        <v>426.86</v>
      </c>
      <c r="V18" s="71">
        <v>57</v>
      </c>
      <c r="W18" s="71">
        <v>116</v>
      </c>
      <c r="X18" s="71">
        <v>243</v>
      </c>
      <c r="Y18" s="17"/>
    </row>
    <row r="19" spans="1:25" ht="21" customHeight="1" x14ac:dyDescent="0.25">
      <c r="A19" s="8">
        <v>44393</v>
      </c>
      <c r="B19" s="1">
        <v>1000.12</v>
      </c>
      <c r="C19" s="1">
        <v>233.03</v>
      </c>
      <c r="D19" s="1">
        <v>7516877.0199999996</v>
      </c>
      <c r="E19" s="1">
        <v>8232896.0999999996</v>
      </c>
      <c r="F19" s="1">
        <v>2.4163000000000001</v>
      </c>
      <c r="G19" s="1">
        <v>758.38</v>
      </c>
      <c r="H19" s="1">
        <v>629.07000000000005</v>
      </c>
      <c r="I19" s="1">
        <v>241.01</v>
      </c>
      <c r="J19" s="1">
        <v>319.37</v>
      </c>
      <c r="K19" s="1">
        <v>344.38</v>
      </c>
      <c r="L19" s="1">
        <v>236.73</v>
      </c>
      <c r="M19" s="1">
        <v>530.34</v>
      </c>
      <c r="N19" s="1">
        <v>483.77</v>
      </c>
      <c r="O19" s="1">
        <v>154.69</v>
      </c>
      <c r="P19" s="1">
        <v>634.63</v>
      </c>
      <c r="Q19" s="1">
        <v>471.69</v>
      </c>
      <c r="R19" s="1">
        <v>162.30000000000001</v>
      </c>
      <c r="S19" s="1">
        <v>116.94</v>
      </c>
      <c r="T19" s="1">
        <v>427.34</v>
      </c>
      <c r="V19" s="71">
        <v>57</v>
      </c>
      <c r="W19" s="71">
        <v>112</v>
      </c>
      <c r="X19" s="71">
        <v>323</v>
      </c>
      <c r="Y19" s="17"/>
    </row>
    <row r="20" spans="1:25" ht="21" customHeight="1" x14ac:dyDescent="0.25">
      <c r="A20" s="8">
        <v>44394</v>
      </c>
      <c r="B20" s="1">
        <v>1002.7</v>
      </c>
      <c r="C20" s="1">
        <v>233.29</v>
      </c>
      <c r="D20" s="1">
        <v>7519627.3600000003</v>
      </c>
      <c r="E20" s="1">
        <v>8236080.9400000004</v>
      </c>
      <c r="F20" s="1">
        <v>2.4188000000000001</v>
      </c>
      <c r="G20" s="1">
        <v>759.32</v>
      </c>
      <c r="H20" s="1">
        <v>629.52</v>
      </c>
      <c r="I20" s="1">
        <v>241.37</v>
      </c>
      <c r="J20" s="1">
        <v>319.64</v>
      </c>
      <c r="K20" s="1">
        <v>344.69</v>
      </c>
      <c r="L20" s="1">
        <v>236.92</v>
      </c>
      <c r="M20" s="1">
        <v>531.11</v>
      </c>
      <c r="N20" s="1">
        <v>484.55</v>
      </c>
      <c r="O20" s="1">
        <v>154.9</v>
      </c>
      <c r="P20" s="1">
        <v>635.69000000000005</v>
      </c>
      <c r="Q20" s="1">
        <v>472.38</v>
      </c>
      <c r="R20" s="1">
        <v>162.66</v>
      </c>
      <c r="S20" s="1">
        <v>117.07</v>
      </c>
      <c r="T20" s="1">
        <v>427.84</v>
      </c>
      <c r="V20" s="71"/>
      <c r="W20" s="71"/>
      <c r="X20" s="71"/>
      <c r="Y20" s="17"/>
    </row>
    <row r="21" spans="1:25" ht="21" customHeight="1" x14ac:dyDescent="0.25">
      <c r="A21" s="8">
        <v>44395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44396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44397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44398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44399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44400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44401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44402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44403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44404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44405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44407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333</v>
      </c>
      <c r="W35" s="78">
        <f>SUM(W4:W34)</f>
        <v>779</v>
      </c>
      <c r="X35" s="78">
        <f>SUM(X4:X34)</f>
        <v>1989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7" sqref="A17:XFD17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7">
        <f>('Kwh Reading'!O9-'Kwh Reading'!O8)*1000</f>
        <v>210.00000000000796</v>
      </c>
      <c r="V8" s="16">
        <f t="shared" si="0"/>
        <v>6020.1299999993025</v>
      </c>
    </row>
    <row r="9" spans="1:22" x14ac:dyDescent="0.25">
      <c r="A9" s="3">
        <f>'Kwh Reading'!A9</f>
        <v>44383</v>
      </c>
      <c r="B9" s="26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7">
        <f>('Kwh Reading'!O10-'Kwh Reading'!O9)*1000</f>
        <v>189.99999999999773</v>
      </c>
      <c r="V9" s="16">
        <f t="shared" si="0"/>
        <v>6599.7800000010538</v>
      </c>
    </row>
    <row r="10" spans="1:22" x14ac:dyDescent="0.25">
      <c r="A10" s="3">
        <f>'Kwh Reading'!A10</f>
        <v>44384</v>
      </c>
      <c r="B10" s="26">
        <f>TOTAL!E8</f>
        <v>23189.99999999869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219.99999999999886</v>
      </c>
      <c r="F10" s="2">
        <f>('Kwh Reading'!J11-'Kwh Reading'!J10)*1000</f>
        <v>220.00000000002728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329.99999999998408</v>
      </c>
      <c r="J10" s="2">
        <f>('Kwh Reading'!S11-'Kwh Reading'!S10)*1000</f>
        <v>119.99999999999034</v>
      </c>
      <c r="K10" s="2">
        <f>('Kwh Reading'!I11-'Kwh Reading'!I10)*1000</f>
        <v>360.00000000001364</v>
      </c>
      <c r="L10" s="2">
        <f>('Kwh Reading'!B11-'Kwh Reading'!B10)*1000</f>
        <v>1360.0000000000136</v>
      </c>
      <c r="M10" s="2">
        <f>('Kwh Reading'!M11-'Kwh Reading'!M10)*1000</f>
        <v>809.99999999994543</v>
      </c>
      <c r="N10" s="2">
        <f>('Kwh Reading'!H11-'Kwh Reading'!H10)*1000</f>
        <v>449.99999999993179</v>
      </c>
      <c r="O10" s="2">
        <f>('Kwh Reading'!P11-'Kwh Reading'!P10)*1000</f>
        <v>1069.9999999999363</v>
      </c>
      <c r="P10" s="2">
        <f>('Kwh Reading'!G11-'Kwh Reading'!G10)*1000</f>
        <v>799.99999999995453</v>
      </c>
      <c r="Q10" s="2">
        <f>('Kwh Reading'!Q11-'Kwh Reading'!Q10)*1000</f>
        <v>630.0000000000523</v>
      </c>
      <c r="R10" s="2">
        <f>('Kwh Reading'!N11-'Kwh Reading'!N10)*1000</f>
        <v>839.99999999997499</v>
      </c>
      <c r="S10" s="34">
        <f>'Kwh Reading'!E11-'Kwh Reading'!E10</f>
        <v>3577.3899999996647</v>
      </c>
      <c r="T10" s="34">
        <f>'Kwh Reading'!D11-'Kwh Reading'!D10</f>
        <v>2377.9000000003725</v>
      </c>
      <c r="U10" s="27">
        <f>('Kwh Reading'!O11-'Kwh Reading'!O10)*1000</f>
        <v>200.00000000001705</v>
      </c>
      <c r="V10" s="16">
        <f t="shared" ref="V10:V34" si="1">B10-(SUM(C10:U10))</f>
        <v>6624.7099999988095</v>
      </c>
    </row>
    <row r="11" spans="1:22" x14ac:dyDescent="0.25">
      <c r="A11" s="3">
        <f>'Kwh Reading'!A11</f>
        <v>44385</v>
      </c>
      <c r="B11" s="26">
        <f>TOTAL!E9</f>
        <v>22890.000000000327</v>
      </c>
      <c r="C11" s="4">
        <f>('Kwh Reading'!T12-'Kwh Reading'!T11)*1000</f>
        <v>469.99999999997044</v>
      </c>
      <c r="D11" s="2">
        <f>('Kwh Reading'!F12-'Kwh Reading'!F11)*1000000</f>
        <v>2299.9999999999686</v>
      </c>
      <c r="E11" s="2">
        <f>('Kwh Reading'!C12-'Kwh Reading'!C11)*1000</f>
        <v>130.00000000002387</v>
      </c>
      <c r="F11" s="2">
        <f>('Kwh Reading'!J12-'Kwh Reading'!J11)*1000</f>
        <v>189.99999999999773</v>
      </c>
      <c r="G11" s="2">
        <f>('Kwh Reading'!K12-'Kwh Reading'!K11)*1000</f>
        <v>229.99999999996135</v>
      </c>
      <c r="H11" s="2">
        <f>('Kwh Reading'!L12-'Kwh Reading'!L11)*1000</f>
        <v>189.99999999999773</v>
      </c>
      <c r="I11" s="2">
        <f>('Kwh Reading'!R12-'Kwh Reading'!R11)*1000</f>
        <v>300.00000000001137</v>
      </c>
      <c r="J11" s="2">
        <f>('Kwh Reading'!S12-'Kwh Reading'!S11)*1000</f>
        <v>120.00000000000455</v>
      </c>
      <c r="K11" s="2">
        <f>('Kwh Reading'!I12-'Kwh Reading'!I11)*1000</f>
        <v>359.99999999998522</v>
      </c>
      <c r="L11" s="2">
        <f>('Kwh Reading'!B12-'Kwh Reading'!B11)*1000</f>
        <v>1289.9999999999636</v>
      </c>
      <c r="M11" s="2">
        <f>('Kwh Reading'!M12-'Kwh Reading'!M11)*1000</f>
        <v>800.00000000006821</v>
      </c>
      <c r="N11" s="2">
        <f>('Kwh Reading'!H12-'Kwh Reading'!H11)*1000</f>
        <v>460.00000000003638</v>
      </c>
      <c r="O11" s="2">
        <f>('Kwh Reading'!P12-'Kwh Reading'!P11)*1000</f>
        <v>1100.0000000000227</v>
      </c>
      <c r="P11" s="2">
        <f>('Kwh Reading'!G12-'Kwh Reading'!G11)*1000</f>
        <v>830.00000000004093</v>
      </c>
      <c r="Q11" s="2">
        <f>('Kwh Reading'!Q12-'Kwh Reading'!Q11)*1000</f>
        <v>579.99999999998408</v>
      </c>
      <c r="R11" s="2">
        <f>('Kwh Reading'!N12-'Kwh Reading'!N11)*1000</f>
        <v>800.00000000001137</v>
      </c>
      <c r="S11" s="34">
        <f>'Kwh Reading'!E12-'Kwh Reading'!E11</f>
        <v>3304.0300000002608</v>
      </c>
      <c r="T11" s="34">
        <f>'Kwh Reading'!D12-'Kwh Reading'!D11</f>
        <v>2592.5999999996275</v>
      </c>
      <c r="U11" s="27">
        <f>('Kwh Reading'!O12-'Kwh Reading'!O11)*1000</f>
        <v>209.99999999997954</v>
      </c>
      <c r="V11" s="16">
        <f t="shared" si="1"/>
        <v>6633.3700000004119</v>
      </c>
    </row>
    <row r="12" spans="1:22" x14ac:dyDescent="0.25">
      <c r="A12" s="3">
        <f>'Kwh Reading'!A12</f>
        <v>44386</v>
      </c>
      <c r="B12" s="26">
        <f>TOTAL!E10</f>
        <v>19059.99999999904</v>
      </c>
      <c r="C12" s="4">
        <f>('Kwh Reading'!T13-'Kwh Reading'!T12)*1000</f>
        <v>269.99999999998181</v>
      </c>
      <c r="D12" s="2">
        <f>('Kwh Reading'!F13-'Kwh Reading'!F12)*1000000</f>
        <v>2299.9999999999686</v>
      </c>
      <c r="E12" s="2">
        <f>('Kwh Reading'!C13-'Kwh Reading'!C12)*1000</f>
        <v>349.99999999999432</v>
      </c>
      <c r="F12" s="2">
        <f>('Kwh Reading'!J13-'Kwh Reading'!J12)*1000</f>
        <v>230.00000000001819</v>
      </c>
      <c r="G12" s="2">
        <f>('Kwh Reading'!K13-'Kwh Reading'!K12)*1000</f>
        <v>240.00000000000909</v>
      </c>
      <c r="H12" s="2">
        <f>('Kwh Reading'!L13-'Kwh Reading'!L12)*1000</f>
        <v>210.00000000000796</v>
      </c>
      <c r="I12" s="2">
        <f>('Kwh Reading'!R13-'Kwh Reading'!R12)*1000</f>
        <v>289.99999999999204</v>
      </c>
      <c r="J12" s="2">
        <f>('Kwh Reading'!S13-'Kwh Reading'!S12)*1000</f>
        <v>109.99999999999943</v>
      </c>
      <c r="K12" s="2">
        <f>('Kwh Reading'!I13-'Kwh Reading'!I12)*1000</f>
        <v>290.00000000002046</v>
      </c>
      <c r="L12" s="2">
        <f>('Kwh Reading'!B13-'Kwh Reading'!B12)*1000</f>
        <v>1140.0000000001</v>
      </c>
      <c r="M12" s="2">
        <f>('Kwh Reading'!M13-'Kwh Reading'!M12)*1000</f>
        <v>620.00000000000455</v>
      </c>
      <c r="N12" s="2">
        <f>('Kwh Reading'!H13-'Kwh Reading'!H12)*1000</f>
        <v>399.99999999997726</v>
      </c>
      <c r="O12" s="2">
        <f>('Kwh Reading'!P13-'Kwh Reading'!P12)*1000</f>
        <v>870.00000000000455</v>
      </c>
      <c r="P12" s="2">
        <f>('Kwh Reading'!G13-'Kwh Reading'!G12)*1000</f>
        <v>620.00000000000455</v>
      </c>
      <c r="Q12" s="2">
        <f>('Kwh Reading'!Q13-'Kwh Reading'!Q12)*1000</f>
        <v>399.99999999997726</v>
      </c>
      <c r="R12" s="2">
        <f>('Kwh Reading'!N13-'Kwh Reading'!N12)*1000</f>
        <v>590.00000000003183</v>
      </c>
      <c r="S12" s="34">
        <f>'Kwh Reading'!E13-'Kwh Reading'!E12</f>
        <v>2433.3600000003353</v>
      </c>
      <c r="T12" s="34">
        <f>'Kwh Reading'!D13-'Kwh Reading'!D12</f>
        <v>2138.7800000002608</v>
      </c>
      <c r="U12" s="27">
        <f>('Kwh Reading'!O13-'Kwh Reading'!O12)*1000</f>
        <v>219.99999999999886</v>
      </c>
      <c r="V12" s="16">
        <f t="shared" si="1"/>
        <v>5337.8599999983544</v>
      </c>
    </row>
    <row r="13" spans="1:22" x14ac:dyDescent="0.25">
      <c r="A13" s="3">
        <f>'Kwh Reading'!A13</f>
        <v>44387</v>
      </c>
      <c r="B13" s="26">
        <f>TOTAL!E11</f>
        <v>21280.000000001113</v>
      </c>
      <c r="C13" s="4">
        <f>('Kwh Reading'!T14-'Kwh Reading'!T13)*1000</f>
        <v>440.00000000005457</v>
      </c>
      <c r="D13" s="2">
        <f>('Kwh Reading'!F14-'Kwh Reading'!F13)*1000000</f>
        <v>2299.9999999999686</v>
      </c>
      <c r="E13" s="2">
        <f>('Kwh Reading'!C14-'Kwh Reading'!C13)*1000</f>
        <v>219.99999999999886</v>
      </c>
      <c r="F13" s="2">
        <f>('Kwh Reading'!J14-'Kwh Reading'!J13)*1000</f>
        <v>199.99999999998863</v>
      </c>
      <c r="G13" s="2">
        <f>('Kwh Reading'!K14-'Kwh Reading'!K13)*1000</f>
        <v>199.99999999998863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120.00000000000455</v>
      </c>
      <c r="K13" s="2">
        <f>('Kwh Reading'!I14-'Kwh Reading'!I13)*1000</f>
        <v>299.99999999998295</v>
      </c>
      <c r="L13" s="2">
        <f>('Kwh Reading'!B14-'Kwh Reading'!B13)*1000</f>
        <v>1250</v>
      </c>
      <c r="M13" s="2">
        <f>('Kwh Reading'!M14-'Kwh Reading'!M13)*1000</f>
        <v>720.00000000002728</v>
      </c>
      <c r="N13" s="2">
        <f>('Kwh Reading'!H14-'Kwh Reading'!H13)*1000</f>
        <v>440.00000000005457</v>
      </c>
      <c r="O13" s="2">
        <f>('Kwh Reading'!P14-'Kwh Reading'!P13)*1000</f>
        <v>929.99999999994998</v>
      </c>
      <c r="P13" s="2">
        <f>('Kwh Reading'!G14-'Kwh Reading'!G13)*1000</f>
        <v>830.00000000004093</v>
      </c>
      <c r="Q13" s="2">
        <f>('Kwh Reading'!Q14-'Kwh Reading'!Q13)*1000</f>
        <v>600.00000000002274</v>
      </c>
      <c r="R13" s="2">
        <f>('Kwh Reading'!N14-'Kwh Reading'!N13)*1000</f>
        <v>679.99999999994998</v>
      </c>
      <c r="S13" s="34">
        <f>'Kwh Reading'!E14-'Kwh Reading'!E13</f>
        <v>3073.1299999998882</v>
      </c>
      <c r="T13" s="34">
        <f>'Kwh Reading'!D14-'Kwh Reading'!D13</f>
        <v>2086.3099999995902</v>
      </c>
      <c r="U13" s="27">
        <f>('Kwh Reading'!O14-'Kwh Reading'!O13)*1000</f>
        <v>240.00000000000909</v>
      </c>
      <c r="V13" s="16">
        <f t="shared" si="1"/>
        <v>6130.5600000015856</v>
      </c>
    </row>
    <row r="14" spans="1:22" x14ac:dyDescent="0.25">
      <c r="A14" s="3">
        <f>'Kwh Reading'!A14</f>
        <v>44388</v>
      </c>
      <c r="B14" s="26">
        <f>TOTAL!E12</f>
        <v>23830.000000000378</v>
      </c>
      <c r="C14" s="4">
        <f>('Kwh Reading'!T15-'Kwh Reading'!T14)*1000</f>
        <v>459.99999999997954</v>
      </c>
      <c r="D14" s="2">
        <f>('Kwh Reading'!F15-'Kwh Reading'!F14)*1000000</f>
        <v>2499.9999999999468</v>
      </c>
      <c r="E14" s="2">
        <f>('Kwh Reading'!C15-'Kwh Reading'!C14)*1000</f>
        <v>219.99999999999886</v>
      </c>
      <c r="F14" s="2">
        <f>('Kwh Reading'!J15-'Kwh Reading'!J14)*1000</f>
        <v>219.99999999997044</v>
      </c>
      <c r="G14" s="2">
        <f>('Kwh Reading'!K15-'Kwh Reading'!K14)*1000</f>
        <v>230.00000000001819</v>
      </c>
      <c r="H14" s="2">
        <f>('Kwh Reading'!L15-'Kwh Reading'!L14)*1000</f>
        <v>189.99999999999773</v>
      </c>
      <c r="I14" s="2">
        <f>('Kwh Reading'!R15-'Kwh Reading'!R14)*1000</f>
        <v>299.99999999998295</v>
      </c>
      <c r="J14" s="2">
        <f>('Kwh Reading'!S15-'Kwh Reading'!S14)*1000</f>
        <v>119.99999999999034</v>
      </c>
      <c r="K14" s="2">
        <f>('Kwh Reading'!I15-'Kwh Reading'!I14)*1000</f>
        <v>319.99999999999318</v>
      </c>
      <c r="L14" s="2">
        <f>('Kwh Reading'!B15-'Kwh Reading'!B14)*1000</f>
        <v>1379.9999999999955</v>
      </c>
      <c r="M14" s="2">
        <f>('Kwh Reading'!M15-'Kwh Reading'!M14)*1000</f>
        <v>829.99999999992724</v>
      </c>
      <c r="N14" s="2">
        <f>('Kwh Reading'!H15-'Kwh Reading'!H14)*1000</f>
        <v>490.00000000000909</v>
      </c>
      <c r="O14" s="2">
        <f>('Kwh Reading'!P15-'Kwh Reading'!P14)*1000</f>
        <v>1080.0000000000409</v>
      </c>
      <c r="P14" s="2">
        <f>('Kwh Reading'!G15-'Kwh Reading'!G14)*1000</f>
        <v>860.00000000001364</v>
      </c>
      <c r="Q14" s="2">
        <f>('Kwh Reading'!Q15-'Kwh Reading'!Q14)*1000</f>
        <v>740.00000000000909</v>
      </c>
      <c r="R14" s="2">
        <f>('Kwh Reading'!N15-'Kwh Reading'!N14)*1000</f>
        <v>780.00000000002956</v>
      </c>
      <c r="S14" s="34">
        <f>'Kwh Reading'!E15-'Kwh Reading'!E14</f>
        <v>3235.7999999998137</v>
      </c>
      <c r="T14" s="34">
        <f>'Kwh Reading'!D15-'Kwh Reading'!D14</f>
        <v>2539.3100000005215</v>
      </c>
      <c r="U14" s="27">
        <f>('Kwh Reading'!O15-'Kwh Reading'!O14)*1000</f>
        <v>229.99999999998977</v>
      </c>
      <c r="V14" s="16">
        <f t="shared" si="1"/>
        <v>7104.8900000001486</v>
      </c>
    </row>
    <row r="15" spans="1:22" x14ac:dyDescent="0.25">
      <c r="A15" s="3">
        <f>'Kwh Reading'!A15</f>
        <v>44389</v>
      </c>
      <c r="B15" s="26">
        <f>TOTAL!E13</f>
        <v>22739.999999998417</v>
      </c>
      <c r="C15" s="4">
        <f>('Kwh Reading'!T16-'Kwh Reading'!T15)*1000</f>
        <v>490.00000000000909</v>
      </c>
      <c r="D15" s="2">
        <f>('Kwh Reading'!F16-'Kwh Reading'!F15)*1000000</f>
        <v>2200.0000000002019</v>
      </c>
      <c r="E15" s="2">
        <f>('Kwh Reading'!C16-'Kwh Reading'!C15)*1000</f>
        <v>250</v>
      </c>
      <c r="F15" s="2">
        <f>('Kwh Reading'!J16-'Kwh Reading'!J15)*1000</f>
        <v>170.00000000001592</v>
      </c>
      <c r="G15" s="2">
        <f>('Kwh Reading'!K16-'Kwh Reading'!K15)*1000</f>
        <v>230.00000000001819</v>
      </c>
      <c r="H15" s="2">
        <f>('Kwh Reading'!L16-'Kwh Reading'!L15)*1000</f>
        <v>179.9999999999784</v>
      </c>
      <c r="I15" s="2">
        <f>('Kwh Reading'!R16-'Kwh Reading'!R15)*1000</f>
        <v>310.00000000000227</v>
      </c>
      <c r="J15" s="2">
        <f>('Kwh Reading'!S16-'Kwh Reading'!S15)*1000</f>
        <v>120.00000000000455</v>
      </c>
      <c r="K15" s="2">
        <f>('Kwh Reading'!I16-'Kwh Reading'!I15)*1000</f>
        <v>50.000000000011369</v>
      </c>
      <c r="L15" s="2">
        <f>('Kwh Reading'!B16-'Kwh Reading'!B15)*1000</f>
        <v>1409.9999999999682</v>
      </c>
      <c r="M15" s="2">
        <f>('Kwh Reading'!M16-'Kwh Reading'!M15)*1000</f>
        <v>870.00000000000455</v>
      </c>
      <c r="N15" s="2">
        <f>('Kwh Reading'!H16-'Kwh Reading'!H15)*1000</f>
        <v>449.99999999993179</v>
      </c>
      <c r="O15" s="2">
        <f>('Kwh Reading'!P16-'Kwh Reading'!P15)*1000</f>
        <v>1070.00000000005</v>
      </c>
      <c r="P15" s="2">
        <f>('Kwh Reading'!G16-'Kwh Reading'!G15)*1000</f>
        <v>870.00000000000455</v>
      </c>
      <c r="Q15" s="2">
        <f>('Kwh Reading'!Q16-'Kwh Reading'!Q15)*1000</f>
        <v>789.99999999996362</v>
      </c>
      <c r="R15" s="2">
        <f>('Kwh Reading'!N16-'Kwh Reading'!N15)*1000</f>
        <v>750</v>
      </c>
      <c r="S15" s="34">
        <f>'Kwh Reading'!E16-'Kwh Reading'!E15</f>
        <v>3156.5800000000745</v>
      </c>
      <c r="T15" s="34">
        <f>'Kwh Reading'!D16-'Kwh Reading'!D15</f>
        <v>2435.519999999553</v>
      </c>
      <c r="U15" s="27">
        <f>('Kwh Reading'!O16-'Kwh Reading'!O15)*1000</f>
        <v>270.00000000001023</v>
      </c>
      <c r="V15" s="16">
        <f t="shared" si="1"/>
        <v>6667.8999999986154</v>
      </c>
    </row>
    <row r="16" spans="1:22" x14ac:dyDescent="0.25">
      <c r="A16" s="3">
        <f>'Kwh Reading'!A16</f>
        <v>44390</v>
      </c>
      <c r="B16" s="26">
        <f>TOTAL!E14</f>
        <v>22780.000000002023</v>
      </c>
      <c r="C16" s="4">
        <f>('Kwh Reading'!T17-'Kwh Reading'!T16)*1000</f>
        <v>469.99999999997044</v>
      </c>
      <c r="D16" s="2">
        <f>('Kwh Reading'!F17-'Kwh Reading'!F16)*1000000</f>
        <v>2299.9999999999686</v>
      </c>
      <c r="E16" s="2">
        <f>('Kwh Reading'!C17-'Kwh Reading'!C16)*1000</f>
        <v>250</v>
      </c>
      <c r="F16" s="2">
        <f>('Kwh Reading'!J17-'Kwh Reading'!J16)*1000</f>
        <v>160.00000000002501</v>
      </c>
      <c r="G16" s="2">
        <f>('Kwh Reading'!K17-'Kwh Reading'!K16)*1000</f>
        <v>219.99999999997044</v>
      </c>
      <c r="H16" s="2">
        <f>('Kwh Reading'!L17-'Kwh Reading'!L16)*1000</f>
        <v>190.00000000002615</v>
      </c>
      <c r="I16" s="2">
        <f>('Kwh Reading'!R17-'Kwh Reading'!R16)*1000</f>
        <v>310.00000000000227</v>
      </c>
      <c r="J16" s="2">
        <f>('Kwh Reading'!S17-'Kwh Reading'!S16)*1000</f>
        <v>120.00000000000455</v>
      </c>
      <c r="K16" s="2">
        <f>('Kwh Reading'!I17-'Kwh Reading'!I16)*1000</f>
        <v>370.00000000000455</v>
      </c>
      <c r="L16" s="2">
        <f>('Kwh Reading'!B17-'Kwh Reading'!B16)*1000</f>
        <v>1490.0000000000091</v>
      </c>
      <c r="M16" s="2">
        <f>('Kwh Reading'!M17-'Kwh Reading'!M16)*1000</f>
        <v>850.00000000002274</v>
      </c>
      <c r="N16" s="2">
        <f>('Kwh Reading'!H17-'Kwh Reading'!H16)*1000</f>
        <v>470.00000000002728</v>
      </c>
      <c r="O16" s="2">
        <f>('Kwh Reading'!P17-'Kwh Reading'!P16)*1000</f>
        <v>1069.9999999999363</v>
      </c>
      <c r="P16" s="2">
        <f>('Kwh Reading'!G17-'Kwh Reading'!G16)*1000</f>
        <v>869.99999999989086</v>
      </c>
      <c r="Q16" s="2">
        <f>('Kwh Reading'!Q17-'Kwh Reading'!Q16)*1000</f>
        <v>830.00000000004093</v>
      </c>
      <c r="R16" s="2">
        <f>('Kwh Reading'!N17-'Kwh Reading'!N16)*1000</f>
        <v>750</v>
      </c>
      <c r="S16" s="34">
        <f>'Kwh Reading'!E17-'Kwh Reading'!E16</f>
        <v>3387.429999999702</v>
      </c>
      <c r="T16" s="34">
        <f>'Kwh Reading'!D17-'Kwh Reading'!D16</f>
        <v>2578.1399999996647</v>
      </c>
      <c r="U16" s="27">
        <f>('Kwh Reading'!O17-'Kwh Reading'!O16)*1000</f>
        <v>229.99999999998977</v>
      </c>
      <c r="V16" s="16">
        <f t="shared" si="1"/>
        <v>5864.4300000027688</v>
      </c>
    </row>
    <row r="17" spans="1:22" x14ac:dyDescent="0.25">
      <c r="A17" s="3">
        <f>'Kwh Reading'!A17</f>
        <v>44391</v>
      </c>
      <c r="B17" s="26">
        <f>TOTAL!E15</f>
        <v>22879.9999999992</v>
      </c>
      <c r="C17" s="4">
        <f>('Kwh Reading'!T18-'Kwh Reading'!T17)*1000</f>
        <v>470.00000000002728</v>
      </c>
      <c r="D17" s="2">
        <f>('Kwh Reading'!F18-'Kwh Reading'!F17)*1000000</f>
        <v>2499.9999999999468</v>
      </c>
      <c r="E17" s="2">
        <f>('Kwh Reading'!C18-'Kwh Reading'!C17)*1000</f>
        <v>199.99999999998863</v>
      </c>
      <c r="F17" s="2">
        <f>('Kwh Reading'!J18-'Kwh Reading'!J17)*1000</f>
        <v>149.99999999997726</v>
      </c>
      <c r="G17" s="2">
        <f>('Kwh Reading'!K18-'Kwh Reading'!K17)*1000</f>
        <v>189.99999999999773</v>
      </c>
      <c r="H17" s="2">
        <f>('Kwh Reading'!L18-'Kwh Reading'!L17)*1000</f>
        <v>169.99999999998749</v>
      </c>
      <c r="I17" s="2">
        <f>('Kwh Reading'!R18-'Kwh Reading'!R17)*1000</f>
        <v>290.00000000002046</v>
      </c>
      <c r="J17" s="2">
        <f>('Kwh Reading'!S18-'Kwh Reading'!S17)*1000</f>
        <v>109.99999999999943</v>
      </c>
      <c r="K17" s="2">
        <f>('Kwh Reading'!I18-'Kwh Reading'!I17)*1000</f>
        <v>569.99999999999318</v>
      </c>
      <c r="L17" s="2">
        <f>('Kwh Reading'!B18-'Kwh Reading'!B17)*1000</f>
        <v>1379.9999999999955</v>
      </c>
      <c r="M17" s="2">
        <f>('Kwh Reading'!M18-'Kwh Reading'!M17)*1000</f>
        <v>809.99999999994543</v>
      </c>
      <c r="N17" s="2">
        <f>('Kwh Reading'!H18-'Kwh Reading'!H17)*1000</f>
        <v>389.99999999998636</v>
      </c>
      <c r="O17" s="2">
        <f>('Kwh Reading'!P18-'Kwh Reading'!P17)*1000</f>
        <v>1050.0000000000682</v>
      </c>
      <c r="P17" s="2">
        <f>('Kwh Reading'!G18-'Kwh Reading'!G17)*1000</f>
        <v>870.00000000000455</v>
      </c>
      <c r="Q17" s="2">
        <f>('Kwh Reading'!Q18-'Kwh Reading'!Q17)*1000</f>
        <v>769.99999999998181</v>
      </c>
      <c r="R17" s="2">
        <f>('Kwh Reading'!N18-'Kwh Reading'!N17)*1000</f>
        <v>509.99999999999091</v>
      </c>
      <c r="S17" s="34">
        <f>'Kwh Reading'!E18-'Kwh Reading'!E17</f>
        <v>3153.2000000001863</v>
      </c>
      <c r="T17" s="34">
        <f>'Kwh Reading'!D18-'Kwh Reading'!D17</f>
        <v>2412.6300000008196</v>
      </c>
      <c r="U17" s="27">
        <f>('Kwh Reading'!O18-'Kwh Reading'!O17)*1000</f>
        <v>210.00000000000796</v>
      </c>
      <c r="V17" s="16">
        <f t="shared" si="1"/>
        <v>6674.1699999982757</v>
      </c>
    </row>
    <row r="18" spans="1:22" x14ac:dyDescent="0.25">
      <c r="A18" s="3">
        <f>'Kwh Reading'!A18</f>
        <v>44392</v>
      </c>
      <c r="B18" s="26">
        <f>TOTAL!E16</f>
        <v>23499.999999999091</v>
      </c>
      <c r="C18" s="4">
        <f>('Kwh Reading'!T19-'Kwh Reading'!T18)*1000</f>
        <v>479.99999999996135</v>
      </c>
      <c r="D18" s="2">
        <f>('Kwh Reading'!F19-'Kwh Reading'!F18)*1000000</f>
        <v>2600.0000000001578</v>
      </c>
      <c r="E18" s="2">
        <f>('Kwh Reading'!C19-'Kwh Reading'!C18)*1000</f>
        <v>270.00000000001023</v>
      </c>
      <c r="F18" s="2">
        <f>('Kwh Reading'!J19-'Kwh Reading'!J18)*1000</f>
        <v>240.00000000000909</v>
      </c>
      <c r="G18" s="2">
        <f>('Kwh Reading'!K19-'Kwh Reading'!K18)*1000</f>
        <v>300.00000000001137</v>
      </c>
      <c r="H18" s="2">
        <f>('Kwh Reading'!L19-'Kwh Reading'!L18)*1000</f>
        <v>199.99999999998863</v>
      </c>
      <c r="I18" s="2">
        <f>('Kwh Reading'!R19-'Kwh Reading'!R18)*1000</f>
        <v>250</v>
      </c>
      <c r="J18" s="2">
        <f>('Kwh Reading'!S19-'Kwh Reading'!S18)*1000</f>
        <v>129.99999999999545</v>
      </c>
      <c r="K18" s="2">
        <f>('Kwh Reading'!I19-'Kwh Reading'!I18)*1000</f>
        <v>379.99999999999545</v>
      </c>
      <c r="L18" s="2">
        <f>('Kwh Reading'!B19-'Kwh Reading'!B18)*1000</f>
        <v>259.99999999999091</v>
      </c>
      <c r="M18" s="2">
        <f>('Kwh Reading'!M19-'Kwh Reading'!M18)*1000</f>
        <v>790.00000000007731</v>
      </c>
      <c r="N18" s="2">
        <f>('Kwh Reading'!H19-'Kwh Reading'!H18)*1000</f>
        <v>430.00000000006366</v>
      </c>
      <c r="O18" s="2">
        <f>('Kwh Reading'!P19-'Kwh Reading'!P18)*1000</f>
        <v>1049.9999999999545</v>
      </c>
      <c r="P18" s="2">
        <f>('Kwh Reading'!G19-'Kwh Reading'!G18)*1000</f>
        <v>950.00000000004547</v>
      </c>
      <c r="Q18" s="2">
        <f>('Kwh Reading'!Q19-'Kwh Reading'!Q18)*1000</f>
        <v>759.99999999999091</v>
      </c>
      <c r="R18" s="2">
        <f>('Kwh Reading'!N19-'Kwh Reading'!N18)*1000</f>
        <v>949.99999999998863</v>
      </c>
      <c r="S18" s="34">
        <f>'Kwh Reading'!E19-'Kwh Reading'!E18</f>
        <v>3125.5999999996275</v>
      </c>
      <c r="T18" s="34">
        <f>'Kwh Reading'!D19-'Kwh Reading'!D18</f>
        <v>2471.3699999991804</v>
      </c>
      <c r="U18" s="27">
        <f>('Kwh Reading'!O19-'Kwh Reading'!O18)*1000</f>
        <v>219.99999999999886</v>
      </c>
      <c r="V18" s="16">
        <f t="shared" si="1"/>
        <v>7643.0300000000425</v>
      </c>
    </row>
    <row r="19" spans="1:22" x14ac:dyDescent="0.25">
      <c r="A19" s="3">
        <f>'Kwh Reading'!A19</f>
        <v>44393</v>
      </c>
      <c r="B19" s="26">
        <f>TOTAL!E17</f>
        <v>21690.000000000284</v>
      </c>
      <c r="C19" s="4">
        <f>('Kwh Reading'!T20-'Kwh Reading'!T19)*1000</f>
        <v>500</v>
      </c>
      <c r="D19" s="2">
        <f>('Kwh Reading'!F20-'Kwh Reading'!F19)*1000000</f>
        <v>2499.9999999999468</v>
      </c>
      <c r="E19" s="2">
        <f>('Kwh Reading'!C20-'Kwh Reading'!C19)*1000</f>
        <v>259.99999999999091</v>
      </c>
      <c r="F19" s="2">
        <f>('Kwh Reading'!J20-'Kwh Reading'!J19)*1000</f>
        <v>269.99999999998181</v>
      </c>
      <c r="G19" s="2">
        <f>('Kwh Reading'!K20-'Kwh Reading'!K19)*1000</f>
        <v>310.00000000000227</v>
      </c>
      <c r="H19" s="2">
        <f>('Kwh Reading'!L20-'Kwh Reading'!L19)*1000</f>
        <v>189.99999999999773</v>
      </c>
      <c r="I19" s="2">
        <f>('Kwh Reading'!R20-'Kwh Reading'!R19)*1000</f>
        <v>359.99999999998522</v>
      </c>
      <c r="J19" s="2">
        <f>('Kwh Reading'!S20-'Kwh Reading'!S19)*1000</f>
        <v>129.99999999999545</v>
      </c>
      <c r="K19" s="2">
        <f>('Kwh Reading'!I20-'Kwh Reading'!I19)*1000</f>
        <v>360.00000000001364</v>
      </c>
      <c r="L19" s="2">
        <f>('Kwh Reading'!B20-'Kwh Reading'!B19)*1000</f>
        <v>2580.0000000000409</v>
      </c>
      <c r="M19" s="2">
        <f>('Kwh Reading'!M20-'Kwh Reading'!M19)*1000</f>
        <v>769.99999999998181</v>
      </c>
      <c r="N19" s="2">
        <f>('Kwh Reading'!H20-'Kwh Reading'!H19)*1000</f>
        <v>449.99999999993179</v>
      </c>
      <c r="O19" s="2">
        <f>('Kwh Reading'!P20-'Kwh Reading'!P19)*1000</f>
        <v>1060.0000000000591</v>
      </c>
      <c r="P19" s="2">
        <f>('Kwh Reading'!G20-'Kwh Reading'!G19)*1000</f>
        <v>940.00000000005457</v>
      </c>
      <c r="Q19" s="2">
        <f>('Kwh Reading'!Q20-'Kwh Reading'!Q19)*1000</f>
        <v>689.99999999999773</v>
      </c>
      <c r="R19" s="2">
        <f>('Kwh Reading'!N20-'Kwh Reading'!N19)*1000</f>
        <v>780.00000000002956</v>
      </c>
      <c r="S19" s="34">
        <f>'Kwh Reading'!E20-'Kwh Reading'!E19</f>
        <v>3184.8400000007823</v>
      </c>
      <c r="T19" s="34">
        <f>'Kwh Reading'!D20-'Kwh Reading'!D19</f>
        <v>2750.3400000007823</v>
      </c>
      <c r="U19" s="27">
        <f>('Kwh Reading'!O20-'Kwh Reading'!O19)*1000</f>
        <v>210.00000000000796</v>
      </c>
      <c r="V19" s="16">
        <f t="shared" si="1"/>
        <v>3394.8199999987046</v>
      </c>
    </row>
    <row r="20" spans="1:22" x14ac:dyDescent="0.25">
      <c r="A20" s="3">
        <f>'Kwh Reading'!A20</f>
        <v>44394</v>
      </c>
      <c r="B20" s="26">
        <f>TOTAL!E18</f>
        <v>0</v>
      </c>
      <c r="C20" s="4">
        <f>('Kwh Reading'!T21-'Kwh Reading'!T20)*1000</f>
        <v>-427840</v>
      </c>
      <c r="D20" s="2">
        <f>('Kwh Reading'!F21-'Kwh Reading'!F20)*1000000</f>
        <v>-2418800</v>
      </c>
      <c r="E20" s="2">
        <f>('Kwh Reading'!C21-'Kwh Reading'!C20)*1000</f>
        <v>-233290</v>
      </c>
      <c r="F20" s="2">
        <f>('Kwh Reading'!J21-'Kwh Reading'!J20)*1000</f>
        <v>-319640</v>
      </c>
      <c r="G20" s="2">
        <f>('Kwh Reading'!K21-'Kwh Reading'!K20)*1000</f>
        <v>-344690</v>
      </c>
      <c r="H20" s="2">
        <f>('Kwh Reading'!L21-'Kwh Reading'!L20)*1000</f>
        <v>-236920</v>
      </c>
      <c r="I20" s="2">
        <f>('Kwh Reading'!R21-'Kwh Reading'!R20)*1000</f>
        <v>-162660</v>
      </c>
      <c r="J20" s="2">
        <f>('Kwh Reading'!S21-'Kwh Reading'!S20)*1000</f>
        <v>-117070</v>
      </c>
      <c r="K20" s="2">
        <f>('Kwh Reading'!I21-'Kwh Reading'!I20)*1000</f>
        <v>-241370</v>
      </c>
      <c r="L20" s="2">
        <f>('Kwh Reading'!B21-'Kwh Reading'!B20)*1000</f>
        <v>-1002700</v>
      </c>
      <c r="M20" s="2">
        <f>('Kwh Reading'!M21-'Kwh Reading'!M20)*1000</f>
        <v>-531110</v>
      </c>
      <c r="N20" s="2">
        <f>('Kwh Reading'!H21-'Kwh Reading'!H20)*1000</f>
        <v>-629520</v>
      </c>
      <c r="O20" s="2">
        <f>('Kwh Reading'!P21-'Kwh Reading'!P20)*1000</f>
        <v>-635690</v>
      </c>
      <c r="P20" s="2">
        <f>('Kwh Reading'!G21-'Kwh Reading'!G20)*1000</f>
        <v>-759320</v>
      </c>
      <c r="Q20" s="2">
        <f>('Kwh Reading'!Q21-'Kwh Reading'!Q20)*1000</f>
        <v>-472380</v>
      </c>
      <c r="R20" s="2">
        <f>('Kwh Reading'!N21-'Kwh Reading'!N20)*1000</f>
        <v>-484550</v>
      </c>
      <c r="S20" s="34">
        <f>'Kwh Reading'!E21-'Kwh Reading'!E20</f>
        <v>-8236080.9400000004</v>
      </c>
      <c r="T20" s="34">
        <f>'Kwh Reading'!D21-'Kwh Reading'!D20</f>
        <v>-7519627.3600000003</v>
      </c>
      <c r="U20" s="27">
        <f>('Kwh Reading'!O21-'Kwh Reading'!O20)*1000</f>
        <v>-154900</v>
      </c>
      <c r="V20" s="16">
        <f t="shared" si="1"/>
        <v>24928158.300000001</v>
      </c>
    </row>
    <row r="21" spans="1:22" ht="16.5" customHeight="1" x14ac:dyDescent="0.25">
      <c r="A21" s="3">
        <f>'Kwh Reading'!A21</f>
        <v>44395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44396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44397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44398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44399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44400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44401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44402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44403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44404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44405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44406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44407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44408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364409.99999999965</v>
      </c>
      <c r="C35" s="75">
        <f t="shared" ref="C35" si="2">SUM(C4:C34)</f>
        <v>-420700</v>
      </c>
      <c r="D35" s="75">
        <f t="shared" ref="D35" si="3">SUM(D4:D34)</f>
        <v>-2380799.9999999995</v>
      </c>
      <c r="E35" s="75">
        <f t="shared" ref="E35" si="4">SUM(E4:E34)</f>
        <v>-229580.00000000003</v>
      </c>
      <c r="F35" s="75">
        <f t="shared" ref="F35" si="5">SUM(F4:F34)</f>
        <v>-316460</v>
      </c>
      <c r="G35" s="75">
        <f t="shared" ref="G35:U35" si="6">SUM(G4:G34)</f>
        <v>-340800</v>
      </c>
      <c r="H35" s="75">
        <f t="shared" si="6"/>
        <v>-233900.00000000003</v>
      </c>
      <c r="I35" s="75">
        <f t="shared" si="6"/>
        <v>-157730</v>
      </c>
      <c r="J35" s="75">
        <f t="shared" si="6"/>
        <v>-115160</v>
      </c>
      <c r="K35" s="75">
        <f t="shared" si="6"/>
        <v>-236040</v>
      </c>
      <c r="L35" s="75">
        <f t="shared" si="6"/>
        <v>-981179.99999999988</v>
      </c>
      <c r="M35" s="75">
        <f t="shared" si="6"/>
        <v>-518450.00000000006</v>
      </c>
      <c r="N35" s="75">
        <f t="shared" si="6"/>
        <v>-622150</v>
      </c>
      <c r="O35" s="75">
        <f t="shared" si="6"/>
        <v>-618580</v>
      </c>
      <c r="P35" s="75">
        <f t="shared" si="6"/>
        <v>-746169.99999999988</v>
      </c>
      <c r="Q35" s="75">
        <f t="shared" si="6"/>
        <v>-461070</v>
      </c>
      <c r="R35" s="75">
        <f t="shared" si="6"/>
        <v>-472620</v>
      </c>
      <c r="S35" s="75">
        <f t="shared" si="6"/>
        <v>-8184646.8899999997</v>
      </c>
      <c r="T35" s="75">
        <f t="shared" si="6"/>
        <v>-7480564.5499999998</v>
      </c>
      <c r="U35" s="75">
        <f t="shared" si="6"/>
        <v>-151380</v>
      </c>
      <c r="V35" s="75">
        <f>SUM(V4:V34)</f>
        <v>25032391.439999998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6" sqref="H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6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2">
        <f t="shared" si="0"/>
        <v>6020.1299999993089</v>
      </c>
    </row>
    <row r="8" spans="1:12" x14ac:dyDescent="0.25">
      <c r="A8" s="14">
        <f>'Kwh Reading'!A9</f>
        <v>44383</v>
      </c>
      <c r="B8" s="83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6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2">
        <f t="shared" si="0"/>
        <v>6599.7800000010538</v>
      </c>
    </row>
    <row r="9" spans="1:12" x14ac:dyDescent="0.25">
      <c r="A9" s="14">
        <f>'Kwh Reading'!A10</f>
        <v>44384</v>
      </c>
      <c r="B9" s="83">
        <f>TOTAL!E8</f>
        <v>23189.99999999869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219.99999999999886</v>
      </c>
      <c r="F9" s="1">
        <f>('Kwh Consumption'!F10+'Kwh Consumption'!G10+'Kwh Consumption'!H10)</f>
        <v>650.00000000003411</v>
      </c>
      <c r="G9" s="16">
        <f>('Kwh Consumption'!I10+'Kwh Consumption'!J10)</f>
        <v>449.99999999997442</v>
      </c>
      <c r="H9" s="1">
        <f>('Kwh Consumption'!K10+'Kwh Consumption'!L10)</f>
        <v>1720.0000000000273</v>
      </c>
      <c r="I9" s="1">
        <f>('Kwh Consumption'!M10+'Kwh Consumption'!N10+'Kwh Consumption'!O10+'Kwh Consumption'!P10+'Kwh Consumption'!Q10+'Kwh Consumption'!R10)</f>
        <v>4599.9999999997954</v>
      </c>
      <c r="J9" s="1">
        <f>('Kwh Consumption'!S10+'Kwh Consumption'!T10)</f>
        <v>5955.2900000000373</v>
      </c>
      <c r="K9" s="1">
        <f>'Kwh Consumption'!U10</f>
        <v>200.00000000001705</v>
      </c>
      <c r="L9" s="32">
        <f t="shared" si="0"/>
        <v>6624.7099999988104</v>
      </c>
    </row>
    <row r="10" spans="1:12" x14ac:dyDescent="0.25">
      <c r="A10" s="14">
        <f>'Kwh Reading'!A11</f>
        <v>44385</v>
      </c>
      <c r="B10" s="83">
        <f>TOTAL!E9</f>
        <v>22890.000000000327</v>
      </c>
      <c r="C10" s="1">
        <f>'Kwh Consumption'!C11</f>
        <v>469.99999999997044</v>
      </c>
      <c r="D10" s="1">
        <f>'Kwh Consumption'!D11</f>
        <v>2299.9999999999686</v>
      </c>
      <c r="E10" s="1">
        <f>'Kwh Consumption'!E11</f>
        <v>130.00000000002387</v>
      </c>
      <c r="F10" s="1">
        <f>('Kwh Consumption'!F11+'Kwh Consumption'!G11+'Kwh Consumption'!H11)</f>
        <v>609.9999999999568</v>
      </c>
      <c r="G10" s="16">
        <f>('Kwh Consumption'!I11+'Kwh Consumption'!J11)</f>
        <v>420.00000000001592</v>
      </c>
      <c r="H10" s="1">
        <f>('Kwh Consumption'!K11+'Kwh Consumption'!L11)</f>
        <v>1649.9999999999488</v>
      </c>
      <c r="I10" s="1">
        <f>('Kwh Consumption'!M11+'Kwh Consumption'!N11+'Kwh Consumption'!O11+'Kwh Consumption'!P11+'Kwh Consumption'!Q11+'Kwh Consumption'!R11)</f>
        <v>4570.0000000001637</v>
      </c>
      <c r="J10" s="1">
        <f>('Kwh Consumption'!S11+'Kwh Consumption'!T11)</f>
        <v>5896.6299999998882</v>
      </c>
      <c r="K10" s="1">
        <f>'Kwh Consumption'!U11</f>
        <v>209.99999999997954</v>
      </c>
      <c r="L10" s="32">
        <f t="shared" si="0"/>
        <v>6633.3700000004119</v>
      </c>
    </row>
    <row r="11" spans="1:12" x14ac:dyDescent="0.25">
      <c r="A11" s="14">
        <f>'Kwh Reading'!A12</f>
        <v>44386</v>
      </c>
      <c r="B11" s="83">
        <f>TOTAL!E10</f>
        <v>19059.99999999904</v>
      </c>
      <c r="C11" s="1">
        <f>'Kwh Consumption'!C12</f>
        <v>269.99999999998181</v>
      </c>
      <c r="D11" s="1">
        <f>'Kwh Consumption'!D12</f>
        <v>2299.9999999999686</v>
      </c>
      <c r="E11" s="1">
        <f>'Kwh Consumption'!E12</f>
        <v>349.99999999999432</v>
      </c>
      <c r="F11" s="1">
        <f>('Kwh Consumption'!F12+'Kwh Consumption'!G12+'Kwh Consumption'!H12)</f>
        <v>680.00000000003524</v>
      </c>
      <c r="G11" s="16">
        <f>('Kwh Consumption'!I12+'Kwh Consumption'!J12)</f>
        <v>399.99999999999147</v>
      </c>
      <c r="H11" s="1">
        <f>('Kwh Consumption'!K12+'Kwh Consumption'!L12)</f>
        <v>1430.0000000001205</v>
      </c>
      <c r="I11" s="1">
        <f>('Kwh Consumption'!M12+'Kwh Consumption'!N12+'Kwh Consumption'!O12+'Kwh Consumption'!P12+'Kwh Consumption'!Q12+'Kwh Consumption'!R12)</f>
        <v>3500</v>
      </c>
      <c r="J11" s="1">
        <f>('Kwh Consumption'!S12+'Kwh Consumption'!T12)</f>
        <v>4572.140000000596</v>
      </c>
      <c r="K11" s="1">
        <f>'Kwh Consumption'!U12</f>
        <v>219.99999999999886</v>
      </c>
      <c r="L11" s="32">
        <f t="shared" si="0"/>
        <v>5337.8599999983553</v>
      </c>
    </row>
    <row r="12" spans="1:12" x14ac:dyDescent="0.25">
      <c r="A12" s="14">
        <f>'Kwh Reading'!A13</f>
        <v>44387</v>
      </c>
      <c r="B12" s="83">
        <f>TOTAL!E11</f>
        <v>21280.000000001113</v>
      </c>
      <c r="C12" s="1">
        <f>'Kwh Consumption'!C13</f>
        <v>440.00000000005457</v>
      </c>
      <c r="D12" s="1">
        <f>'Kwh Consumption'!D13</f>
        <v>2299.9999999999686</v>
      </c>
      <c r="E12" s="1">
        <f>'Kwh Consumption'!E13</f>
        <v>219.99999999999886</v>
      </c>
      <c r="F12" s="1">
        <f>('Kwh Consumption'!F13+'Kwh Consumption'!G13+'Kwh Consumption'!H13)</f>
        <v>609.99999999998522</v>
      </c>
      <c r="G12" s="16">
        <f>('Kwh Consumption'!I13+'Kwh Consumption'!J13)</f>
        <v>430.00000000000682</v>
      </c>
      <c r="H12" s="1">
        <f>('Kwh Consumption'!K13+'Kwh Consumption'!L13)</f>
        <v>1549.9999999999829</v>
      </c>
      <c r="I12" s="1">
        <f>('Kwh Consumption'!M13+'Kwh Consumption'!N13+'Kwh Consumption'!O13+'Kwh Consumption'!P13+'Kwh Consumption'!Q13+'Kwh Consumption'!R13)</f>
        <v>4200.0000000000455</v>
      </c>
      <c r="J12" s="1">
        <f>('Kwh Consumption'!S13+'Kwh Consumption'!T13)</f>
        <v>5159.4399999994785</v>
      </c>
      <c r="K12" s="1">
        <f>'Kwh Consumption'!U13</f>
        <v>240.00000000000909</v>
      </c>
      <c r="L12" s="32">
        <f t="shared" si="0"/>
        <v>6130.560000001582</v>
      </c>
    </row>
    <row r="13" spans="1:12" x14ac:dyDescent="0.25">
      <c r="A13" s="14">
        <f>'Kwh Reading'!A14</f>
        <v>44388</v>
      </c>
      <c r="B13" s="83">
        <f>TOTAL!E12</f>
        <v>23830.000000000378</v>
      </c>
      <c r="C13" s="1">
        <f>'Kwh Consumption'!C14</f>
        <v>459.99999999997954</v>
      </c>
      <c r="D13" s="1">
        <f>'Kwh Consumption'!D14</f>
        <v>2499.9999999999468</v>
      </c>
      <c r="E13" s="1">
        <f>'Kwh Consumption'!E14</f>
        <v>219.99999999999886</v>
      </c>
      <c r="F13" s="1">
        <f>('Kwh Consumption'!F14+'Kwh Consumption'!G14+'Kwh Consumption'!H14)</f>
        <v>639.99999999998636</v>
      </c>
      <c r="G13" s="16">
        <f>('Kwh Consumption'!I14+'Kwh Consumption'!J14)</f>
        <v>419.99999999997328</v>
      </c>
      <c r="H13" s="1">
        <f>('Kwh Consumption'!K14+'Kwh Consumption'!L14)</f>
        <v>1699.9999999999886</v>
      </c>
      <c r="I13" s="1">
        <f>('Kwh Consumption'!M14+'Kwh Consumption'!N14+'Kwh Consumption'!O14+'Kwh Consumption'!P14+'Kwh Consumption'!Q14+'Kwh Consumption'!R14)</f>
        <v>4780.0000000000291</v>
      </c>
      <c r="J13" s="1">
        <f>('Kwh Consumption'!S14+'Kwh Consumption'!T14)</f>
        <v>5775.1100000003353</v>
      </c>
      <c r="K13" s="1">
        <f>'Kwh Consumption'!U14</f>
        <v>229.99999999998977</v>
      </c>
      <c r="L13" s="32">
        <f t="shared" si="0"/>
        <v>7104.8900000001513</v>
      </c>
    </row>
    <row r="14" spans="1:12" x14ac:dyDescent="0.25">
      <c r="A14" s="14">
        <f>'Kwh Reading'!A15</f>
        <v>44389</v>
      </c>
      <c r="B14" s="83">
        <f>TOTAL!E13</f>
        <v>22739.999999998417</v>
      </c>
      <c r="C14" s="1">
        <f>'Kwh Consumption'!C15</f>
        <v>490.00000000000909</v>
      </c>
      <c r="D14" s="1">
        <f>'Kwh Consumption'!D15</f>
        <v>2200.0000000002019</v>
      </c>
      <c r="E14" s="1">
        <f>'Kwh Consumption'!E15</f>
        <v>250</v>
      </c>
      <c r="F14" s="1">
        <f>('Kwh Consumption'!F15+'Kwh Consumption'!G15+'Kwh Consumption'!H15)</f>
        <v>580.00000000001251</v>
      </c>
      <c r="G14" s="16">
        <f>('Kwh Consumption'!I15+'Kwh Consumption'!J15)</f>
        <v>430.00000000000682</v>
      </c>
      <c r="H14" s="1">
        <f>('Kwh Consumption'!K15+'Kwh Consumption'!L15)</f>
        <v>1459.9999999999795</v>
      </c>
      <c r="I14" s="1">
        <f>('Kwh Consumption'!M15+'Kwh Consumption'!N15+'Kwh Consumption'!O15+'Kwh Consumption'!P15+'Kwh Consumption'!Q15+'Kwh Consumption'!R15)</f>
        <v>4799.9999999999545</v>
      </c>
      <c r="J14" s="1">
        <f>('Kwh Consumption'!S15+'Kwh Consumption'!T15)</f>
        <v>5592.0999999996275</v>
      </c>
      <c r="K14" s="1">
        <f>'Kwh Consumption'!U15</f>
        <v>270.00000000001023</v>
      </c>
      <c r="L14" s="32">
        <f t="shared" si="0"/>
        <v>6667.8999999986145</v>
      </c>
    </row>
    <row r="15" spans="1:12" x14ac:dyDescent="0.25">
      <c r="A15" s="14">
        <f>'Kwh Reading'!A16</f>
        <v>44390</v>
      </c>
      <c r="B15" s="83">
        <f>TOTAL!E14</f>
        <v>22780.000000002023</v>
      </c>
      <c r="C15" s="1">
        <f>'Kwh Consumption'!C16</f>
        <v>469.99999999997044</v>
      </c>
      <c r="D15" s="1">
        <f>'Kwh Consumption'!D16</f>
        <v>2299.9999999999686</v>
      </c>
      <c r="E15" s="1">
        <f>'Kwh Consumption'!E16</f>
        <v>250</v>
      </c>
      <c r="F15" s="1">
        <f>('Kwh Consumption'!F16+'Kwh Consumption'!G16+'Kwh Consumption'!H16)</f>
        <v>570.0000000000216</v>
      </c>
      <c r="G15" s="16">
        <f>('Kwh Consumption'!I16+'Kwh Consumption'!J16)</f>
        <v>430.00000000000682</v>
      </c>
      <c r="H15" s="1">
        <f>('Kwh Consumption'!K16+'Kwh Consumption'!L16)</f>
        <v>1860.0000000000136</v>
      </c>
      <c r="I15" s="1">
        <f>('Kwh Consumption'!M16+'Kwh Consumption'!N16+'Kwh Consumption'!O16+'Kwh Consumption'!P16+'Kwh Consumption'!Q16+'Kwh Consumption'!R16)</f>
        <v>4839.9999999999181</v>
      </c>
      <c r="J15" s="1">
        <f>('Kwh Consumption'!S16+'Kwh Consumption'!T16)</f>
        <v>5965.5699999993667</v>
      </c>
      <c r="K15" s="1">
        <f>'Kwh Consumption'!U16</f>
        <v>229.99999999998977</v>
      </c>
      <c r="L15" s="32">
        <f t="shared" si="0"/>
        <v>5864.4300000027661</v>
      </c>
    </row>
    <row r="16" spans="1:12" x14ac:dyDescent="0.25">
      <c r="A16" s="14">
        <f>'Kwh Reading'!A17</f>
        <v>44391</v>
      </c>
      <c r="B16" s="83">
        <f>TOTAL!E15</f>
        <v>22879.9999999992</v>
      </c>
      <c r="C16" s="1">
        <f>'Kwh Consumption'!C17</f>
        <v>470.00000000002728</v>
      </c>
      <c r="D16" s="1">
        <f>'Kwh Consumption'!D17</f>
        <v>2499.9999999999468</v>
      </c>
      <c r="E16" s="1">
        <f>'Kwh Consumption'!E17</f>
        <v>199.99999999998863</v>
      </c>
      <c r="F16" s="1">
        <f>('Kwh Consumption'!F17+'Kwh Consumption'!G17+'Kwh Consumption'!H17)</f>
        <v>509.99999999996248</v>
      </c>
      <c r="G16" s="16">
        <f>('Kwh Consumption'!I17+'Kwh Consumption'!J17)</f>
        <v>400.0000000000199</v>
      </c>
      <c r="H16" s="1">
        <f>('Kwh Consumption'!K17+'Kwh Consumption'!L17)</f>
        <v>1949.9999999999886</v>
      </c>
      <c r="I16" s="1">
        <f>('Kwh Consumption'!M17+'Kwh Consumption'!N17+'Kwh Consumption'!O17+'Kwh Consumption'!P17+'Kwh Consumption'!Q17+'Kwh Consumption'!R17)</f>
        <v>4399.9999999999773</v>
      </c>
      <c r="J16" s="1">
        <f>('Kwh Consumption'!S17+'Kwh Consumption'!T17)</f>
        <v>5565.8300000010058</v>
      </c>
      <c r="K16" s="1">
        <f>'Kwh Consumption'!U17</f>
        <v>210.00000000000796</v>
      </c>
      <c r="L16" s="32">
        <f t="shared" si="0"/>
        <v>6674.1699999982729</v>
      </c>
    </row>
    <row r="17" spans="1:12" x14ac:dyDescent="0.25">
      <c r="A17" s="14">
        <f>'Kwh Reading'!A18</f>
        <v>44392</v>
      </c>
      <c r="B17" s="83">
        <f>TOTAL!E16</f>
        <v>23499.999999999091</v>
      </c>
      <c r="C17" s="1">
        <f>'Kwh Consumption'!C18</f>
        <v>479.99999999996135</v>
      </c>
      <c r="D17" s="1">
        <f>'Kwh Consumption'!D18</f>
        <v>2600.0000000001578</v>
      </c>
      <c r="E17" s="1">
        <f>'Kwh Consumption'!E18</f>
        <v>270.00000000001023</v>
      </c>
      <c r="F17" s="1">
        <f>('Kwh Consumption'!F18+'Kwh Consumption'!G18+'Kwh Consumption'!H18)</f>
        <v>740.00000000000909</v>
      </c>
      <c r="G17" s="16">
        <f>('Kwh Consumption'!I18+'Kwh Consumption'!J18)</f>
        <v>379.99999999999545</v>
      </c>
      <c r="H17" s="1">
        <f>('Kwh Consumption'!K18+'Kwh Consumption'!L18)</f>
        <v>639.99999999998636</v>
      </c>
      <c r="I17" s="1">
        <f>('Kwh Consumption'!M18+'Kwh Consumption'!N18+'Kwh Consumption'!O18+'Kwh Consumption'!P18+'Kwh Consumption'!Q18+'Kwh Consumption'!R18)</f>
        <v>4930.0000000001201</v>
      </c>
      <c r="J17" s="1">
        <f>('Kwh Consumption'!S18+'Kwh Consumption'!T18)</f>
        <v>5596.9699999988079</v>
      </c>
      <c r="K17" s="31">
        <f>'Kwh Consumption'!U18</f>
        <v>219.99999999999886</v>
      </c>
      <c r="L17" s="32">
        <f t="shared" si="0"/>
        <v>7643.0300000000434</v>
      </c>
    </row>
    <row r="18" spans="1:12" x14ac:dyDescent="0.25">
      <c r="A18" s="14">
        <f>'Kwh Reading'!A19</f>
        <v>44393</v>
      </c>
      <c r="B18" s="83">
        <f>TOTAL!E17</f>
        <v>21690.000000000284</v>
      </c>
      <c r="C18" s="1">
        <f>'Kwh Consumption'!C19</f>
        <v>500</v>
      </c>
      <c r="D18" s="1">
        <f>'Kwh Consumption'!D19</f>
        <v>2499.9999999999468</v>
      </c>
      <c r="E18" s="1">
        <f>'Kwh Consumption'!E19</f>
        <v>259.99999999999091</v>
      </c>
      <c r="F18" s="1">
        <f>('Kwh Consumption'!F19+'Kwh Consumption'!G19+'Kwh Consumption'!H19)</f>
        <v>769.99999999998181</v>
      </c>
      <c r="G18" s="16">
        <f>('Kwh Consumption'!I19+'Kwh Consumption'!J19)</f>
        <v>489.99999999998067</v>
      </c>
      <c r="H18" s="1">
        <f>('Kwh Consumption'!K19+'Kwh Consumption'!L19)</f>
        <v>2940.0000000000546</v>
      </c>
      <c r="I18" s="1">
        <f>('Kwh Consumption'!M19+'Kwh Consumption'!N19+'Kwh Consumption'!O19+'Kwh Consumption'!P19+'Kwh Consumption'!Q19+'Kwh Consumption'!R19)</f>
        <v>4690.0000000000546</v>
      </c>
      <c r="J18" s="1">
        <f>('Kwh Consumption'!S19+'Kwh Consumption'!T19)</f>
        <v>5935.1800000015646</v>
      </c>
      <c r="K18" s="31">
        <f>'Kwh Consumption'!U19</f>
        <v>210.00000000000796</v>
      </c>
      <c r="L18" s="32">
        <f t="shared" si="0"/>
        <v>3394.8199999987037</v>
      </c>
    </row>
    <row r="19" spans="1:12" x14ac:dyDescent="0.25">
      <c r="A19" s="14">
        <f>'Kwh Reading'!A20</f>
        <v>44394</v>
      </c>
      <c r="B19" s="83">
        <f>TOTAL!E18</f>
        <v>0</v>
      </c>
      <c r="C19" s="1">
        <f>'Kwh Consumption'!C20</f>
        <v>-427840</v>
      </c>
      <c r="D19" s="1">
        <f>'Kwh Consumption'!D20</f>
        <v>-2418800</v>
      </c>
      <c r="E19" s="1">
        <f>'Kwh Consumption'!E20</f>
        <v>-233290</v>
      </c>
      <c r="F19" s="1">
        <f>('Kwh Consumption'!F20+'Kwh Consumption'!G20+'Kwh Consumption'!H20)</f>
        <v>-901250</v>
      </c>
      <c r="G19" s="16">
        <f>('Kwh Consumption'!I20+'Kwh Consumption'!J20)</f>
        <v>-279730</v>
      </c>
      <c r="H19" s="1">
        <f>('Kwh Consumption'!K20+'Kwh Consumption'!L20)</f>
        <v>-1244070</v>
      </c>
      <c r="I19" s="1">
        <f>('Kwh Consumption'!M20+'Kwh Consumption'!N20+'Kwh Consumption'!O20+'Kwh Consumption'!P20+'Kwh Consumption'!Q20+'Kwh Consumption'!R20)</f>
        <v>-3512570</v>
      </c>
      <c r="J19" s="1">
        <f>('Kwh Consumption'!S20+'Kwh Consumption'!T20)</f>
        <v>-15755708.300000001</v>
      </c>
      <c r="K19" s="1">
        <f>'Kwh Consumption'!U20</f>
        <v>-154900</v>
      </c>
      <c r="L19" s="32">
        <f t="shared" si="0"/>
        <v>24928158.300000001</v>
      </c>
    </row>
    <row r="20" spans="1:12" x14ac:dyDescent="0.25">
      <c r="A20" s="14">
        <f>'Kwh Reading'!A21</f>
        <v>44395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44396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44397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44398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44399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44400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44401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44402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44403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44404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44405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44406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44407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44408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361209.99999999977</v>
      </c>
      <c r="C34" s="75">
        <f>SUM(C3:C33)</f>
        <v>-420700</v>
      </c>
      <c r="D34" s="75">
        <f t="shared" ref="D34:L34" si="1">SUM(D3:D33)</f>
        <v>-2380799.9999999995</v>
      </c>
      <c r="E34" s="75">
        <f t="shared" si="1"/>
        <v>-229580.00000000003</v>
      </c>
      <c r="F34" s="75">
        <f t="shared" si="1"/>
        <v>-891160</v>
      </c>
      <c r="G34" s="75">
        <f t="shared" si="1"/>
        <v>-272890</v>
      </c>
      <c r="H34" s="75">
        <f t="shared" si="1"/>
        <v>-1217220</v>
      </c>
      <c r="I34" s="75">
        <f t="shared" si="1"/>
        <v>-3439040</v>
      </c>
      <c r="J34" s="75">
        <f t="shared" si="1"/>
        <v>-15665211.439999999</v>
      </c>
      <c r="K34" s="75">
        <f t="shared" si="1"/>
        <v>-151380</v>
      </c>
      <c r="L34" s="75">
        <f t="shared" si="1"/>
        <v>25029191.439999998</v>
      </c>
      <c r="M34" s="84">
        <f>C34+D34+E34+F34+G34+H34+I34+J34+K34+L34</f>
        <v>361210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-58898.000000000007</v>
      </c>
      <c r="D36" s="75">
        <f>D34*B36</f>
        <v>-333311.99999999994</v>
      </c>
      <c r="E36" s="75">
        <f>E34*B36</f>
        <v>-32141.200000000008</v>
      </c>
      <c r="F36" s="75">
        <f>F34*B36</f>
        <v>-124762.40000000001</v>
      </c>
      <c r="G36" s="75">
        <f>G34*B36</f>
        <v>-38204.600000000006</v>
      </c>
      <c r="H36" s="75">
        <f>H34*B36</f>
        <v>-170410.80000000002</v>
      </c>
      <c r="I36" s="75">
        <f>I34*B36</f>
        <v>-481465.60000000003</v>
      </c>
      <c r="J36" s="75">
        <f>J34*B36</f>
        <v>-2193129.6016000002</v>
      </c>
      <c r="K36" s="75">
        <f>K34*B36</f>
        <v>-21193.200000000001</v>
      </c>
      <c r="L36" s="75">
        <f>L34*B36</f>
        <v>3504086.8015999999</v>
      </c>
      <c r="M36" s="84">
        <f>C36+D36+E36+F36+G36+H36+I36+J36+K36+L36</f>
        <v>50569.399999999441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3173.799999999851</v>
      </c>
      <c r="D7" s="1">
        <f>'Kwh Consumption'!C8*' Kwh area wise $ '!B7</f>
        <v>67.200000000002547</v>
      </c>
      <c r="E7" s="1">
        <f>'Kwh Consumption'!D8*' Kwh area wise $ '!B7</f>
        <v>307.99999999996612</v>
      </c>
      <c r="F7" s="1">
        <f>'Kwh Consumption'!E8*' Kwh area wise $ '!B7</f>
        <v>29.399999999997139</v>
      </c>
      <c r="G7" s="1">
        <f>('Kwh Consumption'!F8+'Kwh Consumption'!G8+'Kwh Consumption'!H8)*' Kwh area wise $ '!B7</f>
        <v>90.999999999996831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229.59999999999414</v>
      </c>
      <c r="J7" s="1">
        <f>('Kwh Consumption'!M8+'Kwh Consumption'!N8+'Kwh Consumption'!O8+'Kwh Consumption'!P8+'Kwh Consumption'!Q8+'Kwh Consumption'!R8)*' Kwh area wise $ '!B7</f>
        <v>667.79999999997358</v>
      </c>
      <c r="K7" s="1">
        <f>('Kwh Consumption'!S8+'Kwh Consumption'!T8)*' Kwh area wise $ '!B7</f>
        <v>848.38180000001569</v>
      </c>
      <c r="L7" s="1">
        <f>'Kwh Consumption'!U8*' Kwh area wise $ '!B7</f>
        <v>29.400000000001118</v>
      </c>
      <c r="M7" s="1">
        <f>'Kwh Consumption'!V8*' Kwh area wise $ '!B7</f>
        <v>842.81819999990239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3179.4000000002916</v>
      </c>
      <c r="D8" s="1">
        <f>'Kwh Consumption'!C9*' Kwh area wise $ '!B8</f>
        <v>62.999999999998415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81.199999999997786</v>
      </c>
      <c r="H8" s="16">
        <f>('Kwh Consumption'!I9+'Kwh Consumption'!J9)*' Kwh area wise $ '!B8</f>
        <v>61.600000000003668</v>
      </c>
      <c r="I8" s="1">
        <f>('Kwh Consumption'!K9+'Kwh Consumption'!L9)*' Kwh area wise $ '!B8</f>
        <v>235.20000000000098</v>
      </c>
      <c r="J8" s="1">
        <f>('Kwh Consumption'!M9+'Kwh Consumption'!N9+'Kwh Consumption'!O9+'Kwh Consumption'!P9+'Kwh Consumption'!Q9+'Kwh Consumption'!R9)*' Kwh area wise $ '!B8</f>
        <v>638.40000000002431</v>
      </c>
      <c r="K8" s="1">
        <f>('Kwh Consumption'!S9+'Kwh Consumption'!T9)*' Kwh area wise $ '!B8</f>
        <v>778.430800000094</v>
      </c>
      <c r="L8" s="1">
        <f>'Kwh Consumption'!U9*' Kwh area wise $ '!B8</f>
        <v>26.599999999999685</v>
      </c>
      <c r="M8" s="1">
        <f>'Kwh Consumption'!V9*' Kwh area wise $ '!B8</f>
        <v>923.96920000014768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3246.5999999998171</v>
      </c>
      <c r="D9" s="1">
        <f>'Kwh Consumption'!C10*' Kwh area wise $ '!B9</f>
        <v>65.80000000000382</v>
      </c>
      <c r="E9" s="1">
        <f>'Kwh Consumption'!D10*' Kwh area wise $ '!B9</f>
        <v>321.99999999999562</v>
      </c>
      <c r="F9" s="1">
        <f>'Kwh Consumption'!E10*' Kwh area wise $ '!B9</f>
        <v>30.799999999999844</v>
      </c>
      <c r="G9" s="1">
        <f>('Kwh Consumption'!F10+'Kwh Consumption'!G10+'Kwh Consumption'!H10)*' Kwh area wise $ '!B9</f>
        <v>91.000000000004789</v>
      </c>
      <c r="H9" s="16">
        <f>('Kwh Consumption'!I10+'Kwh Consumption'!J10)*' Kwh area wise $ '!B9</f>
        <v>62.999999999996426</v>
      </c>
      <c r="I9" s="1">
        <f>('Kwh Consumption'!K10+'Kwh Consumption'!L10)*' Kwh area wise $ '!B9</f>
        <v>240.80000000000385</v>
      </c>
      <c r="J9" s="1">
        <f>('Kwh Consumption'!M10+'Kwh Consumption'!N10+'Kwh Consumption'!O10+'Kwh Consumption'!P10+'Kwh Consumption'!Q10+'Kwh Consumption'!R10)*' Kwh area wise $ '!B9</f>
        <v>643.99999999997146</v>
      </c>
      <c r="K9" s="1">
        <f>('Kwh Consumption'!S10+'Kwh Consumption'!T10)*' Kwh area wise $ '!B9</f>
        <v>833.74060000000532</v>
      </c>
      <c r="L9" s="1">
        <f>'Kwh Consumption'!U10*' Kwh area wise $ '!B9</f>
        <v>28.000000000002391</v>
      </c>
      <c r="M9" s="1">
        <f>'Kwh Consumption'!V10*' Kwh area wise $ '!B9</f>
        <v>927.45939999983341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3204.6000000000463</v>
      </c>
      <c r="D10" s="1">
        <f>'Kwh Consumption'!C11*' Kwh area wise $ '!B10</f>
        <v>65.799999999995862</v>
      </c>
      <c r="E10" s="1">
        <f>'Kwh Consumption'!D11*' Kwh area wise $ '!B10</f>
        <v>321.99999999999562</v>
      </c>
      <c r="F10" s="1">
        <f>'Kwh Consumption'!E11*' Kwh area wise $ '!B10</f>
        <v>18.200000000003342</v>
      </c>
      <c r="G10" s="1">
        <f>('Kwh Consumption'!F11+'Kwh Consumption'!G11+'Kwh Consumption'!H11)*' Kwh area wise $ '!B10</f>
        <v>85.399999999993966</v>
      </c>
      <c r="H10" s="16">
        <f>('Kwh Consumption'!I11+'Kwh Consumption'!J11)*' Kwh area wise $ '!B10</f>
        <v>58.800000000002235</v>
      </c>
      <c r="I10" s="1">
        <f>('Kwh Consumption'!K11+'Kwh Consumption'!L11)*' Kwh area wise $ '!B10</f>
        <v>230.99999999999287</v>
      </c>
      <c r="J10" s="1">
        <f>('Kwh Consumption'!M11+'Kwh Consumption'!N11+'Kwh Consumption'!O11+'Kwh Consumption'!P11+'Kwh Consumption'!Q11+'Kwh Consumption'!R11)*' Kwh area wise $ '!B10</f>
        <v>639.80000000002303</v>
      </c>
      <c r="K10" s="1">
        <f>('Kwh Consumption'!S11+'Kwh Consumption'!T11)*' Kwh area wise $ '!B10</f>
        <v>825.52819999998439</v>
      </c>
      <c r="L10" s="1">
        <f>'Kwh Consumption'!U11*' Kwh area wise $ '!B10</f>
        <v>29.399999999997139</v>
      </c>
      <c r="M10" s="1">
        <f>'Kwh Consumption'!V11*' Kwh area wise $ '!B10</f>
        <v>928.67180000005771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2668.3999999998659</v>
      </c>
      <c r="D11" s="1">
        <f>'Kwh Consumption'!C12*' Kwh area wise $ '!B11</f>
        <v>37.799999999997461</v>
      </c>
      <c r="E11" s="1">
        <f>'Kwh Consumption'!D12*' Kwh area wise $ '!B11</f>
        <v>321.99999999999562</v>
      </c>
      <c r="F11" s="1">
        <f>'Kwh Consumption'!E12*' Kwh area wise $ '!B11</f>
        <v>48.999999999999211</v>
      </c>
      <c r="G11" s="1">
        <f>('Kwh Consumption'!F12+'Kwh Consumption'!G12+'Kwh Consumption'!H12)*' Kwh area wise $ '!B11</f>
        <v>95.200000000004948</v>
      </c>
      <c r="H11" s="16">
        <f>('Kwh Consumption'!I12+'Kwh Consumption'!J12)*' Kwh area wise $ '!B11</f>
        <v>55.999999999998813</v>
      </c>
      <c r="I11" s="1">
        <f>('Kwh Consumption'!K12+'Kwh Consumption'!L12)*' Kwh area wise $ '!B11</f>
        <v>200.2000000000169</v>
      </c>
      <c r="J11" s="1">
        <f>('Kwh Consumption'!M12+'Kwh Consumption'!N12+'Kwh Consumption'!O12+'Kwh Consumption'!P12+'Kwh Consumption'!Q12+'Kwh Consumption'!R12)*' Kwh area wise $ '!B11</f>
        <v>490.00000000000006</v>
      </c>
      <c r="K11" s="1">
        <f>('Kwh Consumption'!S12+'Kwh Consumption'!T12)*' Kwh area wise $ '!B11</f>
        <v>640.09960000008346</v>
      </c>
      <c r="L11" s="1">
        <f>'Kwh Consumption'!U12*' Kwh area wise $ '!B11</f>
        <v>30.799999999999844</v>
      </c>
      <c r="M11" s="1">
        <f>'Kwh Consumption'!V12*' Kwh area wise $ '!B11</f>
        <v>747.30039999976964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2979.2000000001563</v>
      </c>
      <c r="D12" s="1">
        <f>'Kwh Consumption'!C13*' Kwh area wise $ '!B12</f>
        <v>61.600000000007647</v>
      </c>
      <c r="E12" s="1">
        <f>'Kwh Consumption'!D13*' Kwh area wise $ '!B12</f>
        <v>321.99999999999562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85.399999999997945</v>
      </c>
      <c r="H12" s="16">
        <f>('Kwh Consumption'!I13+'Kwh Consumption'!J13)*' Kwh area wise $ '!B12</f>
        <v>60.200000000000962</v>
      </c>
      <c r="I12" s="1">
        <f>('Kwh Consumption'!K13+'Kwh Consumption'!L13)*' Kwh area wise $ '!B12</f>
        <v>216.99999999999764</v>
      </c>
      <c r="J12" s="1">
        <f>('Kwh Consumption'!M13+'Kwh Consumption'!N13+'Kwh Consumption'!O13+'Kwh Consumption'!P13+'Kwh Consumption'!Q13+'Kwh Consumption'!R13)*' Kwh area wise $ '!B12</f>
        <v>588.00000000000637</v>
      </c>
      <c r="K12" s="1">
        <f>('Kwh Consumption'!S13+'Kwh Consumption'!T13)*' Kwh area wise $ '!B12</f>
        <v>722.321599999927</v>
      </c>
      <c r="L12" s="1">
        <f>'Kwh Consumption'!U13*' Kwh area wise $ '!B12</f>
        <v>33.600000000001273</v>
      </c>
      <c r="M12" s="1">
        <f>'Kwh Consumption'!V13*' Kwh area wise $ '!B12</f>
        <v>858.27840000022206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3336.2000000000535</v>
      </c>
      <c r="D13" s="1">
        <f>'Kwh Consumption'!C14*' Kwh area wise $ '!B13</f>
        <v>64.399999999997135</v>
      </c>
      <c r="E13" s="1">
        <f>'Kwh Consumption'!D14*' Kwh area wise $ '!B13</f>
        <v>349.99999999999261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89.599999999998104</v>
      </c>
      <c r="H13" s="16">
        <f>('Kwh Consumption'!I14+'Kwh Consumption'!J14)*' Kwh area wise $ '!B13</f>
        <v>58.799999999996267</v>
      </c>
      <c r="I13" s="1">
        <f>('Kwh Consumption'!K14+'Kwh Consumption'!L14)*' Kwh area wise $ '!B13</f>
        <v>237.99999999999844</v>
      </c>
      <c r="J13" s="1">
        <f>('Kwh Consumption'!M14+'Kwh Consumption'!N14+'Kwh Consumption'!O14+'Kwh Consumption'!P14+'Kwh Consumption'!Q14+'Kwh Consumption'!R14)*' Kwh area wise $ '!B13</f>
        <v>669.20000000000414</v>
      </c>
      <c r="K13" s="1">
        <f>('Kwh Consumption'!S14+'Kwh Consumption'!T14)*' Kwh area wise $ '!B13</f>
        <v>808.51540000004707</v>
      </c>
      <c r="L13" s="1">
        <f>'Kwh Consumption'!U14*' Kwh area wise $ '!B13</f>
        <v>32.199999999998568</v>
      </c>
      <c r="M13" s="1">
        <f>'Kwh Consumption'!V14*' Kwh area wise $ '!B13</f>
        <v>994.68460000002085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3183.5999999997789</v>
      </c>
      <c r="D14" s="1">
        <f>'Kwh Consumption'!C15*' Kwh area wise $ '!B14</f>
        <v>68.600000000001273</v>
      </c>
      <c r="E14" s="1">
        <f>'Kwh Consumption'!D15*' Kwh area wise $ '!B14</f>
        <v>308.00000000002831</v>
      </c>
      <c r="F14" s="1">
        <f>'Kwh Consumption'!E15*' Kwh area wise $ '!B14</f>
        <v>35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60.200000000000962</v>
      </c>
      <c r="I14" s="1">
        <f>('Kwh Consumption'!K15+'Kwh Consumption'!L15)*' Kwh area wise $ '!B14</f>
        <v>204.39999999999716</v>
      </c>
      <c r="J14" s="1">
        <f>('Kwh Consumption'!M15+'Kwh Consumption'!N15+'Kwh Consumption'!O15+'Kwh Consumption'!P15+'Kwh Consumption'!Q15+'Kwh Consumption'!R15)*' Kwh area wise $ '!B14</f>
        <v>671.99999999999375</v>
      </c>
      <c r="K14" s="1">
        <f>('Kwh Consumption'!S15+'Kwh Consumption'!T15)*' Kwh area wise $ '!B14</f>
        <v>782.89399999994794</v>
      </c>
      <c r="L14" s="1">
        <f>'Kwh Consumption'!U15*' Kwh area wise $ '!B14</f>
        <v>37.80000000000144</v>
      </c>
      <c r="M14" s="1">
        <f>'Kwh Consumption'!V15*' Kwh area wise $ '!B14</f>
        <v>933.50599999980625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3189.2000000002836</v>
      </c>
      <c r="D15" s="1">
        <f>'Kwh Consumption'!C16*' Kwh area wise $ '!B15</f>
        <v>65.799999999995862</v>
      </c>
      <c r="E15" s="1">
        <f>'Kwh Consumption'!D16*' Kwh area wise $ '!B15</f>
        <v>321.99999999999562</v>
      </c>
      <c r="F15" s="1">
        <f>'Kwh Consumption'!E16*' Kwh area wise $ '!B15</f>
        <v>35</v>
      </c>
      <c r="G15" s="1">
        <f>('Kwh Consumption'!F16+'Kwh Consumption'!G16+'Kwh Consumption'!H16)*' Kwh area wise $ '!B15</f>
        <v>79.800000000003038</v>
      </c>
      <c r="H15" s="16">
        <f>('Kwh Consumption'!I16+'Kwh Consumption'!J16)*' Kwh area wise $ '!B15</f>
        <v>60.200000000000962</v>
      </c>
      <c r="I15" s="1">
        <f>('Kwh Consumption'!K16+'Kwh Consumption'!L16)*' Kwh area wise $ '!B15</f>
        <v>260.40000000000191</v>
      </c>
      <c r="J15" s="1">
        <f>('Kwh Consumption'!M16+'Kwh Consumption'!N16+'Kwh Consumption'!O16+'Kwh Consumption'!P16+'Kwh Consumption'!Q16+'Kwh Consumption'!R16)*' Kwh area wise $ '!B15</f>
        <v>677.59999999998865</v>
      </c>
      <c r="K15" s="1">
        <f>('Kwh Consumption'!S16+'Kwh Consumption'!T16)*' Kwh area wise $ '!B15</f>
        <v>835.17979999991144</v>
      </c>
      <c r="L15" s="1">
        <f>'Kwh Consumption'!U16*' Kwh area wise $ '!B15</f>
        <v>32.199999999998568</v>
      </c>
      <c r="M15" s="1">
        <f>'Kwh Consumption'!V16*' Kwh area wise $ '!B15</f>
        <v>821.02020000038772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3203.1999999998884</v>
      </c>
      <c r="D16" s="1">
        <f>'Kwh Consumption'!C17*' Kwh area wise $ '!B16</f>
        <v>65.80000000000382</v>
      </c>
      <c r="E16" s="1">
        <f>'Kwh Consumption'!D17*' Kwh area wise $ '!B16</f>
        <v>349.99999999999261</v>
      </c>
      <c r="F16" s="1">
        <f>'Kwh Consumption'!E17*' Kwh area wise $ '!B16</f>
        <v>27.999999999998412</v>
      </c>
      <c r="G16" s="1">
        <f>('Kwh Consumption'!F17+'Kwh Consumption'!G17+'Kwh Consumption'!H17)*' Kwh area wise $ '!B16</f>
        <v>71.399999999994748</v>
      </c>
      <c r="H16" s="16">
        <f>('Kwh Consumption'!I17+'Kwh Consumption'!J17)*' Kwh area wise $ '!B16</f>
        <v>56.000000000002792</v>
      </c>
      <c r="I16" s="1">
        <f>('Kwh Consumption'!K17+'Kwh Consumption'!L17)*' Kwh area wise $ '!B16</f>
        <v>272.99999999999841</v>
      </c>
      <c r="J16" s="1">
        <f>('Kwh Consumption'!M17+'Kwh Consumption'!N17+'Kwh Consumption'!O17+'Kwh Consumption'!P17+'Kwh Consumption'!Q17+'Kwh Consumption'!R17)*' Kwh area wise $ '!B16</f>
        <v>615.99999999999693</v>
      </c>
      <c r="K16" s="1">
        <f>('Kwh Consumption'!S17+'Kwh Consumption'!T17)*' Kwh area wise $ '!B16</f>
        <v>779.21620000014093</v>
      </c>
      <c r="L16" s="1">
        <f>'Kwh Consumption'!U17*' Kwh area wise $ '!B16</f>
        <v>29.400000000001118</v>
      </c>
      <c r="M16" s="1">
        <f>'Kwh Consumption'!V17*' Kwh area wise $ '!B16</f>
        <v>934.38379999975871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3289.9999999998731</v>
      </c>
      <c r="D17" s="1">
        <f>'Kwh Consumption'!C18*' Kwh area wise $ '!B17</f>
        <v>67.199999999994589</v>
      </c>
      <c r="E17" s="1">
        <f>'Kwh Consumption'!D18*' Kwh area wise $ '!B17</f>
        <v>364.00000000002211</v>
      </c>
      <c r="F17" s="1">
        <f>'Kwh Consumption'!E18*' Kwh area wise $ '!B17</f>
        <v>37.80000000000144</v>
      </c>
      <c r="G17" s="1">
        <f>('Kwh Consumption'!F18+'Kwh Consumption'!G18+'Kwh Consumption'!H18)*' Kwh area wise $ '!B17</f>
        <v>103.60000000000129</v>
      </c>
      <c r="H17" s="16">
        <f>('Kwh Consumption'!I18+'Kwh Consumption'!J18)*' Kwh area wise $ '!B17</f>
        <v>53.19999999999937</v>
      </c>
      <c r="I17" s="1">
        <f>('Kwh Consumption'!K18+'Kwh Consumption'!L18)*' Kwh area wise $ '!B17</f>
        <v>89.599999999998104</v>
      </c>
      <c r="J17" s="1">
        <f>('Kwh Consumption'!M18+'Kwh Consumption'!N18+'Kwh Consumption'!O18+'Kwh Consumption'!P18+'Kwh Consumption'!Q18+'Kwh Consumption'!R18)*' Kwh area wise $ '!B17</f>
        <v>690.20000000001687</v>
      </c>
      <c r="K17" s="1">
        <f>('Kwh Consumption'!S18+'Kwh Consumption'!T18)*' Kwh area wise $ '!B17</f>
        <v>783.57579999983318</v>
      </c>
      <c r="L17" s="1">
        <f>'Kwh Consumption'!U18*' Kwh area wise $ '!B17</f>
        <v>30.799999999999844</v>
      </c>
      <c r="M17" s="1">
        <f>'Kwh Consumption'!V18*' Kwh area wise $ '!B17</f>
        <v>1070.024200000006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3036.6000000000399</v>
      </c>
      <c r="D18" s="1">
        <f>'Kwh Consumption'!C19*' Kwh area wise $ '!B18</f>
        <v>70</v>
      </c>
      <c r="E18" s="1">
        <f>'Kwh Consumption'!D19*' Kwh area wise $ '!B18</f>
        <v>349.99999999999261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107.79999999999747</v>
      </c>
      <c r="H18" s="16">
        <f>('Kwh Consumption'!I19+'Kwh Consumption'!J19)*' Kwh area wise $ '!B18</f>
        <v>68.599999999997294</v>
      </c>
      <c r="I18" s="1">
        <f>('Kwh Consumption'!K19+'Kwh Consumption'!L19)*' Kwh area wise $ '!B18</f>
        <v>411.6000000000077</v>
      </c>
      <c r="J18" s="1">
        <f>('Kwh Consumption'!M19+'Kwh Consumption'!N19+'Kwh Consumption'!O19+'Kwh Consumption'!P19+'Kwh Consumption'!Q19+'Kwh Consumption'!R19)*' Kwh area wise $ '!B18</f>
        <v>656.60000000000775</v>
      </c>
      <c r="K18" s="1">
        <f>('Kwh Consumption'!S19+'Kwh Consumption'!T19)*' Kwh area wise $ '!B18</f>
        <v>830.92520000021909</v>
      </c>
      <c r="L18" s="1">
        <f>'Kwh Consumption'!U19*' Kwh area wise $ '!B18</f>
        <v>29.400000000001118</v>
      </c>
      <c r="M18" s="1">
        <f>'Kwh Consumption'!V19*' Kwh area wise $ '!B18</f>
        <v>475.2747999998187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-59897.600000000006</v>
      </c>
      <c r="E19" s="1">
        <f>'Kwh Consumption'!D20*' Kwh area wise $ '!B19</f>
        <v>-338632.00000000006</v>
      </c>
      <c r="F19" s="1">
        <f>'Kwh Consumption'!E20*' Kwh area wise $ '!B19</f>
        <v>-32660.600000000002</v>
      </c>
      <c r="G19" s="1">
        <f>('Kwh Consumption'!F20+'Kwh Consumption'!G20+'Kwh Consumption'!H20)*' Kwh area wise $ '!B19</f>
        <v>-126175.00000000001</v>
      </c>
      <c r="H19" s="16">
        <f>('Kwh Consumption'!I20+'Kwh Consumption'!J20)*' Kwh area wise $ '!B19</f>
        <v>-39162.200000000004</v>
      </c>
      <c r="I19" s="1">
        <f>('Kwh Consumption'!K20+'Kwh Consumption'!L20)*' Kwh area wise $ '!B19</f>
        <v>-174169.80000000002</v>
      </c>
      <c r="J19" s="1">
        <f>('Kwh Consumption'!M20+'Kwh Consumption'!N20+'Kwh Consumption'!O20+'Kwh Consumption'!P20+'Kwh Consumption'!Q20+'Kwh Consumption'!R20)*' Kwh area wise $ '!B19</f>
        <v>-491759.80000000005</v>
      </c>
      <c r="K19" s="1">
        <f>('Kwh Consumption'!S20+'Kwh Consumption'!T20)*' Kwh area wise $ '!B19</f>
        <v>-2205799.1620000005</v>
      </c>
      <c r="L19" s="1">
        <f>'Kwh Consumption'!U20*' Kwh area wise $ '!B19</f>
        <v>-21686.000000000004</v>
      </c>
      <c r="M19" s="1">
        <f>'Kwh Consumption'!V20*' Kwh area wise $ '!B19</f>
        <v>3489942.1620000005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51017.399999999965</v>
      </c>
      <c r="D34" s="75">
        <f t="shared" si="0"/>
        <v>-58898.000000000007</v>
      </c>
      <c r="E34" s="75">
        <f t="shared" si="0"/>
        <v>-333312</v>
      </c>
      <c r="F34" s="75">
        <f t="shared" si="0"/>
        <v>-32141.200000000004</v>
      </c>
      <c r="G34" s="75">
        <f t="shared" si="0"/>
        <v>-124762.40000000002</v>
      </c>
      <c r="H34" s="75">
        <f t="shared" si="0"/>
        <v>-38204.600000000006</v>
      </c>
      <c r="I34" s="75">
        <f t="shared" si="0"/>
        <v>-170410.8</v>
      </c>
      <c r="J34" s="75">
        <f t="shared" si="0"/>
        <v>-481465.60000000003</v>
      </c>
      <c r="K34" s="75">
        <f t="shared" si="0"/>
        <v>-2193129.6016000002</v>
      </c>
      <c r="L34" s="75">
        <f t="shared" si="0"/>
        <v>-21193.200000000001</v>
      </c>
      <c r="M34" s="75">
        <f>SUM(M3:M33)</f>
        <v>3504534.8016000004</v>
      </c>
      <c r="N34" s="84">
        <f>D34+E34+F34+G34+H34+I34+J34+K34+L34+M34</f>
        <v>51017.399999999907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C19" sqref="C1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128664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>
        <v>171066</v>
      </c>
      <c r="C8" s="56">
        <v>129174</v>
      </c>
      <c r="D8" s="55">
        <v>209994</v>
      </c>
      <c r="E8" s="55">
        <v>248146</v>
      </c>
      <c r="F8" s="55">
        <v>66933</v>
      </c>
      <c r="G8" s="55">
        <v>111715</v>
      </c>
      <c r="H8" s="33">
        <v>53105</v>
      </c>
      <c r="I8" s="55">
        <v>63743</v>
      </c>
      <c r="J8" s="55">
        <v>20368</v>
      </c>
      <c r="K8" s="55">
        <v>1024</v>
      </c>
      <c r="L8" s="55">
        <v>17264</v>
      </c>
      <c r="M8" s="55">
        <v>24236</v>
      </c>
      <c r="N8" s="55">
        <v>7320</v>
      </c>
      <c r="O8" s="55">
        <v>1675</v>
      </c>
      <c r="P8" s="55">
        <v>27061</v>
      </c>
      <c r="Q8" s="33">
        <v>672</v>
      </c>
      <c r="R8" s="55">
        <v>6245</v>
      </c>
    </row>
    <row r="9" spans="1:21" x14ac:dyDescent="0.25">
      <c r="A9" s="54">
        <v>44384</v>
      </c>
      <c r="B9" s="56">
        <v>171066</v>
      </c>
      <c r="C9" s="33">
        <v>129174</v>
      </c>
      <c r="D9" s="55">
        <v>210091</v>
      </c>
      <c r="E9" s="55">
        <v>248213</v>
      </c>
      <c r="F9" s="55">
        <v>66936</v>
      </c>
      <c r="G9" s="55">
        <v>111728</v>
      </c>
      <c r="H9" s="33">
        <v>53144</v>
      </c>
      <c r="I9" s="55">
        <v>63773</v>
      </c>
      <c r="J9" s="55">
        <v>20379</v>
      </c>
      <c r="K9" s="55">
        <v>1024</v>
      </c>
      <c r="L9" s="55">
        <v>17271</v>
      </c>
      <c r="M9" s="55">
        <v>24248</v>
      </c>
      <c r="N9" s="55">
        <v>7333</v>
      </c>
      <c r="O9" s="55">
        <v>1675</v>
      </c>
      <c r="P9" s="55">
        <v>27075</v>
      </c>
      <c r="Q9" s="33">
        <v>677</v>
      </c>
      <c r="R9" s="55">
        <v>6249</v>
      </c>
    </row>
    <row r="10" spans="1:21" x14ac:dyDescent="0.25">
      <c r="A10" s="54">
        <v>44385</v>
      </c>
      <c r="B10" s="33">
        <v>171066</v>
      </c>
      <c r="C10" s="56">
        <v>129442</v>
      </c>
      <c r="D10" s="55">
        <v>210185</v>
      </c>
      <c r="E10" s="55">
        <v>248276</v>
      </c>
      <c r="F10" s="55">
        <v>66937</v>
      </c>
      <c r="G10" s="55">
        <v>111743</v>
      </c>
      <c r="H10" s="33">
        <v>53170</v>
      </c>
      <c r="I10" s="55">
        <v>63784</v>
      </c>
      <c r="J10" s="55">
        <v>20391</v>
      </c>
      <c r="K10" s="55">
        <v>1024</v>
      </c>
      <c r="L10" s="55">
        <v>17278</v>
      </c>
      <c r="M10" s="55">
        <v>24264</v>
      </c>
      <c r="N10" s="55">
        <v>7341</v>
      </c>
      <c r="O10" s="55">
        <v>1676</v>
      </c>
      <c r="P10" s="55">
        <v>27075</v>
      </c>
      <c r="Q10" s="33">
        <v>689</v>
      </c>
      <c r="R10" s="55">
        <v>6253</v>
      </c>
    </row>
    <row r="11" spans="1:21" x14ac:dyDescent="0.25">
      <c r="A11" s="54">
        <v>44386</v>
      </c>
      <c r="B11" s="56">
        <v>171066</v>
      </c>
      <c r="C11" s="33">
        <v>129507</v>
      </c>
      <c r="D11" s="55">
        <v>210285</v>
      </c>
      <c r="E11" s="55">
        <v>248332</v>
      </c>
      <c r="F11" s="55">
        <v>66939</v>
      </c>
      <c r="G11" s="55">
        <v>111759</v>
      </c>
      <c r="H11" s="33">
        <v>53197</v>
      </c>
      <c r="I11" s="55">
        <v>63803</v>
      </c>
      <c r="J11" s="55">
        <v>20402</v>
      </c>
      <c r="K11" s="55">
        <v>1024</v>
      </c>
      <c r="L11" s="55">
        <v>17286</v>
      </c>
      <c r="M11" s="55">
        <v>24279</v>
      </c>
      <c r="N11" s="55">
        <v>7342</v>
      </c>
      <c r="O11" s="55">
        <v>1678</v>
      </c>
      <c r="P11" s="55">
        <v>27092</v>
      </c>
      <c r="Q11" s="33">
        <v>695</v>
      </c>
      <c r="R11" s="55">
        <v>6258</v>
      </c>
    </row>
    <row r="12" spans="1:21" x14ac:dyDescent="0.25">
      <c r="A12" s="54">
        <v>44387</v>
      </c>
      <c r="B12" s="33">
        <v>171066</v>
      </c>
      <c r="C12" s="56">
        <v>130185</v>
      </c>
      <c r="D12" s="55">
        <v>210387</v>
      </c>
      <c r="E12" s="55">
        <v>248395</v>
      </c>
      <c r="F12" s="55">
        <v>66940</v>
      </c>
      <c r="G12" s="55">
        <v>111777</v>
      </c>
      <c r="H12" s="33">
        <v>53228</v>
      </c>
      <c r="I12" s="55">
        <v>63823</v>
      </c>
      <c r="J12" s="55">
        <v>20413</v>
      </c>
      <c r="K12" s="55">
        <v>1024</v>
      </c>
      <c r="L12" s="55">
        <v>17295</v>
      </c>
      <c r="M12" s="55">
        <v>24297</v>
      </c>
      <c r="N12" s="55">
        <v>7347</v>
      </c>
      <c r="O12" s="55">
        <v>1679</v>
      </c>
      <c r="P12" s="55">
        <v>27095</v>
      </c>
      <c r="Q12" s="33">
        <v>697</v>
      </c>
      <c r="R12" s="55">
        <v>6259</v>
      </c>
    </row>
    <row r="13" spans="1:21" x14ac:dyDescent="0.25">
      <c r="A13" s="54">
        <v>44388</v>
      </c>
      <c r="B13" s="56">
        <v>171066</v>
      </c>
      <c r="C13" s="33">
        <v>130360</v>
      </c>
      <c r="D13" s="55">
        <v>210583</v>
      </c>
      <c r="E13" s="55">
        <v>248453</v>
      </c>
      <c r="F13" s="55">
        <v>66940</v>
      </c>
      <c r="G13" s="55">
        <v>111791</v>
      </c>
      <c r="H13" s="33">
        <v>53264</v>
      </c>
      <c r="I13" s="55">
        <v>63847</v>
      </c>
      <c r="J13" s="55">
        <v>20424</v>
      </c>
      <c r="K13" s="55">
        <v>1024</v>
      </c>
      <c r="L13" s="55">
        <v>17304</v>
      </c>
      <c r="M13" s="55">
        <v>24314</v>
      </c>
      <c r="N13" s="55">
        <v>7351</v>
      </c>
      <c r="O13" s="55">
        <v>1680</v>
      </c>
      <c r="P13" s="55">
        <v>27097</v>
      </c>
      <c r="Q13" s="33">
        <v>702</v>
      </c>
      <c r="R13" s="55">
        <v>6265</v>
      </c>
    </row>
    <row r="14" spans="1:21" x14ac:dyDescent="0.25">
      <c r="A14" s="54">
        <v>44389</v>
      </c>
      <c r="B14" s="33">
        <v>171066</v>
      </c>
      <c r="C14" s="56">
        <v>130404</v>
      </c>
      <c r="D14" s="55">
        <v>210733</v>
      </c>
      <c r="E14" s="55">
        <v>248513</v>
      </c>
      <c r="F14" s="55">
        <v>66941</v>
      </c>
      <c r="G14" s="55">
        <v>111808</v>
      </c>
      <c r="H14" s="33">
        <v>53334</v>
      </c>
      <c r="I14" s="55">
        <v>63875</v>
      </c>
      <c r="J14" s="55">
        <v>20435</v>
      </c>
      <c r="K14" s="55">
        <v>1024</v>
      </c>
      <c r="L14" s="55">
        <v>17311</v>
      </c>
      <c r="M14" s="55">
        <v>24329</v>
      </c>
      <c r="N14" s="55">
        <v>7358</v>
      </c>
      <c r="O14" s="55">
        <v>1680</v>
      </c>
      <c r="P14" s="55">
        <v>27110</v>
      </c>
      <c r="Q14" s="33">
        <v>708</v>
      </c>
      <c r="R14" s="55">
        <v>6280</v>
      </c>
    </row>
    <row r="15" spans="1:21" x14ac:dyDescent="0.25">
      <c r="A15" s="54">
        <v>44390</v>
      </c>
      <c r="B15" s="33">
        <v>171066</v>
      </c>
      <c r="C15" s="33">
        <v>131440</v>
      </c>
      <c r="D15" s="55">
        <v>210858</v>
      </c>
      <c r="E15" s="55">
        <v>248573</v>
      </c>
      <c r="F15" s="55">
        <v>66941</v>
      </c>
      <c r="G15" s="55">
        <v>111821</v>
      </c>
      <c r="H15" s="33">
        <v>53428</v>
      </c>
      <c r="I15" s="55">
        <v>63899</v>
      </c>
      <c r="J15" s="55">
        <v>20447</v>
      </c>
      <c r="K15" s="55">
        <v>1024</v>
      </c>
      <c r="L15" s="55">
        <v>17319</v>
      </c>
      <c r="M15" s="55">
        <v>24346</v>
      </c>
      <c r="N15" s="55">
        <v>7363</v>
      </c>
      <c r="O15" s="55">
        <v>1681</v>
      </c>
      <c r="P15" s="55">
        <v>27119</v>
      </c>
      <c r="Q15" s="33">
        <v>712</v>
      </c>
      <c r="R15" s="55">
        <v>6286</v>
      </c>
      <c r="T15" s="110"/>
      <c r="U15" s="110"/>
    </row>
    <row r="16" spans="1:21" x14ac:dyDescent="0.25">
      <c r="A16" s="54">
        <v>44391</v>
      </c>
      <c r="B16" s="33">
        <v>171066</v>
      </c>
      <c r="C16" s="56">
        <v>131454</v>
      </c>
      <c r="D16" s="55">
        <v>210969</v>
      </c>
      <c r="E16" s="55">
        <v>248639</v>
      </c>
      <c r="F16" s="55">
        <v>66942</v>
      </c>
      <c r="G16" s="55">
        <v>111839</v>
      </c>
      <c r="H16" s="33">
        <v>53495</v>
      </c>
      <c r="I16" s="55">
        <v>63927</v>
      </c>
      <c r="J16" s="55">
        <v>20459</v>
      </c>
      <c r="K16" s="55">
        <v>1024</v>
      </c>
      <c r="L16" s="55">
        <v>17331</v>
      </c>
      <c r="M16" s="55">
        <v>24365</v>
      </c>
      <c r="N16" s="55">
        <v>7366</v>
      </c>
      <c r="O16" s="55">
        <v>1682</v>
      </c>
      <c r="P16" s="55">
        <v>27130</v>
      </c>
      <c r="Q16" s="33">
        <v>714</v>
      </c>
      <c r="R16" s="55">
        <v>6292</v>
      </c>
    </row>
    <row r="17" spans="1:22" x14ac:dyDescent="0.25">
      <c r="A17" s="54">
        <v>44392</v>
      </c>
      <c r="B17" s="33">
        <v>171066</v>
      </c>
      <c r="C17" s="33">
        <v>131547</v>
      </c>
      <c r="D17" s="55">
        <v>211077</v>
      </c>
      <c r="E17" s="55">
        <v>248694</v>
      </c>
      <c r="F17" s="55">
        <v>66943</v>
      </c>
      <c r="G17" s="55">
        <v>111849</v>
      </c>
      <c r="H17" s="33">
        <v>53555</v>
      </c>
      <c r="I17" s="55">
        <v>63951</v>
      </c>
      <c r="J17" s="55">
        <v>20470</v>
      </c>
      <c r="K17" s="55">
        <v>1024</v>
      </c>
      <c r="L17" s="55">
        <v>17339</v>
      </c>
      <c r="M17" s="55">
        <v>24379</v>
      </c>
      <c r="N17" s="55">
        <v>7368</v>
      </c>
      <c r="O17" s="55">
        <v>1683</v>
      </c>
      <c r="P17" s="55">
        <v>27142</v>
      </c>
      <c r="Q17" s="33">
        <v>715.2</v>
      </c>
      <c r="R17" s="55">
        <v>6298</v>
      </c>
    </row>
    <row r="18" spans="1:22" x14ac:dyDescent="0.25">
      <c r="A18" s="54">
        <v>44393</v>
      </c>
      <c r="B18" s="33">
        <v>171066</v>
      </c>
      <c r="C18" s="56">
        <v>131562</v>
      </c>
      <c r="D18" s="55">
        <v>211190</v>
      </c>
      <c r="E18" s="55">
        <v>248754</v>
      </c>
      <c r="F18" s="55">
        <v>66944</v>
      </c>
      <c r="G18" s="55">
        <v>111869</v>
      </c>
      <c r="H18" s="33">
        <v>53627</v>
      </c>
      <c r="I18" s="55">
        <v>63997</v>
      </c>
      <c r="J18" s="33">
        <v>20482</v>
      </c>
      <c r="K18" s="55">
        <v>1024</v>
      </c>
      <c r="L18" s="55">
        <v>17347</v>
      </c>
      <c r="M18" s="55">
        <v>24395</v>
      </c>
      <c r="N18" s="55">
        <v>7371</v>
      </c>
      <c r="O18" s="55">
        <v>1684</v>
      </c>
      <c r="P18" s="55">
        <v>27154</v>
      </c>
      <c r="Q18" s="33">
        <v>721</v>
      </c>
      <c r="R18" s="55">
        <v>6303</v>
      </c>
      <c r="U18" s="110"/>
    </row>
    <row r="19" spans="1:22" x14ac:dyDescent="0.25">
      <c r="A19" s="54">
        <v>44394</v>
      </c>
      <c r="B19" s="33">
        <v>171066</v>
      </c>
      <c r="C19" s="33">
        <v>132114</v>
      </c>
      <c r="D19" s="55">
        <v>211339</v>
      </c>
      <c r="E19" s="55">
        <v>248822</v>
      </c>
      <c r="F19" s="55">
        <v>66945</v>
      </c>
      <c r="G19" s="55">
        <v>111892</v>
      </c>
      <c r="H19" s="33">
        <v>53704</v>
      </c>
      <c r="I19" s="55">
        <v>64017</v>
      </c>
      <c r="J19" s="55">
        <v>20495</v>
      </c>
      <c r="K19" s="55">
        <v>1024</v>
      </c>
      <c r="L19" s="55">
        <v>17355</v>
      </c>
      <c r="M19" s="55">
        <v>24412</v>
      </c>
      <c r="N19" s="55">
        <v>7374</v>
      </c>
      <c r="O19" s="55">
        <v>1686</v>
      </c>
      <c r="P19" s="55">
        <v>27154</v>
      </c>
      <c r="Q19" s="33">
        <v>724</v>
      </c>
      <c r="R19" s="55">
        <v>6309</v>
      </c>
    </row>
    <row r="20" spans="1:22" x14ac:dyDescent="0.25">
      <c r="A20" s="54">
        <v>44395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44396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44397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44398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44399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44400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44401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44402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44403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44404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44405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44406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44407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44408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44409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18" sqref="C18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442</v>
      </c>
      <c r="D7" s="67">
        <f t="shared" si="2"/>
        <v>1.7967479674796747</v>
      </c>
      <c r="E7" s="88">
        <f>'Water Reading'!H7-'Water Reading'!H6</f>
        <v>41</v>
      </c>
      <c r="F7" s="89">
        <f t="shared" si="3"/>
        <v>9.2760180995475117E-2</v>
      </c>
      <c r="G7" s="93">
        <f>('Water Reading'!D7-'Water Reading'!D6)-('Water Reading'!R7-'Water Reading'!R6)-('Water Reading'!Q7-'Water Reading'!Q6)</f>
        <v>86</v>
      </c>
      <c r="H7" s="89">
        <f t="shared" si="4"/>
        <v>0.19457013574660634</v>
      </c>
      <c r="I7" s="90">
        <f>'Water Reading'!P7-'Water Reading'!P6</f>
        <v>9</v>
      </c>
      <c r="J7" s="68">
        <f t="shared" si="5"/>
        <v>2.0361990950226245E-2</v>
      </c>
      <c r="K7" s="91">
        <f>('Water Reading'!I7-'Water Reading'!I6)-('Water Reading'!P7-'Water Reading'!P6)</f>
        <v>16</v>
      </c>
      <c r="L7" s="68">
        <f t="shared" si="6"/>
        <v>3.6199095022624438E-2</v>
      </c>
      <c r="M7" s="90">
        <f>'Water Reading'!R7-'Water Reading'!R6</f>
        <v>4</v>
      </c>
      <c r="N7" s="92">
        <f t="shared" si="7"/>
        <v>9.0497737556561094E-3</v>
      </c>
      <c r="O7" s="90">
        <f>'Water Reading'!Q7-'Water Reading'!Q6</f>
        <v>5</v>
      </c>
      <c r="P7" s="99">
        <f t="shared" si="8"/>
        <v>1.1312217194570135E-2</v>
      </c>
      <c r="Q7" s="91">
        <f>'Water Reading'!F7-'Water Reading'!F6</f>
        <v>1</v>
      </c>
      <c r="R7" s="100">
        <f t="shared" si="9"/>
        <v>2.2624434389140274E-3</v>
      </c>
      <c r="S7" s="90">
        <f>'Water Reading'!E7-'Water Reading'!E6</f>
        <v>68</v>
      </c>
      <c r="T7" s="100">
        <f t="shared" si="10"/>
        <v>0.15384615384615385</v>
      </c>
      <c r="U7" s="90">
        <f>'Water Reading'!G7-'Water Reading'!G6</f>
        <v>16</v>
      </c>
      <c r="V7" s="100">
        <f t="shared" si="11"/>
        <v>3.6199095022624438E-2</v>
      </c>
      <c r="W7" s="90">
        <f>'Water Reading'!J7-'Water Reading'!J6</f>
        <v>16</v>
      </c>
      <c r="X7" s="100">
        <f t="shared" si="12"/>
        <v>3.6199095022624438E-2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245</v>
      </c>
      <c r="C8" s="66">
        <f>('Water Reading'!B8-'Water Reading'!B7)+('Water Reading'!C8-'Water Reading'!C7)</f>
        <v>510</v>
      </c>
      <c r="D8" s="67">
        <f t="shared" si="2"/>
        <v>2.0816326530612246</v>
      </c>
      <c r="E8" s="88">
        <f>'Water Reading'!H8-'Water Reading'!H7</f>
        <v>33</v>
      </c>
      <c r="F8" s="89">
        <f t="shared" si="3"/>
        <v>6.4705882352941183E-2</v>
      </c>
      <c r="G8" s="93">
        <f>('Water Reading'!D8-'Water Reading'!D7)-('Water Reading'!R8-'Water Reading'!R7)-('Water Reading'!Q8-'Water Reading'!Q7)</f>
        <v>105</v>
      </c>
      <c r="H8" s="89">
        <f t="shared" si="4"/>
        <v>0.20588235294117646</v>
      </c>
      <c r="I8" s="90">
        <f>'Water Reading'!P8-'Water Reading'!P7</f>
        <v>12</v>
      </c>
      <c r="J8" s="68">
        <f t="shared" si="5"/>
        <v>2.3529411764705882E-2</v>
      </c>
      <c r="K8" s="91">
        <f>('Water Reading'!I8-'Water Reading'!I7)-('Water Reading'!P8-'Water Reading'!P7)</f>
        <v>13</v>
      </c>
      <c r="L8" s="68">
        <f t="shared" si="6"/>
        <v>2.5490196078431372E-2</v>
      </c>
      <c r="M8" s="90">
        <f>'Water Reading'!R8-'Water Reading'!R7</f>
        <v>3</v>
      </c>
      <c r="N8" s="92">
        <f t="shared" si="7"/>
        <v>5.8823529411764705E-3</v>
      </c>
      <c r="O8" s="90">
        <f>'Water Reading'!Q8-'Water Reading'!Q7</f>
        <v>10</v>
      </c>
      <c r="P8" s="99">
        <f t="shared" si="8"/>
        <v>1.9607843137254902E-2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62</v>
      </c>
      <c r="T8" s="100">
        <f t="shared" si="10"/>
        <v>0.12156862745098039</v>
      </c>
      <c r="U8" s="90">
        <f>'Water Reading'!G8-'Water Reading'!G7</f>
        <v>16</v>
      </c>
      <c r="V8" s="100">
        <f t="shared" si="11"/>
        <v>3.1372549019607843E-2</v>
      </c>
      <c r="W8" s="90">
        <f>'Water Reading'!J8-'Water Reading'!J7</f>
        <v>11</v>
      </c>
      <c r="X8" s="100">
        <f t="shared" si="12"/>
        <v>2.1568627450980392E-2</v>
      </c>
      <c r="Y8" s="66">
        <f t="shared" si="0"/>
        <v>265</v>
      </c>
      <c r="Z8" s="67">
        <f t="shared" si="1"/>
        <v>1.0816326530612246</v>
      </c>
    </row>
    <row r="9" spans="1:26" x14ac:dyDescent="0.25">
      <c r="A9" s="8">
        <f>'Water Reading'!A8</f>
        <v>44383</v>
      </c>
      <c r="B9" s="65">
        <f>TOTAL!I7</f>
        <v>240</v>
      </c>
      <c r="C9" s="66">
        <f>('Water Reading'!B9-'Water Reading'!B8)+('Water Reading'!C9-'Water Reading'!C8)</f>
        <v>0</v>
      </c>
      <c r="D9" s="67">
        <f t="shared" si="2"/>
        <v>0</v>
      </c>
      <c r="E9" s="88">
        <f>'Water Reading'!H9-'Water Reading'!H8</f>
        <v>39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88</v>
      </c>
      <c r="H9" s="89" t="e">
        <f t="shared" si="4"/>
        <v>#DIV/0!</v>
      </c>
      <c r="I9" s="90">
        <f>'Water Reading'!P9-'Water Reading'!P8</f>
        <v>14</v>
      </c>
      <c r="J9" s="68" t="e">
        <f t="shared" si="5"/>
        <v>#DIV/0!</v>
      </c>
      <c r="K9" s="91">
        <f>('Water Reading'!I9-'Water Reading'!I8)-('Water Reading'!P9-'Water Reading'!P8)</f>
        <v>16</v>
      </c>
      <c r="L9" s="68" t="e">
        <f t="shared" si="6"/>
        <v>#DIV/0!</v>
      </c>
      <c r="M9" s="90">
        <f>'Water Reading'!R9-'Water Reading'!R8</f>
        <v>4</v>
      </c>
      <c r="N9" s="92" t="e">
        <f t="shared" si="7"/>
        <v>#DIV/0!</v>
      </c>
      <c r="O9" s="90">
        <f>'Water Reading'!Q9-'Water Reading'!Q8</f>
        <v>5</v>
      </c>
      <c r="P9" s="99" t="e">
        <f t="shared" si="8"/>
        <v>#DIV/0!</v>
      </c>
      <c r="Q9" s="91">
        <f>'Water Reading'!F9-'Water Reading'!F8</f>
        <v>3</v>
      </c>
      <c r="R9" s="100" t="e">
        <f t="shared" si="9"/>
        <v>#DIV/0!</v>
      </c>
      <c r="S9" s="90">
        <f>'Water Reading'!E9-'Water Reading'!E8</f>
        <v>67</v>
      </c>
      <c r="T9" s="100" t="e">
        <f t="shared" si="10"/>
        <v>#DIV/0!</v>
      </c>
      <c r="U9" s="90">
        <f>'Water Reading'!G9-'Water Reading'!G8</f>
        <v>13</v>
      </c>
      <c r="V9" s="100" t="e">
        <f t="shared" si="11"/>
        <v>#DIV/0!</v>
      </c>
      <c r="W9" s="90">
        <f>'Water Reading'!J9-'Water Reading'!J8</f>
        <v>11</v>
      </c>
      <c r="X9" s="100" t="e">
        <f t="shared" si="12"/>
        <v>#DIV/0!</v>
      </c>
      <c r="Y9" s="66">
        <f t="shared" si="0"/>
        <v>260</v>
      </c>
      <c r="Z9" s="67">
        <f t="shared" si="1"/>
        <v>1.0833333333333333</v>
      </c>
    </row>
    <row r="10" spans="1:26" x14ac:dyDescent="0.25">
      <c r="A10" s="8">
        <f>'Water Reading'!A9</f>
        <v>44384</v>
      </c>
      <c r="B10" s="65">
        <f>TOTAL!I8</f>
        <v>226</v>
      </c>
      <c r="C10" s="66">
        <f>('Water Reading'!B10-'Water Reading'!B9)+('Water Reading'!C10-'Water Reading'!C9)</f>
        <v>268</v>
      </c>
      <c r="D10" s="67">
        <f t="shared" si="2"/>
        <v>1.1858407079646018</v>
      </c>
      <c r="E10" s="88">
        <f>'Water Reading'!H10-'Water Reading'!H9</f>
        <v>26</v>
      </c>
      <c r="F10" s="89">
        <f t="shared" si="3"/>
        <v>9.7014925373134331E-2</v>
      </c>
      <c r="G10" s="93">
        <f>('Water Reading'!D10-'Water Reading'!D9)-('Water Reading'!R10-'Water Reading'!R9)-('Water Reading'!Q10-'Water Reading'!Q9)</f>
        <v>78</v>
      </c>
      <c r="H10" s="89">
        <f t="shared" si="4"/>
        <v>0.29104477611940299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11</v>
      </c>
      <c r="L10" s="68">
        <f t="shared" si="6"/>
        <v>4.1044776119402986E-2</v>
      </c>
      <c r="M10" s="90">
        <f>'Water Reading'!R10-'Water Reading'!R9</f>
        <v>4</v>
      </c>
      <c r="N10" s="92">
        <f t="shared" si="7"/>
        <v>1.4925373134328358E-2</v>
      </c>
      <c r="O10" s="90">
        <f>'Water Reading'!Q10-'Water Reading'!Q9</f>
        <v>12</v>
      </c>
      <c r="P10" s="99">
        <f t="shared" si="8"/>
        <v>4.4776119402985072E-2</v>
      </c>
      <c r="Q10" s="91">
        <f>'Water Reading'!F10-'Water Reading'!F9</f>
        <v>1</v>
      </c>
      <c r="R10" s="100">
        <f t="shared" si="9"/>
        <v>3.7313432835820895E-3</v>
      </c>
      <c r="S10" s="90">
        <f>'Water Reading'!E10-'Water Reading'!E9</f>
        <v>63</v>
      </c>
      <c r="T10" s="100">
        <f t="shared" si="10"/>
        <v>0.23507462686567165</v>
      </c>
      <c r="U10" s="90">
        <f>'Water Reading'!G10-'Water Reading'!G9</f>
        <v>15</v>
      </c>
      <c r="V10" s="100">
        <f t="shared" si="11"/>
        <v>5.5970149253731345E-2</v>
      </c>
      <c r="W10" s="90">
        <f>'Water Reading'!J10-'Water Reading'!J9</f>
        <v>12</v>
      </c>
      <c r="X10" s="100">
        <f t="shared" si="12"/>
        <v>4.4776119402985072E-2</v>
      </c>
      <c r="Y10" s="66">
        <f t="shared" si="0"/>
        <v>222</v>
      </c>
      <c r="Z10" s="67">
        <f t="shared" si="1"/>
        <v>0.98230088495575218</v>
      </c>
    </row>
    <row r="11" spans="1:26" x14ac:dyDescent="0.25">
      <c r="A11" s="8">
        <f>'Water Reading'!A10</f>
        <v>44385</v>
      </c>
      <c r="B11" s="65">
        <f>TOTAL!I9</f>
        <v>235</v>
      </c>
      <c r="C11" s="66">
        <f>('Water Reading'!B11-'Water Reading'!B10)+('Water Reading'!C11-'Water Reading'!C10)</f>
        <v>65</v>
      </c>
      <c r="D11" s="67">
        <f t="shared" si="2"/>
        <v>0.27659574468085107</v>
      </c>
      <c r="E11" s="88">
        <f>'Water Reading'!H11-'Water Reading'!H10</f>
        <v>27</v>
      </c>
      <c r="F11" s="89">
        <f t="shared" si="3"/>
        <v>0.41538461538461541</v>
      </c>
      <c r="G11" s="93">
        <f>('Water Reading'!D11-'Water Reading'!D10)-('Water Reading'!R11-'Water Reading'!R10)-('Water Reading'!Q11-'Water Reading'!Q10)</f>
        <v>89</v>
      </c>
      <c r="H11" s="89">
        <f t="shared" si="4"/>
        <v>1.3692307692307693</v>
      </c>
      <c r="I11" s="90">
        <f>'Water Reading'!P11-'Water Reading'!P10</f>
        <v>17</v>
      </c>
      <c r="J11" s="68">
        <f t="shared" si="5"/>
        <v>0.26153846153846155</v>
      </c>
      <c r="K11" s="91">
        <f>('Water Reading'!I11-'Water Reading'!I10)-('Water Reading'!P11-'Water Reading'!P10)</f>
        <v>2</v>
      </c>
      <c r="L11" s="68">
        <f t="shared" si="6"/>
        <v>3.0769230769230771E-2</v>
      </c>
      <c r="M11" s="90">
        <f>'Water Reading'!R11-'Water Reading'!R10</f>
        <v>5</v>
      </c>
      <c r="N11" s="92">
        <f t="shared" si="7"/>
        <v>7.6923076923076927E-2</v>
      </c>
      <c r="O11" s="98">
        <f>'Water Reading'!Q11-'Water Reading'!Q10</f>
        <v>6</v>
      </c>
      <c r="P11" s="99">
        <f t="shared" si="8"/>
        <v>9.2307692307692313E-2</v>
      </c>
      <c r="Q11" s="91">
        <f>'Water Reading'!F11-'Water Reading'!F10</f>
        <v>2</v>
      </c>
      <c r="R11" s="100">
        <f t="shared" si="9"/>
        <v>3.0769230769230771E-2</v>
      </c>
      <c r="S11" s="90">
        <f>'Water Reading'!E11-'Water Reading'!E10</f>
        <v>56</v>
      </c>
      <c r="T11" s="100">
        <f t="shared" si="10"/>
        <v>0.86153846153846159</v>
      </c>
      <c r="U11" s="90">
        <f>'Water Reading'!G11-'Water Reading'!G10</f>
        <v>16</v>
      </c>
      <c r="V11" s="100">
        <f t="shared" si="11"/>
        <v>0.24615384615384617</v>
      </c>
      <c r="W11" s="90">
        <f>'Water Reading'!J11-'Water Reading'!J10</f>
        <v>11</v>
      </c>
      <c r="X11" s="100">
        <f t="shared" si="12"/>
        <v>0.16923076923076924</v>
      </c>
      <c r="Y11" s="66">
        <f t="shared" si="0"/>
        <v>231</v>
      </c>
      <c r="Z11" s="67">
        <f t="shared" si="1"/>
        <v>0.98297872340425529</v>
      </c>
    </row>
    <row r="12" spans="1:26" x14ac:dyDescent="0.25">
      <c r="A12" s="8">
        <f>'Water Reading'!A11</f>
        <v>44386</v>
      </c>
      <c r="B12" s="65">
        <f>TOTAL!I10</f>
        <v>325</v>
      </c>
      <c r="C12" s="66">
        <f>('Water Reading'!B12-'Water Reading'!B11)+('Water Reading'!C12-'Water Reading'!C11)</f>
        <v>678</v>
      </c>
      <c r="D12" s="67">
        <f t="shared" si="2"/>
        <v>2.086153846153846</v>
      </c>
      <c r="E12" s="88">
        <f>'Water Reading'!H12-'Water Reading'!H11</f>
        <v>31</v>
      </c>
      <c r="F12" s="89">
        <f t="shared" si="3"/>
        <v>4.5722713864306784E-2</v>
      </c>
      <c r="G12" s="93">
        <f>('Water Reading'!D12-'Water Reading'!D11)-('Water Reading'!R12-'Water Reading'!R11)-('Water Reading'!Q12-'Water Reading'!Q11)</f>
        <v>99</v>
      </c>
      <c r="H12" s="89">
        <f t="shared" si="4"/>
        <v>0.14601769911504425</v>
      </c>
      <c r="I12" s="90">
        <f>'Water Reading'!P12-'Water Reading'!P11</f>
        <v>3</v>
      </c>
      <c r="J12" s="68">
        <f t="shared" si="5"/>
        <v>4.4247787610619468E-3</v>
      </c>
      <c r="K12" s="91">
        <f>('Water Reading'!I12-'Water Reading'!I11)-('Water Reading'!P12-'Water Reading'!P11)</f>
        <v>17</v>
      </c>
      <c r="L12" s="68">
        <f t="shared" si="6"/>
        <v>2.5073746312684365E-2</v>
      </c>
      <c r="M12" s="90">
        <f>'Water Reading'!R12-'Water Reading'!R11</f>
        <v>1</v>
      </c>
      <c r="N12" s="92">
        <f t="shared" si="7"/>
        <v>1.4749262536873156E-3</v>
      </c>
      <c r="O12" s="98">
        <f>'Water Reading'!Q12-'Water Reading'!Q11</f>
        <v>2</v>
      </c>
      <c r="P12" s="99">
        <f t="shared" si="8"/>
        <v>2.9498525073746312E-3</v>
      </c>
      <c r="Q12" s="91">
        <f>'Water Reading'!F12-'Water Reading'!F11</f>
        <v>1</v>
      </c>
      <c r="R12" s="100">
        <f t="shared" si="9"/>
        <v>1.4749262536873156E-3</v>
      </c>
      <c r="S12" s="90">
        <f>'Water Reading'!E12-'Water Reading'!E11</f>
        <v>63</v>
      </c>
      <c r="T12" s="100">
        <f t="shared" si="10"/>
        <v>9.2920353982300891E-2</v>
      </c>
      <c r="U12" s="90">
        <f>'Water Reading'!G12-'Water Reading'!G11</f>
        <v>18</v>
      </c>
      <c r="V12" s="100">
        <f t="shared" si="11"/>
        <v>2.6548672566371681E-2</v>
      </c>
      <c r="W12" s="90">
        <f>'Water Reading'!J12-'Water Reading'!J11</f>
        <v>11</v>
      </c>
      <c r="X12" s="100">
        <f t="shared" si="12"/>
        <v>1.6224188790560472E-2</v>
      </c>
      <c r="Y12" s="66">
        <f t="shared" si="0"/>
        <v>246</v>
      </c>
      <c r="Z12" s="67">
        <f t="shared" si="1"/>
        <v>0.75692307692307692</v>
      </c>
    </row>
    <row r="13" spans="1:26" x14ac:dyDescent="0.25">
      <c r="A13" s="8">
        <f>'Water Reading'!A12</f>
        <v>44387</v>
      </c>
      <c r="B13" s="65">
        <f>TOTAL!I11</f>
        <v>239</v>
      </c>
      <c r="C13" s="66">
        <f>('Water Reading'!B13-'Water Reading'!B12)+('Water Reading'!C13-'Water Reading'!C12)</f>
        <v>175</v>
      </c>
      <c r="D13" s="67">
        <f t="shared" si="2"/>
        <v>0.73221757322175729</v>
      </c>
      <c r="E13" s="87">
        <f>'Water Reading'!H13-'Water Reading'!H12</f>
        <v>36</v>
      </c>
      <c r="F13" s="89">
        <f t="shared" si="3"/>
        <v>0.20571428571428571</v>
      </c>
      <c r="G13" s="93">
        <f>('Water Reading'!D13-'Water Reading'!D12)-('Water Reading'!R13-'Water Reading'!R12)-('Water Reading'!Q13-'Water Reading'!Q12)</f>
        <v>185</v>
      </c>
      <c r="H13" s="89">
        <f t="shared" si="4"/>
        <v>1.0571428571428572</v>
      </c>
      <c r="I13" s="90">
        <f>'Water Reading'!P13-'Water Reading'!P12</f>
        <v>2</v>
      </c>
      <c r="J13" s="68">
        <f t="shared" si="5"/>
        <v>1.1428571428571429E-2</v>
      </c>
      <c r="K13" s="91">
        <f>('Water Reading'!I13-'Water Reading'!I12)-('Water Reading'!P13-'Water Reading'!P12)</f>
        <v>22</v>
      </c>
      <c r="L13" s="68">
        <f t="shared" si="6"/>
        <v>0.12571428571428572</v>
      </c>
      <c r="M13" s="90">
        <f>'Water Reading'!R13-'Water Reading'!R12</f>
        <v>6</v>
      </c>
      <c r="N13" s="92">
        <f t="shared" si="7"/>
        <v>3.4285714285714287E-2</v>
      </c>
      <c r="O13" s="90">
        <f>'Water Reading'!Q13-'Water Reading'!Q12</f>
        <v>5</v>
      </c>
      <c r="P13" s="99">
        <f t="shared" si="8"/>
        <v>2.8571428571428571E-2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58</v>
      </c>
      <c r="T13" s="100">
        <f t="shared" si="10"/>
        <v>0.33142857142857141</v>
      </c>
      <c r="U13" s="90">
        <f>'Water Reading'!G13-'Water Reading'!G12</f>
        <v>14</v>
      </c>
      <c r="V13" s="100">
        <f t="shared" si="11"/>
        <v>0.08</v>
      </c>
      <c r="W13" s="90">
        <f>'Water Reading'!J13-'Water Reading'!J12</f>
        <v>11</v>
      </c>
      <c r="X13" s="100">
        <f t="shared" si="12"/>
        <v>6.2857142857142861E-2</v>
      </c>
      <c r="Y13" s="66">
        <f t="shared" si="0"/>
        <v>339</v>
      </c>
      <c r="Z13" s="67">
        <f t="shared" si="1"/>
        <v>1.4184100418410042</v>
      </c>
    </row>
    <row r="14" spans="1:26" x14ac:dyDescent="0.25">
      <c r="A14" s="8">
        <f>'Water Reading'!A13</f>
        <v>44388</v>
      </c>
      <c r="B14" s="65">
        <f>TOTAL!I12</f>
        <v>376</v>
      </c>
      <c r="C14" s="66">
        <f>('Water Reading'!B14-'Water Reading'!B13)+('Water Reading'!C14-'Water Reading'!C13)</f>
        <v>44</v>
      </c>
      <c r="D14" s="67">
        <f t="shared" si="2"/>
        <v>0.11702127659574468</v>
      </c>
      <c r="E14" s="88">
        <f>'Water Reading'!H14-'Water Reading'!H13</f>
        <v>70</v>
      </c>
      <c r="F14" s="89">
        <f t="shared" si="3"/>
        <v>1.5909090909090908</v>
      </c>
      <c r="G14" s="93">
        <f>('Water Reading'!D14-'Water Reading'!D13)-('Water Reading'!R14-'Water Reading'!R13)-('Water Reading'!Q14-'Water Reading'!Q13)</f>
        <v>129</v>
      </c>
      <c r="H14" s="89">
        <f t="shared" si="4"/>
        <v>2.9318181818181817</v>
      </c>
      <c r="I14" s="90">
        <f>'Water Reading'!P14-'Water Reading'!P13</f>
        <v>13</v>
      </c>
      <c r="J14" s="68">
        <f t="shared" si="5"/>
        <v>0.29545454545454547</v>
      </c>
      <c r="K14" s="91">
        <f>('Water Reading'!I14-'Water Reading'!I13)-('Water Reading'!P14-'Water Reading'!P13)</f>
        <v>15</v>
      </c>
      <c r="L14" s="68">
        <f t="shared" si="6"/>
        <v>0.34090909090909088</v>
      </c>
      <c r="M14" s="90">
        <f>'Water Reading'!R14-'Water Reading'!R13</f>
        <v>15</v>
      </c>
      <c r="N14" s="92">
        <f t="shared" si="7"/>
        <v>0.34090909090909088</v>
      </c>
      <c r="O14" s="90">
        <f>'Water Reading'!Q14-'Water Reading'!Q13</f>
        <v>6</v>
      </c>
      <c r="P14" s="99">
        <f t="shared" si="8"/>
        <v>0.13636363636363635</v>
      </c>
      <c r="Q14" s="91">
        <f>'Water Reading'!F14-'Water Reading'!F13</f>
        <v>1</v>
      </c>
      <c r="R14" s="100">
        <f t="shared" si="9"/>
        <v>2.2727272727272728E-2</v>
      </c>
      <c r="S14" s="94">
        <f>'Water Reading'!E14-'Water Reading'!E13</f>
        <v>60</v>
      </c>
      <c r="T14" s="100">
        <f t="shared" si="10"/>
        <v>1.3636363636363635</v>
      </c>
      <c r="U14" s="90">
        <f>'Water Reading'!G14-'Water Reading'!G13</f>
        <v>17</v>
      </c>
      <c r="V14" s="100">
        <f t="shared" si="11"/>
        <v>0.38636363636363635</v>
      </c>
      <c r="W14" s="90">
        <f>'Water Reading'!J14-'Water Reading'!J13</f>
        <v>11</v>
      </c>
      <c r="X14" s="100">
        <f t="shared" si="12"/>
        <v>0.25</v>
      </c>
      <c r="Y14" s="66">
        <f t="shared" si="0"/>
        <v>337</v>
      </c>
      <c r="Z14" s="67">
        <f t="shared" si="1"/>
        <v>0.89627659574468088</v>
      </c>
    </row>
    <row r="15" spans="1:26" x14ac:dyDescent="0.25">
      <c r="A15" s="8">
        <f>'Water Reading'!A14</f>
        <v>44389</v>
      </c>
      <c r="B15" s="65">
        <f>TOTAL!I13</f>
        <v>387</v>
      </c>
      <c r="C15" s="66">
        <f>('Water Reading'!B15-'Water Reading'!B14)+('Water Reading'!C15-'Water Reading'!C14)</f>
        <v>1036</v>
      </c>
      <c r="D15" s="67">
        <f t="shared" si="2"/>
        <v>2.6770025839793283</v>
      </c>
      <c r="E15" s="87">
        <f>'Water Reading'!H15-'Water Reading'!H14</f>
        <v>94</v>
      </c>
      <c r="F15" s="89">
        <f t="shared" si="3"/>
        <v>9.0733590733590733E-2</v>
      </c>
      <c r="G15" s="93">
        <f>('Water Reading'!D15-'Water Reading'!D14)-('Water Reading'!R15-'Water Reading'!R14)-('Water Reading'!Q15-'Water Reading'!Q14)</f>
        <v>115</v>
      </c>
      <c r="H15" s="89">
        <f t="shared" si="4"/>
        <v>0.111003861003861</v>
      </c>
      <c r="I15" s="90">
        <f>'Water Reading'!P15-'Water Reading'!P14</f>
        <v>9</v>
      </c>
      <c r="J15" s="68">
        <f t="shared" si="5"/>
        <v>8.6872586872586872E-3</v>
      </c>
      <c r="K15" s="91">
        <f>('Water Reading'!I15-'Water Reading'!I14)-('Water Reading'!P15-'Water Reading'!P14)</f>
        <v>15</v>
      </c>
      <c r="L15" s="68">
        <f t="shared" si="6"/>
        <v>1.4478764478764479E-2</v>
      </c>
      <c r="M15" s="90">
        <f>'Water Reading'!R15-'Water Reading'!R14</f>
        <v>6</v>
      </c>
      <c r="N15" s="92">
        <f t="shared" si="7"/>
        <v>5.7915057915057912E-3</v>
      </c>
      <c r="O15" s="90">
        <f>'Water Reading'!Q15-'Water Reading'!Q14</f>
        <v>4</v>
      </c>
      <c r="P15" s="99">
        <f t="shared" si="8"/>
        <v>3.8610038610038611E-3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60</v>
      </c>
      <c r="T15" s="100">
        <f t="shared" si="10"/>
        <v>5.7915057915057917E-2</v>
      </c>
      <c r="U15" s="90">
        <f>'Water Reading'!G15-'Water Reading'!G14</f>
        <v>13</v>
      </c>
      <c r="V15" s="100">
        <f t="shared" si="11"/>
        <v>1.2548262548262547E-2</v>
      </c>
      <c r="W15" s="90">
        <f>'Water Reading'!J15-'Water Reading'!J14</f>
        <v>12</v>
      </c>
      <c r="X15" s="100">
        <f t="shared" si="12"/>
        <v>1.1583011583011582E-2</v>
      </c>
      <c r="Y15" s="66">
        <f t="shared" si="0"/>
        <v>328</v>
      </c>
      <c r="Z15" s="67">
        <f t="shared" si="1"/>
        <v>0.84754521963824292</v>
      </c>
    </row>
    <row r="16" spans="1:26" x14ac:dyDescent="0.25">
      <c r="A16" s="8">
        <f>'Water Reading'!A15</f>
        <v>44390</v>
      </c>
      <c r="B16" s="65">
        <f>TOTAL!I14</f>
        <v>253</v>
      </c>
      <c r="C16" s="66">
        <f>('Water Reading'!B16-'Water Reading'!B15)+('Water Reading'!C16-'Water Reading'!C15)</f>
        <v>14</v>
      </c>
      <c r="D16" s="67">
        <f t="shared" si="2"/>
        <v>5.533596837944664E-2</v>
      </c>
      <c r="E16" s="87">
        <f>'Water Reading'!H16-'Water Reading'!H15</f>
        <v>67</v>
      </c>
      <c r="F16" s="89">
        <f t="shared" si="3"/>
        <v>4.7857142857142856</v>
      </c>
      <c r="G16" s="93">
        <f>('Water Reading'!D16-'Water Reading'!D15)-('Water Reading'!R16-'Water Reading'!R15)-('Water Reading'!Q16-'Water Reading'!Q15)</f>
        <v>103</v>
      </c>
      <c r="H16" s="89">
        <f t="shared" si="4"/>
        <v>7.3571428571428568</v>
      </c>
      <c r="I16" s="90">
        <f>'Water Reading'!P16-'Water Reading'!P15</f>
        <v>11</v>
      </c>
      <c r="J16" s="68">
        <f t="shared" si="5"/>
        <v>0.7857142857142857</v>
      </c>
      <c r="K16" s="91">
        <f>('Water Reading'!I16-'Water Reading'!I15)-('Water Reading'!P16-'Water Reading'!P15)</f>
        <v>17</v>
      </c>
      <c r="L16" s="68">
        <f t="shared" si="6"/>
        <v>1.2142857142857142</v>
      </c>
      <c r="M16" s="90">
        <f>'Water Reading'!R16-'Water Reading'!R15</f>
        <v>6</v>
      </c>
      <c r="N16" s="92">
        <f t="shared" si="7"/>
        <v>0.42857142857142855</v>
      </c>
      <c r="O16" s="90">
        <f>'Water Reading'!Q16-'Water Reading'!Q15</f>
        <v>2</v>
      </c>
      <c r="P16" s="99">
        <f t="shared" si="8"/>
        <v>0.14285714285714285</v>
      </c>
      <c r="Q16" s="91">
        <f>'Water Reading'!F16-'Water Reading'!F15</f>
        <v>1</v>
      </c>
      <c r="R16" s="100">
        <f t="shared" si="9"/>
        <v>7.1428571428571425E-2</v>
      </c>
      <c r="S16" s="94">
        <f>'Water Reading'!E16-'Water Reading'!E15</f>
        <v>66</v>
      </c>
      <c r="T16" s="100">
        <f t="shared" si="10"/>
        <v>4.7142857142857144</v>
      </c>
      <c r="U16" s="90">
        <f>'Water Reading'!G16-'Water Reading'!G15</f>
        <v>18</v>
      </c>
      <c r="V16" s="100">
        <f t="shared" si="11"/>
        <v>1.2857142857142858</v>
      </c>
      <c r="W16" s="90">
        <f>'Water Reading'!J16-'Water Reading'!J15</f>
        <v>12</v>
      </c>
      <c r="X16" s="100">
        <f t="shared" si="12"/>
        <v>0.8571428571428571</v>
      </c>
      <c r="Y16" s="66">
        <f t="shared" si="0"/>
        <v>303</v>
      </c>
      <c r="Z16" s="67">
        <f t="shared" si="1"/>
        <v>1.1976284584980237</v>
      </c>
    </row>
    <row r="17" spans="1:26" x14ac:dyDescent="0.25">
      <c r="A17" s="8">
        <f>'Water Reading'!A16</f>
        <v>44391</v>
      </c>
      <c r="B17" s="65">
        <f>TOTAL!I15</f>
        <v>263</v>
      </c>
      <c r="C17" s="66">
        <f>('Water Reading'!B17-'Water Reading'!B16)+('Water Reading'!C17-'Water Reading'!C16)</f>
        <v>93</v>
      </c>
      <c r="D17" s="67">
        <f t="shared" si="2"/>
        <v>0.35361216730038025</v>
      </c>
      <c r="E17" s="87">
        <f>'Water Reading'!H17-'Water Reading'!H16</f>
        <v>60</v>
      </c>
      <c r="F17" s="89">
        <f t="shared" si="3"/>
        <v>0.64516129032258063</v>
      </c>
      <c r="G17" s="93">
        <f>('Water Reading'!D17-'Water Reading'!D16)-('Water Reading'!R17-'Water Reading'!R16)-('Water Reading'!Q17-'Water Reading'!Q16)</f>
        <v>100.79999999999995</v>
      </c>
      <c r="H17" s="89">
        <f t="shared" si="4"/>
        <v>1.0838709677419349</v>
      </c>
      <c r="I17" s="90">
        <f>'Water Reading'!P17-'Water Reading'!P16</f>
        <v>12</v>
      </c>
      <c r="J17" s="68">
        <f t="shared" si="5"/>
        <v>0.12903225806451613</v>
      </c>
      <c r="K17" s="91">
        <f>('Water Reading'!I17-'Water Reading'!I16)-('Water Reading'!P17-'Water Reading'!P16)</f>
        <v>12</v>
      </c>
      <c r="L17" s="68">
        <f t="shared" si="6"/>
        <v>0.12903225806451613</v>
      </c>
      <c r="M17" s="90">
        <f>'Water Reading'!R17-'Water Reading'!R16</f>
        <v>6</v>
      </c>
      <c r="N17" s="92">
        <f t="shared" si="7"/>
        <v>6.4516129032258063E-2</v>
      </c>
      <c r="O17" s="90">
        <f>'Water Reading'!Q17-'Water Reading'!Q16</f>
        <v>1.2000000000000455</v>
      </c>
      <c r="P17" s="99">
        <f t="shared" si="8"/>
        <v>1.2903225806452102E-2</v>
      </c>
      <c r="Q17" s="91">
        <f>'Water Reading'!F17-'Water Reading'!F16</f>
        <v>1</v>
      </c>
      <c r="R17" s="100">
        <f t="shared" si="9"/>
        <v>1.0752688172043012E-2</v>
      </c>
      <c r="S17" s="94">
        <f>'Water Reading'!E17-'Water Reading'!E16</f>
        <v>55</v>
      </c>
      <c r="T17" s="100">
        <f t="shared" si="10"/>
        <v>0.59139784946236562</v>
      </c>
      <c r="U17" s="90">
        <f>'Water Reading'!G17-'Water Reading'!G16</f>
        <v>10</v>
      </c>
      <c r="V17" s="100">
        <f t="shared" si="11"/>
        <v>0.10752688172043011</v>
      </c>
      <c r="W17" s="90">
        <f>'Water Reading'!J17-'Water Reading'!J16</f>
        <v>11</v>
      </c>
      <c r="X17" s="100">
        <f t="shared" si="12"/>
        <v>0.11827956989247312</v>
      </c>
      <c r="Y17" s="66">
        <f t="shared" si="0"/>
        <v>269</v>
      </c>
      <c r="Z17" s="67">
        <f t="shared" si="1"/>
        <v>1.0228136882129277</v>
      </c>
    </row>
    <row r="18" spans="1:26" x14ac:dyDescent="0.25">
      <c r="A18" s="8">
        <f>'Water Reading'!A17</f>
        <v>44392</v>
      </c>
      <c r="B18" s="65">
        <f>TOTAL!I16</f>
        <v>289</v>
      </c>
      <c r="C18" s="66">
        <f>('Water Reading'!B18-'Water Reading'!B17)+('Water Reading'!C18-'Water Reading'!C17)</f>
        <v>15</v>
      </c>
      <c r="D18" s="67">
        <f t="shared" si="2"/>
        <v>5.1903114186851208E-2</v>
      </c>
      <c r="E18" s="87">
        <f>'Water Reading'!H18-'Water Reading'!H17</f>
        <v>72</v>
      </c>
      <c r="F18" s="89">
        <f t="shared" si="3"/>
        <v>4.8</v>
      </c>
      <c r="G18" s="93">
        <f>('Water Reading'!D18-'Water Reading'!D17)-('Water Reading'!R18-'Water Reading'!R17)-('Water Reading'!Q18-'Water Reading'!Q17)</f>
        <v>102.20000000000005</v>
      </c>
      <c r="H18" s="89">
        <f t="shared" si="4"/>
        <v>6.8133333333333361</v>
      </c>
      <c r="I18" s="90">
        <f>'Water Reading'!P18-'Water Reading'!P17</f>
        <v>12</v>
      </c>
      <c r="J18" s="68">
        <f t="shared" si="5"/>
        <v>0.8</v>
      </c>
      <c r="K18" s="91">
        <f>('Water Reading'!I18-'Water Reading'!I17)-('Water Reading'!P18-'Water Reading'!P17)</f>
        <v>34</v>
      </c>
      <c r="L18" s="68">
        <f t="shared" si="6"/>
        <v>2.2666666666666666</v>
      </c>
      <c r="M18" s="90">
        <f>'Water Reading'!R18-'Water Reading'!R17</f>
        <v>5</v>
      </c>
      <c r="N18" s="92">
        <f t="shared" si="7"/>
        <v>0.33333333333333331</v>
      </c>
      <c r="O18" s="90">
        <f>'Water Reading'!Q18-'Water Reading'!Q17</f>
        <v>5.7999999999999545</v>
      </c>
      <c r="P18" s="99">
        <f t="shared" si="8"/>
        <v>0.38666666666666366</v>
      </c>
      <c r="Q18" s="91">
        <f>'Water Reading'!F18-'Water Reading'!F17</f>
        <v>1</v>
      </c>
      <c r="R18" s="100">
        <f t="shared" si="9"/>
        <v>6.6666666666666666E-2</v>
      </c>
      <c r="S18" s="94">
        <f>'Water Reading'!E18-'Water Reading'!E17</f>
        <v>60</v>
      </c>
      <c r="T18" s="100">
        <f t="shared" si="10"/>
        <v>4</v>
      </c>
      <c r="U18" s="90">
        <f>'Water Reading'!G18-'Water Reading'!G17</f>
        <v>20</v>
      </c>
      <c r="V18" s="100">
        <f t="shared" si="11"/>
        <v>1.3333333333333333</v>
      </c>
      <c r="W18" s="90">
        <f>'Water Reading'!J18-'Water Reading'!J17</f>
        <v>12</v>
      </c>
      <c r="X18" s="100">
        <f t="shared" si="12"/>
        <v>0.8</v>
      </c>
      <c r="Y18" s="66">
        <f t="shared" si="0"/>
        <v>324</v>
      </c>
      <c r="Z18" s="67">
        <f t="shared" si="1"/>
        <v>1.1211072664359862</v>
      </c>
    </row>
    <row r="19" spans="1:26" x14ac:dyDescent="0.25">
      <c r="A19" s="8">
        <f>'Water Reading'!A18</f>
        <v>44393</v>
      </c>
      <c r="B19" s="65">
        <f>TOTAL!I17</f>
        <v>324</v>
      </c>
      <c r="C19" s="66">
        <f>('Water Reading'!B19-'Water Reading'!B18)+('Water Reading'!C19-'Water Reading'!C18)</f>
        <v>552</v>
      </c>
      <c r="D19" s="67">
        <f t="shared" si="2"/>
        <v>1.7037037037037037</v>
      </c>
      <c r="E19" s="87">
        <f>'Water Reading'!H19-'Water Reading'!H18</f>
        <v>77</v>
      </c>
      <c r="F19" s="89">
        <f t="shared" si="3"/>
        <v>0.13949275362318841</v>
      </c>
      <c r="G19" s="93">
        <f>('Water Reading'!D19-'Water Reading'!D18)-('Water Reading'!R19-'Water Reading'!R18)-('Water Reading'!Q19-'Water Reading'!Q18)</f>
        <v>140</v>
      </c>
      <c r="H19" s="89">
        <f t="shared" si="4"/>
        <v>0.25362318840579712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20</v>
      </c>
      <c r="L19" s="68">
        <f t="shared" si="6"/>
        <v>3.6231884057971016E-2</v>
      </c>
      <c r="M19" s="90">
        <f>'Water Reading'!R19-'Water Reading'!R18</f>
        <v>6</v>
      </c>
      <c r="N19" s="92">
        <f t="shared" si="7"/>
        <v>1.0869565217391304E-2</v>
      </c>
      <c r="O19" s="90">
        <f>'Water Reading'!Q19-'Water Reading'!Q18</f>
        <v>3</v>
      </c>
      <c r="P19" s="99">
        <f t="shared" si="8"/>
        <v>5.434782608695652E-3</v>
      </c>
      <c r="Q19" s="91">
        <f>'Water Reading'!F19-'Water Reading'!F18</f>
        <v>1</v>
      </c>
      <c r="R19" s="100">
        <f t="shared" si="9"/>
        <v>1.8115942028985507E-3</v>
      </c>
      <c r="S19" s="94">
        <f>'Water Reading'!E19-'Water Reading'!E18</f>
        <v>68</v>
      </c>
      <c r="T19" s="100">
        <f t="shared" si="10"/>
        <v>0.12318840579710146</v>
      </c>
      <c r="U19" s="90">
        <f>'Water Reading'!G19-'Water Reading'!G18</f>
        <v>23</v>
      </c>
      <c r="V19" s="100">
        <f t="shared" si="11"/>
        <v>4.1666666666666664E-2</v>
      </c>
      <c r="W19" s="90">
        <f>'Water Reading'!J19-'Water Reading'!J18</f>
        <v>13</v>
      </c>
      <c r="X19" s="100">
        <f t="shared" si="12"/>
        <v>2.355072463768116E-2</v>
      </c>
      <c r="Y19" s="66">
        <f t="shared" si="0"/>
        <v>351</v>
      </c>
      <c r="Z19" s="67">
        <f t="shared" si="1"/>
        <v>1.0833333333333333</v>
      </c>
    </row>
    <row r="20" spans="1:26" x14ac:dyDescent="0.25">
      <c r="A20" s="8">
        <f>'Water Reading'!A19</f>
        <v>44394</v>
      </c>
      <c r="B20" s="65">
        <f>TOTAL!I18</f>
        <v>0</v>
      </c>
      <c r="C20" s="66">
        <f>('Water Reading'!B20-'Water Reading'!B19)+('Water Reading'!C20-'Water Reading'!C19)</f>
        <v>-303180</v>
      </c>
      <c r="D20" s="67" t="e">
        <f t="shared" si="2"/>
        <v>#DIV/0!</v>
      </c>
      <c r="E20" s="87">
        <f>'Water Reading'!H20-'Water Reading'!H19</f>
        <v>-53704</v>
      </c>
      <c r="F20" s="89">
        <f t="shared" si="3"/>
        <v>0.17713569496668646</v>
      </c>
      <c r="G20" s="93">
        <f>('Water Reading'!D20-'Water Reading'!D19)-('Water Reading'!R20-'Water Reading'!R19)-('Water Reading'!Q20-'Water Reading'!Q19)</f>
        <v>-204306</v>
      </c>
      <c r="H20" s="89">
        <f t="shared" si="4"/>
        <v>0.67387690480902429</v>
      </c>
      <c r="I20" s="90">
        <f>'Water Reading'!P20-'Water Reading'!P19</f>
        <v>-27154</v>
      </c>
      <c r="J20" s="68">
        <f t="shared" si="5"/>
        <v>8.9563955406029419E-2</v>
      </c>
      <c r="K20" s="91">
        <f>('Water Reading'!I20-'Water Reading'!I19)-('Water Reading'!P20-'Water Reading'!P19)</f>
        <v>-36863</v>
      </c>
      <c r="L20" s="68">
        <f t="shared" si="6"/>
        <v>0.12158783560920905</v>
      </c>
      <c r="M20" s="90">
        <f>'Water Reading'!R20-'Water Reading'!R19</f>
        <v>-6309</v>
      </c>
      <c r="N20" s="92">
        <f t="shared" si="7"/>
        <v>2.0809420146447655E-2</v>
      </c>
      <c r="O20" s="90">
        <f>'Water Reading'!Q20-'Water Reading'!Q19</f>
        <v>-724</v>
      </c>
      <c r="P20" s="99">
        <f t="shared" si="8"/>
        <v>2.3880203179629262E-3</v>
      </c>
      <c r="Q20" s="91">
        <f>'Water Reading'!F20-'Water Reading'!F19</f>
        <v>-66945</v>
      </c>
      <c r="R20" s="100">
        <f t="shared" si="9"/>
        <v>0.22080942014644767</v>
      </c>
      <c r="S20" s="94">
        <f>'Water Reading'!E20-'Water Reading'!E19</f>
        <v>-248822</v>
      </c>
      <c r="T20" s="100">
        <f t="shared" si="10"/>
        <v>0.82070717065769505</v>
      </c>
      <c r="U20" s="90">
        <f>'Water Reading'!G20-'Water Reading'!G19</f>
        <v>-111892</v>
      </c>
      <c r="V20" s="100">
        <f t="shared" si="11"/>
        <v>0.36906128372583946</v>
      </c>
      <c r="W20" s="90">
        <f>'Water Reading'!J20-'Water Reading'!J19</f>
        <v>-20495</v>
      </c>
      <c r="X20" s="100">
        <f t="shared" si="12"/>
        <v>6.7600105547859363E-2</v>
      </c>
      <c r="Y20" s="66">
        <f t="shared" si="0"/>
        <v>-777214</v>
      </c>
      <c r="Z20" s="67" t="e">
        <f t="shared" si="1"/>
        <v>#DIV/0!</v>
      </c>
    </row>
    <row r="21" spans="1:26" x14ac:dyDescent="0.25">
      <c r="A21" s="8">
        <f>'Water Reading'!A20</f>
        <v>44395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44396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44397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44398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44399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44400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44401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44402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44403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44404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44405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44406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44407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44408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4606</v>
      </c>
      <c r="C35" s="75">
        <f>SUM(C4:C34)</f>
        <v>-297465</v>
      </c>
      <c r="D35" s="96">
        <f>C35/B35</f>
        <v>-64.582066869300917</v>
      </c>
      <c r="E35" s="7">
        <f>SUM(E4:E34)</f>
        <v>-52942</v>
      </c>
      <c r="F35" s="95">
        <f>E35/C35</f>
        <v>0.17797724101995194</v>
      </c>
      <c r="G35" s="75">
        <f>SUM(G4:G34)</f>
        <v>-202425.5</v>
      </c>
      <c r="H35" s="95">
        <f>G35/C35</f>
        <v>0.68050190778747077</v>
      </c>
      <c r="I35" s="7">
        <f>SUM(I4:I34)</f>
        <v>-27014</v>
      </c>
      <c r="J35" s="95">
        <f>I35/C35</f>
        <v>9.0814045349873099E-2</v>
      </c>
      <c r="K35" s="7">
        <f>SUM(K4:K34)</f>
        <v>-36614</v>
      </c>
      <c r="L35" s="95">
        <f>K35/C35</f>
        <v>0.12308674970164557</v>
      </c>
      <c r="M35" s="7">
        <f>SUM(M4:M34)</f>
        <v>-6229</v>
      </c>
      <c r="N35" s="95">
        <f>M35/C35</f>
        <v>2.0940278688249037E-2</v>
      </c>
      <c r="O35" s="7">
        <f>SUM(O4:O34)</f>
        <v>-641.5</v>
      </c>
      <c r="P35" s="95">
        <f>O35/C35</f>
        <v>2.1565562335064629E-3</v>
      </c>
      <c r="Q35" s="7">
        <f>SUM(Q4:Q34)</f>
        <v>-66928</v>
      </c>
      <c r="R35" s="95">
        <f>Q35/C35</f>
        <v>0.22499453717244045</v>
      </c>
      <c r="S35" s="75">
        <f>SUM(S4:S34)</f>
        <v>-247852</v>
      </c>
      <c r="T35" s="95">
        <f>S35/C35</f>
        <v>0.83321399156203246</v>
      </c>
      <c r="U35" s="7">
        <f>SUM(U4:U34)</f>
        <v>-111641</v>
      </c>
      <c r="V35" s="95">
        <f>U35/C35</f>
        <v>0.3753080194308574</v>
      </c>
      <c r="W35" s="7">
        <f>SUM(W4:W34)</f>
        <v>-20282</v>
      </c>
      <c r="X35" s="95">
        <f>W35/C35</f>
        <v>6.8182811423192644E-2</v>
      </c>
      <c r="Y35" s="75">
        <f>SUM(Y4:Y34)</f>
        <v>-772569</v>
      </c>
      <c r="Z35" s="95">
        <f t="shared" si="1"/>
        <v>-167.73100303951367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2021-07-17T06:32:00Z</dcterms:modified>
  <cp:category/>
  <cp:contentStatus/>
</cp:coreProperties>
</file>