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9200" windowHeight="7720" activeTab="1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1" i="3" l="1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L83" i="3"/>
  <c r="M83" i="3"/>
  <c r="G81" i="1" s="1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E363" i="1" s="1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K361" i="4"/>
  <c r="J361" i="4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E358" i="1" s="1"/>
  <c r="S358" i="4"/>
  <c r="R358" i="4"/>
  <c r="O358" i="4"/>
  <c r="L358" i="4"/>
  <c r="M358" i="4" s="1"/>
  <c r="J358" i="4"/>
  <c r="K358" i="4" s="1"/>
  <c r="I358" i="4"/>
  <c r="E357" i="1" s="1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K354" i="4"/>
  <c r="J354" i="4"/>
  <c r="I354" i="4"/>
  <c r="E353" i="1" s="1"/>
  <c r="S353" i="4"/>
  <c r="R353" i="4"/>
  <c r="O353" i="4"/>
  <c r="L353" i="4"/>
  <c r="M353" i="4" s="1"/>
  <c r="J353" i="4"/>
  <c r="K353" i="4" s="1"/>
  <c r="I353" i="4"/>
  <c r="E352" i="1" s="1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E350" i="1" s="1"/>
  <c r="S350" i="4"/>
  <c r="R350" i="4"/>
  <c r="O350" i="4"/>
  <c r="L350" i="4"/>
  <c r="M350" i="4" s="1"/>
  <c r="J350" i="4"/>
  <c r="K350" i="4" s="1"/>
  <c r="I350" i="4"/>
  <c r="E349" i="1" s="1"/>
  <c r="S349" i="4"/>
  <c r="R349" i="4"/>
  <c r="O349" i="4"/>
  <c r="L349" i="4"/>
  <c r="M349" i="4" s="1"/>
  <c r="J349" i="4"/>
  <c r="K349" i="4" s="1"/>
  <c r="I349" i="4"/>
  <c r="E348" i="1" s="1"/>
  <c r="S348" i="4"/>
  <c r="R348" i="4"/>
  <c r="O348" i="4"/>
  <c r="L348" i="4"/>
  <c r="M348" i="4" s="1"/>
  <c r="J348" i="4"/>
  <c r="K348" i="4" s="1"/>
  <c r="I348" i="4"/>
  <c r="E347" i="1" s="1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E345" i="1" s="1"/>
  <c r="S345" i="4"/>
  <c r="R345" i="4"/>
  <c r="O345" i="4"/>
  <c r="L345" i="4"/>
  <c r="M345" i="4" s="1"/>
  <c r="K345" i="4"/>
  <c r="J345" i="4"/>
  <c r="I345" i="4"/>
  <c r="E344" i="1" s="1"/>
  <c r="S344" i="4"/>
  <c r="R344" i="4"/>
  <c r="O344" i="4"/>
  <c r="L344" i="4"/>
  <c r="M344" i="4" s="1"/>
  <c r="J344" i="4"/>
  <c r="K344" i="4" s="1"/>
  <c r="I344" i="4"/>
  <c r="E343" i="1" s="1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E341" i="1" s="1"/>
  <c r="S341" i="4"/>
  <c r="R341" i="4"/>
  <c r="O341" i="4"/>
  <c r="L341" i="4"/>
  <c r="M341" i="4" s="1"/>
  <c r="J341" i="4"/>
  <c r="K341" i="4" s="1"/>
  <c r="I341" i="4"/>
  <c r="E340" i="1" s="1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K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E335" i="1" s="1"/>
  <c r="S335" i="4"/>
  <c r="R335" i="4"/>
  <c r="O335" i="4"/>
  <c r="L335" i="4"/>
  <c r="M335" i="4" s="1"/>
  <c r="K335" i="4"/>
  <c r="J335" i="4"/>
  <c r="I335" i="4"/>
  <c r="E334" i="1" s="1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E332" i="1" s="1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E330" i="1" s="1"/>
  <c r="S330" i="4"/>
  <c r="R330" i="4"/>
  <c r="O330" i="4"/>
  <c r="L330" i="4"/>
  <c r="M330" i="4" s="1"/>
  <c r="J330" i="4"/>
  <c r="K330" i="4" s="1"/>
  <c r="I330" i="4"/>
  <c r="E329" i="1" s="1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K327" i="4"/>
  <c r="J327" i="4"/>
  <c r="I327" i="4"/>
  <c r="S326" i="4"/>
  <c r="R326" i="4"/>
  <c r="O326" i="4"/>
  <c r="L326" i="4"/>
  <c r="M326" i="4" s="1"/>
  <c r="J326" i="4"/>
  <c r="K326" i="4" s="1"/>
  <c r="I326" i="4"/>
  <c r="E325" i="1" s="1"/>
  <c r="S325" i="4"/>
  <c r="R325" i="4"/>
  <c r="O325" i="4"/>
  <c r="L325" i="4"/>
  <c r="M325" i="4" s="1"/>
  <c r="J325" i="4"/>
  <c r="K325" i="4" s="1"/>
  <c r="I325" i="4"/>
  <c r="E324" i="1" s="1"/>
  <c r="S324" i="4"/>
  <c r="R324" i="4"/>
  <c r="O324" i="4"/>
  <c r="L324" i="4"/>
  <c r="M324" i="4" s="1"/>
  <c r="J324" i="4"/>
  <c r="K324" i="4" s="1"/>
  <c r="I324" i="4"/>
  <c r="E323" i="1" s="1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E320" i="1" s="1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E316" i="1" s="1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K314" i="4"/>
  <c r="J314" i="4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E311" i="1" s="1"/>
  <c r="S311" i="4"/>
  <c r="R311" i="4"/>
  <c r="O311" i="4"/>
  <c r="L311" i="4"/>
  <c r="M311" i="4" s="1"/>
  <c r="J311" i="4"/>
  <c r="K311" i="4" s="1"/>
  <c r="I311" i="4"/>
  <c r="E310" i="1" s="1"/>
  <c r="S310" i="4"/>
  <c r="R310" i="4"/>
  <c r="O310" i="4"/>
  <c r="L310" i="4"/>
  <c r="M310" i="4" s="1"/>
  <c r="J310" i="4"/>
  <c r="K310" i="4" s="1"/>
  <c r="I310" i="4"/>
  <c r="E309" i="1" s="1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E304" i="1" s="1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E302" i="1" s="1"/>
  <c r="S302" i="4"/>
  <c r="R302" i="4"/>
  <c r="O302" i="4"/>
  <c r="M302" i="4"/>
  <c r="L302" i="4"/>
  <c r="J302" i="4"/>
  <c r="K302" i="4" s="1"/>
  <c r="I302" i="4"/>
  <c r="E301" i="1" s="1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E299" i="1" s="1"/>
  <c r="S299" i="4"/>
  <c r="R299" i="4"/>
  <c r="O299" i="4"/>
  <c r="L299" i="4"/>
  <c r="M299" i="4" s="1"/>
  <c r="J299" i="4"/>
  <c r="K299" i="4" s="1"/>
  <c r="I299" i="4"/>
  <c r="E298" i="1" s="1"/>
  <c r="S298" i="4"/>
  <c r="R298" i="4"/>
  <c r="O298" i="4"/>
  <c r="L298" i="4"/>
  <c r="M298" i="4" s="1"/>
  <c r="J298" i="4"/>
  <c r="K298" i="4" s="1"/>
  <c r="I298" i="4"/>
  <c r="E297" i="1" s="1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E295" i="1" s="1"/>
  <c r="S295" i="4"/>
  <c r="R295" i="4"/>
  <c r="O295" i="4"/>
  <c r="L295" i="4"/>
  <c r="M295" i="4" s="1"/>
  <c r="J295" i="4"/>
  <c r="K295" i="4" s="1"/>
  <c r="I295" i="4"/>
  <c r="E294" i="1" s="1"/>
  <c r="S294" i="4"/>
  <c r="R294" i="4"/>
  <c r="O294" i="4"/>
  <c r="L294" i="4"/>
  <c r="M294" i="4" s="1"/>
  <c r="J294" i="4"/>
  <c r="K294" i="4" s="1"/>
  <c r="I294" i="4"/>
  <c r="E293" i="1" s="1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E291" i="1" s="1"/>
  <c r="S291" i="4"/>
  <c r="R291" i="4"/>
  <c r="O291" i="4"/>
  <c r="L291" i="4"/>
  <c r="M291" i="4" s="1"/>
  <c r="J291" i="4"/>
  <c r="K291" i="4" s="1"/>
  <c r="I291" i="4"/>
  <c r="E290" i="1" s="1"/>
  <c r="S290" i="4"/>
  <c r="R290" i="4"/>
  <c r="O290" i="4"/>
  <c r="L290" i="4"/>
  <c r="M290" i="4" s="1"/>
  <c r="K290" i="4"/>
  <c r="J290" i="4"/>
  <c r="I290" i="4"/>
  <c r="S289" i="4"/>
  <c r="R289" i="4"/>
  <c r="O289" i="4"/>
  <c r="L289" i="4"/>
  <c r="M289" i="4" s="1"/>
  <c r="J289" i="4"/>
  <c r="K289" i="4" s="1"/>
  <c r="I289" i="4"/>
  <c r="E288" i="1" s="1"/>
  <c r="S288" i="4"/>
  <c r="R288" i="4"/>
  <c r="O288" i="4"/>
  <c r="L288" i="4"/>
  <c r="M288" i="4" s="1"/>
  <c r="K288" i="4"/>
  <c r="J288" i="4"/>
  <c r="I288" i="4"/>
  <c r="S287" i="4"/>
  <c r="R287" i="4"/>
  <c r="O287" i="4"/>
  <c r="L287" i="4"/>
  <c r="M287" i="4" s="1"/>
  <c r="J287" i="4"/>
  <c r="K287" i="4" s="1"/>
  <c r="I287" i="4"/>
  <c r="E286" i="1" s="1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E282" i="1" s="1"/>
  <c r="S282" i="4"/>
  <c r="R282" i="4"/>
  <c r="O282" i="4"/>
  <c r="L282" i="4"/>
  <c r="M282" i="4" s="1"/>
  <c r="J282" i="4"/>
  <c r="K282" i="4" s="1"/>
  <c r="I282" i="4"/>
  <c r="E281" i="1" s="1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E278" i="1" s="1"/>
  <c r="S278" i="4"/>
  <c r="R278" i="4"/>
  <c r="O278" i="4"/>
  <c r="L278" i="4"/>
  <c r="M278" i="4" s="1"/>
  <c r="J278" i="4"/>
  <c r="K278" i="4" s="1"/>
  <c r="I278" i="4"/>
  <c r="E277" i="1" s="1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E274" i="1" s="1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E270" i="1" s="1"/>
  <c r="S270" i="4"/>
  <c r="R270" i="4"/>
  <c r="P270" i="4"/>
  <c r="O270" i="4"/>
  <c r="L270" i="4"/>
  <c r="M270" i="4" s="1"/>
  <c r="J270" i="4"/>
  <c r="K270" i="4" s="1"/>
  <c r="I270" i="4"/>
  <c r="E269" i="1" s="1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E265" i="1" s="1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E261" i="1" s="1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E257" i="1" s="1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E253" i="1" s="1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E248" i="1" s="1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E244" i="1" s="1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E239" i="1" s="1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E235" i="1" s="1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E231" i="1" s="1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E227" i="1" s="1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E222" i="1" s="1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K219" i="4"/>
  <c r="J219" i="4"/>
  <c r="I219" i="4"/>
  <c r="S218" i="4"/>
  <c r="R218" i="4"/>
  <c r="O218" i="4"/>
  <c r="L218" i="4"/>
  <c r="M218" i="4" s="1"/>
  <c r="J218" i="4"/>
  <c r="K218" i="4" s="1"/>
  <c r="I218" i="4"/>
  <c r="E217" i="1" s="1"/>
  <c r="S217" i="4"/>
  <c r="R217" i="4"/>
  <c r="O217" i="4"/>
  <c r="L217" i="4"/>
  <c r="M217" i="4" s="1"/>
  <c r="J217" i="4"/>
  <c r="K217" i="4" s="1"/>
  <c r="I217" i="4"/>
  <c r="E216" i="1" s="1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E212" i="1" s="1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E205" i="1" s="1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K202" i="4"/>
  <c r="J202" i="4"/>
  <c r="I202" i="4"/>
  <c r="E201" i="1" s="1"/>
  <c r="S201" i="4"/>
  <c r="R201" i="4"/>
  <c r="O201" i="4"/>
  <c r="L201" i="4"/>
  <c r="M201" i="4" s="1"/>
  <c r="J201" i="4"/>
  <c r="K201" i="4" s="1"/>
  <c r="I201" i="4"/>
  <c r="E200" i="1" s="1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E198" i="1" s="1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K196" i="4"/>
  <c r="J196" i="4"/>
  <c r="I196" i="4"/>
  <c r="E195" i="1" s="1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K191" i="4"/>
  <c r="J191" i="4"/>
  <c r="I191" i="4"/>
  <c r="E190" i="1" s="1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E188" i="1" s="1"/>
  <c r="S188" i="4"/>
  <c r="R188" i="4"/>
  <c r="O188" i="4"/>
  <c r="L188" i="4"/>
  <c r="M188" i="4" s="1"/>
  <c r="J188" i="4"/>
  <c r="K188" i="4" s="1"/>
  <c r="I188" i="4"/>
  <c r="E187" i="1" s="1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E185" i="1" s="1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E182" i="1" s="1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E178" i="1" s="1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E173" i="1" s="1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K170" i="4"/>
  <c r="J170" i="4"/>
  <c r="I170" i="4"/>
  <c r="S169" i="4"/>
  <c r="R169" i="4"/>
  <c r="O169" i="4"/>
  <c r="L169" i="4"/>
  <c r="M169" i="4" s="1"/>
  <c r="J169" i="4"/>
  <c r="K169" i="4" s="1"/>
  <c r="I169" i="4"/>
  <c r="E168" i="1" s="1"/>
  <c r="S168" i="4"/>
  <c r="R168" i="4"/>
  <c r="O168" i="4"/>
  <c r="L168" i="4"/>
  <c r="M168" i="4" s="1"/>
  <c r="J168" i="4"/>
  <c r="K168" i="4" s="1"/>
  <c r="I168" i="4"/>
  <c r="E167" i="1" s="1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K165" i="4"/>
  <c r="J165" i="4"/>
  <c r="I165" i="4"/>
  <c r="S164" i="4"/>
  <c r="R164" i="4"/>
  <c r="O164" i="4"/>
  <c r="L164" i="4"/>
  <c r="M164" i="4" s="1"/>
  <c r="J164" i="4"/>
  <c r="K164" i="4" s="1"/>
  <c r="I164" i="4"/>
  <c r="E163" i="1" s="1"/>
  <c r="S163" i="4"/>
  <c r="R163" i="4"/>
  <c r="O163" i="4"/>
  <c r="L163" i="4"/>
  <c r="M163" i="4" s="1"/>
  <c r="J163" i="4"/>
  <c r="K163" i="4" s="1"/>
  <c r="I163" i="4"/>
  <c r="E162" i="1" s="1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E158" i="1" s="1"/>
  <c r="S158" i="4"/>
  <c r="R158" i="4"/>
  <c r="O158" i="4"/>
  <c r="L158" i="4"/>
  <c r="M158" i="4" s="1"/>
  <c r="J158" i="4"/>
  <c r="K158" i="4" s="1"/>
  <c r="I158" i="4"/>
  <c r="E157" i="1" s="1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K153" i="4"/>
  <c r="J153" i="4"/>
  <c r="I153" i="4"/>
  <c r="E152" i="1" s="1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Q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Q152" i="4" s="1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E122" i="1" s="1"/>
  <c r="S122" i="4"/>
  <c r="R122" i="4"/>
  <c r="O122" i="4"/>
  <c r="L122" i="4"/>
  <c r="M122" i="4" s="1"/>
  <c r="J122" i="4"/>
  <c r="K122" i="4" s="1"/>
  <c r="I122" i="4"/>
  <c r="E121" i="1" s="1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E117" i="1" s="1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E108" i="1" s="1"/>
  <c r="S108" i="4"/>
  <c r="R108" i="4"/>
  <c r="O108" i="4"/>
  <c r="M108" i="4"/>
  <c r="L108" i="4"/>
  <c r="J108" i="4"/>
  <c r="K108" i="4" s="1"/>
  <c r="I108" i="4"/>
  <c r="E107" i="1" s="1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E103" i="1" s="1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E99" i="1" s="1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E95" i="1" s="1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E85" i="1" s="1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E78" i="1" s="1"/>
  <c r="S78" i="4"/>
  <c r="R78" i="4"/>
  <c r="O78" i="4"/>
  <c r="L78" i="4"/>
  <c r="J78" i="4"/>
  <c r="K78" i="4" s="1"/>
  <c r="I78" i="4"/>
  <c r="S77" i="4"/>
  <c r="R77" i="4"/>
  <c r="O77" i="4"/>
  <c r="L77" i="4"/>
  <c r="J77" i="4"/>
  <c r="I77" i="4"/>
  <c r="S76" i="4"/>
  <c r="R76" i="4"/>
  <c r="O76" i="4"/>
  <c r="M76" i="4"/>
  <c r="L76" i="4"/>
  <c r="J76" i="4"/>
  <c r="I76" i="4"/>
  <c r="E75" i="1" s="1"/>
  <c r="S75" i="4"/>
  <c r="R75" i="4"/>
  <c r="O75" i="4"/>
  <c r="L75" i="4"/>
  <c r="M75" i="4" s="1"/>
  <c r="J75" i="4"/>
  <c r="K75" i="4" s="1"/>
  <c r="I75" i="4"/>
  <c r="S74" i="4"/>
  <c r="R74" i="4"/>
  <c r="O74" i="4"/>
  <c r="L74" i="4"/>
  <c r="J74" i="4"/>
  <c r="K74" i="4" s="1"/>
  <c r="I74" i="4"/>
  <c r="S73" i="4"/>
  <c r="R73" i="4"/>
  <c r="O73" i="4"/>
  <c r="L73" i="4"/>
  <c r="J73" i="4"/>
  <c r="I73" i="4"/>
  <c r="S72" i="4"/>
  <c r="R72" i="4"/>
  <c r="O72" i="4"/>
  <c r="L72" i="4"/>
  <c r="M72" i="4" s="1"/>
  <c r="J72" i="4"/>
  <c r="I72" i="4"/>
  <c r="S71" i="4"/>
  <c r="R71" i="4"/>
  <c r="O71" i="4"/>
  <c r="L71" i="4"/>
  <c r="M71" i="4" s="1"/>
  <c r="J71" i="4"/>
  <c r="K71" i="4" s="1"/>
  <c r="I71" i="4"/>
  <c r="E70" i="1" s="1"/>
  <c r="S70" i="4"/>
  <c r="R70" i="4"/>
  <c r="O70" i="4"/>
  <c r="L70" i="4"/>
  <c r="J70" i="4"/>
  <c r="K70" i="4" s="1"/>
  <c r="I70" i="4"/>
  <c r="S69" i="4"/>
  <c r="R69" i="4"/>
  <c r="O69" i="4"/>
  <c r="L69" i="4"/>
  <c r="J69" i="4"/>
  <c r="I69" i="4"/>
  <c r="S68" i="4"/>
  <c r="R68" i="4"/>
  <c r="O68" i="4"/>
  <c r="L68" i="4"/>
  <c r="M68" i="4" s="1"/>
  <c r="J68" i="4"/>
  <c r="I68" i="4"/>
  <c r="E67" i="1" s="1"/>
  <c r="S67" i="4"/>
  <c r="R67" i="4"/>
  <c r="O67" i="4"/>
  <c r="L67" i="4"/>
  <c r="M67" i="4" s="1"/>
  <c r="J67" i="4"/>
  <c r="K67" i="4" s="1"/>
  <c r="I67" i="4"/>
  <c r="E66" i="1" s="1"/>
  <c r="S66" i="4"/>
  <c r="R66" i="4"/>
  <c r="O66" i="4"/>
  <c r="L66" i="4"/>
  <c r="J66" i="4"/>
  <c r="K66" i="4" s="1"/>
  <c r="I66" i="4"/>
  <c r="S65" i="4"/>
  <c r="R65" i="4"/>
  <c r="O65" i="4"/>
  <c r="L65" i="4"/>
  <c r="J65" i="4"/>
  <c r="I65" i="4"/>
  <c r="S64" i="4"/>
  <c r="R64" i="4"/>
  <c r="O64" i="4"/>
  <c r="L64" i="4"/>
  <c r="M64" i="4" s="1"/>
  <c r="J64" i="4"/>
  <c r="I64" i="4"/>
  <c r="S63" i="4"/>
  <c r="R63" i="4"/>
  <c r="Q84" i="4"/>
  <c r="P85" i="4"/>
  <c r="E62" i="1"/>
  <c r="S62" i="4"/>
  <c r="R62" i="4"/>
  <c r="S61" i="4"/>
  <c r="R61" i="4"/>
  <c r="S60" i="4"/>
  <c r="R60" i="4"/>
  <c r="S59" i="4"/>
  <c r="R59" i="4"/>
  <c r="E58" i="1"/>
  <c r="S58" i="4"/>
  <c r="R58" i="4"/>
  <c r="S57" i="4"/>
  <c r="R57" i="4"/>
  <c r="P57" i="4"/>
  <c r="E56" i="1"/>
  <c r="S56" i="4"/>
  <c r="R56" i="4"/>
  <c r="S55" i="4"/>
  <c r="R55" i="4"/>
  <c r="P55" i="4"/>
  <c r="S54" i="4"/>
  <c r="R54" i="4"/>
  <c r="S53" i="4"/>
  <c r="R53" i="4"/>
  <c r="E52" i="1"/>
  <c r="S52" i="4"/>
  <c r="R52" i="4"/>
  <c r="S51" i="4"/>
  <c r="R51" i="4"/>
  <c r="S50" i="4"/>
  <c r="R50" i="4"/>
  <c r="E49" i="1"/>
  <c r="S49" i="4"/>
  <c r="R49" i="4"/>
  <c r="S48" i="4"/>
  <c r="R48" i="4"/>
  <c r="S47" i="4"/>
  <c r="R47" i="4"/>
  <c r="E46" i="1"/>
  <c r="S46" i="4"/>
  <c r="R46" i="4"/>
  <c r="S45" i="4"/>
  <c r="R45" i="4"/>
  <c r="S44" i="4"/>
  <c r="R44" i="4"/>
  <c r="S43" i="4"/>
  <c r="R43" i="4"/>
  <c r="S42" i="4"/>
  <c r="R42" i="4"/>
  <c r="E41" i="1"/>
  <c r="S41" i="4"/>
  <c r="R41" i="4"/>
  <c r="S40" i="4"/>
  <c r="R40" i="4"/>
  <c r="S39" i="4"/>
  <c r="R39" i="4"/>
  <c r="E38" i="1"/>
  <c r="S38" i="4"/>
  <c r="R38" i="4"/>
  <c r="E37" i="1"/>
  <c r="S37" i="4"/>
  <c r="R37" i="4"/>
  <c r="S36" i="4"/>
  <c r="R36" i="4"/>
  <c r="S35" i="4"/>
  <c r="R35" i="4"/>
  <c r="E34" i="1"/>
  <c r="S34" i="4"/>
  <c r="R34" i="4"/>
  <c r="Q52" i="4"/>
  <c r="P53" i="4"/>
  <c r="E33" i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M362" i="3" s="1"/>
  <c r="G360" i="1" s="1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F358" i="1" s="1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F352" i="1" s="1"/>
  <c r="L353" i="3"/>
  <c r="I351" i="1" s="1"/>
  <c r="K353" i="3"/>
  <c r="J353" i="3"/>
  <c r="I353" i="3"/>
  <c r="H353" i="3"/>
  <c r="L352" i="3"/>
  <c r="K352" i="3"/>
  <c r="J352" i="3"/>
  <c r="I352" i="3"/>
  <c r="H352" i="3"/>
  <c r="F350" i="1" s="1"/>
  <c r="L351" i="3"/>
  <c r="K351" i="3"/>
  <c r="J351" i="3"/>
  <c r="I351" i="3"/>
  <c r="H351" i="3"/>
  <c r="L350" i="3"/>
  <c r="I348" i="1" s="1"/>
  <c r="K350" i="3"/>
  <c r="J350" i="3"/>
  <c r="I350" i="3"/>
  <c r="H350" i="3"/>
  <c r="F348" i="1" s="1"/>
  <c r="L349" i="3"/>
  <c r="I347" i="1" s="1"/>
  <c r="K349" i="3"/>
  <c r="J349" i="3"/>
  <c r="I349" i="3"/>
  <c r="H349" i="3"/>
  <c r="L348" i="3"/>
  <c r="K348" i="3"/>
  <c r="J348" i="3"/>
  <c r="I348" i="3"/>
  <c r="M348" i="3" s="1"/>
  <c r="G346" i="1" s="1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F343" i="1" s="1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F340" i="1" s="1"/>
  <c r="Q341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F338" i="1" s="1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F335" i="1" s="1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F332" i="1" s="1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F323" i="1" s="1"/>
  <c r="Q324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Q321" i="3"/>
  <c r="L321" i="3"/>
  <c r="I319" i="1" s="1"/>
  <c r="K321" i="3"/>
  <c r="J321" i="3"/>
  <c r="I321" i="3"/>
  <c r="H321" i="3"/>
  <c r="F319" i="1" s="1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F315" i="1" s="1"/>
  <c r="L316" i="3"/>
  <c r="I314" i="1" s="1"/>
  <c r="K316" i="3"/>
  <c r="J316" i="3"/>
  <c r="I316" i="3"/>
  <c r="M316" i="3" s="1"/>
  <c r="G314" i="1" s="1"/>
  <c r="H316" i="3"/>
  <c r="F314" i="1" s="1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F310" i="1" s="1"/>
  <c r="L311" i="3"/>
  <c r="K311" i="3"/>
  <c r="J311" i="3"/>
  <c r="I311" i="3"/>
  <c r="H311" i="3"/>
  <c r="F309" i="1" s="1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F302" i="1" s="1"/>
  <c r="L303" i="3"/>
  <c r="I301" i="1" s="1"/>
  <c r="K303" i="3"/>
  <c r="J303" i="3"/>
  <c r="I303" i="3"/>
  <c r="H303" i="3"/>
  <c r="F301" i="1" s="1"/>
  <c r="L302" i="3"/>
  <c r="I300" i="1" s="1"/>
  <c r="K302" i="3"/>
  <c r="J302" i="3"/>
  <c r="I302" i="3"/>
  <c r="H302" i="3"/>
  <c r="L301" i="3"/>
  <c r="K301" i="3"/>
  <c r="J301" i="3"/>
  <c r="I301" i="3"/>
  <c r="H301" i="3"/>
  <c r="F299" i="1" s="1"/>
  <c r="Q300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Q297" i="3"/>
  <c r="L297" i="3"/>
  <c r="I295" i="1" s="1"/>
  <c r="K297" i="3"/>
  <c r="J297" i="3"/>
  <c r="I297" i="3"/>
  <c r="H297" i="3"/>
  <c r="F295" i="1" s="1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F291" i="1" s="1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F288" i="1" s="1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F286" i="1" s="1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F279" i="1" s="1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F276" i="1" s="1"/>
  <c r="L277" i="3"/>
  <c r="I275" i="1" s="1"/>
  <c r="K277" i="3"/>
  <c r="J277" i="3"/>
  <c r="I277" i="3"/>
  <c r="H277" i="3"/>
  <c r="F275" i="1" s="1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F262" i="1" s="1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F254" i="1" s="1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F250" i="1" s="1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F246" i="1" s="1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F242" i="1" s="1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F239" i="1" s="1"/>
  <c r="L240" i="3"/>
  <c r="K240" i="3"/>
  <c r="J240" i="3"/>
  <c r="I240" i="3"/>
  <c r="M240" i="3" s="1"/>
  <c r="G238" i="1" s="1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F235" i="1" s="1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F231" i="1" s="1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F227" i="1" s="1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F222" i="1" s="1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F200" i="1" s="1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F187" i="1" s="1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Q181" i="3"/>
  <c r="L181" i="3"/>
  <c r="I179" i="1" s="1"/>
  <c r="K181" i="3"/>
  <c r="J181" i="3"/>
  <c r="I181" i="3"/>
  <c r="H181" i="3"/>
  <c r="Q180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F176" i="1" s="1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Q166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Q158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Q155" i="3"/>
  <c r="L155" i="3"/>
  <c r="I153" i="1" s="1"/>
  <c r="K155" i="3"/>
  <c r="J155" i="3"/>
  <c r="I155" i="3"/>
  <c r="H155" i="3"/>
  <c r="O154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Q151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Q143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M135" i="3" s="1"/>
  <c r="G133" i="1" s="1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M127" i="3" s="1"/>
  <c r="G125" i="1" s="1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F122" i="1" s="1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F117" i="1" s="1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F103" i="1" s="1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F99" i="1" s="1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F95" i="1" s="1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M79" i="3" s="1"/>
  <c r="G77" i="1" s="1"/>
  <c r="H79" i="3"/>
  <c r="L78" i="3"/>
  <c r="K78" i="3"/>
  <c r="J78" i="3"/>
  <c r="I78" i="3"/>
  <c r="H78" i="3"/>
  <c r="L77" i="3"/>
  <c r="I75" i="1" s="1"/>
  <c r="K77" i="3"/>
  <c r="J77" i="3"/>
  <c r="I77" i="3"/>
  <c r="H77" i="3"/>
  <c r="F75" i="1" s="1"/>
  <c r="Q76" i="3"/>
  <c r="L76" i="3"/>
  <c r="I74" i="1" s="1"/>
  <c r="K76" i="3"/>
  <c r="J76" i="3"/>
  <c r="I76" i="3"/>
  <c r="H76" i="3"/>
  <c r="L75" i="3"/>
  <c r="K75" i="3"/>
  <c r="J75" i="3"/>
  <c r="I75" i="3"/>
  <c r="H75" i="3"/>
  <c r="L74" i="3"/>
  <c r="I72" i="1" s="1"/>
  <c r="K74" i="3"/>
  <c r="J74" i="3"/>
  <c r="I74" i="3"/>
  <c r="H74" i="3"/>
  <c r="L73" i="3"/>
  <c r="I71" i="1" s="1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70" i="3"/>
  <c r="K70" i="3"/>
  <c r="J70" i="3"/>
  <c r="I70" i="3"/>
  <c r="H70" i="3"/>
  <c r="L69" i="3"/>
  <c r="I67" i="1" s="1"/>
  <c r="K69" i="3"/>
  <c r="J69" i="3"/>
  <c r="I69" i="3"/>
  <c r="H69" i="3"/>
  <c r="L68" i="3"/>
  <c r="I66" i="1" s="1"/>
  <c r="K68" i="3"/>
  <c r="J68" i="3"/>
  <c r="I68" i="3"/>
  <c r="H68" i="3"/>
  <c r="F66" i="1" s="1"/>
  <c r="L67" i="3"/>
  <c r="K67" i="3"/>
  <c r="J67" i="3"/>
  <c r="I67" i="3"/>
  <c r="H67" i="3"/>
  <c r="L66" i="3"/>
  <c r="I64" i="1" s="1"/>
  <c r="K66" i="3"/>
  <c r="J66" i="3"/>
  <c r="I66" i="3"/>
  <c r="H66" i="3"/>
  <c r="L65" i="3"/>
  <c r="I63" i="1" s="1"/>
  <c r="K65" i="3"/>
  <c r="J65" i="3"/>
  <c r="I65" i="3"/>
  <c r="H65" i="3"/>
  <c r="I60" i="1"/>
  <c r="I58" i="1"/>
  <c r="F58" i="1"/>
  <c r="Q59" i="3"/>
  <c r="I57" i="1"/>
  <c r="I56" i="1"/>
  <c r="I55" i="1"/>
  <c r="I53" i="1"/>
  <c r="I52" i="1"/>
  <c r="F52" i="1"/>
  <c r="I49" i="1"/>
  <c r="I48" i="1"/>
  <c r="I45" i="1"/>
  <c r="I44" i="1"/>
  <c r="G44" i="1"/>
  <c r="I42" i="1"/>
  <c r="Q43" i="3"/>
  <c r="I41" i="1"/>
  <c r="F41" i="1"/>
  <c r="I40" i="1"/>
  <c r="I37" i="1"/>
  <c r="F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63" i="1" l="1"/>
  <c r="Q98" i="3"/>
  <c r="M105" i="3"/>
  <c r="G103" i="1" s="1"/>
  <c r="F163" i="1"/>
  <c r="F178" i="1"/>
  <c r="F214" i="1"/>
  <c r="F232" i="1"/>
  <c r="O336" i="3"/>
  <c r="F344" i="1"/>
  <c r="E91" i="1"/>
  <c r="E140" i="1"/>
  <c r="E149" i="1"/>
  <c r="E154" i="1"/>
  <c r="E214" i="1"/>
  <c r="E219" i="1"/>
  <c r="F219" i="1" s="1"/>
  <c r="E224" i="1"/>
  <c r="E241" i="1"/>
  <c r="F169" i="1"/>
  <c r="E118" i="1"/>
  <c r="E177" i="1"/>
  <c r="F177" i="1" s="1"/>
  <c r="E218" i="1"/>
  <c r="E223" i="1"/>
  <c r="E287" i="1"/>
  <c r="E42" i="1"/>
  <c r="E71" i="1"/>
  <c r="F34" i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F360" i="1"/>
  <c r="M368" i="3"/>
  <c r="G366" i="1" s="1"/>
  <c r="E28" i="1"/>
  <c r="E57" i="1"/>
  <c r="E84" i="1"/>
  <c r="E90" i="1"/>
  <c r="E112" i="1"/>
  <c r="E148" i="1"/>
  <c r="Q213" i="4"/>
  <c r="E192" i="1"/>
  <c r="E197" i="1"/>
  <c r="E202" i="1"/>
  <c r="Q244" i="4"/>
  <c r="E240" i="1"/>
  <c r="F240" i="1"/>
  <c r="O32" i="3"/>
  <c r="F63" i="1"/>
  <c r="M68" i="3"/>
  <c r="G66" i="1" s="1"/>
  <c r="F168" i="1"/>
  <c r="F228" i="1"/>
  <c r="Q265" i="3"/>
  <c r="F278" i="1"/>
  <c r="F290" i="1"/>
  <c r="F334" i="1"/>
  <c r="Q182" i="4"/>
  <c r="Q211" i="4"/>
  <c r="Q215" i="4" s="1"/>
  <c r="Q270" i="4"/>
  <c r="E356" i="1"/>
  <c r="F49" i="1"/>
  <c r="Q15" i="3"/>
  <c r="G28" i="1"/>
  <c r="Q69" i="3"/>
  <c r="F71" i="1"/>
  <c r="Q87" i="3"/>
  <c r="M103" i="3"/>
  <c r="G101" i="1" s="1"/>
  <c r="Q127" i="3"/>
  <c r="M143" i="3"/>
  <c r="G141" i="1" s="1"/>
  <c r="M146" i="3"/>
  <c r="G144" i="1" s="1"/>
  <c r="F156" i="1"/>
  <c r="F171" i="1"/>
  <c r="M179" i="3"/>
  <c r="G177" i="1" s="1"/>
  <c r="F180" i="1"/>
  <c r="Q190" i="3"/>
  <c r="F192" i="1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E55" i="1"/>
  <c r="F55" i="1" s="1"/>
  <c r="E74" i="1"/>
  <c r="F74" i="1" s="1"/>
  <c r="E79" i="1"/>
  <c r="E83" i="1"/>
  <c r="F83" i="1" s="1"/>
  <c r="E88" i="1"/>
  <c r="F88" i="1" s="1"/>
  <c r="E156" i="1"/>
  <c r="E161" i="1"/>
  <c r="E166" i="1"/>
  <c r="F166" i="1" s="1"/>
  <c r="E171" i="1"/>
  <c r="E186" i="1"/>
  <c r="F186" i="1" s="1"/>
  <c r="E191" i="1"/>
  <c r="E196" i="1"/>
  <c r="F196" i="1" s="1"/>
  <c r="E210" i="1"/>
  <c r="F210" i="1" s="1"/>
  <c r="E211" i="1"/>
  <c r="F211" i="1" s="1"/>
  <c r="E226" i="1"/>
  <c r="E285" i="1"/>
  <c r="E313" i="1"/>
  <c r="F313" i="1" s="1"/>
  <c r="E318" i="1"/>
  <c r="E360" i="1"/>
  <c r="E308" i="1"/>
  <c r="E322" i="1"/>
  <c r="F322" i="1" s="1"/>
  <c r="E327" i="1"/>
  <c r="F327" i="1" s="1"/>
  <c r="E337" i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F318" i="1"/>
  <c r="O337" i="3"/>
  <c r="F356" i="1"/>
  <c r="E5" i="1"/>
  <c r="Q27" i="4"/>
  <c r="E9" i="1"/>
  <c r="E13" i="1"/>
  <c r="Q59" i="4"/>
  <c r="E60" i="1"/>
  <c r="F60" i="1" s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E215" i="1"/>
  <c r="E220" i="1"/>
  <c r="F220" i="1" s="1"/>
  <c r="E225" i="1"/>
  <c r="E271" i="1"/>
  <c r="E284" i="1"/>
  <c r="E289" i="1"/>
  <c r="E303" i="1"/>
  <c r="F303" i="1" s="1"/>
  <c r="E307" i="1"/>
  <c r="E312" i="1"/>
  <c r="E317" i="1"/>
  <c r="E326" i="1"/>
  <c r="F326" i="1" s="1"/>
  <c r="Q362" i="4"/>
  <c r="E346" i="1"/>
  <c r="F346" i="1" s="1"/>
  <c r="E365" i="1"/>
  <c r="Q8" i="3"/>
  <c r="Q51" i="3"/>
  <c r="Q54" i="3"/>
  <c r="Q60" i="3"/>
  <c r="Q74" i="3"/>
  <c r="F79" i="1"/>
  <c r="M91" i="3"/>
  <c r="G89" i="1" s="1"/>
  <c r="Q95" i="3"/>
  <c r="Q126" i="3"/>
  <c r="F149" i="1"/>
  <c r="G16" i="1"/>
  <c r="Q36" i="3"/>
  <c r="Q39" i="3"/>
  <c r="Q42" i="3"/>
  <c r="F67" i="1"/>
  <c r="F85" i="1"/>
  <c r="F91" i="1"/>
  <c r="M102" i="3"/>
  <c r="G100" i="1" s="1"/>
  <c r="F108" i="1"/>
  <c r="M133" i="3"/>
  <c r="G131" i="1" s="1"/>
  <c r="F155" i="1"/>
  <c r="F158" i="1"/>
  <c r="M178" i="3"/>
  <c r="G176" i="1" s="1"/>
  <c r="F188" i="1"/>
  <c r="Q209" i="3"/>
  <c r="O215" i="3"/>
  <c r="Q218" i="3"/>
  <c r="F223" i="1"/>
  <c r="F226" i="1"/>
  <c r="F274" i="1"/>
  <c r="F294" i="1"/>
  <c r="F300" i="1"/>
  <c r="F364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F164" i="1" s="1"/>
  <c r="E169" i="1"/>
  <c r="E174" i="1"/>
  <c r="F174" i="1" s="1"/>
  <c r="E179" i="1"/>
  <c r="F179" i="1" s="1"/>
  <c r="E180" i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E10" i="1"/>
  <c r="M129" i="4"/>
  <c r="E128" i="1"/>
  <c r="M360" i="4"/>
  <c r="E359" i="1"/>
  <c r="F359" i="1" s="1"/>
  <c r="F57" i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M70" i="4"/>
  <c r="E69" i="1"/>
  <c r="F69" i="1" s="1"/>
  <c r="M137" i="4"/>
  <c r="E136" i="1"/>
  <c r="F136" i="1" s="1"/>
  <c r="F193" i="1"/>
  <c r="F243" i="1"/>
  <c r="E4" i="1"/>
  <c r="E54" i="1"/>
  <c r="F54" i="1" s="1"/>
  <c r="M69" i="4"/>
  <c r="E68" i="1"/>
  <c r="F68" i="1" s="1"/>
  <c r="M74" i="4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M136" i="4"/>
  <c r="E135" i="1"/>
  <c r="F135" i="1" s="1"/>
  <c r="M140" i="4"/>
  <c r="E139" i="1"/>
  <c r="F139" i="1" s="1"/>
  <c r="M152" i="4"/>
  <c r="E151" i="1"/>
  <c r="M65" i="4"/>
  <c r="E64" i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F147" i="1"/>
  <c r="F201" i="1"/>
  <c r="E8" i="1"/>
  <c r="E22" i="1"/>
  <c r="E30" i="1"/>
  <c r="E36" i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K185" i="4"/>
  <c r="P206" i="4"/>
  <c r="E206" i="1"/>
  <c r="E25" i="1"/>
  <c r="M120" i="4"/>
  <c r="E119" i="1"/>
  <c r="F119" i="1" s="1"/>
  <c r="M133" i="4"/>
  <c r="E132" i="1"/>
  <c r="M147" i="4"/>
  <c r="E146" i="1"/>
  <c r="F146" i="1" s="1"/>
  <c r="F42" i="1"/>
  <c r="F56" i="1"/>
  <c r="F109" i="1"/>
  <c r="F115" i="1"/>
  <c r="F234" i="1"/>
  <c r="F251" i="1"/>
  <c r="F259" i="1"/>
  <c r="E3" i="1"/>
  <c r="E12" i="1"/>
  <c r="E53" i="1"/>
  <c r="E61" i="1"/>
  <c r="F61" i="1" s="1"/>
  <c r="M73" i="4"/>
  <c r="E72" i="1"/>
  <c r="M78" i="4"/>
  <c r="E77" i="1"/>
  <c r="F77" i="1" s="1"/>
  <c r="M116" i="4"/>
  <c r="E115" i="1"/>
  <c r="M127" i="4"/>
  <c r="E126" i="1"/>
  <c r="F126" i="1" s="1"/>
  <c r="M131" i="4"/>
  <c r="E130" i="1"/>
  <c r="F130" i="1" s="1"/>
  <c r="M135" i="4"/>
  <c r="E134" i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F86" i="1"/>
  <c r="F206" i="1"/>
  <c r="E7" i="1"/>
  <c r="E16" i="1"/>
  <c r="E35" i="1"/>
  <c r="F35" i="1" s="1"/>
  <c r="E40" i="1"/>
  <c r="F40" i="1" s="1"/>
  <c r="E51" i="1"/>
  <c r="M98" i="4"/>
  <c r="E97" i="1"/>
  <c r="M103" i="4"/>
  <c r="E102" i="1"/>
  <c r="M114" i="4"/>
  <c r="E113" i="1"/>
  <c r="F113" i="1" s="1"/>
  <c r="M143" i="4"/>
  <c r="E142" i="1"/>
  <c r="M363" i="4"/>
  <c r="E362" i="1"/>
  <c r="F51" i="1"/>
  <c r="F53" i="1"/>
  <c r="F38" i="1"/>
  <c r="F64" i="1"/>
  <c r="F100" i="1"/>
  <c r="F131" i="1"/>
  <c r="F143" i="1"/>
  <c r="F152" i="1"/>
  <c r="F247" i="1"/>
  <c r="F267" i="1"/>
  <c r="F287" i="1"/>
  <c r="F298" i="1"/>
  <c r="F362" i="1"/>
  <c r="I371" i="4"/>
  <c r="E2" i="1"/>
  <c r="E11" i="1"/>
  <c r="E20" i="1"/>
  <c r="E26" i="1"/>
  <c r="M66" i="4"/>
  <c r="E65" i="1"/>
  <c r="M77" i="4"/>
  <c r="E76" i="1"/>
  <c r="F76" i="1" s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M214" i="4"/>
  <c r="E213" i="1"/>
  <c r="F213" i="1" s="1"/>
  <c r="Q272" i="4"/>
  <c r="Q276" i="4" s="1"/>
  <c r="F102" i="1"/>
  <c r="M332" i="4"/>
  <c r="E331" i="1"/>
  <c r="F72" i="1"/>
  <c r="F94" i="1"/>
  <c r="F97" i="1"/>
  <c r="F105" i="1"/>
  <c r="F125" i="1"/>
  <c r="F128" i="1"/>
  <c r="F185" i="1"/>
  <c r="F218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F33" i="1"/>
  <c r="G36" i="1"/>
  <c r="F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F148" i="1"/>
  <c r="M153" i="3"/>
  <c r="G151" i="1" s="1"/>
  <c r="F151" i="1"/>
  <c r="Q161" i="3"/>
  <c r="I159" i="1"/>
  <c r="M169" i="3"/>
  <c r="G167" i="1" s="1"/>
  <c r="F167" i="1"/>
  <c r="Q177" i="3"/>
  <c r="I175" i="1"/>
  <c r="M185" i="3"/>
  <c r="G183" i="1" s="1"/>
  <c r="F183" i="1"/>
  <c r="M188" i="3"/>
  <c r="G186" i="1" s="1"/>
  <c r="Q199" i="3"/>
  <c r="I197" i="1"/>
  <c r="Q202" i="3"/>
  <c r="Q212" i="3"/>
  <c r="M226" i="3"/>
  <c r="G224" i="1" s="1"/>
  <c r="F224" i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F297" i="1"/>
  <c r="M306" i="3"/>
  <c r="G304" i="1" s="1"/>
  <c r="F304" i="1"/>
  <c r="M309" i="3"/>
  <c r="G307" i="1" s="1"/>
  <c r="F307" i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F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F106" i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F62" i="1"/>
  <c r="Q66" i="3"/>
  <c r="M71" i="3"/>
  <c r="G69" i="1" s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F170" i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F325" i="1"/>
  <c r="Q329" i="3"/>
  <c r="M333" i="3"/>
  <c r="G331" i="1" s="1"/>
  <c r="F331" i="1"/>
  <c r="M336" i="3"/>
  <c r="G334" i="1" s="1"/>
  <c r="M339" i="3"/>
  <c r="G337" i="1" s="1"/>
  <c r="F337" i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F261" i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F182" i="1"/>
  <c r="M193" i="3"/>
  <c r="G191" i="1" s="1"/>
  <c r="F191" i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M76" i="3"/>
  <c r="G74" i="1" s="1"/>
  <c r="Q86" i="3"/>
  <c r="I84" i="1"/>
  <c r="M94" i="3"/>
  <c r="G92" i="1" s="1"/>
  <c r="M97" i="3"/>
  <c r="G95" i="1" s="1"/>
  <c r="M100" i="3"/>
  <c r="G98" i="1" s="1"/>
  <c r="M106" i="3"/>
  <c r="G104" i="1" s="1"/>
  <c r="F104" i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F159" i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F289" i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F365" i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M72" i="3"/>
  <c r="G70" i="1" s="1"/>
  <c r="F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F134" i="1"/>
  <c r="Q195" i="3"/>
  <c r="I193" i="1"/>
  <c r="M247" i="3"/>
  <c r="G245" i="1" s="1"/>
  <c r="F245" i="1"/>
  <c r="Q287" i="3"/>
  <c r="I285" i="1"/>
  <c r="M295" i="3"/>
  <c r="G293" i="1" s="1"/>
  <c r="F293" i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M73" i="3"/>
  <c r="G71" i="1" s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F50" i="1"/>
  <c r="Q57" i="3"/>
  <c r="G57" i="1"/>
  <c r="Q67" i="3"/>
  <c r="I65" i="1"/>
  <c r="M69" i="3"/>
  <c r="G67" i="1" s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M67" i="3"/>
  <c r="G65" i="1" s="1"/>
  <c r="F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M65" i="3"/>
  <c r="G63" i="1" s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F202" i="1"/>
  <c r="M207" i="3"/>
  <c r="G205" i="1" s="1"/>
  <c r="F205" i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65" i="4"/>
  <c r="K69" i="4"/>
  <c r="K73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64" i="4"/>
  <c r="K68" i="4"/>
  <c r="K72" i="4"/>
  <c r="K76" i="4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M70" i="3"/>
  <c r="G68" i="1" s="1"/>
  <c r="M117" i="3"/>
  <c r="G115" i="1" s="1"/>
  <c r="J371" i="3"/>
  <c r="N28" i="3"/>
  <c r="G29" i="1"/>
  <c r="G40" i="1"/>
  <c r="G51" i="1"/>
  <c r="G56" i="1"/>
  <c r="G59" i="1"/>
  <c r="M75" i="3"/>
  <c r="G73" i="1" s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M77" i="3"/>
  <c r="G75" i="1" s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66" i="3"/>
  <c r="M74" i="3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O93" i="3" s="1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<sst xmlns="http://schemas.openxmlformats.org/spreadsheetml/2006/main" count="606" uniqueCount="76">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</sst>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5" fillId="0" borderId="0"/>
  </cellStyleXfs>
  <cellXfs count="19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5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workbookViewId="0">
      <selection activeCell="L6" sqref="L6"/>
    </sheetView>
  </sheetViews>
  <sheetFormatPr defaultRowHeight="14.5" x14ac:dyDescent="0.35"/>
  <cols>
    <col min="1" max="1" width="23.453125" customWidth="1"/>
    <col min="5" max="5" width="13.54296875" customWidth="1"/>
    <col min="6" max="6" width="11.81640625" style="156" customWidth="1"/>
    <col min="7" max="7" width="11.1796875" customWidth="1"/>
    <col min="8" max="8" width="11" style="156" customWidth="1"/>
    <col min="9" max="9" width="11.54296875" customWidth="1"/>
    <col min="10" max="10" width="13.1796875" style="156" customWidth="1"/>
    <col min="11" max="11" width="11.1796875" customWidth="1"/>
    <col min="12" max="12" width="11.54296875" customWidth="1"/>
  </cols>
  <sheetData>
    <row r="1" spans="1:13" s="7" customFormat="1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35">
      <c r="A2" s="3" t="s">
        <v>75</v>
      </c>
      <c r="B2" s="3">
        <v>1</v>
      </c>
      <c r="C2" s="3">
        <v>3</v>
      </c>
      <c r="D2" s="3">
        <v>2021</v>
      </c>
      <c r="E2" s="4">
        <f>'Electricity '!I3+'Electricity '!O3</f>
        <v>20488.859999998404</v>
      </c>
      <c r="F2" s="155">
        <v>0.59</v>
      </c>
      <c r="G2" s="4">
        <f>'Gas Water'!M4</f>
        <v>2196</v>
      </c>
      <c r="H2" s="155">
        <v>1.78</v>
      </c>
      <c r="I2" s="2">
        <f>'Gas Water'!L4</f>
        <v>128</v>
      </c>
      <c r="J2" s="155">
        <v>12.8</v>
      </c>
      <c r="K2" s="5">
        <v>119</v>
      </c>
      <c r="L2" s="5">
        <v>212</v>
      </c>
    </row>
    <row r="3" spans="1:13" x14ac:dyDescent="0.35">
      <c r="A3" s="3" t="s">
        <v>75</v>
      </c>
      <c r="B3" s="3">
        <v>2</v>
      </c>
      <c r="C3" s="3">
        <v>3</v>
      </c>
      <c r="D3" s="3">
        <v>2021</v>
      </c>
      <c r="E3" s="4">
        <f>'Electricity '!I4+'Electricity '!O4</f>
        <v>20646.180000000331</v>
      </c>
      <c r="F3" s="155">
        <v>0.59</v>
      </c>
      <c r="G3" s="4">
        <f>'Gas Water'!M5</f>
        <v>2142</v>
      </c>
      <c r="H3" s="155">
        <v>1.78</v>
      </c>
      <c r="I3" s="2">
        <f>'Gas Water'!L5</f>
        <v>105</v>
      </c>
      <c r="J3" s="155">
        <v>12.8</v>
      </c>
      <c r="K3" s="5">
        <v>100</v>
      </c>
      <c r="L3" s="5">
        <v>167</v>
      </c>
    </row>
    <row r="4" spans="1:13" x14ac:dyDescent="0.35">
      <c r="A4" s="3" t="s">
        <v>75</v>
      </c>
      <c r="B4" s="3">
        <v>3</v>
      </c>
      <c r="C4" s="3">
        <v>3</v>
      </c>
      <c r="D4" s="3">
        <v>2021</v>
      </c>
      <c r="E4" s="4">
        <f>'Electricity '!I5+'Electricity '!O5</f>
        <v>20273.579999999729</v>
      </c>
      <c r="F4" s="155">
        <v>0.59</v>
      </c>
      <c r="G4" s="4">
        <f>'Gas Water'!M6</f>
        <v>2437</v>
      </c>
      <c r="H4" s="155">
        <v>1.78</v>
      </c>
      <c r="I4" s="2">
        <f>'Gas Water'!L6</f>
        <v>104</v>
      </c>
      <c r="J4" s="155">
        <v>12.8</v>
      </c>
      <c r="K4" s="5">
        <v>72</v>
      </c>
      <c r="L4" s="5">
        <v>118</v>
      </c>
    </row>
    <row r="5" spans="1:13" x14ac:dyDescent="0.35">
      <c r="A5" s="3" t="s">
        <v>75</v>
      </c>
      <c r="B5" s="3">
        <v>4</v>
      </c>
      <c r="C5" s="3">
        <v>3</v>
      </c>
      <c r="D5" s="3">
        <v>2021</v>
      </c>
      <c r="E5" s="4">
        <f>'Electricity '!I6+'Electricity '!O6</f>
        <v>19412.460000001265</v>
      </c>
      <c r="F5" s="155">
        <v>0.59</v>
      </c>
      <c r="G5" s="4">
        <f>'Gas Water'!M7</f>
        <v>2083</v>
      </c>
      <c r="H5" s="155">
        <v>1.78</v>
      </c>
      <c r="I5" s="2">
        <f>'Gas Water'!L7</f>
        <v>112</v>
      </c>
      <c r="J5" s="155">
        <v>12.8</v>
      </c>
      <c r="K5" s="5"/>
      <c r="L5" s="5"/>
    </row>
    <row r="6" spans="1:13" x14ac:dyDescent="0.35">
      <c r="A6" s="3" t="s">
        <v>75</v>
      </c>
      <c r="B6" s="3">
        <v>5</v>
      </c>
      <c r="C6" s="3">
        <v>3</v>
      </c>
      <c r="D6" s="3">
        <v>2021</v>
      </c>
      <c r="E6" s="4">
        <f>'Electricity '!I7+'Electricity '!O7</f>
        <v>20414.339999998283</v>
      </c>
      <c r="F6" s="155">
        <v>0.59</v>
      </c>
      <c r="G6" s="4">
        <f>'Gas Water'!M8</f>
        <v>2135</v>
      </c>
      <c r="H6" s="155">
        <v>1.78</v>
      </c>
      <c r="I6" s="2">
        <f>'Gas Water'!L8</f>
        <v>100</v>
      </c>
      <c r="J6" s="155">
        <v>12.8</v>
      </c>
      <c r="K6" s="5"/>
      <c r="L6" s="5"/>
    </row>
    <row r="7" spans="1:13" x14ac:dyDescent="0.35">
      <c r="A7" s="3" t="s">
        <v>75</v>
      </c>
      <c r="B7" s="3">
        <v>6</v>
      </c>
      <c r="C7" s="3">
        <v>3</v>
      </c>
      <c r="D7" s="3">
        <v>2021</v>
      </c>
      <c r="E7" s="4">
        <f>'Electricity '!I8+'Electricity '!O8</f>
        <v>20815.920000001024</v>
      </c>
      <c r="F7" s="155">
        <v>0.59</v>
      </c>
      <c r="G7" s="4">
        <f>'Gas Water'!M9</f>
        <v>2200</v>
      </c>
      <c r="H7" s="155">
        <v>1.78</v>
      </c>
      <c r="I7" s="2">
        <f>'Gas Water'!L9</f>
        <v>113</v>
      </c>
      <c r="J7" s="155">
        <v>12.8</v>
      </c>
      <c r="K7" s="5"/>
      <c r="L7" s="5"/>
    </row>
    <row r="8" spans="1:13" x14ac:dyDescent="0.35">
      <c r="A8" s="3" t="s">
        <v>75</v>
      </c>
      <c r="B8" s="3">
        <v>7</v>
      </c>
      <c r="C8" s="3">
        <v>3</v>
      </c>
      <c r="D8" s="3">
        <v>2021</v>
      </c>
      <c r="E8" s="4">
        <f>'Electricity '!I9+'Electricity '!O9</f>
        <v>21639.779999999428</v>
      </c>
      <c r="F8" s="155">
        <v>0.59</v>
      </c>
      <c r="G8" s="4">
        <f>'Gas Water'!M10</f>
        <v>2075</v>
      </c>
      <c r="H8" s="155">
        <v>1.78</v>
      </c>
      <c r="I8" s="2">
        <f>'Gas Water'!L10</f>
        <v>106</v>
      </c>
      <c r="J8" s="155">
        <v>12.8</v>
      </c>
      <c r="K8" s="5"/>
      <c r="L8" s="5"/>
    </row>
    <row r="9" spans="1:13" x14ac:dyDescent="0.35">
      <c r="A9" s="3" t="s">
        <v>75</v>
      </c>
      <c r="B9" s="3">
        <v>8</v>
      </c>
      <c r="C9" s="3">
        <v>3</v>
      </c>
      <c r="D9" s="3">
        <v>2021</v>
      </c>
      <c r="E9" s="4">
        <f>'Electricity '!I10+'Electricity '!O10</f>
        <v>19259.280000000181</v>
      </c>
      <c r="F9" s="155">
        <v>0.59</v>
      </c>
      <c r="G9" s="4">
        <f>'Gas Water'!M11</f>
        <v>1785</v>
      </c>
      <c r="H9" s="155">
        <v>1.78</v>
      </c>
      <c r="I9" s="2">
        <f>'Gas Water'!L11</f>
        <v>114</v>
      </c>
      <c r="J9" s="155">
        <v>12.8</v>
      </c>
      <c r="K9" s="5"/>
      <c r="L9" s="5"/>
    </row>
    <row r="10" spans="1:13" x14ac:dyDescent="0.35">
      <c r="A10" s="3" t="s">
        <v>75</v>
      </c>
      <c r="B10" s="3">
        <v>9</v>
      </c>
      <c r="C10" s="3">
        <v>3</v>
      </c>
      <c r="D10" s="3">
        <v>2021</v>
      </c>
      <c r="E10" s="4">
        <f>'Electricity '!I11+'Electricity '!O11</f>
        <v>21904.740000000693</v>
      </c>
      <c r="F10" s="155">
        <v>0.59</v>
      </c>
      <c r="G10" s="4">
        <f>'Gas Water'!M12</f>
        <v>2155</v>
      </c>
      <c r="H10" s="155">
        <v>1.78</v>
      </c>
      <c r="I10" s="2">
        <f>'Gas Water'!L12</f>
        <v>76</v>
      </c>
      <c r="J10" s="155">
        <v>12.8</v>
      </c>
      <c r="K10" s="5"/>
      <c r="L10" s="5"/>
    </row>
    <row r="11" spans="1:13" x14ac:dyDescent="0.35">
      <c r="A11" s="3" t="s">
        <v>75</v>
      </c>
      <c r="B11" s="3">
        <v>10</v>
      </c>
      <c r="C11" s="3">
        <v>3</v>
      </c>
      <c r="D11" s="3">
        <v>2021</v>
      </c>
      <c r="E11" s="4">
        <f>'Electricity '!I12+'Electricity '!O12</f>
        <v>19313.099999999849</v>
      </c>
      <c r="F11" s="155">
        <v>0.59</v>
      </c>
      <c r="G11" s="4">
        <f>'Gas Water'!M13</f>
        <v>2642</v>
      </c>
      <c r="H11" s="155">
        <v>1.78</v>
      </c>
      <c r="I11" s="2">
        <f>'Gas Water'!L13</f>
        <v>91</v>
      </c>
      <c r="J11" s="155">
        <v>12.8</v>
      </c>
      <c r="K11" s="5"/>
      <c r="L11" s="5"/>
    </row>
    <row r="12" spans="1:13" x14ac:dyDescent="0.35">
      <c r="A12" s="3" t="s">
        <v>75</v>
      </c>
      <c r="B12" s="3">
        <v>11</v>
      </c>
      <c r="C12" s="3">
        <v>3</v>
      </c>
      <c r="D12" s="3">
        <v>2021</v>
      </c>
      <c r="E12" s="4">
        <f>'Electricity '!I13+'Electricity '!O13</f>
        <v>19097.820000001175</v>
      </c>
      <c r="F12" s="155">
        <v>0.59</v>
      </c>
      <c r="G12" s="4">
        <f>'Gas Water'!M14</f>
        <v>2005</v>
      </c>
      <c r="H12" s="155">
        <v>1.78</v>
      </c>
      <c r="I12" s="2">
        <f>'Gas Water'!L14</f>
        <v>111</v>
      </c>
      <c r="J12" s="155">
        <v>12.8</v>
      </c>
      <c r="K12" s="5"/>
      <c r="L12" s="5"/>
    </row>
    <row r="13" spans="1:13" x14ac:dyDescent="0.35">
      <c r="A13" s="3" t="s">
        <v>75</v>
      </c>
      <c r="B13" s="3">
        <v>12</v>
      </c>
      <c r="C13" s="3">
        <v>3</v>
      </c>
      <c r="D13" s="3">
        <v>2021</v>
      </c>
      <c r="E13" s="4">
        <f>'Electricity '!I14+'Electricity '!O14</f>
        <v>21420.35999999991</v>
      </c>
      <c r="F13" s="155">
        <v>0.59</v>
      </c>
      <c r="G13" s="4">
        <f>'Gas Water'!M15</f>
        <v>2117</v>
      </c>
      <c r="H13" s="155">
        <v>1.78</v>
      </c>
      <c r="I13" s="2">
        <f>'Gas Water'!L15</f>
        <v>87</v>
      </c>
      <c r="J13" s="155">
        <v>12.8</v>
      </c>
      <c r="K13" s="5"/>
      <c r="L13" s="5"/>
    </row>
    <row r="14" spans="1:13" x14ac:dyDescent="0.35">
      <c r="A14" s="3" t="s">
        <v>75</v>
      </c>
      <c r="B14" s="3">
        <v>13</v>
      </c>
      <c r="C14" s="3">
        <v>3</v>
      </c>
      <c r="D14" s="3">
        <v>2021</v>
      </c>
      <c r="E14" s="4">
        <f>'Electricity '!I15+'Electricity '!O15</f>
        <v>21776.399999997138</v>
      </c>
      <c r="F14" s="155">
        <v>0.59</v>
      </c>
      <c r="G14" s="4">
        <f>'Gas Water'!M16</f>
        <v>3142</v>
      </c>
      <c r="H14" s="155">
        <v>1.78</v>
      </c>
      <c r="I14" s="2">
        <f>'Gas Water'!L16</f>
        <v>98</v>
      </c>
      <c r="J14" s="155">
        <v>12.8</v>
      </c>
      <c r="K14" s="5"/>
      <c r="L14" s="5"/>
    </row>
    <row r="15" spans="1:13" x14ac:dyDescent="0.35">
      <c r="A15" s="3" t="s">
        <v>75</v>
      </c>
      <c r="B15" s="3">
        <v>14</v>
      </c>
      <c r="C15" s="3">
        <v>3</v>
      </c>
      <c r="D15" s="3">
        <v>2021</v>
      </c>
      <c r="E15" s="4">
        <f>'Electricity '!I16+'Electricity '!O16</f>
        <v>20608.920000000271</v>
      </c>
      <c r="F15" s="155">
        <v>0.59</v>
      </c>
      <c r="G15" s="4">
        <f>'Gas Water'!M17</f>
        <v>3603</v>
      </c>
      <c r="H15" s="155">
        <v>1.78</v>
      </c>
      <c r="I15" s="2">
        <f>'Gas Water'!L17</f>
        <v>99</v>
      </c>
      <c r="J15" s="155">
        <v>12.8</v>
      </c>
      <c r="K15" s="5"/>
      <c r="L15" s="5"/>
    </row>
    <row r="16" spans="1:13" x14ac:dyDescent="0.35">
      <c r="A16" s="3" t="s">
        <v>75</v>
      </c>
      <c r="B16" s="3">
        <v>15</v>
      </c>
      <c r="C16" s="3">
        <v>3</v>
      </c>
      <c r="D16" s="3">
        <v>2021</v>
      </c>
      <c r="E16" s="4">
        <f>'Electricity '!I17+'Electricity '!O17</f>
        <v>20521.980000001386</v>
      </c>
      <c r="F16" s="155">
        <v>0.59</v>
      </c>
      <c r="G16" s="4">
        <f>'Gas Water'!M18</f>
        <v>3668</v>
      </c>
      <c r="H16" s="155">
        <v>1.78</v>
      </c>
      <c r="I16" s="2">
        <f>'Gas Water'!L18</f>
        <v>88</v>
      </c>
      <c r="J16" s="155">
        <v>12.8</v>
      </c>
      <c r="K16" s="5"/>
      <c r="L16" s="5"/>
    </row>
    <row r="17" spans="1:12" x14ac:dyDescent="0.35">
      <c r="A17" s="3" t="s">
        <v>75</v>
      </c>
      <c r="B17" s="3">
        <v>16</v>
      </c>
      <c r="C17" s="3">
        <v>3</v>
      </c>
      <c r="D17" s="3">
        <v>2021</v>
      </c>
      <c r="E17" s="4">
        <f>'Electricity '!I18+'Electricity '!O18</f>
        <v>20178.359999999157</v>
      </c>
      <c r="F17" s="155">
        <v>0.59</v>
      </c>
      <c r="G17" s="4">
        <f>'Gas Water'!M19</f>
        <v>3714</v>
      </c>
      <c r="H17" s="155">
        <v>1.78</v>
      </c>
      <c r="I17" s="2">
        <f>'Gas Water'!L19</f>
        <v>84</v>
      </c>
      <c r="J17" s="155">
        <v>12.8</v>
      </c>
      <c r="K17" s="5"/>
      <c r="L17" s="5"/>
    </row>
    <row r="18" spans="1:12" x14ac:dyDescent="0.35">
      <c r="A18" s="3" t="s">
        <v>75</v>
      </c>
      <c r="B18" s="3">
        <v>17</v>
      </c>
      <c r="C18" s="3">
        <v>3</v>
      </c>
      <c r="D18" s="3">
        <v>2021</v>
      </c>
      <c r="E18" s="4">
        <f>'Electricity '!I19+'Electricity '!O19</f>
        <v>19457.999999999247</v>
      </c>
      <c r="F18" s="155">
        <v>0.59</v>
      </c>
      <c r="G18" s="4">
        <f>'Gas Water'!M20</f>
        <v>4504</v>
      </c>
      <c r="H18" s="155">
        <v>1.78</v>
      </c>
      <c r="I18" s="2">
        <f>'Gas Water'!L20</f>
        <v>67</v>
      </c>
      <c r="J18" s="155">
        <v>12.8</v>
      </c>
      <c r="K18" s="5"/>
      <c r="L18" s="5"/>
    </row>
    <row r="19" spans="1:12" x14ac:dyDescent="0.35">
      <c r="A19" s="3" t="s">
        <v>75</v>
      </c>
      <c r="B19" s="3">
        <v>18</v>
      </c>
      <c r="C19" s="3">
        <v>3</v>
      </c>
      <c r="D19" s="3">
        <v>2021</v>
      </c>
      <c r="E19" s="4">
        <f>'Electricity '!I20+'Electricity '!O20</f>
        <v>19379.340000002048</v>
      </c>
      <c r="F19" s="155">
        <v>0.59</v>
      </c>
      <c r="G19" s="4">
        <f>'Gas Water'!M21</f>
        <v>4581</v>
      </c>
      <c r="H19" s="155">
        <v>1.78</v>
      </c>
      <c r="I19" s="2">
        <f>'Gas Water'!L21</f>
        <v>95</v>
      </c>
      <c r="J19" s="155">
        <v>12.8</v>
      </c>
      <c r="K19" s="5"/>
      <c r="L19" s="5"/>
    </row>
    <row r="20" spans="1:12" x14ac:dyDescent="0.35">
      <c r="A20" s="3" t="s">
        <v>75</v>
      </c>
      <c r="B20" s="3">
        <v>19</v>
      </c>
      <c r="C20" s="3">
        <v>3</v>
      </c>
      <c r="D20" s="3">
        <v>2021</v>
      </c>
      <c r="E20" s="4">
        <f>'Electricity '!I21+'Electricity '!O21</f>
        <v>20041.739999997681</v>
      </c>
      <c r="F20" s="155">
        <v>0.59</v>
      </c>
      <c r="G20" s="4">
        <f>'Gas Water'!M22</f>
        <v>4505</v>
      </c>
      <c r="H20" s="155">
        <v>1.78</v>
      </c>
      <c r="I20" s="2">
        <f>'Gas Water'!L22</f>
        <v>84</v>
      </c>
      <c r="J20" s="155">
        <v>12.8</v>
      </c>
      <c r="K20" s="5"/>
      <c r="L20" s="5"/>
    </row>
    <row r="21" spans="1:12" x14ac:dyDescent="0.35">
      <c r="A21" s="3" t="s">
        <v>75</v>
      </c>
      <c r="B21" s="3">
        <v>20</v>
      </c>
      <c r="C21" s="3">
        <v>3</v>
      </c>
      <c r="D21" s="3">
        <v>2021</v>
      </c>
      <c r="E21" s="4">
        <f>'Electricity '!I22+'Electricity '!O22</f>
        <v>19975.500000003012</v>
      </c>
      <c r="F21" s="155">
        <v>0.59</v>
      </c>
      <c r="G21" s="4">
        <f>'Gas Water'!M23</f>
        <v>3654</v>
      </c>
      <c r="H21" s="155">
        <v>1.78</v>
      </c>
      <c r="I21" s="2">
        <f>'Gas Water'!L23</f>
        <v>89</v>
      </c>
      <c r="J21" s="155">
        <v>12.8</v>
      </c>
      <c r="K21" s="5"/>
      <c r="L21" s="5"/>
    </row>
    <row r="22" spans="1:12" x14ac:dyDescent="0.35">
      <c r="A22" s="3" t="s">
        <v>75</v>
      </c>
      <c r="B22" s="3">
        <v>21</v>
      </c>
      <c r="C22" s="3">
        <v>3</v>
      </c>
      <c r="D22" s="3">
        <v>2021</v>
      </c>
      <c r="E22" s="4">
        <f>'Electricity '!I23+'Electricity '!O23</f>
        <v>20526.119999998464</v>
      </c>
      <c r="F22" s="155">
        <v>0.59</v>
      </c>
      <c r="G22" s="4">
        <f>'Gas Water'!M24</f>
        <v>3456</v>
      </c>
      <c r="H22" s="155">
        <v>1.78</v>
      </c>
      <c r="I22" s="2">
        <f>'Gas Water'!L24</f>
        <v>101</v>
      </c>
      <c r="J22" s="155">
        <v>12.8</v>
      </c>
      <c r="K22" s="5"/>
      <c r="L22" s="5"/>
    </row>
    <row r="23" spans="1:12" x14ac:dyDescent="0.35">
      <c r="A23" s="3" t="s">
        <v>75</v>
      </c>
      <c r="B23" s="3">
        <v>22</v>
      </c>
      <c r="C23" s="3">
        <v>3</v>
      </c>
      <c r="D23" s="3">
        <v>2021</v>
      </c>
      <c r="E23" s="4">
        <f>'Electricity '!I24+'Electricity '!O24</f>
        <v>20157.659999998705</v>
      </c>
      <c r="F23" s="155">
        <v>0.59</v>
      </c>
      <c r="G23" s="4">
        <f>'Gas Water'!M25</f>
        <v>2533</v>
      </c>
      <c r="H23" s="155">
        <v>1.78</v>
      </c>
      <c r="I23" s="2">
        <f>'Gas Water'!L25</f>
        <v>107</v>
      </c>
      <c r="J23" s="155">
        <v>12.8</v>
      </c>
      <c r="K23" s="5"/>
      <c r="L23" s="5"/>
    </row>
    <row r="24" spans="1:12" x14ac:dyDescent="0.35">
      <c r="A24" s="3" t="s">
        <v>75</v>
      </c>
      <c r="B24" s="3">
        <v>23</v>
      </c>
      <c r="C24" s="3">
        <v>3</v>
      </c>
      <c r="D24" s="3">
        <v>2021</v>
      </c>
      <c r="E24" s="4">
        <f>'Electricity '!I25+'Electricity '!O25</f>
        <v>19300.680000001084</v>
      </c>
      <c r="F24" s="155">
        <v>0.59</v>
      </c>
      <c r="G24" s="4">
        <f>'Gas Water'!M26</f>
        <v>2686</v>
      </c>
      <c r="H24" s="155">
        <v>1.78</v>
      </c>
      <c r="I24" s="2">
        <f>'Gas Water'!L26</f>
        <v>115</v>
      </c>
      <c r="J24" s="155">
        <v>12.8</v>
      </c>
      <c r="K24" s="5"/>
      <c r="L24" s="5"/>
    </row>
    <row r="25" spans="1:12" x14ac:dyDescent="0.35">
      <c r="A25" s="3" t="s">
        <v>75</v>
      </c>
      <c r="B25" s="3">
        <v>24</v>
      </c>
      <c r="C25" s="3">
        <v>3</v>
      </c>
      <c r="D25" s="3">
        <v>2021</v>
      </c>
      <c r="E25" s="4">
        <f>'Electricity '!I26+'Electricity '!O26</f>
        <v>19847.159999999458</v>
      </c>
      <c r="F25" s="155">
        <v>0.59</v>
      </c>
      <c r="G25" s="4">
        <f>'Gas Water'!M27</f>
        <v>2531</v>
      </c>
      <c r="H25" s="155">
        <v>1.78</v>
      </c>
      <c r="I25" s="2">
        <f>'Gas Water'!L27</f>
        <v>88</v>
      </c>
      <c r="J25" s="155">
        <v>12.8</v>
      </c>
      <c r="K25" s="5"/>
      <c r="L25" s="5"/>
    </row>
    <row r="26" spans="1:12" x14ac:dyDescent="0.35">
      <c r="A26" s="3" t="s">
        <v>75</v>
      </c>
      <c r="B26" s="3">
        <v>25</v>
      </c>
      <c r="C26" s="3">
        <v>3</v>
      </c>
      <c r="D26" s="3">
        <v>2021</v>
      </c>
      <c r="E26" s="4">
        <f>'Electricity '!I27+'Electricity '!O27</f>
        <v>21022.920000001777</v>
      </c>
      <c r="F26" s="155">
        <v>0.59</v>
      </c>
      <c r="G26" s="4">
        <f>'Gas Water'!M28</f>
        <v>2751</v>
      </c>
      <c r="H26" s="155">
        <v>1.78</v>
      </c>
      <c r="I26" s="2">
        <f>'Gas Water'!L28</f>
        <v>87</v>
      </c>
      <c r="J26" s="155">
        <v>12.8</v>
      </c>
      <c r="K26" s="5"/>
      <c r="L26" s="5"/>
    </row>
    <row r="27" spans="1:12" x14ac:dyDescent="0.35">
      <c r="A27" s="3" t="s">
        <v>75</v>
      </c>
      <c r="B27" s="3">
        <v>26</v>
      </c>
      <c r="C27" s="3">
        <v>3</v>
      </c>
      <c r="D27" s="3">
        <v>2021</v>
      </c>
      <c r="E27" s="4">
        <f>'Electricity '!I28+'Electricity '!O28</f>
        <v>20472.299999998795</v>
      </c>
      <c r="F27" s="155">
        <v>0.59</v>
      </c>
      <c r="G27" s="4">
        <f>'Gas Water'!M29</f>
        <v>2576</v>
      </c>
      <c r="H27" s="155">
        <v>1.78</v>
      </c>
      <c r="I27" s="2">
        <f>'Gas Water'!L29</f>
        <v>104</v>
      </c>
      <c r="J27" s="155">
        <v>12.8</v>
      </c>
      <c r="K27" s="5"/>
      <c r="L27" s="5"/>
    </row>
    <row r="28" spans="1:12" x14ac:dyDescent="0.35">
      <c r="A28" s="3" t="s">
        <v>75</v>
      </c>
      <c r="B28" s="3">
        <v>27</v>
      </c>
      <c r="C28" s="3">
        <v>3</v>
      </c>
      <c r="D28" s="3">
        <v>2021</v>
      </c>
      <c r="E28" s="4">
        <f>'Electricity '!I29+'Electricity '!O29</f>
        <v>20977.38000000003</v>
      </c>
      <c r="F28" s="155">
        <v>0.59</v>
      </c>
      <c r="G28" s="4">
        <f>'Gas Water'!M30</f>
        <v>3910</v>
      </c>
      <c r="H28" s="155">
        <v>1.78</v>
      </c>
      <c r="I28" s="2">
        <f>'Gas Water'!L30</f>
        <v>91</v>
      </c>
      <c r="J28" s="155">
        <v>12.8</v>
      </c>
      <c r="K28" s="5"/>
      <c r="L28" s="5"/>
    </row>
    <row r="29" spans="1:12" x14ac:dyDescent="0.35">
      <c r="A29" s="3" t="s">
        <v>75</v>
      </c>
      <c r="B29" s="3">
        <v>28</v>
      </c>
      <c r="C29" s="3">
        <v>3</v>
      </c>
      <c r="D29" s="3">
        <v>2021</v>
      </c>
      <c r="E29" s="4">
        <f>'Electricity '!I30+'Electricity '!O30</f>
        <v>20447.460000001265</v>
      </c>
      <c r="F29" s="155">
        <v>0.59</v>
      </c>
      <c r="G29" s="4">
        <f>'Gas Water'!M31</f>
        <v>3924</v>
      </c>
      <c r="H29" s="155">
        <v>1.78</v>
      </c>
      <c r="I29" s="2">
        <f>'Gas Water'!L31</f>
        <v>114</v>
      </c>
      <c r="J29" s="155">
        <v>12.8</v>
      </c>
      <c r="K29" s="5"/>
      <c r="L29" s="5"/>
    </row>
    <row r="30" spans="1:12" x14ac:dyDescent="0.35">
      <c r="A30" s="3" t="s">
        <v>75</v>
      </c>
      <c r="B30" s="3">
        <v>29</v>
      </c>
      <c r="C30" s="3">
        <v>3</v>
      </c>
      <c r="D30" s="3">
        <v>2021</v>
      </c>
      <c r="E30" s="4">
        <f>'Electricity '!I31+'Electricity '!O31</f>
        <v>21060.179999998072</v>
      </c>
      <c r="F30" s="155">
        <v>0.59</v>
      </c>
      <c r="G30" s="4">
        <f>'Gas Water'!M32</f>
        <v>3489</v>
      </c>
      <c r="H30" s="155">
        <v>1.78</v>
      </c>
      <c r="I30" s="2">
        <f>'Gas Water'!L32</f>
        <v>111</v>
      </c>
      <c r="J30" s="155">
        <v>12.8</v>
      </c>
      <c r="K30" s="5"/>
      <c r="L30" s="5"/>
    </row>
    <row r="31" spans="1:12" x14ac:dyDescent="0.35">
      <c r="A31" s="3" t="s">
        <v>75</v>
      </c>
      <c r="B31" s="3">
        <v>30</v>
      </c>
      <c r="C31" s="3">
        <v>3</v>
      </c>
      <c r="D31" s="3">
        <v>2021</v>
      </c>
      <c r="E31" s="4">
        <f>'Electricity '!I32+'Electricity '!O32</f>
        <v>19805.760000002319</v>
      </c>
      <c r="F31" s="155">
        <v>0.59</v>
      </c>
      <c r="G31" s="4">
        <f>'Gas Water'!M33</f>
        <v>2821</v>
      </c>
      <c r="H31" s="155">
        <v>1.78</v>
      </c>
      <c r="I31" s="2">
        <f>'Gas Water'!L33</f>
        <v>86</v>
      </c>
      <c r="J31" s="155">
        <v>12.8</v>
      </c>
      <c r="K31" s="5"/>
      <c r="L31" s="5"/>
    </row>
    <row r="32" spans="1:12" x14ac:dyDescent="0.35">
      <c r="A32" s="3" t="s">
        <v>75</v>
      </c>
      <c r="B32" s="3">
        <v>31</v>
      </c>
      <c r="C32" s="3">
        <v>3</v>
      </c>
      <c r="D32" s="3">
        <v>2021</v>
      </c>
      <c r="E32" s="4">
        <f>'Electricity '!I33+'Electricity '!O33</f>
        <v>18592.73999999994</v>
      </c>
      <c r="F32" s="155">
        <v>0.59</v>
      </c>
      <c r="G32" s="4">
        <f>'Gas Water'!M34</f>
        <v>2609</v>
      </c>
      <c r="H32" s="155">
        <v>1.78</v>
      </c>
      <c r="I32" s="2">
        <f>'Gas Water'!L34</f>
        <v>79</v>
      </c>
      <c r="J32" s="155">
        <v>11.3</v>
      </c>
      <c r="K32" s="5"/>
      <c r="L32" s="5"/>
    </row>
    <row r="33" spans="1:12" x14ac:dyDescent="0.3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'!I34*0.55+'Gas Water'!H35*1.88)/(Total!E33)</f>
        <v>0.55000000000000004</v>
      </c>
      <c r="G33" s="4">
        <f>'Gas Water'!M35</f>
        <v>2117</v>
      </c>
      <c r="H33" s="155">
        <v>1.88</v>
      </c>
      <c r="I33" s="2">
        <f>'Gas Water'!L35</f>
        <v>88</v>
      </c>
      <c r="J33" s="155">
        <v>11.3</v>
      </c>
      <c r="K33" s="5"/>
      <c r="L33" s="5"/>
    </row>
    <row r="34" spans="1:12" x14ac:dyDescent="0.3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'!I35*0.55+'Gas Water'!H36*1.88)/(Total!E34)</f>
        <v>0.55000000000000004</v>
      </c>
      <c r="G34" s="4">
        <f>'Gas Water'!M36</f>
        <v>2297</v>
      </c>
      <c r="H34" s="155">
        <v>1.88</v>
      </c>
      <c r="I34" s="2">
        <f>'Gas Water'!L36</f>
        <v>126</v>
      </c>
      <c r="J34" s="155">
        <v>11.3</v>
      </c>
      <c r="K34" s="5"/>
      <c r="L34" s="5"/>
    </row>
    <row r="35" spans="1:12" x14ac:dyDescent="0.3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'!I36*0.55+'Gas Water'!H37*1.88)/(Total!E35)</f>
        <v>0.55000000000000004</v>
      </c>
      <c r="G35" s="4">
        <f>'Gas Water'!M37</f>
        <v>2397</v>
      </c>
      <c r="H35" s="155">
        <v>1.88</v>
      </c>
      <c r="I35" s="2">
        <f>'Gas Water'!L37</f>
        <v>171</v>
      </c>
      <c r="J35" s="155">
        <v>11.3</v>
      </c>
      <c r="K35" s="5"/>
      <c r="L35" s="5"/>
    </row>
    <row r="36" spans="1:12" x14ac:dyDescent="0.3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'!I37*0.55+'Gas Water'!H38*1.88)/(Total!E36)</f>
        <v>0.55000000000000004</v>
      </c>
      <c r="G36" s="4">
        <f>'Gas Water'!M38</f>
        <v>2456</v>
      </c>
      <c r="H36" s="155">
        <v>1.88</v>
      </c>
      <c r="I36" s="2">
        <f>'Gas Water'!L38</f>
        <v>154</v>
      </c>
      <c r="J36" s="155">
        <v>11.3</v>
      </c>
      <c r="K36" s="5"/>
      <c r="L36" s="5"/>
    </row>
    <row r="37" spans="1:12" x14ac:dyDescent="0.3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'!I38*0.55+'Gas Water'!H39*1.88)/(Total!E37)</f>
        <v>0.55000000000000004</v>
      </c>
      <c r="G37" s="4">
        <f>'Gas Water'!M39</f>
        <v>2549</v>
      </c>
      <c r="H37" s="155">
        <v>1.88</v>
      </c>
      <c r="I37" s="2">
        <f>'Gas Water'!L39</f>
        <v>131</v>
      </c>
      <c r="J37" s="155">
        <v>11.3</v>
      </c>
      <c r="K37" s="5"/>
      <c r="L37" s="5"/>
    </row>
    <row r="38" spans="1:12" x14ac:dyDescent="0.3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'!I39*0.55+'Gas Water'!H40*1.88)/(Total!E38)</f>
        <v>0.55000000000000004</v>
      </c>
      <c r="G38" s="4">
        <f>'Gas Water'!M40</f>
        <v>2543</v>
      </c>
      <c r="H38" s="155">
        <v>1.88</v>
      </c>
      <c r="I38" s="2">
        <f>'Gas Water'!L40</f>
        <v>131</v>
      </c>
      <c r="J38" s="155">
        <v>11.3</v>
      </c>
      <c r="K38" s="5"/>
      <c r="L38" s="5"/>
    </row>
    <row r="39" spans="1:12" x14ac:dyDescent="0.3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'!I40*0.55+'Gas Water'!H41*1.88)/(Total!E39)</f>
        <v>0.55000000000000004</v>
      </c>
      <c r="G39" s="4">
        <f>'Gas Water'!M41</f>
        <v>2280</v>
      </c>
      <c r="H39" s="155">
        <v>1.88</v>
      </c>
      <c r="I39" s="2">
        <f>'Gas Water'!L41</f>
        <v>123</v>
      </c>
      <c r="J39" s="155">
        <v>11.3</v>
      </c>
      <c r="K39" s="5"/>
      <c r="L39" s="5"/>
    </row>
    <row r="40" spans="1:12" x14ac:dyDescent="0.3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'!I41*0.55+'Gas Water'!H42*1.88)/(Total!E40)</f>
        <v>0.55000000000000004</v>
      </c>
      <c r="G40" s="4">
        <f>'Gas Water'!M42</f>
        <v>1872</v>
      </c>
      <c r="H40" s="155">
        <v>1.88</v>
      </c>
      <c r="I40" s="2">
        <f>'Gas Water'!L42</f>
        <v>95</v>
      </c>
      <c r="J40" s="155">
        <v>11.3</v>
      </c>
      <c r="K40" s="5"/>
      <c r="L40" s="5"/>
    </row>
    <row r="41" spans="1:12" x14ac:dyDescent="0.3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'!I42*0.55+'Gas Water'!H43*1.88)/(Total!E41)</f>
        <v>0.55000000000000004</v>
      </c>
      <c r="G41" s="4">
        <f>'Gas Water'!M43</f>
        <v>1976</v>
      </c>
      <c r="H41" s="155">
        <v>1.88</v>
      </c>
      <c r="I41" s="2">
        <f>'Gas Water'!L43</f>
        <v>99</v>
      </c>
      <c r="J41" s="155">
        <v>11.3</v>
      </c>
      <c r="K41" s="5"/>
      <c r="L41" s="5"/>
    </row>
    <row r="42" spans="1:12" x14ac:dyDescent="0.3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'!I43*0.55+'Gas Water'!H44*1.88)/(Total!E42)</f>
        <v>0.55000000000000004</v>
      </c>
      <c r="G42" s="4">
        <f>'Gas Water'!M44</f>
        <v>2160</v>
      </c>
      <c r="H42" s="155">
        <v>1.88</v>
      </c>
      <c r="I42" s="2">
        <f>'Gas Water'!L44</f>
        <v>102</v>
      </c>
      <c r="J42" s="155">
        <v>11.3</v>
      </c>
      <c r="K42" s="5"/>
      <c r="L42" s="5"/>
    </row>
    <row r="43" spans="1:12" x14ac:dyDescent="0.3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'!I44*0.55+'Gas Water'!H45*1.88)/(Total!E43)</f>
        <v>0.55000000000000004</v>
      </c>
      <c r="G43" s="4">
        <f>'Gas Water'!M45</f>
        <v>2024</v>
      </c>
      <c r="H43" s="155">
        <v>1.88</v>
      </c>
      <c r="I43" s="2">
        <f>'Gas Water'!L45</f>
        <v>172</v>
      </c>
      <c r="J43" s="155">
        <v>11.3</v>
      </c>
      <c r="K43" s="5"/>
      <c r="L43" s="5"/>
    </row>
    <row r="44" spans="1:12" x14ac:dyDescent="0.3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'!I45*0.55+'Gas Water'!H46*1.88)/(Total!E44)</f>
        <v>0.55000000000000004</v>
      </c>
      <c r="G44" s="4">
        <f>'Gas Water'!M46</f>
        <v>3716</v>
      </c>
      <c r="H44" s="155">
        <v>1.88</v>
      </c>
      <c r="I44" s="2">
        <f>'Gas Water'!L46</f>
        <v>122</v>
      </c>
      <c r="J44" s="155">
        <v>11.3</v>
      </c>
      <c r="K44" s="5"/>
      <c r="L44" s="5"/>
    </row>
    <row r="45" spans="1:12" x14ac:dyDescent="0.3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'!I46*0.55+'Gas Water'!H47*1.88)/(Total!E45)</f>
        <v>0.55000000000000004</v>
      </c>
      <c r="G45" s="4">
        <f>'Gas Water'!M47</f>
        <v>3813</v>
      </c>
      <c r="H45" s="155">
        <v>1.88</v>
      </c>
      <c r="I45" s="2">
        <f>'Gas Water'!L47</f>
        <v>189</v>
      </c>
      <c r="J45" s="155">
        <v>11.3</v>
      </c>
      <c r="K45" s="5"/>
      <c r="L45" s="5"/>
    </row>
    <row r="46" spans="1:12" x14ac:dyDescent="0.3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'!I47*0.55+'Gas Water'!H48*1.88)/(Total!E46)</f>
        <v>0.55000000000000004</v>
      </c>
      <c r="G46" s="4">
        <f>'Gas Water'!M48</f>
        <v>4589</v>
      </c>
      <c r="H46" s="155">
        <v>1.88</v>
      </c>
      <c r="I46" s="2">
        <f>'Gas Water'!L48</f>
        <v>78</v>
      </c>
      <c r="J46" s="155">
        <v>11.3</v>
      </c>
      <c r="K46" s="5"/>
      <c r="L46" s="5"/>
    </row>
    <row r="47" spans="1:12" x14ac:dyDescent="0.3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'!I48*0.55+'Gas Water'!H49*1.88)/(Total!E47)</f>
        <v>0.55000000000000004</v>
      </c>
      <c r="G47" s="4">
        <f>'Gas Water'!M49</f>
        <v>4540</v>
      </c>
      <c r="H47" s="155">
        <v>1.88</v>
      </c>
      <c r="I47" s="2">
        <f>'Gas Water'!L49</f>
        <v>19</v>
      </c>
      <c r="J47" s="155">
        <v>11.3</v>
      </c>
      <c r="K47" s="5"/>
      <c r="L47" s="5"/>
    </row>
    <row r="48" spans="1:12" x14ac:dyDescent="0.3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'!I49*0.55+'Gas Water'!H50*1.88)/(Total!E48)</f>
        <v>0.55000000000000004</v>
      </c>
      <c r="G48" s="4">
        <f>'Gas Water'!M50</f>
        <v>4482</v>
      </c>
      <c r="H48" s="155">
        <v>1.88</v>
      </c>
      <c r="I48" s="2">
        <f>'Gas Water'!L50</f>
        <v>9</v>
      </c>
      <c r="J48" s="155">
        <v>11.3</v>
      </c>
      <c r="K48" s="5"/>
      <c r="L48" s="5"/>
    </row>
    <row r="49" spans="1:12" x14ac:dyDescent="0.3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'!I50*0.55+'Gas Water'!H51*1.88)/(Total!E49)</f>
        <v>0.55000000000000004</v>
      </c>
      <c r="G49" s="4">
        <f>'Gas Water'!M51</f>
        <v>4562</v>
      </c>
      <c r="H49" s="155">
        <v>1.88</v>
      </c>
      <c r="I49" s="2">
        <f>'Gas Water'!L51</f>
        <v>179</v>
      </c>
      <c r="J49" s="155">
        <v>11.3</v>
      </c>
      <c r="K49" s="5"/>
      <c r="L49" s="5"/>
    </row>
    <row r="50" spans="1:12" x14ac:dyDescent="0.3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'!I51*0.55+'Gas Water'!H52*1.88)/(Total!E50)</f>
        <v>0.55000000000000004</v>
      </c>
      <c r="G50" s="4">
        <f>'Gas Water'!M52</f>
        <v>4290</v>
      </c>
      <c r="H50" s="155">
        <v>1.88</v>
      </c>
      <c r="I50" s="2">
        <f>'Gas Water'!L52</f>
        <v>346</v>
      </c>
      <c r="J50" s="155">
        <v>11.3</v>
      </c>
      <c r="K50" s="5"/>
      <c r="L50" s="5"/>
    </row>
    <row r="51" spans="1:12" x14ac:dyDescent="0.3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'!I52*0.55+'Gas Water'!H53*1.88)/(Total!E51)</f>
        <v>0.55000000000000004</v>
      </c>
      <c r="G51" s="4">
        <f>'Gas Water'!M53</f>
        <v>3856</v>
      </c>
      <c r="H51" s="155">
        <v>1.88</v>
      </c>
      <c r="I51" s="2">
        <f>'Gas Water'!L53</f>
        <v>20</v>
      </c>
      <c r="J51" s="155">
        <v>11.3</v>
      </c>
      <c r="K51" s="5"/>
      <c r="L51" s="5"/>
    </row>
    <row r="52" spans="1:12" x14ac:dyDescent="0.3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'!I53*0.55+'Gas Water'!H54*1.88)/(Total!E52)</f>
        <v>0.55000000000000004</v>
      </c>
      <c r="G52" s="4">
        <f>'Gas Water'!M54</f>
        <v>4592</v>
      </c>
      <c r="H52" s="155">
        <v>1.88</v>
      </c>
      <c r="I52" s="2">
        <f>'Gas Water'!L54</f>
        <v>214</v>
      </c>
      <c r="J52" s="155">
        <v>11.3</v>
      </c>
      <c r="K52" s="5"/>
      <c r="L52" s="5"/>
    </row>
    <row r="53" spans="1:12" x14ac:dyDescent="0.3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'!I54*0.55+'Gas Water'!H55*1.88)/(Total!E53)</f>
        <v>0.55000000000000004</v>
      </c>
      <c r="G53" s="4">
        <f>'Gas Water'!M55</f>
        <v>3740</v>
      </c>
      <c r="H53" s="155">
        <v>1.88</v>
      </c>
      <c r="I53" s="2">
        <f>'Gas Water'!L55</f>
        <v>197</v>
      </c>
      <c r="J53" s="155">
        <v>11.3</v>
      </c>
      <c r="K53" s="5"/>
      <c r="L53" s="5"/>
    </row>
    <row r="54" spans="1:12" x14ac:dyDescent="0.3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'!I55*0.55+'Gas Water'!H56*1.88)/(Total!E54)</f>
        <v>0.55000000000000004</v>
      </c>
      <c r="G54" s="4">
        <f>'Gas Water'!M56</f>
        <v>3772</v>
      </c>
      <c r="H54" s="155">
        <v>1.88</v>
      </c>
      <c r="I54" s="2">
        <f>'Gas Water'!L56</f>
        <v>178</v>
      </c>
      <c r="J54" s="155">
        <v>11.3</v>
      </c>
      <c r="K54" s="5"/>
      <c r="L54" s="5"/>
    </row>
    <row r="55" spans="1:12" x14ac:dyDescent="0.3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'!I56*0.55+'Gas Water'!H57*1.88)/(Total!E55)</f>
        <v>0.55000000000000004</v>
      </c>
      <c r="G55" s="4">
        <f>'Gas Water'!M57</f>
        <v>3562</v>
      </c>
      <c r="H55" s="155">
        <v>1.88</v>
      </c>
      <c r="I55" s="2">
        <f>'Gas Water'!L57</f>
        <v>184</v>
      </c>
      <c r="J55" s="155">
        <v>11.3</v>
      </c>
      <c r="K55" s="5"/>
      <c r="L55" s="5"/>
    </row>
    <row r="56" spans="1:12" x14ac:dyDescent="0.3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'!I57*0.55+'Gas Water'!H58*1.88)/(Total!E56)</f>
        <v>0.55000000000000004</v>
      </c>
      <c r="G56" s="4">
        <f>'Gas Water'!M58</f>
        <v>3732</v>
      </c>
      <c r="H56" s="155">
        <v>1.88</v>
      </c>
      <c r="I56" s="2">
        <f>'Gas Water'!L58</f>
        <v>128</v>
      </c>
      <c r="J56" s="155">
        <v>11.3</v>
      </c>
      <c r="K56" s="5"/>
      <c r="L56" s="5"/>
    </row>
    <row r="57" spans="1:12" x14ac:dyDescent="0.3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'!I58*0.55+'Gas Water'!H59*1.88)/(Total!E57)</f>
        <v>0.55000000000000004</v>
      </c>
      <c r="G57" s="4">
        <f>'Gas Water'!M59</f>
        <v>3641</v>
      </c>
      <c r="H57" s="155">
        <v>1.88</v>
      </c>
      <c r="I57" s="2">
        <f>'Gas Water'!L59</f>
        <v>134</v>
      </c>
      <c r="J57" s="155">
        <v>11.3</v>
      </c>
      <c r="K57" s="5"/>
      <c r="L57" s="5"/>
    </row>
    <row r="58" spans="1:12" x14ac:dyDescent="0.3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'!I59*0.55+'Gas Water'!H60*1.88)/(Total!E58)</f>
        <v>0.55000000000000004</v>
      </c>
      <c r="G58" s="4">
        <f>'Gas Water'!M60</f>
        <v>3247</v>
      </c>
      <c r="H58" s="155">
        <v>1.88</v>
      </c>
      <c r="I58" s="2">
        <f>'Gas Water'!L60</f>
        <v>122</v>
      </c>
      <c r="J58" s="155">
        <v>11.3</v>
      </c>
      <c r="K58" s="5"/>
      <c r="L58" s="5"/>
    </row>
    <row r="59" spans="1:12" x14ac:dyDescent="0.3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'!I60*0.55+'Gas Water'!H61*1.88)/(Total!E59)</f>
        <v>0.55000000000000004</v>
      </c>
      <c r="G59" s="4">
        <f>'Gas Water'!M61</f>
        <v>3359</v>
      </c>
      <c r="H59" s="155">
        <v>1.88</v>
      </c>
      <c r="I59" s="2">
        <f>'Gas Water'!L61</f>
        <v>143</v>
      </c>
      <c r="J59" s="155">
        <v>11.3</v>
      </c>
      <c r="K59" s="5"/>
      <c r="L59" s="5"/>
    </row>
    <row r="60" spans="1:12" x14ac:dyDescent="0.3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'!I61*0.55+'Gas Water'!H62*1.88)/(Total!E60)</f>
        <v>0.55000000000000004</v>
      </c>
      <c r="G60" s="4">
        <f>'Gas Water'!M62</f>
        <v>3496</v>
      </c>
      <c r="H60" s="155">
        <v>1.88</v>
      </c>
      <c r="I60" s="2">
        <f>'Gas Water'!L62</f>
        <v>153</v>
      </c>
      <c r="J60" s="155">
        <v>11.3</v>
      </c>
      <c r="K60" s="5"/>
      <c r="L60" s="5"/>
    </row>
    <row r="61" spans="1:12" x14ac:dyDescent="0.3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'!I62*0.55+'Gas Water'!H63*1.88)/(Total!E61)</f>
        <v>0.55000000000000004</v>
      </c>
      <c r="G61" s="4">
        <f>'Gas Water'!M63</f>
        <v>3402</v>
      </c>
      <c r="H61" s="155">
        <v>1.88</v>
      </c>
      <c r="I61" s="2">
        <f>'Gas Water'!L63</f>
        <v>130</v>
      </c>
      <c r="J61" s="155">
        <v>11.3</v>
      </c>
      <c r="K61" s="5"/>
      <c r="L61" s="5"/>
    </row>
    <row r="62" spans="1:12" x14ac:dyDescent="0.3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'!I63*0.55+'Gas Water'!H64*1.88)/(Total!E62)</f>
        <v>0.55000000000000004</v>
      </c>
      <c r="G62" s="4">
        <f>'Gas Water'!M64</f>
        <v>3548</v>
      </c>
      <c r="H62" s="155">
        <v>1.88</v>
      </c>
      <c r="I62" s="2">
        <f>'Gas Water'!L64</f>
        <v>108</v>
      </c>
      <c r="J62" s="155">
        <v>11.3</v>
      </c>
      <c r="K62" s="5"/>
      <c r="L62" s="5"/>
    </row>
    <row r="63" spans="1:12" x14ac:dyDescent="0.35">
      <c r="A63" s="3" t="s">
        <v>75</v>
      </c>
      <c r="B63" s="3">
        <v>3</v>
      </c>
      <c r="C63" s="3">
        <v>3</v>
      </c>
      <c r="D63" s="3">
        <v>2021</v>
      </c>
      <c r="E63" s="4" t="e">
        <f>'Electricity '!I64+'Electricity '!O64</f>
        <v>#VALUE!</v>
      </c>
      <c r="F63" s="155" t="e">
        <f>('Electricity '!I64*0.55+'Gas Water'!H65*1.88)/(Total!E63)</f>
        <v>#VALUE!</v>
      </c>
      <c r="G63" s="4" t="str">
        <f>'Gas Water'!M65</f>
        <v/>
      </c>
      <c r="H63" s="155">
        <v>1.88</v>
      </c>
      <c r="I63" s="2" t="str">
        <f>'Gas Water'!L65</f>
        <v/>
      </c>
      <c r="J63" s="155">
        <v>11.3</v>
      </c>
      <c r="K63" s="5"/>
      <c r="L63" s="5"/>
    </row>
    <row r="64" spans="1:12" x14ac:dyDescent="0.35">
      <c r="A64" s="3" t="s">
        <v>75</v>
      </c>
      <c r="B64" s="3">
        <v>4</v>
      </c>
      <c r="C64" s="3">
        <v>3</v>
      </c>
      <c r="D64" s="3">
        <v>2021</v>
      </c>
      <c r="E64" s="4" t="e">
        <f>'Electricity '!I65+'Electricity '!O65</f>
        <v>#VALUE!</v>
      </c>
      <c r="F64" s="155" t="e">
        <f>('Electricity '!I65*0.55+'Gas Water'!H66*1.88)/(Total!E64)</f>
        <v>#VALUE!</v>
      </c>
      <c r="G64" s="4" t="str">
        <f>'Gas Water'!M66</f>
        <v/>
      </c>
      <c r="H64" s="155">
        <v>1.88</v>
      </c>
      <c r="I64" s="2" t="str">
        <f>'Gas Water'!L66</f>
        <v/>
      </c>
      <c r="J64" s="155">
        <v>11.3</v>
      </c>
      <c r="K64" s="5"/>
      <c r="L64" s="5"/>
    </row>
    <row r="65" spans="1:12" x14ac:dyDescent="0.35">
      <c r="A65" s="3" t="s">
        <v>75</v>
      </c>
      <c r="B65" s="3">
        <v>5</v>
      </c>
      <c r="C65" s="3">
        <v>3</v>
      </c>
      <c r="D65" s="3">
        <v>2021</v>
      </c>
      <c r="E65" s="4" t="e">
        <f>'Electricity '!I66+'Electricity '!O66</f>
        <v>#VALUE!</v>
      </c>
      <c r="F65" s="155" t="e">
        <f>('Electricity '!I66*0.55+'Gas Water'!H67*1.88)/(Total!E65)</f>
        <v>#VALUE!</v>
      </c>
      <c r="G65" s="4" t="str">
        <f>'Gas Water'!M67</f>
        <v/>
      </c>
      <c r="H65" s="155">
        <v>1.88</v>
      </c>
      <c r="I65" s="2" t="str">
        <f>'Gas Water'!L67</f>
        <v/>
      </c>
      <c r="J65" s="155">
        <v>11.3</v>
      </c>
      <c r="K65" s="5"/>
      <c r="L65" s="5"/>
    </row>
    <row r="66" spans="1:12" x14ac:dyDescent="0.35">
      <c r="A66" s="3" t="s">
        <v>75</v>
      </c>
      <c r="B66" s="3">
        <v>6</v>
      </c>
      <c r="C66" s="3">
        <v>3</v>
      </c>
      <c r="D66" s="3">
        <v>2021</v>
      </c>
      <c r="E66" s="4" t="e">
        <f>'Electricity '!I67+'Electricity '!O67</f>
        <v>#VALUE!</v>
      </c>
      <c r="F66" s="155" t="e">
        <f>('Electricity '!I67*0.55+'Gas Water'!H68*1.88)/(Total!E66)</f>
        <v>#VALUE!</v>
      </c>
      <c r="G66" s="4" t="str">
        <f>'Gas Water'!M68</f>
        <v/>
      </c>
      <c r="H66" s="155">
        <v>1.88</v>
      </c>
      <c r="I66" s="2" t="str">
        <f>'Gas Water'!L68</f>
        <v/>
      </c>
      <c r="J66" s="155">
        <v>11.3</v>
      </c>
      <c r="K66" s="5"/>
      <c r="L66" s="5"/>
    </row>
    <row r="67" spans="1:12" x14ac:dyDescent="0.35">
      <c r="A67" s="3" t="s">
        <v>75</v>
      </c>
      <c r="B67" s="3">
        <v>7</v>
      </c>
      <c r="C67" s="3">
        <v>3</v>
      </c>
      <c r="D67" s="3">
        <v>2021</v>
      </c>
      <c r="E67" s="4" t="e">
        <f>'Electricity '!I68+'Electricity '!O68</f>
        <v>#VALUE!</v>
      </c>
      <c r="F67" s="155" t="e">
        <f>('Electricity '!I68*0.55+'Gas Water'!H69*1.88)/(Total!E67)</f>
        <v>#VALUE!</v>
      </c>
      <c r="G67" s="4" t="str">
        <f>'Gas Water'!M69</f>
        <v/>
      </c>
      <c r="H67" s="155">
        <v>1.88</v>
      </c>
      <c r="I67" s="2" t="str">
        <f>'Gas Water'!L69</f>
        <v/>
      </c>
      <c r="J67" s="155">
        <v>11.3</v>
      </c>
      <c r="K67" s="5"/>
      <c r="L67" s="5"/>
    </row>
    <row r="68" spans="1:12" x14ac:dyDescent="0.35">
      <c r="A68" s="3" t="s">
        <v>75</v>
      </c>
      <c r="B68" s="3">
        <v>8</v>
      </c>
      <c r="C68" s="3">
        <v>3</v>
      </c>
      <c r="D68" s="3">
        <v>2021</v>
      </c>
      <c r="E68" s="4" t="e">
        <f>'Electricity '!I69+'Electricity '!O69</f>
        <v>#VALUE!</v>
      </c>
      <c r="F68" s="155" t="e">
        <f>('Electricity '!I69*0.55+'Gas Water'!H70*1.88)/(Total!E68)</f>
        <v>#VALUE!</v>
      </c>
      <c r="G68" s="4" t="str">
        <f>'Gas Water'!M70</f>
        <v/>
      </c>
      <c r="H68" s="155">
        <v>1.88</v>
      </c>
      <c r="I68" s="2" t="str">
        <f>'Gas Water'!L70</f>
        <v/>
      </c>
      <c r="J68" s="155">
        <v>11.3</v>
      </c>
      <c r="K68" s="5"/>
      <c r="L68" s="5"/>
    </row>
    <row r="69" spans="1:12" x14ac:dyDescent="0.35">
      <c r="A69" s="3" t="s">
        <v>75</v>
      </c>
      <c r="B69" s="3">
        <v>9</v>
      </c>
      <c r="C69" s="3">
        <v>3</v>
      </c>
      <c r="D69" s="3">
        <v>2021</v>
      </c>
      <c r="E69" s="4" t="e">
        <f>'Electricity '!I70+'Electricity '!O70</f>
        <v>#VALUE!</v>
      </c>
      <c r="F69" s="155" t="e">
        <f>('Electricity '!I70*0.55+'Gas Water'!H71*1.88)/(Total!E69)</f>
        <v>#VALUE!</v>
      </c>
      <c r="G69" s="4" t="str">
        <f>'Gas Water'!M71</f>
        <v/>
      </c>
      <c r="H69" s="155">
        <v>1.88</v>
      </c>
      <c r="I69" s="2" t="str">
        <f>'Gas Water'!L71</f>
        <v/>
      </c>
      <c r="J69" s="155">
        <v>11.3</v>
      </c>
      <c r="K69" s="5"/>
      <c r="L69" s="5"/>
    </row>
    <row r="70" spans="1:12" x14ac:dyDescent="0.35">
      <c r="A70" s="3" t="s">
        <v>75</v>
      </c>
      <c r="B70" s="3">
        <v>10</v>
      </c>
      <c r="C70" s="3">
        <v>3</v>
      </c>
      <c r="D70" s="3">
        <v>2021</v>
      </c>
      <c r="E70" s="4" t="e">
        <f>'Electricity '!I71+'Electricity '!O71</f>
        <v>#VALUE!</v>
      </c>
      <c r="F70" s="155" t="e">
        <f>('Electricity '!I71*0.55+'Gas Water'!H72*1.88)/(Total!E70)</f>
        <v>#VALUE!</v>
      </c>
      <c r="G70" s="4" t="str">
        <f>'Gas Water'!M72</f>
        <v/>
      </c>
      <c r="H70" s="155">
        <v>1.88</v>
      </c>
      <c r="I70" s="2" t="str">
        <f>'Gas Water'!L72</f>
        <v/>
      </c>
      <c r="J70" s="155">
        <v>11.3</v>
      </c>
      <c r="K70" s="5"/>
      <c r="L70" s="5"/>
    </row>
    <row r="71" spans="1:12" x14ac:dyDescent="0.35">
      <c r="A71" s="3" t="s">
        <v>75</v>
      </c>
      <c r="B71" s="3">
        <v>11</v>
      </c>
      <c r="C71" s="3">
        <v>3</v>
      </c>
      <c r="D71" s="3">
        <v>2021</v>
      </c>
      <c r="E71" s="4" t="e">
        <f>'Electricity '!I72+'Electricity '!O72</f>
        <v>#VALUE!</v>
      </c>
      <c r="F71" s="155" t="e">
        <f>('Electricity '!I72*0.55+'Gas Water'!H73*1.88)/(Total!E71)</f>
        <v>#VALUE!</v>
      </c>
      <c r="G71" s="4" t="str">
        <f>'Gas Water'!M73</f>
        <v/>
      </c>
      <c r="H71" s="155">
        <v>1.88</v>
      </c>
      <c r="I71" s="2" t="str">
        <f>'Gas Water'!L73</f>
        <v/>
      </c>
      <c r="J71" s="155">
        <v>11.3</v>
      </c>
      <c r="K71" s="5"/>
      <c r="L71" s="5"/>
    </row>
    <row r="72" spans="1:12" x14ac:dyDescent="0.35">
      <c r="A72" s="3" t="s">
        <v>75</v>
      </c>
      <c r="B72" s="3">
        <v>12</v>
      </c>
      <c r="C72" s="3">
        <v>3</v>
      </c>
      <c r="D72" s="3">
        <v>2021</v>
      </c>
      <c r="E72" s="4" t="e">
        <f>'Electricity '!I73+'Electricity '!O73</f>
        <v>#VALUE!</v>
      </c>
      <c r="F72" s="155" t="e">
        <f>('Electricity '!I73*0.55+'Gas Water'!H74*1.88)/(Total!E72)</f>
        <v>#VALUE!</v>
      </c>
      <c r="G72" s="4" t="str">
        <f>'Gas Water'!M74</f>
        <v/>
      </c>
      <c r="H72" s="155">
        <v>1.88</v>
      </c>
      <c r="I72" s="2" t="str">
        <f>'Gas Water'!L74</f>
        <v/>
      </c>
      <c r="J72" s="155">
        <v>11.3</v>
      </c>
      <c r="K72" s="5"/>
      <c r="L72" s="5"/>
    </row>
    <row r="73" spans="1:12" x14ac:dyDescent="0.35">
      <c r="A73" s="3" t="s">
        <v>75</v>
      </c>
      <c r="B73" s="3">
        <v>13</v>
      </c>
      <c r="C73" s="3">
        <v>3</v>
      </c>
      <c r="D73" s="3">
        <v>2021</v>
      </c>
      <c r="E73" s="4" t="e">
        <f>'Electricity '!I74+'Electricity '!O74</f>
        <v>#VALUE!</v>
      </c>
      <c r="F73" s="155" t="e">
        <f>('Electricity '!I74*0.55+'Gas Water'!H75*1.88)/(Total!E73)</f>
        <v>#VALUE!</v>
      </c>
      <c r="G73" s="4" t="str">
        <f>'Gas Water'!M75</f>
        <v/>
      </c>
      <c r="H73" s="155">
        <v>1.88</v>
      </c>
      <c r="I73" s="2" t="str">
        <f>'Gas Water'!L75</f>
        <v/>
      </c>
      <c r="J73" s="155">
        <v>11.3</v>
      </c>
      <c r="K73" s="5"/>
      <c r="L73" s="5"/>
    </row>
    <row r="74" spans="1:12" x14ac:dyDescent="0.35">
      <c r="A74" s="3" t="s">
        <v>75</v>
      </c>
      <c r="B74" s="3">
        <v>14</v>
      </c>
      <c r="C74" s="3">
        <v>3</v>
      </c>
      <c r="D74" s="3">
        <v>2021</v>
      </c>
      <c r="E74" s="4" t="e">
        <f>'Electricity '!I75+'Electricity '!O75</f>
        <v>#VALUE!</v>
      </c>
      <c r="F74" s="155" t="e">
        <f>('Electricity '!I75*0.55+'Gas Water'!H76*1.88)/(Total!E74)</f>
        <v>#VALUE!</v>
      </c>
      <c r="G74" s="4" t="str">
        <f>'Gas Water'!M76</f>
        <v/>
      </c>
      <c r="H74" s="155">
        <v>1.88</v>
      </c>
      <c r="I74" s="2" t="str">
        <f>'Gas Water'!L76</f>
        <v/>
      </c>
      <c r="J74" s="155">
        <v>11.3</v>
      </c>
      <c r="K74" s="5"/>
      <c r="L74" s="5"/>
    </row>
    <row r="75" spans="1:12" x14ac:dyDescent="0.35">
      <c r="A75" s="3" t="s">
        <v>75</v>
      </c>
      <c r="B75" s="3">
        <v>15</v>
      </c>
      <c r="C75" s="3">
        <v>3</v>
      </c>
      <c r="D75" s="3">
        <v>2021</v>
      </c>
      <c r="E75" s="4" t="e">
        <f>'Electricity '!I76+'Electricity '!O76</f>
        <v>#VALUE!</v>
      </c>
      <c r="F75" s="155" t="e">
        <f>('Electricity '!I76*0.55+'Gas Water'!H77*1.88)/(Total!E75)</f>
        <v>#VALUE!</v>
      </c>
      <c r="G75" s="4" t="str">
        <f>'Gas Water'!M77</f>
        <v/>
      </c>
      <c r="H75" s="155">
        <v>1.88</v>
      </c>
      <c r="I75" s="2" t="str">
        <f>'Gas Water'!L77</f>
        <v/>
      </c>
      <c r="J75" s="155">
        <v>11.3</v>
      </c>
      <c r="K75" s="5"/>
      <c r="L75" s="5"/>
    </row>
    <row r="76" spans="1:12" x14ac:dyDescent="0.35">
      <c r="A76" s="3" t="s">
        <v>75</v>
      </c>
      <c r="B76" s="3">
        <v>16</v>
      </c>
      <c r="C76" s="3">
        <v>3</v>
      </c>
      <c r="D76" s="3">
        <v>2021</v>
      </c>
      <c r="E76" s="4" t="e">
        <f>'Electricity '!I77+'Electricity '!O77</f>
        <v>#VALUE!</v>
      </c>
      <c r="F76" s="155" t="e">
        <f>('Electricity '!I77*0.55+'Gas Water'!H78*1.88)/(Total!E76)</f>
        <v>#VALUE!</v>
      </c>
      <c r="G76" s="4" t="str">
        <f>'Gas Water'!M78</f>
        <v/>
      </c>
      <c r="H76" s="155">
        <v>1.88</v>
      </c>
      <c r="I76" s="2" t="str">
        <f>'Gas Water'!L78</f>
        <v/>
      </c>
      <c r="J76" s="155">
        <v>11.3</v>
      </c>
      <c r="K76" s="5"/>
      <c r="L76" s="5"/>
    </row>
    <row r="77" spans="1:12" x14ac:dyDescent="0.3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3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3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3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3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3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3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3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3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3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3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3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3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3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3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3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3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3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3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3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3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3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3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3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3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3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3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3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3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3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3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3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3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3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3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3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3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3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3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3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3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3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3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3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3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3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3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3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3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3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3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3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3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3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3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3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3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3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3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3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3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3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3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3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3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3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3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3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3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3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3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3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3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3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3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3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3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3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3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3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3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3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3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3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3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3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3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3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3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3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3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3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3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3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3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3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3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3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3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3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3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3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3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3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3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3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3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3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3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3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3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3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3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3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3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3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3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3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3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3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3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3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3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3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3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3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3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3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3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3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3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3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3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3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3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3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3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3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3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3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3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3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3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3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3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3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3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3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3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3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3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3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3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3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3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3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3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3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3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3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3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3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3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3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3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3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3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3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3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3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3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3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3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3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3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3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3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3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3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3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3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3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3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3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3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3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3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3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3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3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3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3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3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3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3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3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3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3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3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3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3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3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3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3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3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3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3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3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3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3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3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3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3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3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3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3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3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3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3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3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3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3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3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3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3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3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3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3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3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3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3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3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3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3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3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3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3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3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3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3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3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3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3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3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3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3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3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3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3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3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3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3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3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3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3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3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3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3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3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3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3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3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3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3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3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3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3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3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3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3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3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3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3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3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3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3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3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3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3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3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3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3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3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3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3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3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3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3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3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3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abSelected="1" workbookViewId="0">
      <selection activeCell="C4" sqref="C4:M64"/>
    </sheetView>
  </sheetViews>
  <sheetFormatPr defaultColWidth="9.1796875" defaultRowHeight="12.5" x14ac:dyDescent="0.35"/>
  <cols>
    <col min="1" max="1" width="2.54296875" style="9" customWidth="1"/>
    <col min="2" max="2" width="10.7265625" style="9" customWidth="1"/>
    <col min="3" max="3" width="11.1796875" style="9" customWidth="1"/>
    <col min="4" max="4" width="11.26953125" style="9" customWidth="1"/>
    <col min="5" max="6" width="12.81640625" style="9" customWidth="1"/>
    <col min="7" max="8" width="11" style="9" customWidth="1"/>
    <col min="9" max="9" width="11.26953125" style="9" customWidth="1"/>
    <col min="10" max="10" width="15.81640625" style="9" customWidth="1"/>
    <col min="11" max="11" width="12.1796875" style="9" customWidth="1"/>
    <col min="12" max="12" width="11.26953125" style="9" customWidth="1"/>
    <col min="13" max="13" width="11.453125" style="9" customWidth="1"/>
    <col min="14" max="14" width="13.26953125" style="9" customWidth="1"/>
    <col min="15" max="15" width="14.54296875" style="9" customWidth="1"/>
    <col min="16" max="17" width="9.1796875" style="9"/>
    <col min="18" max="18" width="10.1796875" style="9" bestFit="1" customWidth="1"/>
    <col min="19" max="256" width="9.1796875" style="9"/>
    <col min="257" max="257" width="2.54296875" style="9" customWidth="1"/>
    <col min="258" max="258" width="10.7265625" style="9" customWidth="1"/>
    <col min="259" max="259" width="11.1796875" style="9" customWidth="1"/>
    <col min="260" max="260" width="11.26953125" style="9" customWidth="1"/>
    <col min="261" max="262" width="12.81640625" style="9" customWidth="1"/>
    <col min="263" max="264" width="11" style="9" customWidth="1"/>
    <col min="265" max="265" width="11.26953125" style="9" customWidth="1"/>
    <col min="266" max="266" width="15.81640625" style="9" customWidth="1"/>
    <col min="267" max="267" width="12.1796875" style="9" customWidth="1"/>
    <col min="268" max="268" width="11.26953125" style="9" customWidth="1"/>
    <col min="269" max="269" width="11.453125" style="9" customWidth="1"/>
    <col min="270" max="270" width="13.26953125" style="9" customWidth="1"/>
    <col min="271" max="271" width="14.54296875" style="9" customWidth="1"/>
    <col min="272" max="273" width="9.1796875" style="9"/>
    <col min="274" max="274" width="10.1796875" style="9" bestFit="1" customWidth="1"/>
    <col min="275" max="512" width="9.1796875" style="9"/>
    <col min="513" max="513" width="2.54296875" style="9" customWidth="1"/>
    <col min="514" max="514" width="10.7265625" style="9" customWidth="1"/>
    <col min="515" max="515" width="11.1796875" style="9" customWidth="1"/>
    <col min="516" max="516" width="11.26953125" style="9" customWidth="1"/>
    <col min="517" max="518" width="12.81640625" style="9" customWidth="1"/>
    <col min="519" max="520" width="11" style="9" customWidth="1"/>
    <col min="521" max="521" width="11.26953125" style="9" customWidth="1"/>
    <col min="522" max="522" width="15.81640625" style="9" customWidth="1"/>
    <col min="523" max="523" width="12.1796875" style="9" customWidth="1"/>
    <col min="524" max="524" width="11.26953125" style="9" customWidth="1"/>
    <col min="525" max="525" width="11.453125" style="9" customWidth="1"/>
    <col min="526" max="526" width="13.26953125" style="9" customWidth="1"/>
    <col min="527" max="527" width="14.54296875" style="9" customWidth="1"/>
    <col min="528" max="529" width="9.1796875" style="9"/>
    <col min="530" max="530" width="10.1796875" style="9" bestFit="1" customWidth="1"/>
    <col min="531" max="768" width="9.1796875" style="9"/>
    <col min="769" max="769" width="2.54296875" style="9" customWidth="1"/>
    <col min="770" max="770" width="10.7265625" style="9" customWidth="1"/>
    <col min="771" max="771" width="11.1796875" style="9" customWidth="1"/>
    <col min="772" max="772" width="11.26953125" style="9" customWidth="1"/>
    <col min="773" max="774" width="12.81640625" style="9" customWidth="1"/>
    <col min="775" max="776" width="11" style="9" customWidth="1"/>
    <col min="777" max="777" width="11.26953125" style="9" customWidth="1"/>
    <col min="778" max="778" width="15.81640625" style="9" customWidth="1"/>
    <col min="779" max="779" width="12.1796875" style="9" customWidth="1"/>
    <col min="780" max="780" width="11.26953125" style="9" customWidth="1"/>
    <col min="781" max="781" width="11.453125" style="9" customWidth="1"/>
    <col min="782" max="782" width="13.26953125" style="9" customWidth="1"/>
    <col min="783" max="783" width="14.54296875" style="9" customWidth="1"/>
    <col min="784" max="785" width="9.1796875" style="9"/>
    <col min="786" max="786" width="10.1796875" style="9" bestFit="1" customWidth="1"/>
    <col min="787" max="1024" width="9.1796875" style="9"/>
    <col min="1025" max="1025" width="2.54296875" style="9" customWidth="1"/>
    <col min="1026" max="1026" width="10.7265625" style="9" customWidth="1"/>
    <col min="1027" max="1027" width="11.1796875" style="9" customWidth="1"/>
    <col min="1028" max="1028" width="11.26953125" style="9" customWidth="1"/>
    <col min="1029" max="1030" width="12.81640625" style="9" customWidth="1"/>
    <col min="1031" max="1032" width="11" style="9" customWidth="1"/>
    <col min="1033" max="1033" width="11.26953125" style="9" customWidth="1"/>
    <col min="1034" max="1034" width="15.81640625" style="9" customWidth="1"/>
    <col min="1035" max="1035" width="12.1796875" style="9" customWidth="1"/>
    <col min="1036" max="1036" width="11.26953125" style="9" customWidth="1"/>
    <col min="1037" max="1037" width="11.453125" style="9" customWidth="1"/>
    <col min="1038" max="1038" width="13.26953125" style="9" customWidth="1"/>
    <col min="1039" max="1039" width="14.54296875" style="9" customWidth="1"/>
    <col min="1040" max="1041" width="9.1796875" style="9"/>
    <col min="1042" max="1042" width="10.1796875" style="9" bestFit="1" customWidth="1"/>
    <col min="1043" max="1280" width="9.1796875" style="9"/>
    <col min="1281" max="1281" width="2.54296875" style="9" customWidth="1"/>
    <col min="1282" max="1282" width="10.7265625" style="9" customWidth="1"/>
    <col min="1283" max="1283" width="11.1796875" style="9" customWidth="1"/>
    <col min="1284" max="1284" width="11.26953125" style="9" customWidth="1"/>
    <col min="1285" max="1286" width="12.81640625" style="9" customWidth="1"/>
    <col min="1287" max="1288" width="11" style="9" customWidth="1"/>
    <col min="1289" max="1289" width="11.26953125" style="9" customWidth="1"/>
    <col min="1290" max="1290" width="15.81640625" style="9" customWidth="1"/>
    <col min="1291" max="1291" width="12.1796875" style="9" customWidth="1"/>
    <col min="1292" max="1292" width="11.26953125" style="9" customWidth="1"/>
    <col min="1293" max="1293" width="11.453125" style="9" customWidth="1"/>
    <col min="1294" max="1294" width="13.26953125" style="9" customWidth="1"/>
    <col min="1295" max="1295" width="14.54296875" style="9" customWidth="1"/>
    <col min="1296" max="1297" width="9.1796875" style="9"/>
    <col min="1298" max="1298" width="10.1796875" style="9" bestFit="1" customWidth="1"/>
    <col min="1299" max="1536" width="9.1796875" style="9"/>
    <col min="1537" max="1537" width="2.54296875" style="9" customWidth="1"/>
    <col min="1538" max="1538" width="10.7265625" style="9" customWidth="1"/>
    <col min="1539" max="1539" width="11.1796875" style="9" customWidth="1"/>
    <col min="1540" max="1540" width="11.26953125" style="9" customWidth="1"/>
    <col min="1541" max="1542" width="12.81640625" style="9" customWidth="1"/>
    <col min="1543" max="1544" width="11" style="9" customWidth="1"/>
    <col min="1545" max="1545" width="11.26953125" style="9" customWidth="1"/>
    <col min="1546" max="1546" width="15.81640625" style="9" customWidth="1"/>
    <col min="1547" max="1547" width="12.1796875" style="9" customWidth="1"/>
    <col min="1548" max="1548" width="11.26953125" style="9" customWidth="1"/>
    <col min="1549" max="1549" width="11.453125" style="9" customWidth="1"/>
    <col min="1550" max="1550" width="13.26953125" style="9" customWidth="1"/>
    <col min="1551" max="1551" width="14.54296875" style="9" customWidth="1"/>
    <col min="1552" max="1553" width="9.1796875" style="9"/>
    <col min="1554" max="1554" width="10.1796875" style="9" bestFit="1" customWidth="1"/>
    <col min="1555" max="1792" width="9.1796875" style="9"/>
    <col min="1793" max="1793" width="2.54296875" style="9" customWidth="1"/>
    <col min="1794" max="1794" width="10.7265625" style="9" customWidth="1"/>
    <col min="1795" max="1795" width="11.1796875" style="9" customWidth="1"/>
    <col min="1796" max="1796" width="11.26953125" style="9" customWidth="1"/>
    <col min="1797" max="1798" width="12.81640625" style="9" customWidth="1"/>
    <col min="1799" max="1800" width="11" style="9" customWidth="1"/>
    <col min="1801" max="1801" width="11.26953125" style="9" customWidth="1"/>
    <col min="1802" max="1802" width="15.81640625" style="9" customWidth="1"/>
    <col min="1803" max="1803" width="12.1796875" style="9" customWidth="1"/>
    <col min="1804" max="1804" width="11.26953125" style="9" customWidth="1"/>
    <col min="1805" max="1805" width="11.453125" style="9" customWidth="1"/>
    <col min="1806" max="1806" width="13.26953125" style="9" customWidth="1"/>
    <col min="1807" max="1807" width="14.54296875" style="9" customWidth="1"/>
    <col min="1808" max="1809" width="9.1796875" style="9"/>
    <col min="1810" max="1810" width="10.1796875" style="9" bestFit="1" customWidth="1"/>
    <col min="1811" max="2048" width="9.1796875" style="9"/>
    <col min="2049" max="2049" width="2.54296875" style="9" customWidth="1"/>
    <col min="2050" max="2050" width="10.7265625" style="9" customWidth="1"/>
    <col min="2051" max="2051" width="11.1796875" style="9" customWidth="1"/>
    <col min="2052" max="2052" width="11.26953125" style="9" customWidth="1"/>
    <col min="2053" max="2054" width="12.81640625" style="9" customWidth="1"/>
    <col min="2055" max="2056" width="11" style="9" customWidth="1"/>
    <col min="2057" max="2057" width="11.26953125" style="9" customWidth="1"/>
    <col min="2058" max="2058" width="15.81640625" style="9" customWidth="1"/>
    <col min="2059" max="2059" width="12.1796875" style="9" customWidth="1"/>
    <col min="2060" max="2060" width="11.26953125" style="9" customWidth="1"/>
    <col min="2061" max="2061" width="11.453125" style="9" customWidth="1"/>
    <col min="2062" max="2062" width="13.26953125" style="9" customWidth="1"/>
    <col min="2063" max="2063" width="14.54296875" style="9" customWidth="1"/>
    <col min="2064" max="2065" width="9.1796875" style="9"/>
    <col min="2066" max="2066" width="10.1796875" style="9" bestFit="1" customWidth="1"/>
    <col min="2067" max="2304" width="9.1796875" style="9"/>
    <col min="2305" max="2305" width="2.54296875" style="9" customWidth="1"/>
    <col min="2306" max="2306" width="10.7265625" style="9" customWidth="1"/>
    <col min="2307" max="2307" width="11.1796875" style="9" customWidth="1"/>
    <col min="2308" max="2308" width="11.26953125" style="9" customWidth="1"/>
    <col min="2309" max="2310" width="12.81640625" style="9" customWidth="1"/>
    <col min="2311" max="2312" width="11" style="9" customWidth="1"/>
    <col min="2313" max="2313" width="11.26953125" style="9" customWidth="1"/>
    <col min="2314" max="2314" width="15.81640625" style="9" customWidth="1"/>
    <col min="2315" max="2315" width="12.1796875" style="9" customWidth="1"/>
    <col min="2316" max="2316" width="11.26953125" style="9" customWidth="1"/>
    <col min="2317" max="2317" width="11.453125" style="9" customWidth="1"/>
    <col min="2318" max="2318" width="13.26953125" style="9" customWidth="1"/>
    <col min="2319" max="2319" width="14.54296875" style="9" customWidth="1"/>
    <col min="2320" max="2321" width="9.1796875" style="9"/>
    <col min="2322" max="2322" width="10.1796875" style="9" bestFit="1" customWidth="1"/>
    <col min="2323" max="2560" width="9.1796875" style="9"/>
    <col min="2561" max="2561" width="2.54296875" style="9" customWidth="1"/>
    <col min="2562" max="2562" width="10.7265625" style="9" customWidth="1"/>
    <col min="2563" max="2563" width="11.1796875" style="9" customWidth="1"/>
    <col min="2564" max="2564" width="11.26953125" style="9" customWidth="1"/>
    <col min="2565" max="2566" width="12.81640625" style="9" customWidth="1"/>
    <col min="2567" max="2568" width="11" style="9" customWidth="1"/>
    <col min="2569" max="2569" width="11.26953125" style="9" customWidth="1"/>
    <col min="2570" max="2570" width="15.81640625" style="9" customWidth="1"/>
    <col min="2571" max="2571" width="12.1796875" style="9" customWidth="1"/>
    <col min="2572" max="2572" width="11.26953125" style="9" customWidth="1"/>
    <col min="2573" max="2573" width="11.453125" style="9" customWidth="1"/>
    <col min="2574" max="2574" width="13.26953125" style="9" customWidth="1"/>
    <col min="2575" max="2575" width="14.54296875" style="9" customWidth="1"/>
    <col min="2576" max="2577" width="9.1796875" style="9"/>
    <col min="2578" max="2578" width="10.1796875" style="9" bestFit="1" customWidth="1"/>
    <col min="2579" max="2816" width="9.1796875" style="9"/>
    <col min="2817" max="2817" width="2.54296875" style="9" customWidth="1"/>
    <col min="2818" max="2818" width="10.7265625" style="9" customWidth="1"/>
    <col min="2819" max="2819" width="11.1796875" style="9" customWidth="1"/>
    <col min="2820" max="2820" width="11.26953125" style="9" customWidth="1"/>
    <col min="2821" max="2822" width="12.81640625" style="9" customWidth="1"/>
    <col min="2823" max="2824" width="11" style="9" customWidth="1"/>
    <col min="2825" max="2825" width="11.26953125" style="9" customWidth="1"/>
    <col min="2826" max="2826" width="15.81640625" style="9" customWidth="1"/>
    <col min="2827" max="2827" width="12.1796875" style="9" customWidth="1"/>
    <col min="2828" max="2828" width="11.26953125" style="9" customWidth="1"/>
    <col min="2829" max="2829" width="11.453125" style="9" customWidth="1"/>
    <col min="2830" max="2830" width="13.26953125" style="9" customWidth="1"/>
    <col min="2831" max="2831" width="14.54296875" style="9" customWidth="1"/>
    <col min="2832" max="2833" width="9.1796875" style="9"/>
    <col min="2834" max="2834" width="10.1796875" style="9" bestFit="1" customWidth="1"/>
    <col min="2835" max="3072" width="9.1796875" style="9"/>
    <col min="3073" max="3073" width="2.54296875" style="9" customWidth="1"/>
    <col min="3074" max="3074" width="10.7265625" style="9" customWidth="1"/>
    <col min="3075" max="3075" width="11.1796875" style="9" customWidth="1"/>
    <col min="3076" max="3076" width="11.26953125" style="9" customWidth="1"/>
    <col min="3077" max="3078" width="12.81640625" style="9" customWidth="1"/>
    <col min="3079" max="3080" width="11" style="9" customWidth="1"/>
    <col min="3081" max="3081" width="11.26953125" style="9" customWidth="1"/>
    <col min="3082" max="3082" width="15.81640625" style="9" customWidth="1"/>
    <col min="3083" max="3083" width="12.1796875" style="9" customWidth="1"/>
    <col min="3084" max="3084" width="11.26953125" style="9" customWidth="1"/>
    <col min="3085" max="3085" width="11.453125" style="9" customWidth="1"/>
    <col min="3086" max="3086" width="13.26953125" style="9" customWidth="1"/>
    <col min="3087" max="3087" width="14.54296875" style="9" customWidth="1"/>
    <col min="3088" max="3089" width="9.1796875" style="9"/>
    <col min="3090" max="3090" width="10.1796875" style="9" bestFit="1" customWidth="1"/>
    <col min="3091" max="3328" width="9.1796875" style="9"/>
    <col min="3329" max="3329" width="2.54296875" style="9" customWidth="1"/>
    <col min="3330" max="3330" width="10.7265625" style="9" customWidth="1"/>
    <col min="3331" max="3331" width="11.1796875" style="9" customWidth="1"/>
    <col min="3332" max="3332" width="11.26953125" style="9" customWidth="1"/>
    <col min="3333" max="3334" width="12.81640625" style="9" customWidth="1"/>
    <col min="3335" max="3336" width="11" style="9" customWidth="1"/>
    <col min="3337" max="3337" width="11.26953125" style="9" customWidth="1"/>
    <col min="3338" max="3338" width="15.81640625" style="9" customWidth="1"/>
    <col min="3339" max="3339" width="12.1796875" style="9" customWidth="1"/>
    <col min="3340" max="3340" width="11.26953125" style="9" customWidth="1"/>
    <col min="3341" max="3341" width="11.453125" style="9" customWidth="1"/>
    <col min="3342" max="3342" width="13.26953125" style="9" customWidth="1"/>
    <col min="3343" max="3343" width="14.54296875" style="9" customWidth="1"/>
    <col min="3344" max="3345" width="9.1796875" style="9"/>
    <col min="3346" max="3346" width="10.1796875" style="9" bestFit="1" customWidth="1"/>
    <col min="3347" max="3584" width="9.1796875" style="9"/>
    <col min="3585" max="3585" width="2.54296875" style="9" customWidth="1"/>
    <col min="3586" max="3586" width="10.7265625" style="9" customWidth="1"/>
    <col min="3587" max="3587" width="11.1796875" style="9" customWidth="1"/>
    <col min="3588" max="3588" width="11.26953125" style="9" customWidth="1"/>
    <col min="3589" max="3590" width="12.81640625" style="9" customWidth="1"/>
    <col min="3591" max="3592" width="11" style="9" customWidth="1"/>
    <col min="3593" max="3593" width="11.26953125" style="9" customWidth="1"/>
    <col min="3594" max="3594" width="15.81640625" style="9" customWidth="1"/>
    <col min="3595" max="3595" width="12.1796875" style="9" customWidth="1"/>
    <col min="3596" max="3596" width="11.26953125" style="9" customWidth="1"/>
    <col min="3597" max="3597" width="11.453125" style="9" customWidth="1"/>
    <col min="3598" max="3598" width="13.26953125" style="9" customWidth="1"/>
    <col min="3599" max="3599" width="14.54296875" style="9" customWidth="1"/>
    <col min="3600" max="3601" width="9.1796875" style="9"/>
    <col min="3602" max="3602" width="10.1796875" style="9" bestFit="1" customWidth="1"/>
    <col min="3603" max="3840" width="9.1796875" style="9"/>
    <col min="3841" max="3841" width="2.54296875" style="9" customWidth="1"/>
    <col min="3842" max="3842" width="10.7265625" style="9" customWidth="1"/>
    <col min="3843" max="3843" width="11.1796875" style="9" customWidth="1"/>
    <col min="3844" max="3844" width="11.26953125" style="9" customWidth="1"/>
    <col min="3845" max="3846" width="12.81640625" style="9" customWidth="1"/>
    <col min="3847" max="3848" width="11" style="9" customWidth="1"/>
    <col min="3849" max="3849" width="11.26953125" style="9" customWidth="1"/>
    <col min="3850" max="3850" width="15.81640625" style="9" customWidth="1"/>
    <col min="3851" max="3851" width="12.1796875" style="9" customWidth="1"/>
    <col min="3852" max="3852" width="11.26953125" style="9" customWidth="1"/>
    <col min="3853" max="3853" width="11.453125" style="9" customWidth="1"/>
    <col min="3854" max="3854" width="13.26953125" style="9" customWidth="1"/>
    <col min="3855" max="3855" width="14.54296875" style="9" customWidth="1"/>
    <col min="3856" max="3857" width="9.1796875" style="9"/>
    <col min="3858" max="3858" width="10.1796875" style="9" bestFit="1" customWidth="1"/>
    <col min="3859" max="4096" width="9.1796875" style="9"/>
    <col min="4097" max="4097" width="2.54296875" style="9" customWidth="1"/>
    <col min="4098" max="4098" width="10.7265625" style="9" customWidth="1"/>
    <col min="4099" max="4099" width="11.1796875" style="9" customWidth="1"/>
    <col min="4100" max="4100" width="11.26953125" style="9" customWidth="1"/>
    <col min="4101" max="4102" width="12.81640625" style="9" customWidth="1"/>
    <col min="4103" max="4104" width="11" style="9" customWidth="1"/>
    <col min="4105" max="4105" width="11.26953125" style="9" customWidth="1"/>
    <col min="4106" max="4106" width="15.81640625" style="9" customWidth="1"/>
    <col min="4107" max="4107" width="12.1796875" style="9" customWidth="1"/>
    <col min="4108" max="4108" width="11.26953125" style="9" customWidth="1"/>
    <col min="4109" max="4109" width="11.453125" style="9" customWidth="1"/>
    <col min="4110" max="4110" width="13.26953125" style="9" customWidth="1"/>
    <col min="4111" max="4111" width="14.54296875" style="9" customWidth="1"/>
    <col min="4112" max="4113" width="9.1796875" style="9"/>
    <col min="4114" max="4114" width="10.1796875" style="9" bestFit="1" customWidth="1"/>
    <col min="4115" max="4352" width="9.1796875" style="9"/>
    <col min="4353" max="4353" width="2.54296875" style="9" customWidth="1"/>
    <col min="4354" max="4354" width="10.7265625" style="9" customWidth="1"/>
    <col min="4355" max="4355" width="11.1796875" style="9" customWidth="1"/>
    <col min="4356" max="4356" width="11.26953125" style="9" customWidth="1"/>
    <col min="4357" max="4358" width="12.81640625" style="9" customWidth="1"/>
    <col min="4359" max="4360" width="11" style="9" customWidth="1"/>
    <col min="4361" max="4361" width="11.26953125" style="9" customWidth="1"/>
    <col min="4362" max="4362" width="15.81640625" style="9" customWidth="1"/>
    <col min="4363" max="4363" width="12.1796875" style="9" customWidth="1"/>
    <col min="4364" max="4364" width="11.26953125" style="9" customWidth="1"/>
    <col min="4365" max="4365" width="11.453125" style="9" customWidth="1"/>
    <col min="4366" max="4366" width="13.26953125" style="9" customWidth="1"/>
    <col min="4367" max="4367" width="14.54296875" style="9" customWidth="1"/>
    <col min="4368" max="4369" width="9.1796875" style="9"/>
    <col min="4370" max="4370" width="10.1796875" style="9" bestFit="1" customWidth="1"/>
    <col min="4371" max="4608" width="9.1796875" style="9"/>
    <col min="4609" max="4609" width="2.54296875" style="9" customWidth="1"/>
    <col min="4610" max="4610" width="10.7265625" style="9" customWidth="1"/>
    <col min="4611" max="4611" width="11.1796875" style="9" customWidth="1"/>
    <col min="4612" max="4612" width="11.26953125" style="9" customWidth="1"/>
    <col min="4613" max="4614" width="12.81640625" style="9" customWidth="1"/>
    <col min="4615" max="4616" width="11" style="9" customWidth="1"/>
    <col min="4617" max="4617" width="11.26953125" style="9" customWidth="1"/>
    <col min="4618" max="4618" width="15.81640625" style="9" customWidth="1"/>
    <col min="4619" max="4619" width="12.1796875" style="9" customWidth="1"/>
    <col min="4620" max="4620" width="11.26953125" style="9" customWidth="1"/>
    <col min="4621" max="4621" width="11.453125" style="9" customWidth="1"/>
    <col min="4622" max="4622" width="13.26953125" style="9" customWidth="1"/>
    <col min="4623" max="4623" width="14.54296875" style="9" customWidth="1"/>
    <col min="4624" max="4625" width="9.1796875" style="9"/>
    <col min="4626" max="4626" width="10.1796875" style="9" bestFit="1" customWidth="1"/>
    <col min="4627" max="4864" width="9.1796875" style="9"/>
    <col min="4865" max="4865" width="2.54296875" style="9" customWidth="1"/>
    <col min="4866" max="4866" width="10.7265625" style="9" customWidth="1"/>
    <col min="4867" max="4867" width="11.1796875" style="9" customWidth="1"/>
    <col min="4868" max="4868" width="11.26953125" style="9" customWidth="1"/>
    <col min="4869" max="4870" width="12.81640625" style="9" customWidth="1"/>
    <col min="4871" max="4872" width="11" style="9" customWidth="1"/>
    <col min="4873" max="4873" width="11.26953125" style="9" customWidth="1"/>
    <col min="4874" max="4874" width="15.81640625" style="9" customWidth="1"/>
    <col min="4875" max="4875" width="12.1796875" style="9" customWidth="1"/>
    <col min="4876" max="4876" width="11.26953125" style="9" customWidth="1"/>
    <col min="4877" max="4877" width="11.453125" style="9" customWidth="1"/>
    <col min="4878" max="4878" width="13.26953125" style="9" customWidth="1"/>
    <col min="4879" max="4879" width="14.54296875" style="9" customWidth="1"/>
    <col min="4880" max="4881" width="9.1796875" style="9"/>
    <col min="4882" max="4882" width="10.1796875" style="9" bestFit="1" customWidth="1"/>
    <col min="4883" max="5120" width="9.1796875" style="9"/>
    <col min="5121" max="5121" width="2.54296875" style="9" customWidth="1"/>
    <col min="5122" max="5122" width="10.7265625" style="9" customWidth="1"/>
    <col min="5123" max="5123" width="11.1796875" style="9" customWidth="1"/>
    <col min="5124" max="5124" width="11.26953125" style="9" customWidth="1"/>
    <col min="5125" max="5126" width="12.81640625" style="9" customWidth="1"/>
    <col min="5127" max="5128" width="11" style="9" customWidth="1"/>
    <col min="5129" max="5129" width="11.26953125" style="9" customWidth="1"/>
    <col min="5130" max="5130" width="15.81640625" style="9" customWidth="1"/>
    <col min="5131" max="5131" width="12.1796875" style="9" customWidth="1"/>
    <col min="5132" max="5132" width="11.26953125" style="9" customWidth="1"/>
    <col min="5133" max="5133" width="11.453125" style="9" customWidth="1"/>
    <col min="5134" max="5134" width="13.26953125" style="9" customWidth="1"/>
    <col min="5135" max="5135" width="14.54296875" style="9" customWidth="1"/>
    <col min="5136" max="5137" width="9.1796875" style="9"/>
    <col min="5138" max="5138" width="10.1796875" style="9" bestFit="1" customWidth="1"/>
    <col min="5139" max="5376" width="9.1796875" style="9"/>
    <col min="5377" max="5377" width="2.54296875" style="9" customWidth="1"/>
    <col min="5378" max="5378" width="10.7265625" style="9" customWidth="1"/>
    <col min="5379" max="5379" width="11.1796875" style="9" customWidth="1"/>
    <col min="5380" max="5380" width="11.26953125" style="9" customWidth="1"/>
    <col min="5381" max="5382" width="12.81640625" style="9" customWidth="1"/>
    <col min="5383" max="5384" width="11" style="9" customWidth="1"/>
    <col min="5385" max="5385" width="11.26953125" style="9" customWidth="1"/>
    <col min="5386" max="5386" width="15.81640625" style="9" customWidth="1"/>
    <col min="5387" max="5387" width="12.1796875" style="9" customWidth="1"/>
    <col min="5388" max="5388" width="11.26953125" style="9" customWidth="1"/>
    <col min="5389" max="5389" width="11.453125" style="9" customWidth="1"/>
    <col min="5390" max="5390" width="13.26953125" style="9" customWidth="1"/>
    <col min="5391" max="5391" width="14.54296875" style="9" customWidth="1"/>
    <col min="5392" max="5393" width="9.1796875" style="9"/>
    <col min="5394" max="5394" width="10.1796875" style="9" bestFit="1" customWidth="1"/>
    <col min="5395" max="5632" width="9.1796875" style="9"/>
    <col min="5633" max="5633" width="2.54296875" style="9" customWidth="1"/>
    <col min="5634" max="5634" width="10.7265625" style="9" customWidth="1"/>
    <col min="5635" max="5635" width="11.1796875" style="9" customWidth="1"/>
    <col min="5636" max="5636" width="11.26953125" style="9" customWidth="1"/>
    <col min="5637" max="5638" width="12.81640625" style="9" customWidth="1"/>
    <col min="5639" max="5640" width="11" style="9" customWidth="1"/>
    <col min="5641" max="5641" width="11.26953125" style="9" customWidth="1"/>
    <col min="5642" max="5642" width="15.81640625" style="9" customWidth="1"/>
    <col min="5643" max="5643" width="12.1796875" style="9" customWidth="1"/>
    <col min="5644" max="5644" width="11.26953125" style="9" customWidth="1"/>
    <col min="5645" max="5645" width="11.453125" style="9" customWidth="1"/>
    <col min="5646" max="5646" width="13.26953125" style="9" customWidth="1"/>
    <col min="5647" max="5647" width="14.54296875" style="9" customWidth="1"/>
    <col min="5648" max="5649" width="9.1796875" style="9"/>
    <col min="5650" max="5650" width="10.1796875" style="9" bestFit="1" customWidth="1"/>
    <col min="5651" max="5888" width="9.1796875" style="9"/>
    <col min="5889" max="5889" width="2.54296875" style="9" customWidth="1"/>
    <col min="5890" max="5890" width="10.7265625" style="9" customWidth="1"/>
    <col min="5891" max="5891" width="11.1796875" style="9" customWidth="1"/>
    <col min="5892" max="5892" width="11.26953125" style="9" customWidth="1"/>
    <col min="5893" max="5894" width="12.81640625" style="9" customWidth="1"/>
    <col min="5895" max="5896" width="11" style="9" customWidth="1"/>
    <col min="5897" max="5897" width="11.26953125" style="9" customWidth="1"/>
    <col min="5898" max="5898" width="15.81640625" style="9" customWidth="1"/>
    <col min="5899" max="5899" width="12.1796875" style="9" customWidth="1"/>
    <col min="5900" max="5900" width="11.26953125" style="9" customWidth="1"/>
    <col min="5901" max="5901" width="11.453125" style="9" customWidth="1"/>
    <col min="5902" max="5902" width="13.26953125" style="9" customWidth="1"/>
    <col min="5903" max="5903" width="14.54296875" style="9" customWidth="1"/>
    <col min="5904" max="5905" width="9.1796875" style="9"/>
    <col min="5906" max="5906" width="10.1796875" style="9" bestFit="1" customWidth="1"/>
    <col min="5907" max="6144" width="9.1796875" style="9"/>
    <col min="6145" max="6145" width="2.54296875" style="9" customWidth="1"/>
    <col min="6146" max="6146" width="10.7265625" style="9" customWidth="1"/>
    <col min="6147" max="6147" width="11.1796875" style="9" customWidth="1"/>
    <col min="6148" max="6148" width="11.26953125" style="9" customWidth="1"/>
    <col min="6149" max="6150" width="12.81640625" style="9" customWidth="1"/>
    <col min="6151" max="6152" width="11" style="9" customWidth="1"/>
    <col min="6153" max="6153" width="11.26953125" style="9" customWidth="1"/>
    <col min="6154" max="6154" width="15.81640625" style="9" customWidth="1"/>
    <col min="6155" max="6155" width="12.1796875" style="9" customWidth="1"/>
    <col min="6156" max="6156" width="11.26953125" style="9" customWidth="1"/>
    <col min="6157" max="6157" width="11.453125" style="9" customWidth="1"/>
    <col min="6158" max="6158" width="13.26953125" style="9" customWidth="1"/>
    <col min="6159" max="6159" width="14.54296875" style="9" customWidth="1"/>
    <col min="6160" max="6161" width="9.1796875" style="9"/>
    <col min="6162" max="6162" width="10.1796875" style="9" bestFit="1" customWidth="1"/>
    <col min="6163" max="6400" width="9.1796875" style="9"/>
    <col min="6401" max="6401" width="2.54296875" style="9" customWidth="1"/>
    <col min="6402" max="6402" width="10.7265625" style="9" customWidth="1"/>
    <col min="6403" max="6403" width="11.1796875" style="9" customWidth="1"/>
    <col min="6404" max="6404" width="11.26953125" style="9" customWidth="1"/>
    <col min="6405" max="6406" width="12.81640625" style="9" customWidth="1"/>
    <col min="6407" max="6408" width="11" style="9" customWidth="1"/>
    <col min="6409" max="6409" width="11.26953125" style="9" customWidth="1"/>
    <col min="6410" max="6410" width="15.81640625" style="9" customWidth="1"/>
    <col min="6411" max="6411" width="12.1796875" style="9" customWidth="1"/>
    <col min="6412" max="6412" width="11.26953125" style="9" customWidth="1"/>
    <col min="6413" max="6413" width="11.453125" style="9" customWidth="1"/>
    <col min="6414" max="6414" width="13.26953125" style="9" customWidth="1"/>
    <col min="6415" max="6415" width="14.54296875" style="9" customWidth="1"/>
    <col min="6416" max="6417" width="9.1796875" style="9"/>
    <col min="6418" max="6418" width="10.1796875" style="9" bestFit="1" customWidth="1"/>
    <col min="6419" max="6656" width="9.1796875" style="9"/>
    <col min="6657" max="6657" width="2.54296875" style="9" customWidth="1"/>
    <col min="6658" max="6658" width="10.7265625" style="9" customWidth="1"/>
    <col min="6659" max="6659" width="11.1796875" style="9" customWidth="1"/>
    <col min="6660" max="6660" width="11.26953125" style="9" customWidth="1"/>
    <col min="6661" max="6662" width="12.81640625" style="9" customWidth="1"/>
    <col min="6663" max="6664" width="11" style="9" customWidth="1"/>
    <col min="6665" max="6665" width="11.26953125" style="9" customWidth="1"/>
    <col min="6666" max="6666" width="15.81640625" style="9" customWidth="1"/>
    <col min="6667" max="6667" width="12.1796875" style="9" customWidth="1"/>
    <col min="6668" max="6668" width="11.26953125" style="9" customWidth="1"/>
    <col min="6669" max="6669" width="11.453125" style="9" customWidth="1"/>
    <col min="6670" max="6670" width="13.26953125" style="9" customWidth="1"/>
    <col min="6671" max="6671" width="14.54296875" style="9" customWidth="1"/>
    <col min="6672" max="6673" width="9.1796875" style="9"/>
    <col min="6674" max="6674" width="10.1796875" style="9" bestFit="1" customWidth="1"/>
    <col min="6675" max="6912" width="9.1796875" style="9"/>
    <col min="6913" max="6913" width="2.54296875" style="9" customWidth="1"/>
    <col min="6914" max="6914" width="10.7265625" style="9" customWidth="1"/>
    <col min="6915" max="6915" width="11.1796875" style="9" customWidth="1"/>
    <col min="6916" max="6916" width="11.26953125" style="9" customWidth="1"/>
    <col min="6917" max="6918" width="12.81640625" style="9" customWidth="1"/>
    <col min="6919" max="6920" width="11" style="9" customWidth="1"/>
    <col min="6921" max="6921" width="11.26953125" style="9" customWidth="1"/>
    <col min="6922" max="6922" width="15.81640625" style="9" customWidth="1"/>
    <col min="6923" max="6923" width="12.1796875" style="9" customWidth="1"/>
    <col min="6924" max="6924" width="11.26953125" style="9" customWidth="1"/>
    <col min="6925" max="6925" width="11.453125" style="9" customWidth="1"/>
    <col min="6926" max="6926" width="13.26953125" style="9" customWidth="1"/>
    <col min="6927" max="6927" width="14.54296875" style="9" customWidth="1"/>
    <col min="6928" max="6929" width="9.1796875" style="9"/>
    <col min="6930" max="6930" width="10.1796875" style="9" bestFit="1" customWidth="1"/>
    <col min="6931" max="7168" width="9.1796875" style="9"/>
    <col min="7169" max="7169" width="2.54296875" style="9" customWidth="1"/>
    <col min="7170" max="7170" width="10.7265625" style="9" customWidth="1"/>
    <col min="7171" max="7171" width="11.1796875" style="9" customWidth="1"/>
    <col min="7172" max="7172" width="11.26953125" style="9" customWidth="1"/>
    <col min="7173" max="7174" width="12.81640625" style="9" customWidth="1"/>
    <col min="7175" max="7176" width="11" style="9" customWidth="1"/>
    <col min="7177" max="7177" width="11.26953125" style="9" customWidth="1"/>
    <col min="7178" max="7178" width="15.81640625" style="9" customWidth="1"/>
    <col min="7179" max="7179" width="12.1796875" style="9" customWidth="1"/>
    <col min="7180" max="7180" width="11.26953125" style="9" customWidth="1"/>
    <col min="7181" max="7181" width="11.453125" style="9" customWidth="1"/>
    <col min="7182" max="7182" width="13.26953125" style="9" customWidth="1"/>
    <col min="7183" max="7183" width="14.54296875" style="9" customWidth="1"/>
    <col min="7184" max="7185" width="9.1796875" style="9"/>
    <col min="7186" max="7186" width="10.1796875" style="9" bestFit="1" customWidth="1"/>
    <col min="7187" max="7424" width="9.1796875" style="9"/>
    <col min="7425" max="7425" width="2.54296875" style="9" customWidth="1"/>
    <col min="7426" max="7426" width="10.7265625" style="9" customWidth="1"/>
    <col min="7427" max="7427" width="11.1796875" style="9" customWidth="1"/>
    <col min="7428" max="7428" width="11.26953125" style="9" customWidth="1"/>
    <col min="7429" max="7430" width="12.81640625" style="9" customWidth="1"/>
    <col min="7431" max="7432" width="11" style="9" customWidth="1"/>
    <col min="7433" max="7433" width="11.26953125" style="9" customWidth="1"/>
    <col min="7434" max="7434" width="15.81640625" style="9" customWidth="1"/>
    <col min="7435" max="7435" width="12.1796875" style="9" customWidth="1"/>
    <col min="7436" max="7436" width="11.26953125" style="9" customWidth="1"/>
    <col min="7437" max="7437" width="11.453125" style="9" customWidth="1"/>
    <col min="7438" max="7438" width="13.26953125" style="9" customWidth="1"/>
    <col min="7439" max="7439" width="14.54296875" style="9" customWidth="1"/>
    <col min="7440" max="7441" width="9.1796875" style="9"/>
    <col min="7442" max="7442" width="10.1796875" style="9" bestFit="1" customWidth="1"/>
    <col min="7443" max="7680" width="9.1796875" style="9"/>
    <col min="7681" max="7681" width="2.54296875" style="9" customWidth="1"/>
    <col min="7682" max="7682" width="10.7265625" style="9" customWidth="1"/>
    <col min="7683" max="7683" width="11.1796875" style="9" customWidth="1"/>
    <col min="7684" max="7684" width="11.26953125" style="9" customWidth="1"/>
    <col min="7685" max="7686" width="12.81640625" style="9" customWidth="1"/>
    <col min="7687" max="7688" width="11" style="9" customWidth="1"/>
    <col min="7689" max="7689" width="11.26953125" style="9" customWidth="1"/>
    <col min="7690" max="7690" width="15.81640625" style="9" customWidth="1"/>
    <col min="7691" max="7691" width="12.1796875" style="9" customWidth="1"/>
    <col min="7692" max="7692" width="11.26953125" style="9" customWidth="1"/>
    <col min="7693" max="7693" width="11.453125" style="9" customWidth="1"/>
    <col min="7694" max="7694" width="13.26953125" style="9" customWidth="1"/>
    <col min="7695" max="7695" width="14.54296875" style="9" customWidth="1"/>
    <col min="7696" max="7697" width="9.1796875" style="9"/>
    <col min="7698" max="7698" width="10.1796875" style="9" bestFit="1" customWidth="1"/>
    <col min="7699" max="7936" width="9.1796875" style="9"/>
    <col min="7937" max="7937" width="2.54296875" style="9" customWidth="1"/>
    <col min="7938" max="7938" width="10.7265625" style="9" customWidth="1"/>
    <col min="7939" max="7939" width="11.1796875" style="9" customWidth="1"/>
    <col min="7940" max="7940" width="11.26953125" style="9" customWidth="1"/>
    <col min="7941" max="7942" width="12.81640625" style="9" customWidth="1"/>
    <col min="7943" max="7944" width="11" style="9" customWidth="1"/>
    <col min="7945" max="7945" width="11.26953125" style="9" customWidth="1"/>
    <col min="7946" max="7946" width="15.81640625" style="9" customWidth="1"/>
    <col min="7947" max="7947" width="12.1796875" style="9" customWidth="1"/>
    <col min="7948" max="7948" width="11.26953125" style="9" customWidth="1"/>
    <col min="7949" max="7949" width="11.453125" style="9" customWidth="1"/>
    <col min="7950" max="7950" width="13.26953125" style="9" customWidth="1"/>
    <col min="7951" max="7951" width="14.54296875" style="9" customWidth="1"/>
    <col min="7952" max="7953" width="9.1796875" style="9"/>
    <col min="7954" max="7954" width="10.1796875" style="9" bestFit="1" customWidth="1"/>
    <col min="7955" max="8192" width="9.1796875" style="9"/>
    <col min="8193" max="8193" width="2.54296875" style="9" customWidth="1"/>
    <col min="8194" max="8194" width="10.7265625" style="9" customWidth="1"/>
    <col min="8195" max="8195" width="11.1796875" style="9" customWidth="1"/>
    <col min="8196" max="8196" width="11.26953125" style="9" customWidth="1"/>
    <col min="8197" max="8198" width="12.81640625" style="9" customWidth="1"/>
    <col min="8199" max="8200" width="11" style="9" customWidth="1"/>
    <col min="8201" max="8201" width="11.26953125" style="9" customWidth="1"/>
    <col min="8202" max="8202" width="15.81640625" style="9" customWidth="1"/>
    <col min="8203" max="8203" width="12.1796875" style="9" customWidth="1"/>
    <col min="8204" max="8204" width="11.26953125" style="9" customWidth="1"/>
    <col min="8205" max="8205" width="11.453125" style="9" customWidth="1"/>
    <col min="8206" max="8206" width="13.26953125" style="9" customWidth="1"/>
    <col min="8207" max="8207" width="14.54296875" style="9" customWidth="1"/>
    <col min="8208" max="8209" width="9.1796875" style="9"/>
    <col min="8210" max="8210" width="10.1796875" style="9" bestFit="1" customWidth="1"/>
    <col min="8211" max="8448" width="9.1796875" style="9"/>
    <col min="8449" max="8449" width="2.54296875" style="9" customWidth="1"/>
    <col min="8450" max="8450" width="10.7265625" style="9" customWidth="1"/>
    <col min="8451" max="8451" width="11.1796875" style="9" customWidth="1"/>
    <col min="8452" max="8452" width="11.26953125" style="9" customWidth="1"/>
    <col min="8453" max="8454" width="12.81640625" style="9" customWidth="1"/>
    <col min="8455" max="8456" width="11" style="9" customWidth="1"/>
    <col min="8457" max="8457" width="11.26953125" style="9" customWidth="1"/>
    <col min="8458" max="8458" width="15.81640625" style="9" customWidth="1"/>
    <col min="8459" max="8459" width="12.1796875" style="9" customWidth="1"/>
    <col min="8460" max="8460" width="11.26953125" style="9" customWidth="1"/>
    <col min="8461" max="8461" width="11.453125" style="9" customWidth="1"/>
    <col min="8462" max="8462" width="13.26953125" style="9" customWidth="1"/>
    <col min="8463" max="8463" width="14.54296875" style="9" customWidth="1"/>
    <col min="8464" max="8465" width="9.1796875" style="9"/>
    <col min="8466" max="8466" width="10.1796875" style="9" bestFit="1" customWidth="1"/>
    <col min="8467" max="8704" width="9.1796875" style="9"/>
    <col min="8705" max="8705" width="2.54296875" style="9" customWidth="1"/>
    <col min="8706" max="8706" width="10.7265625" style="9" customWidth="1"/>
    <col min="8707" max="8707" width="11.1796875" style="9" customWidth="1"/>
    <col min="8708" max="8708" width="11.26953125" style="9" customWidth="1"/>
    <col min="8709" max="8710" width="12.81640625" style="9" customWidth="1"/>
    <col min="8711" max="8712" width="11" style="9" customWidth="1"/>
    <col min="8713" max="8713" width="11.26953125" style="9" customWidth="1"/>
    <col min="8714" max="8714" width="15.81640625" style="9" customWidth="1"/>
    <col min="8715" max="8715" width="12.1796875" style="9" customWidth="1"/>
    <col min="8716" max="8716" width="11.26953125" style="9" customWidth="1"/>
    <col min="8717" max="8717" width="11.453125" style="9" customWidth="1"/>
    <col min="8718" max="8718" width="13.26953125" style="9" customWidth="1"/>
    <col min="8719" max="8719" width="14.54296875" style="9" customWidth="1"/>
    <col min="8720" max="8721" width="9.1796875" style="9"/>
    <col min="8722" max="8722" width="10.1796875" style="9" bestFit="1" customWidth="1"/>
    <col min="8723" max="8960" width="9.1796875" style="9"/>
    <col min="8961" max="8961" width="2.54296875" style="9" customWidth="1"/>
    <col min="8962" max="8962" width="10.7265625" style="9" customWidth="1"/>
    <col min="8963" max="8963" width="11.1796875" style="9" customWidth="1"/>
    <col min="8964" max="8964" width="11.26953125" style="9" customWidth="1"/>
    <col min="8965" max="8966" width="12.81640625" style="9" customWidth="1"/>
    <col min="8967" max="8968" width="11" style="9" customWidth="1"/>
    <col min="8969" max="8969" width="11.26953125" style="9" customWidth="1"/>
    <col min="8970" max="8970" width="15.81640625" style="9" customWidth="1"/>
    <col min="8971" max="8971" width="12.1796875" style="9" customWidth="1"/>
    <col min="8972" max="8972" width="11.26953125" style="9" customWidth="1"/>
    <col min="8973" max="8973" width="11.453125" style="9" customWidth="1"/>
    <col min="8974" max="8974" width="13.26953125" style="9" customWidth="1"/>
    <col min="8975" max="8975" width="14.54296875" style="9" customWidth="1"/>
    <col min="8976" max="8977" width="9.1796875" style="9"/>
    <col min="8978" max="8978" width="10.1796875" style="9" bestFit="1" customWidth="1"/>
    <col min="8979" max="9216" width="9.1796875" style="9"/>
    <col min="9217" max="9217" width="2.54296875" style="9" customWidth="1"/>
    <col min="9218" max="9218" width="10.7265625" style="9" customWidth="1"/>
    <col min="9219" max="9219" width="11.1796875" style="9" customWidth="1"/>
    <col min="9220" max="9220" width="11.26953125" style="9" customWidth="1"/>
    <col min="9221" max="9222" width="12.81640625" style="9" customWidth="1"/>
    <col min="9223" max="9224" width="11" style="9" customWidth="1"/>
    <col min="9225" max="9225" width="11.26953125" style="9" customWidth="1"/>
    <col min="9226" max="9226" width="15.81640625" style="9" customWidth="1"/>
    <col min="9227" max="9227" width="12.1796875" style="9" customWidth="1"/>
    <col min="9228" max="9228" width="11.26953125" style="9" customWidth="1"/>
    <col min="9229" max="9229" width="11.453125" style="9" customWidth="1"/>
    <col min="9230" max="9230" width="13.26953125" style="9" customWidth="1"/>
    <col min="9231" max="9231" width="14.54296875" style="9" customWidth="1"/>
    <col min="9232" max="9233" width="9.1796875" style="9"/>
    <col min="9234" max="9234" width="10.1796875" style="9" bestFit="1" customWidth="1"/>
    <col min="9235" max="9472" width="9.1796875" style="9"/>
    <col min="9473" max="9473" width="2.54296875" style="9" customWidth="1"/>
    <col min="9474" max="9474" width="10.7265625" style="9" customWidth="1"/>
    <col min="9475" max="9475" width="11.1796875" style="9" customWidth="1"/>
    <col min="9476" max="9476" width="11.26953125" style="9" customWidth="1"/>
    <col min="9477" max="9478" width="12.81640625" style="9" customWidth="1"/>
    <col min="9479" max="9480" width="11" style="9" customWidth="1"/>
    <col min="9481" max="9481" width="11.26953125" style="9" customWidth="1"/>
    <col min="9482" max="9482" width="15.81640625" style="9" customWidth="1"/>
    <col min="9483" max="9483" width="12.1796875" style="9" customWidth="1"/>
    <col min="9484" max="9484" width="11.26953125" style="9" customWidth="1"/>
    <col min="9485" max="9485" width="11.453125" style="9" customWidth="1"/>
    <col min="9486" max="9486" width="13.26953125" style="9" customWidth="1"/>
    <col min="9487" max="9487" width="14.54296875" style="9" customWidth="1"/>
    <col min="9488" max="9489" width="9.1796875" style="9"/>
    <col min="9490" max="9490" width="10.1796875" style="9" bestFit="1" customWidth="1"/>
    <col min="9491" max="9728" width="9.1796875" style="9"/>
    <col min="9729" max="9729" width="2.54296875" style="9" customWidth="1"/>
    <col min="9730" max="9730" width="10.7265625" style="9" customWidth="1"/>
    <col min="9731" max="9731" width="11.1796875" style="9" customWidth="1"/>
    <col min="9732" max="9732" width="11.26953125" style="9" customWidth="1"/>
    <col min="9733" max="9734" width="12.81640625" style="9" customWidth="1"/>
    <col min="9735" max="9736" width="11" style="9" customWidth="1"/>
    <col min="9737" max="9737" width="11.26953125" style="9" customWidth="1"/>
    <col min="9738" max="9738" width="15.81640625" style="9" customWidth="1"/>
    <col min="9739" max="9739" width="12.1796875" style="9" customWidth="1"/>
    <col min="9740" max="9740" width="11.26953125" style="9" customWidth="1"/>
    <col min="9741" max="9741" width="11.453125" style="9" customWidth="1"/>
    <col min="9742" max="9742" width="13.26953125" style="9" customWidth="1"/>
    <col min="9743" max="9743" width="14.54296875" style="9" customWidth="1"/>
    <col min="9744" max="9745" width="9.1796875" style="9"/>
    <col min="9746" max="9746" width="10.1796875" style="9" bestFit="1" customWidth="1"/>
    <col min="9747" max="9984" width="9.1796875" style="9"/>
    <col min="9985" max="9985" width="2.54296875" style="9" customWidth="1"/>
    <col min="9986" max="9986" width="10.7265625" style="9" customWidth="1"/>
    <col min="9987" max="9987" width="11.1796875" style="9" customWidth="1"/>
    <col min="9988" max="9988" width="11.26953125" style="9" customWidth="1"/>
    <col min="9989" max="9990" width="12.81640625" style="9" customWidth="1"/>
    <col min="9991" max="9992" width="11" style="9" customWidth="1"/>
    <col min="9993" max="9993" width="11.26953125" style="9" customWidth="1"/>
    <col min="9994" max="9994" width="15.81640625" style="9" customWidth="1"/>
    <col min="9995" max="9995" width="12.1796875" style="9" customWidth="1"/>
    <col min="9996" max="9996" width="11.26953125" style="9" customWidth="1"/>
    <col min="9997" max="9997" width="11.453125" style="9" customWidth="1"/>
    <col min="9998" max="9998" width="13.26953125" style="9" customWidth="1"/>
    <col min="9999" max="9999" width="14.54296875" style="9" customWidth="1"/>
    <col min="10000" max="10001" width="9.1796875" style="9"/>
    <col min="10002" max="10002" width="10.1796875" style="9" bestFit="1" customWidth="1"/>
    <col min="10003" max="10240" width="9.1796875" style="9"/>
    <col min="10241" max="10241" width="2.54296875" style="9" customWidth="1"/>
    <col min="10242" max="10242" width="10.7265625" style="9" customWidth="1"/>
    <col min="10243" max="10243" width="11.1796875" style="9" customWidth="1"/>
    <col min="10244" max="10244" width="11.26953125" style="9" customWidth="1"/>
    <col min="10245" max="10246" width="12.81640625" style="9" customWidth="1"/>
    <col min="10247" max="10248" width="11" style="9" customWidth="1"/>
    <col min="10249" max="10249" width="11.26953125" style="9" customWidth="1"/>
    <col min="10250" max="10250" width="15.81640625" style="9" customWidth="1"/>
    <col min="10251" max="10251" width="12.1796875" style="9" customWidth="1"/>
    <col min="10252" max="10252" width="11.26953125" style="9" customWidth="1"/>
    <col min="10253" max="10253" width="11.453125" style="9" customWidth="1"/>
    <col min="10254" max="10254" width="13.26953125" style="9" customWidth="1"/>
    <col min="10255" max="10255" width="14.54296875" style="9" customWidth="1"/>
    <col min="10256" max="10257" width="9.1796875" style="9"/>
    <col min="10258" max="10258" width="10.1796875" style="9" bestFit="1" customWidth="1"/>
    <col min="10259" max="10496" width="9.1796875" style="9"/>
    <col min="10497" max="10497" width="2.54296875" style="9" customWidth="1"/>
    <col min="10498" max="10498" width="10.7265625" style="9" customWidth="1"/>
    <col min="10499" max="10499" width="11.1796875" style="9" customWidth="1"/>
    <col min="10500" max="10500" width="11.26953125" style="9" customWidth="1"/>
    <col min="10501" max="10502" width="12.81640625" style="9" customWidth="1"/>
    <col min="10503" max="10504" width="11" style="9" customWidth="1"/>
    <col min="10505" max="10505" width="11.26953125" style="9" customWidth="1"/>
    <col min="10506" max="10506" width="15.81640625" style="9" customWidth="1"/>
    <col min="10507" max="10507" width="12.1796875" style="9" customWidth="1"/>
    <col min="10508" max="10508" width="11.26953125" style="9" customWidth="1"/>
    <col min="10509" max="10509" width="11.453125" style="9" customWidth="1"/>
    <col min="10510" max="10510" width="13.26953125" style="9" customWidth="1"/>
    <col min="10511" max="10511" width="14.54296875" style="9" customWidth="1"/>
    <col min="10512" max="10513" width="9.1796875" style="9"/>
    <col min="10514" max="10514" width="10.1796875" style="9" bestFit="1" customWidth="1"/>
    <col min="10515" max="10752" width="9.1796875" style="9"/>
    <col min="10753" max="10753" width="2.54296875" style="9" customWidth="1"/>
    <col min="10754" max="10754" width="10.7265625" style="9" customWidth="1"/>
    <col min="10755" max="10755" width="11.1796875" style="9" customWidth="1"/>
    <col min="10756" max="10756" width="11.26953125" style="9" customWidth="1"/>
    <col min="10757" max="10758" width="12.81640625" style="9" customWidth="1"/>
    <col min="10759" max="10760" width="11" style="9" customWidth="1"/>
    <col min="10761" max="10761" width="11.26953125" style="9" customWidth="1"/>
    <col min="10762" max="10762" width="15.81640625" style="9" customWidth="1"/>
    <col min="10763" max="10763" width="12.1796875" style="9" customWidth="1"/>
    <col min="10764" max="10764" width="11.26953125" style="9" customWidth="1"/>
    <col min="10765" max="10765" width="11.453125" style="9" customWidth="1"/>
    <col min="10766" max="10766" width="13.26953125" style="9" customWidth="1"/>
    <col min="10767" max="10767" width="14.54296875" style="9" customWidth="1"/>
    <col min="10768" max="10769" width="9.1796875" style="9"/>
    <col min="10770" max="10770" width="10.1796875" style="9" bestFit="1" customWidth="1"/>
    <col min="10771" max="11008" width="9.1796875" style="9"/>
    <col min="11009" max="11009" width="2.54296875" style="9" customWidth="1"/>
    <col min="11010" max="11010" width="10.7265625" style="9" customWidth="1"/>
    <col min="11011" max="11011" width="11.1796875" style="9" customWidth="1"/>
    <col min="11012" max="11012" width="11.26953125" style="9" customWidth="1"/>
    <col min="11013" max="11014" width="12.81640625" style="9" customWidth="1"/>
    <col min="11015" max="11016" width="11" style="9" customWidth="1"/>
    <col min="11017" max="11017" width="11.26953125" style="9" customWidth="1"/>
    <col min="11018" max="11018" width="15.81640625" style="9" customWidth="1"/>
    <col min="11019" max="11019" width="12.1796875" style="9" customWidth="1"/>
    <col min="11020" max="11020" width="11.26953125" style="9" customWidth="1"/>
    <col min="11021" max="11021" width="11.453125" style="9" customWidth="1"/>
    <col min="11022" max="11022" width="13.26953125" style="9" customWidth="1"/>
    <col min="11023" max="11023" width="14.54296875" style="9" customWidth="1"/>
    <col min="11024" max="11025" width="9.1796875" style="9"/>
    <col min="11026" max="11026" width="10.1796875" style="9" bestFit="1" customWidth="1"/>
    <col min="11027" max="11264" width="9.1796875" style="9"/>
    <col min="11265" max="11265" width="2.54296875" style="9" customWidth="1"/>
    <col min="11266" max="11266" width="10.7265625" style="9" customWidth="1"/>
    <col min="11267" max="11267" width="11.1796875" style="9" customWidth="1"/>
    <col min="11268" max="11268" width="11.26953125" style="9" customWidth="1"/>
    <col min="11269" max="11270" width="12.81640625" style="9" customWidth="1"/>
    <col min="11271" max="11272" width="11" style="9" customWidth="1"/>
    <col min="11273" max="11273" width="11.26953125" style="9" customWidth="1"/>
    <col min="11274" max="11274" width="15.81640625" style="9" customWidth="1"/>
    <col min="11275" max="11275" width="12.1796875" style="9" customWidth="1"/>
    <col min="11276" max="11276" width="11.26953125" style="9" customWidth="1"/>
    <col min="11277" max="11277" width="11.453125" style="9" customWidth="1"/>
    <col min="11278" max="11278" width="13.26953125" style="9" customWidth="1"/>
    <col min="11279" max="11279" width="14.54296875" style="9" customWidth="1"/>
    <col min="11280" max="11281" width="9.1796875" style="9"/>
    <col min="11282" max="11282" width="10.1796875" style="9" bestFit="1" customWidth="1"/>
    <col min="11283" max="11520" width="9.1796875" style="9"/>
    <col min="11521" max="11521" width="2.54296875" style="9" customWidth="1"/>
    <col min="11522" max="11522" width="10.7265625" style="9" customWidth="1"/>
    <col min="11523" max="11523" width="11.1796875" style="9" customWidth="1"/>
    <col min="11524" max="11524" width="11.26953125" style="9" customWidth="1"/>
    <col min="11525" max="11526" width="12.81640625" style="9" customWidth="1"/>
    <col min="11527" max="11528" width="11" style="9" customWidth="1"/>
    <col min="11529" max="11529" width="11.26953125" style="9" customWidth="1"/>
    <col min="11530" max="11530" width="15.81640625" style="9" customWidth="1"/>
    <col min="11531" max="11531" width="12.1796875" style="9" customWidth="1"/>
    <col min="11532" max="11532" width="11.26953125" style="9" customWidth="1"/>
    <col min="11533" max="11533" width="11.453125" style="9" customWidth="1"/>
    <col min="11534" max="11534" width="13.26953125" style="9" customWidth="1"/>
    <col min="11535" max="11535" width="14.54296875" style="9" customWidth="1"/>
    <col min="11536" max="11537" width="9.1796875" style="9"/>
    <col min="11538" max="11538" width="10.1796875" style="9" bestFit="1" customWidth="1"/>
    <col min="11539" max="11776" width="9.1796875" style="9"/>
    <col min="11777" max="11777" width="2.54296875" style="9" customWidth="1"/>
    <col min="11778" max="11778" width="10.7265625" style="9" customWidth="1"/>
    <col min="11779" max="11779" width="11.1796875" style="9" customWidth="1"/>
    <col min="11780" max="11780" width="11.26953125" style="9" customWidth="1"/>
    <col min="11781" max="11782" width="12.81640625" style="9" customWidth="1"/>
    <col min="11783" max="11784" width="11" style="9" customWidth="1"/>
    <col min="11785" max="11785" width="11.26953125" style="9" customWidth="1"/>
    <col min="11786" max="11786" width="15.81640625" style="9" customWidth="1"/>
    <col min="11787" max="11787" width="12.1796875" style="9" customWidth="1"/>
    <col min="11788" max="11788" width="11.26953125" style="9" customWidth="1"/>
    <col min="11789" max="11789" width="11.453125" style="9" customWidth="1"/>
    <col min="11790" max="11790" width="13.26953125" style="9" customWidth="1"/>
    <col min="11791" max="11791" width="14.54296875" style="9" customWidth="1"/>
    <col min="11792" max="11793" width="9.1796875" style="9"/>
    <col min="11794" max="11794" width="10.1796875" style="9" bestFit="1" customWidth="1"/>
    <col min="11795" max="12032" width="9.1796875" style="9"/>
    <col min="12033" max="12033" width="2.54296875" style="9" customWidth="1"/>
    <col min="12034" max="12034" width="10.7265625" style="9" customWidth="1"/>
    <col min="12035" max="12035" width="11.1796875" style="9" customWidth="1"/>
    <col min="12036" max="12036" width="11.26953125" style="9" customWidth="1"/>
    <col min="12037" max="12038" width="12.81640625" style="9" customWidth="1"/>
    <col min="12039" max="12040" width="11" style="9" customWidth="1"/>
    <col min="12041" max="12041" width="11.26953125" style="9" customWidth="1"/>
    <col min="12042" max="12042" width="15.81640625" style="9" customWidth="1"/>
    <col min="12043" max="12043" width="12.1796875" style="9" customWidth="1"/>
    <col min="12044" max="12044" width="11.26953125" style="9" customWidth="1"/>
    <col min="12045" max="12045" width="11.453125" style="9" customWidth="1"/>
    <col min="12046" max="12046" width="13.26953125" style="9" customWidth="1"/>
    <col min="12047" max="12047" width="14.54296875" style="9" customWidth="1"/>
    <col min="12048" max="12049" width="9.1796875" style="9"/>
    <col min="12050" max="12050" width="10.1796875" style="9" bestFit="1" customWidth="1"/>
    <col min="12051" max="12288" width="9.1796875" style="9"/>
    <col min="12289" max="12289" width="2.54296875" style="9" customWidth="1"/>
    <col min="12290" max="12290" width="10.7265625" style="9" customWidth="1"/>
    <col min="12291" max="12291" width="11.1796875" style="9" customWidth="1"/>
    <col min="12292" max="12292" width="11.26953125" style="9" customWidth="1"/>
    <col min="12293" max="12294" width="12.81640625" style="9" customWidth="1"/>
    <col min="12295" max="12296" width="11" style="9" customWidth="1"/>
    <col min="12297" max="12297" width="11.26953125" style="9" customWidth="1"/>
    <col min="12298" max="12298" width="15.81640625" style="9" customWidth="1"/>
    <col min="12299" max="12299" width="12.1796875" style="9" customWidth="1"/>
    <col min="12300" max="12300" width="11.26953125" style="9" customWidth="1"/>
    <col min="12301" max="12301" width="11.453125" style="9" customWidth="1"/>
    <col min="12302" max="12302" width="13.26953125" style="9" customWidth="1"/>
    <col min="12303" max="12303" width="14.54296875" style="9" customWidth="1"/>
    <col min="12304" max="12305" width="9.1796875" style="9"/>
    <col min="12306" max="12306" width="10.1796875" style="9" bestFit="1" customWidth="1"/>
    <col min="12307" max="12544" width="9.1796875" style="9"/>
    <col min="12545" max="12545" width="2.54296875" style="9" customWidth="1"/>
    <col min="12546" max="12546" width="10.7265625" style="9" customWidth="1"/>
    <col min="12547" max="12547" width="11.1796875" style="9" customWidth="1"/>
    <col min="12548" max="12548" width="11.26953125" style="9" customWidth="1"/>
    <col min="12549" max="12550" width="12.81640625" style="9" customWidth="1"/>
    <col min="12551" max="12552" width="11" style="9" customWidth="1"/>
    <col min="12553" max="12553" width="11.26953125" style="9" customWidth="1"/>
    <col min="12554" max="12554" width="15.81640625" style="9" customWidth="1"/>
    <col min="12555" max="12555" width="12.1796875" style="9" customWidth="1"/>
    <col min="12556" max="12556" width="11.26953125" style="9" customWidth="1"/>
    <col min="12557" max="12557" width="11.453125" style="9" customWidth="1"/>
    <col min="12558" max="12558" width="13.26953125" style="9" customWidth="1"/>
    <col min="12559" max="12559" width="14.54296875" style="9" customWidth="1"/>
    <col min="12560" max="12561" width="9.1796875" style="9"/>
    <col min="12562" max="12562" width="10.1796875" style="9" bestFit="1" customWidth="1"/>
    <col min="12563" max="12800" width="9.1796875" style="9"/>
    <col min="12801" max="12801" width="2.54296875" style="9" customWidth="1"/>
    <col min="12802" max="12802" width="10.7265625" style="9" customWidth="1"/>
    <col min="12803" max="12803" width="11.1796875" style="9" customWidth="1"/>
    <col min="12804" max="12804" width="11.26953125" style="9" customWidth="1"/>
    <col min="12805" max="12806" width="12.81640625" style="9" customWidth="1"/>
    <col min="12807" max="12808" width="11" style="9" customWidth="1"/>
    <col min="12809" max="12809" width="11.26953125" style="9" customWidth="1"/>
    <col min="12810" max="12810" width="15.81640625" style="9" customWidth="1"/>
    <col min="12811" max="12811" width="12.1796875" style="9" customWidth="1"/>
    <col min="12812" max="12812" width="11.26953125" style="9" customWidth="1"/>
    <col min="12813" max="12813" width="11.453125" style="9" customWidth="1"/>
    <col min="12814" max="12814" width="13.26953125" style="9" customWidth="1"/>
    <col min="12815" max="12815" width="14.54296875" style="9" customWidth="1"/>
    <col min="12816" max="12817" width="9.1796875" style="9"/>
    <col min="12818" max="12818" width="10.1796875" style="9" bestFit="1" customWidth="1"/>
    <col min="12819" max="13056" width="9.1796875" style="9"/>
    <col min="13057" max="13057" width="2.54296875" style="9" customWidth="1"/>
    <col min="13058" max="13058" width="10.7265625" style="9" customWidth="1"/>
    <col min="13059" max="13059" width="11.1796875" style="9" customWidth="1"/>
    <col min="13060" max="13060" width="11.26953125" style="9" customWidth="1"/>
    <col min="13061" max="13062" width="12.81640625" style="9" customWidth="1"/>
    <col min="13063" max="13064" width="11" style="9" customWidth="1"/>
    <col min="13065" max="13065" width="11.26953125" style="9" customWidth="1"/>
    <col min="13066" max="13066" width="15.81640625" style="9" customWidth="1"/>
    <col min="13067" max="13067" width="12.1796875" style="9" customWidth="1"/>
    <col min="13068" max="13068" width="11.26953125" style="9" customWidth="1"/>
    <col min="13069" max="13069" width="11.453125" style="9" customWidth="1"/>
    <col min="13070" max="13070" width="13.26953125" style="9" customWidth="1"/>
    <col min="13071" max="13071" width="14.54296875" style="9" customWidth="1"/>
    <col min="13072" max="13073" width="9.1796875" style="9"/>
    <col min="13074" max="13074" width="10.1796875" style="9" bestFit="1" customWidth="1"/>
    <col min="13075" max="13312" width="9.1796875" style="9"/>
    <col min="13313" max="13313" width="2.54296875" style="9" customWidth="1"/>
    <col min="13314" max="13314" width="10.7265625" style="9" customWidth="1"/>
    <col min="13315" max="13315" width="11.1796875" style="9" customWidth="1"/>
    <col min="13316" max="13316" width="11.26953125" style="9" customWidth="1"/>
    <col min="13317" max="13318" width="12.81640625" style="9" customWidth="1"/>
    <col min="13319" max="13320" width="11" style="9" customWidth="1"/>
    <col min="13321" max="13321" width="11.26953125" style="9" customWidth="1"/>
    <col min="13322" max="13322" width="15.81640625" style="9" customWidth="1"/>
    <col min="13323" max="13323" width="12.1796875" style="9" customWidth="1"/>
    <col min="13324" max="13324" width="11.26953125" style="9" customWidth="1"/>
    <col min="13325" max="13325" width="11.453125" style="9" customWidth="1"/>
    <col min="13326" max="13326" width="13.26953125" style="9" customWidth="1"/>
    <col min="13327" max="13327" width="14.54296875" style="9" customWidth="1"/>
    <col min="13328" max="13329" width="9.1796875" style="9"/>
    <col min="13330" max="13330" width="10.1796875" style="9" bestFit="1" customWidth="1"/>
    <col min="13331" max="13568" width="9.1796875" style="9"/>
    <col min="13569" max="13569" width="2.54296875" style="9" customWidth="1"/>
    <col min="13570" max="13570" width="10.7265625" style="9" customWidth="1"/>
    <col min="13571" max="13571" width="11.1796875" style="9" customWidth="1"/>
    <col min="13572" max="13572" width="11.26953125" style="9" customWidth="1"/>
    <col min="13573" max="13574" width="12.81640625" style="9" customWidth="1"/>
    <col min="13575" max="13576" width="11" style="9" customWidth="1"/>
    <col min="13577" max="13577" width="11.26953125" style="9" customWidth="1"/>
    <col min="13578" max="13578" width="15.81640625" style="9" customWidth="1"/>
    <col min="13579" max="13579" width="12.1796875" style="9" customWidth="1"/>
    <col min="13580" max="13580" width="11.26953125" style="9" customWidth="1"/>
    <col min="13581" max="13581" width="11.453125" style="9" customWidth="1"/>
    <col min="13582" max="13582" width="13.26953125" style="9" customWidth="1"/>
    <col min="13583" max="13583" width="14.54296875" style="9" customWidth="1"/>
    <col min="13584" max="13585" width="9.1796875" style="9"/>
    <col min="13586" max="13586" width="10.1796875" style="9" bestFit="1" customWidth="1"/>
    <col min="13587" max="13824" width="9.1796875" style="9"/>
    <col min="13825" max="13825" width="2.54296875" style="9" customWidth="1"/>
    <col min="13826" max="13826" width="10.7265625" style="9" customWidth="1"/>
    <col min="13827" max="13827" width="11.1796875" style="9" customWidth="1"/>
    <col min="13828" max="13828" width="11.26953125" style="9" customWidth="1"/>
    <col min="13829" max="13830" width="12.81640625" style="9" customWidth="1"/>
    <col min="13831" max="13832" width="11" style="9" customWidth="1"/>
    <col min="13833" max="13833" width="11.26953125" style="9" customWidth="1"/>
    <col min="13834" max="13834" width="15.81640625" style="9" customWidth="1"/>
    <col min="13835" max="13835" width="12.1796875" style="9" customWidth="1"/>
    <col min="13836" max="13836" width="11.26953125" style="9" customWidth="1"/>
    <col min="13837" max="13837" width="11.453125" style="9" customWidth="1"/>
    <col min="13838" max="13838" width="13.26953125" style="9" customWidth="1"/>
    <col min="13839" max="13839" width="14.54296875" style="9" customWidth="1"/>
    <col min="13840" max="13841" width="9.1796875" style="9"/>
    <col min="13842" max="13842" width="10.1796875" style="9" bestFit="1" customWidth="1"/>
    <col min="13843" max="14080" width="9.1796875" style="9"/>
    <col min="14081" max="14081" width="2.54296875" style="9" customWidth="1"/>
    <col min="14082" max="14082" width="10.7265625" style="9" customWidth="1"/>
    <col min="14083" max="14083" width="11.1796875" style="9" customWidth="1"/>
    <col min="14084" max="14084" width="11.26953125" style="9" customWidth="1"/>
    <col min="14085" max="14086" width="12.81640625" style="9" customWidth="1"/>
    <col min="14087" max="14088" width="11" style="9" customWidth="1"/>
    <col min="14089" max="14089" width="11.26953125" style="9" customWidth="1"/>
    <col min="14090" max="14090" width="15.81640625" style="9" customWidth="1"/>
    <col min="14091" max="14091" width="12.1796875" style="9" customWidth="1"/>
    <col min="14092" max="14092" width="11.26953125" style="9" customWidth="1"/>
    <col min="14093" max="14093" width="11.453125" style="9" customWidth="1"/>
    <col min="14094" max="14094" width="13.26953125" style="9" customWidth="1"/>
    <col min="14095" max="14095" width="14.54296875" style="9" customWidth="1"/>
    <col min="14096" max="14097" width="9.1796875" style="9"/>
    <col min="14098" max="14098" width="10.1796875" style="9" bestFit="1" customWidth="1"/>
    <col min="14099" max="14336" width="9.1796875" style="9"/>
    <col min="14337" max="14337" width="2.54296875" style="9" customWidth="1"/>
    <col min="14338" max="14338" width="10.7265625" style="9" customWidth="1"/>
    <col min="14339" max="14339" width="11.1796875" style="9" customWidth="1"/>
    <col min="14340" max="14340" width="11.26953125" style="9" customWidth="1"/>
    <col min="14341" max="14342" width="12.81640625" style="9" customWidth="1"/>
    <col min="14343" max="14344" width="11" style="9" customWidth="1"/>
    <col min="14345" max="14345" width="11.26953125" style="9" customWidth="1"/>
    <col min="14346" max="14346" width="15.81640625" style="9" customWidth="1"/>
    <col min="14347" max="14347" width="12.1796875" style="9" customWidth="1"/>
    <col min="14348" max="14348" width="11.26953125" style="9" customWidth="1"/>
    <col min="14349" max="14349" width="11.453125" style="9" customWidth="1"/>
    <col min="14350" max="14350" width="13.26953125" style="9" customWidth="1"/>
    <col min="14351" max="14351" width="14.54296875" style="9" customWidth="1"/>
    <col min="14352" max="14353" width="9.1796875" style="9"/>
    <col min="14354" max="14354" width="10.1796875" style="9" bestFit="1" customWidth="1"/>
    <col min="14355" max="14592" width="9.1796875" style="9"/>
    <col min="14593" max="14593" width="2.54296875" style="9" customWidth="1"/>
    <col min="14594" max="14594" width="10.7265625" style="9" customWidth="1"/>
    <col min="14595" max="14595" width="11.1796875" style="9" customWidth="1"/>
    <col min="14596" max="14596" width="11.26953125" style="9" customWidth="1"/>
    <col min="14597" max="14598" width="12.81640625" style="9" customWidth="1"/>
    <col min="14599" max="14600" width="11" style="9" customWidth="1"/>
    <col min="14601" max="14601" width="11.26953125" style="9" customWidth="1"/>
    <col min="14602" max="14602" width="15.81640625" style="9" customWidth="1"/>
    <col min="14603" max="14603" width="12.1796875" style="9" customWidth="1"/>
    <col min="14604" max="14604" width="11.26953125" style="9" customWidth="1"/>
    <col min="14605" max="14605" width="11.453125" style="9" customWidth="1"/>
    <col min="14606" max="14606" width="13.26953125" style="9" customWidth="1"/>
    <col min="14607" max="14607" width="14.54296875" style="9" customWidth="1"/>
    <col min="14608" max="14609" width="9.1796875" style="9"/>
    <col min="14610" max="14610" width="10.1796875" style="9" bestFit="1" customWidth="1"/>
    <col min="14611" max="14848" width="9.1796875" style="9"/>
    <col min="14849" max="14849" width="2.54296875" style="9" customWidth="1"/>
    <col min="14850" max="14850" width="10.7265625" style="9" customWidth="1"/>
    <col min="14851" max="14851" width="11.1796875" style="9" customWidth="1"/>
    <col min="14852" max="14852" width="11.26953125" style="9" customWidth="1"/>
    <col min="14853" max="14854" width="12.81640625" style="9" customWidth="1"/>
    <col min="14855" max="14856" width="11" style="9" customWidth="1"/>
    <col min="14857" max="14857" width="11.26953125" style="9" customWidth="1"/>
    <col min="14858" max="14858" width="15.81640625" style="9" customWidth="1"/>
    <col min="14859" max="14859" width="12.1796875" style="9" customWidth="1"/>
    <col min="14860" max="14860" width="11.26953125" style="9" customWidth="1"/>
    <col min="14861" max="14861" width="11.453125" style="9" customWidth="1"/>
    <col min="14862" max="14862" width="13.26953125" style="9" customWidth="1"/>
    <col min="14863" max="14863" width="14.54296875" style="9" customWidth="1"/>
    <col min="14864" max="14865" width="9.1796875" style="9"/>
    <col min="14866" max="14866" width="10.1796875" style="9" bestFit="1" customWidth="1"/>
    <col min="14867" max="15104" width="9.1796875" style="9"/>
    <col min="15105" max="15105" width="2.54296875" style="9" customWidth="1"/>
    <col min="15106" max="15106" width="10.7265625" style="9" customWidth="1"/>
    <col min="15107" max="15107" width="11.1796875" style="9" customWidth="1"/>
    <col min="15108" max="15108" width="11.26953125" style="9" customWidth="1"/>
    <col min="15109" max="15110" width="12.81640625" style="9" customWidth="1"/>
    <col min="15111" max="15112" width="11" style="9" customWidth="1"/>
    <col min="15113" max="15113" width="11.26953125" style="9" customWidth="1"/>
    <col min="15114" max="15114" width="15.81640625" style="9" customWidth="1"/>
    <col min="15115" max="15115" width="12.1796875" style="9" customWidth="1"/>
    <col min="15116" max="15116" width="11.26953125" style="9" customWidth="1"/>
    <col min="15117" max="15117" width="11.453125" style="9" customWidth="1"/>
    <col min="15118" max="15118" width="13.26953125" style="9" customWidth="1"/>
    <col min="15119" max="15119" width="14.54296875" style="9" customWidth="1"/>
    <col min="15120" max="15121" width="9.1796875" style="9"/>
    <col min="15122" max="15122" width="10.1796875" style="9" bestFit="1" customWidth="1"/>
    <col min="15123" max="15360" width="9.1796875" style="9"/>
    <col min="15361" max="15361" width="2.54296875" style="9" customWidth="1"/>
    <col min="15362" max="15362" width="10.7265625" style="9" customWidth="1"/>
    <col min="15363" max="15363" width="11.1796875" style="9" customWidth="1"/>
    <col min="15364" max="15364" width="11.26953125" style="9" customWidth="1"/>
    <col min="15365" max="15366" width="12.81640625" style="9" customWidth="1"/>
    <col min="15367" max="15368" width="11" style="9" customWidth="1"/>
    <col min="15369" max="15369" width="11.26953125" style="9" customWidth="1"/>
    <col min="15370" max="15370" width="15.81640625" style="9" customWidth="1"/>
    <col min="15371" max="15371" width="12.1796875" style="9" customWidth="1"/>
    <col min="15372" max="15372" width="11.26953125" style="9" customWidth="1"/>
    <col min="15373" max="15373" width="11.453125" style="9" customWidth="1"/>
    <col min="15374" max="15374" width="13.26953125" style="9" customWidth="1"/>
    <col min="15375" max="15375" width="14.54296875" style="9" customWidth="1"/>
    <col min="15376" max="15377" width="9.1796875" style="9"/>
    <col min="15378" max="15378" width="10.1796875" style="9" bestFit="1" customWidth="1"/>
    <col min="15379" max="15616" width="9.1796875" style="9"/>
    <col min="15617" max="15617" width="2.54296875" style="9" customWidth="1"/>
    <col min="15618" max="15618" width="10.7265625" style="9" customWidth="1"/>
    <col min="15619" max="15619" width="11.1796875" style="9" customWidth="1"/>
    <col min="15620" max="15620" width="11.26953125" style="9" customWidth="1"/>
    <col min="15621" max="15622" width="12.81640625" style="9" customWidth="1"/>
    <col min="15623" max="15624" width="11" style="9" customWidth="1"/>
    <col min="15625" max="15625" width="11.26953125" style="9" customWidth="1"/>
    <col min="15626" max="15626" width="15.81640625" style="9" customWidth="1"/>
    <col min="15627" max="15627" width="12.1796875" style="9" customWidth="1"/>
    <col min="15628" max="15628" width="11.26953125" style="9" customWidth="1"/>
    <col min="15629" max="15629" width="11.453125" style="9" customWidth="1"/>
    <col min="15630" max="15630" width="13.26953125" style="9" customWidth="1"/>
    <col min="15631" max="15631" width="14.54296875" style="9" customWidth="1"/>
    <col min="15632" max="15633" width="9.1796875" style="9"/>
    <col min="15634" max="15634" width="10.1796875" style="9" bestFit="1" customWidth="1"/>
    <col min="15635" max="15872" width="9.1796875" style="9"/>
    <col min="15873" max="15873" width="2.54296875" style="9" customWidth="1"/>
    <col min="15874" max="15874" width="10.7265625" style="9" customWidth="1"/>
    <col min="15875" max="15875" width="11.1796875" style="9" customWidth="1"/>
    <col min="15876" max="15876" width="11.26953125" style="9" customWidth="1"/>
    <col min="15877" max="15878" width="12.81640625" style="9" customWidth="1"/>
    <col min="15879" max="15880" width="11" style="9" customWidth="1"/>
    <col min="15881" max="15881" width="11.26953125" style="9" customWidth="1"/>
    <col min="15882" max="15882" width="15.81640625" style="9" customWidth="1"/>
    <col min="15883" max="15883" width="12.1796875" style="9" customWidth="1"/>
    <col min="15884" max="15884" width="11.26953125" style="9" customWidth="1"/>
    <col min="15885" max="15885" width="11.453125" style="9" customWidth="1"/>
    <col min="15886" max="15886" width="13.26953125" style="9" customWidth="1"/>
    <col min="15887" max="15887" width="14.54296875" style="9" customWidth="1"/>
    <col min="15888" max="15889" width="9.1796875" style="9"/>
    <col min="15890" max="15890" width="10.1796875" style="9" bestFit="1" customWidth="1"/>
    <col min="15891" max="16128" width="9.1796875" style="9"/>
    <col min="16129" max="16129" width="2.54296875" style="9" customWidth="1"/>
    <col min="16130" max="16130" width="10.7265625" style="9" customWidth="1"/>
    <col min="16131" max="16131" width="11.1796875" style="9" customWidth="1"/>
    <col min="16132" max="16132" width="11.26953125" style="9" customWidth="1"/>
    <col min="16133" max="16134" width="12.81640625" style="9" customWidth="1"/>
    <col min="16135" max="16136" width="11" style="9" customWidth="1"/>
    <col min="16137" max="16137" width="11.26953125" style="9" customWidth="1"/>
    <col min="16138" max="16138" width="15.81640625" style="9" customWidth="1"/>
    <col min="16139" max="16139" width="12.1796875" style="9" customWidth="1"/>
    <col min="16140" max="16140" width="11.26953125" style="9" customWidth="1"/>
    <col min="16141" max="16141" width="11.453125" style="9" customWidth="1"/>
    <col min="16142" max="16142" width="13.26953125" style="9" customWidth="1"/>
    <col min="16143" max="16143" width="14.54296875" style="9" customWidth="1"/>
    <col min="16144" max="16145" width="9.1796875" style="9"/>
    <col min="16146" max="16146" width="10.1796875" style="9" bestFit="1" customWidth="1"/>
    <col min="16147" max="16384" width="9.1796875" style="9"/>
  </cols>
  <sheetData>
    <row r="1" spans="1:23" ht="13.5" thickBot="1" x14ac:dyDescent="0.4">
      <c r="B1" s="162"/>
      <c r="C1" s="162"/>
      <c r="D1" s="162"/>
      <c r="E1" s="162"/>
      <c r="F1" s="162"/>
    </row>
    <row r="2" spans="1:23" s="10" customFormat="1" ht="40" customHeight="1" thickBot="1" x14ac:dyDescent="0.4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" thickBot="1" x14ac:dyDescent="0.4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3" customHeight="1" x14ac:dyDescent="0.25">
      <c r="B4" s="22">
        <v>44197</v>
      </c>
      <c r="C4" s="186">
        <v>16228335</v>
      </c>
      <c r="D4" s="187">
        <v>4463442</v>
      </c>
      <c r="E4" s="188">
        <v>277482</v>
      </c>
      <c r="F4" s="189">
        <v>575904</v>
      </c>
      <c r="G4" s="190">
        <v>225686</v>
      </c>
      <c r="H4" s="191">
        <v>0</v>
      </c>
      <c r="I4" s="191">
        <v>1954</v>
      </c>
      <c r="J4" s="191">
        <v>128</v>
      </c>
      <c r="K4" s="191">
        <v>114</v>
      </c>
      <c r="L4" s="193">
        <v>128</v>
      </c>
      <c r="M4" s="192">
        <v>2196</v>
      </c>
      <c r="Q4" s="20">
        <f>IF(L4="",1,0)</f>
        <v>0</v>
      </c>
    </row>
    <row r="5" spans="1:23" s="10" customFormat="1" ht="13" customHeight="1" x14ac:dyDescent="0.25">
      <c r="B5" s="22">
        <v>44198</v>
      </c>
      <c r="C5" s="186">
        <v>16228335</v>
      </c>
      <c r="D5" s="187">
        <v>4465332</v>
      </c>
      <c r="E5" s="188">
        <v>277603</v>
      </c>
      <c r="F5" s="189">
        <v>576035</v>
      </c>
      <c r="G5" s="190">
        <v>225791</v>
      </c>
      <c r="H5" s="191">
        <v>0</v>
      </c>
      <c r="I5" s="191">
        <v>1890</v>
      </c>
      <c r="J5" s="191">
        <v>121</v>
      </c>
      <c r="K5" s="191">
        <v>131</v>
      </c>
      <c r="L5" s="193">
        <v>105</v>
      </c>
      <c r="M5" s="192">
        <v>2142</v>
      </c>
      <c r="Q5" s="20">
        <f t="shared" ref="Q5:Q69" si="0">IF(L5="",1,0)</f>
        <v>0</v>
      </c>
    </row>
    <row r="6" spans="1:23" s="10" customFormat="1" ht="13" customHeight="1" x14ac:dyDescent="0.25">
      <c r="B6" s="22">
        <v>44199</v>
      </c>
      <c r="C6" s="186">
        <v>16228335</v>
      </c>
      <c r="D6" s="187">
        <v>4467510</v>
      </c>
      <c r="E6" s="188">
        <v>277734</v>
      </c>
      <c r="F6" s="189">
        <v>576163</v>
      </c>
      <c r="G6" s="190">
        <v>225895</v>
      </c>
      <c r="H6" s="191">
        <v>0</v>
      </c>
      <c r="I6" s="191">
        <v>2178</v>
      </c>
      <c r="J6" s="191">
        <v>131</v>
      </c>
      <c r="K6" s="191">
        <v>128</v>
      </c>
      <c r="L6" s="193">
        <v>104</v>
      </c>
      <c r="M6" s="192">
        <v>2437</v>
      </c>
      <c r="Q6" s="20">
        <f t="shared" si="0"/>
        <v>0</v>
      </c>
    </row>
    <row r="7" spans="1:23" s="10" customFormat="1" ht="13" customHeight="1" x14ac:dyDescent="0.25">
      <c r="B7" s="22">
        <v>44200</v>
      </c>
      <c r="C7" s="186">
        <v>16228335</v>
      </c>
      <c r="D7" s="187">
        <v>4469336</v>
      </c>
      <c r="E7" s="188">
        <v>277851</v>
      </c>
      <c r="F7" s="189">
        <v>576303</v>
      </c>
      <c r="G7" s="190">
        <v>226007</v>
      </c>
      <c r="H7" s="191">
        <v>0</v>
      </c>
      <c r="I7" s="191">
        <v>1826</v>
      </c>
      <c r="J7" s="191">
        <v>117</v>
      </c>
      <c r="K7" s="191">
        <v>140</v>
      </c>
      <c r="L7" s="193">
        <v>112</v>
      </c>
      <c r="M7" s="192">
        <v>2083</v>
      </c>
      <c r="Q7" s="20">
        <f t="shared" si="0"/>
        <v>0</v>
      </c>
    </row>
    <row r="8" spans="1:23" s="10" customFormat="1" ht="13" customHeight="1" x14ac:dyDescent="0.25">
      <c r="B8" s="22">
        <v>44201</v>
      </c>
      <c r="C8" s="186">
        <v>16228335</v>
      </c>
      <c r="D8" s="187">
        <v>4471208</v>
      </c>
      <c r="E8" s="188">
        <v>277990</v>
      </c>
      <c r="F8" s="189">
        <v>576427</v>
      </c>
      <c r="G8" s="190">
        <v>226107</v>
      </c>
      <c r="H8" s="191">
        <v>0</v>
      </c>
      <c r="I8" s="191">
        <v>1872</v>
      </c>
      <c r="J8" s="191">
        <v>139</v>
      </c>
      <c r="K8" s="191">
        <v>124</v>
      </c>
      <c r="L8" s="193">
        <v>100</v>
      </c>
      <c r="M8" s="192">
        <v>2135</v>
      </c>
      <c r="Q8" s="20">
        <f t="shared" si="0"/>
        <v>0</v>
      </c>
    </row>
    <row r="9" spans="1:23" s="10" customFormat="1" ht="13" customHeight="1" x14ac:dyDescent="0.25">
      <c r="B9" s="22">
        <v>44202</v>
      </c>
      <c r="C9" s="186">
        <v>16228335</v>
      </c>
      <c r="D9" s="187">
        <v>4473169</v>
      </c>
      <c r="E9" s="188">
        <v>278127</v>
      </c>
      <c r="F9" s="189">
        <v>576529</v>
      </c>
      <c r="G9" s="190">
        <v>226220</v>
      </c>
      <c r="H9" s="191">
        <v>0</v>
      </c>
      <c r="I9" s="191">
        <v>1961</v>
      </c>
      <c r="J9" s="191">
        <v>137</v>
      </c>
      <c r="K9" s="191">
        <v>102</v>
      </c>
      <c r="L9" s="193">
        <v>113</v>
      </c>
      <c r="M9" s="192">
        <v>2200</v>
      </c>
      <c r="Q9" s="20">
        <f t="shared" si="0"/>
        <v>0</v>
      </c>
    </row>
    <row r="10" spans="1:23" s="10" customFormat="1" ht="13" customHeight="1" x14ac:dyDescent="0.25">
      <c r="B10" s="22">
        <v>44203</v>
      </c>
      <c r="C10" s="186">
        <v>16228335</v>
      </c>
      <c r="D10" s="187">
        <v>4474988</v>
      </c>
      <c r="E10" s="188">
        <v>278259</v>
      </c>
      <c r="F10" s="189">
        <v>576653</v>
      </c>
      <c r="G10" s="190">
        <v>226326</v>
      </c>
      <c r="H10" s="191">
        <v>0</v>
      </c>
      <c r="I10" s="191">
        <v>1819</v>
      </c>
      <c r="J10" s="191">
        <v>132</v>
      </c>
      <c r="K10" s="191">
        <v>124</v>
      </c>
      <c r="L10" s="193">
        <v>106</v>
      </c>
      <c r="M10" s="192">
        <v>2075</v>
      </c>
      <c r="Q10" s="20">
        <f t="shared" si="0"/>
        <v>0</v>
      </c>
    </row>
    <row r="11" spans="1:23" s="10" customFormat="1" ht="13" customHeight="1" x14ac:dyDescent="0.25">
      <c r="B11" s="22">
        <v>44204</v>
      </c>
      <c r="C11" s="186">
        <v>16228335</v>
      </c>
      <c r="D11" s="187">
        <v>4476515</v>
      </c>
      <c r="E11" s="188">
        <v>278386</v>
      </c>
      <c r="F11" s="189">
        <v>576784</v>
      </c>
      <c r="G11" s="190">
        <v>226440</v>
      </c>
      <c r="H11" s="191">
        <v>0</v>
      </c>
      <c r="I11" s="191">
        <v>1527</v>
      </c>
      <c r="J11" s="191">
        <v>127</v>
      </c>
      <c r="K11" s="191">
        <v>131</v>
      </c>
      <c r="L11" s="193">
        <v>114</v>
      </c>
      <c r="M11" s="192">
        <v>1785</v>
      </c>
      <c r="Q11" s="20">
        <f t="shared" si="0"/>
        <v>0</v>
      </c>
    </row>
    <row r="12" spans="1:23" s="10" customFormat="1" ht="13" customHeight="1" x14ac:dyDescent="0.25">
      <c r="B12" s="22">
        <v>44205</v>
      </c>
      <c r="C12" s="186">
        <v>16228335</v>
      </c>
      <c r="D12" s="187">
        <v>4478432</v>
      </c>
      <c r="E12" s="188">
        <v>278504</v>
      </c>
      <c r="F12" s="189">
        <v>576904</v>
      </c>
      <c r="G12" s="190">
        <v>226516</v>
      </c>
      <c r="H12" s="191">
        <v>0</v>
      </c>
      <c r="I12" s="191">
        <v>1917</v>
      </c>
      <c r="J12" s="191">
        <v>118</v>
      </c>
      <c r="K12" s="191">
        <v>120</v>
      </c>
      <c r="L12" s="193">
        <v>76</v>
      </c>
      <c r="M12" s="192">
        <v>2155</v>
      </c>
      <c r="O12" s="31"/>
      <c r="Q12" s="20">
        <f t="shared" si="0"/>
        <v>0</v>
      </c>
    </row>
    <row r="13" spans="1:23" s="10" customFormat="1" ht="13" customHeight="1" x14ac:dyDescent="0.25">
      <c r="B13" s="22">
        <v>44206</v>
      </c>
      <c r="C13" s="186">
        <v>16228335</v>
      </c>
      <c r="D13" s="187">
        <v>4480830</v>
      </c>
      <c r="E13" s="188">
        <v>278634</v>
      </c>
      <c r="F13" s="189">
        <v>577018</v>
      </c>
      <c r="G13" s="190">
        <v>226607</v>
      </c>
      <c r="H13" s="191">
        <v>0</v>
      </c>
      <c r="I13" s="191">
        <v>2398</v>
      </c>
      <c r="J13" s="191">
        <v>130</v>
      </c>
      <c r="K13" s="191">
        <v>114</v>
      </c>
      <c r="L13" s="193">
        <v>91</v>
      </c>
      <c r="M13" s="192">
        <v>2642</v>
      </c>
      <c r="Q13" s="20">
        <f t="shared" si="0"/>
        <v>0</v>
      </c>
    </row>
    <row r="14" spans="1:23" s="10" customFormat="1" ht="13" customHeight="1" x14ac:dyDescent="0.25">
      <c r="B14" s="22">
        <v>44207</v>
      </c>
      <c r="C14" s="186">
        <v>16228335</v>
      </c>
      <c r="D14" s="187">
        <v>4482588</v>
      </c>
      <c r="E14" s="188">
        <v>278774</v>
      </c>
      <c r="F14" s="189">
        <v>577125</v>
      </c>
      <c r="G14" s="190">
        <v>226718</v>
      </c>
      <c r="H14" s="191">
        <v>0</v>
      </c>
      <c r="I14" s="191">
        <v>1758</v>
      </c>
      <c r="J14" s="191">
        <v>140</v>
      </c>
      <c r="K14" s="191">
        <v>107</v>
      </c>
      <c r="L14" s="193">
        <v>111</v>
      </c>
      <c r="M14" s="192">
        <v>2005</v>
      </c>
      <c r="Q14" s="20">
        <f t="shared" si="0"/>
        <v>0</v>
      </c>
    </row>
    <row r="15" spans="1:23" s="10" customFormat="1" ht="13" customHeight="1" x14ac:dyDescent="0.25">
      <c r="B15" s="22">
        <v>44208</v>
      </c>
      <c r="C15" s="186">
        <v>16228335</v>
      </c>
      <c r="D15" s="187">
        <v>4484455</v>
      </c>
      <c r="E15" s="188">
        <v>278913</v>
      </c>
      <c r="F15" s="189">
        <v>577236</v>
      </c>
      <c r="G15" s="190">
        <v>226805</v>
      </c>
      <c r="H15" s="191">
        <v>0</v>
      </c>
      <c r="I15" s="191">
        <v>1867</v>
      </c>
      <c r="J15" s="191">
        <v>139</v>
      </c>
      <c r="K15" s="191">
        <v>111</v>
      </c>
      <c r="L15" s="193">
        <v>87</v>
      </c>
      <c r="M15" s="192">
        <v>2117</v>
      </c>
      <c r="Q15" s="20">
        <f t="shared" si="0"/>
        <v>0</v>
      </c>
    </row>
    <row r="16" spans="1:23" s="10" customFormat="1" ht="13" customHeight="1" x14ac:dyDescent="0.25">
      <c r="B16" s="22">
        <v>44209</v>
      </c>
      <c r="C16" s="186">
        <v>16228335</v>
      </c>
      <c r="D16" s="187">
        <v>4487372</v>
      </c>
      <c r="E16" s="188">
        <v>279043</v>
      </c>
      <c r="F16" s="189">
        <v>577331</v>
      </c>
      <c r="G16" s="190">
        <v>226903</v>
      </c>
      <c r="H16" s="191">
        <v>0</v>
      </c>
      <c r="I16" s="191">
        <v>2917</v>
      </c>
      <c r="J16" s="191">
        <v>130</v>
      </c>
      <c r="K16" s="191">
        <v>95</v>
      </c>
      <c r="L16" s="193">
        <v>98</v>
      </c>
      <c r="M16" s="192">
        <v>3142</v>
      </c>
      <c r="Q16" s="20">
        <f t="shared" si="0"/>
        <v>0</v>
      </c>
    </row>
    <row r="17" spans="2:17" s="10" customFormat="1" ht="13" customHeight="1" x14ac:dyDescent="0.25">
      <c r="B17" s="22">
        <v>44210</v>
      </c>
      <c r="C17" s="186">
        <v>16228335</v>
      </c>
      <c r="D17" s="187">
        <v>4490725</v>
      </c>
      <c r="E17" s="188">
        <v>279185</v>
      </c>
      <c r="F17" s="189">
        <v>577439</v>
      </c>
      <c r="G17" s="190">
        <v>227002</v>
      </c>
      <c r="H17" s="191">
        <v>0</v>
      </c>
      <c r="I17" s="191">
        <v>3353</v>
      </c>
      <c r="J17" s="191">
        <v>142</v>
      </c>
      <c r="K17" s="191">
        <v>108</v>
      </c>
      <c r="L17" s="193">
        <v>99</v>
      </c>
      <c r="M17" s="192">
        <v>3603</v>
      </c>
      <c r="Q17" s="20">
        <f t="shared" si="0"/>
        <v>0</v>
      </c>
    </row>
    <row r="18" spans="2:17" s="10" customFormat="1" ht="13" customHeight="1" x14ac:dyDescent="0.25">
      <c r="B18" s="22">
        <v>44211</v>
      </c>
      <c r="C18" s="186">
        <v>16228335</v>
      </c>
      <c r="D18" s="187">
        <v>4494133</v>
      </c>
      <c r="E18" s="188">
        <v>279307</v>
      </c>
      <c r="F18" s="189">
        <v>577577</v>
      </c>
      <c r="G18" s="190">
        <v>227090</v>
      </c>
      <c r="H18" s="191">
        <v>0</v>
      </c>
      <c r="I18" s="191">
        <v>3408</v>
      </c>
      <c r="J18" s="191">
        <v>122</v>
      </c>
      <c r="K18" s="191">
        <v>138</v>
      </c>
      <c r="L18" s="193">
        <v>88</v>
      </c>
      <c r="M18" s="192">
        <v>3668</v>
      </c>
      <c r="Q18" s="20">
        <f t="shared" si="0"/>
        <v>0</v>
      </c>
    </row>
    <row r="19" spans="2:17" s="10" customFormat="1" ht="13" customHeight="1" x14ac:dyDescent="0.25">
      <c r="B19" s="22">
        <v>44212</v>
      </c>
      <c r="C19" s="186">
        <v>16228335</v>
      </c>
      <c r="D19" s="187">
        <v>4497609</v>
      </c>
      <c r="E19" s="188">
        <v>279439</v>
      </c>
      <c r="F19" s="189">
        <v>577683</v>
      </c>
      <c r="G19" s="190">
        <v>227174</v>
      </c>
      <c r="H19" s="191">
        <v>0</v>
      </c>
      <c r="I19" s="191">
        <v>3476</v>
      </c>
      <c r="J19" s="191">
        <v>132</v>
      </c>
      <c r="K19" s="191">
        <v>106</v>
      </c>
      <c r="L19" s="193">
        <v>84</v>
      </c>
      <c r="M19" s="192">
        <v>3714</v>
      </c>
      <c r="Q19" s="20">
        <f t="shared" si="0"/>
        <v>0</v>
      </c>
    </row>
    <row r="20" spans="2:17" s="10" customFormat="1" ht="13" customHeight="1" x14ac:dyDescent="0.25">
      <c r="B20" s="22">
        <v>44213</v>
      </c>
      <c r="C20" s="186">
        <v>16228335</v>
      </c>
      <c r="D20" s="187">
        <v>4501910</v>
      </c>
      <c r="E20" s="188">
        <v>279564</v>
      </c>
      <c r="F20" s="189">
        <v>577761</v>
      </c>
      <c r="G20" s="190">
        <v>227241</v>
      </c>
      <c r="H20" s="191">
        <v>0</v>
      </c>
      <c r="I20" s="191">
        <v>4301</v>
      </c>
      <c r="J20" s="191">
        <v>125</v>
      </c>
      <c r="K20" s="191">
        <v>78</v>
      </c>
      <c r="L20" s="193">
        <v>67</v>
      </c>
      <c r="M20" s="192">
        <v>4504</v>
      </c>
      <c r="Q20" s="20">
        <f t="shared" si="0"/>
        <v>0</v>
      </c>
    </row>
    <row r="21" spans="2:17" s="10" customFormat="1" ht="13" customHeight="1" x14ac:dyDescent="0.25">
      <c r="B21" s="22">
        <v>44214</v>
      </c>
      <c r="C21" s="186">
        <v>16228335</v>
      </c>
      <c r="D21" s="187">
        <v>4506254</v>
      </c>
      <c r="E21" s="188">
        <v>279689</v>
      </c>
      <c r="F21" s="189">
        <v>577873</v>
      </c>
      <c r="G21" s="190">
        <v>227336</v>
      </c>
      <c r="H21" s="191">
        <v>0</v>
      </c>
      <c r="I21" s="191">
        <v>4344</v>
      </c>
      <c r="J21" s="191">
        <v>125</v>
      </c>
      <c r="K21" s="191">
        <v>112</v>
      </c>
      <c r="L21" s="193">
        <v>95</v>
      </c>
      <c r="M21" s="192">
        <v>4581</v>
      </c>
      <c r="Q21" s="20">
        <f t="shared" si="0"/>
        <v>0</v>
      </c>
    </row>
    <row r="22" spans="2:17" s="10" customFormat="1" ht="13" customHeight="1" x14ac:dyDescent="0.25">
      <c r="B22" s="22">
        <v>44215</v>
      </c>
      <c r="C22" s="186">
        <v>16228335</v>
      </c>
      <c r="D22" s="187">
        <v>4510552</v>
      </c>
      <c r="E22" s="188">
        <v>279807</v>
      </c>
      <c r="F22" s="189">
        <v>577962</v>
      </c>
      <c r="G22" s="190">
        <v>227420</v>
      </c>
      <c r="H22" s="191">
        <v>0</v>
      </c>
      <c r="I22" s="191">
        <v>4298</v>
      </c>
      <c r="J22" s="191">
        <v>118</v>
      </c>
      <c r="K22" s="191">
        <v>89</v>
      </c>
      <c r="L22" s="193">
        <v>84</v>
      </c>
      <c r="M22" s="192">
        <v>4505</v>
      </c>
      <c r="Q22" s="20">
        <f t="shared" si="0"/>
        <v>0</v>
      </c>
    </row>
    <row r="23" spans="2:17" s="10" customFormat="1" ht="13" customHeight="1" x14ac:dyDescent="0.25">
      <c r="B23" s="22">
        <v>44216</v>
      </c>
      <c r="C23" s="186">
        <v>16228335</v>
      </c>
      <c r="D23" s="187">
        <v>4514006</v>
      </c>
      <c r="E23" s="188">
        <v>279917</v>
      </c>
      <c r="F23" s="189">
        <v>578052</v>
      </c>
      <c r="G23" s="190">
        <v>227509</v>
      </c>
      <c r="H23" s="191">
        <v>0</v>
      </c>
      <c r="I23" s="191">
        <v>3454</v>
      </c>
      <c r="J23" s="191">
        <v>110</v>
      </c>
      <c r="K23" s="191">
        <v>90</v>
      </c>
      <c r="L23" s="193">
        <v>89</v>
      </c>
      <c r="M23" s="192">
        <v>3654</v>
      </c>
      <c r="Q23" s="20">
        <f t="shared" si="0"/>
        <v>0</v>
      </c>
    </row>
    <row r="24" spans="2:17" s="10" customFormat="1" ht="13" customHeight="1" thickBot="1" x14ac:dyDescent="0.3">
      <c r="B24" s="22">
        <v>44217</v>
      </c>
      <c r="C24" s="186">
        <v>16228335</v>
      </c>
      <c r="D24" s="187">
        <v>4517220</v>
      </c>
      <c r="E24" s="188">
        <v>280051</v>
      </c>
      <c r="F24" s="189">
        <v>578160</v>
      </c>
      <c r="G24" s="190">
        <v>227610</v>
      </c>
      <c r="H24" s="191">
        <v>0</v>
      </c>
      <c r="I24" s="191">
        <v>3214</v>
      </c>
      <c r="J24" s="191">
        <v>134</v>
      </c>
      <c r="K24" s="191">
        <v>108</v>
      </c>
      <c r="L24" s="193">
        <v>101</v>
      </c>
      <c r="M24" s="192">
        <v>3456</v>
      </c>
      <c r="Q24" s="20">
        <f t="shared" si="0"/>
        <v>0</v>
      </c>
    </row>
    <row r="25" spans="2:17" s="10" customFormat="1" ht="13" customHeight="1" x14ac:dyDescent="0.25">
      <c r="B25" s="22">
        <v>44218</v>
      </c>
      <c r="C25" s="186">
        <v>16228335</v>
      </c>
      <c r="D25" s="187">
        <v>4519533</v>
      </c>
      <c r="E25" s="188">
        <v>280158</v>
      </c>
      <c r="F25" s="189">
        <v>578273</v>
      </c>
      <c r="G25" s="190">
        <v>227717</v>
      </c>
      <c r="H25" s="191">
        <v>0</v>
      </c>
      <c r="I25" s="191">
        <v>2313</v>
      </c>
      <c r="J25" s="191">
        <v>107</v>
      </c>
      <c r="K25" s="191">
        <v>113</v>
      </c>
      <c r="L25" s="193">
        <v>107</v>
      </c>
      <c r="M25" s="192">
        <v>2533</v>
      </c>
      <c r="N25" s="159" t="s">
        <v>21</v>
      </c>
      <c r="O25" s="159" t="s">
        <v>22</v>
      </c>
      <c r="Q25" s="20">
        <f t="shared" si="0"/>
        <v>0</v>
      </c>
    </row>
    <row r="26" spans="2:17" s="10" customFormat="1" ht="13" customHeight="1" x14ac:dyDescent="0.25">
      <c r="B26" s="22">
        <v>44219</v>
      </c>
      <c r="C26" s="186">
        <v>16228335</v>
      </c>
      <c r="D26" s="187">
        <v>4521970</v>
      </c>
      <c r="E26" s="188">
        <v>280289</v>
      </c>
      <c r="F26" s="189">
        <v>578391</v>
      </c>
      <c r="G26" s="190">
        <v>227832</v>
      </c>
      <c r="H26" s="191">
        <v>0</v>
      </c>
      <c r="I26" s="191">
        <v>2437</v>
      </c>
      <c r="J26" s="191">
        <v>131</v>
      </c>
      <c r="K26" s="191">
        <v>118</v>
      </c>
      <c r="L26" s="193">
        <v>115</v>
      </c>
      <c r="M26" s="192">
        <v>2686</v>
      </c>
      <c r="N26" s="160"/>
      <c r="O26" s="160"/>
      <c r="Q26" s="20">
        <f t="shared" si="0"/>
        <v>0</v>
      </c>
    </row>
    <row r="27" spans="2:17" s="10" customFormat="1" ht="13" customHeight="1" thickBot="1" x14ac:dyDescent="0.3">
      <c r="B27" s="22">
        <v>44220</v>
      </c>
      <c r="C27" s="186">
        <v>16228335</v>
      </c>
      <c r="D27" s="187">
        <v>4524269</v>
      </c>
      <c r="E27" s="188">
        <v>280407</v>
      </c>
      <c r="F27" s="189">
        <v>578505</v>
      </c>
      <c r="G27" s="190">
        <v>227920</v>
      </c>
      <c r="H27" s="191">
        <v>0</v>
      </c>
      <c r="I27" s="191">
        <v>2299</v>
      </c>
      <c r="J27" s="191">
        <v>118</v>
      </c>
      <c r="K27" s="191">
        <v>114</v>
      </c>
      <c r="L27" s="193">
        <v>88</v>
      </c>
      <c r="M27" s="192">
        <v>2531</v>
      </c>
      <c r="N27" s="161"/>
      <c r="O27" s="161"/>
      <c r="Q27" s="20">
        <f t="shared" si="0"/>
        <v>0</v>
      </c>
    </row>
    <row r="28" spans="2:17" s="10" customFormat="1" ht="13" customHeight="1" thickBot="1" x14ac:dyDescent="0.3">
      <c r="B28" s="22">
        <v>44221</v>
      </c>
      <c r="C28" s="186">
        <v>16228335</v>
      </c>
      <c r="D28" s="187">
        <v>4526764</v>
      </c>
      <c r="E28" s="188">
        <v>280553</v>
      </c>
      <c r="F28" s="189">
        <v>578615</v>
      </c>
      <c r="G28" s="190">
        <v>228007</v>
      </c>
      <c r="H28" s="191">
        <v>0</v>
      </c>
      <c r="I28" s="191">
        <v>2495</v>
      </c>
      <c r="J28" s="191">
        <v>146</v>
      </c>
      <c r="K28" s="191">
        <v>110</v>
      </c>
      <c r="L28" s="193">
        <v>87</v>
      </c>
      <c r="M28" s="19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3" customHeight="1" x14ac:dyDescent="0.25">
      <c r="B29" s="22">
        <v>44222</v>
      </c>
      <c r="C29" s="186">
        <v>16228335</v>
      </c>
      <c r="D29" s="187">
        <v>4529086</v>
      </c>
      <c r="E29" s="188">
        <v>280686</v>
      </c>
      <c r="F29" s="189">
        <v>578736</v>
      </c>
      <c r="G29" s="190">
        <v>228111</v>
      </c>
      <c r="H29" s="191">
        <v>0</v>
      </c>
      <c r="I29" s="191">
        <v>2322</v>
      </c>
      <c r="J29" s="191">
        <v>133</v>
      </c>
      <c r="K29" s="191">
        <v>121</v>
      </c>
      <c r="L29" s="193">
        <v>104</v>
      </c>
      <c r="M29" s="192">
        <v>2576</v>
      </c>
      <c r="N29" s="159" t="s">
        <v>23</v>
      </c>
      <c r="O29" s="159" t="s">
        <v>24</v>
      </c>
      <c r="Q29" s="20">
        <f t="shared" si="0"/>
        <v>0</v>
      </c>
    </row>
    <row r="30" spans="2:17" s="10" customFormat="1" ht="13" customHeight="1" thickBot="1" x14ac:dyDescent="0.3">
      <c r="B30" s="22">
        <v>44223</v>
      </c>
      <c r="C30" s="186">
        <v>16228335</v>
      </c>
      <c r="D30" s="187">
        <v>4532734</v>
      </c>
      <c r="E30" s="188">
        <v>280825</v>
      </c>
      <c r="F30" s="189">
        <v>578859</v>
      </c>
      <c r="G30" s="190">
        <v>228202</v>
      </c>
      <c r="H30" s="191">
        <v>0</v>
      </c>
      <c r="I30" s="191">
        <v>3648</v>
      </c>
      <c r="J30" s="191">
        <v>139</v>
      </c>
      <c r="K30" s="191">
        <v>123</v>
      </c>
      <c r="L30" s="193">
        <v>91</v>
      </c>
      <c r="M30" s="192">
        <v>3910</v>
      </c>
      <c r="N30" s="161"/>
      <c r="O30" s="161"/>
      <c r="Q30" s="20">
        <f t="shared" si="0"/>
        <v>0</v>
      </c>
    </row>
    <row r="31" spans="2:17" s="10" customFormat="1" ht="13" customHeight="1" thickBot="1" x14ac:dyDescent="0.3">
      <c r="B31" s="22">
        <v>44224</v>
      </c>
      <c r="C31" s="186">
        <v>16228335</v>
      </c>
      <c r="D31" s="187">
        <v>4536383</v>
      </c>
      <c r="E31" s="188">
        <v>280976</v>
      </c>
      <c r="F31" s="189">
        <v>578983</v>
      </c>
      <c r="G31" s="190">
        <v>228316</v>
      </c>
      <c r="H31" s="191">
        <v>0</v>
      </c>
      <c r="I31" s="191">
        <v>3649</v>
      </c>
      <c r="J31" s="191">
        <v>151</v>
      </c>
      <c r="K31" s="191">
        <v>124</v>
      </c>
      <c r="L31" s="193">
        <v>114</v>
      </c>
      <c r="M31" s="19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3" customHeight="1" x14ac:dyDescent="0.25">
      <c r="B32" s="22">
        <v>44225</v>
      </c>
      <c r="C32" s="186">
        <v>16228335</v>
      </c>
      <c r="D32" s="187">
        <v>4539594</v>
      </c>
      <c r="E32" s="188">
        <v>281116</v>
      </c>
      <c r="F32" s="189">
        <v>579121</v>
      </c>
      <c r="G32" s="190">
        <v>228427</v>
      </c>
      <c r="H32" s="191">
        <v>0</v>
      </c>
      <c r="I32" s="191">
        <v>3211</v>
      </c>
      <c r="J32" s="191">
        <v>140</v>
      </c>
      <c r="K32" s="191">
        <v>138</v>
      </c>
      <c r="L32" s="193">
        <v>111</v>
      </c>
      <c r="M32" s="192">
        <v>3489</v>
      </c>
      <c r="O32" s="20">
        <f>IF(L32="",1,0)</f>
        <v>0</v>
      </c>
    </row>
    <row r="33" spans="2:17" s="10" customFormat="1" ht="13" customHeight="1" x14ac:dyDescent="0.25">
      <c r="B33" s="22">
        <v>44226</v>
      </c>
      <c r="C33" s="186">
        <v>16228335</v>
      </c>
      <c r="D33" s="187">
        <v>4542176</v>
      </c>
      <c r="E33" s="188">
        <v>281242</v>
      </c>
      <c r="F33" s="189">
        <v>579234</v>
      </c>
      <c r="G33" s="190">
        <v>228513</v>
      </c>
      <c r="H33" s="191">
        <v>0</v>
      </c>
      <c r="I33" s="191">
        <v>2582</v>
      </c>
      <c r="J33" s="191">
        <v>126</v>
      </c>
      <c r="K33" s="191">
        <v>113</v>
      </c>
      <c r="L33" s="193">
        <v>86</v>
      </c>
      <c r="M33" s="192">
        <v>2821</v>
      </c>
      <c r="O33" s="20">
        <f>IF(L33="",1,0)</f>
        <v>0</v>
      </c>
    </row>
    <row r="34" spans="2:17" s="10" customFormat="1" ht="13" customHeight="1" x14ac:dyDescent="0.25">
      <c r="B34" s="22">
        <v>44227</v>
      </c>
      <c r="C34" s="194">
        <v>16228335</v>
      </c>
      <c r="D34" s="184">
        <v>4544555</v>
      </c>
      <c r="E34" s="184">
        <v>281363</v>
      </c>
      <c r="F34" s="184">
        <v>579343</v>
      </c>
      <c r="G34" s="184">
        <v>228592</v>
      </c>
      <c r="H34" s="185">
        <v>0</v>
      </c>
      <c r="I34" s="185">
        <v>2379</v>
      </c>
      <c r="J34" s="185">
        <v>121</v>
      </c>
      <c r="K34" s="185">
        <v>109</v>
      </c>
      <c r="L34" s="195">
        <v>79</v>
      </c>
      <c r="M34" s="196">
        <v>2609</v>
      </c>
      <c r="N34" s="9"/>
      <c r="O34" s="9"/>
      <c r="Q34" s="20">
        <f t="shared" si="0"/>
        <v>0</v>
      </c>
    </row>
    <row r="35" spans="2:17" s="10" customFormat="1" ht="13" customHeight="1" x14ac:dyDescent="0.25">
      <c r="B35" s="22">
        <v>44228</v>
      </c>
      <c r="C35" s="186">
        <v>16228335</v>
      </c>
      <c r="D35" s="187">
        <v>4546448</v>
      </c>
      <c r="E35" s="188">
        <v>281482</v>
      </c>
      <c r="F35" s="189">
        <v>579448</v>
      </c>
      <c r="G35" s="190">
        <v>228680</v>
      </c>
      <c r="H35" s="191">
        <v>0</v>
      </c>
      <c r="I35" s="191">
        <v>1893</v>
      </c>
      <c r="J35" s="191">
        <v>119</v>
      </c>
      <c r="K35" s="191">
        <v>105</v>
      </c>
      <c r="L35" s="193">
        <v>88</v>
      </c>
      <c r="M35" s="192">
        <v>2117</v>
      </c>
      <c r="N35" s="9"/>
      <c r="O35" s="9"/>
      <c r="Q35" s="20"/>
    </row>
    <row r="36" spans="2:17" ht="13" customHeight="1" x14ac:dyDescent="0.25">
      <c r="B36" s="22">
        <v>44229</v>
      </c>
      <c r="C36" s="186">
        <v>16228335</v>
      </c>
      <c r="D36" s="187">
        <v>4548532</v>
      </c>
      <c r="E36" s="188">
        <v>281601</v>
      </c>
      <c r="F36" s="189">
        <v>579542</v>
      </c>
      <c r="G36" s="190">
        <v>228806</v>
      </c>
      <c r="H36" s="191">
        <v>0</v>
      </c>
      <c r="I36" s="191">
        <v>2084</v>
      </c>
      <c r="J36" s="191">
        <v>119</v>
      </c>
      <c r="K36" s="191">
        <v>94</v>
      </c>
      <c r="L36" s="193">
        <v>126</v>
      </c>
      <c r="M36" s="192">
        <v>2297</v>
      </c>
      <c r="Q36" s="20">
        <f t="shared" si="0"/>
        <v>0</v>
      </c>
    </row>
    <row r="37" spans="2:17" ht="13" customHeight="1" x14ac:dyDescent="0.25">
      <c r="B37" s="22">
        <v>44230</v>
      </c>
      <c r="C37" s="186">
        <v>16228335</v>
      </c>
      <c r="D37" s="187">
        <v>4550676</v>
      </c>
      <c r="E37" s="188">
        <v>281742</v>
      </c>
      <c r="F37" s="189">
        <v>579654</v>
      </c>
      <c r="G37" s="190">
        <v>228977</v>
      </c>
      <c r="H37" s="191">
        <v>0</v>
      </c>
      <c r="I37" s="191">
        <v>2144</v>
      </c>
      <c r="J37" s="191">
        <v>141</v>
      </c>
      <c r="K37" s="191">
        <v>112</v>
      </c>
      <c r="L37" s="193">
        <v>171</v>
      </c>
      <c r="M37" s="192">
        <v>2397</v>
      </c>
      <c r="Q37" s="20">
        <f t="shared" si="0"/>
        <v>0</v>
      </c>
    </row>
    <row r="38" spans="2:17" ht="13" customHeight="1" x14ac:dyDescent="0.25">
      <c r="B38" s="22">
        <v>44231</v>
      </c>
      <c r="C38" s="186">
        <v>16228335</v>
      </c>
      <c r="D38" s="187">
        <v>4552886</v>
      </c>
      <c r="E38" s="188">
        <v>281882</v>
      </c>
      <c r="F38" s="189">
        <v>579760</v>
      </c>
      <c r="G38" s="190">
        <v>229131</v>
      </c>
      <c r="H38" s="191">
        <v>0</v>
      </c>
      <c r="I38" s="191">
        <v>2210</v>
      </c>
      <c r="J38" s="191">
        <v>140</v>
      </c>
      <c r="K38" s="191">
        <v>106</v>
      </c>
      <c r="L38" s="193">
        <v>154</v>
      </c>
      <c r="M38" s="192">
        <v>2456</v>
      </c>
      <c r="Q38" s="20">
        <f t="shared" si="0"/>
        <v>0</v>
      </c>
    </row>
    <row r="39" spans="2:17" ht="13" customHeight="1" x14ac:dyDescent="0.25">
      <c r="B39" s="22">
        <v>44232</v>
      </c>
      <c r="C39" s="186">
        <v>16228335</v>
      </c>
      <c r="D39" s="187">
        <v>4555153</v>
      </c>
      <c r="E39" s="188">
        <v>282033</v>
      </c>
      <c r="F39" s="189">
        <v>579891</v>
      </c>
      <c r="G39" s="190">
        <v>229262</v>
      </c>
      <c r="H39" s="191">
        <v>0</v>
      </c>
      <c r="I39" s="191">
        <v>2267</v>
      </c>
      <c r="J39" s="191">
        <v>151</v>
      </c>
      <c r="K39" s="191">
        <v>131</v>
      </c>
      <c r="L39" s="193">
        <v>131</v>
      </c>
      <c r="M39" s="192">
        <v>2549</v>
      </c>
      <c r="Q39" s="20">
        <f t="shared" si="0"/>
        <v>0</v>
      </c>
    </row>
    <row r="40" spans="2:17" ht="13" customHeight="1" x14ac:dyDescent="0.25">
      <c r="B40" s="22">
        <v>44233</v>
      </c>
      <c r="C40" s="186">
        <v>16228335</v>
      </c>
      <c r="D40" s="187">
        <v>4557430</v>
      </c>
      <c r="E40" s="188">
        <v>282160</v>
      </c>
      <c r="F40" s="189">
        <v>580030</v>
      </c>
      <c r="G40" s="190">
        <v>229393</v>
      </c>
      <c r="H40" s="191">
        <v>0</v>
      </c>
      <c r="I40" s="191">
        <v>2277</v>
      </c>
      <c r="J40" s="191">
        <v>127</v>
      </c>
      <c r="K40" s="191">
        <v>139</v>
      </c>
      <c r="L40" s="193">
        <v>131</v>
      </c>
      <c r="M40" s="192">
        <v>2543</v>
      </c>
      <c r="Q40" s="20">
        <f t="shared" si="0"/>
        <v>0</v>
      </c>
    </row>
    <row r="41" spans="2:17" ht="13" customHeight="1" x14ac:dyDescent="0.25">
      <c r="B41" s="22">
        <v>44234</v>
      </c>
      <c r="C41" s="186">
        <v>16228335</v>
      </c>
      <c r="D41" s="187">
        <v>4559442</v>
      </c>
      <c r="E41" s="188">
        <v>282285</v>
      </c>
      <c r="F41" s="189">
        <v>580173</v>
      </c>
      <c r="G41" s="190">
        <v>229516</v>
      </c>
      <c r="H41" s="191">
        <v>0</v>
      </c>
      <c r="I41" s="191">
        <v>2012</v>
      </c>
      <c r="J41" s="191">
        <v>125</v>
      </c>
      <c r="K41" s="191">
        <v>143</v>
      </c>
      <c r="L41" s="193">
        <v>123</v>
      </c>
      <c r="M41" s="192">
        <v>2280</v>
      </c>
      <c r="Q41" s="20">
        <f t="shared" si="0"/>
        <v>0</v>
      </c>
    </row>
    <row r="42" spans="2:17" ht="13" customHeight="1" x14ac:dyDescent="0.25">
      <c r="B42" s="22">
        <v>44235</v>
      </c>
      <c r="C42" s="186">
        <v>16228335</v>
      </c>
      <c r="D42" s="187">
        <v>4561022</v>
      </c>
      <c r="E42" s="188">
        <v>282439</v>
      </c>
      <c r="F42" s="189">
        <v>580311</v>
      </c>
      <c r="G42" s="190">
        <v>229611</v>
      </c>
      <c r="H42" s="191">
        <v>0</v>
      </c>
      <c r="I42" s="191">
        <v>1580</v>
      </c>
      <c r="J42" s="191">
        <v>154</v>
      </c>
      <c r="K42" s="191">
        <v>138</v>
      </c>
      <c r="L42" s="193">
        <v>95</v>
      </c>
      <c r="M42" s="192">
        <v>1872</v>
      </c>
      <c r="Q42" s="20">
        <f t="shared" si="0"/>
        <v>0</v>
      </c>
    </row>
    <row r="43" spans="2:17" ht="13" customHeight="1" x14ac:dyDescent="0.25">
      <c r="B43" s="22">
        <v>44236</v>
      </c>
      <c r="C43" s="186">
        <v>16228335</v>
      </c>
      <c r="D43" s="187">
        <v>4562745</v>
      </c>
      <c r="E43" s="188">
        <v>282581</v>
      </c>
      <c r="F43" s="189">
        <v>580422</v>
      </c>
      <c r="G43" s="190">
        <v>229710</v>
      </c>
      <c r="H43" s="191">
        <v>0</v>
      </c>
      <c r="I43" s="191">
        <v>1723</v>
      </c>
      <c r="J43" s="191">
        <v>142</v>
      </c>
      <c r="K43" s="191">
        <v>111</v>
      </c>
      <c r="L43" s="193">
        <v>99</v>
      </c>
      <c r="M43" s="192">
        <v>1976</v>
      </c>
      <c r="Q43" s="20">
        <f t="shared" si="0"/>
        <v>0</v>
      </c>
    </row>
    <row r="44" spans="2:17" ht="13" customHeight="1" x14ac:dyDescent="0.25">
      <c r="B44" s="22">
        <v>44237</v>
      </c>
      <c r="C44" s="186">
        <v>16228335</v>
      </c>
      <c r="D44" s="187">
        <v>4564656</v>
      </c>
      <c r="E44" s="188">
        <v>282701</v>
      </c>
      <c r="F44" s="189">
        <v>580551</v>
      </c>
      <c r="G44" s="190">
        <v>229812</v>
      </c>
      <c r="H44" s="191">
        <v>0</v>
      </c>
      <c r="I44" s="191">
        <v>1911</v>
      </c>
      <c r="J44" s="191">
        <v>120</v>
      </c>
      <c r="K44" s="191">
        <v>129</v>
      </c>
      <c r="L44" s="193">
        <v>102</v>
      </c>
      <c r="M44" s="192">
        <v>2160</v>
      </c>
      <c r="Q44" s="20">
        <f t="shared" si="0"/>
        <v>0</v>
      </c>
    </row>
    <row r="45" spans="2:17" ht="13" customHeight="1" x14ac:dyDescent="0.25">
      <c r="B45" s="22">
        <v>44238</v>
      </c>
      <c r="C45" s="186">
        <v>16228335</v>
      </c>
      <c r="D45" s="187">
        <v>4566425</v>
      </c>
      <c r="E45" s="188">
        <v>282827</v>
      </c>
      <c r="F45" s="189">
        <v>580680</v>
      </c>
      <c r="G45" s="190">
        <v>229984</v>
      </c>
      <c r="H45" s="191">
        <v>0</v>
      </c>
      <c r="I45" s="191">
        <v>1769</v>
      </c>
      <c r="J45" s="191">
        <v>126</v>
      </c>
      <c r="K45" s="191">
        <v>129</v>
      </c>
      <c r="L45" s="193">
        <v>172</v>
      </c>
      <c r="M45" s="192">
        <v>2024</v>
      </c>
      <c r="Q45" s="20">
        <f t="shared" si="0"/>
        <v>0</v>
      </c>
    </row>
    <row r="46" spans="2:17" ht="13" customHeight="1" x14ac:dyDescent="0.25">
      <c r="B46" s="22">
        <v>44239</v>
      </c>
      <c r="C46" s="186">
        <v>16228335</v>
      </c>
      <c r="D46" s="187">
        <v>4569862</v>
      </c>
      <c r="E46" s="188">
        <v>282962</v>
      </c>
      <c r="F46" s="189">
        <v>580824</v>
      </c>
      <c r="G46" s="190">
        <v>230106</v>
      </c>
      <c r="H46" s="191">
        <v>0</v>
      </c>
      <c r="I46" s="191">
        <v>3437</v>
      </c>
      <c r="J46" s="191">
        <v>135</v>
      </c>
      <c r="K46" s="191">
        <v>144</v>
      </c>
      <c r="L46" s="193">
        <v>122</v>
      </c>
      <c r="M46" s="192">
        <v>3716</v>
      </c>
      <c r="Q46" s="20">
        <f t="shared" si="0"/>
        <v>0</v>
      </c>
    </row>
    <row r="47" spans="2:17" ht="13" customHeight="1" x14ac:dyDescent="0.25">
      <c r="B47" s="22">
        <v>44240</v>
      </c>
      <c r="C47" s="186">
        <v>16228335</v>
      </c>
      <c r="D47" s="187">
        <v>4573447</v>
      </c>
      <c r="E47" s="188">
        <v>283081</v>
      </c>
      <c r="F47" s="189">
        <v>580933</v>
      </c>
      <c r="G47" s="190">
        <v>230295</v>
      </c>
      <c r="H47" s="191">
        <v>0</v>
      </c>
      <c r="I47" s="191">
        <v>3585</v>
      </c>
      <c r="J47" s="191">
        <v>119</v>
      </c>
      <c r="K47" s="191">
        <v>109</v>
      </c>
      <c r="L47" s="193">
        <v>189</v>
      </c>
      <c r="M47" s="192">
        <v>3813</v>
      </c>
      <c r="Q47" s="20">
        <f t="shared" si="0"/>
        <v>0</v>
      </c>
    </row>
    <row r="48" spans="2:17" ht="13" customHeight="1" x14ac:dyDescent="0.25">
      <c r="B48" s="22">
        <v>44241</v>
      </c>
      <c r="C48" s="186">
        <v>16228335</v>
      </c>
      <c r="D48" s="187">
        <v>4577765</v>
      </c>
      <c r="E48" s="188">
        <v>283222</v>
      </c>
      <c r="F48" s="189">
        <v>581063</v>
      </c>
      <c r="G48" s="190">
        <v>230373</v>
      </c>
      <c r="H48" s="191">
        <v>0</v>
      </c>
      <c r="I48" s="191">
        <v>4318</v>
      </c>
      <c r="J48" s="191">
        <v>141</v>
      </c>
      <c r="K48" s="191">
        <v>130</v>
      </c>
      <c r="L48" s="193">
        <v>78</v>
      </c>
      <c r="M48" s="192">
        <v>4589</v>
      </c>
      <c r="Q48" s="20">
        <f t="shared" si="0"/>
        <v>0</v>
      </c>
    </row>
    <row r="49" spans="2:17" ht="13" customHeight="1" x14ac:dyDescent="0.25">
      <c r="B49" s="22">
        <v>44242</v>
      </c>
      <c r="C49" s="186">
        <v>16228335</v>
      </c>
      <c r="D49" s="187">
        <v>4581994</v>
      </c>
      <c r="E49" s="188">
        <v>283360</v>
      </c>
      <c r="F49" s="189">
        <v>581236</v>
      </c>
      <c r="G49" s="190">
        <v>230392</v>
      </c>
      <c r="H49" s="191">
        <v>0</v>
      </c>
      <c r="I49" s="191">
        <v>4229</v>
      </c>
      <c r="J49" s="191">
        <v>138</v>
      </c>
      <c r="K49" s="191">
        <v>173</v>
      </c>
      <c r="L49" s="193">
        <v>19</v>
      </c>
      <c r="M49" s="192">
        <v>4540</v>
      </c>
      <c r="Q49" s="20">
        <f t="shared" si="0"/>
        <v>0</v>
      </c>
    </row>
    <row r="50" spans="2:17" ht="13" customHeight="1" x14ac:dyDescent="0.25">
      <c r="B50" s="22">
        <v>44243</v>
      </c>
      <c r="C50" s="186">
        <v>16228335</v>
      </c>
      <c r="D50" s="187">
        <v>4586195</v>
      </c>
      <c r="E50" s="188">
        <v>283494</v>
      </c>
      <c r="F50" s="189">
        <v>581383</v>
      </c>
      <c r="G50" s="190">
        <v>230401</v>
      </c>
      <c r="H50" s="191">
        <v>0</v>
      </c>
      <c r="I50" s="191">
        <v>4201</v>
      </c>
      <c r="J50" s="191">
        <v>134</v>
      </c>
      <c r="K50" s="191">
        <v>147</v>
      </c>
      <c r="L50" s="193">
        <v>9</v>
      </c>
      <c r="M50" s="192">
        <v>4482</v>
      </c>
      <c r="Q50" s="20">
        <f t="shared" si="0"/>
        <v>0</v>
      </c>
    </row>
    <row r="51" spans="2:17" ht="13" customHeight="1" x14ac:dyDescent="0.25">
      <c r="B51" s="22">
        <v>44244</v>
      </c>
      <c r="C51" s="186">
        <v>16228335</v>
      </c>
      <c r="D51" s="187">
        <v>4590465</v>
      </c>
      <c r="E51" s="188">
        <v>283646</v>
      </c>
      <c r="F51" s="189">
        <v>581523</v>
      </c>
      <c r="G51" s="190">
        <v>230580</v>
      </c>
      <c r="H51" s="191">
        <v>0</v>
      </c>
      <c r="I51" s="191">
        <v>4270</v>
      </c>
      <c r="J51" s="191">
        <v>152</v>
      </c>
      <c r="K51" s="191">
        <v>140</v>
      </c>
      <c r="L51" s="193">
        <v>179</v>
      </c>
      <c r="M51" s="192">
        <v>4562</v>
      </c>
      <c r="Q51" s="20">
        <f t="shared" si="0"/>
        <v>0</v>
      </c>
    </row>
    <row r="52" spans="2:17" ht="13" customHeight="1" thickBot="1" x14ac:dyDescent="0.3">
      <c r="B52" s="22">
        <v>44245</v>
      </c>
      <c r="C52" s="186">
        <v>16228335</v>
      </c>
      <c r="D52" s="187">
        <v>4594466</v>
      </c>
      <c r="E52" s="188">
        <v>283813</v>
      </c>
      <c r="F52" s="189">
        <v>581645</v>
      </c>
      <c r="G52" s="190">
        <v>230926</v>
      </c>
      <c r="H52" s="191">
        <v>0</v>
      </c>
      <c r="I52" s="191">
        <v>4001</v>
      </c>
      <c r="J52" s="191">
        <v>167</v>
      </c>
      <c r="K52" s="191">
        <v>122</v>
      </c>
      <c r="L52" s="193">
        <v>346</v>
      </c>
      <c r="M52" s="192">
        <v>4290</v>
      </c>
      <c r="Q52" s="20">
        <f t="shared" si="0"/>
        <v>0</v>
      </c>
    </row>
    <row r="53" spans="2:17" ht="13" customHeight="1" x14ac:dyDescent="0.25">
      <c r="B53" s="22">
        <v>44246</v>
      </c>
      <c r="C53" s="186">
        <v>16228335</v>
      </c>
      <c r="D53" s="187">
        <v>4598082</v>
      </c>
      <c r="E53" s="188">
        <v>283934</v>
      </c>
      <c r="F53" s="189">
        <v>581764</v>
      </c>
      <c r="G53" s="190">
        <v>230946</v>
      </c>
      <c r="H53" s="191">
        <v>0</v>
      </c>
      <c r="I53" s="191">
        <v>3616</v>
      </c>
      <c r="J53" s="191">
        <v>121</v>
      </c>
      <c r="K53" s="191">
        <v>119</v>
      </c>
      <c r="L53" s="193">
        <v>20</v>
      </c>
      <c r="M53" s="192">
        <v>3856</v>
      </c>
      <c r="N53" s="159" t="s">
        <v>21</v>
      </c>
      <c r="O53" s="159" t="s">
        <v>22</v>
      </c>
      <c r="Q53" s="20">
        <f t="shared" si="0"/>
        <v>0</v>
      </c>
    </row>
    <row r="54" spans="2:17" ht="13" customHeight="1" x14ac:dyDescent="0.25">
      <c r="B54" s="22">
        <v>44247</v>
      </c>
      <c r="C54" s="186">
        <v>16228335</v>
      </c>
      <c r="D54" s="187">
        <v>4602445</v>
      </c>
      <c r="E54" s="188">
        <v>284071</v>
      </c>
      <c r="F54" s="189">
        <v>581856</v>
      </c>
      <c r="G54" s="190">
        <v>231160</v>
      </c>
      <c r="H54" s="191">
        <v>0</v>
      </c>
      <c r="I54" s="191">
        <v>4363</v>
      </c>
      <c r="J54" s="191">
        <v>137</v>
      </c>
      <c r="K54" s="191">
        <v>92</v>
      </c>
      <c r="L54" s="193">
        <v>214</v>
      </c>
      <c r="M54" s="192">
        <v>4592</v>
      </c>
      <c r="N54" s="160"/>
      <c r="O54" s="160"/>
      <c r="Q54" s="20">
        <f t="shared" si="0"/>
        <v>0</v>
      </c>
    </row>
    <row r="55" spans="2:17" ht="13" customHeight="1" thickBot="1" x14ac:dyDescent="0.3">
      <c r="B55" s="22">
        <v>44248</v>
      </c>
      <c r="C55" s="186">
        <v>16228335</v>
      </c>
      <c r="D55" s="187">
        <v>4605943</v>
      </c>
      <c r="E55" s="188">
        <v>284193</v>
      </c>
      <c r="F55" s="189">
        <v>581976</v>
      </c>
      <c r="G55" s="190">
        <v>231357</v>
      </c>
      <c r="H55" s="191">
        <v>0</v>
      </c>
      <c r="I55" s="191">
        <v>3498</v>
      </c>
      <c r="J55" s="191">
        <v>122</v>
      </c>
      <c r="K55" s="191">
        <v>120</v>
      </c>
      <c r="L55" s="193">
        <v>197</v>
      </c>
      <c r="M55" s="192">
        <v>3740</v>
      </c>
      <c r="N55" s="161"/>
      <c r="O55" s="161"/>
      <c r="Q55" s="20">
        <f t="shared" si="0"/>
        <v>0</v>
      </c>
    </row>
    <row r="56" spans="2:17" ht="13" customHeight="1" thickBot="1" x14ac:dyDescent="0.3">
      <c r="B56" s="22">
        <v>44249</v>
      </c>
      <c r="C56" s="186">
        <v>16228335</v>
      </c>
      <c r="D56" s="187">
        <v>4609428</v>
      </c>
      <c r="E56" s="188">
        <v>284334</v>
      </c>
      <c r="F56" s="189">
        <v>582122</v>
      </c>
      <c r="G56" s="190">
        <v>231535</v>
      </c>
      <c r="H56" s="191">
        <v>0</v>
      </c>
      <c r="I56" s="191">
        <v>3485</v>
      </c>
      <c r="J56" s="191">
        <v>141</v>
      </c>
      <c r="K56" s="191">
        <v>146</v>
      </c>
      <c r="L56" s="193">
        <v>178</v>
      </c>
      <c r="M56" s="19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3" customHeight="1" x14ac:dyDescent="0.25">
      <c r="B57" s="22">
        <v>44250</v>
      </c>
      <c r="C57" s="186">
        <v>16228335</v>
      </c>
      <c r="D57" s="187">
        <v>4612707</v>
      </c>
      <c r="E57" s="188">
        <v>284487</v>
      </c>
      <c r="F57" s="189">
        <v>582252</v>
      </c>
      <c r="G57" s="190">
        <v>231719</v>
      </c>
      <c r="H57" s="191">
        <v>0</v>
      </c>
      <c r="I57" s="191">
        <v>3279</v>
      </c>
      <c r="J57" s="191">
        <v>153</v>
      </c>
      <c r="K57" s="191">
        <v>130</v>
      </c>
      <c r="L57" s="193">
        <v>184</v>
      </c>
      <c r="M57" s="192">
        <v>3562</v>
      </c>
      <c r="N57" s="159" t="s">
        <v>23</v>
      </c>
      <c r="O57" s="159" t="s">
        <v>24</v>
      </c>
      <c r="Q57" s="20">
        <f t="shared" si="0"/>
        <v>0</v>
      </c>
    </row>
    <row r="58" spans="2:17" ht="13" customHeight="1" thickBot="1" x14ac:dyDescent="0.3">
      <c r="B58" s="22">
        <v>44251</v>
      </c>
      <c r="C58" s="186">
        <v>16228335</v>
      </c>
      <c r="D58" s="187">
        <v>4616132</v>
      </c>
      <c r="E58" s="188">
        <v>284654</v>
      </c>
      <c r="F58" s="189">
        <v>582392</v>
      </c>
      <c r="G58" s="190">
        <v>231847</v>
      </c>
      <c r="H58" s="191">
        <v>0</v>
      </c>
      <c r="I58" s="191">
        <v>3425</v>
      </c>
      <c r="J58" s="191">
        <v>167</v>
      </c>
      <c r="K58" s="191">
        <v>140</v>
      </c>
      <c r="L58" s="193">
        <v>128</v>
      </c>
      <c r="M58" s="192">
        <v>3732</v>
      </c>
      <c r="N58" s="161"/>
      <c r="O58" s="161"/>
      <c r="Q58" s="20">
        <f t="shared" si="0"/>
        <v>0</v>
      </c>
    </row>
    <row r="59" spans="2:17" ht="13" customHeight="1" thickBot="1" x14ac:dyDescent="0.3">
      <c r="B59" s="22">
        <v>44252</v>
      </c>
      <c r="C59" s="186">
        <v>16228335</v>
      </c>
      <c r="D59" s="187">
        <v>4619459</v>
      </c>
      <c r="E59" s="188">
        <v>284828</v>
      </c>
      <c r="F59" s="189">
        <v>582532</v>
      </c>
      <c r="G59" s="190">
        <v>231981</v>
      </c>
      <c r="H59" s="191">
        <v>0</v>
      </c>
      <c r="I59" s="191">
        <v>3327</v>
      </c>
      <c r="J59" s="191">
        <v>174</v>
      </c>
      <c r="K59" s="191">
        <v>140</v>
      </c>
      <c r="L59" s="193">
        <v>134</v>
      </c>
      <c r="M59" s="19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3" customHeight="1" x14ac:dyDescent="0.25">
      <c r="B60" s="22">
        <v>44253</v>
      </c>
      <c r="C60" s="186">
        <v>16228335</v>
      </c>
      <c r="D60" s="187">
        <v>4622424</v>
      </c>
      <c r="E60" s="188">
        <v>284969</v>
      </c>
      <c r="F60" s="189">
        <v>582673</v>
      </c>
      <c r="G60" s="190">
        <v>232103</v>
      </c>
      <c r="H60" s="191">
        <v>0</v>
      </c>
      <c r="I60" s="191">
        <v>2965</v>
      </c>
      <c r="J60" s="191">
        <v>141</v>
      </c>
      <c r="K60" s="191">
        <v>141</v>
      </c>
      <c r="L60" s="193">
        <v>122</v>
      </c>
      <c r="M60" s="192">
        <v>3247</v>
      </c>
      <c r="N60" s="159" t="s">
        <v>25</v>
      </c>
      <c r="O60" s="159" t="s">
        <v>26</v>
      </c>
      <c r="Q60" s="20">
        <f t="shared" si="0"/>
        <v>0</v>
      </c>
    </row>
    <row r="61" spans="2:17" ht="13" customHeight="1" thickBot="1" x14ac:dyDescent="0.3">
      <c r="B61" s="22">
        <v>44254</v>
      </c>
      <c r="C61" s="186">
        <v>16228335</v>
      </c>
      <c r="D61" s="187">
        <v>4625493</v>
      </c>
      <c r="E61" s="188">
        <v>285116</v>
      </c>
      <c r="F61" s="189">
        <v>582816</v>
      </c>
      <c r="G61" s="190">
        <v>232246</v>
      </c>
      <c r="H61" s="191">
        <v>0</v>
      </c>
      <c r="I61" s="191">
        <v>3069</v>
      </c>
      <c r="J61" s="191">
        <v>147</v>
      </c>
      <c r="K61" s="191">
        <v>143</v>
      </c>
      <c r="L61" s="193">
        <v>143</v>
      </c>
      <c r="M61" s="192">
        <v>3359</v>
      </c>
      <c r="N61" s="161"/>
      <c r="O61" s="161"/>
      <c r="Q61" s="20">
        <f t="shared" si="0"/>
        <v>0</v>
      </c>
    </row>
    <row r="62" spans="2:17" ht="13" customHeight="1" thickBot="1" x14ac:dyDescent="0.3">
      <c r="B62" s="22">
        <v>44255</v>
      </c>
      <c r="C62" s="194">
        <v>16228335</v>
      </c>
      <c r="D62" s="184">
        <v>4628697</v>
      </c>
      <c r="E62" s="184">
        <v>285269</v>
      </c>
      <c r="F62" s="184">
        <v>582955</v>
      </c>
      <c r="G62" s="184">
        <v>232399</v>
      </c>
      <c r="H62" s="197">
        <v>0</v>
      </c>
      <c r="I62" s="185">
        <v>3204</v>
      </c>
      <c r="J62" s="185">
        <v>153</v>
      </c>
      <c r="K62" s="185">
        <v>139</v>
      </c>
      <c r="L62" s="195">
        <v>153</v>
      </c>
      <c r="M62" s="19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3" customHeight="1" x14ac:dyDescent="0.25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3" customHeight="1" x14ac:dyDescent="0.25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3" customHeight="1" x14ac:dyDescent="0.25">
      <c r="B65" s="22">
        <v>44258</v>
      </c>
      <c r="C65" s="23"/>
      <c r="D65" s="24"/>
      <c r="E65" s="25"/>
      <c r="F65" s="26"/>
      <c r="G65" s="27"/>
      <c r="H65" s="28" t="str">
        <f t="shared" ref="H37:K69" si="1">IF(C65="","",+(C65-C64))</f>
        <v/>
      </c>
      <c r="I65" s="28" t="str">
        <f t="shared" si="1"/>
        <v/>
      </c>
      <c r="J65" s="28" t="str">
        <f t="shared" si="1"/>
        <v/>
      </c>
      <c r="K65" s="28" t="str">
        <f t="shared" si="1"/>
        <v/>
      </c>
      <c r="L65" s="29" t="str">
        <f t="shared" ref="L37:L98" si="2">IF(G65="","",+(G64-G65))</f>
        <v/>
      </c>
      <c r="M65" s="30" t="str">
        <f t="shared" ref="M5:M69" si="3">IF(H65="","",+(H65+I65+J65+K65))</f>
        <v/>
      </c>
      <c r="Q65" s="20">
        <f t="shared" si="0"/>
        <v>1</v>
      </c>
    </row>
    <row r="66" spans="2:17" ht="13" customHeight="1" x14ac:dyDescent="0.25">
      <c r="B66" s="22">
        <v>44259</v>
      </c>
      <c r="C66" s="23"/>
      <c r="D66" s="24"/>
      <c r="E66" s="25"/>
      <c r="F66" s="26"/>
      <c r="G66" s="27"/>
      <c r="H66" s="28" t="str">
        <f t="shared" si="1"/>
        <v/>
      </c>
      <c r="I66" s="28" t="str">
        <f t="shared" si="1"/>
        <v/>
      </c>
      <c r="J66" s="28" t="str">
        <f t="shared" si="1"/>
        <v/>
      </c>
      <c r="K66" s="28" t="str">
        <f t="shared" si="1"/>
        <v/>
      </c>
      <c r="L66" s="29" t="str">
        <f t="shared" si="2"/>
        <v/>
      </c>
      <c r="M66" s="30" t="str">
        <f t="shared" si="3"/>
        <v/>
      </c>
      <c r="Q66" s="20">
        <f t="shared" si="0"/>
        <v>1</v>
      </c>
    </row>
    <row r="67" spans="2:17" ht="13" customHeight="1" x14ac:dyDescent="0.25">
      <c r="B67" s="22">
        <v>44260</v>
      </c>
      <c r="C67" s="23"/>
      <c r="D67" s="24"/>
      <c r="E67" s="25"/>
      <c r="F67" s="26"/>
      <c r="G67" s="27"/>
      <c r="H67" s="28" t="str">
        <f t="shared" si="1"/>
        <v/>
      </c>
      <c r="I67" s="28" t="str">
        <f t="shared" si="1"/>
        <v/>
      </c>
      <c r="J67" s="28" t="str">
        <f t="shared" si="1"/>
        <v/>
      </c>
      <c r="K67" s="28" t="str">
        <f t="shared" si="1"/>
        <v/>
      </c>
      <c r="L67" s="29" t="str">
        <f t="shared" si="2"/>
        <v/>
      </c>
      <c r="M67" s="30" t="str">
        <f t="shared" si="3"/>
        <v/>
      </c>
      <c r="Q67" s="20">
        <f t="shared" si="0"/>
        <v>1</v>
      </c>
    </row>
    <row r="68" spans="2:17" ht="13" customHeight="1" x14ac:dyDescent="0.25">
      <c r="B68" s="22">
        <v>44261</v>
      </c>
      <c r="C68" s="23"/>
      <c r="D68" s="24"/>
      <c r="E68" s="25"/>
      <c r="F68" s="26"/>
      <c r="G68" s="27"/>
      <c r="H68" s="28" t="str">
        <f t="shared" si="1"/>
        <v/>
      </c>
      <c r="I68" s="28" t="str">
        <f t="shared" si="1"/>
        <v/>
      </c>
      <c r="J68" s="28" t="str">
        <f t="shared" si="1"/>
        <v/>
      </c>
      <c r="K68" s="28" t="str">
        <f t="shared" si="1"/>
        <v/>
      </c>
      <c r="L68" s="29" t="str">
        <f t="shared" si="2"/>
        <v/>
      </c>
      <c r="M68" s="30" t="str">
        <f t="shared" si="3"/>
        <v/>
      </c>
      <c r="Q68" s="20">
        <f t="shared" si="0"/>
        <v>1</v>
      </c>
    </row>
    <row r="69" spans="2:17" ht="13" customHeight="1" x14ac:dyDescent="0.25">
      <c r="B69" s="22">
        <v>44262</v>
      </c>
      <c r="C69" s="23"/>
      <c r="D69" s="24"/>
      <c r="E69" s="25"/>
      <c r="F69" s="26"/>
      <c r="G69" s="27"/>
      <c r="H69" s="28" t="str">
        <f t="shared" si="1"/>
        <v/>
      </c>
      <c r="I69" s="28" t="str">
        <f t="shared" si="1"/>
        <v/>
      </c>
      <c r="J69" s="28" t="str">
        <f t="shared" si="1"/>
        <v/>
      </c>
      <c r="K69" s="28" t="str">
        <f t="shared" si="1"/>
        <v/>
      </c>
      <c r="L69" s="29" t="str">
        <f t="shared" si="2"/>
        <v/>
      </c>
      <c r="M69" s="30" t="str">
        <f t="shared" si="3"/>
        <v/>
      </c>
      <c r="Q69" s="20">
        <f t="shared" si="0"/>
        <v>1</v>
      </c>
    </row>
    <row r="70" spans="2:17" ht="13" customHeight="1" x14ac:dyDescent="0.25">
      <c r="B70" s="22">
        <v>44263</v>
      </c>
      <c r="C70" s="23"/>
      <c r="D70" s="24"/>
      <c r="E70" s="25"/>
      <c r="F70" s="26"/>
      <c r="G70" s="27"/>
      <c r="H70" s="28" t="str">
        <f t="shared" ref="H70:K133" si="4">IF(C70="","",+(C70-C69))</f>
        <v/>
      </c>
      <c r="I70" s="28" t="str">
        <f t="shared" si="4"/>
        <v/>
      </c>
      <c r="J70" s="28" t="str">
        <f t="shared" si="4"/>
        <v/>
      </c>
      <c r="K70" s="28" t="str">
        <f t="shared" si="4"/>
        <v/>
      </c>
      <c r="L70" s="29" t="str">
        <f t="shared" si="2"/>
        <v/>
      </c>
      <c r="M70" s="30" t="str">
        <f t="shared" ref="M70:M133" si="5">IF(H70="","",+(H70+I70+J70+K70))</f>
        <v/>
      </c>
      <c r="Q70" s="20">
        <f t="shared" ref="Q70:Q133" si="6">IF(L70="",1,0)</f>
        <v>1</v>
      </c>
    </row>
    <row r="71" spans="2:17" ht="13" customHeight="1" x14ac:dyDescent="0.25">
      <c r="B71" s="22">
        <v>44264</v>
      </c>
      <c r="C71" s="23"/>
      <c r="D71" s="24"/>
      <c r="E71" s="25"/>
      <c r="F71" s="26"/>
      <c r="G71" s="27"/>
      <c r="H71" s="28" t="str">
        <f t="shared" si="4"/>
        <v/>
      </c>
      <c r="I71" s="28" t="str">
        <f t="shared" si="4"/>
        <v/>
      </c>
      <c r="J71" s="28" t="str">
        <f t="shared" si="4"/>
        <v/>
      </c>
      <c r="K71" s="28" t="str">
        <f t="shared" si="4"/>
        <v/>
      </c>
      <c r="L71" s="29" t="str">
        <f t="shared" si="2"/>
        <v/>
      </c>
      <c r="M71" s="30" t="str">
        <f t="shared" si="5"/>
        <v/>
      </c>
      <c r="O71" s="9" t="s">
        <v>27</v>
      </c>
      <c r="Q71" s="20">
        <f t="shared" si="6"/>
        <v>1</v>
      </c>
    </row>
    <row r="72" spans="2:17" ht="13" customHeight="1" x14ac:dyDescent="0.25">
      <c r="B72" s="22">
        <v>44265</v>
      </c>
      <c r="C72" s="23"/>
      <c r="D72" s="24"/>
      <c r="E72" s="25"/>
      <c r="F72" s="26"/>
      <c r="G72" s="27"/>
      <c r="H72" s="28" t="str">
        <f t="shared" si="4"/>
        <v/>
      </c>
      <c r="I72" s="28" t="str">
        <f t="shared" si="4"/>
        <v/>
      </c>
      <c r="J72" s="28" t="str">
        <f t="shared" si="4"/>
        <v/>
      </c>
      <c r="K72" s="28" t="str">
        <f t="shared" si="4"/>
        <v/>
      </c>
      <c r="L72" s="29" t="str">
        <f t="shared" si="2"/>
        <v/>
      </c>
      <c r="M72" s="30" t="str">
        <f t="shared" si="5"/>
        <v/>
      </c>
      <c r="Q72" s="20">
        <f t="shared" si="6"/>
        <v>1</v>
      </c>
    </row>
    <row r="73" spans="2:17" ht="13" customHeight="1" x14ac:dyDescent="0.25">
      <c r="B73" s="22">
        <v>44266</v>
      </c>
      <c r="C73" s="23"/>
      <c r="D73" s="24"/>
      <c r="E73" s="25"/>
      <c r="F73" s="26"/>
      <c r="G73" s="27"/>
      <c r="H73" s="28" t="str">
        <f t="shared" si="4"/>
        <v/>
      </c>
      <c r="I73" s="28" t="str">
        <f t="shared" si="4"/>
        <v/>
      </c>
      <c r="J73" s="28" t="str">
        <f t="shared" si="4"/>
        <v/>
      </c>
      <c r="K73" s="28" t="str">
        <f t="shared" si="4"/>
        <v/>
      </c>
      <c r="L73" s="29" t="str">
        <f>IF(G73="","",+(G72-G73))</f>
        <v/>
      </c>
      <c r="M73" s="30" t="str">
        <f t="shared" si="5"/>
        <v/>
      </c>
      <c r="Q73" s="20">
        <f t="shared" si="6"/>
        <v>1</v>
      </c>
    </row>
    <row r="74" spans="2:17" ht="13" customHeight="1" x14ac:dyDescent="0.25">
      <c r="B74" s="22">
        <v>44267</v>
      </c>
      <c r="C74" s="23"/>
      <c r="D74" s="24"/>
      <c r="E74" s="25"/>
      <c r="F74" s="26"/>
      <c r="G74" s="27"/>
      <c r="H74" s="28" t="str">
        <f t="shared" si="4"/>
        <v/>
      </c>
      <c r="I74" s="28" t="str">
        <f t="shared" si="4"/>
        <v/>
      </c>
      <c r="J74" s="28" t="str">
        <f t="shared" si="4"/>
        <v/>
      </c>
      <c r="K74" s="28" t="str">
        <f t="shared" si="4"/>
        <v/>
      </c>
      <c r="L74" s="29" t="str">
        <f t="shared" si="2"/>
        <v/>
      </c>
      <c r="M74" s="30" t="str">
        <f t="shared" si="5"/>
        <v/>
      </c>
      <c r="Q74" s="20">
        <f t="shared" si="6"/>
        <v>1</v>
      </c>
    </row>
    <row r="75" spans="2:17" ht="13" customHeight="1" x14ac:dyDescent="0.25">
      <c r="B75" s="22">
        <v>44268</v>
      </c>
      <c r="C75" s="23"/>
      <c r="D75" s="24"/>
      <c r="E75" s="25"/>
      <c r="F75" s="26"/>
      <c r="G75" s="27"/>
      <c r="H75" s="28" t="str">
        <f t="shared" si="4"/>
        <v/>
      </c>
      <c r="I75" s="28" t="str">
        <f t="shared" si="4"/>
        <v/>
      </c>
      <c r="J75" s="28" t="str">
        <f t="shared" si="4"/>
        <v/>
      </c>
      <c r="K75" s="28" t="str">
        <f t="shared" si="4"/>
        <v/>
      </c>
      <c r="L75" s="29" t="str">
        <f t="shared" si="2"/>
        <v/>
      </c>
      <c r="M75" s="30" t="str">
        <f t="shared" si="5"/>
        <v/>
      </c>
      <c r="Q75" s="20">
        <f t="shared" si="6"/>
        <v>1</v>
      </c>
    </row>
    <row r="76" spans="2:17" ht="13" customHeight="1" x14ac:dyDescent="0.25">
      <c r="B76" s="22">
        <v>44269</v>
      </c>
      <c r="C76" s="23"/>
      <c r="D76" s="24"/>
      <c r="E76" s="25"/>
      <c r="F76" s="26"/>
      <c r="G76" s="27"/>
      <c r="H76" s="28" t="str">
        <f t="shared" si="4"/>
        <v/>
      </c>
      <c r="I76" s="28" t="str">
        <f t="shared" si="4"/>
        <v/>
      </c>
      <c r="J76" s="28" t="str">
        <f t="shared" si="4"/>
        <v/>
      </c>
      <c r="K76" s="28" t="str">
        <f t="shared" si="4"/>
        <v/>
      </c>
      <c r="L76" s="29" t="str">
        <f t="shared" si="2"/>
        <v/>
      </c>
      <c r="M76" s="30" t="str">
        <f t="shared" si="5"/>
        <v/>
      </c>
      <c r="Q76" s="20">
        <f t="shared" si="6"/>
        <v>1</v>
      </c>
    </row>
    <row r="77" spans="2:17" ht="13" customHeight="1" x14ac:dyDescent="0.25">
      <c r="B77" s="22">
        <v>44270</v>
      </c>
      <c r="C77" s="23"/>
      <c r="D77" s="24"/>
      <c r="E77" s="25"/>
      <c r="F77" s="26"/>
      <c r="G77" s="27"/>
      <c r="H77" s="28" t="str">
        <f t="shared" si="4"/>
        <v/>
      </c>
      <c r="I77" s="28" t="str">
        <f t="shared" si="4"/>
        <v/>
      </c>
      <c r="J77" s="28" t="str">
        <f t="shared" si="4"/>
        <v/>
      </c>
      <c r="K77" s="28" t="str">
        <f t="shared" si="4"/>
        <v/>
      </c>
      <c r="L77" s="29" t="str">
        <f t="shared" si="2"/>
        <v/>
      </c>
      <c r="M77" s="30" t="str">
        <f t="shared" si="5"/>
        <v/>
      </c>
      <c r="Q77" s="20">
        <f t="shared" si="6"/>
        <v>1</v>
      </c>
    </row>
    <row r="78" spans="2:17" ht="13" customHeight="1" x14ac:dyDescent="0.25">
      <c r="B78" s="22">
        <v>44271</v>
      </c>
      <c r="C78" s="23"/>
      <c r="D78" s="24"/>
      <c r="E78" s="25"/>
      <c r="F78" s="26"/>
      <c r="G78" s="27"/>
      <c r="H78" s="28" t="str">
        <f t="shared" si="4"/>
        <v/>
      </c>
      <c r="I78" s="28" t="str">
        <f t="shared" si="4"/>
        <v/>
      </c>
      <c r="J78" s="28" t="str">
        <f t="shared" si="4"/>
        <v/>
      </c>
      <c r="K78" s="28" t="str">
        <f t="shared" si="4"/>
        <v/>
      </c>
      <c r="L78" s="29" t="str">
        <f t="shared" si="2"/>
        <v/>
      </c>
      <c r="M78" s="30" t="str">
        <f t="shared" si="5"/>
        <v/>
      </c>
      <c r="Q78" s="20">
        <f t="shared" si="6"/>
        <v>1</v>
      </c>
    </row>
    <row r="79" spans="2:17" ht="13" customHeight="1" x14ac:dyDescent="0.25">
      <c r="B79" s="22">
        <v>44272</v>
      </c>
      <c r="C79" s="23"/>
      <c r="D79" s="24"/>
      <c r="E79" s="25"/>
      <c r="F79" s="26"/>
      <c r="G79" s="27"/>
      <c r="H79" s="28" t="str">
        <f t="shared" si="4"/>
        <v/>
      </c>
      <c r="I79" s="28" t="str">
        <f t="shared" si="4"/>
        <v/>
      </c>
      <c r="J79" s="28" t="str">
        <f t="shared" si="4"/>
        <v/>
      </c>
      <c r="K79" s="28" t="str">
        <f t="shared" si="4"/>
        <v/>
      </c>
      <c r="L79" s="29" t="str">
        <f t="shared" si="2"/>
        <v/>
      </c>
      <c r="M79" s="30" t="str">
        <f t="shared" si="5"/>
        <v/>
      </c>
      <c r="Q79" s="20">
        <f t="shared" si="6"/>
        <v>1</v>
      </c>
    </row>
    <row r="80" spans="2:17" ht="13" customHeight="1" x14ac:dyDescent="0.25">
      <c r="B80" s="22">
        <v>44273</v>
      </c>
      <c r="C80" s="23"/>
      <c r="D80" s="24"/>
      <c r="E80" s="25"/>
      <c r="F80" s="26"/>
      <c r="G80" s="27"/>
      <c r="H80" s="28" t="str">
        <f t="shared" si="4"/>
        <v/>
      </c>
      <c r="I80" s="28" t="str">
        <f t="shared" si="4"/>
        <v/>
      </c>
      <c r="J80" s="28" t="str">
        <f t="shared" si="4"/>
        <v/>
      </c>
      <c r="K80" s="28" t="str">
        <f t="shared" si="4"/>
        <v/>
      </c>
      <c r="L80" s="29" t="str">
        <f t="shared" si="2"/>
        <v/>
      </c>
      <c r="M80" s="30" t="str">
        <f t="shared" si="5"/>
        <v/>
      </c>
      <c r="Q80" s="20">
        <f t="shared" si="6"/>
        <v>1</v>
      </c>
    </row>
    <row r="81" spans="2:18" ht="13" customHeight="1" x14ac:dyDescent="0.25">
      <c r="B81" s="22">
        <v>44274</v>
      </c>
      <c r="C81" s="23"/>
      <c r="D81" s="24"/>
      <c r="E81" s="25"/>
      <c r="F81" s="26"/>
      <c r="G81" s="27"/>
      <c r="H81" s="28" t="str">
        <f t="shared" si="4"/>
        <v/>
      </c>
      <c r="I81" s="28" t="str">
        <f t="shared" si="4"/>
        <v/>
      </c>
      <c r="J81" s="28" t="str">
        <f t="shared" si="4"/>
        <v/>
      </c>
      <c r="K81" s="28" t="str">
        <f t="shared" si="4"/>
        <v/>
      </c>
      <c r="L81" s="29" t="str">
        <f t="shared" si="2"/>
        <v/>
      </c>
      <c r="M81" s="30" t="str">
        <f t="shared" si="5"/>
        <v/>
      </c>
      <c r="Q81" s="20">
        <f t="shared" si="6"/>
        <v>1</v>
      </c>
    </row>
    <row r="82" spans="2:18" ht="13" customHeight="1" x14ac:dyDescent="0.25">
      <c r="B82" s="22">
        <v>44275</v>
      </c>
      <c r="C82" s="23"/>
      <c r="D82" s="24"/>
      <c r="E82" s="25"/>
      <c r="F82" s="26"/>
      <c r="G82" s="27"/>
      <c r="H82" s="28" t="str">
        <f t="shared" si="4"/>
        <v/>
      </c>
      <c r="I82" s="28" t="str">
        <f t="shared" si="4"/>
        <v/>
      </c>
      <c r="J82" s="28" t="str">
        <f t="shared" si="4"/>
        <v/>
      </c>
      <c r="K82" s="28" t="str">
        <f t="shared" si="4"/>
        <v/>
      </c>
      <c r="L82" s="29" t="str">
        <f t="shared" si="2"/>
        <v/>
      </c>
      <c r="M82" s="30" t="str">
        <f t="shared" si="5"/>
        <v/>
      </c>
      <c r="Q82" s="20">
        <f t="shared" si="6"/>
        <v>1</v>
      </c>
    </row>
    <row r="83" spans="2:18" ht="14.25" customHeight="1" thickBot="1" x14ac:dyDescent="0.3">
      <c r="B83" s="22">
        <v>44276</v>
      </c>
      <c r="C83" s="23"/>
      <c r="D83" s="24"/>
      <c r="E83" s="25"/>
      <c r="F83" s="26"/>
      <c r="G83" s="27"/>
      <c r="H83" s="28" t="str">
        <f t="shared" ref="H83" si="7">IF(C83="","",+(C83-C82))</f>
        <v/>
      </c>
      <c r="I83" s="28" t="str">
        <f t="shared" ref="I83" si="8">IF(D83="","",+(D83-D82))</f>
        <v/>
      </c>
      <c r="J83" s="28" t="str">
        <f t="shared" ref="J83" si="9">IF(E83="","",+(E83-E82))</f>
        <v/>
      </c>
      <c r="K83" s="28" t="str">
        <f t="shared" ref="K83" si="10">IF(F83="","",+(F83-F82))</f>
        <v/>
      </c>
      <c r="L83" s="29" t="str">
        <f t="shared" ref="L83" si="11">IF(G83="","",+(G82-G83))</f>
        <v/>
      </c>
      <c r="M83" s="30" t="str">
        <f t="shared" ref="M83" si="12">IF(H83="","",+(H83+I83+J83+K83))</f>
        <v/>
      </c>
      <c r="Q83" s="20">
        <f t="shared" si="6"/>
        <v>1</v>
      </c>
    </row>
    <row r="84" spans="2:18" ht="13" customHeight="1" x14ac:dyDescent="0.25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4"/>
        <v/>
      </c>
      <c r="J84" s="28" t="str">
        <f t="shared" si="4"/>
        <v/>
      </c>
      <c r="K84" s="28" t="str">
        <f t="shared" si="4"/>
        <v/>
      </c>
      <c r="L84" s="29" t="str">
        <f t="shared" si="2"/>
        <v/>
      </c>
      <c r="M84" s="30" t="str">
        <f t="shared" si="5"/>
        <v/>
      </c>
      <c r="N84" s="159" t="s">
        <v>21</v>
      </c>
      <c r="O84" s="159" t="s">
        <v>22</v>
      </c>
      <c r="Q84" s="20">
        <f t="shared" si="6"/>
        <v>1</v>
      </c>
    </row>
    <row r="85" spans="2:18" ht="13" customHeight="1" x14ac:dyDescent="0.25">
      <c r="B85" s="22">
        <v>44278</v>
      </c>
      <c r="C85" s="23"/>
      <c r="D85" s="24"/>
      <c r="E85" s="25"/>
      <c r="F85" s="26"/>
      <c r="G85" s="27"/>
      <c r="H85" s="28" t="str">
        <f t="shared" si="4"/>
        <v/>
      </c>
      <c r="I85" s="28" t="str">
        <f t="shared" si="4"/>
        <v/>
      </c>
      <c r="J85" s="28" t="str">
        <f t="shared" si="4"/>
        <v/>
      </c>
      <c r="K85" s="28" t="str">
        <f t="shared" si="4"/>
        <v/>
      </c>
      <c r="L85" s="29" t="str">
        <f t="shared" si="2"/>
        <v/>
      </c>
      <c r="M85" s="30" t="str">
        <f t="shared" si="5"/>
        <v/>
      </c>
      <c r="N85" s="160"/>
      <c r="O85" s="160"/>
      <c r="Q85" s="20">
        <f t="shared" si="6"/>
        <v>1</v>
      </c>
    </row>
    <row r="86" spans="2:18" ht="13" customHeight="1" thickBot="1" x14ac:dyDescent="0.3">
      <c r="B86" s="22">
        <v>44279</v>
      </c>
      <c r="C86" s="23"/>
      <c r="D86" s="24"/>
      <c r="E86" s="25"/>
      <c r="F86" s="26"/>
      <c r="G86" s="27"/>
      <c r="H86" s="28" t="str">
        <f t="shared" si="4"/>
        <v/>
      </c>
      <c r="I86" s="28" t="str">
        <f t="shared" si="4"/>
        <v/>
      </c>
      <c r="J86" s="28" t="str">
        <f t="shared" si="4"/>
        <v/>
      </c>
      <c r="K86" s="28" t="str">
        <f t="shared" si="4"/>
        <v/>
      </c>
      <c r="L86" s="29" t="str">
        <f t="shared" si="2"/>
        <v/>
      </c>
      <c r="M86" s="30" t="str">
        <f t="shared" si="5"/>
        <v/>
      </c>
      <c r="N86" s="161"/>
      <c r="O86" s="161"/>
      <c r="Q86" s="20">
        <f t="shared" si="6"/>
        <v>1</v>
      </c>
    </row>
    <row r="87" spans="2:18" ht="13" customHeight="1" thickBot="1" x14ac:dyDescent="0.3">
      <c r="B87" s="22">
        <v>44280</v>
      </c>
      <c r="C87" s="23"/>
      <c r="D87" s="24"/>
      <c r="E87" s="25"/>
      <c r="F87" s="26"/>
      <c r="G87" s="27"/>
      <c r="H87" s="28" t="str">
        <f t="shared" si="4"/>
        <v/>
      </c>
      <c r="I87" s="28" t="str">
        <f t="shared" si="4"/>
        <v/>
      </c>
      <c r="J87" s="28" t="str">
        <f t="shared" si="4"/>
        <v/>
      </c>
      <c r="K87" s="28" t="str">
        <f t="shared" si="4"/>
        <v/>
      </c>
      <c r="L87" s="29" t="str">
        <f t="shared" si="2"/>
        <v/>
      </c>
      <c r="M87" s="30" t="str">
        <f t="shared" si="5"/>
        <v/>
      </c>
      <c r="N87" s="32">
        <f>SUM(L64:L94)</f>
        <v>108</v>
      </c>
      <c r="O87" s="32">
        <f>SUM(M64:M94)</f>
        <v>3548</v>
      </c>
      <c r="Q87" s="20">
        <f t="shared" si="6"/>
        <v>1</v>
      </c>
    </row>
    <row r="88" spans="2:18" ht="13" customHeight="1" x14ac:dyDescent="0.25">
      <c r="B88" s="22">
        <v>44281</v>
      </c>
      <c r="C88" s="23"/>
      <c r="D88" s="24"/>
      <c r="E88" s="25"/>
      <c r="F88" s="26"/>
      <c r="G88" s="27"/>
      <c r="H88" s="28" t="str">
        <f t="shared" si="4"/>
        <v/>
      </c>
      <c r="I88" s="28" t="str">
        <f t="shared" si="4"/>
        <v/>
      </c>
      <c r="J88" s="28" t="str">
        <f t="shared" si="4"/>
        <v/>
      </c>
      <c r="K88" s="28" t="str">
        <f t="shared" si="4"/>
        <v/>
      </c>
      <c r="L88" s="29" t="str">
        <f t="shared" si="2"/>
        <v/>
      </c>
      <c r="M88" s="30" t="str">
        <f t="shared" si="5"/>
        <v/>
      </c>
      <c r="N88" s="159" t="s">
        <v>23</v>
      </c>
      <c r="O88" s="159" t="s">
        <v>24</v>
      </c>
      <c r="Q88" s="20">
        <f t="shared" si="6"/>
        <v>1</v>
      </c>
    </row>
    <row r="89" spans="2:18" ht="13" customHeight="1" thickBot="1" x14ac:dyDescent="0.3">
      <c r="B89" s="22">
        <v>44282</v>
      </c>
      <c r="C89" s="23"/>
      <c r="D89" s="24"/>
      <c r="E89" s="25"/>
      <c r="F89" s="26"/>
      <c r="G89" s="27"/>
      <c r="H89" s="28" t="str">
        <f t="shared" si="4"/>
        <v/>
      </c>
      <c r="I89" s="28" t="str">
        <f t="shared" si="4"/>
        <v/>
      </c>
      <c r="J89" s="28" t="str">
        <f t="shared" si="4"/>
        <v/>
      </c>
      <c r="K89" s="28" t="str">
        <f t="shared" si="4"/>
        <v/>
      </c>
      <c r="L89" s="29" t="str">
        <f t="shared" si="2"/>
        <v/>
      </c>
      <c r="M89" s="30" t="str">
        <f t="shared" si="5"/>
        <v/>
      </c>
      <c r="N89" s="161"/>
      <c r="O89" s="161"/>
      <c r="Q89" s="20">
        <f t="shared" si="6"/>
        <v>1</v>
      </c>
    </row>
    <row r="90" spans="2:18" ht="13" customHeight="1" thickBot="1" x14ac:dyDescent="0.3">
      <c r="B90" s="22">
        <v>44283</v>
      </c>
      <c r="C90" s="23"/>
      <c r="D90" s="24"/>
      <c r="E90" s="25"/>
      <c r="F90" s="26"/>
      <c r="G90" s="27"/>
      <c r="H90" s="28" t="str">
        <f t="shared" si="4"/>
        <v/>
      </c>
      <c r="I90" s="28" t="str">
        <f t="shared" si="4"/>
        <v/>
      </c>
      <c r="J90" s="28" t="str">
        <f t="shared" si="4"/>
        <v/>
      </c>
      <c r="K90" s="28" t="str">
        <f t="shared" si="4"/>
        <v/>
      </c>
      <c r="L90" s="29" t="str">
        <f t="shared" si="2"/>
        <v/>
      </c>
      <c r="M90" s="30" t="str">
        <f t="shared" si="5"/>
        <v/>
      </c>
      <c r="N90" s="32">
        <f>AVERAGE(L64:L94)</f>
        <v>108</v>
      </c>
      <c r="O90" s="32">
        <f>AVERAGE(M64:M94)</f>
        <v>3548</v>
      </c>
      <c r="Q90" s="20">
        <f t="shared" si="6"/>
        <v>1</v>
      </c>
    </row>
    <row r="91" spans="2:18" ht="13" customHeight="1" x14ac:dyDescent="0.25">
      <c r="B91" s="22">
        <v>44284</v>
      </c>
      <c r="C91" s="23"/>
      <c r="D91" s="24"/>
      <c r="E91" s="25"/>
      <c r="F91" s="26"/>
      <c r="G91" s="27"/>
      <c r="H91" s="28" t="str">
        <f t="shared" si="4"/>
        <v/>
      </c>
      <c r="I91" s="28" t="str">
        <f t="shared" si="4"/>
        <v/>
      </c>
      <c r="J91" s="28" t="str">
        <f t="shared" si="4"/>
        <v/>
      </c>
      <c r="K91" s="28" t="str">
        <f t="shared" si="4"/>
        <v/>
      </c>
      <c r="L91" s="29" t="str">
        <f t="shared" si="2"/>
        <v/>
      </c>
      <c r="M91" s="30" t="str">
        <f t="shared" si="5"/>
        <v/>
      </c>
      <c r="N91" s="159" t="s">
        <v>25</v>
      </c>
      <c r="O91" s="159" t="s">
        <v>26</v>
      </c>
      <c r="Q91" s="20">
        <f t="shared" si="6"/>
        <v>1</v>
      </c>
    </row>
    <row r="92" spans="2:18" ht="13" customHeight="1" thickBot="1" x14ac:dyDescent="0.3">
      <c r="B92" s="22">
        <v>44285</v>
      </c>
      <c r="C92" s="23"/>
      <c r="D92" s="24"/>
      <c r="E92" s="25"/>
      <c r="F92" s="26"/>
      <c r="G92" s="27"/>
      <c r="H92" s="28" t="str">
        <f t="shared" si="4"/>
        <v/>
      </c>
      <c r="I92" s="28" t="str">
        <f t="shared" si="4"/>
        <v/>
      </c>
      <c r="J92" s="28" t="str">
        <f t="shared" si="4"/>
        <v/>
      </c>
      <c r="K92" s="28" t="str">
        <f t="shared" si="4"/>
        <v/>
      </c>
      <c r="L92" s="29" t="str">
        <f t="shared" si="2"/>
        <v/>
      </c>
      <c r="M92" s="30" t="str">
        <f t="shared" si="5"/>
        <v/>
      </c>
      <c r="N92" s="161"/>
      <c r="O92" s="161"/>
      <c r="Q92" s="20">
        <f t="shared" si="6"/>
        <v>1</v>
      </c>
    </row>
    <row r="93" spans="2:18" ht="13" customHeight="1" thickBot="1" x14ac:dyDescent="0.3">
      <c r="B93" s="22">
        <v>44286</v>
      </c>
      <c r="C93" s="23"/>
      <c r="D93" s="24"/>
      <c r="E93" s="25"/>
      <c r="F93" s="26"/>
      <c r="G93" s="27"/>
      <c r="H93" s="28" t="str">
        <f t="shared" si="4"/>
        <v/>
      </c>
      <c r="I93" s="28" t="str">
        <f t="shared" si="4"/>
        <v/>
      </c>
      <c r="J93" s="28" t="str">
        <f t="shared" si="4"/>
        <v/>
      </c>
      <c r="K93" s="28" t="str">
        <f t="shared" si="4"/>
        <v/>
      </c>
      <c r="L93" s="29" t="str">
        <f t="shared" si="2"/>
        <v/>
      </c>
      <c r="M93" s="30" t="str">
        <f t="shared" si="5"/>
        <v/>
      </c>
      <c r="N93" s="32">
        <f>N87+(N90*SUM(Q64:Q94))</f>
        <v>3348</v>
      </c>
      <c r="O93" s="32">
        <f>O87+(O90*SUM(Q64:Q94))</f>
        <v>109988</v>
      </c>
      <c r="Q93" s="20">
        <f t="shared" si="6"/>
        <v>1</v>
      </c>
      <c r="R93" s="41"/>
    </row>
    <row r="94" spans="2:18" ht="13" customHeight="1" x14ac:dyDescent="0.25">
      <c r="B94" s="22">
        <v>44287</v>
      </c>
      <c r="C94" s="33"/>
      <c r="D94" s="33"/>
      <c r="E94" s="33"/>
      <c r="F94" s="33"/>
      <c r="G94" s="33"/>
      <c r="H94" s="35" t="str">
        <f t="shared" si="4"/>
        <v/>
      </c>
      <c r="I94" s="35" t="str">
        <f t="shared" si="4"/>
        <v/>
      </c>
      <c r="J94" s="35" t="str">
        <f t="shared" si="4"/>
        <v/>
      </c>
      <c r="K94" s="35" t="str">
        <f t="shared" si="4"/>
        <v/>
      </c>
      <c r="L94" s="36" t="str">
        <f t="shared" si="2"/>
        <v/>
      </c>
      <c r="M94" s="35" t="str">
        <f t="shared" si="5"/>
        <v/>
      </c>
      <c r="Q94" s="20">
        <f t="shared" si="6"/>
        <v>1</v>
      </c>
    </row>
    <row r="95" spans="2:18" ht="13" customHeight="1" x14ac:dyDescent="0.25">
      <c r="B95" s="22">
        <v>44288</v>
      </c>
      <c r="C95" s="23"/>
      <c r="D95" s="24"/>
      <c r="E95" s="25"/>
      <c r="F95" s="26"/>
      <c r="G95" s="27"/>
      <c r="H95" s="28" t="str">
        <f t="shared" si="4"/>
        <v/>
      </c>
      <c r="I95" s="28" t="str">
        <f t="shared" si="4"/>
        <v/>
      </c>
      <c r="J95" s="28" t="str">
        <f t="shared" si="4"/>
        <v/>
      </c>
      <c r="K95" s="28" t="str">
        <f t="shared" si="4"/>
        <v/>
      </c>
      <c r="L95" s="29" t="str">
        <f t="shared" si="2"/>
        <v/>
      </c>
      <c r="M95" s="30" t="str">
        <f t="shared" si="5"/>
        <v/>
      </c>
      <c r="Q95" s="20">
        <f t="shared" si="6"/>
        <v>1</v>
      </c>
    </row>
    <row r="96" spans="2:18" ht="13" customHeight="1" x14ac:dyDescent="0.25">
      <c r="B96" s="22">
        <v>44289</v>
      </c>
      <c r="C96" s="23"/>
      <c r="D96" s="24"/>
      <c r="E96" s="25"/>
      <c r="F96" s="26"/>
      <c r="G96" s="27"/>
      <c r="H96" s="28" t="str">
        <f t="shared" si="4"/>
        <v/>
      </c>
      <c r="I96" s="28" t="str">
        <f t="shared" si="4"/>
        <v/>
      </c>
      <c r="J96" s="28" t="str">
        <f t="shared" si="4"/>
        <v/>
      </c>
      <c r="K96" s="28" t="str">
        <f t="shared" si="4"/>
        <v/>
      </c>
      <c r="L96" s="29" t="str">
        <f t="shared" si="2"/>
        <v/>
      </c>
      <c r="M96" s="30" t="str">
        <f t="shared" si="5"/>
        <v/>
      </c>
      <c r="Q96" s="20">
        <f t="shared" si="6"/>
        <v>1</v>
      </c>
    </row>
    <row r="97" spans="2:17" ht="13" customHeight="1" x14ac:dyDescent="0.25">
      <c r="B97" s="22">
        <v>44290</v>
      </c>
      <c r="C97" s="23"/>
      <c r="D97" s="24"/>
      <c r="E97" s="25"/>
      <c r="F97" s="26"/>
      <c r="G97" s="27"/>
      <c r="H97" s="28" t="str">
        <f t="shared" si="4"/>
        <v/>
      </c>
      <c r="I97" s="28" t="str">
        <f t="shared" si="4"/>
        <v/>
      </c>
      <c r="J97" s="28" t="str">
        <f t="shared" si="4"/>
        <v/>
      </c>
      <c r="K97" s="28" t="str">
        <f t="shared" si="4"/>
        <v/>
      </c>
      <c r="L97" s="29" t="str">
        <f t="shared" si="2"/>
        <v/>
      </c>
      <c r="M97" s="30" t="str">
        <f t="shared" si="5"/>
        <v/>
      </c>
      <c r="Q97" s="20">
        <f t="shared" si="6"/>
        <v>1</v>
      </c>
    </row>
    <row r="98" spans="2:17" ht="13" customHeight="1" x14ac:dyDescent="0.25">
      <c r="B98" s="22">
        <v>44291</v>
      </c>
      <c r="C98" s="23"/>
      <c r="D98" s="24"/>
      <c r="E98" s="25"/>
      <c r="F98" s="26"/>
      <c r="G98" s="27"/>
      <c r="H98" s="28" t="str">
        <f t="shared" si="4"/>
        <v/>
      </c>
      <c r="I98" s="28" t="str">
        <f t="shared" si="4"/>
        <v/>
      </c>
      <c r="J98" s="28" t="str">
        <f t="shared" si="4"/>
        <v/>
      </c>
      <c r="K98" s="28" t="str">
        <f t="shared" si="4"/>
        <v/>
      </c>
      <c r="L98" s="29" t="str">
        <f t="shared" si="2"/>
        <v/>
      </c>
      <c r="M98" s="30" t="str">
        <f t="shared" si="5"/>
        <v/>
      </c>
      <c r="Q98" s="20">
        <f t="shared" si="6"/>
        <v>1</v>
      </c>
    </row>
    <row r="99" spans="2:17" ht="13" customHeight="1" x14ac:dyDescent="0.25">
      <c r="B99" s="22">
        <v>44292</v>
      </c>
      <c r="C99" s="23"/>
      <c r="D99" s="24"/>
      <c r="E99" s="25"/>
      <c r="F99" s="26"/>
      <c r="G99" s="27"/>
      <c r="H99" s="28" t="str">
        <f t="shared" si="4"/>
        <v/>
      </c>
      <c r="I99" s="28" t="str">
        <f t="shared" si="4"/>
        <v/>
      </c>
      <c r="J99" s="28" t="str">
        <f t="shared" si="4"/>
        <v/>
      </c>
      <c r="K99" s="28" t="str">
        <f t="shared" si="4"/>
        <v/>
      </c>
      <c r="L99" s="29" t="str">
        <f>IF(G99="","",+(G98-G99))</f>
        <v/>
      </c>
      <c r="M99" s="30" t="str">
        <f t="shared" si="5"/>
        <v/>
      </c>
      <c r="Q99" s="20">
        <f t="shared" si="6"/>
        <v>1</v>
      </c>
    </row>
    <row r="100" spans="2:17" ht="13" customHeight="1" x14ac:dyDescent="0.25">
      <c r="B100" s="22">
        <v>44293</v>
      </c>
      <c r="C100" s="23"/>
      <c r="D100" s="24"/>
      <c r="E100" s="25"/>
      <c r="F100" s="26"/>
      <c r="G100" s="27"/>
      <c r="H100" s="28" t="str">
        <f t="shared" si="4"/>
        <v/>
      </c>
      <c r="I100" s="28" t="str">
        <f t="shared" si="4"/>
        <v/>
      </c>
      <c r="J100" s="28" t="str">
        <f t="shared" si="4"/>
        <v/>
      </c>
      <c r="K100" s="28" t="str">
        <f t="shared" si="4"/>
        <v/>
      </c>
      <c r="L100" s="39" t="str">
        <f>IF(G100="","",+(G99-G100))</f>
        <v/>
      </c>
      <c r="M100" s="30" t="str">
        <f t="shared" si="5"/>
        <v/>
      </c>
      <c r="Q100" s="20">
        <f t="shared" si="6"/>
        <v>1</v>
      </c>
    </row>
    <row r="101" spans="2:17" ht="13" customHeight="1" x14ac:dyDescent="0.25">
      <c r="B101" s="22">
        <v>44294</v>
      </c>
      <c r="C101" s="23"/>
      <c r="D101" s="24"/>
      <c r="E101" s="25"/>
      <c r="F101" s="26"/>
      <c r="G101" s="27"/>
      <c r="H101" s="28" t="str">
        <f t="shared" si="4"/>
        <v/>
      </c>
      <c r="I101" s="28" t="str">
        <f t="shared" si="4"/>
        <v/>
      </c>
      <c r="J101" s="28" t="str">
        <f t="shared" si="4"/>
        <v/>
      </c>
      <c r="K101" s="28" t="str">
        <f t="shared" si="4"/>
        <v/>
      </c>
      <c r="L101" s="29" t="str">
        <f t="shared" ref="L101:L134" si="13">IF(G101="","",+(G100-G101))</f>
        <v/>
      </c>
      <c r="M101" s="30" t="str">
        <f t="shared" si="5"/>
        <v/>
      </c>
      <c r="Q101" s="20">
        <f t="shared" si="6"/>
        <v>1</v>
      </c>
    </row>
    <row r="102" spans="2:17" ht="13" customHeight="1" x14ac:dyDescent="0.25">
      <c r="B102" s="22">
        <v>44295</v>
      </c>
      <c r="C102" s="23"/>
      <c r="D102" s="24"/>
      <c r="E102" s="25"/>
      <c r="F102" s="26"/>
      <c r="G102" s="27"/>
      <c r="H102" s="28" t="str">
        <f t="shared" si="4"/>
        <v/>
      </c>
      <c r="I102" s="28" t="str">
        <f t="shared" si="4"/>
        <v/>
      </c>
      <c r="J102" s="28" t="str">
        <f t="shared" si="4"/>
        <v/>
      </c>
      <c r="K102" s="28" t="str">
        <f t="shared" si="4"/>
        <v/>
      </c>
      <c r="L102" s="29" t="str">
        <f>IF(G102="","",+(G101-G102))</f>
        <v/>
      </c>
      <c r="M102" s="30" t="str">
        <f t="shared" si="5"/>
        <v/>
      </c>
      <c r="Q102" s="20">
        <f t="shared" si="6"/>
        <v>1</v>
      </c>
    </row>
    <row r="103" spans="2:17" ht="13" customHeight="1" x14ac:dyDescent="0.25">
      <c r="B103" s="22">
        <v>44296</v>
      </c>
      <c r="C103" s="23"/>
      <c r="D103" s="24"/>
      <c r="E103" s="25"/>
      <c r="F103" s="26"/>
      <c r="G103" s="27"/>
      <c r="H103" s="28" t="str">
        <f t="shared" si="4"/>
        <v/>
      </c>
      <c r="I103" s="28" t="str">
        <f>IF(D103="","",+(D103-D102))</f>
        <v/>
      </c>
      <c r="J103" s="28" t="str">
        <f t="shared" si="4"/>
        <v/>
      </c>
      <c r="K103" s="28" t="str">
        <f t="shared" si="4"/>
        <v/>
      </c>
      <c r="L103" s="29" t="str">
        <f t="shared" si="13"/>
        <v/>
      </c>
      <c r="M103" s="30" t="str">
        <f t="shared" si="5"/>
        <v/>
      </c>
      <c r="Q103" s="20">
        <f t="shared" si="6"/>
        <v>1</v>
      </c>
    </row>
    <row r="104" spans="2:17" ht="13" customHeight="1" x14ac:dyDescent="0.25">
      <c r="B104" s="22">
        <v>44297</v>
      </c>
      <c r="C104" s="23"/>
      <c r="D104" s="24"/>
      <c r="E104" s="25"/>
      <c r="F104" s="26"/>
      <c r="G104" s="27"/>
      <c r="H104" s="28" t="str">
        <f t="shared" si="4"/>
        <v/>
      </c>
      <c r="I104" s="28" t="str">
        <f t="shared" si="4"/>
        <v/>
      </c>
      <c r="J104" s="28" t="str">
        <f t="shared" si="4"/>
        <v/>
      </c>
      <c r="K104" s="28" t="str">
        <f t="shared" si="4"/>
        <v/>
      </c>
      <c r="L104" s="29" t="str">
        <f>IF(G104="","",+(G103-G104))</f>
        <v/>
      </c>
      <c r="M104" s="30" t="str">
        <f t="shared" si="5"/>
        <v/>
      </c>
      <c r="Q104" s="20">
        <f t="shared" si="6"/>
        <v>1</v>
      </c>
    </row>
    <row r="105" spans="2:17" ht="13" customHeight="1" x14ac:dyDescent="0.25">
      <c r="B105" s="22">
        <v>44298</v>
      </c>
      <c r="C105" s="23"/>
      <c r="D105" s="24"/>
      <c r="E105" s="25"/>
      <c r="F105" s="26"/>
      <c r="G105" s="27"/>
      <c r="H105" s="28" t="str">
        <f t="shared" si="4"/>
        <v/>
      </c>
      <c r="I105" s="28" t="str">
        <f t="shared" si="4"/>
        <v/>
      </c>
      <c r="J105" s="28" t="str">
        <f t="shared" si="4"/>
        <v/>
      </c>
      <c r="K105" s="28" t="str">
        <f t="shared" si="4"/>
        <v/>
      </c>
      <c r="L105" s="29" t="str">
        <f t="shared" si="13"/>
        <v/>
      </c>
      <c r="M105" s="30" t="str">
        <f t="shared" si="5"/>
        <v/>
      </c>
      <c r="Q105" s="20">
        <f t="shared" si="6"/>
        <v>1</v>
      </c>
    </row>
    <row r="106" spans="2:17" ht="13" customHeight="1" x14ac:dyDescent="0.25">
      <c r="B106" s="22">
        <v>44299</v>
      </c>
      <c r="C106" s="23"/>
      <c r="D106" s="24"/>
      <c r="E106" s="25"/>
      <c r="F106" s="26"/>
      <c r="G106" s="27"/>
      <c r="H106" s="28" t="str">
        <f t="shared" si="4"/>
        <v/>
      </c>
      <c r="I106" s="28" t="str">
        <f t="shared" si="4"/>
        <v/>
      </c>
      <c r="J106" s="28" t="str">
        <f t="shared" si="4"/>
        <v/>
      </c>
      <c r="K106" s="28" t="str">
        <f t="shared" si="4"/>
        <v/>
      </c>
      <c r="L106" s="29" t="str">
        <f>IF(G106="","",+(G105-G106))</f>
        <v/>
      </c>
      <c r="M106" s="30" t="str">
        <f t="shared" si="5"/>
        <v/>
      </c>
      <c r="Q106" s="20">
        <f t="shared" si="6"/>
        <v>1</v>
      </c>
    </row>
    <row r="107" spans="2:17" ht="13" customHeight="1" x14ac:dyDescent="0.25">
      <c r="B107" s="22">
        <v>44300</v>
      </c>
      <c r="C107" s="23"/>
      <c r="D107" s="24"/>
      <c r="E107" s="25"/>
      <c r="F107" s="26"/>
      <c r="G107" s="27"/>
      <c r="H107" s="28" t="str">
        <f t="shared" si="4"/>
        <v/>
      </c>
      <c r="I107" s="28" t="str">
        <f t="shared" si="4"/>
        <v/>
      </c>
      <c r="J107" s="28" t="str">
        <f t="shared" si="4"/>
        <v/>
      </c>
      <c r="K107" s="28" t="str">
        <f t="shared" si="4"/>
        <v/>
      </c>
      <c r="L107" s="29" t="str">
        <f t="shared" si="13"/>
        <v/>
      </c>
      <c r="M107" s="30" t="str">
        <f t="shared" si="5"/>
        <v/>
      </c>
      <c r="Q107" s="20">
        <f t="shared" si="6"/>
        <v>1</v>
      </c>
    </row>
    <row r="108" spans="2:17" ht="13" customHeight="1" x14ac:dyDescent="0.25">
      <c r="B108" s="22">
        <v>44301</v>
      </c>
      <c r="C108" s="23"/>
      <c r="D108" s="24"/>
      <c r="E108" s="25"/>
      <c r="F108" s="26"/>
      <c r="G108" s="27"/>
      <c r="H108" s="28" t="str">
        <f t="shared" si="4"/>
        <v/>
      </c>
      <c r="I108" s="28" t="str">
        <f t="shared" si="4"/>
        <v/>
      </c>
      <c r="J108" s="28" t="str">
        <f t="shared" si="4"/>
        <v/>
      </c>
      <c r="K108" s="28" t="str">
        <f t="shared" si="4"/>
        <v/>
      </c>
      <c r="L108" s="29" t="str">
        <f t="shared" si="13"/>
        <v/>
      </c>
      <c r="M108" s="30" t="str">
        <f t="shared" si="5"/>
        <v/>
      </c>
      <c r="Q108" s="20">
        <f t="shared" si="6"/>
        <v>1</v>
      </c>
    </row>
    <row r="109" spans="2:17" ht="13" customHeight="1" x14ac:dyDescent="0.25">
      <c r="B109" s="22">
        <v>44302</v>
      </c>
      <c r="C109" s="23"/>
      <c r="D109" s="24"/>
      <c r="E109" s="25"/>
      <c r="F109" s="26"/>
      <c r="G109" s="27"/>
      <c r="H109" s="28" t="str">
        <f t="shared" si="4"/>
        <v/>
      </c>
      <c r="I109" s="28" t="str">
        <f t="shared" si="4"/>
        <v/>
      </c>
      <c r="J109" s="28" t="str">
        <f t="shared" si="4"/>
        <v/>
      </c>
      <c r="K109" s="28" t="str">
        <f t="shared" si="4"/>
        <v/>
      </c>
      <c r="L109" s="29" t="str">
        <f t="shared" si="13"/>
        <v/>
      </c>
      <c r="M109" s="30" t="str">
        <f t="shared" si="5"/>
        <v/>
      </c>
      <c r="Q109" s="20">
        <f t="shared" si="6"/>
        <v>1</v>
      </c>
    </row>
    <row r="110" spans="2:17" ht="13" customHeight="1" x14ac:dyDescent="0.25">
      <c r="B110" s="22">
        <v>44303</v>
      </c>
      <c r="C110" s="23"/>
      <c r="D110" s="24"/>
      <c r="E110" s="25"/>
      <c r="F110" s="26"/>
      <c r="G110" s="27"/>
      <c r="H110" s="28" t="str">
        <f t="shared" si="4"/>
        <v/>
      </c>
      <c r="I110" s="28" t="str">
        <f t="shared" si="4"/>
        <v/>
      </c>
      <c r="J110" s="28" t="str">
        <f t="shared" si="4"/>
        <v/>
      </c>
      <c r="K110" s="28" t="str">
        <f t="shared" si="4"/>
        <v/>
      </c>
      <c r="L110" s="29" t="str">
        <f t="shared" si="13"/>
        <v/>
      </c>
      <c r="M110" s="30" t="str">
        <f t="shared" si="5"/>
        <v/>
      </c>
      <c r="Q110" s="20">
        <f t="shared" si="6"/>
        <v>1</v>
      </c>
    </row>
    <row r="111" spans="2:17" ht="13" customHeight="1" x14ac:dyDescent="0.25">
      <c r="B111" s="22">
        <v>44304</v>
      </c>
      <c r="C111" s="23"/>
      <c r="D111" s="24"/>
      <c r="E111" s="25"/>
      <c r="F111" s="26"/>
      <c r="G111" s="27"/>
      <c r="H111" s="28" t="str">
        <f t="shared" si="4"/>
        <v/>
      </c>
      <c r="I111" s="28" t="str">
        <f t="shared" si="4"/>
        <v/>
      </c>
      <c r="J111" s="28" t="str">
        <f t="shared" si="4"/>
        <v/>
      </c>
      <c r="K111" s="28" t="str">
        <f t="shared" si="4"/>
        <v/>
      </c>
      <c r="L111" s="29" t="str">
        <f>IF(G111="","",+(G110-G111))</f>
        <v/>
      </c>
      <c r="M111" s="30" t="str">
        <f t="shared" si="5"/>
        <v/>
      </c>
      <c r="Q111" s="20">
        <f t="shared" si="6"/>
        <v>1</v>
      </c>
    </row>
    <row r="112" spans="2:17" ht="13" customHeight="1" x14ac:dyDescent="0.25">
      <c r="B112" s="22">
        <v>44305</v>
      </c>
      <c r="C112" s="23"/>
      <c r="D112" s="24"/>
      <c r="E112" s="25"/>
      <c r="F112" s="26"/>
      <c r="G112" s="27"/>
      <c r="H112" s="28" t="str">
        <f t="shared" si="4"/>
        <v/>
      </c>
      <c r="I112" s="28" t="str">
        <f t="shared" si="4"/>
        <v/>
      </c>
      <c r="J112" s="28" t="str">
        <f t="shared" si="4"/>
        <v/>
      </c>
      <c r="K112" s="28" t="str">
        <f t="shared" si="4"/>
        <v/>
      </c>
      <c r="L112" s="29" t="str">
        <f t="shared" si="13"/>
        <v/>
      </c>
      <c r="M112" s="30" t="str">
        <f t="shared" si="5"/>
        <v/>
      </c>
      <c r="Q112" s="20">
        <f t="shared" si="6"/>
        <v>1</v>
      </c>
    </row>
    <row r="113" spans="2:17" ht="13" customHeight="1" thickBot="1" x14ac:dyDescent="0.3">
      <c r="B113" s="22">
        <v>44306</v>
      </c>
      <c r="C113" s="23"/>
      <c r="D113" s="24"/>
      <c r="E113" s="25"/>
      <c r="F113" s="26"/>
      <c r="G113" s="27"/>
      <c r="H113" s="28" t="str">
        <f t="shared" si="4"/>
        <v/>
      </c>
      <c r="I113" s="28" t="str">
        <f t="shared" si="4"/>
        <v/>
      </c>
      <c r="J113" s="28" t="str">
        <f t="shared" si="4"/>
        <v/>
      </c>
      <c r="K113" s="28" t="str">
        <f t="shared" si="4"/>
        <v/>
      </c>
      <c r="L113" s="29" t="str">
        <f t="shared" si="13"/>
        <v/>
      </c>
      <c r="M113" s="30" t="str">
        <f t="shared" si="5"/>
        <v/>
      </c>
      <c r="Q113" s="20">
        <f t="shared" si="6"/>
        <v>1</v>
      </c>
    </row>
    <row r="114" spans="2:17" ht="13" customHeight="1" x14ac:dyDescent="0.25">
      <c r="B114" s="22">
        <v>44307</v>
      </c>
      <c r="C114" s="23"/>
      <c r="D114" s="24"/>
      <c r="E114" s="25"/>
      <c r="F114" s="26"/>
      <c r="G114" s="27"/>
      <c r="H114" s="28" t="str">
        <f t="shared" si="4"/>
        <v/>
      </c>
      <c r="I114" s="28" t="str">
        <f t="shared" si="4"/>
        <v/>
      </c>
      <c r="J114" s="28" t="str">
        <f t="shared" si="4"/>
        <v/>
      </c>
      <c r="K114" s="28" t="str">
        <f t="shared" si="4"/>
        <v/>
      </c>
      <c r="L114" s="29" t="str">
        <f t="shared" si="13"/>
        <v/>
      </c>
      <c r="M114" s="30" t="str">
        <f t="shared" si="5"/>
        <v/>
      </c>
      <c r="N114" s="159" t="s">
        <v>21</v>
      </c>
      <c r="O114" s="159" t="s">
        <v>22</v>
      </c>
      <c r="Q114" s="20">
        <f t="shared" si="6"/>
        <v>1</v>
      </c>
    </row>
    <row r="115" spans="2:17" ht="13" x14ac:dyDescent="0.25">
      <c r="B115" s="22">
        <v>44308</v>
      </c>
      <c r="C115" s="23"/>
      <c r="D115" s="24"/>
      <c r="E115" s="25"/>
      <c r="F115" s="26"/>
      <c r="G115" s="27"/>
      <c r="H115" s="28" t="str">
        <f t="shared" si="4"/>
        <v/>
      </c>
      <c r="I115" s="28" t="str">
        <f t="shared" si="4"/>
        <v/>
      </c>
      <c r="J115" s="28" t="str">
        <f t="shared" si="4"/>
        <v/>
      </c>
      <c r="K115" s="28" t="str">
        <f t="shared" si="4"/>
        <v/>
      </c>
      <c r="L115" s="29" t="str">
        <f t="shared" si="13"/>
        <v/>
      </c>
      <c r="M115" s="30" t="str">
        <f t="shared" si="5"/>
        <v/>
      </c>
      <c r="N115" s="160"/>
      <c r="O115" s="160"/>
      <c r="Q115" s="20">
        <f t="shared" si="6"/>
        <v>1</v>
      </c>
    </row>
    <row r="116" spans="2:17" ht="13" customHeight="1" thickBot="1" x14ac:dyDescent="0.3">
      <c r="B116" s="22">
        <v>44309</v>
      </c>
      <c r="C116" s="23"/>
      <c r="D116" s="24"/>
      <c r="E116" s="25"/>
      <c r="F116" s="26"/>
      <c r="G116" s="27"/>
      <c r="H116" s="28" t="str">
        <f t="shared" si="4"/>
        <v/>
      </c>
      <c r="I116" s="28" t="str">
        <f t="shared" si="4"/>
        <v/>
      </c>
      <c r="J116" s="28" t="str">
        <f t="shared" si="4"/>
        <v/>
      </c>
      <c r="K116" s="28" t="str">
        <f t="shared" si="4"/>
        <v/>
      </c>
      <c r="L116" s="29" t="str">
        <f t="shared" si="13"/>
        <v/>
      </c>
      <c r="M116" s="30" t="str">
        <f t="shared" si="5"/>
        <v/>
      </c>
      <c r="N116" s="161"/>
      <c r="O116" s="161"/>
      <c r="Q116" s="20">
        <f t="shared" si="6"/>
        <v>1</v>
      </c>
    </row>
    <row r="117" spans="2:17" ht="13" customHeight="1" thickBot="1" x14ac:dyDescent="0.3">
      <c r="B117" s="22">
        <v>44310</v>
      </c>
      <c r="C117" s="23"/>
      <c r="D117" s="24"/>
      <c r="E117" s="25"/>
      <c r="F117" s="26"/>
      <c r="G117" s="27"/>
      <c r="H117" s="28" t="str">
        <f t="shared" si="4"/>
        <v/>
      </c>
      <c r="I117" s="28" t="str">
        <f t="shared" si="4"/>
        <v/>
      </c>
      <c r="J117" s="28" t="str">
        <f t="shared" si="4"/>
        <v/>
      </c>
      <c r="K117" s="28" t="str">
        <f t="shared" si="4"/>
        <v/>
      </c>
      <c r="L117" s="29" t="str">
        <f t="shared" si="13"/>
        <v/>
      </c>
      <c r="M117" s="30" t="str">
        <f t="shared" si="5"/>
        <v/>
      </c>
      <c r="N117" s="32">
        <f>SUM(L95:L124)</f>
        <v>0</v>
      </c>
      <c r="O117" s="32">
        <f>SUM(M95:M124)</f>
        <v>0</v>
      </c>
      <c r="Q117" s="20">
        <f t="shared" si="6"/>
        <v>1</v>
      </c>
    </row>
    <row r="118" spans="2:17" ht="13" customHeight="1" x14ac:dyDescent="0.25">
      <c r="B118" s="22">
        <v>44311</v>
      </c>
      <c r="C118" s="23"/>
      <c r="D118" s="24"/>
      <c r="E118" s="25"/>
      <c r="F118" s="26"/>
      <c r="G118" s="27"/>
      <c r="H118" s="28" t="str">
        <f t="shared" si="4"/>
        <v/>
      </c>
      <c r="I118" s="28" t="str">
        <f t="shared" si="4"/>
        <v/>
      </c>
      <c r="J118" s="28" t="str">
        <f t="shared" si="4"/>
        <v/>
      </c>
      <c r="K118" s="28" t="str">
        <f t="shared" si="4"/>
        <v/>
      </c>
      <c r="L118" s="29" t="str">
        <f t="shared" si="13"/>
        <v/>
      </c>
      <c r="M118" s="30" t="str">
        <f t="shared" si="5"/>
        <v/>
      </c>
      <c r="N118" s="159" t="s">
        <v>23</v>
      </c>
      <c r="O118" s="159" t="s">
        <v>24</v>
      </c>
      <c r="Q118" s="20">
        <f t="shared" si="6"/>
        <v>1</v>
      </c>
    </row>
    <row r="119" spans="2:17" ht="13" customHeight="1" thickBot="1" x14ac:dyDescent="0.3">
      <c r="B119" s="22">
        <v>44312</v>
      </c>
      <c r="C119" s="23"/>
      <c r="D119" s="24"/>
      <c r="E119" s="25"/>
      <c r="F119" s="26"/>
      <c r="G119" s="27"/>
      <c r="H119" s="28" t="str">
        <f t="shared" si="4"/>
        <v/>
      </c>
      <c r="I119" s="28" t="str">
        <f t="shared" si="4"/>
        <v/>
      </c>
      <c r="J119" s="28" t="str">
        <f t="shared" si="4"/>
        <v/>
      </c>
      <c r="K119" s="28" t="str">
        <f t="shared" si="4"/>
        <v/>
      </c>
      <c r="L119" s="29" t="str">
        <f t="shared" si="13"/>
        <v/>
      </c>
      <c r="M119" s="30" t="str">
        <f t="shared" si="5"/>
        <v/>
      </c>
      <c r="N119" s="161"/>
      <c r="O119" s="161"/>
      <c r="Q119" s="20">
        <f t="shared" si="6"/>
        <v>1</v>
      </c>
    </row>
    <row r="120" spans="2:17" ht="13" customHeight="1" thickBot="1" x14ac:dyDescent="0.3">
      <c r="B120" s="22">
        <v>44313</v>
      </c>
      <c r="C120" s="23"/>
      <c r="D120" s="24"/>
      <c r="E120" s="25"/>
      <c r="F120" s="26"/>
      <c r="G120" s="27"/>
      <c r="H120" s="28" t="str">
        <f t="shared" si="4"/>
        <v/>
      </c>
      <c r="I120" s="28" t="str">
        <f t="shared" si="4"/>
        <v/>
      </c>
      <c r="J120" s="28" t="str">
        <f t="shared" si="4"/>
        <v/>
      </c>
      <c r="K120" s="28" t="str">
        <f t="shared" si="4"/>
        <v/>
      </c>
      <c r="L120" s="29" t="str">
        <f t="shared" si="13"/>
        <v/>
      </c>
      <c r="M120" s="30" t="str">
        <f t="shared" si="5"/>
        <v/>
      </c>
      <c r="N120" s="32" t="e">
        <f>AVERAGE(L95:L124)</f>
        <v>#DIV/0!</v>
      </c>
      <c r="O120" s="32" t="e">
        <f>AVERAGE(M95:M124)</f>
        <v>#DIV/0!</v>
      </c>
      <c r="Q120" s="20">
        <f t="shared" si="6"/>
        <v>1</v>
      </c>
    </row>
    <row r="121" spans="2:17" ht="13" customHeight="1" x14ac:dyDescent="0.25">
      <c r="B121" s="22">
        <v>44314</v>
      </c>
      <c r="C121" s="23"/>
      <c r="D121" s="24"/>
      <c r="E121" s="25"/>
      <c r="F121" s="26"/>
      <c r="G121" s="27"/>
      <c r="H121" s="28" t="str">
        <f t="shared" si="4"/>
        <v/>
      </c>
      <c r="I121" s="28" t="str">
        <f t="shared" si="4"/>
        <v/>
      </c>
      <c r="J121" s="28" t="str">
        <f t="shared" si="4"/>
        <v/>
      </c>
      <c r="K121" s="28" t="str">
        <f t="shared" si="4"/>
        <v/>
      </c>
      <c r="L121" s="29" t="str">
        <f t="shared" si="13"/>
        <v/>
      </c>
      <c r="M121" s="30" t="str">
        <f t="shared" si="5"/>
        <v/>
      </c>
      <c r="O121" s="20">
        <f>IF(L121="",1,0)</f>
        <v>1</v>
      </c>
    </row>
    <row r="122" spans="2:17" ht="13" customHeight="1" x14ac:dyDescent="0.25">
      <c r="B122" s="22">
        <v>44315</v>
      </c>
      <c r="C122" s="23"/>
      <c r="D122" s="24"/>
      <c r="E122" s="25"/>
      <c r="F122" s="26"/>
      <c r="G122" s="27"/>
      <c r="H122" s="28" t="str">
        <f t="shared" si="4"/>
        <v/>
      </c>
      <c r="I122" s="28" t="str">
        <f t="shared" si="4"/>
        <v/>
      </c>
      <c r="J122" s="28" t="str">
        <f t="shared" si="4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5"/>
        <v/>
      </c>
      <c r="O122" s="20">
        <f>IF(L122="",1,0)</f>
        <v>1</v>
      </c>
    </row>
    <row r="123" spans="2:17" ht="13" customHeight="1" x14ac:dyDescent="0.25">
      <c r="B123" s="22">
        <v>44316</v>
      </c>
      <c r="C123" s="23"/>
      <c r="D123" s="24"/>
      <c r="E123" s="25"/>
      <c r="F123" s="26"/>
      <c r="G123" s="27"/>
      <c r="H123" s="28" t="str">
        <f t="shared" si="4"/>
        <v/>
      </c>
      <c r="I123" s="28" t="str">
        <f>IF(D123="","",+(D123-D122))</f>
        <v/>
      </c>
      <c r="J123" s="28" t="str">
        <f t="shared" si="4"/>
        <v/>
      </c>
      <c r="K123" s="28" t="str">
        <f t="shared" si="4"/>
        <v/>
      </c>
      <c r="L123" s="29" t="str">
        <f t="shared" si="13"/>
        <v/>
      </c>
      <c r="M123" s="30" t="str">
        <f t="shared" si="5"/>
        <v/>
      </c>
      <c r="O123" s="20">
        <f>IF(L123="",1,0)</f>
        <v>1</v>
      </c>
      <c r="P123" s="41"/>
    </row>
    <row r="124" spans="2:17" ht="13" customHeight="1" x14ac:dyDescent="0.25">
      <c r="B124" s="22">
        <v>44317</v>
      </c>
      <c r="C124" s="33"/>
      <c r="D124" s="33"/>
      <c r="E124" s="33"/>
      <c r="F124" s="33"/>
      <c r="G124" s="33"/>
      <c r="H124" s="35" t="str">
        <f t="shared" si="4"/>
        <v/>
      </c>
      <c r="I124" s="35" t="str">
        <f>IF(D124="","",+(D124-D123))</f>
        <v/>
      </c>
      <c r="J124" s="35" t="str">
        <f t="shared" si="4"/>
        <v/>
      </c>
      <c r="K124" s="35" t="str">
        <f t="shared" si="4"/>
        <v/>
      </c>
      <c r="L124" s="36" t="str">
        <f t="shared" si="13"/>
        <v/>
      </c>
      <c r="M124" s="35" t="str">
        <f t="shared" si="5"/>
        <v/>
      </c>
      <c r="Q124" s="20">
        <f t="shared" si="6"/>
        <v>1</v>
      </c>
    </row>
    <row r="125" spans="2:17" ht="13" customHeight="1" x14ac:dyDescent="0.25">
      <c r="B125" s="22">
        <v>44318</v>
      </c>
      <c r="C125" s="42"/>
      <c r="D125" s="24"/>
      <c r="E125" s="25"/>
      <c r="F125" s="26"/>
      <c r="G125" s="27"/>
      <c r="H125" s="28" t="str">
        <f t="shared" si="4"/>
        <v/>
      </c>
      <c r="I125" s="28" t="str">
        <f>IF(D125="","",+(D125-D124))</f>
        <v/>
      </c>
      <c r="J125" s="28" t="str">
        <f t="shared" si="4"/>
        <v/>
      </c>
      <c r="K125" s="28" t="str">
        <f t="shared" si="4"/>
        <v/>
      </c>
      <c r="L125" s="29" t="str">
        <f t="shared" si="13"/>
        <v/>
      </c>
      <c r="M125" s="30" t="str">
        <f t="shared" si="5"/>
        <v/>
      </c>
      <c r="Q125" s="20">
        <f t="shared" si="6"/>
        <v>1</v>
      </c>
    </row>
    <row r="126" spans="2:17" ht="13" customHeight="1" x14ac:dyDescent="0.25">
      <c r="B126" s="22">
        <v>44319</v>
      </c>
      <c r="C126" s="42"/>
      <c r="D126" s="24"/>
      <c r="E126" s="25"/>
      <c r="F126" s="26"/>
      <c r="G126" s="27"/>
      <c r="H126" s="38" t="str">
        <f t="shared" si="4"/>
        <v/>
      </c>
      <c r="I126" s="28" t="str">
        <f t="shared" si="4"/>
        <v/>
      </c>
      <c r="J126" s="28" t="str">
        <f t="shared" si="4"/>
        <v/>
      </c>
      <c r="K126" s="28" t="str">
        <f t="shared" si="4"/>
        <v/>
      </c>
      <c r="L126" s="29" t="str">
        <f t="shared" si="13"/>
        <v/>
      </c>
      <c r="M126" s="30" t="str">
        <f t="shared" si="5"/>
        <v/>
      </c>
      <c r="Q126" s="20">
        <f t="shared" si="6"/>
        <v>1</v>
      </c>
    </row>
    <row r="127" spans="2:17" ht="13" customHeight="1" x14ac:dyDescent="0.25">
      <c r="B127" s="22">
        <v>44320</v>
      </c>
      <c r="C127" s="42"/>
      <c r="D127" s="24"/>
      <c r="E127" s="25"/>
      <c r="F127" s="26"/>
      <c r="G127" s="27"/>
      <c r="H127" s="28" t="str">
        <f t="shared" si="4"/>
        <v/>
      </c>
      <c r="I127" s="28" t="str">
        <f t="shared" si="4"/>
        <v/>
      </c>
      <c r="J127" s="28" t="str">
        <f t="shared" si="4"/>
        <v/>
      </c>
      <c r="K127" s="28" t="str">
        <f t="shared" si="4"/>
        <v/>
      </c>
      <c r="L127" s="29" t="str">
        <f t="shared" si="13"/>
        <v/>
      </c>
      <c r="M127" s="30" t="str">
        <f t="shared" si="5"/>
        <v/>
      </c>
      <c r="Q127" s="20">
        <f t="shared" si="6"/>
        <v>1</v>
      </c>
    </row>
    <row r="128" spans="2:17" ht="13" customHeight="1" x14ac:dyDescent="0.25">
      <c r="B128" s="22">
        <v>44321</v>
      </c>
      <c r="C128" s="42"/>
      <c r="D128" s="24"/>
      <c r="E128" s="25"/>
      <c r="F128" s="26"/>
      <c r="G128" s="27"/>
      <c r="H128" s="38" t="str">
        <f t="shared" si="4"/>
        <v/>
      </c>
      <c r="I128" s="28" t="str">
        <f t="shared" si="4"/>
        <v/>
      </c>
      <c r="J128" s="28" t="str">
        <f t="shared" si="4"/>
        <v/>
      </c>
      <c r="K128" s="28" t="str">
        <f t="shared" si="4"/>
        <v/>
      </c>
      <c r="L128" s="29" t="str">
        <f>IF(G128="","",+(G127-G128))</f>
        <v/>
      </c>
      <c r="M128" s="30" t="str">
        <f t="shared" si="5"/>
        <v/>
      </c>
      <c r="Q128" s="20">
        <f t="shared" si="6"/>
        <v>1</v>
      </c>
    </row>
    <row r="129" spans="2:17" ht="13" customHeight="1" x14ac:dyDescent="0.25">
      <c r="B129" s="22">
        <v>44322</v>
      </c>
      <c r="C129" s="42"/>
      <c r="D129" s="24"/>
      <c r="E129" s="25"/>
      <c r="F129" s="26"/>
      <c r="G129" s="27"/>
      <c r="H129" s="28" t="str">
        <f t="shared" si="4"/>
        <v/>
      </c>
      <c r="I129" s="28" t="str">
        <f t="shared" si="4"/>
        <v/>
      </c>
      <c r="J129" s="28" t="str">
        <f t="shared" si="4"/>
        <v/>
      </c>
      <c r="K129" s="28" t="str">
        <f t="shared" si="4"/>
        <v/>
      </c>
      <c r="L129" s="29" t="str">
        <f>IF(G129="","",+(G128-G129))</f>
        <v/>
      </c>
      <c r="M129" s="30" t="str">
        <f t="shared" si="5"/>
        <v/>
      </c>
      <c r="Q129" s="20">
        <f t="shared" si="6"/>
        <v>1</v>
      </c>
    </row>
    <row r="130" spans="2:17" ht="13" customHeight="1" x14ac:dyDescent="0.25">
      <c r="B130" s="22">
        <v>44323</v>
      </c>
      <c r="C130" s="42"/>
      <c r="D130" s="24"/>
      <c r="E130" s="25"/>
      <c r="F130" s="26"/>
      <c r="G130" s="27"/>
      <c r="H130" s="28" t="str">
        <f t="shared" si="4"/>
        <v/>
      </c>
      <c r="I130" s="28" t="str">
        <f t="shared" si="4"/>
        <v/>
      </c>
      <c r="J130" s="28" t="str">
        <f t="shared" si="4"/>
        <v/>
      </c>
      <c r="K130" s="28" t="str">
        <f t="shared" si="4"/>
        <v/>
      </c>
      <c r="L130" s="29" t="str">
        <f t="shared" si="13"/>
        <v/>
      </c>
      <c r="M130" s="30" t="str">
        <f t="shared" si="5"/>
        <v/>
      </c>
      <c r="Q130" s="20">
        <f t="shared" si="6"/>
        <v>1</v>
      </c>
    </row>
    <row r="131" spans="2:17" ht="13" customHeight="1" x14ac:dyDescent="0.25">
      <c r="B131" s="22">
        <v>44324</v>
      </c>
      <c r="C131" s="42"/>
      <c r="D131" s="24"/>
      <c r="E131" s="25"/>
      <c r="F131" s="26"/>
      <c r="G131" s="27"/>
      <c r="H131" s="28" t="str">
        <f t="shared" si="4"/>
        <v/>
      </c>
      <c r="I131" s="28" t="str">
        <f t="shared" si="4"/>
        <v/>
      </c>
      <c r="J131" s="28" t="str">
        <f t="shared" si="4"/>
        <v/>
      </c>
      <c r="K131" s="28" t="str">
        <f t="shared" si="4"/>
        <v/>
      </c>
      <c r="L131" s="29" t="str">
        <f t="shared" si="13"/>
        <v/>
      </c>
      <c r="M131" s="30" t="str">
        <f t="shared" si="5"/>
        <v/>
      </c>
      <c r="Q131" s="20">
        <f t="shared" si="6"/>
        <v>1</v>
      </c>
    </row>
    <row r="132" spans="2:17" ht="13" customHeight="1" x14ac:dyDescent="0.25">
      <c r="B132" s="22">
        <v>44325</v>
      </c>
      <c r="C132" s="42"/>
      <c r="D132" s="24"/>
      <c r="E132" s="25"/>
      <c r="F132" s="26"/>
      <c r="G132" s="27"/>
      <c r="H132" s="28" t="str">
        <f t="shared" si="4"/>
        <v/>
      </c>
      <c r="I132" s="28" t="str">
        <f t="shared" si="4"/>
        <v/>
      </c>
      <c r="J132" s="28" t="str">
        <f t="shared" si="4"/>
        <v/>
      </c>
      <c r="K132" s="28" t="str">
        <f t="shared" si="4"/>
        <v/>
      </c>
      <c r="L132" s="29" t="str">
        <f t="shared" si="13"/>
        <v/>
      </c>
      <c r="M132" s="30" t="str">
        <f t="shared" si="5"/>
        <v/>
      </c>
      <c r="Q132" s="20">
        <f t="shared" si="6"/>
        <v>1</v>
      </c>
    </row>
    <row r="133" spans="2:17" ht="13" customHeight="1" x14ac:dyDescent="0.25">
      <c r="B133" s="22">
        <v>44326</v>
      </c>
      <c r="C133" s="42"/>
      <c r="D133" s="24"/>
      <c r="E133" s="25"/>
      <c r="F133" s="26"/>
      <c r="G133" s="27"/>
      <c r="H133" s="28" t="str">
        <f t="shared" si="4"/>
        <v/>
      </c>
      <c r="I133" s="28" t="str">
        <f t="shared" si="4"/>
        <v/>
      </c>
      <c r="J133" s="28" t="str">
        <f t="shared" si="4"/>
        <v/>
      </c>
      <c r="K133" s="28" t="str">
        <f t="shared" si="4"/>
        <v/>
      </c>
      <c r="L133" s="29" t="str">
        <f t="shared" si="13"/>
        <v/>
      </c>
      <c r="M133" s="30" t="str">
        <f t="shared" si="5"/>
        <v/>
      </c>
      <c r="Q133" s="20">
        <f t="shared" si="6"/>
        <v>1</v>
      </c>
    </row>
    <row r="134" spans="2:17" ht="13" customHeight="1" x14ac:dyDescent="0.25">
      <c r="B134" s="22">
        <v>44327</v>
      </c>
      <c r="C134" s="42"/>
      <c r="D134" s="24"/>
      <c r="E134" s="25"/>
      <c r="F134" s="26"/>
      <c r="G134" s="27"/>
      <c r="H134" s="28" t="str">
        <f t="shared" ref="H134:K185" si="14">IF(C134="","",+(C134-C133))</f>
        <v/>
      </c>
      <c r="I134" s="28" t="str">
        <f t="shared" si="14"/>
        <v/>
      </c>
      <c r="J134" s="28" t="str">
        <f t="shared" si="14"/>
        <v/>
      </c>
      <c r="K134" s="28" t="str">
        <f t="shared" si="14"/>
        <v/>
      </c>
      <c r="L134" s="29" t="str">
        <f t="shared" si="13"/>
        <v/>
      </c>
      <c r="M134" s="30" t="str">
        <f t="shared" ref="M134:M197" si="15">IF(H134="","",+(H134+I134+J134+K134))</f>
        <v/>
      </c>
      <c r="Q134" s="20">
        <f t="shared" ref="Q134:Q197" si="16">IF(L134="",1,0)</f>
        <v>1</v>
      </c>
    </row>
    <row r="135" spans="2:17" ht="13" customHeight="1" x14ac:dyDescent="0.25">
      <c r="B135" s="22">
        <v>44328</v>
      </c>
      <c r="C135" s="42"/>
      <c r="D135" s="24"/>
      <c r="E135" s="25"/>
      <c r="F135" s="26"/>
      <c r="G135" s="27"/>
      <c r="H135" s="28" t="str">
        <f t="shared" si="14"/>
        <v/>
      </c>
      <c r="I135" s="28" t="str">
        <f t="shared" si="14"/>
        <v/>
      </c>
      <c r="J135" s="28" t="str">
        <f t="shared" si="14"/>
        <v/>
      </c>
      <c r="K135" s="28" t="str">
        <f t="shared" si="14"/>
        <v/>
      </c>
      <c r="L135" s="29" t="str">
        <f>IF(G135="","",+(G134-G135))</f>
        <v/>
      </c>
      <c r="M135" s="30" t="str">
        <f t="shared" si="15"/>
        <v/>
      </c>
      <c r="Q135" s="20">
        <f t="shared" si="16"/>
        <v>1</v>
      </c>
    </row>
    <row r="136" spans="2:17" ht="13" customHeight="1" x14ac:dyDescent="0.25">
      <c r="B136" s="22">
        <v>44329</v>
      </c>
      <c r="C136" s="42"/>
      <c r="D136" s="24"/>
      <c r="E136" s="25"/>
      <c r="F136" s="26"/>
      <c r="G136" s="27"/>
      <c r="H136" s="28" t="str">
        <f t="shared" si="14"/>
        <v/>
      </c>
      <c r="I136" s="28" t="str">
        <f t="shared" si="14"/>
        <v/>
      </c>
      <c r="J136" s="28" t="str">
        <f t="shared" si="14"/>
        <v/>
      </c>
      <c r="K136" s="28" t="str">
        <f t="shared" si="14"/>
        <v/>
      </c>
      <c r="L136" s="29" t="str">
        <f>IF(G136="","",+(G135-G136))</f>
        <v/>
      </c>
      <c r="M136" s="30" t="str">
        <f t="shared" si="15"/>
        <v/>
      </c>
      <c r="Q136" s="20">
        <f t="shared" si="16"/>
        <v>1</v>
      </c>
    </row>
    <row r="137" spans="2:17" ht="13" customHeight="1" x14ac:dyDescent="0.25">
      <c r="B137" s="22">
        <v>44330</v>
      </c>
      <c r="C137" s="42"/>
      <c r="D137" s="24"/>
      <c r="E137" s="25"/>
      <c r="F137" s="26"/>
      <c r="G137" s="27"/>
      <c r="H137" s="28" t="str">
        <f t="shared" si="14"/>
        <v/>
      </c>
      <c r="I137" s="28" t="str">
        <f t="shared" si="14"/>
        <v/>
      </c>
      <c r="J137" s="28" t="str">
        <f t="shared" si="14"/>
        <v/>
      </c>
      <c r="K137" s="28" t="str">
        <f t="shared" si="14"/>
        <v/>
      </c>
      <c r="L137" s="29" t="str">
        <f>IF(G137="","",+(G136-G137))</f>
        <v/>
      </c>
      <c r="M137" s="30" t="str">
        <f t="shared" si="15"/>
        <v/>
      </c>
      <c r="Q137" s="20">
        <f t="shared" si="16"/>
        <v>1</v>
      </c>
    </row>
    <row r="138" spans="2:17" ht="13" customHeight="1" x14ac:dyDescent="0.25">
      <c r="B138" s="22">
        <v>44331</v>
      </c>
      <c r="C138" s="42"/>
      <c r="D138" s="24"/>
      <c r="E138" s="25"/>
      <c r="F138" s="26"/>
      <c r="G138" s="27"/>
      <c r="H138" s="28" t="str">
        <f t="shared" si="14"/>
        <v/>
      </c>
      <c r="I138" s="28" t="str">
        <f t="shared" si="14"/>
        <v/>
      </c>
      <c r="J138" s="28" t="str">
        <f t="shared" si="14"/>
        <v/>
      </c>
      <c r="K138" s="28" t="str">
        <f t="shared" si="14"/>
        <v/>
      </c>
      <c r="L138" s="29" t="str">
        <f t="shared" ref="L138:L144" si="17">IF(G138="","",+(G137-G138))</f>
        <v/>
      </c>
      <c r="M138" s="30" t="str">
        <f t="shared" si="15"/>
        <v/>
      </c>
      <c r="Q138" s="20">
        <f t="shared" si="16"/>
        <v>1</v>
      </c>
    </row>
    <row r="139" spans="2:17" ht="13" customHeight="1" x14ac:dyDescent="0.25">
      <c r="B139" s="22">
        <v>44332</v>
      </c>
      <c r="C139" s="42"/>
      <c r="D139" s="24"/>
      <c r="E139" s="25"/>
      <c r="F139" s="26"/>
      <c r="G139" s="27"/>
      <c r="H139" s="28" t="str">
        <f t="shared" si="14"/>
        <v/>
      </c>
      <c r="I139" s="28" t="str">
        <f t="shared" si="14"/>
        <v/>
      </c>
      <c r="J139" s="28" t="str">
        <f t="shared" si="14"/>
        <v/>
      </c>
      <c r="K139" s="28" t="str">
        <f t="shared" si="14"/>
        <v/>
      </c>
      <c r="L139" s="29" t="str">
        <f t="shared" si="17"/>
        <v/>
      </c>
      <c r="M139" s="30" t="str">
        <f t="shared" si="15"/>
        <v/>
      </c>
      <c r="Q139" s="20">
        <f t="shared" si="16"/>
        <v>1</v>
      </c>
    </row>
    <row r="140" spans="2:17" ht="13" customHeight="1" x14ac:dyDescent="0.25">
      <c r="B140" s="22">
        <v>44333</v>
      </c>
      <c r="C140" s="42"/>
      <c r="D140" s="24"/>
      <c r="E140" s="25"/>
      <c r="F140" s="26"/>
      <c r="G140" s="27"/>
      <c r="H140" s="28" t="str">
        <f t="shared" si="14"/>
        <v/>
      </c>
      <c r="I140" s="28" t="str">
        <f t="shared" si="14"/>
        <v/>
      </c>
      <c r="J140" s="28" t="str">
        <f t="shared" si="14"/>
        <v/>
      </c>
      <c r="K140" s="28" t="str">
        <f t="shared" si="14"/>
        <v/>
      </c>
      <c r="L140" s="29" t="str">
        <f t="shared" si="17"/>
        <v/>
      </c>
      <c r="M140" s="30" t="str">
        <f t="shared" si="15"/>
        <v/>
      </c>
      <c r="Q140" s="20">
        <f t="shared" si="16"/>
        <v>1</v>
      </c>
    </row>
    <row r="141" spans="2:17" ht="13" customHeight="1" x14ac:dyDescent="0.25">
      <c r="B141" s="22">
        <v>44334</v>
      </c>
      <c r="C141" s="42"/>
      <c r="D141" s="24"/>
      <c r="E141" s="25"/>
      <c r="F141" s="26"/>
      <c r="G141" s="27"/>
      <c r="H141" s="28" t="str">
        <f t="shared" si="14"/>
        <v/>
      </c>
      <c r="I141" s="28" t="str">
        <f t="shared" si="14"/>
        <v/>
      </c>
      <c r="J141" s="28" t="str">
        <f t="shared" si="14"/>
        <v/>
      </c>
      <c r="K141" s="28" t="str">
        <f t="shared" si="14"/>
        <v/>
      </c>
      <c r="L141" s="29" t="str">
        <f t="shared" si="17"/>
        <v/>
      </c>
      <c r="M141" s="30" t="str">
        <f t="shared" si="15"/>
        <v/>
      </c>
      <c r="Q141" s="20">
        <f t="shared" si="16"/>
        <v>1</v>
      </c>
    </row>
    <row r="142" spans="2:17" ht="13" customHeight="1" x14ac:dyDescent="0.25">
      <c r="B142" s="22">
        <v>44335</v>
      </c>
      <c r="C142" s="42"/>
      <c r="D142" s="24"/>
      <c r="E142" s="25"/>
      <c r="F142" s="26"/>
      <c r="G142" s="27"/>
      <c r="H142" s="28" t="str">
        <f t="shared" si="14"/>
        <v/>
      </c>
      <c r="I142" s="28" t="str">
        <f t="shared" si="14"/>
        <v/>
      </c>
      <c r="J142" s="28" t="str">
        <f t="shared" si="14"/>
        <v/>
      </c>
      <c r="K142" s="28" t="str">
        <f t="shared" si="14"/>
        <v/>
      </c>
      <c r="L142" s="29" t="str">
        <f t="shared" si="17"/>
        <v/>
      </c>
      <c r="M142" s="30" t="str">
        <f t="shared" si="15"/>
        <v/>
      </c>
      <c r="Q142" s="20">
        <f t="shared" si="16"/>
        <v>1</v>
      </c>
    </row>
    <row r="143" spans="2:17" ht="13" customHeight="1" x14ac:dyDescent="0.25">
      <c r="B143" s="22">
        <v>44336</v>
      </c>
      <c r="C143" s="42"/>
      <c r="D143" s="24"/>
      <c r="E143" s="25"/>
      <c r="F143" s="26"/>
      <c r="G143" s="27"/>
      <c r="H143" s="28" t="str">
        <f t="shared" si="14"/>
        <v/>
      </c>
      <c r="I143" s="28" t="str">
        <f t="shared" si="14"/>
        <v/>
      </c>
      <c r="J143" s="28" t="str">
        <f t="shared" si="14"/>
        <v/>
      </c>
      <c r="K143" s="28" t="str">
        <f t="shared" si="14"/>
        <v/>
      </c>
      <c r="L143" s="29" t="str">
        <f t="shared" si="17"/>
        <v/>
      </c>
      <c r="M143" s="30" t="str">
        <f t="shared" si="15"/>
        <v/>
      </c>
      <c r="O143" s="9" t="s">
        <v>28</v>
      </c>
      <c r="Q143" s="20">
        <f t="shared" si="16"/>
        <v>1</v>
      </c>
    </row>
    <row r="144" spans="2:17" ht="13" customHeight="1" thickBot="1" x14ac:dyDescent="0.3">
      <c r="B144" s="22">
        <v>44337</v>
      </c>
      <c r="C144" s="42"/>
      <c r="D144" s="24"/>
      <c r="E144" s="25"/>
      <c r="F144" s="26"/>
      <c r="G144" s="27"/>
      <c r="H144" s="28" t="str">
        <f t="shared" si="14"/>
        <v/>
      </c>
      <c r="I144" s="28" t="str">
        <f t="shared" si="14"/>
        <v/>
      </c>
      <c r="J144" s="28" t="str">
        <f t="shared" si="14"/>
        <v/>
      </c>
      <c r="K144" s="28" t="str">
        <f t="shared" si="14"/>
        <v/>
      </c>
      <c r="L144" s="29" t="str">
        <f t="shared" si="17"/>
        <v/>
      </c>
      <c r="M144" s="30" t="str">
        <f t="shared" si="15"/>
        <v/>
      </c>
      <c r="Q144" s="20">
        <f t="shared" si="16"/>
        <v>1</v>
      </c>
    </row>
    <row r="145" spans="2:18" ht="13" customHeight="1" x14ac:dyDescent="0.25">
      <c r="B145" s="22">
        <v>44338</v>
      </c>
      <c r="C145" s="42"/>
      <c r="D145" s="24"/>
      <c r="E145" s="25"/>
      <c r="F145" s="26"/>
      <c r="G145" s="27"/>
      <c r="H145" s="28" t="str">
        <f t="shared" si="14"/>
        <v/>
      </c>
      <c r="I145" s="28" t="str">
        <f t="shared" si="14"/>
        <v/>
      </c>
      <c r="J145" s="28" t="str">
        <f t="shared" si="14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5"/>
        <v/>
      </c>
      <c r="N145" s="159" t="s">
        <v>21</v>
      </c>
      <c r="O145" s="159" t="s">
        <v>22</v>
      </c>
      <c r="Q145" s="20">
        <f t="shared" si="16"/>
        <v>1</v>
      </c>
    </row>
    <row r="146" spans="2:18" ht="13" customHeight="1" x14ac:dyDescent="0.25">
      <c r="B146" s="22">
        <v>44339</v>
      </c>
      <c r="C146" s="42"/>
      <c r="D146" s="24"/>
      <c r="E146" s="25"/>
      <c r="F146" s="26"/>
      <c r="G146" s="27"/>
      <c r="H146" s="28" t="str">
        <f t="shared" si="14"/>
        <v/>
      </c>
      <c r="I146" s="28" t="str">
        <f t="shared" si="14"/>
        <v/>
      </c>
      <c r="J146" s="28" t="str">
        <f t="shared" si="14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5"/>
        <v/>
      </c>
      <c r="N146" s="160"/>
      <c r="O146" s="160"/>
      <c r="Q146" s="20">
        <f t="shared" si="16"/>
        <v>1</v>
      </c>
    </row>
    <row r="147" spans="2:18" ht="13" customHeight="1" thickBot="1" x14ac:dyDescent="0.3">
      <c r="B147" s="22">
        <v>44340</v>
      </c>
      <c r="C147" s="42"/>
      <c r="D147" s="24"/>
      <c r="E147" s="25"/>
      <c r="F147" s="26"/>
      <c r="G147" s="27"/>
      <c r="H147" s="28" t="str">
        <f t="shared" si="14"/>
        <v/>
      </c>
      <c r="I147" s="28" t="str">
        <f t="shared" si="14"/>
        <v/>
      </c>
      <c r="J147" s="28" t="str">
        <f t="shared" si="14"/>
        <v/>
      </c>
      <c r="K147" s="28" t="str">
        <f t="shared" si="14"/>
        <v/>
      </c>
      <c r="L147" s="29" t="str">
        <f t="shared" ref="L147:L196" si="18">IF(G147="","",+(G146-G147))</f>
        <v/>
      </c>
      <c r="M147" s="30" t="str">
        <f>IF(H147="","",+(H147+I147+J147+K147))</f>
        <v/>
      </c>
      <c r="N147" s="161"/>
      <c r="O147" s="161"/>
      <c r="Q147" s="20">
        <f>IF(L147="",1,0)</f>
        <v>1</v>
      </c>
    </row>
    <row r="148" spans="2:18" ht="13" customHeight="1" thickBot="1" x14ac:dyDescent="0.3">
      <c r="B148" s="22">
        <v>44341</v>
      </c>
      <c r="C148" s="42"/>
      <c r="D148" s="24"/>
      <c r="E148" s="25"/>
      <c r="F148" s="26"/>
      <c r="G148" s="27"/>
      <c r="H148" s="28" t="str">
        <f t="shared" si="14"/>
        <v/>
      </c>
      <c r="I148" s="28" t="str">
        <f t="shared" si="14"/>
        <v/>
      </c>
      <c r="J148" s="28" t="str">
        <f t="shared" si="14"/>
        <v/>
      </c>
      <c r="K148" s="28" t="str">
        <f t="shared" si="14"/>
        <v/>
      </c>
      <c r="L148" s="29" t="str">
        <f t="shared" si="18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172186</v>
      </c>
      <c r="Q148" s="20">
        <f>IF(L148="",1,0)</f>
        <v>1</v>
      </c>
    </row>
    <row r="149" spans="2:18" ht="13" customHeight="1" x14ac:dyDescent="0.25">
      <c r="B149" s="22">
        <v>44342</v>
      </c>
      <c r="C149" s="42"/>
      <c r="D149" s="24"/>
      <c r="E149" s="25"/>
      <c r="F149" s="26"/>
      <c r="G149" s="27"/>
      <c r="H149" s="28" t="str">
        <f t="shared" si="14"/>
        <v/>
      </c>
      <c r="I149" s="28" t="str">
        <f t="shared" si="14"/>
        <v/>
      </c>
      <c r="J149" s="28" t="str">
        <f t="shared" si="14"/>
        <v/>
      </c>
      <c r="K149" s="28" t="str">
        <f t="shared" si="14"/>
        <v/>
      </c>
      <c r="L149" s="29" t="str">
        <f t="shared" si="18"/>
        <v/>
      </c>
      <c r="M149" s="30" t="str">
        <f>IF(H149="","",+(H149+I149+J149+K149))</f>
        <v/>
      </c>
      <c r="N149" s="159" t="s">
        <v>23</v>
      </c>
      <c r="O149" s="159" t="s">
        <v>24</v>
      </c>
      <c r="Q149" s="20">
        <f>IF(L149="",1,0)</f>
        <v>1</v>
      </c>
    </row>
    <row r="150" spans="2:18" ht="13" customHeight="1" thickBot="1" x14ac:dyDescent="0.3">
      <c r="B150" s="22">
        <v>44343</v>
      </c>
      <c r="C150" s="42"/>
      <c r="D150" s="24"/>
      <c r="E150" s="25"/>
      <c r="F150" s="26"/>
      <c r="G150" s="27"/>
      <c r="H150" s="28" t="str">
        <f t="shared" si="14"/>
        <v/>
      </c>
      <c r="I150" s="28" t="str">
        <f t="shared" si="14"/>
        <v/>
      </c>
      <c r="J150" s="28" t="str">
        <f t="shared" si="14"/>
        <v/>
      </c>
      <c r="K150" s="28" t="str">
        <f t="shared" si="14"/>
        <v/>
      </c>
      <c r="L150" s="29" t="str">
        <f>IF(G150="","",+(G149-G150))</f>
        <v/>
      </c>
      <c r="M150" s="30" t="str">
        <f>IF(H150="","",+(H150+I150+J150+K150))</f>
        <v/>
      </c>
      <c r="N150" s="161"/>
      <c r="O150" s="161"/>
      <c r="Q150" s="20">
        <f>IF(L150="",1,0)</f>
        <v>1</v>
      </c>
    </row>
    <row r="151" spans="2:18" ht="13" customHeight="1" thickBot="1" x14ac:dyDescent="0.3">
      <c r="B151" s="22">
        <v>44344</v>
      </c>
      <c r="C151" s="42"/>
      <c r="D151" s="24"/>
      <c r="E151" s="25"/>
      <c r="F151" s="26"/>
      <c r="G151" s="27"/>
      <c r="H151" s="28" t="str">
        <f t="shared" si="14"/>
        <v/>
      </c>
      <c r="I151" s="28" t="str">
        <f t="shared" si="14"/>
        <v/>
      </c>
      <c r="J151" s="28" t="str">
        <f t="shared" si="14"/>
        <v/>
      </c>
      <c r="K151" s="28" t="str">
        <f t="shared" si="14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3" customHeight="1" x14ac:dyDescent="0.25">
      <c r="B152" s="22">
        <v>44345</v>
      </c>
      <c r="C152" s="42"/>
      <c r="D152" s="24"/>
      <c r="E152" s="25"/>
      <c r="F152" s="26"/>
      <c r="G152" s="27"/>
      <c r="H152" s="28" t="str">
        <f t="shared" si="14"/>
        <v/>
      </c>
      <c r="I152" s="28" t="str">
        <f t="shared" si="14"/>
        <v/>
      </c>
      <c r="J152" s="28" t="str">
        <f t="shared" si="14"/>
        <v/>
      </c>
      <c r="K152" s="28" t="str">
        <f t="shared" si="14"/>
        <v/>
      </c>
      <c r="L152" s="29" t="str">
        <f>IF(G152="","",+(G151-G152))</f>
        <v/>
      </c>
      <c r="M152" s="30" t="str">
        <f t="shared" si="15"/>
        <v/>
      </c>
      <c r="O152" s="20">
        <f>IF(L152="",1,0)</f>
        <v>1</v>
      </c>
    </row>
    <row r="153" spans="2:18" ht="13" customHeight="1" x14ac:dyDescent="0.25">
      <c r="B153" s="22">
        <v>44346</v>
      </c>
      <c r="C153" s="42"/>
      <c r="D153" s="24"/>
      <c r="E153" s="25"/>
      <c r="F153" s="26"/>
      <c r="G153" s="27"/>
      <c r="H153" s="28" t="str">
        <f t="shared" si="14"/>
        <v/>
      </c>
      <c r="I153" s="28" t="str">
        <f t="shared" si="14"/>
        <v/>
      </c>
      <c r="J153" s="28" t="str">
        <f t="shared" si="14"/>
        <v/>
      </c>
      <c r="K153" s="28" t="str">
        <f t="shared" si="14"/>
        <v/>
      </c>
      <c r="L153" s="29" t="str">
        <f t="shared" si="18"/>
        <v/>
      </c>
      <c r="M153" s="30" t="str">
        <f t="shared" si="15"/>
        <v/>
      </c>
      <c r="O153" s="20">
        <f>IF(L153="",1,0)</f>
        <v>1</v>
      </c>
    </row>
    <row r="154" spans="2:18" ht="13" customHeight="1" x14ac:dyDescent="0.25">
      <c r="B154" s="22">
        <v>44347</v>
      </c>
      <c r="C154" s="42"/>
      <c r="D154" s="24"/>
      <c r="E154" s="25"/>
      <c r="F154" s="26"/>
      <c r="G154" s="27"/>
      <c r="H154" s="28" t="str">
        <f t="shared" si="14"/>
        <v/>
      </c>
      <c r="I154" s="28" t="str">
        <f t="shared" si="14"/>
        <v/>
      </c>
      <c r="J154" s="28" t="str">
        <f t="shared" si="14"/>
        <v/>
      </c>
      <c r="K154" s="28" t="str">
        <f t="shared" si="14"/>
        <v/>
      </c>
      <c r="L154" s="29" t="str">
        <f t="shared" si="18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3" customHeight="1" x14ac:dyDescent="0.25">
      <c r="B155" s="22">
        <v>44348</v>
      </c>
      <c r="C155" s="34"/>
      <c r="D155" s="33"/>
      <c r="E155" s="33"/>
      <c r="F155" s="33"/>
      <c r="G155" s="33"/>
      <c r="H155" s="33" t="str">
        <f t="shared" si="14"/>
        <v/>
      </c>
      <c r="I155" s="33" t="str">
        <f t="shared" si="14"/>
        <v/>
      </c>
      <c r="J155" s="33" t="str">
        <f t="shared" si="14"/>
        <v/>
      </c>
      <c r="K155" s="33" t="str">
        <f t="shared" si="14"/>
        <v/>
      </c>
      <c r="L155" s="43" t="str">
        <f t="shared" si="18"/>
        <v/>
      </c>
      <c r="M155" s="33" t="str">
        <f t="shared" si="15"/>
        <v/>
      </c>
      <c r="Q155" s="20">
        <f t="shared" si="16"/>
        <v>1</v>
      </c>
    </row>
    <row r="156" spans="2:18" ht="13" customHeight="1" x14ac:dyDescent="0.25">
      <c r="B156" s="22">
        <v>44349</v>
      </c>
      <c r="C156" s="42"/>
      <c r="D156" s="24"/>
      <c r="E156" s="25"/>
      <c r="F156" s="26"/>
      <c r="G156" s="27"/>
      <c r="H156" s="28" t="str">
        <f t="shared" si="14"/>
        <v/>
      </c>
      <c r="I156" s="28" t="str">
        <f t="shared" si="14"/>
        <v/>
      </c>
      <c r="J156" s="28" t="str">
        <f t="shared" si="14"/>
        <v/>
      </c>
      <c r="K156" s="28" t="str">
        <f t="shared" si="14"/>
        <v/>
      </c>
      <c r="L156" s="29" t="str">
        <f t="shared" si="18"/>
        <v/>
      </c>
      <c r="M156" s="30" t="str">
        <f t="shared" si="15"/>
        <v/>
      </c>
      <c r="Q156" s="20">
        <f t="shared" si="16"/>
        <v>1</v>
      </c>
    </row>
    <row r="157" spans="2:18" ht="13" customHeight="1" x14ac:dyDescent="0.25">
      <c r="B157" s="22">
        <v>44350</v>
      </c>
      <c r="C157" s="42"/>
      <c r="D157" s="24"/>
      <c r="E157" s="25"/>
      <c r="F157" s="26"/>
      <c r="G157" s="27"/>
      <c r="H157" s="28" t="str">
        <f t="shared" si="14"/>
        <v/>
      </c>
      <c r="I157" s="28" t="str">
        <f t="shared" si="14"/>
        <v/>
      </c>
      <c r="J157" s="28" t="str">
        <f t="shared" si="14"/>
        <v/>
      </c>
      <c r="K157" s="28" t="str">
        <f t="shared" si="14"/>
        <v/>
      </c>
      <c r="L157" s="29" t="str">
        <f t="shared" si="18"/>
        <v/>
      </c>
      <c r="M157" s="30" t="str">
        <f t="shared" si="15"/>
        <v/>
      </c>
      <c r="Q157" s="20">
        <f t="shared" si="16"/>
        <v>1</v>
      </c>
    </row>
    <row r="158" spans="2:18" ht="13" customHeight="1" x14ac:dyDescent="0.25">
      <c r="B158" s="22">
        <v>44351</v>
      </c>
      <c r="C158" s="42"/>
      <c r="D158" s="24"/>
      <c r="E158" s="25"/>
      <c r="F158" s="26"/>
      <c r="G158" s="27"/>
      <c r="H158" s="28" t="str">
        <f t="shared" si="14"/>
        <v/>
      </c>
      <c r="I158" s="28" t="str">
        <f t="shared" si="14"/>
        <v/>
      </c>
      <c r="J158" s="28" t="str">
        <f t="shared" si="14"/>
        <v/>
      </c>
      <c r="K158" s="28" t="str">
        <f t="shared" si="14"/>
        <v/>
      </c>
      <c r="L158" s="29" t="str">
        <f t="shared" si="18"/>
        <v/>
      </c>
      <c r="M158" s="30" t="str">
        <f t="shared" si="15"/>
        <v/>
      </c>
      <c r="Q158" s="20">
        <f t="shared" si="16"/>
        <v>1</v>
      </c>
    </row>
    <row r="159" spans="2:18" ht="13" customHeight="1" x14ac:dyDescent="0.25">
      <c r="B159" s="22">
        <v>44352</v>
      </c>
      <c r="C159" s="42"/>
      <c r="D159" s="24"/>
      <c r="E159" s="25"/>
      <c r="F159" s="26"/>
      <c r="G159" s="27"/>
      <c r="H159" s="28" t="str">
        <f t="shared" si="14"/>
        <v/>
      </c>
      <c r="I159" s="28" t="str">
        <f t="shared" si="14"/>
        <v/>
      </c>
      <c r="J159" s="28" t="str">
        <f t="shared" si="14"/>
        <v/>
      </c>
      <c r="K159" s="28" t="str">
        <f t="shared" si="14"/>
        <v/>
      </c>
      <c r="L159" s="29" t="str">
        <f t="shared" si="18"/>
        <v/>
      </c>
      <c r="M159" s="30" t="str">
        <f t="shared" si="15"/>
        <v/>
      </c>
      <c r="Q159" s="20">
        <f t="shared" si="16"/>
        <v>1</v>
      </c>
    </row>
    <row r="160" spans="2:18" ht="13" customHeight="1" x14ac:dyDescent="0.25">
      <c r="B160" s="22">
        <v>44353</v>
      </c>
      <c r="C160" s="42"/>
      <c r="D160" s="24"/>
      <c r="E160" s="25"/>
      <c r="F160" s="26"/>
      <c r="G160" s="27"/>
      <c r="H160" s="28" t="str">
        <f t="shared" si="14"/>
        <v/>
      </c>
      <c r="I160" s="28" t="str">
        <f t="shared" si="14"/>
        <v/>
      </c>
      <c r="J160" s="28" t="str">
        <f t="shared" si="14"/>
        <v/>
      </c>
      <c r="K160" s="28" t="str">
        <f t="shared" si="14"/>
        <v/>
      </c>
      <c r="L160" s="29" t="str">
        <f t="shared" si="18"/>
        <v/>
      </c>
      <c r="M160" s="30" t="str">
        <f t="shared" si="15"/>
        <v/>
      </c>
      <c r="Q160" s="20">
        <f t="shared" si="16"/>
        <v>1</v>
      </c>
      <c r="R160" s="44"/>
    </row>
    <row r="161" spans="2:20" ht="13" customHeight="1" x14ac:dyDescent="0.25">
      <c r="B161" s="22">
        <v>44354</v>
      </c>
      <c r="C161" s="42"/>
      <c r="D161" s="24"/>
      <c r="E161" s="25"/>
      <c r="F161" s="26"/>
      <c r="G161" s="27"/>
      <c r="H161" s="28" t="str">
        <f t="shared" si="14"/>
        <v/>
      </c>
      <c r="I161" s="28" t="str">
        <f t="shared" si="14"/>
        <v/>
      </c>
      <c r="J161" s="28" t="str">
        <f t="shared" si="14"/>
        <v/>
      </c>
      <c r="K161" s="28" t="str">
        <f t="shared" si="14"/>
        <v/>
      </c>
      <c r="L161" s="29" t="str">
        <f t="shared" si="18"/>
        <v/>
      </c>
      <c r="M161" s="30" t="str">
        <f t="shared" si="15"/>
        <v/>
      </c>
      <c r="Q161" s="20">
        <f t="shared" si="16"/>
        <v>1</v>
      </c>
      <c r="R161" s="44"/>
      <c r="S161" s="45"/>
      <c r="T161" s="45"/>
    </row>
    <row r="162" spans="2:20" ht="13" customHeight="1" x14ac:dyDescent="0.25">
      <c r="B162" s="22">
        <v>44355</v>
      </c>
      <c r="C162" s="42"/>
      <c r="D162" s="24"/>
      <c r="E162" s="25"/>
      <c r="F162" s="26"/>
      <c r="G162" s="27"/>
      <c r="H162" s="28" t="str">
        <f t="shared" si="14"/>
        <v/>
      </c>
      <c r="I162" s="28" t="str">
        <f t="shared" si="14"/>
        <v/>
      </c>
      <c r="J162" s="28" t="str">
        <f t="shared" si="14"/>
        <v/>
      </c>
      <c r="K162" s="28" t="str">
        <f t="shared" si="14"/>
        <v/>
      </c>
      <c r="L162" s="29" t="str">
        <f t="shared" si="18"/>
        <v/>
      </c>
      <c r="M162" s="30" t="str">
        <f t="shared" si="15"/>
        <v/>
      </c>
      <c r="Q162" s="20">
        <f t="shared" si="16"/>
        <v>1</v>
      </c>
      <c r="R162" s="44"/>
      <c r="S162" s="45"/>
      <c r="T162" s="45"/>
    </row>
    <row r="163" spans="2:20" ht="13" customHeight="1" x14ac:dyDescent="0.25">
      <c r="B163" s="22">
        <v>44356</v>
      </c>
      <c r="C163" s="42"/>
      <c r="D163" s="24"/>
      <c r="E163" s="25"/>
      <c r="F163" s="26"/>
      <c r="G163" s="27"/>
      <c r="H163" s="28" t="str">
        <f t="shared" si="14"/>
        <v/>
      </c>
      <c r="I163" s="28" t="str">
        <f t="shared" si="14"/>
        <v/>
      </c>
      <c r="J163" s="28" t="str">
        <f t="shared" si="14"/>
        <v/>
      </c>
      <c r="K163" s="28" t="str">
        <f t="shared" si="14"/>
        <v/>
      </c>
      <c r="L163" s="29" t="str">
        <f t="shared" si="18"/>
        <v/>
      </c>
      <c r="M163" s="30" t="str">
        <f t="shared" si="15"/>
        <v/>
      </c>
      <c r="Q163" s="20">
        <f t="shared" si="16"/>
        <v>1</v>
      </c>
      <c r="R163" s="44"/>
      <c r="S163" s="45"/>
      <c r="T163" s="45"/>
    </row>
    <row r="164" spans="2:20" ht="13" customHeight="1" x14ac:dyDescent="0.25">
      <c r="B164" s="22">
        <v>44357</v>
      </c>
      <c r="C164" s="42"/>
      <c r="D164" s="24"/>
      <c r="E164" s="25"/>
      <c r="F164" s="26"/>
      <c r="G164" s="27"/>
      <c r="H164" s="28" t="str">
        <f t="shared" si="14"/>
        <v/>
      </c>
      <c r="I164" s="28" t="str">
        <f t="shared" si="14"/>
        <v/>
      </c>
      <c r="J164" s="28" t="str">
        <f t="shared" si="14"/>
        <v/>
      </c>
      <c r="K164" s="28" t="str">
        <f t="shared" si="14"/>
        <v/>
      </c>
      <c r="L164" s="29" t="str">
        <f t="shared" si="18"/>
        <v/>
      </c>
      <c r="M164" s="30" t="str">
        <f t="shared" si="15"/>
        <v/>
      </c>
      <c r="Q164" s="20">
        <f t="shared" si="16"/>
        <v>1</v>
      </c>
      <c r="R164" s="44"/>
      <c r="S164" s="45"/>
      <c r="T164" s="45"/>
    </row>
    <row r="165" spans="2:20" ht="13" customHeight="1" x14ac:dyDescent="0.25">
      <c r="B165" s="22">
        <v>44358</v>
      </c>
      <c r="C165" s="42"/>
      <c r="D165" s="24"/>
      <c r="E165" s="25"/>
      <c r="F165" s="26"/>
      <c r="G165" s="27"/>
      <c r="H165" s="28" t="str">
        <f t="shared" si="14"/>
        <v/>
      </c>
      <c r="I165" s="28" t="str">
        <f t="shared" si="14"/>
        <v/>
      </c>
      <c r="J165" s="28" t="str">
        <f t="shared" si="14"/>
        <v/>
      </c>
      <c r="K165" s="28" t="str">
        <f t="shared" si="14"/>
        <v/>
      </c>
      <c r="L165" s="29" t="str">
        <f t="shared" si="18"/>
        <v/>
      </c>
      <c r="M165" s="30" t="str">
        <f t="shared" si="15"/>
        <v/>
      </c>
      <c r="Q165" s="20">
        <f t="shared" si="16"/>
        <v>1</v>
      </c>
      <c r="R165" s="44"/>
      <c r="S165" s="45"/>
      <c r="T165" s="45"/>
    </row>
    <row r="166" spans="2:20" ht="13" customHeight="1" x14ac:dyDescent="0.25">
      <c r="B166" s="22">
        <v>44359</v>
      </c>
      <c r="C166" s="42"/>
      <c r="D166" s="24"/>
      <c r="E166" s="25"/>
      <c r="F166" s="26"/>
      <c r="G166" s="27"/>
      <c r="H166" s="28" t="str">
        <f t="shared" si="14"/>
        <v/>
      </c>
      <c r="I166" s="28" t="str">
        <f t="shared" si="14"/>
        <v/>
      </c>
      <c r="J166" s="28" t="str">
        <f t="shared" si="14"/>
        <v/>
      </c>
      <c r="K166" s="28" t="str">
        <f t="shared" si="14"/>
        <v/>
      </c>
      <c r="L166" s="29" t="str">
        <f t="shared" si="18"/>
        <v/>
      </c>
      <c r="M166" s="30" t="str">
        <f t="shared" si="15"/>
        <v/>
      </c>
      <c r="Q166" s="20">
        <f t="shared" si="16"/>
        <v>1</v>
      </c>
    </row>
    <row r="167" spans="2:20" ht="13" customHeight="1" x14ac:dyDescent="0.25">
      <c r="B167" s="22">
        <v>44360</v>
      </c>
      <c r="C167" s="42"/>
      <c r="D167" s="24"/>
      <c r="E167" s="25"/>
      <c r="F167" s="26"/>
      <c r="G167" s="27"/>
      <c r="H167" s="28" t="str">
        <f t="shared" si="14"/>
        <v/>
      </c>
      <c r="I167" s="28" t="str">
        <f t="shared" si="14"/>
        <v/>
      </c>
      <c r="J167" s="28" t="str">
        <f t="shared" si="14"/>
        <v/>
      </c>
      <c r="K167" s="28" t="str">
        <f t="shared" si="14"/>
        <v/>
      </c>
      <c r="L167" s="29" t="str">
        <f t="shared" si="18"/>
        <v/>
      </c>
      <c r="M167" s="30" t="str">
        <f t="shared" si="15"/>
        <v/>
      </c>
      <c r="Q167" s="20">
        <f t="shared" si="16"/>
        <v>1</v>
      </c>
    </row>
    <row r="168" spans="2:20" ht="13" customHeight="1" x14ac:dyDescent="0.25">
      <c r="B168" s="22">
        <v>44361</v>
      </c>
      <c r="C168" s="42"/>
      <c r="D168" s="24"/>
      <c r="E168" s="25"/>
      <c r="F168" s="26"/>
      <c r="G168" s="27"/>
      <c r="H168" s="28" t="str">
        <f t="shared" si="14"/>
        <v/>
      </c>
      <c r="I168" s="28" t="str">
        <f t="shared" si="14"/>
        <v/>
      </c>
      <c r="J168" s="28" t="str">
        <f t="shared" si="14"/>
        <v/>
      </c>
      <c r="K168" s="28" t="str">
        <f t="shared" si="14"/>
        <v/>
      </c>
      <c r="L168" s="29" t="str">
        <f t="shared" si="18"/>
        <v/>
      </c>
      <c r="M168" s="30" t="str">
        <f t="shared" si="15"/>
        <v/>
      </c>
      <c r="Q168" s="20">
        <f t="shared" si="16"/>
        <v>1</v>
      </c>
    </row>
    <row r="169" spans="2:20" ht="13" customHeight="1" x14ac:dyDescent="0.25">
      <c r="B169" s="22">
        <v>44362</v>
      </c>
      <c r="C169" s="42"/>
      <c r="D169" s="24"/>
      <c r="E169" s="25"/>
      <c r="F169" s="26"/>
      <c r="G169" s="27"/>
      <c r="H169" s="28" t="str">
        <f t="shared" si="14"/>
        <v/>
      </c>
      <c r="I169" s="28" t="str">
        <f t="shared" si="14"/>
        <v/>
      </c>
      <c r="J169" s="28" t="str">
        <f t="shared" si="14"/>
        <v/>
      </c>
      <c r="K169" s="28" t="str">
        <f t="shared" si="14"/>
        <v/>
      </c>
      <c r="L169" s="29" t="str">
        <f t="shared" si="18"/>
        <v/>
      </c>
      <c r="M169" s="30" t="str">
        <f t="shared" si="15"/>
        <v/>
      </c>
      <c r="Q169" s="20">
        <f t="shared" si="16"/>
        <v>1</v>
      </c>
    </row>
    <row r="170" spans="2:20" ht="13" customHeight="1" x14ac:dyDescent="0.25">
      <c r="B170" s="22">
        <v>44363</v>
      </c>
      <c r="C170" s="42"/>
      <c r="D170" s="24"/>
      <c r="E170" s="25"/>
      <c r="F170" s="26"/>
      <c r="G170" s="27"/>
      <c r="H170" s="28" t="str">
        <f t="shared" si="14"/>
        <v/>
      </c>
      <c r="I170" s="28" t="str">
        <f t="shared" si="14"/>
        <v/>
      </c>
      <c r="J170" s="28" t="str">
        <f t="shared" si="14"/>
        <v/>
      </c>
      <c r="K170" s="28" t="str">
        <f t="shared" si="14"/>
        <v/>
      </c>
      <c r="L170" s="29" t="str">
        <f t="shared" si="18"/>
        <v/>
      </c>
      <c r="M170" s="30" t="str">
        <f t="shared" si="15"/>
        <v/>
      </c>
      <c r="Q170" s="20">
        <f t="shared" si="16"/>
        <v>1</v>
      </c>
    </row>
    <row r="171" spans="2:20" ht="13" customHeight="1" x14ac:dyDescent="0.25">
      <c r="B171" s="22">
        <v>44364</v>
      </c>
      <c r="C171" s="42"/>
      <c r="D171" s="24"/>
      <c r="E171" s="25"/>
      <c r="F171" s="26"/>
      <c r="G171" s="27"/>
      <c r="H171" s="28" t="str">
        <f t="shared" si="14"/>
        <v/>
      </c>
      <c r="I171" s="28" t="str">
        <f t="shared" si="14"/>
        <v/>
      </c>
      <c r="J171" s="28" t="str">
        <f t="shared" si="14"/>
        <v/>
      </c>
      <c r="K171" s="28" t="str">
        <f t="shared" si="14"/>
        <v/>
      </c>
      <c r="L171" s="29" t="str">
        <f t="shared" si="18"/>
        <v/>
      </c>
      <c r="M171" s="30" t="str">
        <f t="shared" si="15"/>
        <v/>
      </c>
      <c r="Q171" s="20">
        <f t="shared" si="16"/>
        <v>1</v>
      </c>
    </row>
    <row r="172" spans="2:20" ht="13" customHeight="1" x14ac:dyDescent="0.25">
      <c r="B172" s="22">
        <v>44365</v>
      </c>
      <c r="C172" s="42"/>
      <c r="D172" s="24"/>
      <c r="E172" s="25"/>
      <c r="F172" s="26"/>
      <c r="G172" s="27"/>
      <c r="H172" s="28" t="str">
        <f t="shared" si="14"/>
        <v/>
      </c>
      <c r="I172" s="28" t="str">
        <f t="shared" si="14"/>
        <v/>
      </c>
      <c r="J172" s="28" t="str">
        <f t="shared" si="14"/>
        <v/>
      </c>
      <c r="K172" s="28" t="str">
        <f t="shared" si="14"/>
        <v/>
      </c>
      <c r="L172" s="29" t="str">
        <f t="shared" si="18"/>
        <v/>
      </c>
      <c r="M172" s="30" t="str">
        <f t="shared" si="15"/>
        <v/>
      </c>
      <c r="Q172" s="20">
        <f t="shared" si="16"/>
        <v>1</v>
      </c>
    </row>
    <row r="173" spans="2:20" ht="13" customHeight="1" x14ac:dyDescent="0.25">
      <c r="B173" s="22">
        <v>44366</v>
      </c>
      <c r="C173" s="42"/>
      <c r="D173" s="24"/>
      <c r="E173" s="25"/>
      <c r="F173" s="26"/>
      <c r="G173" s="27"/>
      <c r="H173" s="28" t="str">
        <f t="shared" si="14"/>
        <v/>
      </c>
      <c r="I173" s="28" t="str">
        <f t="shared" si="14"/>
        <v/>
      </c>
      <c r="J173" s="28" t="str">
        <f t="shared" si="14"/>
        <v/>
      </c>
      <c r="K173" s="28" t="str">
        <f t="shared" si="14"/>
        <v/>
      </c>
      <c r="L173" s="29" t="str">
        <f t="shared" si="18"/>
        <v/>
      </c>
      <c r="M173" s="30" t="str">
        <f t="shared" si="15"/>
        <v/>
      </c>
      <c r="Q173" s="20">
        <f t="shared" si="16"/>
        <v>1</v>
      </c>
    </row>
    <row r="174" spans="2:20" ht="13" customHeight="1" thickBot="1" x14ac:dyDescent="0.3">
      <c r="B174" s="22">
        <v>44367</v>
      </c>
      <c r="C174" s="42"/>
      <c r="D174" s="24"/>
      <c r="E174" s="25"/>
      <c r="F174" s="26"/>
      <c r="G174" s="27"/>
      <c r="H174" s="28" t="str">
        <f t="shared" si="14"/>
        <v/>
      </c>
      <c r="I174" s="28" t="str">
        <f t="shared" si="14"/>
        <v/>
      </c>
      <c r="J174" s="28" t="str">
        <f t="shared" si="14"/>
        <v/>
      </c>
      <c r="K174" s="28" t="str">
        <f t="shared" si="14"/>
        <v/>
      </c>
      <c r="L174" s="29" t="str">
        <f t="shared" si="18"/>
        <v/>
      </c>
      <c r="M174" s="30" t="str">
        <f t="shared" si="15"/>
        <v/>
      </c>
      <c r="Q174" s="20">
        <f t="shared" si="16"/>
        <v>1</v>
      </c>
    </row>
    <row r="175" spans="2:20" ht="13" customHeight="1" x14ac:dyDescent="0.25">
      <c r="B175" s="22">
        <v>44368</v>
      </c>
      <c r="C175" s="42"/>
      <c r="D175" s="24"/>
      <c r="E175" s="25"/>
      <c r="F175" s="26"/>
      <c r="G175" s="27"/>
      <c r="H175" s="28" t="str">
        <f t="shared" si="14"/>
        <v/>
      </c>
      <c r="I175" s="28" t="str">
        <f t="shared" si="14"/>
        <v/>
      </c>
      <c r="J175" s="28" t="str">
        <f t="shared" si="14"/>
        <v/>
      </c>
      <c r="K175" s="28" t="str">
        <f t="shared" si="14"/>
        <v/>
      </c>
      <c r="L175" s="29" t="str">
        <f t="shared" si="18"/>
        <v/>
      </c>
      <c r="M175" s="30" t="str">
        <f t="shared" si="15"/>
        <v/>
      </c>
      <c r="N175" s="159" t="s">
        <v>21</v>
      </c>
      <c r="O175" s="159" t="s">
        <v>22</v>
      </c>
      <c r="Q175" s="20">
        <f t="shared" si="16"/>
        <v>1</v>
      </c>
    </row>
    <row r="176" spans="2:20" ht="13" customHeight="1" x14ac:dyDescent="0.25">
      <c r="B176" s="22">
        <v>44369</v>
      </c>
      <c r="C176" s="42"/>
      <c r="D176" s="24"/>
      <c r="E176" s="25"/>
      <c r="F176" s="26"/>
      <c r="G176" s="27"/>
      <c r="H176" s="28" t="str">
        <f t="shared" si="14"/>
        <v/>
      </c>
      <c r="I176" s="28" t="str">
        <f t="shared" si="14"/>
        <v/>
      </c>
      <c r="J176" s="28" t="str">
        <f t="shared" si="14"/>
        <v/>
      </c>
      <c r="K176" s="28" t="str">
        <f t="shared" si="14"/>
        <v/>
      </c>
      <c r="L176" s="29" t="str">
        <f t="shared" si="18"/>
        <v/>
      </c>
      <c r="M176" s="30" t="str">
        <f t="shared" si="15"/>
        <v/>
      </c>
      <c r="N176" s="160"/>
      <c r="O176" s="160"/>
      <c r="Q176" s="20">
        <f t="shared" si="16"/>
        <v>1</v>
      </c>
    </row>
    <row r="177" spans="2:17" ht="13" customHeight="1" thickBot="1" x14ac:dyDescent="0.3">
      <c r="B177" s="22">
        <v>44370</v>
      </c>
      <c r="C177" s="42"/>
      <c r="D177" s="24"/>
      <c r="E177" s="25"/>
      <c r="F177" s="26"/>
      <c r="G177" s="27"/>
      <c r="H177" s="28" t="str">
        <f t="shared" si="14"/>
        <v/>
      </c>
      <c r="I177" s="28" t="str">
        <f t="shared" si="14"/>
        <v/>
      </c>
      <c r="J177" s="28" t="str">
        <f t="shared" si="14"/>
        <v/>
      </c>
      <c r="K177" s="28" t="str">
        <f t="shared" si="14"/>
        <v/>
      </c>
      <c r="L177" s="29" t="str">
        <f t="shared" si="18"/>
        <v/>
      </c>
      <c r="M177" s="30" t="str">
        <f t="shared" si="15"/>
        <v/>
      </c>
      <c r="N177" s="161"/>
      <c r="O177" s="161"/>
      <c r="Q177" s="20">
        <f t="shared" si="16"/>
        <v>1</v>
      </c>
    </row>
    <row r="178" spans="2:17" ht="13" customHeight="1" thickBot="1" x14ac:dyDescent="0.3">
      <c r="B178" s="22">
        <v>44371</v>
      </c>
      <c r="C178" s="42"/>
      <c r="D178" s="24"/>
      <c r="E178" s="25"/>
      <c r="F178" s="26"/>
      <c r="G178" s="27"/>
      <c r="H178" s="28" t="str">
        <f t="shared" si="14"/>
        <v/>
      </c>
      <c r="I178" s="28" t="str">
        <f t="shared" si="14"/>
        <v/>
      </c>
      <c r="J178" s="28" t="str">
        <f t="shared" si="14"/>
        <v/>
      </c>
      <c r="K178" s="28" t="str">
        <f t="shared" si="14"/>
        <v/>
      </c>
      <c r="L178" s="29" t="str">
        <f t="shared" si="18"/>
        <v/>
      </c>
      <c r="M178" s="30" t="str">
        <f t="shared" si="15"/>
        <v/>
      </c>
      <c r="N178" s="32">
        <f>SUM(L156:L185)</f>
        <v>0</v>
      </c>
      <c r="O178" s="32">
        <f>SUM(M156:M185)</f>
        <v>0</v>
      </c>
      <c r="Q178" s="20">
        <f t="shared" si="16"/>
        <v>1</v>
      </c>
    </row>
    <row r="179" spans="2:17" ht="13" customHeight="1" x14ac:dyDescent="0.25">
      <c r="B179" s="22">
        <v>44372</v>
      </c>
      <c r="C179" s="42"/>
      <c r="D179" s="24"/>
      <c r="E179" s="25"/>
      <c r="F179" s="26"/>
      <c r="G179" s="27"/>
      <c r="H179" s="28" t="str">
        <f t="shared" si="14"/>
        <v/>
      </c>
      <c r="I179" s="28" t="str">
        <f t="shared" si="14"/>
        <v/>
      </c>
      <c r="J179" s="28" t="str">
        <f t="shared" si="14"/>
        <v/>
      </c>
      <c r="K179" s="28" t="str">
        <f t="shared" si="14"/>
        <v/>
      </c>
      <c r="L179" s="29" t="str">
        <f t="shared" si="18"/>
        <v/>
      </c>
      <c r="M179" s="30" t="str">
        <f t="shared" si="15"/>
        <v/>
      </c>
      <c r="N179" s="159" t="s">
        <v>23</v>
      </c>
      <c r="O179" s="159" t="s">
        <v>24</v>
      </c>
      <c r="Q179" s="20">
        <f t="shared" si="16"/>
        <v>1</v>
      </c>
    </row>
    <row r="180" spans="2:17" ht="13.5" thickBot="1" x14ac:dyDescent="0.3">
      <c r="B180" s="22">
        <v>44373</v>
      </c>
      <c r="C180" s="42"/>
      <c r="D180" s="24"/>
      <c r="E180" s="25"/>
      <c r="F180" s="26"/>
      <c r="G180" s="27"/>
      <c r="H180" s="28" t="str">
        <f t="shared" si="14"/>
        <v/>
      </c>
      <c r="I180" s="28" t="str">
        <f t="shared" si="14"/>
        <v/>
      </c>
      <c r="J180" s="28" t="str">
        <f t="shared" si="14"/>
        <v/>
      </c>
      <c r="K180" s="28" t="str">
        <f t="shared" si="14"/>
        <v/>
      </c>
      <c r="L180" s="29" t="str">
        <f t="shared" si="18"/>
        <v/>
      </c>
      <c r="M180" s="30" t="str">
        <f t="shared" si="15"/>
        <v/>
      </c>
      <c r="N180" s="161"/>
      <c r="O180" s="161"/>
      <c r="Q180" s="20">
        <f t="shared" si="16"/>
        <v>1</v>
      </c>
    </row>
    <row r="181" spans="2:17" ht="13" customHeight="1" thickBot="1" x14ac:dyDescent="0.3">
      <c r="B181" s="22">
        <v>44374</v>
      </c>
      <c r="C181" s="42"/>
      <c r="D181" s="24"/>
      <c r="E181" s="25"/>
      <c r="F181" s="26"/>
      <c r="G181" s="27"/>
      <c r="H181" s="28" t="str">
        <f t="shared" si="14"/>
        <v/>
      </c>
      <c r="I181" s="28" t="str">
        <f t="shared" si="14"/>
        <v/>
      </c>
      <c r="J181" s="28" t="str">
        <f t="shared" si="14"/>
        <v/>
      </c>
      <c r="K181" s="28" t="str">
        <f t="shared" si="14"/>
        <v/>
      </c>
      <c r="L181" s="29" t="str">
        <f t="shared" si="18"/>
        <v/>
      </c>
      <c r="M181" s="30" t="str">
        <f t="shared" si="15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6"/>
        <v>1</v>
      </c>
    </row>
    <row r="182" spans="2:17" ht="13" customHeight="1" x14ac:dyDescent="0.25">
      <c r="B182" s="22">
        <v>44375</v>
      </c>
      <c r="C182" s="42"/>
      <c r="D182" s="24"/>
      <c r="E182" s="25"/>
      <c r="F182" s="26"/>
      <c r="G182" s="27"/>
      <c r="H182" s="28" t="str">
        <f t="shared" si="14"/>
        <v/>
      </c>
      <c r="I182" s="28" t="str">
        <f t="shared" si="14"/>
        <v/>
      </c>
      <c r="J182" s="28" t="str">
        <f t="shared" si="14"/>
        <v/>
      </c>
      <c r="K182" s="28" t="str">
        <f t="shared" si="14"/>
        <v/>
      </c>
      <c r="L182" s="29" t="str">
        <f t="shared" si="18"/>
        <v/>
      </c>
      <c r="M182" s="30" t="str">
        <f t="shared" si="15"/>
        <v/>
      </c>
      <c r="O182" s="20">
        <f>IF(L182="",1,0)</f>
        <v>1</v>
      </c>
    </row>
    <row r="183" spans="2:17" ht="13" customHeight="1" x14ac:dyDescent="0.25">
      <c r="B183" s="22">
        <v>44376</v>
      </c>
      <c r="C183" s="42"/>
      <c r="D183" s="24"/>
      <c r="E183" s="25"/>
      <c r="F183" s="26"/>
      <c r="G183" s="27"/>
      <c r="H183" s="28" t="str">
        <f t="shared" si="14"/>
        <v/>
      </c>
      <c r="I183" s="28" t="str">
        <f t="shared" si="14"/>
        <v/>
      </c>
      <c r="J183" s="28" t="str">
        <f t="shared" si="14"/>
        <v/>
      </c>
      <c r="K183" s="28" t="str">
        <f t="shared" si="14"/>
        <v/>
      </c>
      <c r="L183" s="29" t="str">
        <f t="shared" si="18"/>
        <v/>
      </c>
      <c r="M183" s="30" t="str">
        <f t="shared" si="15"/>
        <v/>
      </c>
      <c r="O183" s="20">
        <f>IF(L183="",1,0)</f>
        <v>1</v>
      </c>
    </row>
    <row r="184" spans="2:17" ht="13" customHeight="1" x14ac:dyDescent="0.25">
      <c r="B184" s="22">
        <v>44377</v>
      </c>
      <c r="C184" s="42"/>
      <c r="D184" s="24"/>
      <c r="E184" s="25"/>
      <c r="F184" s="26"/>
      <c r="G184" s="27"/>
      <c r="H184" s="28" t="str">
        <f t="shared" si="14"/>
        <v/>
      </c>
      <c r="I184" s="28" t="str">
        <f t="shared" si="14"/>
        <v/>
      </c>
      <c r="J184" s="28" t="str">
        <f t="shared" si="14"/>
        <v/>
      </c>
      <c r="K184" s="28" t="str">
        <f t="shared" si="14"/>
        <v/>
      </c>
      <c r="L184" s="29" t="str">
        <f t="shared" si="18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3" customHeight="1" x14ac:dyDescent="0.25">
      <c r="B185" s="22">
        <v>44378</v>
      </c>
      <c r="C185" s="34"/>
      <c r="D185" s="34"/>
      <c r="E185" s="34"/>
      <c r="F185" s="34"/>
      <c r="G185" s="34"/>
      <c r="H185" s="35" t="str">
        <f t="shared" si="14"/>
        <v/>
      </c>
      <c r="I185" s="35" t="str">
        <f t="shared" si="14"/>
        <v/>
      </c>
      <c r="J185" s="35" t="str">
        <f t="shared" si="14"/>
        <v/>
      </c>
      <c r="K185" s="35" t="str">
        <f t="shared" si="14"/>
        <v/>
      </c>
      <c r="L185" s="35" t="str">
        <f>IF(G185="","",+(G184-G185))</f>
        <v/>
      </c>
      <c r="M185" s="35" t="str">
        <f t="shared" si="15"/>
        <v/>
      </c>
      <c r="Q185" s="20">
        <f t="shared" si="16"/>
        <v>1</v>
      </c>
    </row>
    <row r="186" spans="2:17" ht="13" customHeight="1" x14ac:dyDescent="0.25">
      <c r="B186" s="22">
        <v>44379</v>
      </c>
      <c r="C186" s="42"/>
      <c r="D186" s="24"/>
      <c r="E186" s="25"/>
      <c r="F186" s="26"/>
      <c r="G186" s="27"/>
      <c r="H186" s="28" t="str">
        <f t="shared" ref="H186:K201" si="19">IF(C186="","",+(C186-C185))</f>
        <v/>
      </c>
      <c r="I186" s="28" t="str">
        <f t="shared" si="19"/>
        <v/>
      </c>
      <c r="J186" s="28" t="str">
        <f t="shared" si="19"/>
        <v/>
      </c>
      <c r="K186" s="28" t="str">
        <f t="shared" si="19"/>
        <v/>
      </c>
      <c r="L186" s="29" t="str">
        <f t="shared" si="18"/>
        <v/>
      </c>
      <c r="M186" s="30" t="str">
        <f t="shared" si="15"/>
        <v/>
      </c>
      <c r="Q186" s="20">
        <f t="shared" si="16"/>
        <v>1</v>
      </c>
    </row>
    <row r="187" spans="2:17" ht="13" customHeight="1" x14ac:dyDescent="0.25">
      <c r="B187" s="22">
        <v>44380</v>
      </c>
      <c r="C187" s="42"/>
      <c r="D187" s="24"/>
      <c r="E187" s="25"/>
      <c r="F187" s="26"/>
      <c r="G187" s="27"/>
      <c r="H187" s="28" t="str">
        <f t="shared" si="19"/>
        <v/>
      </c>
      <c r="I187" s="28" t="str">
        <f t="shared" si="19"/>
        <v/>
      </c>
      <c r="J187" s="28" t="str">
        <f t="shared" si="19"/>
        <v/>
      </c>
      <c r="K187" s="28" t="str">
        <f t="shared" si="19"/>
        <v/>
      </c>
      <c r="L187" s="29" t="str">
        <f t="shared" si="18"/>
        <v/>
      </c>
      <c r="M187" s="30" t="str">
        <f t="shared" si="15"/>
        <v/>
      </c>
      <c r="Q187" s="20">
        <f t="shared" si="16"/>
        <v>1</v>
      </c>
    </row>
    <row r="188" spans="2:17" ht="13" customHeight="1" x14ac:dyDescent="0.25">
      <c r="B188" s="22">
        <v>44381</v>
      </c>
      <c r="C188" s="42"/>
      <c r="D188" s="24"/>
      <c r="E188" s="25"/>
      <c r="F188" s="26"/>
      <c r="G188" s="27"/>
      <c r="H188" s="28" t="str">
        <f t="shared" si="19"/>
        <v/>
      </c>
      <c r="I188" s="28" t="str">
        <f t="shared" si="19"/>
        <v/>
      </c>
      <c r="J188" s="28" t="str">
        <f t="shared" si="19"/>
        <v/>
      </c>
      <c r="K188" s="28" t="str">
        <f t="shared" si="19"/>
        <v/>
      </c>
      <c r="L188" s="29" t="str">
        <f t="shared" si="18"/>
        <v/>
      </c>
      <c r="M188" s="30" t="str">
        <f t="shared" si="15"/>
        <v/>
      </c>
      <c r="Q188" s="20">
        <f t="shared" si="16"/>
        <v>1</v>
      </c>
    </row>
    <row r="189" spans="2:17" ht="13" customHeight="1" x14ac:dyDescent="0.25">
      <c r="B189" s="22">
        <v>44382</v>
      </c>
      <c r="C189" s="42"/>
      <c r="D189" s="24"/>
      <c r="E189" s="25"/>
      <c r="F189" s="26"/>
      <c r="G189" s="27"/>
      <c r="H189" s="28" t="str">
        <f t="shared" si="19"/>
        <v/>
      </c>
      <c r="I189" s="28" t="str">
        <f t="shared" si="19"/>
        <v/>
      </c>
      <c r="J189" s="28" t="str">
        <f t="shared" si="19"/>
        <v/>
      </c>
      <c r="K189" s="28" t="str">
        <f t="shared" si="19"/>
        <v/>
      </c>
      <c r="L189" s="29" t="str">
        <f t="shared" si="18"/>
        <v/>
      </c>
      <c r="M189" s="30" t="str">
        <f t="shared" si="15"/>
        <v/>
      </c>
      <c r="Q189" s="20">
        <f t="shared" si="16"/>
        <v>1</v>
      </c>
    </row>
    <row r="190" spans="2:17" ht="13" customHeight="1" x14ac:dyDescent="0.25">
      <c r="B190" s="22">
        <v>44383</v>
      </c>
      <c r="C190" s="42"/>
      <c r="D190" s="24"/>
      <c r="E190" s="25"/>
      <c r="F190" s="26"/>
      <c r="G190" s="27"/>
      <c r="H190" s="28" t="str">
        <f t="shared" si="19"/>
        <v/>
      </c>
      <c r="I190" s="28" t="str">
        <f t="shared" si="19"/>
        <v/>
      </c>
      <c r="J190" s="28" t="str">
        <f t="shared" si="19"/>
        <v/>
      </c>
      <c r="K190" s="28" t="str">
        <f t="shared" si="19"/>
        <v/>
      </c>
      <c r="L190" s="29" t="str">
        <f t="shared" si="18"/>
        <v/>
      </c>
      <c r="M190" s="30" t="str">
        <f t="shared" si="15"/>
        <v/>
      </c>
      <c r="Q190" s="20">
        <f t="shared" si="16"/>
        <v>1</v>
      </c>
    </row>
    <row r="191" spans="2:17" ht="13" customHeight="1" x14ac:dyDescent="0.25">
      <c r="B191" s="22">
        <v>44384</v>
      </c>
      <c r="C191" s="42"/>
      <c r="D191" s="24"/>
      <c r="E191" s="25"/>
      <c r="F191" s="26"/>
      <c r="G191" s="27"/>
      <c r="H191" s="28" t="str">
        <f t="shared" si="19"/>
        <v/>
      </c>
      <c r="I191" s="28" t="str">
        <f t="shared" si="19"/>
        <v/>
      </c>
      <c r="J191" s="28" t="str">
        <f t="shared" si="19"/>
        <v/>
      </c>
      <c r="K191" s="28" t="str">
        <f t="shared" si="19"/>
        <v/>
      </c>
      <c r="L191" s="29" t="str">
        <f t="shared" si="18"/>
        <v/>
      </c>
      <c r="M191" s="30" t="str">
        <f t="shared" si="15"/>
        <v/>
      </c>
      <c r="Q191" s="20">
        <f t="shared" si="16"/>
        <v>1</v>
      </c>
    </row>
    <row r="192" spans="2:17" ht="13" customHeight="1" x14ac:dyDescent="0.25">
      <c r="B192" s="22">
        <v>44385</v>
      </c>
      <c r="C192" s="42"/>
      <c r="D192" s="24"/>
      <c r="E192" s="25"/>
      <c r="F192" s="26"/>
      <c r="G192" s="27"/>
      <c r="H192" s="28" t="str">
        <f t="shared" si="19"/>
        <v/>
      </c>
      <c r="I192" s="28" t="str">
        <f t="shared" si="19"/>
        <v/>
      </c>
      <c r="J192" s="28" t="str">
        <f t="shared" si="19"/>
        <v/>
      </c>
      <c r="K192" s="28" t="str">
        <f t="shared" si="19"/>
        <v/>
      </c>
      <c r="L192" s="29" t="str">
        <f t="shared" si="18"/>
        <v/>
      </c>
      <c r="M192" s="30" t="str">
        <f t="shared" si="15"/>
        <v/>
      </c>
      <c r="Q192" s="20">
        <f t="shared" si="16"/>
        <v>1</v>
      </c>
    </row>
    <row r="193" spans="2:17" ht="13" customHeight="1" x14ac:dyDescent="0.25">
      <c r="B193" s="22">
        <v>44386</v>
      </c>
      <c r="C193" s="42"/>
      <c r="D193" s="24"/>
      <c r="E193" s="25"/>
      <c r="F193" s="26"/>
      <c r="G193" s="27"/>
      <c r="H193" s="28" t="str">
        <f t="shared" si="19"/>
        <v/>
      </c>
      <c r="I193" s="28" t="str">
        <f t="shared" si="19"/>
        <v/>
      </c>
      <c r="J193" s="28" t="str">
        <f t="shared" si="19"/>
        <v/>
      </c>
      <c r="K193" s="28" t="str">
        <f t="shared" si="19"/>
        <v/>
      </c>
      <c r="L193" s="29" t="str">
        <f t="shared" si="18"/>
        <v/>
      </c>
      <c r="M193" s="30" t="str">
        <f t="shared" si="15"/>
        <v/>
      </c>
      <c r="Q193" s="20">
        <f t="shared" si="16"/>
        <v>1</v>
      </c>
    </row>
    <row r="194" spans="2:17" ht="13" customHeight="1" x14ac:dyDescent="0.25">
      <c r="B194" s="22">
        <v>44387</v>
      </c>
      <c r="C194" s="42"/>
      <c r="D194" s="24"/>
      <c r="E194" s="25"/>
      <c r="F194" s="26"/>
      <c r="G194" s="27"/>
      <c r="H194" s="28" t="str">
        <f t="shared" si="19"/>
        <v/>
      </c>
      <c r="I194" s="28" t="str">
        <f t="shared" si="19"/>
        <v/>
      </c>
      <c r="J194" s="28" t="str">
        <f t="shared" si="19"/>
        <v/>
      </c>
      <c r="K194" s="28" t="str">
        <f t="shared" si="19"/>
        <v/>
      </c>
      <c r="L194" s="29" t="str">
        <f t="shared" si="18"/>
        <v/>
      </c>
      <c r="M194" s="30" t="str">
        <f t="shared" si="15"/>
        <v/>
      </c>
      <c r="Q194" s="20">
        <f t="shared" si="16"/>
        <v>1</v>
      </c>
    </row>
    <row r="195" spans="2:17" ht="13" customHeight="1" x14ac:dyDescent="0.25">
      <c r="B195" s="22">
        <v>44388</v>
      </c>
      <c r="C195" s="42"/>
      <c r="D195" s="24"/>
      <c r="E195" s="25"/>
      <c r="F195" s="26"/>
      <c r="G195" s="27"/>
      <c r="H195" s="28" t="str">
        <f t="shared" si="19"/>
        <v/>
      </c>
      <c r="I195" s="28" t="str">
        <f t="shared" si="19"/>
        <v/>
      </c>
      <c r="J195" s="28" t="str">
        <f t="shared" si="19"/>
        <v/>
      </c>
      <c r="K195" s="28" t="str">
        <f t="shared" si="19"/>
        <v/>
      </c>
      <c r="L195" s="29" t="str">
        <f t="shared" si="18"/>
        <v/>
      </c>
      <c r="M195" s="30" t="str">
        <f t="shared" si="15"/>
        <v/>
      </c>
      <c r="Q195" s="20">
        <f t="shared" si="16"/>
        <v>1</v>
      </c>
    </row>
    <row r="196" spans="2:17" ht="13" customHeight="1" x14ac:dyDescent="0.25">
      <c r="B196" s="22">
        <v>44389</v>
      </c>
      <c r="C196" s="42"/>
      <c r="D196" s="24"/>
      <c r="E196" s="25"/>
      <c r="F196" s="26"/>
      <c r="G196" s="27"/>
      <c r="H196" s="28" t="str">
        <f t="shared" si="19"/>
        <v/>
      </c>
      <c r="I196" s="28" t="str">
        <f t="shared" si="19"/>
        <v/>
      </c>
      <c r="J196" s="28" t="str">
        <f t="shared" si="19"/>
        <v/>
      </c>
      <c r="K196" s="28" t="str">
        <f t="shared" si="19"/>
        <v/>
      </c>
      <c r="L196" s="29" t="str">
        <f t="shared" si="18"/>
        <v/>
      </c>
      <c r="M196" s="30" t="str">
        <f t="shared" si="15"/>
        <v/>
      </c>
      <c r="Q196" s="20">
        <f t="shared" si="16"/>
        <v>1</v>
      </c>
    </row>
    <row r="197" spans="2:17" ht="13" customHeight="1" x14ac:dyDescent="0.25">
      <c r="B197" s="22">
        <v>44390</v>
      </c>
      <c r="C197" s="42"/>
      <c r="D197" s="24"/>
      <c r="E197" s="25"/>
      <c r="F197" s="26"/>
      <c r="G197" s="27"/>
      <c r="H197" s="28" t="str">
        <f t="shared" si="19"/>
        <v/>
      </c>
      <c r="I197" s="28" t="str">
        <f t="shared" si="19"/>
        <v/>
      </c>
      <c r="J197" s="28" t="str">
        <f t="shared" si="19"/>
        <v/>
      </c>
      <c r="K197" s="28" t="str">
        <f t="shared" si="19"/>
        <v/>
      </c>
      <c r="L197" s="29" t="str">
        <f>IF(G197="","",+(G196-G197))</f>
        <v/>
      </c>
      <c r="M197" s="30" t="str">
        <f t="shared" si="15"/>
        <v/>
      </c>
      <c r="Q197" s="20">
        <f t="shared" si="16"/>
        <v>1</v>
      </c>
    </row>
    <row r="198" spans="2:17" ht="13" customHeight="1" x14ac:dyDescent="0.25">
      <c r="B198" s="22">
        <v>44391</v>
      </c>
      <c r="C198" s="42"/>
      <c r="D198" s="24"/>
      <c r="E198" s="25"/>
      <c r="F198" s="26"/>
      <c r="G198" s="27"/>
      <c r="H198" s="28" t="str">
        <f t="shared" si="19"/>
        <v/>
      </c>
      <c r="I198" s="28" t="str">
        <f t="shared" si="19"/>
        <v/>
      </c>
      <c r="J198" s="28" t="str">
        <f t="shared" si="19"/>
        <v/>
      </c>
      <c r="K198" s="28" t="str">
        <f t="shared" si="19"/>
        <v/>
      </c>
      <c r="L198" s="29" t="str">
        <f>IF(G198="","",+(G197-G198))</f>
        <v/>
      </c>
      <c r="M198" s="30" t="str">
        <f t="shared" ref="M198:M261" si="20">IF(H198="","",+(H198+I198+J198+K198))</f>
        <v/>
      </c>
      <c r="Q198" s="20">
        <f t="shared" ref="Q198:Q212" si="21">IF(L198="",1,0)</f>
        <v>1</v>
      </c>
    </row>
    <row r="199" spans="2:17" ht="13" customHeight="1" x14ac:dyDescent="0.25">
      <c r="B199" s="22">
        <v>44392</v>
      </c>
      <c r="C199" s="42"/>
      <c r="D199" s="24"/>
      <c r="E199" s="25"/>
      <c r="F199" s="26"/>
      <c r="G199" s="27"/>
      <c r="H199" s="28" t="str">
        <f t="shared" si="19"/>
        <v/>
      </c>
      <c r="I199" s="28" t="str">
        <f t="shared" si="19"/>
        <v/>
      </c>
      <c r="J199" s="28" t="str">
        <f t="shared" si="19"/>
        <v/>
      </c>
      <c r="K199" s="28" t="str">
        <f t="shared" si="19"/>
        <v/>
      </c>
      <c r="L199" s="29" t="str">
        <f>IF(G199="","",+(G198-G199))</f>
        <v/>
      </c>
      <c r="M199" s="30" t="str">
        <f t="shared" si="20"/>
        <v/>
      </c>
      <c r="Q199" s="20">
        <f t="shared" si="21"/>
        <v>1</v>
      </c>
    </row>
    <row r="200" spans="2:17" ht="13" customHeight="1" x14ac:dyDescent="0.25">
      <c r="B200" s="22">
        <v>44393</v>
      </c>
      <c r="C200" s="42"/>
      <c r="D200" s="24"/>
      <c r="E200" s="25"/>
      <c r="F200" s="26"/>
      <c r="G200" s="27"/>
      <c r="H200" s="28" t="str">
        <f t="shared" si="19"/>
        <v/>
      </c>
      <c r="I200" s="28" t="str">
        <f t="shared" si="19"/>
        <v/>
      </c>
      <c r="J200" s="28" t="str">
        <f t="shared" si="19"/>
        <v/>
      </c>
      <c r="K200" s="28" t="str">
        <f t="shared" si="19"/>
        <v/>
      </c>
      <c r="L200" s="46" t="str">
        <f>IF(G200="","",+(G200-G199))</f>
        <v/>
      </c>
      <c r="M200" s="30" t="str">
        <f t="shared" si="20"/>
        <v/>
      </c>
      <c r="Q200" s="20">
        <f t="shared" si="21"/>
        <v>1</v>
      </c>
    </row>
    <row r="201" spans="2:17" ht="13" customHeight="1" x14ac:dyDescent="0.25">
      <c r="B201" s="22">
        <v>44394</v>
      </c>
      <c r="C201" s="42"/>
      <c r="D201" s="24"/>
      <c r="E201" s="25"/>
      <c r="F201" s="26"/>
      <c r="G201" s="27"/>
      <c r="H201" s="28" t="str">
        <f t="shared" si="19"/>
        <v/>
      </c>
      <c r="I201" s="28" t="str">
        <f t="shared" si="19"/>
        <v/>
      </c>
      <c r="J201" s="28" t="str">
        <f t="shared" si="19"/>
        <v/>
      </c>
      <c r="K201" s="28" t="str">
        <f t="shared" si="19"/>
        <v/>
      </c>
      <c r="L201" s="29" t="str">
        <f>IF(G201="","",+(G201-G200))</f>
        <v/>
      </c>
      <c r="M201" s="30" t="str">
        <f t="shared" si="20"/>
        <v/>
      </c>
      <c r="Q201" s="20">
        <f t="shared" si="21"/>
        <v>1</v>
      </c>
    </row>
    <row r="202" spans="2:17" ht="13" customHeight="1" x14ac:dyDescent="0.25">
      <c r="B202" s="22">
        <v>44395</v>
      </c>
      <c r="C202" s="42"/>
      <c r="D202" s="24"/>
      <c r="E202" s="25"/>
      <c r="F202" s="26"/>
      <c r="G202" s="27"/>
      <c r="H202" s="28" t="str">
        <f t="shared" ref="H202:L219" si="22">IF(C202="","",+(C202-C201))</f>
        <v/>
      </c>
      <c r="I202" s="28" t="str">
        <f t="shared" si="22"/>
        <v/>
      </c>
      <c r="J202" s="28" t="str">
        <f t="shared" si="22"/>
        <v/>
      </c>
      <c r="K202" s="28" t="str">
        <f t="shared" si="22"/>
        <v/>
      </c>
      <c r="L202" s="29" t="str">
        <f t="shared" si="22"/>
        <v/>
      </c>
      <c r="M202" s="30" t="str">
        <f t="shared" si="20"/>
        <v/>
      </c>
      <c r="N202" s="47"/>
      <c r="Q202" s="20">
        <f t="shared" si="21"/>
        <v>1</v>
      </c>
    </row>
    <row r="203" spans="2:17" ht="13" customHeight="1" x14ac:dyDescent="0.25">
      <c r="B203" s="22">
        <v>44396</v>
      </c>
      <c r="C203" s="42"/>
      <c r="D203" s="24"/>
      <c r="E203" s="25"/>
      <c r="F203" s="26"/>
      <c r="G203" s="27"/>
      <c r="H203" s="28" t="str">
        <f t="shared" si="22"/>
        <v/>
      </c>
      <c r="I203" s="28" t="str">
        <f t="shared" si="22"/>
        <v/>
      </c>
      <c r="J203" s="28" t="str">
        <f t="shared" si="22"/>
        <v/>
      </c>
      <c r="K203" s="28" t="str">
        <f t="shared" si="22"/>
        <v/>
      </c>
      <c r="L203" s="29" t="str">
        <f t="shared" si="22"/>
        <v/>
      </c>
      <c r="M203" s="30" t="str">
        <f t="shared" si="20"/>
        <v/>
      </c>
      <c r="Q203" s="20">
        <f t="shared" si="21"/>
        <v>1</v>
      </c>
    </row>
    <row r="204" spans="2:17" ht="13" customHeight="1" x14ac:dyDescent="0.25">
      <c r="B204" s="22">
        <v>44397</v>
      </c>
      <c r="C204" s="42"/>
      <c r="D204" s="24"/>
      <c r="E204" s="25"/>
      <c r="F204" s="26"/>
      <c r="G204" s="27"/>
      <c r="H204" s="28" t="str">
        <f t="shared" si="22"/>
        <v/>
      </c>
      <c r="I204" s="28" t="str">
        <f t="shared" si="22"/>
        <v/>
      </c>
      <c r="J204" s="28" t="str">
        <f t="shared" si="22"/>
        <v/>
      </c>
      <c r="K204" s="28" t="str">
        <f t="shared" si="22"/>
        <v/>
      </c>
      <c r="L204" s="29" t="str">
        <f t="shared" si="22"/>
        <v/>
      </c>
      <c r="M204" s="30" t="str">
        <f t="shared" si="20"/>
        <v/>
      </c>
      <c r="Q204" s="20">
        <f t="shared" si="21"/>
        <v>1</v>
      </c>
    </row>
    <row r="205" spans="2:17" ht="13" customHeight="1" thickBot="1" x14ac:dyDescent="0.3">
      <c r="B205" s="22">
        <v>44398</v>
      </c>
      <c r="C205" s="42"/>
      <c r="D205" s="24"/>
      <c r="E205" s="25"/>
      <c r="F205" s="26"/>
      <c r="G205" s="27"/>
      <c r="H205" s="28" t="str">
        <f t="shared" si="22"/>
        <v/>
      </c>
      <c r="I205" s="28" t="str">
        <f t="shared" si="22"/>
        <v/>
      </c>
      <c r="J205" s="28" t="str">
        <f t="shared" si="22"/>
        <v/>
      </c>
      <c r="K205" s="28" t="str">
        <f t="shared" si="22"/>
        <v/>
      </c>
      <c r="L205" s="29" t="str">
        <f t="shared" si="22"/>
        <v/>
      </c>
      <c r="M205" s="30" t="str">
        <f t="shared" si="20"/>
        <v/>
      </c>
      <c r="Q205" s="20">
        <f t="shared" si="21"/>
        <v>1</v>
      </c>
    </row>
    <row r="206" spans="2:17" ht="13" customHeight="1" x14ac:dyDescent="0.25">
      <c r="B206" s="22">
        <v>44399</v>
      </c>
      <c r="C206" s="42"/>
      <c r="D206" s="24"/>
      <c r="E206" s="25"/>
      <c r="F206" s="26"/>
      <c r="G206" s="27"/>
      <c r="H206" s="28" t="str">
        <f t="shared" si="22"/>
        <v/>
      </c>
      <c r="I206" s="28" t="str">
        <f t="shared" si="22"/>
        <v/>
      </c>
      <c r="J206" s="28" t="str">
        <f t="shared" si="22"/>
        <v/>
      </c>
      <c r="K206" s="28" t="str">
        <f t="shared" si="22"/>
        <v/>
      </c>
      <c r="L206" s="29" t="str">
        <f t="shared" si="22"/>
        <v/>
      </c>
      <c r="M206" s="30" t="str">
        <f t="shared" si="20"/>
        <v/>
      </c>
      <c r="N206" s="159" t="s">
        <v>21</v>
      </c>
      <c r="O206" s="159" t="s">
        <v>22</v>
      </c>
      <c r="Q206" s="20">
        <f t="shared" si="21"/>
        <v>1</v>
      </c>
    </row>
    <row r="207" spans="2:17" ht="13" customHeight="1" x14ac:dyDescent="0.25">
      <c r="B207" s="22">
        <v>44400</v>
      </c>
      <c r="C207" s="42"/>
      <c r="D207" s="24"/>
      <c r="E207" s="25"/>
      <c r="F207" s="26"/>
      <c r="G207" s="27"/>
      <c r="H207" s="28" t="str">
        <f t="shared" si="22"/>
        <v/>
      </c>
      <c r="I207" s="28" t="str">
        <f t="shared" si="22"/>
        <v/>
      </c>
      <c r="J207" s="28" t="str">
        <f t="shared" si="22"/>
        <v/>
      </c>
      <c r="K207" s="28" t="str">
        <f t="shared" si="22"/>
        <v/>
      </c>
      <c r="L207" s="29" t="str">
        <f t="shared" si="22"/>
        <v/>
      </c>
      <c r="M207" s="30" t="str">
        <f t="shared" si="20"/>
        <v/>
      </c>
      <c r="N207" s="160"/>
      <c r="O207" s="160"/>
      <c r="Q207" s="20">
        <f t="shared" si="21"/>
        <v>1</v>
      </c>
    </row>
    <row r="208" spans="2:17" ht="13" customHeight="1" thickBot="1" x14ac:dyDescent="0.3">
      <c r="B208" s="22">
        <v>44401</v>
      </c>
      <c r="C208" s="42"/>
      <c r="D208" s="24"/>
      <c r="E208" s="25"/>
      <c r="F208" s="26"/>
      <c r="G208" s="27"/>
      <c r="H208" s="28" t="str">
        <f t="shared" si="22"/>
        <v/>
      </c>
      <c r="I208" s="28" t="str">
        <f t="shared" si="22"/>
        <v/>
      </c>
      <c r="J208" s="28" t="str">
        <f t="shared" si="22"/>
        <v/>
      </c>
      <c r="K208" s="28" t="str">
        <f t="shared" si="22"/>
        <v/>
      </c>
      <c r="L208" s="29" t="str">
        <f t="shared" si="22"/>
        <v/>
      </c>
      <c r="M208" s="30" t="str">
        <f t="shared" si="20"/>
        <v/>
      </c>
      <c r="N208" s="161"/>
      <c r="O208" s="161"/>
      <c r="Q208" s="20">
        <f t="shared" si="21"/>
        <v>1</v>
      </c>
    </row>
    <row r="209" spans="2:17" ht="13" customHeight="1" thickBot="1" x14ac:dyDescent="0.3">
      <c r="B209" s="22">
        <v>44402</v>
      </c>
      <c r="C209" s="42"/>
      <c r="D209" s="24"/>
      <c r="E209" s="25"/>
      <c r="F209" s="26"/>
      <c r="G209" s="27"/>
      <c r="H209" s="28" t="str">
        <f t="shared" si="22"/>
        <v/>
      </c>
      <c r="I209" s="28" t="str">
        <f t="shared" si="22"/>
        <v/>
      </c>
      <c r="J209" s="28" t="str">
        <f t="shared" si="22"/>
        <v/>
      </c>
      <c r="K209" s="28" t="str">
        <f t="shared" si="22"/>
        <v/>
      </c>
      <c r="L209" s="29" t="str">
        <f t="shared" si="22"/>
        <v/>
      </c>
      <c r="M209" s="30" t="str">
        <f t="shared" si="20"/>
        <v/>
      </c>
      <c r="N209" s="32">
        <f>SUM(L186:L216)</f>
        <v>0</v>
      </c>
      <c r="O209" s="32">
        <f>SUM(M186:M216)</f>
        <v>0</v>
      </c>
      <c r="Q209" s="20">
        <f t="shared" si="21"/>
        <v>1</v>
      </c>
    </row>
    <row r="210" spans="2:17" ht="13" customHeight="1" x14ac:dyDescent="0.25">
      <c r="B210" s="22">
        <v>44403</v>
      </c>
      <c r="C210" s="42"/>
      <c r="D210" s="24"/>
      <c r="E210" s="25"/>
      <c r="F210" s="26"/>
      <c r="G210" s="27"/>
      <c r="H210" s="28" t="str">
        <f t="shared" si="22"/>
        <v/>
      </c>
      <c r="I210" s="28" t="str">
        <f t="shared" si="22"/>
        <v/>
      </c>
      <c r="J210" s="28" t="str">
        <f t="shared" si="22"/>
        <v/>
      </c>
      <c r="K210" s="28" t="str">
        <f t="shared" si="22"/>
        <v/>
      </c>
      <c r="L210" s="29" t="str">
        <f t="shared" si="22"/>
        <v/>
      </c>
      <c r="M210" s="30" t="str">
        <f t="shared" si="20"/>
        <v/>
      </c>
      <c r="N210" s="159" t="s">
        <v>23</v>
      </c>
      <c r="O210" s="159" t="s">
        <v>24</v>
      </c>
      <c r="Q210" s="20">
        <f t="shared" si="21"/>
        <v>1</v>
      </c>
    </row>
    <row r="211" spans="2:17" ht="13" customHeight="1" thickBot="1" x14ac:dyDescent="0.3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2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2"/>
        <v/>
      </c>
      <c r="M211" s="30" t="str">
        <f t="shared" si="20"/>
        <v/>
      </c>
      <c r="N211" s="161"/>
      <c r="O211" s="161"/>
      <c r="Q211" s="20">
        <f t="shared" si="21"/>
        <v>1</v>
      </c>
    </row>
    <row r="212" spans="2:17" ht="13" customHeight="1" thickBot="1" x14ac:dyDescent="0.3">
      <c r="B212" s="22">
        <v>44405</v>
      </c>
      <c r="C212" s="42"/>
      <c r="D212" s="24"/>
      <c r="E212" s="25"/>
      <c r="F212" s="26"/>
      <c r="G212" s="27"/>
      <c r="H212" s="28" t="str">
        <f t="shared" si="22"/>
        <v/>
      </c>
      <c r="I212" s="28" t="str">
        <f t="shared" si="22"/>
        <v/>
      </c>
      <c r="J212" s="28" t="str">
        <f t="shared" si="22"/>
        <v/>
      </c>
      <c r="K212" s="28" t="str">
        <f t="shared" si="22"/>
        <v/>
      </c>
      <c r="L212" s="29" t="str">
        <f t="shared" si="22"/>
        <v/>
      </c>
      <c r="M212" s="30" t="str">
        <f t="shared" si="20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1"/>
        <v>1</v>
      </c>
    </row>
    <row r="213" spans="2:17" ht="13" customHeight="1" x14ac:dyDescent="0.25">
      <c r="B213" s="22">
        <v>44406</v>
      </c>
      <c r="C213" s="42"/>
      <c r="D213" s="24"/>
      <c r="E213" s="25"/>
      <c r="F213" s="26"/>
      <c r="G213" s="27"/>
      <c r="H213" s="28" t="str">
        <f t="shared" si="22"/>
        <v/>
      </c>
      <c r="I213" s="28" t="str">
        <f t="shared" si="22"/>
        <v/>
      </c>
      <c r="J213" s="28" t="str">
        <f t="shared" si="22"/>
        <v/>
      </c>
      <c r="K213" s="28" t="str">
        <f t="shared" si="22"/>
        <v/>
      </c>
      <c r="L213" s="29" t="str">
        <f t="shared" si="22"/>
        <v/>
      </c>
      <c r="M213" s="30" t="str">
        <f t="shared" si="20"/>
        <v/>
      </c>
      <c r="O213" s="20">
        <f>IF(L213="",1,0)</f>
        <v>1</v>
      </c>
    </row>
    <row r="214" spans="2:17" ht="13" customHeight="1" x14ac:dyDescent="0.25">
      <c r="B214" s="22">
        <v>44407</v>
      </c>
      <c r="C214" s="42"/>
      <c r="D214" s="24"/>
      <c r="E214" s="25"/>
      <c r="F214" s="26"/>
      <c r="G214" s="27"/>
      <c r="H214" s="28" t="str">
        <f t="shared" si="22"/>
        <v/>
      </c>
      <c r="I214" s="28" t="str">
        <f t="shared" si="22"/>
        <v/>
      </c>
      <c r="J214" s="28" t="str">
        <f t="shared" si="22"/>
        <v/>
      </c>
      <c r="K214" s="28" t="str">
        <f t="shared" si="22"/>
        <v/>
      </c>
      <c r="L214" s="29" t="str">
        <f t="shared" si="22"/>
        <v/>
      </c>
      <c r="M214" s="30" t="str">
        <f t="shared" si="20"/>
        <v/>
      </c>
      <c r="O214" s="20">
        <f>IF(L214="",1,0)</f>
        <v>1</v>
      </c>
    </row>
    <row r="215" spans="2:17" ht="13" customHeight="1" x14ac:dyDescent="0.25">
      <c r="B215" s="22">
        <v>44408</v>
      </c>
      <c r="C215" s="42"/>
      <c r="D215" s="24"/>
      <c r="E215" s="25"/>
      <c r="F215" s="26"/>
      <c r="G215" s="27"/>
      <c r="H215" s="28" t="str">
        <f t="shared" si="22"/>
        <v/>
      </c>
      <c r="I215" s="28" t="str">
        <f t="shared" si="22"/>
        <v/>
      </c>
      <c r="J215" s="28" t="str">
        <f t="shared" si="22"/>
        <v/>
      </c>
      <c r="K215" s="28" t="str">
        <f t="shared" si="22"/>
        <v/>
      </c>
      <c r="L215" s="29" t="str">
        <f t="shared" si="22"/>
        <v/>
      </c>
      <c r="M215" s="30" t="str">
        <f t="shared" si="20"/>
        <v/>
      </c>
      <c r="O215" s="20">
        <f>IF(L215="",1,0)</f>
        <v>1</v>
      </c>
    </row>
    <row r="216" spans="2:17" ht="13" customHeight="1" x14ac:dyDescent="0.25">
      <c r="B216" s="22">
        <v>44409</v>
      </c>
      <c r="C216" s="34"/>
      <c r="D216" s="33"/>
      <c r="E216" s="33"/>
      <c r="F216" s="33"/>
      <c r="G216" s="33"/>
      <c r="H216" s="40" t="str">
        <f t="shared" si="22"/>
        <v/>
      </c>
      <c r="I216" s="40" t="str">
        <f t="shared" si="22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2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3">IF(L216="",1,0)</f>
        <v>1</v>
      </c>
    </row>
    <row r="217" spans="2:17" ht="13" customHeight="1" x14ac:dyDescent="0.25">
      <c r="B217" s="22">
        <v>44410</v>
      </c>
      <c r="C217" s="42"/>
      <c r="D217" s="24"/>
      <c r="E217" s="25"/>
      <c r="F217" s="26"/>
      <c r="G217" s="27"/>
      <c r="H217" s="28" t="str">
        <f t="shared" si="22"/>
        <v/>
      </c>
      <c r="I217" s="28" t="str">
        <f t="shared" si="22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2"/>
        <v/>
      </c>
      <c r="M217" s="30" t="str">
        <f>IF(H217="","",+(H217+I217+J217+K217))</f>
        <v/>
      </c>
      <c r="Q217" s="20">
        <f t="shared" si="23"/>
        <v>1</v>
      </c>
    </row>
    <row r="218" spans="2:17" ht="13" customHeight="1" x14ac:dyDescent="0.25">
      <c r="B218" s="22">
        <v>44411</v>
      </c>
      <c r="C218" s="42"/>
      <c r="D218" s="24"/>
      <c r="E218" s="25"/>
      <c r="F218" s="26"/>
      <c r="G218" s="27"/>
      <c r="H218" s="28" t="str">
        <f t="shared" si="22"/>
        <v/>
      </c>
      <c r="I218" s="28" t="str">
        <f t="shared" si="22"/>
        <v/>
      </c>
      <c r="J218" s="28" t="str">
        <f t="shared" si="22"/>
        <v/>
      </c>
      <c r="K218" s="28" t="str">
        <f t="shared" si="22"/>
        <v/>
      </c>
      <c r="L218" s="29" t="str">
        <f t="shared" si="22"/>
        <v/>
      </c>
      <c r="M218" s="30" t="str">
        <f t="shared" si="20"/>
        <v/>
      </c>
      <c r="Q218" s="20">
        <f t="shared" si="23"/>
        <v>1</v>
      </c>
    </row>
    <row r="219" spans="2:17" ht="13" customHeight="1" x14ac:dyDescent="0.25">
      <c r="B219" s="22">
        <v>44412</v>
      </c>
      <c r="C219" s="42"/>
      <c r="D219" s="24"/>
      <c r="E219" s="25"/>
      <c r="F219" s="26"/>
      <c r="G219" s="27"/>
      <c r="H219" s="28" t="str">
        <f t="shared" si="22"/>
        <v/>
      </c>
      <c r="I219" s="28" t="str">
        <f t="shared" si="22"/>
        <v/>
      </c>
      <c r="J219" s="28" t="str">
        <f t="shared" si="22"/>
        <v/>
      </c>
      <c r="K219" s="28" t="str">
        <f t="shared" si="22"/>
        <v/>
      </c>
      <c r="L219" s="29" t="str">
        <f t="shared" si="22"/>
        <v/>
      </c>
      <c r="M219" s="30" t="str">
        <f t="shared" si="20"/>
        <v/>
      </c>
      <c r="Q219" s="20">
        <f t="shared" si="23"/>
        <v>1</v>
      </c>
    </row>
    <row r="220" spans="2:17" ht="13" customHeight="1" x14ac:dyDescent="0.25">
      <c r="B220" s="22">
        <v>44413</v>
      </c>
      <c r="C220" s="42"/>
      <c r="D220" s="24"/>
      <c r="E220" s="25"/>
      <c r="F220" s="26"/>
      <c r="G220" s="27"/>
      <c r="H220" s="28" t="str">
        <f t="shared" ref="H220:L248" si="24">IF(C220="","",+(C220-C219))</f>
        <v/>
      </c>
      <c r="I220" s="28" t="str">
        <f t="shared" si="24"/>
        <v/>
      </c>
      <c r="J220" s="28" t="str">
        <f t="shared" si="24"/>
        <v/>
      </c>
      <c r="K220" s="28" t="str">
        <f t="shared" si="24"/>
        <v/>
      </c>
      <c r="L220" s="29" t="str">
        <f t="shared" si="24"/>
        <v/>
      </c>
      <c r="M220" s="30" t="str">
        <f t="shared" si="20"/>
        <v/>
      </c>
      <c r="Q220" s="20">
        <f t="shared" si="23"/>
        <v>1</v>
      </c>
    </row>
    <row r="221" spans="2:17" ht="13" customHeight="1" x14ac:dyDescent="0.25">
      <c r="B221" s="22">
        <v>44414</v>
      </c>
      <c r="C221" s="42"/>
      <c r="D221" s="24"/>
      <c r="E221" s="25"/>
      <c r="F221" s="26"/>
      <c r="G221" s="27"/>
      <c r="H221" s="28" t="str">
        <f t="shared" si="24"/>
        <v/>
      </c>
      <c r="I221" s="28" t="str">
        <f t="shared" si="24"/>
        <v/>
      </c>
      <c r="J221" s="28" t="str">
        <f t="shared" si="24"/>
        <v/>
      </c>
      <c r="K221" s="28" t="str">
        <f t="shared" si="24"/>
        <v/>
      </c>
      <c r="L221" s="29" t="str">
        <f t="shared" si="24"/>
        <v/>
      </c>
      <c r="M221" s="30" t="str">
        <f t="shared" si="20"/>
        <v/>
      </c>
      <c r="Q221" s="20">
        <f t="shared" si="23"/>
        <v>1</v>
      </c>
    </row>
    <row r="222" spans="2:17" ht="13" customHeight="1" x14ac:dyDescent="0.25">
      <c r="B222" s="22">
        <v>44415</v>
      </c>
      <c r="C222" s="42"/>
      <c r="D222" s="24"/>
      <c r="E222" s="25"/>
      <c r="F222" s="26"/>
      <c r="G222" s="27"/>
      <c r="H222" s="28" t="str">
        <f t="shared" si="24"/>
        <v/>
      </c>
      <c r="I222" s="28" t="str">
        <f t="shared" si="24"/>
        <v/>
      </c>
      <c r="J222" s="28" t="str">
        <f t="shared" si="24"/>
        <v/>
      </c>
      <c r="K222" s="28" t="str">
        <f t="shared" si="24"/>
        <v/>
      </c>
      <c r="L222" s="29" t="str">
        <f t="shared" si="24"/>
        <v/>
      </c>
      <c r="M222" s="30" t="str">
        <f t="shared" si="20"/>
        <v/>
      </c>
      <c r="Q222" s="20">
        <f t="shared" si="23"/>
        <v>1</v>
      </c>
    </row>
    <row r="223" spans="2:17" ht="13" customHeight="1" x14ac:dyDescent="0.25">
      <c r="B223" s="22">
        <v>44416</v>
      </c>
      <c r="C223" s="42"/>
      <c r="D223" s="24"/>
      <c r="E223" s="25"/>
      <c r="F223" s="26"/>
      <c r="G223" s="27"/>
      <c r="H223" s="28" t="str">
        <f t="shared" si="24"/>
        <v/>
      </c>
      <c r="I223" s="28" t="str">
        <f t="shared" si="24"/>
        <v/>
      </c>
      <c r="J223" s="28" t="str">
        <f t="shared" si="24"/>
        <v/>
      </c>
      <c r="K223" s="28" t="str">
        <f t="shared" si="24"/>
        <v/>
      </c>
      <c r="L223" s="29" t="str">
        <f t="shared" si="24"/>
        <v/>
      </c>
      <c r="M223" s="30" t="str">
        <f t="shared" si="20"/>
        <v/>
      </c>
      <c r="Q223" s="20">
        <f t="shared" si="23"/>
        <v>1</v>
      </c>
    </row>
    <row r="224" spans="2:17" ht="13" customHeight="1" x14ac:dyDescent="0.25">
      <c r="B224" s="22">
        <v>44417</v>
      </c>
      <c r="C224" s="42"/>
      <c r="D224" s="24"/>
      <c r="E224" s="25"/>
      <c r="F224" s="26"/>
      <c r="G224" s="27"/>
      <c r="H224" s="28" t="str">
        <f t="shared" si="24"/>
        <v/>
      </c>
      <c r="I224" s="28" t="str">
        <f t="shared" si="24"/>
        <v/>
      </c>
      <c r="J224" s="28" t="str">
        <f t="shared" si="24"/>
        <v/>
      </c>
      <c r="K224" s="28" t="str">
        <f t="shared" si="24"/>
        <v/>
      </c>
      <c r="L224" s="29" t="str">
        <f t="shared" si="24"/>
        <v/>
      </c>
      <c r="M224" s="30" t="str">
        <f t="shared" si="20"/>
        <v/>
      </c>
      <c r="Q224" s="20">
        <f t="shared" si="23"/>
        <v>1</v>
      </c>
    </row>
    <row r="225" spans="2:17" ht="13" customHeight="1" x14ac:dyDescent="0.25">
      <c r="B225" s="22">
        <v>44418</v>
      </c>
      <c r="C225" s="42"/>
      <c r="D225" s="24"/>
      <c r="E225" s="25"/>
      <c r="F225" s="26"/>
      <c r="G225" s="27"/>
      <c r="H225" s="28" t="str">
        <f t="shared" si="24"/>
        <v/>
      </c>
      <c r="I225" s="28" t="str">
        <f t="shared" si="24"/>
        <v/>
      </c>
      <c r="J225" s="28" t="str">
        <f t="shared" si="24"/>
        <v/>
      </c>
      <c r="K225" s="28" t="str">
        <f t="shared" si="24"/>
        <v/>
      </c>
      <c r="L225" s="29" t="str">
        <f t="shared" si="24"/>
        <v/>
      </c>
      <c r="M225" s="30" t="str">
        <f t="shared" si="20"/>
        <v/>
      </c>
      <c r="Q225" s="20">
        <f t="shared" si="23"/>
        <v>1</v>
      </c>
    </row>
    <row r="226" spans="2:17" ht="13" customHeight="1" x14ac:dyDescent="0.25">
      <c r="B226" s="22">
        <v>44419</v>
      </c>
      <c r="C226" s="42"/>
      <c r="D226" s="24"/>
      <c r="E226" s="25"/>
      <c r="F226" s="26"/>
      <c r="G226" s="27"/>
      <c r="H226" s="28" t="str">
        <f t="shared" si="24"/>
        <v/>
      </c>
      <c r="I226" s="28" t="str">
        <f t="shared" si="24"/>
        <v/>
      </c>
      <c r="J226" s="28" t="str">
        <f t="shared" si="24"/>
        <v/>
      </c>
      <c r="K226" s="28" t="str">
        <f t="shared" si="24"/>
        <v/>
      </c>
      <c r="L226" s="29" t="str">
        <f t="shared" si="24"/>
        <v/>
      </c>
      <c r="M226" s="30" t="str">
        <f t="shared" si="20"/>
        <v/>
      </c>
      <c r="Q226" s="20">
        <f t="shared" si="23"/>
        <v>1</v>
      </c>
    </row>
    <row r="227" spans="2:17" ht="13" customHeight="1" x14ac:dyDescent="0.25">
      <c r="B227" s="22">
        <v>44420</v>
      </c>
      <c r="C227" s="42"/>
      <c r="D227" s="24"/>
      <c r="E227" s="25"/>
      <c r="F227" s="26"/>
      <c r="G227" s="27"/>
      <c r="H227" s="28" t="str">
        <f t="shared" si="24"/>
        <v/>
      </c>
      <c r="I227" s="28" t="str">
        <f t="shared" si="24"/>
        <v/>
      </c>
      <c r="J227" s="28" t="str">
        <f t="shared" si="24"/>
        <v/>
      </c>
      <c r="K227" s="28" t="str">
        <f t="shared" si="24"/>
        <v/>
      </c>
      <c r="L227" s="29" t="str">
        <f t="shared" si="24"/>
        <v/>
      </c>
      <c r="M227" s="30" t="str">
        <f t="shared" si="20"/>
        <v/>
      </c>
      <c r="Q227" s="20">
        <f t="shared" si="23"/>
        <v>1</v>
      </c>
    </row>
    <row r="228" spans="2:17" ht="13" customHeight="1" x14ac:dyDescent="0.25">
      <c r="B228" s="22">
        <v>44421</v>
      </c>
      <c r="C228" s="42"/>
      <c r="D228" s="24"/>
      <c r="E228" s="25"/>
      <c r="F228" s="26"/>
      <c r="G228" s="27"/>
      <c r="H228" s="28" t="str">
        <f t="shared" si="24"/>
        <v/>
      </c>
      <c r="I228" s="28" t="str">
        <f t="shared" si="24"/>
        <v/>
      </c>
      <c r="J228" s="28" t="str">
        <f t="shared" si="24"/>
        <v/>
      </c>
      <c r="K228" s="28" t="str">
        <f t="shared" si="24"/>
        <v/>
      </c>
      <c r="L228" s="29" t="str">
        <f t="shared" si="24"/>
        <v/>
      </c>
      <c r="M228" s="30" t="str">
        <f t="shared" si="20"/>
        <v/>
      </c>
      <c r="Q228" s="20">
        <f t="shared" si="23"/>
        <v>1</v>
      </c>
    </row>
    <row r="229" spans="2:17" ht="13" customHeight="1" x14ac:dyDescent="0.25">
      <c r="B229" s="22">
        <v>44422</v>
      </c>
      <c r="C229" s="42"/>
      <c r="D229" s="24"/>
      <c r="E229" s="25"/>
      <c r="F229" s="26"/>
      <c r="G229" s="27"/>
      <c r="H229" s="28" t="str">
        <f t="shared" si="24"/>
        <v/>
      </c>
      <c r="I229" s="28" t="str">
        <f t="shared" si="24"/>
        <v/>
      </c>
      <c r="J229" s="28" t="str">
        <f t="shared" si="24"/>
        <v/>
      </c>
      <c r="K229" s="28" t="str">
        <f t="shared" si="24"/>
        <v/>
      </c>
      <c r="L229" s="29" t="str">
        <f t="shared" si="24"/>
        <v/>
      </c>
      <c r="M229" s="30" t="str">
        <f t="shared" si="20"/>
        <v/>
      </c>
      <c r="Q229" s="20">
        <f t="shared" si="23"/>
        <v>1</v>
      </c>
    </row>
    <row r="230" spans="2:17" ht="13" customHeight="1" x14ac:dyDescent="0.25">
      <c r="B230" s="22">
        <v>44423</v>
      </c>
      <c r="C230" s="42"/>
      <c r="D230" s="24"/>
      <c r="E230" s="25"/>
      <c r="F230" s="26"/>
      <c r="G230" s="27"/>
      <c r="H230" s="28" t="str">
        <f t="shared" si="24"/>
        <v/>
      </c>
      <c r="I230" s="28" t="str">
        <f t="shared" si="24"/>
        <v/>
      </c>
      <c r="J230" s="28" t="str">
        <f t="shared" si="24"/>
        <v/>
      </c>
      <c r="K230" s="28" t="str">
        <f t="shared" si="24"/>
        <v/>
      </c>
      <c r="L230" s="29" t="str">
        <f t="shared" si="24"/>
        <v/>
      </c>
      <c r="M230" s="30" t="str">
        <f t="shared" si="20"/>
        <v/>
      </c>
      <c r="Q230" s="20">
        <f t="shared" si="23"/>
        <v>1</v>
      </c>
    </row>
    <row r="231" spans="2:17" ht="13" customHeight="1" x14ac:dyDescent="0.25">
      <c r="B231" s="22">
        <v>44424</v>
      </c>
      <c r="C231" s="42"/>
      <c r="D231" s="24"/>
      <c r="E231" s="25"/>
      <c r="F231" s="26"/>
      <c r="G231" s="27"/>
      <c r="H231" s="28" t="str">
        <f t="shared" si="24"/>
        <v/>
      </c>
      <c r="I231" s="28" t="str">
        <f t="shared" si="24"/>
        <v/>
      </c>
      <c r="J231" s="28" t="str">
        <f t="shared" si="24"/>
        <v/>
      </c>
      <c r="K231" s="28" t="str">
        <f>IF(F231="","",+(F231-F230))</f>
        <v/>
      </c>
      <c r="L231" s="29" t="str">
        <f t="shared" si="24"/>
        <v/>
      </c>
      <c r="M231" s="30" t="str">
        <f t="shared" si="20"/>
        <v/>
      </c>
      <c r="Q231" s="20">
        <f t="shared" si="23"/>
        <v>1</v>
      </c>
    </row>
    <row r="232" spans="2:17" ht="13" customHeight="1" x14ac:dyDescent="0.25">
      <c r="B232" s="22">
        <v>44425</v>
      </c>
      <c r="C232" s="42"/>
      <c r="D232" s="24"/>
      <c r="E232" s="25"/>
      <c r="F232" s="26"/>
      <c r="G232" s="27"/>
      <c r="H232" s="28" t="str">
        <f t="shared" si="24"/>
        <v/>
      </c>
      <c r="I232" s="28" t="str">
        <f t="shared" si="24"/>
        <v/>
      </c>
      <c r="J232" s="28" t="str">
        <f t="shared" si="24"/>
        <v/>
      </c>
      <c r="K232" s="28" t="str">
        <f t="shared" si="24"/>
        <v/>
      </c>
      <c r="L232" s="29" t="str">
        <f t="shared" si="24"/>
        <v/>
      </c>
      <c r="M232" s="30" t="str">
        <f t="shared" si="20"/>
        <v/>
      </c>
      <c r="Q232" s="20">
        <f t="shared" si="23"/>
        <v>1</v>
      </c>
    </row>
    <row r="233" spans="2:17" ht="13" customHeight="1" x14ac:dyDescent="0.25">
      <c r="B233" s="22">
        <v>44426</v>
      </c>
      <c r="C233" s="42"/>
      <c r="D233" s="24"/>
      <c r="E233" s="25"/>
      <c r="F233" s="26"/>
      <c r="G233" s="27"/>
      <c r="H233" s="28" t="str">
        <f t="shared" si="24"/>
        <v/>
      </c>
      <c r="I233" s="28" t="str">
        <f t="shared" si="24"/>
        <v/>
      </c>
      <c r="J233" s="28" t="str">
        <f t="shared" si="24"/>
        <v/>
      </c>
      <c r="K233" s="28" t="str">
        <f t="shared" si="24"/>
        <v/>
      </c>
      <c r="L233" s="29" t="str">
        <f t="shared" si="24"/>
        <v/>
      </c>
      <c r="M233" s="30" t="str">
        <f t="shared" si="20"/>
        <v/>
      </c>
      <c r="Q233" s="20">
        <f t="shared" si="23"/>
        <v>1</v>
      </c>
    </row>
    <row r="234" spans="2:17" ht="13" customHeight="1" x14ac:dyDescent="0.25">
      <c r="B234" s="22">
        <v>44427</v>
      </c>
      <c r="C234" s="42"/>
      <c r="D234" s="24"/>
      <c r="E234" s="25"/>
      <c r="F234" s="26"/>
      <c r="G234" s="27"/>
      <c r="H234" s="28" t="str">
        <f t="shared" si="24"/>
        <v/>
      </c>
      <c r="I234" s="28" t="str">
        <f t="shared" si="24"/>
        <v/>
      </c>
      <c r="J234" s="28" t="str">
        <f t="shared" si="24"/>
        <v/>
      </c>
      <c r="K234" s="28" t="str">
        <f t="shared" si="24"/>
        <v/>
      </c>
      <c r="L234" s="29" t="str">
        <f t="shared" si="24"/>
        <v/>
      </c>
      <c r="M234" s="30" t="str">
        <f t="shared" si="20"/>
        <v/>
      </c>
      <c r="Q234" s="20">
        <f t="shared" si="23"/>
        <v>1</v>
      </c>
    </row>
    <row r="235" spans="2:17" ht="13" customHeight="1" x14ac:dyDescent="0.25">
      <c r="B235" s="22">
        <v>44428</v>
      </c>
      <c r="C235" s="42"/>
      <c r="D235" s="24"/>
      <c r="E235" s="25"/>
      <c r="F235" s="26"/>
      <c r="G235" s="27"/>
      <c r="H235" s="28" t="str">
        <f t="shared" si="24"/>
        <v/>
      </c>
      <c r="I235" s="28" t="str">
        <f t="shared" si="24"/>
        <v/>
      </c>
      <c r="J235" s="28" t="str">
        <f t="shared" si="24"/>
        <v/>
      </c>
      <c r="K235" s="28" t="str">
        <f t="shared" si="24"/>
        <v/>
      </c>
      <c r="L235" s="29" t="str">
        <f t="shared" si="24"/>
        <v/>
      </c>
      <c r="M235" s="30" t="str">
        <f t="shared" si="20"/>
        <v/>
      </c>
      <c r="Q235" s="20">
        <f t="shared" si="23"/>
        <v>1</v>
      </c>
    </row>
    <row r="236" spans="2:17" ht="13" customHeight="1" thickBot="1" x14ac:dyDescent="0.3">
      <c r="B236" s="22">
        <v>44429</v>
      </c>
      <c r="C236" s="42"/>
      <c r="D236" s="24"/>
      <c r="E236" s="25"/>
      <c r="F236" s="26"/>
      <c r="G236" s="27"/>
      <c r="H236" s="28" t="str">
        <f t="shared" si="24"/>
        <v/>
      </c>
      <c r="I236" s="28" t="str">
        <f t="shared" si="24"/>
        <v/>
      </c>
      <c r="J236" s="28" t="str">
        <f t="shared" si="24"/>
        <v/>
      </c>
      <c r="K236" s="28" t="str">
        <f t="shared" si="24"/>
        <v/>
      </c>
      <c r="L236" s="29" t="str">
        <f t="shared" si="24"/>
        <v/>
      </c>
      <c r="M236" s="30" t="str">
        <f t="shared" si="20"/>
        <v/>
      </c>
      <c r="Q236" s="20">
        <f t="shared" si="23"/>
        <v>1</v>
      </c>
    </row>
    <row r="237" spans="2:17" ht="13" customHeight="1" x14ac:dyDescent="0.25">
      <c r="B237" s="22">
        <v>44430</v>
      </c>
      <c r="C237" s="42"/>
      <c r="D237" s="24"/>
      <c r="E237" s="25"/>
      <c r="F237" s="26"/>
      <c r="G237" s="27"/>
      <c r="H237" s="28" t="str">
        <f t="shared" si="24"/>
        <v/>
      </c>
      <c r="I237" s="28" t="str">
        <f t="shared" si="24"/>
        <v/>
      </c>
      <c r="J237" s="28" t="str">
        <f t="shared" si="24"/>
        <v/>
      </c>
      <c r="K237" s="28" t="str">
        <f t="shared" si="24"/>
        <v/>
      </c>
      <c r="L237" s="29" t="str">
        <f t="shared" si="24"/>
        <v/>
      </c>
      <c r="M237" s="30" t="str">
        <f t="shared" si="20"/>
        <v/>
      </c>
      <c r="N237" s="159" t="s">
        <v>21</v>
      </c>
      <c r="O237" s="159" t="s">
        <v>22</v>
      </c>
      <c r="Q237" s="20">
        <f t="shared" si="23"/>
        <v>1</v>
      </c>
    </row>
    <row r="238" spans="2:17" ht="13" customHeight="1" x14ac:dyDescent="0.25">
      <c r="B238" s="22">
        <v>44431</v>
      </c>
      <c r="C238" s="42"/>
      <c r="D238" s="24"/>
      <c r="E238" s="25"/>
      <c r="F238" s="26"/>
      <c r="G238" s="27"/>
      <c r="H238" s="28" t="str">
        <f t="shared" si="24"/>
        <v/>
      </c>
      <c r="I238" s="28" t="str">
        <f t="shared" si="24"/>
        <v/>
      </c>
      <c r="J238" s="28" t="str">
        <f t="shared" si="24"/>
        <v/>
      </c>
      <c r="K238" s="28" t="str">
        <f t="shared" si="24"/>
        <v/>
      </c>
      <c r="L238" s="29" t="str">
        <f t="shared" si="24"/>
        <v/>
      </c>
      <c r="M238" s="30" t="str">
        <f t="shared" si="20"/>
        <v/>
      </c>
      <c r="N238" s="160"/>
      <c r="O238" s="160"/>
      <c r="Q238" s="20">
        <f t="shared" si="23"/>
        <v>1</v>
      </c>
    </row>
    <row r="239" spans="2:17" ht="13" customHeight="1" thickBot="1" x14ac:dyDescent="0.3">
      <c r="B239" s="22">
        <v>44432</v>
      </c>
      <c r="C239" s="42"/>
      <c r="D239" s="24"/>
      <c r="E239" s="25"/>
      <c r="F239" s="26"/>
      <c r="G239" s="27"/>
      <c r="H239" s="28" t="str">
        <f t="shared" si="24"/>
        <v/>
      </c>
      <c r="I239" s="28" t="str">
        <f t="shared" si="24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4"/>
        <v/>
      </c>
      <c r="M239" s="30" t="str">
        <f t="shared" si="20"/>
        <v/>
      </c>
      <c r="N239" s="161"/>
      <c r="O239" s="161"/>
      <c r="Q239" s="20">
        <f t="shared" si="23"/>
        <v>1</v>
      </c>
    </row>
    <row r="240" spans="2:17" ht="13" customHeight="1" thickBot="1" x14ac:dyDescent="0.3">
      <c r="B240" s="22">
        <v>44433</v>
      </c>
      <c r="C240" s="42"/>
      <c r="D240" s="24"/>
      <c r="E240" s="25"/>
      <c r="F240" s="26"/>
      <c r="G240" s="27"/>
      <c r="H240" s="28" t="str">
        <f t="shared" si="24"/>
        <v/>
      </c>
      <c r="I240" s="28" t="str">
        <f t="shared" si="24"/>
        <v/>
      </c>
      <c r="J240" s="28" t="str">
        <f t="shared" si="24"/>
        <v/>
      </c>
      <c r="K240" s="28" t="str">
        <f t="shared" si="24"/>
        <v/>
      </c>
      <c r="L240" s="29" t="str">
        <f t="shared" si="24"/>
        <v/>
      </c>
      <c r="M240" s="30" t="str">
        <f t="shared" si="20"/>
        <v/>
      </c>
      <c r="N240" s="32">
        <f>SUM(L217:L247)</f>
        <v>0</v>
      </c>
      <c r="O240" s="32">
        <f>SUM(M217:M247)</f>
        <v>0</v>
      </c>
      <c r="Q240" s="20">
        <f t="shared" si="23"/>
        <v>1</v>
      </c>
    </row>
    <row r="241" spans="2:17" ht="13" customHeight="1" x14ac:dyDescent="0.25">
      <c r="B241" s="22">
        <v>44434</v>
      </c>
      <c r="C241" s="42"/>
      <c r="D241" s="24"/>
      <c r="E241" s="25"/>
      <c r="F241" s="26"/>
      <c r="G241" s="27"/>
      <c r="H241" s="28" t="str">
        <f t="shared" si="24"/>
        <v/>
      </c>
      <c r="I241" s="28" t="str">
        <f t="shared" si="24"/>
        <v/>
      </c>
      <c r="J241" s="28" t="str">
        <f t="shared" si="24"/>
        <v/>
      </c>
      <c r="K241" s="28" t="str">
        <f t="shared" si="24"/>
        <v/>
      </c>
      <c r="L241" s="29" t="str">
        <f t="shared" si="24"/>
        <v/>
      </c>
      <c r="M241" s="30" t="str">
        <f t="shared" si="20"/>
        <v/>
      </c>
      <c r="N241" s="159" t="s">
        <v>23</v>
      </c>
      <c r="O241" s="159" t="s">
        <v>24</v>
      </c>
      <c r="Q241" s="20">
        <f t="shared" si="23"/>
        <v>1</v>
      </c>
    </row>
    <row r="242" spans="2:17" ht="13" customHeight="1" thickBot="1" x14ac:dyDescent="0.3">
      <c r="B242" s="22">
        <v>44435</v>
      </c>
      <c r="C242" s="42"/>
      <c r="D242" s="24"/>
      <c r="E242" s="25"/>
      <c r="F242" s="26"/>
      <c r="G242" s="27"/>
      <c r="H242" s="28" t="str">
        <f t="shared" si="24"/>
        <v/>
      </c>
      <c r="I242" s="28" t="str">
        <f t="shared" si="24"/>
        <v/>
      </c>
      <c r="J242" s="28" t="str">
        <f t="shared" si="24"/>
        <v/>
      </c>
      <c r="K242" s="28" t="str">
        <f t="shared" si="24"/>
        <v/>
      </c>
      <c r="L242" s="29" t="str">
        <f t="shared" si="24"/>
        <v/>
      </c>
      <c r="M242" s="30" t="str">
        <f t="shared" si="20"/>
        <v/>
      </c>
      <c r="N242" s="161"/>
      <c r="O242" s="161"/>
      <c r="Q242" s="20">
        <f t="shared" si="23"/>
        <v>1</v>
      </c>
    </row>
    <row r="243" spans="2:17" ht="13" customHeight="1" thickBot="1" x14ac:dyDescent="0.3">
      <c r="B243" s="22">
        <v>44436</v>
      </c>
      <c r="C243" s="42"/>
      <c r="D243" s="24"/>
      <c r="E243" s="25"/>
      <c r="F243" s="26"/>
      <c r="G243" s="27"/>
      <c r="H243" s="28" t="str">
        <f t="shared" si="24"/>
        <v/>
      </c>
      <c r="I243" s="28" t="str">
        <f t="shared" si="24"/>
        <v/>
      </c>
      <c r="J243" s="28" t="str">
        <f t="shared" si="24"/>
        <v/>
      </c>
      <c r="K243" s="28" t="str">
        <f t="shared" si="24"/>
        <v/>
      </c>
      <c r="L243" s="29" t="str">
        <f t="shared" si="24"/>
        <v/>
      </c>
      <c r="M243" s="30" t="str">
        <f t="shared" si="20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3"/>
        <v>1</v>
      </c>
    </row>
    <row r="244" spans="2:17" ht="13" customHeight="1" x14ac:dyDescent="0.25">
      <c r="B244" s="22">
        <v>44437</v>
      </c>
      <c r="C244" s="42"/>
      <c r="D244" s="24"/>
      <c r="E244" s="25"/>
      <c r="F244" s="26"/>
      <c r="G244" s="27"/>
      <c r="H244" s="28" t="str">
        <f t="shared" si="24"/>
        <v/>
      </c>
      <c r="I244" s="28" t="str">
        <f t="shared" si="24"/>
        <v/>
      </c>
      <c r="J244" s="28" t="str">
        <f t="shared" si="24"/>
        <v/>
      </c>
      <c r="K244" s="28" t="str">
        <f t="shared" si="24"/>
        <v/>
      </c>
      <c r="L244" s="29" t="str">
        <f t="shared" si="24"/>
        <v/>
      </c>
      <c r="M244" s="30" t="str">
        <f t="shared" si="20"/>
        <v/>
      </c>
      <c r="O244" s="20">
        <f>IF(L244="",1,0)</f>
        <v>1</v>
      </c>
    </row>
    <row r="245" spans="2:17" ht="13" customHeight="1" x14ac:dyDescent="0.25">
      <c r="B245" s="22">
        <v>44438</v>
      </c>
      <c r="C245" s="42"/>
      <c r="D245" s="24"/>
      <c r="E245" s="25"/>
      <c r="F245" s="26"/>
      <c r="G245" s="27"/>
      <c r="H245" s="28" t="str">
        <f t="shared" si="24"/>
        <v/>
      </c>
      <c r="I245" s="28" t="str">
        <f t="shared" si="24"/>
        <v/>
      </c>
      <c r="J245" s="28" t="str">
        <f t="shared" si="24"/>
        <v/>
      </c>
      <c r="K245" s="28" t="str">
        <f t="shared" si="24"/>
        <v/>
      </c>
      <c r="L245" s="29" t="str">
        <f t="shared" si="24"/>
        <v/>
      </c>
      <c r="M245" s="30" t="str">
        <f t="shared" si="20"/>
        <v/>
      </c>
      <c r="O245" s="20">
        <f>IF(L245="",1,0)</f>
        <v>1</v>
      </c>
    </row>
    <row r="246" spans="2:17" ht="13" customHeight="1" x14ac:dyDescent="0.25">
      <c r="B246" s="22">
        <v>44439</v>
      </c>
      <c r="C246" s="42"/>
      <c r="D246" s="24"/>
      <c r="E246" s="25"/>
      <c r="F246" s="26"/>
      <c r="G246" s="27"/>
      <c r="H246" s="28" t="str">
        <f t="shared" si="24"/>
        <v/>
      </c>
      <c r="I246" s="28" t="str">
        <f t="shared" si="24"/>
        <v/>
      </c>
      <c r="J246" s="28" t="str">
        <f t="shared" si="24"/>
        <v/>
      </c>
      <c r="K246" s="28" t="str">
        <f t="shared" si="24"/>
        <v/>
      </c>
      <c r="L246" s="29" t="str">
        <f t="shared" si="24"/>
        <v/>
      </c>
      <c r="M246" s="30" t="str">
        <f t="shared" si="20"/>
        <v/>
      </c>
      <c r="O246" s="20">
        <f>IF(L246="",1,0)</f>
        <v>1</v>
      </c>
    </row>
    <row r="247" spans="2:17" ht="13" customHeight="1" x14ac:dyDescent="0.25">
      <c r="B247" s="22">
        <v>44440</v>
      </c>
      <c r="C247" s="34"/>
      <c r="D247" s="34"/>
      <c r="E247" s="34"/>
      <c r="F247" s="34"/>
      <c r="G247" s="34"/>
      <c r="H247" s="35" t="str">
        <f t="shared" si="24"/>
        <v/>
      </c>
      <c r="I247" s="40" t="str">
        <f t="shared" si="24"/>
        <v/>
      </c>
      <c r="J247" s="35" t="str">
        <f t="shared" si="24"/>
        <v/>
      </c>
      <c r="K247" s="35" t="str">
        <f t="shared" si="24"/>
        <v/>
      </c>
      <c r="L247" s="36" t="str">
        <f t="shared" si="24"/>
        <v/>
      </c>
      <c r="M247" s="35" t="str">
        <f t="shared" si="20"/>
        <v/>
      </c>
      <c r="Q247" s="20">
        <f t="shared" si="23"/>
        <v>1</v>
      </c>
    </row>
    <row r="248" spans="2:17" ht="13" customHeight="1" x14ac:dyDescent="0.25">
      <c r="B248" s="22">
        <v>44441</v>
      </c>
      <c r="C248" s="42"/>
      <c r="D248" s="24"/>
      <c r="E248" s="25"/>
      <c r="F248" s="26"/>
      <c r="G248" s="27"/>
      <c r="H248" s="38" t="str">
        <f t="shared" si="24"/>
        <v/>
      </c>
      <c r="I248" s="28" t="str">
        <f t="shared" si="24"/>
        <v/>
      </c>
      <c r="J248" s="28" t="str">
        <f t="shared" si="24"/>
        <v/>
      </c>
      <c r="K248" s="28" t="str">
        <f t="shared" si="24"/>
        <v/>
      </c>
      <c r="L248" s="29" t="str">
        <f t="shared" si="24"/>
        <v/>
      </c>
      <c r="M248" s="30" t="str">
        <f t="shared" si="20"/>
        <v/>
      </c>
      <c r="Q248" s="20">
        <f t="shared" si="23"/>
        <v>1</v>
      </c>
    </row>
    <row r="249" spans="2:17" ht="13" customHeight="1" x14ac:dyDescent="0.25">
      <c r="B249" s="22">
        <v>44442</v>
      </c>
      <c r="C249" s="42"/>
      <c r="D249" s="24"/>
      <c r="E249" s="25"/>
      <c r="F249" s="26"/>
      <c r="G249" s="27"/>
      <c r="H249" s="28" t="str">
        <f t="shared" ref="H249:L264" si="25">IF(C249="","",+(C249-C248))</f>
        <v/>
      </c>
      <c r="I249" s="28" t="str">
        <f t="shared" si="25"/>
        <v/>
      </c>
      <c r="J249" s="28" t="str">
        <f t="shared" si="25"/>
        <v/>
      </c>
      <c r="K249" s="28" t="str">
        <f t="shared" si="25"/>
        <v/>
      </c>
      <c r="L249" s="29" t="str">
        <f t="shared" si="25"/>
        <v/>
      </c>
      <c r="M249" s="30" t="str">
        <f t="shared" si="20"/>
        <v/>
      </c>
      <c r="Q249" s="20">
        <f t="shared" si="23"/>
        <v>1</v>
      </c>
    </row>
    <row r="250" spans="2:17" ht="13" customHeight="1" x14ac:dyDescent="0.25">
      <c r="B250" s="22">
        <v>44443</v>
      </c>
      <c r="C250" s="42"/>
      <c r="D250" s="24"/>
      <c r="E250" s="25"/>
      <c r="F250" s="26"/>
      <c r="G250" s="27"/>
      <c r="H250" s="28" t="str">
        <f t="shared" si="25"/>
        <v/>
      </c>
      <c r="I250" s="28" t="str">
        <f t="shared" si="25"/>
        <v/>
      </c>
      <c r="J250" s="28" t="str">
        <f t="shared" si="25"/>
        <v/>
      </c>
      <c r="K250" s="28" t="str">
        <f t="shared" si="25"/>
        <v/>
      </c>
      <c r="L250" s="29" t="str">
        <f t="shared" si="25"/>
        <v/>
      </c>
      <c r="M250" s="30" t="str">
        <f t="shared" si="20"/>
        <v/>
      </c>
      <c r="Q250" s="20">
        <f t="shared" si="23"/>
        <v>1</v>
      </c>
    </row>
    <row r="251" spans="2:17" ht="13" customHeight="1" x14ac:dyDescent="0.25">
      <c r="B251" s="22">
        <v>44444</v>
      </c>
      <c r="C251" s="42"/>
      <c r="D251" s="24"/>
      <c r="E251" s="25"/>
      <c r="F251" s="26"/>
      <c r="G251" s="27"/>
      <c r="H251" s="28" t="str">
        <f t="shared" si="25"/>
        <v/>
      </c>
      <c r="I251" s="28" t="str">
        <f t="shared" si="25"/>
        <v/>
      </c>
      <c r="J251" s="28" t="str">
        <f t="shared" si="25"/>
        <v/>
      </c>
      <c r="K251" s="28" t="str">
        <f t="shared" si="25"/>
        <v/>
      </c>
      <c r="L251" s="29" t="str">
        <f t="shared" si="25"/>
        <v/>
      </c>
      <c r="M251" s="30" t="str">
        <f t="shared" si="20"/>
        <v/>
      </c>
      <c r="Q251" s="20">
        <f t="shared" si="23"/>
        <v>1</v>
      </c>
    </row>
    <row r="252" spans="2:17" ht="13" customHeight="1" x14ac:dyDescent="0.25">
      <c r="B252" s="22">
        <v>44445</v>
      </c>
      <c r="C252" s="42"/>
      <c r="D252" s="24"/>
      <c r="E252" s="25"/>
      <c r="F252" s="26"/>
      <c r="G252" s="27"/>
      <c r="H252" s="28" t="str">
        <f t="shared" si="25"/>
        <v/>
      </c>
      <c r="I252" s="28" t="str">
        <f t="shared" si="25"/>
        <v/>
      </c>
      <c r="J252" s="28" t="str">
        <f t="shared" si="25"/>
        <v/>
      </c>
      <c r="K252" s="28" t="str">
        <f t="shared" si="25"/>
        <v/>
      </c>
      <c r="L252" s="29" t="str">
        <f t="shared" si="25"/>
        <v/>
      </c>
      <c r="M252" s="30" t="str">
        <f t="shared" si="20"/>
        <v/>
      </c>
      <c r="Q252" s="20">
        <f t="shared" si="23"/>
        <v>1</v>
      </c>
    </row>
    <row r="253" spans="2:17" ht="13" customHeight="1" x14ac:dyDescent="0.25">
      <c r="B253" s="22">
        <v>44446</v>
      </c>
      <c r="C253" s="42"/>
      <c r="D253" s="24"/>
      <c r="E253" s="25"/>
      <c r="F253" s="26"/>
      <c r="G253" s="27"/>
      <c r="H253" s="28" t="str">
        <f t="shared" si="25"/>
        <v/>
      </c>
      <c r="I253" s="28" t="str">
        <f t="shared" si="25"/>
        <v/>
      </c>
      <c r="J253" s="28" t="str">
        <f t="shared" si="25"/>
        <v/>
      </c>
      <c r="K253" s="28" t="str">
        <f t="shared" si="25"/>
        <v/>
      </c>
      <c r="L253" s="29" t="str">
        <f t="shared" si="25"/>
        <v/>
      </c>
      <c r="M253" s="30" t="str">
        <f t="shared" si="20"/>
        <v/>
      </c>
      <c r="Q253" s="20">
        <f t="shared" si="23"/>
        <v>1</v>
      </c>
    </row>
    <row r="254" spans="2:17" ht="13" customHeight="1" x14ac:dyDescent="0.25">
      <c r="B254" s="22">
        <v>44447</v>
      </c>
      <c r="C254" s="42"/>
      <c r="D254" s="24"/>
      <c r="E254" s="25"/>
      <c r="F254" s="26"/>
      <c r="G254" s="27"/>
      <c r="H254" s="28" t="str">
        <f t="shared" si="25"/>
        <v/>
      </c>
      <c r="I254" s="28" t="str">
        <f t="shared" si="25"/>
        <v/>
      </c>
      <c r="J254" s="28" t="str">
        <f t="shared" si="25"/>
        <v/>
      </c>
      <c r="K254" s="28" t="str">
        <f t="shared" si="25"/>
        <v/>
      </c>
      <c r="L254" s="29" t="str">
        <f t="shared" si="25"/>
        <v/>
      </c>
      <c r="M254" s="30" t="str">
        <f t="shared" si="20"/>
        <v/>
      </c>
      <c r="Q254" s="20">
        <f t="shared" si="23"/>
        <v>1</v>
      </c>
    </row>
    <row r="255" spans="2:17" ht="13" customHeight="1" x14ac:dyDescent="0.25">
      <c r="B255" s="22">
        <v>44448</v>
      </c>
      <c r="C255" s="42"/>
      <c r="D255" s="24"/>
      <c r="E255" s="25"/>
      <c r="F255" s="26"/>
      <c r="G255" s="27"/>
      <c r="H255" s="28" t="str">
        <f t="shared" si="25"/>
        <v/>
      </c>
      <c r="I255" s="28" t="str">
        <f t="shared" si="25"/>
        <v/>
      </c>
      <c r="J255" s="28" t="str">
        <f t="shared" si="25"/>
        <v/>
      </c>
      <c r="K255" s="28" t="str">
        <f t="shared" si="25"/>
        <v/>
      </c>
      <c r="L255" s="29" t="str">
        <f t="shared" si="25"/>
        <v/>
      </c>
      <c r="M255" s="30" t="str">
        <f t="shared" si="20"/>
        <v/>
      </c>
      <c r="Q255" s="20">
        <f t="shared" si="23"/>
        <v>1</v>
      </c>
    </row>
    <row r="256" spans="2:17" ht="13" customHeight="1" x14ac:dyDescent="0.25">
      <c r="B256" s="22">
        <v>44449</v>
      </c>
      <c r="C256" s="42"/>
      <c r="D256" s="24"/>
      <c r="E256" s="25"/>
      <c r="F256" s="26"/>
      <c r="G256" s="27"/>
      <c r="H256" s="28" t="str">
        <f t="shared" si="25"/>
        <v/>
      </c>
      <c r="I256" s="28" t="str">
        <f t="shared" si="25"/>
        <v/>
      </c>
      <c r="J256" s="28" t="str">
        <f t="shared" si="25"/>
        <v/>
      </c>
      <c r="K256" s="28" t="str">
        <f t="shared" si="25"/>
        <v/>
      </c>
      <c r="L256" s="29" t="str">
        <f t="shared" si="25"/>
        <v/>
      </c>
      <c r="M256" s="30" t="str">
        <f t="shared" si="20"/>
        <v/>
      </c>
      <c r="Q256" s="20">
        <f t="shared" si="23"/>
        <v>1</v>
      </c>
    </row>
    <row r="257" spans="2:17" ht="13" customHeight="1" x14ac:dyDescent="0.25">
      <c r="B257" s="22">
        <v>44450</v>
      </c>
      <c r="C257" s="42"/>
      <c r="D257" s="24"/>
      <c r="E257" s="25"/>
      <c r="F257" s="26"/>
      <c r="G257" s="27"/>
      <c r="H257" s="28" t="str">
        <f t="shared" si="25"/>
        <v/>
      </c>
      <c r="I257" s="28" t="str">
        <f t="shared" si="25"/>
        <v/>
      </c>
      <c r="J257" s="28" t="str">
        <f t="shared" si="25"/>
        <v/>
      </c>
      <c r="K257" s="28" t="str">
        <f t="shared" si="25"/>
        <v/>
      </c>
      <c r="L257" s="29" t="str">
        <f t="shared" si="25"/>
        <v/>
      </c>
      <c r="M257" s="30" t="str">
        <f t="shared" si="20"/>
        <v/>
      </c>
      <c r="Q257" s="20">
        <f t="shared" si="23"/>
        <v>1</v>
      </c>
    </row>
    <row r="258" spans="2:17" ht="13" customHeight="1" x14ac:dyDescent="0.25">
      <c r="B258" s="22">
        <v>44451</v>
      </c>
      <c r="C258" s="42"/>
      <c r="D258" s="24"/>
      <c r="E258" s="25"/>
      <c r="F258" s="26"/>
      <c r="G258" s="27"/>
      <c r="H258" s="28" t="str">
        <f t="shared" si="25"/>
        <v/>
      </c>
      <c r="I258" s="28" t="str">
        <f t="shared" si="25"/>
        <v/>
      </c>
      <c r="J258" s="28" t="str">
        <f t="shared" si="25"/>
        <v/>
      </c>
      <c r="K258" s="28" t="str">
        <f t="shared" si="25"/>
        <v/>
      </c>
      <c r="L258" s="29" t="str">
        <f t="shared" si="25"/>
        <v/>
      </c>
      <c r="M258" s="30" t="str">
        <f t="shared" si="20"/>
        <v/>
      </c>
      <c r="Q258" s="20">
        <f t="shared" si="23"/>
        <v>1</v>
      </c>
    </row>
    <row r="259" spans="2:17" ht="13" customHeight="1" x14ac:dyDescent="0.25">
      <c r="B259" s="22">
        <v>44452</v>
      </c>
      <c r="C259" s="42"/>
      <c r="D259" s="24"/>
      <c r="E259" s="25"/>
      <c r="F259" s="26"/>
      <c r="G259" s="27"/>
      <c r="H259" s="28" t="str">
        <f t="shared" si="25"/>
        <v/>
      </c>
      <c r="I259" s="28" t="str">
        <f t="shared" si="25"/>
        <v/>
      </c>
      <c r="J259" s="28" t="str">
        <f t="shared" si="25"/>
        <v/>
      </c>
      <c r="K259" s="28" t="str">
        <f t="shared" si="25"/>
        <v/>
      </c>
      <c r="L259" s="29" t="str">
        <f t="shared" si="25"/>
        <v/>
      </c>
      <c r="M259" s="30" t="str">
        <f t="shared" si="20"/>
        <v/>
      </c>
      <c r="Q259" s="20">
        <f t="shared" si="23"/>
        <v>1</v>
      </c>
    </row>
    <row r="260" spans="2:17" ht="13" customHeight="1" x14ac:dyDescent="0.25">
      <c r="B260" s="22">
        <v>44453</v>
      </c>
      <c r="C260" s="42"/>
      <c r="D260" s="24"/>
      <c r="E260" s="25"/>
      <c r="F260" s="26"/>
      <c r="G260" s="27"/>
      <c r="H260" s="28" t="str">
        <f t="shared" si="25"/>
        <v/>
      </c>
      <c r="I260" s="28" t="str">
        <f t="shared" si="25"/>
        <v/>
      </c>
      <c r="J260" s="28" t="str">
        <f t="shared" si="25"/>
        <v/>
      </c>
      <c r="K260" s="28" t="str">
        <f t="shared" si="25"/>
        <v/>
      </c>
      <c r="L260" s="29" t="str">
        <f t="shared" si="25"/>
        <v/>
      </c>
      <c r="M260" s="30" t="str">
        <f t="shared" si="20"/>
        <v/>
      </c>
      <c r="Q260" s="20">
        <f t="shared" si="23"/>
        <v>1</v>
      </c>
    </row>
    <row r="261" spans="2:17" ht="13" customHeight="1" x14ac:dyDescent="0.25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5"/>
        <v/>
      </c>
      <c r="J261" s="28" t="str">
        <f t="shared" si="25"/>
        <v/>
      </c>
      <c r="K261" s="28" t="str">
        <f t="shared" si="25"/>
        <v/>
      </c>
      <c r="L261" s="29" t="str">
        <f t="shared" si="25"/>
        <v/>
      </c>
      <c r="M261" s="30" t="str">
        <f t="shared" si="20"/>
        <v/>
      </c>
      <c r="Q261" s="20">
        <f t="shared" si="23"/>
        <v>1</v>
      </c>
    </row>
    <row r="262" spans="2:17" ht="13" customHeight="1" x14ac:dyDescent="0.25">
      <c r="B262" s="22">
        <v>44455</v>
      </c>
      <c r="C262" s="42"/>
      <c r="D262" s="24"/>
      <c r="E262" s="25"/>
      <c r="F262" s="26"/>
      <c r="G262" s="27"/>
      <c r="H262" s="28" t="str">
        <f t="shared" ref="H262:L315" si="26">IF(C262="","",+(C262-C261))</f>
        <v/>
      </c>
      <c r="I262" s="28" t="str">
        <f t="shared" si="25"/>
        <v/>
      </c>
      <c r="J262" s="28" t="str">
        <f t="shared" si="25"/>
        <v/>
      </c>
      <c r="K262" s="28" t="str">
        <f t="shared" si="25"/>
        <v/>
      </c>
      <c r="L262" s="29" t="str">
        <f t="shared" si="25"/>
        <v/>
      </c>
      <c r="M262" s="30" t="str">
        <f t="shared" ref="M262:M325" si="27">IF(H262="","",+(H262+I262+J262+K262))</f>
        <v/>
      </c>
      <c r="Q262" s="20">
        <f t="shared" si="23"/>
        <v>1</v>
      </c>
    </row>
    <row r="263" spans="2:17" ht="13" customHeight="1" x14ac:dyDescent="0.25">
      <c r="B263" s="22">
        <v>44456</v>
      </c>
      <c r="C263" s="42"/>
      <c r="D263" s="24"/>
      <c r="E263" s="25"/>
      <c r="F263" s="26"/>
      <c r="G263" s="27"/>
      <c r="H263" s="28" t="str">
        <f t="shared" si="26"/>
        <v/>
      </c>
      <c r="I263" s="28" t="str">
        <f t="shared" si="25"/>
        <v/>
      </c>
      <c r="J263" s="28" t="str">
        <f t="shared" si="25"/>
        <v/>
      </c>
      <c r="K263" s="28" t="str">
        <f t="shared" si="25"/>
        <v/>
      </c>
      <c r="L263" s="29" t="str">
        <f t="shared" si="25"/>
        <v/>
      </c>
      <c r="M263" s="30" t="str">
        <f t="shared" si="27"/>
        <v/>
      </c>
      <c r="Q263" s="20">
        <f t="shared" si="23"/>
        <v>1</v>
      </c>
    </row>
    <row r="264" spans="2:17" ht="13" customHeight="1" x14ac:dyDescent="0.25">
      <c r="B264" s="22">
        <v>44457</v>
      </c>
      <c r="C264" s="42"/>
      <c r="D264" s="24"/>
      <c r="E264" s="25"/>
      <c r="F264" s="26"/>
      <c r="G264" s="27"/>
      <c r="H264" s="28" t="str">
        <f t="shared" si="26"/>
        <v/>
      </c>
      <c r="I264" s="28" t="str">
        <f t="shared" si="25"/>
        <v/>
      </c>
      <c r="J264" s="28" t="str">
        <f t="shared" si="25"/>
        <v/>
      </c>
      <c r="K264" s="28" t="str">
        <f t="shared" si="25"/>
        <v/>
      </c>
      <c r="L264" s="29" t="str">
        <f t="shared" si="25"/>
        <v/>
      </c>
      <c r="M264" s="30" t="str">
        <f t="shared" si="27"/>
        <v/>
      </c>
      <c r="Q264" s="20">
        <f t="shared" si="23"/>
        <v>1</v>
      </c>
    </row>
    <row r="265" spans="2:17" ht="13" customHeight="1" x14ac:dyDescent="0.25">
      <c r="B265" s="22">
        <v>44458</v>
      </c>
      <c r="C265" s="42"/>
      <c r="D265" s="24"/>
      <c r="E265" s="25"/>
      <c r="F265" s="26"/>
      <c r="G265" s="27"/>
      <c r="H265" s="28" t="str">
        <f t="shared" si="26"/>
        <v/>
      </c>
      <c r="I265" s="28" t="str">
        <f t="shared" si="26"/>
        <v/>
      </c>
      <c r="J265" s="28" t="str">
        <f t="shared" si="26"/>
        <v/>
      </c>
      <c r="K265" s="28" t="str">
        <f t="shared" si="26"/>
        <v/>
      </c>
      <c r="L265" s="29" t="str">
        <f t="shared" si="26"/>
        <v/>
      </c>
      <c r="M265" s="30" t="str">
        <f t="shared" si="27"/>
        <v/>
      </c>
      <c r="Q265" s="20">
        <f t="shared" si="23"/>
        <v>1</v>
      </c>
    </row>
    <row r="266" spans="2:17" ht="13" customHeight="1" thickBot="1" x14ac:dyDescent="0.3">
      <c r="B266" s="22">
        <v>44459</v>
      </c>
      <c r="C266" s="42"/>
      <c r="D266" s="24"/>
      <c r="E266" s="25"/>
      <c r="F266" s="26"/>
      <c r="G266" s="27"/>
      <c r="H266" s="28" t="str">
        <f t="shared" si="26"/>
        <v/>
      </c>
      <c r="I266" s="28" t="str">
        <f t="shared" si="26"/>
        <v/>
      </c>
      <c r="J266" s="28" t="str">
        <f t="shared" si="26"/>
        <v/>
      </c>
      <c r="K266" s="28" t="str">
        <f t="shared" si="26"/>
        <v/>
      </c>
      <c r="L266" s="29" t="str">
        <f t="shared" si="26"/>
        <v/>
      </c>
      <c r="M266" s="30" t="str">
        <f t="shared" si="27"/>
        <v/>
      </c>
      <c r="Q266" s="20">
        <f t="shared" si="23"/>
        <v>1</v>
      </c>
    </row>
    <row r="267" spans="2:17" ht="13" customHeight="1" x14ac:dyDescent="0.25">
      <c r="B267" s="22">
        <v>44460</v>
      </c>
      <c r="C267" s="42"/>
      <c r="D267" s="24"/>
      <c r="E267" s="25"/>
      <c r="F267" s="26"/>
      <c r="G267" s="27"/>
      <c r="H267" s="28" t="str">
        <f t="shared" si="26"/>
        <v/>
      </c>
      <c r="I267" s="28" t="str">
        <f t="shared" si="26"/>
        <v/>
      </c>
      <c r="J267" s="28" t="str">
        <f t="shared" si="26"/>
        <v/>
      </c>
      <c r="K267" s="28" t="str">
        <f t="shared" si="26"/>
        <v/>
      </c>
      <c r="L267" s="29" t="str">
        <f t="shared" si="26"/>
        <v/>
      </c>
      <c r="M267" s="30" t="str">
        <f t="shared" si="27"/>
        <v/>
      </c>
      <c r="N267" s="159" t="s">
        <v>21</v>
      </c>
      <c r="O267" s="159" t="s">
        <v>22</v>
      </c>
      <c r="Q267" s="20">
        <f t="shared" si="23"/>
        <v>1</v>
      </c>
    </row>
    <row r="268" spans="2:17" ht="13" customHeight="1" x14ac:dyDescent="0.25">
      <c r="B268" s="22">
        <v>44461</v>
      </c>
      <c r="C268" s="42"/>
      <c r="D268" s="24"/>
      <c r="E268" s="25"/>
      <c r="F268" s="26"/>
      <c r="G268" s="27"/>
      <c r="H268" s="28" t="str">
        <f t="shared" si="26"/>
        <v/>
      </c>
      <c r="I268" s="28" t="str">
        <f t="shared" si="26"/>
        <v/>
      </c>
      <c r="J268" s="28" t="str">
        <f t="shared" si="26"/>
        <v/>
      </c>
      <c r="K268" s="28" t="str">
        <f t="shared" si="26"/>
        <v/>
      </c>
      <c r="L268" s="29" t="str">
        <f t="shared" si="26"/>
        <v/>
      </c>
      <c r="M268" s="30" t="str">
        <f t="shared" si="27"/>
        <v/>
      </c>
      <c r="N268" s="160"/>
      <c r="O268" s="160"/>
      <c r="Q268" s="20">
        <f t="shared" si="23"/>
        <v>1</v>
      </c>
    </row>
    <row r="269" spans="2:17" ht="13" customHeight="1" thickBot="1" x14ac:dyDescent="0.3">
      <c r="B269" s="22">
        <v>44462</v>
      </c>
      <c r="C269" s="42"/>
      <c r="D269" s="24"/>
      <c r="E269" s="25"/>
      <c r="F269" s="26"/>
      <c r="G269" s="27"/>
      <c r="H269" s="28" t="str">
        <f t="shared" si="26"/>
        <v/>
      </c>
      <c r="I269" s="28" t="str">
        <f t="shared" si="26"/>
        <v/>
      </c>
      <c r="J269" s="28" t="str">
        <f t="shared" si="26"/>
        <v/>
      </c>
      <c r="K269" s="28" t="str">
        <f t="shared" si="26"/>
        <v/>
      </c>
      <c r="L269" s="29" t="str">
        <f t="shared" si="26"/>
        <v/>
      </c>
      <c r="M269" s="30" t="str">
        <f t="shared" si="27"/>
        <v/>
      </c>
      <c r="N269" s="161"/>
      <c r="O269" s="161"/>
      <c r="Q269" s="20">
        <f t="shared" si="23"/>
        <v>1</v>
      </c>
    </row>
    <row r="270" spans="2:17" ht="13" customHeight="1" thickBot="1" x14ac:dyDescent="0.3">
      <c r="B270" s="22">
        <v>44463</v>
      </c>
      <c r="C270" s="42"/>
      <c r="D270" s="24"/>
      <c r="E270" s="25"/>
      <c r="F270" s="26"/>
      <c r="G270" s="27"/>
      <c r="H270" s="28" t="str">
        <f t="shared" si="26"/>
        <v/>
      </c>
      <c r="I270" s="28" t="str">
        <f t="shared" si="26"/>
        <v/>
      </c>
      <c r="J270" s="28" t="str">
        <f t="shared" si="26"/>
        <v/>
      </c>
      <c r="K270" s="28" t="str">
        <f t="shared" si="26"/>
        <v/>
      </c>
      <c r="L270" s="29" t="str">
        <f t="shared" si="26"/>
        <v/>
      </c>
      <c r="M270" s="30" t="str">
        <f t="shared" si="27"/>
        <v/>
      </c>
      <c r="N270" s="32">
        <f>SUM(L248:L277)</f>
        <v>0</v>
      </c>
      <c r="O270" s="32">
        <f>SUM(M248:M277)</f>
        <v>0</v>
      </c>
      <c r="Q270" s="20">
        <f t="shared" si="23"/>
        <v>1</v>
      </c>
    </row>
    <row r="271" spans="2:17" ht="13" customHeight="1" x14ac:dyDescent="0.25">
      <c r="B271" s="22">
        <v>44464</v>
      </c>
      <c r="C271" s="42"/>
      <c r="D271" s="24"/>
      <c r="E271" s="25"/>
      <c r="F271" s="26"/>
      <c r="G271" s="27"/>
      <c r="H271" s="28" t="str">
        <f t="shared" si="26"/>
        <v/>
      </c>
      <c r="I271" s="28" t="str">
        <f t="shared" si="26"/>
        <v/>
      </c>
      <c r="J271" s="28" t="str">
        <f t="shared" si="26"/>
        <v/>
      </c>
      <c r="K271" s="28" t="str">
        <f t="shared" si="26"/>
        <v/>
      </c>
      <c r="L271" s="29" t="str">
        <f t="shared" si="26"/>
        <v/>
      </c>
      <c r="M271" s="30" t="str">
        <f t="shared" si="27"/>
        <v/>
      </c>
      <c r="N271" s="159" t="s">
        <v>23</v>
      </c>
      <c r="O271" s="159" t="s">
        <v>24</v>
      </c>
      <c r="Q271" s="20">
        <f t="shared" si="23"/>
        <v>1</v>
      </c>
    </row>
    <row r="272" spans="2:17" ht="13" customHeight="1" thickBot="1" x14ac:dyDescent="0.3">
      <c r="B272" s="22">
        <v>44465</v>
      </c>
      <c r="C272" s="42"/>
      <c r="D272" s="24"/>
      <c r="E272" s="25"/>
      <c r="F272" s="26"/>
      <c r="G272" s="27"/>
      <c r="H272" s="28" t="str">
        <f t="shared" si="26"/>
        <v/>
      </c>
      <c r="I272" s="28" t="str">
        <f t="shared" si="26"/>
        <v/>
      </c>
      <c r="J272" s="28" t="str">
        <f t="shared" si="26"/>
        <v/>
      </c>
      <c r="K272" s="28" t="str">
        <f t="shared" si="26"/>
        <v/>
      </c>
      <c r="L272" s="29" t="str">
        <f t="shared" si="26"/>
        <v/>
      </c>
      <c r="M272" s="30" t="str">
        <f t="shared" si="27"/>
        <v/>
      </c>
      <c r="N272" s="161"/>
      <c r="O272" s="161"/>
      <c r="Q272" s="20">
        <f t="shared" si="23"/>
        <v>1</v>
      </c>
    </row>
    <row r="273" spans="2:17" ht="13" customHeight="1" thickBot="1" x14ac:dyDescent="0.3">
      <c r="B273" s="22">
        <v>44466</v>
      </c>
      <c r="C273" s="42"/>
      <c r="D273" s="24"/>
      <c r="E273" s="25"/>
      <c r="F273" s="26"/>
      <c r="G273" s="27"/>
      <c r="H273" s="28" t="str">
        <f t="shared" si="26"/>
        <v/>
      </c>
      <c r="I273" s="28" t="str">
        <f t="shared" si="26"/>
        <v/>
      </c>
      <c r="J273" s="28" t="str">
        <f t="shared" si="26"/>
        <v/>
      </c>
      <c r="K273" s="28" t="str">
        <f t="shared" si="26"/>
        <v/>
      </c>
      <c r="L273" s="29" t="str">
        <f t="shared" si="26"/>
        <v/>
      </c>
      <c r="M273" s="30" t="str">
        <f t="shared" si="27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3"/>
        <v>1</v>
      </c>
    </row>
    <row r="274" spans="2:17" ht="13" customHeight="1" x14ac:dyDescent="0.25">
      <c r="B274" s="22">
        <v>44467</v>
      </c>
      <c r="C274" s="42"/>
      <c r="D274" s="24"/>
      <c r="E274" s="25"/>
      <c r="F274" s="26"/>
      <c r="G274" s="27"/>
      <c r="H274" s="28" t="str">
        <f t="shared" si="26"/>
        <v/>
      </c>
      <c r="I274" s="28" t="str">
        <f t="shared" si="26"/>
        <v/>
      </c>
      <c r="J274" s="28" t="str">
        <f t="shared" si="26"/>
        <v/>
      </c>
      <c r="K274" s="28" t="str">
        <f t="shared" si="26"/>
        <v/>
      </c>
      <c r="L274" s="29" t="str">
        <f t="shared" si="26"/>
        <v/>
      </c>
      <c r="M274" s="30" t="str">
        <f t="shared" si="27"/>
        <v/>
      </c>
      <c r="O274" s="20">
        <f>IF(L274="",1,0)</f>
        <v>1</v>
      </c>
    </row>
    <row r="275" spans="2:17" ht="13" customHeight="1" x14ac:dyDescent="0.25">
      <c r="B275" s="22">
        <v>44468</v>
      </c>
      <c r="C275" s="42"/>
      <c r="D275" s="24"/>
      <c r="E275" s="25"/>
      <c r="F275" s="26"/>
      <c r="G275" s="27"/>
      <c r="H275" s="28" t="str">
        <f t="shared" si="26"/>
        <v/>
      </c>
      <c r="I275" s="28" t="str">
        <f t="shared" si="26"/>
        <v/>
      </c>
      <c r="J275" s="28" t="str">
        <f t="shared" si="26"/>
        <v/>
      </c>
      <c r="K275" s="28" t="str">
        <f t="shared" si="26"/>
        <v/>
      </c>
      <c r="L275" s="29" t="str">
        <f t="shared" si="26"/>
        <v/>
      </c>
      <c r="M275" s="30" t="str">
        <f t="shared" si="27"/>
        <v/>
      </c>
      <c r="O275" s="20">
        <f>IF(L275="",1,0)</f>
        <v>1</v>
      </c>
    </row>
    <row r="276" spans="2:17" ht="13" customHeight="1" x14ac:dyDescent="0.25">
      <c r="B276" s="22">
        <v>44469</v>
      </c>
      <c r="C276" s="42"/>
      <c r="D276" s="24"/>
      <c r="E276" s="25"/>
      <c r="F276" s="26"/>
      <c r="G276" s="27"/>
      <c r="H276" s="28" t="str">
        <f t="shared" si="26"/>
        <v/>
      </c>
      <c r="I276" s="28" t="str">
        <f t="shared" si="26"/>
        <v/>
      </c>
      <c r="J276" s="28" t="str">
        <f t="shared" si="26"/>
        <v/>
      </c>
      <c r="K276" s="28" t="str">
        <f t="shared" si="26"/>
        <v/>
      </c>
      <c r="L276" s="29" t="str">
        <f t="shared" si="26"/>
        <v/>
      </c>
      <c r="M276" s="30" t="str">
        <f t="shared" si="27"/>
        <v/>
      </c>
      <c r="O276" s="20">
        <f>IF(L276="",1,0)</f>
        <v>1</v>
      </c>
    </row>
    <row r="277" spans="2:17" ht="13" customHeight="1" x14ac:dyDescent="0.25">
      <c r="B277" s="22">
        <v>44470</v>
      </c>
      <c r="C277" s="34"/>
      <c r="D277" s="34"/>
      <c r="E277" s="34"/>
      <c r="F277" s="34"/>
      <c r="G277" s="34"/>
      <c r="H277" s="35" t="str">
        <f t="shared" si="26"/>
        <v/>
      </c>
      <c r="I277" s="40" t="str">
        <f t="shared" si="26"/>
        <v/>
      </c>
      <c r="J277" s="35" t="str">
        <f t="shared" si="26"/>
        <v/>
      </c>
      <c r="K277" s="35" t="str">
        <f t="shared" si="26"/>
        <v/>
      </c>
      <c r="L277" s="36" t="str">
        <f t="shared" si="26"/>
        <v/>
      </c>
      <c r="M277" s="35" t="str">
        <f t="shared" si="27"/>
        <v/>
      </c>
      <c r="Q277" s="20">
        <f t="shared" si="23"/>
        <v>1</v>
      </c>
    </row>
    <row r="278" spans="2:17" ht="13" customHeight="1" x14ac:dyDescent="0.25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6"/>
        <v/>
      </c>
      <c r="J278" s="28" t="str">
        <f t="shared" si="26"/>
        <v/>
      </c>
      <c r="K278" s="28" t="str">
        <f t="shared" si="26"/>
        <v/>
      </c>
      <c r="L278" s="29" t="str">
        <f t="shared" si="26"/>
        <v/>
      </c>
      <c r="M278" s="30" t="str">
        <f t="shared" si="27"/>
        <v/>
      </c>
      <c r="Q278" s="20">
        <f t="shared" si="23"/>
        <v>1</v>
      </c>
    </row>
    <row r="279" spans="2:17" ht="13" customHeight="1" x14ac:dyDescent="0.25">
      <c r="B279" s="22">
        <v>44472</v>
      </c>
      <c r="C279" s="42"/>
      <c r="D279" s="24"/>
      <c r="E279" s="25"/>
      <c r="F279" s="26"/>
      <c r="G279" s="27"/>
      <c r="H279" s="28" t="str">
        <f t="shared" si="26"/>
        <v/>
      </c>
      <c r="I279" s="28" t="str">
        <f t="shared" si="26"/>
        <v/>
      </c>
      <c r="J279" s="28" t="str">
        <f t="shared" si="26"/>
        <v/>
      </c>
      <c r="K279" s="28" t="str">
        <f t="shared" si="26"/>
        <v/>
      </c>
      <c r="L279" s="29" t="str">
        <f t="shared" si="26"/>
        <v/>
      </c>
      <c r="M279" s="30" t="str">
        <f t="shared" si="27"/>
        <v/>
      </c>
      <c r="Q279" s="20">
        <f t="shared" si="23"/>
        <v>1</v>
      </c>
    </row>
    <row r="280" spans="2:17" ht="13" customHeight="1" x14ac:dyDescent="0.25">
      <c r="B280" s="22">
        <v>44473</v>
      </c>
      <c r="C280" s="42"/>
      <c r="D280" s="24"/>
      <c r="E280" s="25"/>
      <c r="F280" s="26"/>
      <c r="G280" s="27"/>
      <c r="H280" s="28" t="str">
        <f t="shared" si="26"/>
        <v/>
      </c>
      <c r="I280" s="28" t="str">
        <f t="shared" si="26"/>
        <v/>
      </c>
      <c r="J280" s="28" t="str">
        <f t="shared" si="26"/>
        <v/>
      </c>
      <c r="K280" s="28" t="str">
        <f t="shared" si="26"/>
        <v/>
      </c>
      <c r="L280" s="29" t="str">
        <f t="shared" si="26"/>
        <v/>
      </c>
      <c r="M280" s="30" t="str">
        <f t="shared" si="27"/>
        <v/>
      </c>
      <c r="Q280" s="20">
        <f t="shared" ref="Q280:Q343" si="28">IF(L280="",1,0)</f>
        <v>1</v>
      </c>
    </row>
    <row r="281" spans="2:17" ht="13" customHeight="1" x14ac:dyDescent="0.25">
      <c r="B281" s="22">
        <v>44474</v>
      </c>
      <c r="C281" s="42"/>
      <c r="D281" s="24"/>
      <c r="E281" s="25"/>
      <c r="F281" s="26"/>
      <c r="G281" s="27"/>
      <c r="H281" s="28" t="str">
        <f t="shared" si="26"/>
        <v/>
      </c>
      <c r="I281" s="28" t="str">
        <f t="shared" si="26"/>
        <v/>
      </c>
      <c r="J281" s="28" t="str">
        <f t="shared" si="26"/>
        <v/>
      </c>
      <c r="K281" s="28" t="str">
        <f t="shared" si="26"/>
        <v/>
      </c>
      <c r="L281" s="29" t="str">
        <f t="shared" si="26"/>
        <v/>
      </c>
      <c r="M281" s="30" t="str">
        <f t="shared" si="27"/>
        <v/>
      </c>
      <c r="Q281" s="20">
        <f t="shared" si="28"/>
        <v>1</v>
      </c>
    </row>
    <row r="282" spans="2:17" ht="13" customHeight="1" x14ac:dyDescent="0.25">
      <c r="B282" s="22">
        <v>44475</v>
      </c>
      <c r="C282" s="42"/>
      <c r="D282" s="24"/>
      <c r="E282" s="25"/>
      <c r="F282" s="26"/>
      <c r="G282" s="27"/>
      <c r="H282" s="28" t="str">
        <f t="shared" si="26"/>
        <v/>
      </c>
      <c r="I282" s="28" t="str">
        <f t="shared" si="26"/>
        <v/>
      </c>
      <c r="J282" s="28" t="str">
        <f t="shared" si="26"/>
        <v/>
      </c>
      <c r="K282" s="28" t="str">
        <f t="shared" si="26"/>
        <v/>
      </c>
      <c r="L282" s="29" t="str">
        <f t="shared" si="26"/>
        <v/>
      </c>
      <c r="M282" s="30" t="str">
        <f t="shared" si="27"/>
        <v/>
      </c>
      <c r="Q282" s="20">
        <f t="shared" si="28"/>
        <v>1</v>
      </c>
    </row>
    <row r="283" spans="2:17" ht="13" customHeight="1" x14ac:dyDescent="0.25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6"/>
        <v/>
      </c>
      <c r="J283" s="28" t="str">
        <f t="shared" si="26"/>
        <v/>
      </c>
      <c r="K283" s="28" t="str">
        <f t="shared" si="26"/>
        <v/>
      </c>
      <c r="L283" s="29" t="str">
        <f t="shared" si="26"/>
        <v/>
      </c>
      <c r="M283" s="30" t="str">
        <f t="shared" si="27"/>
        <v/>
      </c>
      <c r="Q283" s="20">
        <f t="shared" si="28"/>
        <v>1</v>
      </c>
    </row>
    <row r="284" spans="2:17" ht="13" customHeight="1" x14ac:dyDescent="0.25">
      <c r="B284" s="22">
        <v>44477</v>
      </c>
      <c r="C284" s="42"/>
      <c r="D284" s="24"/>
      <c r="E284" s="25"/>
      <c r="F284" s="26"/>
      <c r="G284" s="27"/>
      <c r="H284" s="28" t="str">
        <f t="shared" si="26"/>
        <v/>
      </c>
      <c r="I284" s="28" t="str">
        <f t="shared" si="26"/>
        <v/>
      </c>
      <c r="J284" s="28" t="str">
        <f t="shared" si="26"/>
        <v/>
      </c>
      <c r="K284" s="28" t="str">
        <f t="shared" si="26"/>
        <v/>
      </c>
      <c r="L284" s="29" t="str">
        <f t="shared" si="26"/>
        <v/>
      </c>
      <c r="M284" s="30" t="str">
        <f t="shared" si="27"/>
        <v/>
      </c>
      <c r="Q284" s="20">
        <f t="shared" si="28"/>
        <v>1</v>
      </c>
    </row>
    <row r="285" spans="2:17" ht="13" customHeight="1" x14ac:dyDescent="0.25">
      <c r="B285" s="22">
        <v>44478</v>
      </c>
      <c r="C285" s="42"/>
      <c r="D285" s="24"/>
      <c r="E285" s="25"/>
      <c r="F285" s="26"/>
      <c r="G285" s="27"/>
      <c r="H285" s="28" t="str">
        <f t="shared" si="26"/>
        <v/>
      </c>
      <c r="I285" s="28" t="str">
        <f t="shared" si="26"/>
        <v/>
      </c>
      <c r="J285" s="28" t="str">
        <f t="shared" si="26"/>
        <v/>
      </c>
      <c r="K285" s="28" t="str">
        <f t="shared" si="26"/>
        <v/>
      </c>
      <c r="L285" s="29" t="str">
        <f t="shared" si="26"/>
        <v/>
      </c>
      <c r="M285" s="30" t="str">
        <f t="shared" si="27"/>
        <v/>
      </c>
      <c r="Q285" s="20">
        <f t="shared" si="28"/>
        <v>1</v>
      </c>
    </row>
    <row r="286" spans="2:17" ht="13" customHeight="1" x14ac:dyDescent="0.25">
      <c r="B286" s="22">
        <v>44479</v>
      </c>
      <c r="C286" s="42"/>
      <c r="D286" s="24"/>
      <c r="E286" s="25"/>
      <c r="F286" s="26"/>
      <c r="G286" s="27"/>
      <c r="H286" s="28" t="str">
        <f t="shared" si="26"/>
        <v/>
      </c>
      <c r="I286" s="28" t="str">
        <f t="shared" si="26"/>
        <v/>
      </c>
      <c r="J286" s="28" t="str">
        <f t="shared" si="26"/>
        <v/>
      </c>
      <c r="K286" s="28" t="str">
        <f t="shared" si="26"/>
        <v/>
      </c>
      <c r="L286" s="29" t="str">
        <f t="shared" si="26"/>
        <v/>
      </c>
      <c r="M286" s="30" t="str">
        <f t="shared" si="27"/>
        <v/>
      </c>
      <c r="Q286" s="20">
        <f t="shared" si="28"/>
        <v>1</v>
      </c>
    </row>
    <row r="287" spans="2:17" ht="13" customHeight="1" x14ac:dyDescent="0.25">
      <c r="B287" s="22">
        <v>44480</v>
      </c>
      <c r="C287" s="42"/>
      <c r="D287" s="24"/>
      <c r="E287" s="25"/>
      <c r="F287" s="26"/>
      <c r="G287" s="27"/>
      <c r="H287" s="28" t="str">
        <f t="shared" si="26"/>
        <v/>
      </c>
      <c r="I287" s="28" t="str">
        <f t="shared" si="26"/>
        <v/>
      </c>
      <c r="J287" s="28" t="str">
        <f t="shared" si="26"/>
        <v/>
      </c>
      <c r="K287" s="28" t="str">
        <f t="shared" si="26"/>
        <v/>
      </c>
      <c r="L287" s="29" t="str">
        <f t="shared" si="26"/>
        <v/>
      </c>
      <c r="M287" s="30" t="str">
        <f t="shared" si="27"/>
        <v/>
      </c>
      <c r="Q287" s="20">
        <f t="shared" si="28"/>
        <v>1</v>
      </c>
    </row>
    <row r="288" spans="2:17" ht="13" customHeight="1" x14ac:dyDescent="0.25">
      <c r="B288" s="22">
        <v>44481</v>
      </c>
      <c r="C288" s="42"/>
      <c r="D288" s="24"/>
      <c r="E288" s="25"/>
      <c r="F288" s="26"/>
      <c r="G288" s="27"/>
      <c r="H288" s="28" t="str">
        <f t="shared" si="26"/>
        <v/>
      </c>
      <c r="I288" s="28" t="str">
        <f t="shared" si="26"/>
        <v/>
      </c>
      <c r="J288" s="28" t="str">
        <f t="shared" si="26"/>
        <v/>
      </c>
      <c r="K288" s="28" t="str">
        <f t="shared" si="26"/>
        <v/>
      </c>
      <c r="L288" s="29" t="str">
        <f t="shared" si="26"/>
        <v/>
      </c>
      <c r="M288" s="30" t="str">
        <f t="shared" si="27"/>
        <v/>
      </c>
      <c r="Q288" s="20">
        <f t="shared" si="28"/>
        <v>1</v>
      </c>
    </row>
    <row r="289" spans="2:17" ht="13" customHeight="1" x14ac:dyDescent="0.25">
      <c r="B289" s="22">
        <v>44482</v>
      </c>
      <c r="C289" s="42"/>
      <c r="D289" s="24"/>
      <c r="E289" s="25"/>
      <c r="F289" s="26"/>
      <c r="G289" s="27"/>
      <c r="H289" s="28" t="str">
        <f t="shared" si="26"/>
        <v/>
      </c>
      <c r="I289" s="28" t="str">
        <f t="shared" si="26"/>
        <v/>
      </c>
      <c r="J289" s="28" t="str">
        <f t="shared" si="26"/>
        <v/>
      </c>
      <c r="K289" s="28" t="str">
        <f t="shared" si="26"/>
        <v/>
      </c>
      <c r="L289" s="29" t="str">
        <f t="shared" si="26"/>
        <v/>
      </c>
      <c r="M289" s="30" t="str">
        <f t="shared" si="27"/>
        <v/>
      </c>
      <c r="Q289" s="20">
        <f t="shared" si="28"/>
        <v>1</v>
      </c>
    </row>
    <row r="290" spans="2:17" ht="13" customHeight="1" x14ac:dyDescent="0.25">
      <c r="B290" s="22">
        <v>44483</v>
      </c>
      <c r="C290" s="42"/>
      <c r="D290" s="24"/>
      <c r="E290" s="25"/>
      <c r="F290" s="26"/>
      <c r="G290" s="27"/>
      <c r="H290" s="28" t="str">
        <f t="shared" si="26"/>
        <v/>
      </c>
      <c r="I290" s="28" t="str">
        <f t="shared" si="26"/>
        <v/>
      </c>
      <c r="J290" s="28" t="str">
        <f t="shared" si="26"/>
        <v/>
      </c>
      <c r="K290" s="28" t="str">
        <f t="shared" si="26"/>
        <v/>
      </c>
      <c r="L290" s="29" t="str">
        <f t="shared" si="26"/>
        <v/>
      </c>
      <c r="M290" s="30" t="str">
        <f t="shared" si="27"/>
        <v/>
      </c>
      <c r="Q290" s="20">
        <f t="shared" si="28"/>
        <v>1</v>
      </c>
    </row>
    <row r="291" spans="2:17" ht="13" customHeight="1" x14ac:dyDescent="0.25">
      <c r="B291" s="22">
        <v>44484</v>
      </c>
      <c r="C291" s="42"/>
      <c r="D291" s="24"/>
      <c r="E291" s="25"/>
      <c r="F291" s="26"/>
      <c r="G291" s="27"/>
      <c r="H291" s="28" t="str">
        <f t="shared" si="26"/>
        <v/>
      </c>
      <c r="I291" s="28" t="str">
        <f t="shared" si="26"/>
        <v/>
      </c>
      <c r="J291" s="28" t="str">
        <f t="shared" si="26"/>
        <v/>
      </c>
      <c r="K291" s="28" t="str">
        <f t="shared" si="26"/>
        <v/>
      </c>
      <c r="L291" s="29" t="str">
        <f t="shared" si="26"/>
        <v/>
      </c>
      <c r="M291" s="30" t="str">
        <f t="shared" si="27"/>
        <v/>
      </c>
      <c r="Q291" s="20">
        <f t="shared" si="28"/>
        <v>1</v>
      </c>
    </row>
    <row r="292" spans="2:17" ht="13" customHeight="1" x14ac:dyDescent="0.25">
      <c r="B292" s="22">
        <v>44485</v>
      </c>
      <c r="C292" s="42"/>
      <c r="D292" s="24"/>
      <c r="E292" s="25"/>
      <c r="F292" s="26"/>
      <c r="G292" s="27"/>
      <c r="H292" s="28" t="str">
        <f t="shared" si="26"/>
        <v/>
      </c>
      <c r="I292" s="28" t="str">
        <f t="shared" si="26"/>
        <v/>
      </c>
      <c r="J292" s="28" t="str">
        <f t="shared" si="26"/>
        <v/>
      </c>
      <c r="K292" s="28" t="str">
        <f t="shared" si="26"/>
        <v/>
      </c>
      <c r="L292" s="29" t="str">
        <f t="shared" si="26"/>
        <v/>
      </c>
      <c r="M292" s="30" t="str">
        <f t="shared" si="27"/>
        <v/>
      </c>
      <c r="Q292" s="20">
        <f t="shared" si="28"/>
        <v>1</v>
      </c>
    </row>
    <row r="293" spans="2:17" ht="13" customHeight="1" x14ac:dyDescent="0.25">
      <c r="B293" s="22">
        <v>44486</v>
      </c>
      <c r="C293" s="42"/>
      <c r="D293" s="24"/>
      <c r="E293" s="25"/>
      <c r="F293" s="26"/>
      <c r="G293" s="27"/>
      <c r="H293" s="28" t="str">
        <f t="shared" si="26"/>
        <v/>
      </c>
      <c r="I293" s="28" t="str">
        <f t="shared" si="26"/>
        <v/>
      </c>
      <c r="J293" s="28" t="str">
        <f t="shared" si="26"/>
        <v/>
      </c>
      <c r="K293" s="28" t="str">
        <f t="shared" si="26"/>
        <v/>
      </c>
      <c r="L293" s="29" t="str">
        <f t="shared" si="26"/>
        <v/>
      </c>
      <c r="M293" s="30" t="str">
        <f t="shared" si="27"/>
        <v/>
      </c>
      <c r="Q293" s="20">
        <f t="shared" si="28"/>
        <v>1</v>
      </c>
    </row>
    <row r="294" spans="2:17" ht="13" customHeight="1" x14ac:dyDescent="0.25">
      <c r="B294" s="22">
        <v>44487</v>
      </c>
      <c r="C294" s="42"/>
      <c r="D294" s="24"/>
      <c r="E294" s="25"/>
      <c r="F294" s="26"/>
      <c r="G294" s="27"/>
      <c r="H294" s="28" t="str">
        <f t="shared" si="26"/>
        <v/>
      </c>
      <c r="I294" s="28" t="str">
        <f t="shared" si="26"/>
        <v/>
      </c>
      <c r="J294" s="28" t="str">
        <f t="shared" si="26"/>
        <v/>
      </c>
      <c r="K294" s="28" t="str">
        <f t="shared" si="26"/>
        <v/>
      </c>
      <c r="L294" s="29" t="str">
        <f t="shared" si="26"/>
        <v/>
      </c>
      <c r="M294" s="30" t="str">
        <f t="shared" si="27"/>
        <v/>
      </c>
      <c r="Q294" s="20">
        <f t="shared" si="28"/>
        <v>1</v>
      </c>
    </row>
    <row r="295" spans="2:17" ht="13" customHeight="1" x14ac:dyDescent="0.25">
      <c r="B295" s="22">
        <v>44488</v>
      </c>
      <c r="C295" s="42"/>
      <c r="D295" s="24"/>
      <c r="E295" s="25"/>
      <c r="F295" s="26"/>
      <c r="G295" s="27"/>
      <c r="H295" s="28" t="str">
        <f t="shared" si="26"/>
        <v/>
      </c>
      <c r="I295" s="28" t="str">
        <f t="shared" si="26"/>
        <v/>
      </c>
      <c r="J295" s="28" t="str">
        <f t="shared" si="26"/>
        <v/>
      </c>
      <c r="K295" s="28" t="str">
        <f t="shared" si="26"/>
        <v/>
      </c>
      <c r="L295" s="29" t="str">
        <f t="shared" si="26"/>
        <v/>
      </c>
      <c r="M295" s="30" t="str">
        <f t="shared" si="27"/>
        <v/>
      </c>
      <c r="Q295" s="20">
        <f t="shared" si="28"/>
        <v>1</v>
      </c>
    </row>
    <row r="296" spans="2:17" ht="13" customHeight="1" x14ac:dyDescent="0.25">
      <c r="B296" s="22">
        <v>44489</v>
      </c>
      <c r="C296" s="42"/>
      <c r="D296" s="24"/>
      <c r="E296" s="25"/>
      <c r="F296" s="26"/>
      <c r="G296" s="27"/>
      <c r="H296" s="28" t="str">
        <f t="shared" si="26"/>
        <v/>
      </c>
      <c r="I296" s="28" t="str">
        <f t="shared" si="26"/>
        <v/>
      </c>
      <c r="J296" s="28" t="str">
        <f t="shared" si="26"/>
        <v/>
      </c>
      <c r="K296" s="28" t="str">
        <f t="shared" si="26"/>
        <v/>
      </c>
      <c r="L296" s="29" t="str">
        <f t="shared" si="26"/>
        <v/>
      </c>
      <c r="M296" s="30" t="str">
        <f t="shared" si="27"/>
        <v/>
      </c>
      <c r="Q296" s="20">
        <f t="shared" si="28"/>
        <v>1</v>
      </c>
    </row>
    <row r="297" spans="2:17" ht="13" customHeight="1" thickBot="1" x14ac:dyDescent="0.3">
      <c r="B297" s="22">
        <v>44490</v>
      </c>
      <c r="C297" s="42"/>
      <c r="D297" s="24"/>
      <c r="E297" s="25"/>
      <c r="F297" s="26"/>
      <c r="G297" s="27"/>
      <c r="H297" s="28" t="str">
        <f t="shared" si="26"/>
        <v/>
      </c>
      <c r="I297" s="28" t="str">
        <f t="shared" si="26"/>
        <v/>
      </c>
      <c r="J297" s="28" t="str">
        <f t="shared" si="26"/>
        <v/>
      </c>
      <c r="K297" s="28" t="str">
        <f t="shared" si="26"/>
        <v/>
      </c>
      <c r="L297" s="29" t="str">
        <f t="shared" si="26"/>
        <v/>
      </c>
      <c r="M297" s="30" t="str">
        <f t="shared" si="27"/>
        <v/>
      </c>
      <c r="Q297" s="20">
        <f t="shared" si="28"/>
        <v>1</v>
      </c>
    </row>
    <row r="298" spans="2:17" ht="13" customHeight="1" x14ac:dyDescent="0.25">
      <c r="B298" s="22">
        <v>44491</v>
      </c>
      <c r="C298" s="42"/>
      <c r="D298" s="24"/>
      <c r="E298" s="25"/>
      <c r="F298" s="26"/>
      <c r="G298" s="27"/>
      <c r="H298" s="28" t="str">
        <f t="shared" si="26"/>
        <v/>
      </c>
      <c r="I298" s="28" t="str">
        <f t="shared" si="26"/>
        <v/>
      </c>
      <c r="J298" s="28" t="str">
        <f t="shared" si="26"/>
        <v/>
      </c>
      <c r="K298" s="28" t="str">
        <f t="shared" si="26"/>
        <v/>
      </c>
      <c r="L298" s="29" t="str">
        <f t="shared" si="26"/>
        <v/>
      </c>
      <c r="M298" s="30" t="str">
        <f t="shared" si="27"/>
        <v/>
      </c>
      <c r="N298" s="159" t="s">
        <v>21</v>
      </c>
      <c r="O298" s="159" t="s">
        <v>22</v>
      </c>
      <c r="Q298" s="20">
        <f t="shared" si="28"/>
        <v>1</v>
      </c>
    </row>
    <row r="299" spans="2:17" ht="13" customHeight="1" x14ac:dyDescent="0.25">
      <c r="B299" s="22">
        <v>44492</v>
      </c>
      <c r="C299" s="42"/>
      <c r="D299" s="24"/>
      <c r="E299" s="25"/>
      <c r="F299" s="26"/>
      <c r="G299" s="27"/>
      <c r="H299" s="28" t="str">
        <f t="shared" si="26"/>
        <v/>
      </c>
      <c r="I299" s="28" t="str">
        <f t="shared" si="26"/>
        <v/>
      </c>
      <c r="J299" s="28" t="str">
        <f t="shared" si="26"/>
        <v/>
      </c>
      <c r="K299" s="28" t="str">
        <f t="shared" si="26"/>
        <v/>
      </c>
      <c r="L299" s="29" t="str">
        <f t="shared" si="26"/>
        <v/>
      </c>
      <c r="M299" s="30" t="str">
        <f t="shared" si="27"/>
        <v/>
      </c>
      <c r="N299" s="160"/>
      <c r="O299" s="160"/>
      <c r="Q299" s="20">
        <f t="shared" si="28"/>
        <v>1</v>
      </c>
    </row>
    <row r="300" spans="2:17" ht="13" customHeight="1" thickBot="1" x14ac:dyDescent="0.3">
      <c r="B300" s="22">
        <v>44493</v>
      </c>
      <c r="C300" s="42"/>
      <c r="D300" s="24"/>
      <c r="E300" s="25"/>
      <c r="F300" s="26"/>
      <c r="G300" s="27"/>
      <c r="H300" s="28" t="str">
        <f t="shared" si="26"/>
        <v/>
      </c>
      <c r="I300" s="28" t="str">
        <f t="shared" si="26"/>
        <v/>
      </c>
      <c r="J300" s="28" t="str">
        <f t="shared" si="26"/>
        <v/>
      </c>
      <c r="K300" s="28" t="str">
        <f t="shared" si="26"/>
        <v/>
      </c>
      <c r="L300" s="29" t="str">
        <f t="shared" si="26"/>
        <v/>
      </c>
      <c r="M300" s="30" t="str">
        <f t="shared" si="27"/>
        <v/>
      </c>
      <c r="N300" s="161"/>
      <c r="O300" s="161"/>
      <c r="Q300" s="20">
        <f t="shared" si="28"/>
        <v>1</v>
      </c>
    </row>
    <row r="301" spans="2:17" ht="13" customHeight="1" thickBot="1" x14ac:dyDescent="0.3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6"/>
        <v/>
      </c>
      <c r="J301" s="28" t="str">
        <f t="shared" si="26"/>
        <v/>
      </c>
      <c r="K301" s="28" t="str">
        <f t="shared" si="26"/>
        <v/>
      </c>
      <c r="L301" s="29" t="str">
        <f t="shared" si="26"/>
        <v/>
      </c>
      <c r="M301" s="30" t="str">
        <f t="shared" si="27"/>
        <v/>
      </c>
      <c r="N301" s="32">
        <f>SUM(L278:L308)</f>
        <v>0</v>
      </c>
      <c r="O301" s="32">
        <f>SUM(M278:M308)</f>
        <v>0</v>
      </c>
      <c r="Q301" s="20">
        <f t="shared" si="28"/>
        <v>1</v>
      </c>
    </row>
    <row r="302" spans="2:17" ht="13" customHeight="1" x14ac:dyDescent="0.25">
      <c r="B302" s="22">
        <v>44495</v>
      </c>
      <c r="C302" s="42"/>
      <c r="D302" s="24"/>
      <c r="E302" s="25"/>
      <c r="F302" s="26"/>
      <c r="G302" s="27"/>
      <c r="H302" s="28" t="str">
        <f t="shared" si="26"/>
        <v/>
      </c>
      <c r="I302" s="28" t="str">
        <f t="shared" si="26"/>
        <v/>
      </c>
      <c r="J302" s="28" t="str">
        <f t="shared" si="26"/>
        <v/>
      </c>
      <c r="K302" s="28" t="str">
        <f t="shared" si="26"/>
        <v/>
      </c>
      <c r="L302" s="29" t="str">
        <f t="shared" si="26"/>
        <v/>
      </c>
      <c r="M302" s="30" t="str">
        <f t="shared" si="27"/>
        <v/>
      </c>
      <c r="N302" s="159" t="s">
        <v>23</v>
      </c>
      <c r="O302" s="159" t="s">
        <v>24</v>
      </c>
      <c r="Q302" s="20">
        <f t="shared" si="28"/>
        <v>1</v>
      </c>
    </row>
    <row r="303" spans="2:17" ht="13" customHeight="1" thickBot="1" x14ac:dyDescent="0.3">
      <c r="B303" s="22">
        <v>44496</v>
      </c>
      <c r="C303" s="42"/>
      <c r="D303" s="24"/>
      <c r="E303" s="25"/>
      <c r="F303" s="26"/>
      <c r="G303" s="27"/>
      <c r="H303" s="28" t="str">
        <f t="shared" si="26"/>
        <v/>
      </c>
      <c r="I303" s="28" t="str">
        <f t="shared" si="26"/>
        <v/>
      </c>
      <c r="J303" s="28" t="str">
        <f t="shared" si="26"/>
        <v/>
      </c>
      <c r="K303" s="28" t="str">
        <f t="shared" si="26"/>
        <v/>
      </c>
      <c r="L303" s="29" t="str">
        <f t="shared" si="26"/>
        <v/>
      </c>
      <c r="M303" s="30" t="str">
        <f t="shared" si="27"/>
        <v/>
      </c>
      <c r="N303" s="161"/>
      <c r="O303" s="161"/>
      <c r="Q303" s="20">
        <f t="shared" si="28"/>
        <v>1</v>
      </c>
    </row>
    <row r="304" spans="2:17" ht="13" customHeight="1" thickBot="1" x14ac:dyDescent="0.3">
      <c r="B304" s="22">
        <v>44497</v>
      </c>
      <c r="C304" s="42"/>
      <c r="D304" s="24"/>
      <c r="E304" s="25"/>
      <c r="F304" s="26"/>
      <c r="G304" s="27"/>
      <c r="H304" s="28" t="str">
        <f t="shared" si="26"/>
        <v/>
      </c>
      <c r="I304" s="28" t="str">
        <f t="shared" si="26"/>
        <v/>
      </c>
      <c r="J304" s="28" t="str">
        <f t="shared" si="26"/>
        <v/>
      </c>
      <c r="K304" s="28" t="str">
        <f t="shared" si="26"/>
        <v/>
      </c>
      <c r="L304" s="29" t="str">
        <f t="shared" si="26"/>
        <v/>
      </c>
      <c r="M304" s="30" t="str">
        <f t="shared" si="27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8"/>
        <v>1</v>
      </c>
    </row>
    <row r="305" spans="1:17" ht="13" customHeight="1" x14ac:dyDescent="0.25">
      <c r="B305" s="22">
        <v>44498</v>
      </c>
      <c r="C305" s="42"/>
      <c r="D305" s="24"/>
      <c r="E305" s="25"/>
      <c r="F305" s="26"/>
      <c r="G305" s="27"/>
      <c r="H305" s="28" t="str">
        <f t="shared" si="26"/>
        <v/>
      </c>
      <c r="I305" s="28" t="str">
        <f t="shared" si="26"/>
        <v/>
      </c>
      <c r="J305" s="28" t="str">
        <f t="shared" si="26"/>
        <v/>
      </c>
      <c r="K305" s="28" t="str">
        <f t="shared" si="26"/>
        <v/>
      </c>
      <c r="L305" s="29" t="str">
        <f t="shared" si="26"/>
        <v/>
      </c>
      <c r="M305" s="30" t="str">
        <f t="shared" si="27"/>
        <v/>
      </c>
      <c r="O305" s="20">
        <f>IF(L305="",1,0)</f>
        <v>1</v>
      </c>
    </row>
    <row r="306" spans="1:17" ht="13" customHeight="1" x14ac:dyDescent="0.25">
      <c r="B306" s="22">
        <v>44499</v>
      </c>
      <c r="C306" s="42"/>
      <c r="D306" s="24"/>
      <c r="E306" s="25"/>
      <c r="F306" s="26"/>
      <c r="G306" s="27"/>
      <c r="H306" s="28" t="str">
        <f t="shared" si="26"/>
        <v/>
      </c>
      <c r="I306" s="28" t="str">
        <f t="shared" si="26"/>
        <v/>
      </c>
      <c r="J306" s="28" t="str">
        <f t="shared" si="26"/>
        <v/>
      </c>
      <c r="K306" s="28" t="str">
        <f t="shared" si="26"/>
        <v/>
      </c>
      <c r="L306" s="29" t="str">
        <f t="shared" si="26"/>
        <v/>
      </c>
      <c r="M306" s="30" t="str">
        <f t="shared" si="27"/>
        <v/>
      </c>
      <c r="O306" s="20">
        <f>IF(L306="",1,0)</f>
        <v>1</v>
      </c>
    </row>
    <row r="307" spans="1:17" ht="13" customHeight="1" x14ac:dyDescent="0.25">
      <c r="B307" s="22">
        <v>44500</v>
      </c>
      <c r="C307" s="42"/>
      <c r="D307" s="24"/>
      <c r="E307" s="25"/>
      <c r="F307" s="26"/>
      <c r="G307" s="27"/>
      <c r="H307" s="28" t="str">
        <f t="shared" si="26"/>
        <v/>
      </c>
      <c r="I307" s="28" t="str">
        <f t="shared" si="26"/>
        <v/>
      </c>
      <c r="J307" s="28" t="str">
        <f t="shared" si="26"/>
        <v/>
      </c>
      <c r="K307" s="28" t="str">
        <f t="shared" si="26"/>
        <v/>
      </c>
      <c r="L307" s="29" t="str">
        <f t="shared" si="26"/>
        <v/>
      </c>
      <c r="M307" s="30" t="str">
        <f t="shared" si="27"/>
        <v/>
      </c>
      <c r="O307" s="20">
        <f>IF(L307="",1,0)</f>
        <v>1</v>
      </c>
    </row>
    <row r="308" spans="1:17" ht="13" customHeight="1" x14ac:dyDescent="0.25">
      <c r="B308" s="22">
        <v>44501</v>
      </c>
      <c r="C308" s="34"/>
      <c r="D308" s="34"/>
      <c r="E308" s="34"/>
      <c r="F308" s="34"/>
      <c r="G308" s="34"/>
      <c r="H308" s="35" t="str">
        <f t="shared" si="26"/>
        <v/>
      </c>
      <c r="I308" s="40" t="str">
        <f t="shared" si="26"/>
        <v/>
      </c>
      <c r="J308" s="35" t="str">
        <f t="shared" si="26"/>
        <v/>
      </c>
      <c r="K308" s="35" t="str">
        <f t="shared" si="26"/>
        <v/>
      </c>
      <c r="L308" s="36" t="str">
        <f t="shared" si="26"/>
        <v/>
      </c>
      <c r="M308" s="35" t="str">
        <f t="shared" si="27"/>
        <v/>
      </c>
      <c r="Q308" s="20">
        <f t="shared" si="28"/>
        <v>1</v>
      </c>
    </row>
    <row r="309" spans="1:17" ht="13" customHeight="1" x14ac:dyDescent="0.25">
      <c r="B309" s="22">
        <v>44502</v>
      </c>
      <c r="C309" s="42"/>
      <c r="D309" s="24"/>
      <c r="E309" s="25"/>
      <c r="F309" s="26"/>
      <c r="G309" s="27"/>
      <c r="H309" s="28" t="str">
        <f t="shared" si="26"/>
        <v/>
      </c>
      <c r="I309" s="28" t="str">
        <f t="shared" si="26"/>
        <v/>
      </c>
      <c r="J309" s="28" t="str">
        <f t="shared" si="26"/>
        <v/>
      </c>
      <c r="K309" s="28" t="str">
        <f t="shared" si="26"/>
        <v/>
      </c>
      <c r="L309" s="29" t="str">
        <f t="shared" si="26"/>
        <v/>
      </c>
      <c r="M309" s="30" t="str">
        <f t="shared" si="27"/>
        <v/>
      </c>
      <c r="Q309" s="20">
        <f t="shared" si="28"/>
        <v>1</v>
      </c>
    </row>
    <row r="310" spans="1:17" ht="13" customHeight="1" x14ac:dyDescent="0.25">
      <c r="B310" s="22">
        <v>44503</v>
      </c>
      <c r="C310" s="42"/>
      <c r="D310" s="24"/>
      <c r="E310" s="25"/>
      <c r="F310" s="26"/>
      <c r="G310" s="27"/>
      <c r="H310" s="28" t="str">
        <f t="shared" si="26"/>
        <v/>
      </c>
      <c r="I310" s="28" t="str">
        <f t="shared" si="26"/>
        <v/>
      </c>
      <c r="J310" s="28" t="str">
        <f t="shared" si="26"/>
        <v/>
      </c>
      <c r="K310" s="28" t="str">
        <f t="shared" si="26"/>
        <v/>
      </c>
      <c r="L310" s="29" t="str">
        <f t="shared" si="26"/>
        <v/>
      </c>
      <c r="M310" s="30" t="str">
        <f t="shared" si="27"/>
        <v/>
      </c>
      <c r="Q310" s="20">
        <f t="shared" si="28"/>
        <v>1</v>
      </c>
    </row>
    <row r="311" spans="1:17" ht="13" customHeight="1" x14ac:dyDescent="0.25">
      <c r="B311" s="22">
        <v>44504</v>
      </c>
      <c r="C311" s="42"/>
      <c r="D311" s="24"/>
      <c r="E311" s="25"/>
      <c r="F311" s="26"/>
      <c r="G311" s="27"/>
      <c r="H311" s="28" t="str">
        <f t="shared" si="26"/>
        <v/>
      </c>
      <c r="I311" s="28" t="str">
        <f t="shared" si="26"/>
        <v/>
      </c>
      <c r="J311" s="28" t="str">
        <f t="shared" si="26"/>
        <v/>
      </c>
      <c r="K311" s="28" t="str">
        <f t="shared" si="26"/>
        <v/>
      </c>
      <c r="L311" s="29" t="str">
        <f t="shared" si="26"/>
        <v/>
      </c>
      <c r="M311" s="30" t="str">
        <f t="shared" si="27"/>
        <v/>
      </c>
      <c r="Q311" s="20">
        <f t="shared" si="28"/>
        <v>1</v>
      </c>
    </row>
    <row r="312" spans="1:17" ht="13" customHeight="1" x14ac:dyDescent="0.25">
      <c r="B312" s="22">
        <v>44505</v>
      </c>
      <c r="C312" s="42"/>
      <c r="D312" s="24"/>
      <c r="E312" s="25"/>
      <c r="F312" s="26"/>
      <c r="G312" s="27"/>
      <c r="H312" s="28" t="str">
        <f t="shared" si="26"/>
        <v/>
      </c>
      <c r="I312" s="28" t="str">
        <f t="shared" si="26"/>
        <v/>
      </c>
      <c r="J312" s="28" t="str">
        <f t="shared" si="26"/>
        <v/>
      </c>
      <c r="K312" s="28" t="str">
        <f t="shared" si="26"/>
        <v/>
      </c>
      <c r="L312" s="29" t="str">
        <f t="shared" si="26"/>
        <v/>
      </c>
      <c r="M312" s="30" t="str">
        <f t="shared" si="27"/>
        <v/>
      </c>
      <c r="Q312" s="20">
        <f t="shared" si="28"/>
        <v>1</v>
      </c>
    </row>
    <row r="313" spans="1:17" ht="13" customHeight="1" x14ac:dyDescent="0.25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6"/>
        <v/>
      </c>
      <c r="I313" s="28" t="str">
        <f t="shared" si="26"/>
        <v/>
      </c>
      <c r="J313" s="28" t="str">
        <f t="shared" si="26"/>
        <v/>
      </c>
      <c r="K313" s="28" t="str">
        <f t="shared" si="26"/>
        <v/>
      </c>
      <c r="L313" s="29" t="str">
        <f t="shared" si="26"/>
        <v/>
      </c>
      <c r="M313" s="30" t="str">
        <f t="shared" si="27"/>
        <v/>
      </c>
      <c r="Q313" s="20">
        <f t="shared" si="28"/>
        <v>1</v>
      </c>
    </row>
    <row r="314" spans="1:17" ht="13" customHeight="1" x14ac:dyDescent="0.25">
      <c r="B314" s="22">
        <v>44507</v>
      </c>
      <c r="C314" s="42"/>
      <c r="D314" s="24"/>
      <c r="E314" s="25"/>
      <c r="F314" s="26"/>
      <c r="G314" s="27"/>
      <c r="H314" s="28" t="str">
        <f t="shared" si="26"/>
        <v/>
      </c>
      <c r="I314" s="28" t="str">
        <f t="shared" si="26"/>
        <v/>
      </c>
      <c r="J314" s="28" t="str">
        <f t="shared" si="26"/>
        <v/>
      </c>
      <c r="K314" s="28" t="str">
        <f t="shared" si="26"/>
        <v/>
      </c>
      <c r="L314" s="29" t="str">
        <f t="shared" si="26"/>
        <v/>
      </c>
      <c r="M314" s="30" t="str">
        <f t="shared" si="27"/>
        <v/>
      </c>
      <c r="Q314" s="20">
        <f t="shared" si="28"/>
        <v>1</v>
      </c>
    </row>
    <row r="315" spans="1:17" ht="13" customHeight="1" x14ac:dyDescent="0.25">
      <c r="B315" s="22">
        <v>44508</v>
      </c>
      <c r="C315" s="42"/>
      <c r="D315" s="24"/>
      <c r="E315" s="25"/>
      <c r="F315" s="26"/>
      <c r="G315" s="27"/>
      <c r="H315" s="28" t="str">
        <f t="shared" si="26"/>
        <v/>
      </c>
      <c r="I315" s="28" t="str">
        <f t="shared" si="26"/>
        <v/>
      </c>
      <c r="J315" s="28" t="str">
        <f t="shared" si="26"/>
        <v/>
      </c>
      <c r="K315" s="28" t="str">
        <f t="shared" si="26"/>
        <v/>
      </c>
      <c r="L315" s="29" t="str">
        <f t="shared" si="26"/>
        <v/>
      </c>
      <c r="M315" s="30" t="str">
        <f t="shared" si="27"/>
        <v/>
      </c>
      <c r="Q315" s="20">
        <f t="shared" si="28"/>
        <v>1</v>
      </c>
    </row>
    <row r="316" spans="1:17" ht="13" customHeight="1" x14ac:dyDescent="0.25">
      <c r="B316" s="22">
        <v>44509</v>
      </c>
      <c r="C316" s="42"/>
      <c r="D316" s="24"/>
      <c r="E316" s="25"/>
      <c r="F316" s="26"/>
      <c r="G316" s="27"/>
      <c r="H316" s="28" t="str">
        <f t="shared" ref="H316:L367" si="29">IF(C316="","",+(C316-C315))</f>
        <v/>
      </c>
      <c r="I316" s="28" t="str">
        <f t="shared" si="29"/>
        <v/>
      </c>
      <c r="J316" s="28" t="str">
        <f t="shared" si="29"/>
        <v/>
      </c>
      <c r="K316" s="28" t="str">
        <f t="shared" si="29"/>
        <v/>
      </c>
      <c r="L316" s="29" t="str">
        <f t="shared" si="29"/>
        <v/>
      </c>
      <c r="M316" s="30" t="str">
        <f t="shared" si="27"/>
        <v/>
      </c>
      <c r="Q316" s="20">
        <f t="shared" si="28"/>
        <v>1</v>
      </c>
    </row>
    <row r="317" spans="1:17" ht="13" customHeight="1" x14ac:dyDescent="0.25">
      <c r="B317" s="22">
        <v>44510</v>
      </c>
      <c r="C317" s="42"/>
      <c r="D317" s="24"/>
      <c r="E317" s="25"/>
      <c r="F317" s="26"/>
      <c r="G317" s="27"/>
      <c r="H317" s="28" t="str">
        <f t="shared" si="29"/>
        <v/>
      </c>
      <c r="I317" s="28" t="str">
        <f t="shared" si="29"/>
        <v/>
      </c>
      <c r="J317" s="28" t="str">
        <f t="shared" si="29"/>
        <v/>
      </c>
      <c r="K317" s="28" t="str">
        <f t="shared" si="29"/>
        <v/>
      </c>
      <c r="L317" s="29" t="str">
        <f t="shared" si="29"/>
        <v/>
      </c>
      <c r="M317" s="30" t="str">
        <f t="shared" si="27"/>
        <v/>
      </c>
      <c r="Q317" s="20">
        <f t="shared" si="28"/>
        <v>1</v>
      </c>
    </row>
    <row r="318" spans="1:17" ht="13" customHeight="1" x14ac:dyDescent="0.25">
      <c r="B318" s="22">
        <v>44511</v>
      </c>
      <c r="C318" s="42"/>
      <c r="D318" s="24"/>
      <c r="E318" s="25"/>
      <c r="F318" s="26"/>
      <c r="G318" s="27"/>
      <c r="H318" s="28" t="str">
        <f t="shared" si="29"/>
        <v/>
      </c>
      <c r="I318" s="28" t="str">
        <f t="shared" si="29"/>
        <v/>
      </c>
      <c r="J318" s="28" t="str">
        <f t="shared" si="29"/>
        <v/>
      </c>
      <c r="K318" s="28" t="str">
        <f t="shared" si="29"/>
        <v/>
      </c>
      <c r="L318" s="29" t="str">
        <f t="shared" si="29"/>
        <v/>
      </c>
      <c r="M318" s="30" t="str">
        <f t="shared" si="27"/>
        <v/>
      </c>
      <c r="Q318" s="20">
        <f t="shared" si="28"/>
        <v>1</v>
      </c>
    </row>
    <row r="319" spans="1:17" ht="13" customHeight="1" x14ac:dyDescent="0.25">
      <c r="B319" s="22">
        <v>44512</v>
      </c>
      <c r="C319" s="42"/>
      <c r="D319" s="24"/>
      <c r="E319" s="25"/>
      <c r="F319" s="26"/>
      <c r="G319" s="27"/>
      <c r="H319" s="28" t="str">
        <f t="shared" si="29"/>
        <v/>
      </c>
      <c r="I319" s="28" t="str">
        <f t="shared" si="29"/>
        <v/>
      </c>
      <c r="J319" s="28" t="str">
        <f t="shared" si="29"/>
        <v/>
      </c>
      <c r="K319" s="28" t="str">
        <f t="shared" si="29"/>
        <v/>
      </c>
      <c r="L319" s="29" t="str">
        <f t="shared" si="29"/>
        <v/>
      </c>
      <c r="M319" s="30" t="str">
        <f t="shared" si="27"/>
        <v/>
      </c>
      <c r="Q319" s="20">
        <f t="shared" si="28"/>
        <v>1</v>
      </c>
    </row>
    <row r="320" spans="1:17" ht="13" customHeight="1" x14ac:dyDescent="0.25">
      <c r="B320" s="22">
        <v>44513</v>
      </c>
      <c r="C320" s="42"/>
      <c r="D320" s="24"/>
      <c r="E320" s="25"/>
      <c r="F320" s="26"/>
      <c r="G320" s="27"/>
      <c r="H320" s="28" t="str">
        <f t="shared" si="29"/>
        <v/>
      </c>
      <c r="I320" s="28" t="str">
        <f t="shared" si="29"/>
        <v/>
      </c>
      <c r="J320" s="28" t="str">
        <f t="shared" si="29"/>
        <v/>
      </c>
      <c r="K320" s="28" t="str">
        <f t="shared" si="29"/>
        <v/>
      </c>
      <c r="L320" s="29" t="str">
        <f t="shared" si="29"/>
        <v/>
      </c>
      <c r="M320" s="30" t="str">
        <f t="shared" si="27"/>
        <v/>
      </c>
      <c r="Q320" s="20">
        <f t="shared" si="28"/>
        <v>1</v>
      </c>
    </row>
    <row r="321" spans="1:17" ht="13" customHeight="1" x14ac:dyDescent="0.25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9"/>
        <v/>
      </c>
      <c r="J321" s="28" t="str">
        <f t="shared" si="29"/>
        <v/>
      </c>
      <c r="K321" s="28" t="str">
        <f t="shared" si="29"/>
        <v/>
      </c>
      <c r="L321" s="29" t="str">
        <f t="shared" si="29"/>
        <v/>
      </c>
      <c r="M321" s="30" t="str">
        <f t="shared" si="27"/>
        <v/>
      </c>
      <c r="Q321" s="20">
        <f t="shared" si="28"/>
        <v>1</v>
      </c>
    </row>
    <row r="322" spans="1:17" ht="13" customHeight="1" x14ac:dyDescent="0.25">
      <c r="B322" s="22">
        <v>44515</v>
      </c>
      <c r="C322" s="42"/>
      <c r="D322" s="24"/>
      <c r="E322" s="25"/>
      <c r="F322" s="26"/>
      <c r="G322" s="27"/>
      <c r="H322" s="28" t="str">
        <f t="shared" si="29"/>
        <v/>
      </c>
      <c r="I322" s="28" t="str">
        <f t="shared" si="29"/>
        <v/>
      </c>
      <c r="J322" s="28" t="str">
        <f t="shared" si="29"/>
        <v/>
      </c>
      <c r="K322" s="28" t="str">
        <f t="shared" si="29"/>
        <v/>
      </c>
      <c r="L322" s="29" t="str">
        <f t="shared" si="29"/>
        <v/>
      </c>
      <c r="M322" s="30" t="str">
        <f t="shared" si="27"/>
        <v/>
      </c>
      <c r="Q322" s="20">
        <f t="shared" si="28"/>
        <v>1</v>
      </c>
    </row>
    <row r="323" spans="1:17" ht="13" customHeight="1" x14ac:dyDescent="0.25">
      <c r="B323" s="22">
        <v>44516</v>
      </c>
      <c r="C323" s="42"/>
      <c r="D323" s="24"/>
      <c r="E323" s="25"/>
      <c r="F323" s="26"/>
      <c r="G323" s="27"/>
      <c r="H323" s="28" t="str">
        <f t="shared" si="29"/>
        <v/>
      </c>
      <c r="I323" s="28" t="str">
        <f t="shared" si="29"/>
        <v/>
      </c>
      <c r="J323" s="28" t="str">
        <f t="shared" si="29"/>
        <v/>
      </c>
      <c r="K323" s="28" t="str">
        <f t="shared" si="29"/>
        <v/>
      </c>
      <c r="L323" s="29" t="str">
        <f t="shared" si="29"/>
        <v/>
      </c>
      <c r="M323" s="30" t="str">
        <f t="shared" si="27"/>
        <v/>
      </c>
      <c r="Q323" s="20">
        <f t="shared" si="28"/>
        <v>1</v>
      </c>
    </row>
    <row r="324" spans="1:17" ht="13" customHeight="1" x14ac:dyDescent="0.25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9"/>
        <v/>
      </c>
      <c r="I324" s="28" t="str">
        <f t="shared" si="29"/>
        <v/>
      </c>
      <c r="J324" s="28" t="str">
        <f t="shared" si="29"/>
        <v/>
      </c>
      <c r="K324" s="28" t="str">
        <f t="shared" si="29"/>
        <v/>
      </c>
      <c r="L324" s="29" t="str">
        <f t="shared" si="29"/>
        <v/>
      </c>
      <c r="M324" s="30" t="str">
        <f t="shared" si="27"/>
        <v/>
      </c>
      <c r="Q324" s="20">
        <f t="shared" si="28"/>
        <v>1</v>
      </c>
    </row>
    <row r="325" spans="1:17" ht="13" customHeight="1" x14ac:dyDescent="0.25">
      <c r="B325" s="22">
        <v>44518</v>
      </c>
      <c r="C325" s="42"/>
      <c r="D325" s="24"/>
      <c r="E325" s="25"/>
      <c r="F325" s="26"/>
      <c r="G325" s="27"/>
      <c r="H325" s="28" t="str">
        <f t="shared" si="29"/>
        <v/>
      </c>
      <c r="I325" s="28" t="str">
        <f t="shared" si="29"/>
        <v/>
      </c>
      <c r="J325" s="28" t="str">
        <f t="shared" si="29"/>
        <v/>
      </c>
      <c r="K325" s="28" t="str">
        <f t="shared" si="29"/>
        <v/>
      </c>
      <c r="L325" s="29" t="str">
        <f t="shared" si="29"/>
        <v/>
      </c>
      <c r="M325" s="30" t="str">
        <f t="shared" si="27"/>
        <v/>
      </c>
      <c r="Q325" s="20">
        <f t="shared" si="28"/>
        <v>1</v>
      </c>
    </row>
    <row r="326" spans="1:17" ht="13" customHeight="1" x14ac:dyDescent="0.25">
      <c r="B326" s="22">
        <v>44519</v>
      </c>
      <c r="C326" s="42"/>
      <c r="D326" s="24"/>
      <c r="E326" s="25"/>
      <c r="F326" s="26"/>
      <c r="G326" s="27"/>
      <c r="H326" s="28" t="str">
        <f t="shared" si="29"/>
        <v/>
      </c>
      <c r="I326" s="28" t="str">
        <f t="shared" si="29"/>
        <v/>
      </c>
      <c r="J326" s="28" t="str">
        <f t="shared" si="29"/>
        <v/>
      </c>
      <c r="K326" s="28" t="str">
        <f t="shared" si="29"/>
        <v/>
      </c>
      <c r="L326" s="29" t="str">
        <f t="shared" si="29"/>
        <v/>
      </c>
      <c r="M326" s="30" t="str">
        <f t="shared" ref="M326:M369" si="30">IF(H326="","",+(H326+I326+J326+K326))</f>
        <v/>
      </c>
      <c r="Q326" s="20">
        <f t="shared" si="28"/>
        <v>1</v>
      </c>
    </row>
    <row r="327" spans="1:17" ht="13" customHeight="1" thickBot="1" x14ac:dyDescent="0.3">
      <c r="B327" s="22">
        <v>44520</v>
      </c>
      <c r="C327" s="42"/>
      <c r="D327" s="24"/>
      <c r="E327" s="25"/>
      <c r="F327" s="26"/>
      <c r="G327" s="27"/>
      <c r="H327" s="28" t="str">
        <f t="shared" si="29"/>
        <v/>
      </c>
      <c r="I327" s="28" t="str">
        <f t="shared" si="29"/>
        <v/>
      </c>
      <c r="J327" s="28" t="str">
        <f t="shared" si="29"/>
        <v/>
      </c>
      <c r="K327" s="28" t="str">
        <f t="shared" si="29"/>
        <v/>
      </c>
      <c r="L327" s="29" t="str">
        <f t="shared" si="29"/>
        <v/>
      </c>
      <c r="M327" s="30" t="str">
        <f t="shared" si="30"/>
        <v/>
      </c>
      <c r="Q327" s="20">
        <f t="shared" si="28"/>
        <v>1</v>
      </c>
    </row>
    <row r="328" spans="1:17" ht="13" customHeight="1" x14ac:dyDescent="0.25">
      <c r="B328" s="22">
        <v>44521</v>
      </c>
      <c r="C328" s="42"/>
      <c r="D328" s="24"/>
      <c r="E328" s="25"/>
      <c r="F328" s="26"/>
      <c r="G328" s="27"/>
      <c r="H328" s="28" t="str">
        <f t="shared" si="29"/>
        <v/>
      </c>
      <c r="I328" s="28" t="str">
        <f t="shared" si="29"/>
        <v/>
      </c>
      <c r="J328" s="28" t="str">
        <f t="shared" si="29"/>
        <v/>
      </c>
      <c r="K328" s="28" t="str">
        <f t="shared" si="29"/>
        <v/>
      </c>
      <c r="L328" s="29" t="str">
        <f t="shared" si="29"/>
        <v/>
      </c>
      <c r="M328" s="30" t="str">
        <f t="shared" si="30"/>
        <v/>
      </c>
      <c r="N328" s="159" t="s">
        <v>21</v>
      </c>
      <c r="O328" s="159" t="s">
        <v>22</v>
      </c>
      <c r="Q328" s="20">
        <f t="shared" si="28"/>
        <v>1</v>
      </c>
    </row>
    <row r="329" spans="1:17" ht="13" customHeight="1" x14ac:dyDescent="0.25">
      <c r="B329" s="22">
        <v>44522</v>
      </c>
      <c r="C329" s="42"/>
      <c r="D329" s="24"/>
      <c r="E329" s="25"/>
      <c r="F329" s="26"/>
      <c r="G329" s="27"/>
      <c r="H329" s="28" t="str">
        <f t="shared" si="29"/>
        <v/>
      </c>
      <c r="I329" s="28" t="str">
        <f t="shared" si="29"/>
        <v/>
      </c>
      <c r="J329" s="28" t="str">
        <f t="shared" si="29"/>
        <v/>
      </c>
      <c r="K329" s="28" t="str">
        <f t="shared" si="29"/>
        <v/>
      </c>
      <c r="L329" s="29" t="str">
        <f t="shared" si="29"/>
        <v/>
      </c>
      <c r="M329" s="30" t="str">
        <f t="shared" si="30"/>
        <v/>
      </c>
      <c r="N329" s="160"/>
      <c r="O329" s="160"/>
      <c r="Q329" s="20">
        <f t="shared" si="28"/>
        <v>1</v>
      </c>
    </row>
    <row r="330" spans="1:17" ht="13" customHeight="1" thickBot="1" x14ac:dyDescent="0.3">
      <c r="B330" s="22">
        <v>44523</v>
      </c>
      <c r="C330" s="42"/>
      <c r="D330" s="24"/>
      <c r="E330" s="25"/>
      <c r="F330" s="26"/>
      <c r="G330" s="27"/>
      <c r="H330" s="28" t="str">
        <f t="shared" si="29"/>
        <v/>
      </c>
      <c r="I330" s="28" t="str">
        <f t="shared" si="29"/>
        <v/>
      </c>
      <c r="J330" s="28" t="str">
        <f t="shared" si="29"/>
        <v/>
      </c>
      <c r="K330" s="28" t="str">
        <f t="shared" si="29"/>
        <v/>
      </c>
      <c r="L330" s="29" t="str">
        <f t="shared" si="29"/>
        <v/>
      </c>
      <c r="M330" s="30" t="str">
        <f t="shared" si="30"/>
        <v/>
      </c>
      <c r="N330" s="161"/>
      <c r="O330" s="161"/>
      <c r="Q330" s="20">
        <f t="shared" si="28"/>
        <v>1</v>
      </c>
    </row>
    <row r="331" spans="1:17" ht="13" customHeight="1" thickBot="1" x14ac:dyDescent="0.3">
      <c r="B331" s="22">
        <v>44524</v>
      </c>
      <c r="C331" s="42"/>
      <c r="D331" s="24"/>
      <c r="E331" s="25"/>
      <c r="F331" s="26"/>
      <c r="G331" s="27"/>
      <c r="H331" s="28" t="str">
        <f t="shared" si="29"/>
        <v/>
      </c>
      <c r="I331" s="28" t="str">
        <f t="shared" si="29"/>
        <v/>
      </c>
      <c r="J331" s="28" t="str">
        <f t="shared" si="29"/>
        <v/>
      </c>
      <c r="K331" s="28" t="str">
        <f t="shared" si="29"/>
        <v/>
      </c>
      <c r="L331" s="29" t="str">
        <f t="shared" si="29"/>
        <v/>
      </c>
      <c r="M331" s="30" t="str">
        <f t="shared" si="30"/>
        <v/>
      </c>
      <c r="N331" s="32">
        <f>SUM(L309:L338)</f>
        <v>0</v>
      </c>
      <c r="O331" s="32">
        <f>SUM(M309:M338)</f>
        <v>0</v>
      </c>
      <c r="Q331" s="20">
        <f t="shared" si="28"/>
        <v>1</v>
      </c>
    </row>
    <row r="332" spans="1:17" ht="13" customHeight="1" x14ac:dyDescent="0.25">
      <c r="B332" s="22">
        <v>44525</v>
      </c>
      <c r="C332" s="42"/>
      <c r="D332" s="24"/>
      <c r="E332" s="25"/>
      <c r="F332" s="26"/>
      <c r="G332" s="27"/>
      <c r="H332" s="28" t="str">
        <f t="shared" si="29"/>
        <v/>
      </c>
      <c r="I332" s="28" t="str">
        <f t="shared" si="29"/>
        <v/>
      </c>
      <c r="J332" s="28" t="str">
        <f t="shared" si="29"/>
        <v/>
      </c>
      <c r="K332" s="28" t="str">
        <f t="shared" si="29"/>
        <v/>
      </c>
      <c r="L332" s="29" t="str">
        <f t="shared" si="29"/>
        <v/>
      </c>
      <c r="M332" s="30" t="str">
        <f t="shared" si="30"/>
        <v/>
      </c>
      <c r="N332" s="159" t="s">
        <v>23</v>
      </c>
      <c r="O332" s="159" t="s">
        <v>24</v>
      </c>
      <c r="Q332" s="20">
        <f t="shared" si="28"/>
        <v>1</v>
      </c>
    </row>
    <row r="333" spans="1:17" ht="13" customHeight="1" thickBot="1" x14ac:dyDescent="0.3">
      <c r="B333" s="22">
        <v>44526</v>
      </c>
      <c r="C333" s="42"/>
      <c r="D333" s="24"/>
      <c r="E333" s="25"/>
      <c r="F333" s="26"/>
      <c r="G333" s="27"/>
      <c r="H333" s="28" t="str">
        <f t="shared" si="29"/>
        <v/>
      </c>
      <c r="I333" s="28" t="str">
        <f t="shared" si="29"/>
        <v/>
      </c>
      <c r="J333" s="28" t="str">
        <f t="shared" si="29"/>
        <v/>
      </c>
      <c r="K333" s="28" t="str">
        <f t="shared" si="29"/>
        <v/>
      </c>
      <c r="L333" s="29" t="str">
        <f t="shared" si="29"/>
        <v/>
      </c>
      <c r="M333" s="30" t="str">
        <f t="shared" si="30"/>
        <v/>
      </c>
      <c r="N333" s="161"/>
      <c r="O333" s="161"/>
      <c r="Q333" s="20">
        <f t="shared" si="28"/>
        <v>1</v>
      </c>
    </row>
    <row r="334" spans="1:17" ht="13" customHeight="1" thickBot="1" x14ac:dyDescent="0.3">
      <c r="B334" s="22">
        <v>44527</v>
      </c>
      <c r="C334" s="42"/>
      <c r="D334" s="24"/>
      <c r="E334" s="25"/>
      <c r="F334" s="26"/>
      <c r="G334" s="27"/>
      <c r="H334" s="28" t="str">
        <f t="shared" si="29"/>
        <v/>
      </c>
      <c r="I334" s="28" t="str">
        <f t="shared" si="29"/>
        <v/>
      </c>
      <c r="J334" s="28" t="str">
        <f t="shared" si="29"/>
        <v/>
      </c>
      <c r="K334" s="28" t="str">
        <f t="shared" si="29"/>
        <v/>
      </c>
      <c r="L334" s="29" t="str">
        <f t="shared" si="29"/>
        <v/>
      </c>
      <c r="M334" s="30" t="str">
        <f t="shared" si="30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8"/>
        <v>1</v>
      </c>
    </row>
    <row r="335" spans="1:17" ht="13" customHeight="1" x14ac:dyDescent="0.25">
      <c r="B335" s="22">
        <v>44528</v>
      </c>
      <c r="C335" s="42"/>
      <c r="D335" s="24"/>
      <c r="E335" s="25"/>
      <c r="F335" s="26"/>
      <c r="G335" s="27"/>
      <c r="H335" s="28" t="str">
        <f t="shared" si="29"/>
        <v/>
      </c>
      <c r="I335" s="28" t="str">
        <f t="shared" si="29"/>
        <v/>
      </c>
      <c r="J335" s="28" t="str">
        <f t="shared" si="29"/>
        <v/>
      </c>
      <c r="K335" s="28" t="str">
        <f t="shared" si="29"/>
        <v/>
      </c>
      <c r="L335" s="29" t="str">
        <f t="shared" si="29"/>
        <v/>
      </c>
      <c r="M335" s="30" t="str">
        <f t="shared" si="30"/>
        <v/>
      </c>
      <c r="O335" s="20">
        <f>IF(L335="",1,0)</f>
        <v>1</v>
      </c>
    </row>
    <row r="336" spans="1:17" ht="13" customHeight="1" x14ac:dyDescent="0.25">
      <c r="B336" s="22">
        <v>44529</v>
      </c>
      <c r="C336" s="42"/>
      <c r="D336" s="24"/>
      <c r="E336" s="25"/>
      <c r="F336" s="26"/>
      <c r="G336" s="27"/>
      <c r="H336" s="28" t="str">
        <f t="shared" si="29"/>
        <v/>
      </c>
      <c r="I336" s="28" t="str">
        <f t="shared" si="29"/>
        <v/>
      </c>
      <c r="J336" s="28" t="str">
        <f>IF(E336="","",+(E336-E335))</f>
        <v/>
      </c>
      <c r="K336" s="28" t="str">
        <f t="shared" si="29"/>
        <v/>
      </c>
      <c r="L336" s="29" t="str">
        <f t="shared" si="29"/>
        <v/>
      </c>
      <c r="M336" s="30" t="str">
        <f t="shared" si="30"/>
        <v/>
      </c>
      <c r="O336" s="20">
        <f>IF(L336="",1,0)</f>
        <v>1</v>
      </c>
    </row>
    <row r="337" spans="2:17" ht="13" customHeight="1" x14ac:dyDescent="0.25">
      <c r="B337" s="22">
        <v>44530</v>
      </c>
      <c r="C337" s="42"/>
      <c r="D337" s="24"/>
      <c r="E337" s="25"/>
      <c r="F337" s="26"/>
      <c r="G337" s="27"/>
      <c r="H337" s="28" t="str">
        <f t="shared" si="29"/>
        <v/>
      </c>
      <c r="I337" s="28" t="str">
        <f t="shared" si="29"/>
        <v/>
      </c>
      <c r="J337" s="28" t="str">
        <f>IF(E337="","",+(E337-E336))</f>
        <v/>
      </c>
      <c r="K337" s="28" t="str">
        <f t="shared" si="29"/>
        <v/>
      </c>
      <c r="L337" s="29" t="str">
        <f>IF(G337="","",+(G337-G336))</f>
        <v/>
      </c>
      <c r="M337" s="30" t="str">
        <f t="shared" si="30"/>
        <v/>
      </c>
      <c r="O337" s="20">
        <f>IF(L337="",1,0)</f>
        <v>1</v>
      </c>
    </row>
    <row r="338" spans="2:17" ht="13" customHeight="1" x14ac:dyDescent="0.25">
      <c r="B338" s="22">
        <v>44531</v>
      </c>
      <c r="C338" s="42"/>
      <c r="D338" s="34"/>
      <c r="E338" s="34"/>
      <c r="F338" s="34"/>
      <c r="G338" s="34"/>
      <c r="H338" s="35" t="str">
        <f t="shared" si="29"/>
        <v/>
      </c>
      <c r="I338" s="40" t="str">
        <f t="shared" si="29"/>
        <v/>
      </c>
      <c r="J338" s="35" t="str">
        <f t="shared" si="29"/>
        <v/>
      </c>
      <c r="K338" s="35" t="str">
        <f t="shared" si="29"/>
        <v/>
      </c>
      <c r="L338" s="36" t="str">
        <f t="shared" si="29"/>
        <v/>
      </c>
      <c r="M338" s="35" t="str">
        <f t="shared" si="30"/>
        <v/>
      </c>
      <c r="Q338" s="20">
        <f t="shared" si="28"/>
        <v>1</v>
      </c>
    </row>
    <row r="339" spans="2:17" ht="13" customHeight="1" x14ac:dyDescent="0.25">
      <c r="B339" s="22">
        <v>44532</v>
      </c>
      <c r="C339" s="42"/>
      <c r="D339" s="24"/>
      <c r="E339" s="25"/>
      <c r="F339" s="26"/>
      <c r="G339" s="27"/>
      <c r="H339" s="28" t="str">
        <f t="shared" si="29"/>
        <v/>
      </c>
      <c r="I339" s="28" t="str">
        <f t="shared" si="29"/>
        <v/>
      </c>
      <c r="J339" s="28" t="str">
        <f t="shared" si="29"/>
        <v/>
      </c>
      <c r="K339" s="28" t="str">
        <f t="shared" si="29"/>
        <v/>
      </c>
      <c r="L339" s="29" t="str">
        <f t="shared" si="29"/>
        <v/>
      </c>
      <c r="M339" s="30" t="str">
        <f t="shared" si="30"/>
        <v/>
      </c>
      <c r="Q339" s="20">
        <f t="shared" si="28"/>
        <v>1</v>
      </c>
    </row>
    <row r="340" spans="2:17" ht="13" customHeight="1" x14ac:dyDescent="0.25">
      <c r="B340" s="22">
        <v>44533</v>
      </c>
      <c r="C340" s="42"/>
      <c r="D340" s="24"/>
      <c r="E340" s="25"/>
      <c r="F340" s="26"/>
      <c r="G340" s="27"/>
      <c r="H340" s="28" t="str">
        <f t="shared" si="29"/>
        <v/>
      </c>
      <c r="I340" s="28" t="str">
        <f t="shared" si="29"/>
        <v/>
      </c>
      <c r="J340" s="28" t="str">
        <f t="shared" si="29"/>
        <v/>
      </c>
      <c r="K340" s="28" t="str">
        <f t="shared" si="29"/>
        <v/>
      </c>
      <c r="L340" s="29" t="str">
        <f t="shared" si="29"/>
        <v/>
      </c>
      <c r="M340" s="30" t="str">
        <f t="shared" si="30"/>
        <v/>
      </c>
      <c r="Q340" s="20">
        <f t="shared" si="28"/>
        <v>1</v>
      </c>
    </row>
    <row r="341" spans="2:17" ht="13" customHeight="1" x14ac:dyDescent="0.25">
      <c r="B341" s="22">
        <v>44534</v>
      </c>
      <c r="C341" s="42"/>
      <c r="D341" s="24"/>
      <c r="E341" s="25"/>
      <c r="F341" s="26"/>
      <c r="G341" s="27"/>
      <c r="H341" s="28" t="str">
        <f t="shared" si="29"/>
        <v/>
      </c>
      <c r="I341" s="28" t="str">
        <f t="shared" si="29"/>
        <v/>
      </c>
      <c r="J341" s="28" t="str">
        <f t="shared" si="29"/>
        <v/>
      </c>
      <c r="K341" s="28" t="str">
        <f t="shared" si="29"/>
        <v/>
      </c>
      <c r="L341" s="29" t="str">
        <f t="shared" si="29"/>
        <v/>
      </c>
      <c r="M341" s="30" t="str">
        <f t="shared" si="30"/>
        <v/>
      </c>
      <c r="Q341" s="20">
        <f t="shared" si="28"/>
        <v>1</v>
      </c>
    </row>
    <row r="342" spans="2:17" ht="13" customHeight="1" x14ac:dyDescent="0.25">
      <c r="B342" s="22">
        <v>44535</v>
      </c>
      <c r="C342" s="42"/>
      <c r="D342" s="24"/>
      <c r="E342" s="25"/>
      <c r="F342" s="26"/>
      <c r="G342" s="27"/>
      <c r="H342" s="28" t="str">
        <f t="shared" si="29"/>
        <v/>
      </c>
      <c r="I342" s="28" t="str">
        <f t="shared" si="29"/>
        <v/>
      </c>
      <c r="J342" s="28" t="str">
        <f t="shared" si="29"/>
        <v/>
      </c>
      <c r="K342" s="28" t="str">
        <f t="shared" si="29"/>
        <v/>
      </c>
      <c r="L342" s="29" t="str">
        <f t="shared" si="29"/>
        <v/>
      </c>
      <c r="M342" s="30" t="str">
        <f t="shared" si="30"/>
        <v/>
      </c>
      <c r="Q342" s="20">
        <f t="shared" si="28"/>
        <v>1</v>
      </c>
    </row>
    <row r="343" spans="2:17" ht="13" customHeight="1" x14ac:dyDescent="0.25">
      <c r="B343" s="22">
        <v>44536</v>
      </c>
      <c r="C343" s="42"/>
      <c r="D343" s="24"/>
      <c r="E343" s="25"/>
      <c r="F343" s="26"/>
      <c r="G343" s="27"/>
      <c r="H343" s="28" t="str">
        <f t="shared" si="29"/>
        <v/>
      </c>
      <c r="I343" s="28" t="str">
        <f t="shared" si="29"/>
        <v/>
      </c>
      <c r="J343" s="28" t="str">
        <f t="shared" si="29"/>
        <v/>
      </c>
      <c r="K343" s="28" t="str">
        <f t="shared" si="29"/>
        <v/>
      </c>
      <c r="L343" s="29" t="str">
        <f t="shared" si="29"/>
        <v/>
      </c>
      <c r="M343" s="30" t="str">
        <f t="shared" si="30"/>
        <v/>
      </c>
      <c r="Q343" s="20">
        <f t="shared" si="28"/>
        <v>1</v>
      </c>
    </row>
    <row r="344" spans="2:17" ht="13" customHeight="1" x14ac:dyDescent="0.25">
      <c r="B344" s="22">
        <v>44537</v>
      </c>
      <c r="C344" s="42"/>
      <c r="D344" s="24"/>
      <c r="E344" s="25"/>
      <c r="F344" s="26"/>
      <c r="G344" s="27"/>
      <c r="H344" s="28" t="str">
        <f t="shared" si="29"/>
        <v/>
      </c>
      <c r="I344" s="28" t="str">
        <f t="shared" si="29"/>
        <v/>
      </c>
      <c r="J344" s="28" t="str">
        <f t="shared" si="29"/>
        <v/>
      </c>
      <c r="K344" s="28" t="str">
        <f t="shared" si="29"/>
        <v/>
      </c>
      <c r="L344" s="29" t="str">
        <f t="shared" si="29"/>
        <v/>
      </c>
      <c r="M344" s="30" t="str">
        <f t="shared" si="30"/>
        <v/>
      </c>
      <c r="Q344" s="20">
        <f t="shared" ref="Q344:Q369" si="31">IF(L344="",1,0)</f>
        <v>1</v>
      </c>
    </row>
    <row r="345" spans="2:17" ht="13" customHeight="1" x14ac:dyDescent="0.25">
      <c r="B345" s="22">
        <v>44538</v>
      </c>
      <c r="C345" s="42"/>
      <c r="D345" s="24"/>
      <c r="E345" s="25"/>
      <c r="F345" s="26"/>
      <c r="G345" s="27"/>
      <c r="H345" s="28" t="str">
        <f t="shared" si="29"/>
        <v/>
      </c>
      <c r="I345" s="28" t="str">
        <f t="shared" si="29"/>
        <v/>
      </c>
      <c r="J345" s="28" t="str">
        <f t="shared" si="29"/>
        <v/>
      </c>
      <c r="K345" s="28" t="str">
        <f t="shared" si="29"/>
        <v/>
      </c>
      <c r="L345" s="29" t="str">
        <f t="shared" si="29"/>
        <v/>
      </c>
      <c r="M345" s="30" t="str">
        <f t="shared" si="30"/>
        <v/>
      </c>
      <c r="Q345" s="20">
        <f t="shared" si="31"/>
        <v>1</v>
      </c>
    </row>
    <row r="346" spans="2:17" ht="13" customHeight="1" x14ac:dyDescent="0.25">
      <c r="B346" s="22">
        <v>44539</v>
      </c>
      <c r="C346" s="42"/>
      <c r="D346" s="24"/>
      <c r="E346" s="25"/>
      <c r="F346" s="26"/>
      <c r="G346" s="27"/>
      <c r="H346" s="28" t="str">
        <f t="shared" si="29"/>
        <v/>
      </c>
      <c r="I346" s="28" t="str">
        <f t="shared" si="29"/>
        <v/>
      </c>
      <c r="J346" s="28" t="str">
        <f t="shared" si="29"/>
        <v/>
      </c>
      <c r="K346" s="28" t="str">
        <f t="shared" si="29"/>
        <v/>
      </c>
      <c r="L346" s="29" t="str">
        <f t="shared" si="29"/>
        <v/>
      </c>
      <c r="M346" s="30" t="str">
        <f t="shared" si="30"/>
        <v/>
      </c>
      <c r="Q346" s="20">
        <f t="shared" si="31"/>
        <v>1</v>
      </c>
    </row>
    <row r="347" spans="2:17" ht="13" customHeight="1" x14ac:dyDescent="0.25">
      <c r="B347" s="22">
        <v>44540</v>
      </c>
      <c r="C347" s="42"/>
      <c r="D347" s="24"/>
      <c r="E347" s="25"/>
      <c r="F347" s="26"/>
      <c r="G347" s="27"/>
      <c r="H347" s="28" t="str">
        <f t="shared" si="29"/>
        <v/>
      </c>
      <c r="I347" s="28" t="str">
        <f t="shared" si="29"/>
        <v/>
      </c>
      <c r="J347" s="28" t="str">
        <f t="shared" si="29"/>
        <v/>
      </c>
      <c r="K347" s="28" t="str">
        <f t="shared" si="29"/>
        <v/>
      </c>
      <c r="L347" s="29" t="str">
        <f t="shared" si="29"/>
        <v/>
      </c>
      <c r="M347" s="30" t="str">
        <f t="shared" si="30"/>
        <v/>
      </c>
      <c r="Q347" s="20">
        <f t="shared" si="31"/>
        <v>1</v>
      </c>
    </row>
    <row r="348" spans="2:17" ht="13" customHeight="1" x14ac:dyDescent="0.25">
      <c r="B348" s="22">
        <v>44541</v>
      </c>
      <c r="C348" s="42"/>
      <c r="D348" s="24"/>
      <c r="E348" s="25"/>
      <c r="F348" s="26"/>
      <c r="G348" s="27"/>
      <c r="H348" s="28" t="str">
        <f t="shared" si="29"/>
        <v/>
      </c>
      <c r="I348" s="28" t="str">
        <f t="shared" si="29"/>
        <v/>
      </c>
      <c r="J348" s="28" t="str">
        <f t="shared" si="29"/>
        <v/>
      </c>
      <c r="K348" s="28" t="str">
        <f t="shared" si="29"/>
        <v/>
      </c>
      <c r="L348" s="29" t="str">
        <f t="shared" si="29"/>
        <v/>
      </c>
      <c r="M348" s="30" t="str">
        <f t="shared" si="30"/>
        <v/>
      </c>
      <c r="Q348" s="20">
        <f t="shared" si="31"/>
        <v>1</v>
      </c>
    </row>
    <row r="349" spans="2:17" ht="13" customHeight="1" x14ac:dyDescent="0.25">
      <c r="B349" s="22">
        <v>44542</v>
      </c>
      <c r="C349" s="42"/>
      <c r="D349" s="24"/>
      <c r="E349" s="25"/>
      <c r="F349" s="26"/>
      <c r="G349" s="27"/>
      <c r="H349" s="28" t="str">
        <f t="shared" si="29"/>
        <v/>
      </c>
      <c r="I349" s="28" t="str">
        <f t="shared" si="29"/>
        <v/>
      </c>
      <c r="J349" s="28" t="str">
        <f t="shared" si="29"/>
        <v/>
      </c>
      <c r="K349" s="28" t="str">
        <f t="shared" si="29"/>
        <v/>
      </c>
      <c r="L349" s="29" t="str">
        <f t="shared" si="29"/>
        <v/>
      </c>
      <c r="M349" s="30" t="str">
        <f t="shared" si="30"/>
        <v/>
      </c>
      <c r="Q349" s="20">
        <f t="shared" si="31"/>
        <v>1</v>
      </c>
    </row>
    <row r="350" spans="2:17" ht="13" customHeight="1" x14ac:dyDescent="0.25">
      <c r="B350" s="22">
        <v>44543</v>
      </c>
      <c r="C350" s="42"/>
      <c r="D350" s="24"/>
      <c r="E350" s="25"/>
      <c r="F350" s="26"/>
      <c r="G350" s="27"/>
      <c r="H350" s="28" t="str">
        <f t="shared" si="29"/>
        <v/>
      </c>
      <c r="I350" s="28" t="str">
        <f t="shared" si="29"/>
        <v/>
      </c>
      <c r="J350" s="28" t="str">
        <f t="shared" si="29"/>
        <v/>
      </c>
      <c r="K350" s="28" t="str">
        <f t="shared" si="29"/>
        <v/>
      </c>
      <c r="L350" s="29" t="str">
        <f t="shared" si="29"/>
        <v/>
      </c>
      <c r="M350" s="30" t="str">
        <f t="shared" si="30"/>
        <v/>
      </c>
      <c r="Q350" s="20">
        <f t="shared" si="31"/>
        <v>1</v>
      </c>
    </row>
    <row r="351" spans="2:17" ht="13" customHeight="1" x14ac:dyDescent="0.25">
      <c r="B351" s="22">
        <v>44544</v>
      </c>
      <c r="C351" s="42"/>
      <c r="D351" s="24"/>
      <c r="E351" s="25"/>
      <c r="F351" s="26"/>
      <c r="G351" s="27"/>
      <c r="H351" s="28" t="str">
        <f t="shared" si="29"/>
        <v/>
      </c>
      <c r="I351" s="28" t="str">
        <f t="shared" si="29"/>
        <v/>
      </c>
      <c r="J351" s="28" t="str">
        <f t="shared" si="29"/>
        <v/>
      </c>
      <c r="K351" s="28" t="str">
        <f t="shared" si="29"/>
        <v/>
      </c>
      <c r="L351" s="29" t="str">
        <f t="shared" si="29"/>
        <v/>
      </c>
      <c r="M351" s="30" t="str">
        <f t="shared" si="30"/>
        <v/>
      </c>
      <c r="Q351" s="20">
        <f t="shared" si="31"/>
        <v>1</v>
      </c>
    </row>
    <row r="352" spans="2:17" ht="13" customHeight="1" x14ac:dyDescent="0.25">
      <c r="B352" s="22">
        <v>44545</v>
      </c>
      <c r="C352" s="42"/>
      <c r="D352" s="24"/>
      <c r="E352" s="25"/>
      <c r="F352" s="26"/>
      <c r="G352" s="27"/>
      <c r="H352" s="28" t="str">
        <f t="shared" si="29"/>
        <v/>
      </c>
      <c r="I352" s="28" t="str">
        <f t="shared" si="29"/>
        <v/>
      </c>
      <c r="J352" s="28" t="str">
        <f t="shared" si="29"/>
        <v/>
      </c>
      <c r="K352" s="28" t="str">
        <f t="shared" si="29"/>
        <v/>
      </c>
      <c r="L352" s="29" t="str">
        <f t="shared" si="29"/>
        <v/>
      </c>
      <c r="M352" s="30" t="str">
        <f t="shared" si="30"/>
        <v/>
      </c>
      <c r="Q352" s="20">
        <f t="shared" si="31"/>
        <v>1</v>
      </c>
    </row>
    <row r="353" spans="2:17" ht="13" customHeight="1" x14ac:dyDescent="0.25">
      <c r="B353" s="22">
        <v>44546</v>
      </c>
      <c r="C353" s="42"/>
      <c r="D353" s="24"/>
      <c r="E353" s="25"/>
      <c r="F353" s="26"/>
      <c r="G353" s="27"/>
      <c r="H353" s="28" t="str">
        <f t="shared" si="29"/>
        <v/>
      </c>
      <c r="I353" s="28" t="str">
        <f t="shared" si="29"/>
        <v/>
      </c>
      <c r="J353" s="28" t="str">
        <f t="shared" si="29"/>
        <v/>
      </c>
      <c r="K353" s="28" t="str">
        <f>IF(F353="","",+(F353-F352))</f>
        <v/>
      </c>
      <c r="L353" s="29" t="str">
        <f t="shared" si="29"/>
        <v/>
      </c>
      <c r="M353" s="30" t="str">
        <f t="shared" si="30"/>
        <v/>
      </c>
      <c r="Q353" s="20">
        <f t="shared" si="31"/>
        <v>1</v>
      </c>
    </row>
    <row r="354" spans="2:17" ht="13" customHeight="1" x14ac:dyDescent="0.25">
      <c r="B354" s="22">
        <v>44547</v>
      </c>
      <c r="C354" s="42"/>
      <c r="D354" s="24"/>
      <c r="E354" s="25"/>
      <c r="F354" s="26"/>
      <c r="G354" s="27"/>
      <c r="H354" s="28" t="str">
        <f t="shared" si="29"/>
        <v/>
      </c>
      <c r="I354" s="28" t="str">
        <f t="shared" si="29"/>
        <v/>
      </c>
      <c r="J354" s="28" t="str">
        <f t="shared" si="29"/>
        <v/>
      </c>
      <c r="K354" s="28" t="str">
        <f t="shared" si="29"/>
        <v/>
      </c>
      <c r="L354" s="29" t="str">
        <f t="shared" si="29"/>
        <v/>
      </c>
      <c r="M354" s="30" t="str">
        <f t="shared" si="30"/>
        <v/>
      </c>
      <c r="Q354" s="20">
        <f t="shared" si="31"/>
        <v>1</v>
      </c>
    </row>
    <row r="355" spans="2:17" ht="13" customHeight="1" x14ac:dyDescent="0.25">
      <c r="B355" s="22">
        <v>44548</v>
      </c>
      <c r="C355" s="42"/>
      <c r="D355" s="24"/>
      <c r="E355" s="25"/>
      <c r="F355" s="26"/>
      <c r="G355" s="27"/>
      <c r="H355" s="28" t="str">
        <f t="shared" si="29"/>
        <v/>
      </c>
      <c r="I355" s="28" t="str">
        <f t="shared" si="29"/>
        <v/>
      </c>
      <c r="J355" s="28" t="str">
        <f t="shared" si="29"/>
        <v/>
      </c>
      <c r="K355" s="28" t="str">
        <f t="shared" si="29"/>
        <v/>
      </c>
      <c r="L355" s="29" t="str">
        <f t="shared" si="29"/>
        <v/>
      </c>
      <c r="M355" s="30" t="str">
        <f t="shared" si="30"/>
        <v/>
      </c>
      <c r="Q355" s="20">
        <f t="shared" si="31"/>
        <v>1</v>
      </c>
    </row>
    <row r="356" spans="2:17" ht="13" customHeight="1" x14ac:dyDescent="0.25">
      <c r="B356" s="22">
        <v>44549</v>
      </c>
      <c r="C356" s="42"/>
      <c r="D356" s="24"/>
      <c r="E356" s="25"/>
      <c r="F356" s="26"/>
      <c r="G356" s="27"/>
      <c r="H356" s="28" t="str">
        <f t="shared" si="29"/>
        <v/>
      </c>
      <c r="I356" s="28" t="str">
        <f t="shared" si="29"/>
        <v/>
      </c>
      <c r="J356" s="28" t="str">
        <f t="shared" si="29"/>
        <v/>
      </c>
      <c r="K356" s="28" t="str">
        <f t="shared" si="29"/>
        <v/>
      </c>
      <c r="L356" s="29" t="str">
        <f t="shared" si="29"/>
        <v/>
      </c>
      <c r="M356" s="30" t="str">
        <f t="shared" si="30"/>
        <v/>
      </c>
      <c r="Q356" s="20">
        <f t="shared" si="31"/>
        <v>1</v>
      </c>
    </row>
    <row r="357" spans="2:17" ht="13" customHeight="1" x14ac:dyDescent="0.25">
      <c r="B357" s="22">
        <v>44550</v>
      </c>
      <c r="C357" s="42"/>
      <c r="D357" s="24"/>
      <c r="E357" s="25"/>
      <c r="F357" s="26"/>
      <c r="G357" s="27"/>
      <c r="H357" s="28" t="str">
        <f t="shared" si="29"/>
        <v/>
      </c>
      <c r="I357" s="28" t="str">
        <f t="shared" si="29"/>
        <v/>
      </c>
      <c r="J357" s="28" t="str">
        <f t="shared" si="29"/>
        <v/>
      </c>
      <c r="K357" s="28" t="str">
        <f t="shared" si="29"/>
        <v/>
      </c>
      <c r="L357" s="29" t="str">
        <f t="shared" si="29"/>
        <v/>
      </c>
      <c r="M357" s="30" t="str">
        <f t="shared" si="30"/>
        <v/>
      </c>
      <c r="Q357" s="20">
        <f t="shared" si="31"/>
        <v>1</v>
      </c>
    </row>
    <row r="358" spans="2:17" ht="13" customHeight="1" thickBot="1" x14ac:dyDescent="0.3">
      <c r="B358" s="22">
        <v>44551</v>
      </c>
      <c r="C358" s="42"/>
      <c r="D358" s="24"/>
      <c r="E358" s="25"/>
      <c r="F358" s="26"/>
      <c r="G358" s="27"/>
      <c r="H358" s="28" t="str">
        <f t="shared" si="29"/>
        <v/>
      </c>
      <c r="I358" s="28" t="str">
        <f t="shared" si="29"/>
        <v/>
      </c>
      <c r="J358" s="28" t="str">
        <f t="shared" si="29"/>
        <v/>
      </c>
      <c r="K358" s="28" t="str">
        <f t="shared" si="29"/>
        <v/>
      </c>
      <c r="L358" s="29" t="str">
        <f t="shared" si="29"/>
        <v/>
      </c>
      <c r="M358" s="30" t="str">
        <f t="shared" si="30"/>
        <v/>
      </c>
      <c r="Q358" s="20">
        <f t="shared" si="31"/>
        <v>1</v>
      </c>
    </row>
    <row r="359" spans="2:17" ht="13" customHeight="1" x14ac:dyDescent="0.25">
      <c r="B359" s="22">
        <v>44552</v>
      </c>
      <c r="C359" s="42"/>
      <c r="D359" s="24"/>
      <c r="E359" s="25"/>
      <c r="F359" s="26"/>
      <c r="G359" s="27"/>
      <c r="H359" s="28" t="str">
        <f t="shared" si="29"/>
        <v/>
      </c>
      <c r="I359" s="28" t="str">
        <f t="shared" si="29"/>
        <v/>
      </c>
      <c r="J359" s="28" t="str">
        <f t="shared" si="29"/>
        <v/>
      </c>
      <c r="K359" s="28" t="str">
        <f t="shared" si="29"/>
        <v/>
      </c>
      <c r="L359" s="29" t="str">
        <f t="shared" si="29"/>
        <v/>
      </c>
      <c r="M359" s="30" t="str">
        <f t="shared" si="30"/>
        <v/>
      </c>
      <c r="N359" s="159" t="s">
        <v>21</v>
      </c>
      <c r="O359" s="159" t="s">
        <v>22</v>
      </c>
      <c r="Q359" s="20">
        <f t="shared" si="31"/>
        <v>1</v>
      </c>
    </row>
    <row r="360" spans="2:17" ht="13" customHeight="1" x14ac:dyDescent="0.25">
      <c r="B360" s="22">
        <v>44553</v>
      </c>
      <c r="C360" s="42"/>
      <c r="D360" s="24"/>
      <c r="E360" s="25"/>
      <c r="F360" s="26"/>
      <c r="G360" s="27"/>
      <c r="H360" s="28" t="str">
        <f t="shared" si="29"/>
        <v/>
      </c>
      <c r="I360" s="28" t="str">
        <f t="shared" si="29"/>
        <v/>
      </c>
      <c r="J360" s="28" t="str">
        <f t="shared" si="29"/>
        <v/>
      </c>
      <c r="K360" s="28" t="str">
        <f t="shared" si="29"/>
        <v/>
      </c>
      <c r="L360" s="29" t="str">
        <f t="shared" si="29"/>
        <v/>
      </c>
      <c r="M360" s="30" t="str">
        <f t="shared" si="30"/>
        <v/>
      </c>
      <c r="N360" s="160"/>
      <c r="O360" s="160"/>
      <c r="Q360" s="20">
        <f t="shared" si="31"/>
        <v>1</v>
      </c>
    </row>
    <row r="361" spans="2:17" ht="13" customHeight="1" thickBot="1" x14ac:dyDescent="0.3">
      <c r="B361" s="22">
        <v>44554</v>
      </c>
      <c r="C361" s="42"/>
      <c r="D361" s="24"/>
      <c r="E361" s="25"/>
      <c r="F361" s="26"/>
      <c r="G361" s="27"/>
      <c r="H361" s="28" t="str">
        <f t="shared" si="29"/>
        <v/>
      </c>
      <c r="I361" s="28" t="str">
        <f t="shared" si="29"/>
        <v/>
      </c>
      <c r="J361" s="28" t="str">
        <f t="shared" si="29"/>
        <v/>
      </c>
      <c r="K361" s="28" t="str">
        <f t="shared" si="29"/>
        <v/>
      </c>
      <c r="L361" s="29" t="str">
        <f t="shared" si="29"/>
        <v/>
      </c>
      <c r="M361" s="30" t="str">
        <f t="shared" si="30"/>
        <v/>
      </c>
      <c r="N361" s="161"/>
      <c r="O361" s="161"/>
      <c r="Q361" s="20">
        <f t="shared" si="31"/>
        <v>1</v>
      </c>
    </row>
    <row r="362" spans="2:17" ht="13" customHeight="1" thickBot="1" x14ac:dyDescent="0.3">
      <c r="B362" s="22">
        <v>44555</v>
      </c>
      <c r="C362" s="42"/>
      <c r="D362" s="24"/>
      <c r="E362" s="25"/>
      <c r="F362" s="26"/>
      <c r="G362" s="27"/>
      <c r="H362" s="28" t="str">
        <f t="shared" si="29"/>
        <v/>
      </c>
      <c r="I362" s="28" t="str">
        <f t="shared" si="29"/>
        <v/>
      </c>
      <c r="J362" s="28" t="str">
        <f t="shared" si="29"/>
        <v/>
      </c>
      <c r="K362" s="28" t="str">
        <f t="shared" si="29"/>
        <v/>
      </c>
      <c r="L362" s="29" t="str">
        <f t="shared" si="29"/>
        <v/>
      </c>
      <c r="M362" s="30" t="str">
        <f t="shared" si="30"/>
        <v/>
      </c>
      <c r="N362" s="32">
        <f>SUM(L339:L369)</f>
        <v>0</v>
      </c>
      <c r="O362" s="32">
        <f>SUM(M339:M369)</f>
        <v>0</v>
      </c>
      <c r="Q362" s="20">
        <f t="shared" si="31"/>
        <v>1</v>
      </c>
    </row>
    <row r="363" spans="2:17" ht="13" customHeight="1" x14ac:dyDescent="0.25">
      <c r="B363" s="22">
        <v>44556</v>
      </c>
      <c r="C363" s="42"/>
      <c r="D363" s="24"/>
      <c r="E363" s="25"/>
      <c r="F363" s="26"/>
      <c r="G363" s="27"/>
      <c r="H363" s="28" t="str">
        <f t="shared" si="29"/>
        <v/>
      </c>
      <c r="I363" s="28" t="str">
        <f t="shared" si="29"/>
        <v/>
      </c>
      <c r="J363" s="28" t="str">
        <f t="shared" si="29"/>
        <v/>
      </c>
      <c r="K363" s="28" t="str">
        <f t="shared" si="29"/>
        <v/>
      </c>
      <c r="L363" s="29" t="str">
        <f t="shared" si="29"/>
        <v/>
      </c>
      <c r="M363" s="30" t="str">
        <f t="shared" si="30"/>
        <v/>
      </c>
      <c r="N363" s="159" t="s">
        <v>23</v>
      </c>
      <c r="O363" s="159" t="s">
        <v>24</v>
      </c>
      <c r="Q363" s="20">
        <f t="shared" si="31"/>
        <v>1</v>
      </c>
    </row>
    <row r="364" spans="2:17" ht="13" customHeight="1" thickBot="1" x14ac:dyDescent="0.3">
      <c r="B364" s="22">
        <v>44557</v>
      </c>
      <c r="C364" s="42"/>
      <c r="D364" s="24"/>
      <c r="E364" s="25"/>
      <c r="F364" s="26"/>
      <c r="G364" s="27"/>
      <c r="H364" s="28" t="str">
        <f t="shared" si="29"/>
        <v/>
      </c>
      <c r="I364" s="28" t="str">
        <f t="shared" si="29"/>
        <v/>
      </c>
      <c r="J364" s="28" t="str">
        <f t="shared" si="29"/>
        <v/>
      </c>
      <c r="K364" s="28" t="str">
        <f t="shared" si="29"/>
        <v/>
      </c>
      <c r="L364" s="29" t="str">
        <f t="shared" si="29"/>
        <v/>
      </c>
      <c r="M364" s="30" t="str">
        <f t="shared" si="30"/>
        <v/>
      </c>
      <c r="N364" s="161"/>
      <c r="O364" s="161"/>
      <c r="Q364" s="20">
        <f t="shared" si="31"/>
        <v>1</v>
      </c>
    </row>
    <row r="365" spans="2:17" ht="13" customHeight="1" thickBot="1" x14ac:dyDescent="0.3">
      <c r="B365" s="22">
        <v>44558</v>
      </c>
      <c r="C365" s="42"/>
      <c r="D365" s="24"/>
      <c r="E365" s="25"/>
      <c r="F365" s="26"/>
      <c r="G365" s="27"/>
      <c r="H365" s="28" t="str">
        <f t="shared" si="29"/>
        <v/>
      </c>
      <c r="I365" s="28" t="str">
        <f t="shared" si="29"/>
        <v/>
      </c>
      <c r="J365" s="28" t="str">
        <f t="shared" si="29"/>
        <v/>
      </c>
      <c r="K365" s="28" t="str">
        <f t="shared" si="29"/>
        <v/>
      </c>
      <c r="L365" s="29" t="str">
        <f t="shared" si="29"/>
        <v/>
      </c>
      <c r="M365" s="30" t="str">
        <f t="shared" si="30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1"/>
        <v>1</v>
      </c>
    </row>
    <row r="366" spans="2:17" ht="13" customHeight="1" x14ac:dyDescent="0.25">
      <c r="B366" s="22">
        <v>44559</v>
      </c>
      <c r="C366" s="42"/>
      <c r="D366" s="24"/>
      <c r="E366" s="25"/>
      <c r="F366" s="26"/>
      <c r="G366" s="27"/>
      <c r="H366" s="28" t="str">
        <f t="shared" si="29"/>
        <v/>
      </c>
      <c r="I366" s="28" t="str">
        <f t="shared" si="29"/>
        <v/>
      </c>
      <c r="J366" s="28" t="str">
        <f t="shared" si="29"/>
        <v/>
      </c>
      <c r="K366" s="28" t="str">
        <f t="shared" si="29"/>
        <v/>
      </c>
      <c r="L366" s="29" t="str">
        <f t="shared" si="29"/>
        <v/>
      </c>
      <c r="M366" s="30" t="str">
        <f t="shared" si="30"/>
        <v/>
      </c>
      <c r="O366" s="20">
        <f>IF(L366="",1,0)</f>
        <v>1</v>
      </c>
    </row>
    <row r="367" spans="2:17" ht="13" customHeight="1" x14ac:dyDescent="0.25">
      <c r="B367" s="22">
        <v>44560</v>
      </c>
      <c r="C367" s="42"/>
      <c r="D367" s="24"/>
      <c r="E367" s="25"/>
      <c r="F367" s="26"/>
      <c r="G367" s="27"/>
      <c r="H367" s="28" t="str">
        <f t="shared" si="29"/>
        <v/>
      </c>
      <c r="I367" s="28" t="str">
        <f t="shared" si="29"/>
        <v/>
      </c>
      <c r="J367" s="28" t="str">
        <f t="shared" si="29"/>
        <v/>
      </c>
      <c r="K367" s="28" t="str">
        <f t="shared" si="29"/>
        <v/>
      </c>
      <c r="L367" s="29" t="str">
        <f t="shared" si="29"/>
        <v/>
      </c>
      <c r="M367" s="30" t="str">
        <f t="shared" si="30"/>
        <v/>
      </c>
      <c r="O367" s="20">
        <f>IF(L367="",1,0)</f>
        <v>1</v>
      </c>
    </row>
    <row r="368" spans="2:17" ht="13" customHeight="1" x14ac:dyDescent="0.25">
      <c r="B368" s="22">
        <v>44561</v>
      </c>
      <c r="C368" s="42"/>
      <c r="D368" s="24"/>
      <c r="E368" s="25"/>
      <c r="F368" s="26"/>
      <c r="G368" s="27"/>
      <c r="H368" s="28" t="str">
        <f t="shared" ref="H368:L369" si="32">IF(C368="","",+(C368-C367))</f>
        <v/>
      </c>
      <c r="I368" s="28" t="str">
        <f t="shared" si="32"/>
        <v/>
      </c>
      <c r="J368" s="28" t="str">
        <f t="shared" si="32"/>
        <v/>
      </c>
      <c r="K368" s="28" t="str">
        <f t="shared" si="32"/>
        <v/>
      </c>
      <c r="L368" s="29" t="str">
        <f t="shared" si="32"/>
        <v/>
      </c>
      <c r="M368" s="30" t="str">
        <f t="shared" si="30"/>
        <v/>
      </c>
      <c r="O368" s="20">
        <f>IF(L368="",1,0)</f>
        <v>1</v>
      </c>
    </row>
    <row r="369" spans="2:17" ht="13" customHeight="1" x14ac:dyDescent="0.25">
      <c r="B369" s="22">
        <v>44562</v>
      </c>
      <c r="C369" s="34"/>
      <c r="D369" s="33"/>
      <c r="E369" s="34"/>
      <c r="F369" s="34"/>
      <c r="G369" s="34"/>
      <c r="H369" s="35" t="str">
        <f t="shared" si="32"/>
        <v/>
      </c>
      <c r="I369" s="35" t="str">
        <f t="shared" si="32"/>
        <v/>
      </c>
      <c r="J369" s="35" t="str">
        <f t="shared" si="32"/>
        <v/>
      </c>
      <c r="K369" s="35" t="str">
        <f t="shared" si="32"/>
        <v/>
      </c>
      <c r="L369" s="36" t="str">
        <f t="shared" si="32"/>
        <v/>
      </c>
      <c r="M369" s="35" t="str">
        <f t="shared" si="30"/>
        <v/>
      </c>
      <c r="Q369" s="20">
        <f t="shared" si="31"/>
        <v>1</v>
      </c>
    </row>
    <row r="370" spans="2:17" ht="13" x14ac:dyDescent="0.35">
      <c r="I370" s="48" t="str">
        <f>IF(D370="","",+(D370-D369))</f>
        <v/>
      </c>
    </row>
    <row r="371" spans="2:17" ht="13" x14ac:dyDescent="0.35">
      <c r="H371" s="41">
        <f t="shared" ref="H371:M371" si="33">SUM(H4:H369)</f>
        <v>0</v>
      </c>
      <c r="I371" s="48">
        <f>SUM(I4:I369)</f>
        <v>173561</v>
      </c>
      <c r="J371" s="41">
        <f t="shared" si="33"/>
        <v>8190</v>
      </c>
      <c r="K371" s="41">
        <f t="shared" si="33"/>
        <v>7488</v>
      </c>
      <c r="L371" s="41">
        <f t="shared" si="33"/>
        <v>7079</v>
      </c>
      <c r="M371" s="41">
        <f t="shared" si="33"/>
        <v>189239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4" priority="1" stopIfTrue="1" operator="between">
      <formula>0.2</formula>
      <formula>100</formula>
    </cfRule>
  </conditionalFormatting>
  <conditionalFormatting sqref="M3">
    <cfRule type="cellIs" dxfId="3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G1:G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WVO1:WVO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46" workbookViewId="0">
      <selection activeCell="F69" sqref="F69"/>
    </sheetView>
  </sheetViews>
  <sheetFormatPr defaultColWidth="9.1796875" defaultRowHeight="14.5" x14ac:dyDescent="0.35"/>
  <cols>
    <col min="1" max="1" width="10.81640625" style="153" customWidth="1"/>
    <col min="2" max="2" width="0.1796875" style="1" customWidth="1"/>
    <col min="3" max="3" width="4.453125" style="1" hidden="1" customWidth="1"/>
    <col min="4" max="4" width="13.54296875" style="143" customWidth="1"/>
    <col min="5" max="5" width="10" style="143" customWidth="1"/>
    <col min="6" max="6" width="9.7265625" style="143" customWidth="1"/>
    <col min="7" max="7" width="11.26953125" style="68" hidden="1" customWidth="1"/>
    <col min="8" max="8" width="11.26953125" style="68" customWidth="1"/>
    <col min="9" max="9" width="11.7265625" style="68" customWidth="1"/>
    <col min="10" max="10" width="12" style="68" customWidth="1"/>
    <col min="11" max="11" width="10.453125" style="68" customWidth="1"/>
    <col min="12" max="12" width="12.7265625" style="68" bestFit="1" customWidth="1"/>
    <col min="13" max="13" width="10.7265625" style="68" bestFit="1" customWidth="1"/>
    <col min="14" max="14" width="14.1796875" style="68" bestFit="1" customWidth="1"/>
    <col min="15" max="15" width="13.81640625" style="1" customWidth="1"/>
    <col min="16" max="16" width="14.81640625" style="1" customWidth="1"/>
    <col min="17" max="17" width="15" style="1" customWidth="1"/>
    <col min="18" max="18" width="11" style="20" customWidth="1"/>
    <col min="19" max="19" width="8.7265625" style="6" customWidth="1"/>
    <col min="20" max="20" width="12.26953125" style="21" customWidth="1"/>
    <col min="21" max="21" width="11.54296875" style="1" bestFit="1" customWidth="1"/>
    <col min="22" max="22" width="8.7265625" style="6" customWidth="1"/>
    <col min="23" max="25" width="9.1796875" style="1"/>
    <col min="26" max="26" width="11.54296875" style="1" bestFit="1" customWidth="1"/>
    <col min="27" max="256" width="9.1796875" style="1"/>
    <col min="257" max="257" width="10.81640625" style="1" customWidth="1"/>
    <col min="258" max="258" width="0.1796875" style="1" customWidth="1"/>
    <col min="259" max="259" width="0" style="1" hidden="1" customWidth="1"/>
    <col min="260" max="260" width="13.54296875" style="1" customWidth="1"/>
    <col min="261" max="261" width="10" style="1" customWidth="1"/>
    <col min="262" max="262" width="9.7265625" style="1" customWidth="1"/>
    <col min="263" max="263" width="0" style="1" hidden="1" customWidth="1"/>
    <col min="264" max="264" width="11.26953125" style="1" customWidth="1"/>
    <col min="265" max="265" width="11.7265625" style="1" customWidth="1"/>
    <col min="266" max="266" width="12" style="1" customWidth="1"/>
    <col min="267" max="267" width="10.453125" style="1" customWidth="1"/>
    <col min="268" max="268" width="12.7265625" style="1" bestFit="1" customWidth="1"/>
    <col min="269" max="269" width="10.7265625" style="1" bestFit="1" customWidth="1"/>
    <col min="270" max="270" width="14.1796875" style="1" bestFit="1" customWidth="1"/>
    <col min="271" max="271" width="13.81640625" style="1" customWidth="1"/>
    <col min="272" max="272" width="14.81640625" style="1" customWidth="1"/>
    <col min="273" max="273" width="15" style="1" customWidth="1"/>
    <col min="274" max="274" width="11" style="1" customWidth="1"/>
    <col min="275" max="275" width="8.7265625" style="1" customWidth="1"/>
    <col min="276" max="276" width="12.26953125" style="1" customWidth="1"/>
    <col min="277" max="277" width="11.54296875" style="1" bestFit="1" customWidth="1"/>
    <col min="278" max="278" width="8.7265625" style="1" customWidth="1"/>
    <col min="279" max="281" width="9.1796875" style="1"/>
    <col min="282" max="282" width="11.54296875" style="1" bestFit="1" customWidth="1"/>
    <col min="283" max="512" width="9.1796875" style="1"/>
    <col min="513" max="513" width="10.81640625" style="1" customWidth="1"/>
    <col min="514" max="514" width="0.1796875" style="1" customWidth="1"/>
    <col min="515" max="515" width="0" style="1" hidden="1" customWidth="1"/>
    <col min="516" max="516" width="13.54296875" style="1" customWidth="1"/>
    <col min="517" max="517" width="10" style="1" customWidth="1"/>
    <col min="518" max="518" width="9.7265625" style="1" customWidth="1"/>
    <col min="519" max="519" width="0" style="1" hidden="1" customWidth="1"/>
    <col min="520" max="520" width="11.26953125" style="1" customWidth="1"/>
    <col min="521" max="521" width="11.7265625" style="1" customWidth="1"/>
    <col min="522" max="522" width="12" style="1" customWidth="1"/>
    <col min="523" max="523" width="10.453125" style="1" customWidth="1"/>
    <col min="524" max="524" width="12.7265625" style="1" bestFit="1" customWidth="1"/>
    <col min="525" max="525" width="10.7265625" style="1" bestFit="1" customWidth="1"/>
    <col min="526" max="526" width="14.1796875" style="1" bestFit="1" customWidth="1"/>
    <col min="527" max="527" width="13.81640625" style="1" customWidth="1"/>
    <col min="528" max="528" width="14.81640625" style="1" customWidth="1"/>
    <col min="529" max="529" width="15" style="1" customWidth="1"/>
    <col min="530" max="530" width="11" style="1" customWidth="1"/>
    <col min="531" max="531" width="8.7265625" style="1" customWidth="1"/>
    <col min="532" max="532" width="12.26953125" style="1" customWidth="1"/>
    <col min="533" max="533" width="11.54296875" style="1" bestFit="1" customWidth="1"/>
    <col min="534" max="534" width="8.7265625" style="1" customWidth="1"/>
    <col min="535" max="537" width="9.1796875" style="1"/>
    <col min="538" max="538" width="11.54296875" style="1" bestFit="1" customWidth="1"/>
    <col min="539" max="768" width="9.1796875" style="1"/>
    <col min="769" max="769" width="10.81640625" style="1" customWidth="1"/>
    <col min="770" max="770" width="0.1796875" style="1" customWidth="1"/>
    <col min="771" max="771" width="0" style="1" hidden="1" customWidth="1"/>
    <col min="772" max="772" width="13.54296875" style="1" customWidth="1"/>
    <col min="773" max="773" width="10" style="1" customWidth="1"/>
    <col min="774" max="774" width="9.7265625" style="1" customWidth="1"/>
    <col min="775" max="775" width="0" style="1" hidden="1" customWidth="1"/>
    <col min="776" max="776" width="11.26953125" style="1" customWidth="1"/>
    <col min="777" max="777" width="11.7265625" style="1" customWidth="1"/>
    <col min="778" max="778" width="12" style="1" customWidth="1"/>
    <col min="779" max="779" width="10.453125" style="1" customWidth="1"/>
    <col min="780" max="780" width="12.7265625" style="1" bestFit="1" customWidth="1"/>
    <col min="781" max="781" width="10.7265625" style="1" bestFit="1" customWidth="1"/>
    <col min="782" max="782" width="14.1796875" style="1" bestFit="1" customWidth="1"/>
    <col min="783" max="783" width="13.81640625" style="1" customWidth="1"/>
    <col min="784" max="784" width="14.81640625" style="1" customWidth="1"/>
    <col min="785" max="785" width="15" style="1" customWidth="1"/>
    <col min="786" max="786" width="11" style="1" customWidth="1"/>
    <col min="787" max="787" width="8.7265625" style="1" customWidth="1"/>
    <col min="788" max="788" width="12.26953125" style="1" customWidth="1"/>
    <col min="789" max="789" width="11.54296875" style="1" bestFit="1" customWidth="1"/>
    <col min="790" max="790" width="8.7265625" style="1" customWidth="1"/>
    <col min="791" max="793" width="9.1796875" style="1"/>
    <col min="794" max="794" width="11.54296875" style="1" bestFit="1" customWidth="1"/>
    <col min="795" max="1024" width="9.1796875" style="1"/>
    <col min="1025" max="1025" width="10.81640625" style="1" customWidth="1"/>
    <col min="1026" max="1026" width="0.1796875" style="1" customWidth="1"/>
    <col min="1027" max="1027" width="0" style="1" hidden="1" customWidth="1"/>
    <col min="1028" max="1028" width="13.54296875" style="1" customWidth="1"/>
    <col min="1029" max="1029" width="10" style="1" customWidth="1"/>
    <col min="1030" max="1030" width="9.7265625" style="1" customWidth="1"/>
    <col min="1031" max="1031" width="0" style="1" hidden="1" customWidth="1"/>
    <col min="1032" max="1032" width="11.26953125" style="1" customWidth="1"/>
    <col min="1033" max="1033" width="11.7265625" style="1" customWidth="1"/>
    <col min="1034" max="1034" width="12" style="1" customWidth="1"/>
    <col min="1035" max="1035" width="10.453125" style="1" customWidth="1"/>
    <col min="1036" max="1036" width="12.7265625" style="1" bestFit="1" customWidth="1"/>
    <col min="1037" max="1037" width="10.7265625" style="1" bestFit="1" customWidth="1"/>
    <col min="1038" max="1038" width="14.1796875" style="1" bestFit="1" customWidth="1"/>
    <col min="1039" max="1039" width="13.81640625" style="1" customWidth="1"/>
    <col min="1040" max="1040" width="14.81640625" style="1" customWidth="1"/>
    <col min="1041" max="1041" width="15" style="1" customWidth="1"/>
    <col min="1042" max="1042" width="11" style="1" customWidth="1"/>
    <col min="1043" max="1043" width="8.7265625" style="1" customWidth="1"/>
    <col min="1044" max="1044" width="12.26953125" style="1" customWidth="1"/>
    <col min="1045" max="1045" width="11.54296875" style="1" bestFit="1" customWidth="1"/>
    <col min="1046" max="1046" width="8.7265625" style="1" customWidth="1"/>
    <col min="1047" max="1049" width="9.1796875" style="1"/>
    <col min="1050" max="1050" width="11.54296875" style="1" bestFit="1" customWidth="1"/>
    <col min="1051" max="1280" width="9.1796875" style="1"/>
    <col min="1281" max="1281" width="10.81640625" style="1" customWidth="1"/>
    <col min="1282" max="1282" width="0.1796875" style="1" customWidth="1"/>
    <col min="1283" max="1283" width="0" style="1" hidden="1" customWidth="1"/>
    <col min="1284" max="1284" width="13.54296875" style="1" customWidth="1"/>
    <col min="1285" max="1285" width="10" style="1" customWidth="1"/>
    <col min="1286" max="1286" width="9.7265625" style="1" customWidth="1"/>
    <col min="1287" max="1287" width="0" style="1" hidden="1" customWidth="1"/>
    <col min="1288" max="1288" width="11.26953125" style="1" customWidth="1"/>
    <col min="1289" max="1289" width="11.7265625" style="1" customWidth="1"/>
    <col min="1290" max="1290" width="12" style="1" customWidth="1"/>
    <col min="1291" max="1291" width="10.453125" style="1" customWidth="1"/>
    <col min="1292" max="1292" width="12.7265625" style="1" bestFit="1" customWidth="1"/>
    <col min="1293" max="1293" width="10.7265625" style="1" bestFit="1" customWidth="1"/>
    <col min="1294" max="1294" width="14.1796875" style="1" bestFit="1" customWidth="1"/>
    <col min="1295" max="1295" width="13.81640625" style="1" customWidth="1"/>
    <col min="1296" max="1296" width="14.81640625" style="1" customWidth="1"/>
    <col min="1297" max="1297" width="15" style="1" customWidth="1"/>
    <col min="1298" max="1298" width="11" style="1" customWidth="1"/>
    <col min="1299" max="1299" width="8.7265625" style="1" customWidth="1"/>
    <col min="1300" max="1300" width="12.26953125" style="1" customWidth="1"/>
    <col min="1301" max="1301" width="11.54296875" style="1" bestFit="1" customWidth="1"/>
    <col min="1302" max="1302" width="8.7265625" style="1" customWidth="1"/>
    <col min="1303" max="1305" width="9.1796875" style="1"/>
    <col min="1306" max="1306" width="11.54296875" style="1" bestFit="1" customWidth="1"/>
    <col min="1307" max="1536" width="9.1796875" style="1"/>
    <col min="1537" max="1537" width="10.81640625" style="1" customWidth="1"/>
    <col min="1538" max="1538" width="0.1796875" style="1" customWidth="1"/>
    <col min="1539" max="1539" width="0" style="1" hidden="1" customWidth="1"/>
    <col min="1540" max="1540" width="13.54296875" style="1" customWidth="1"/>
    <col min="1541" max="1541" width="10" style="1" customWidth="1"/>
    <col min="1542" max="1542" width="9.7265625" style="1" customWidth="1"/>
    <col min="1543" max="1543" width="0" style="1" hidden="1" customWidth="1"/>
    <col min="1544" max="1544" width="11.26953125" style="1" customWidth="1"/>
    <col min="1545" max="1545" width="11.7265625" style="1" customWidth="1"/>
    <col min="1546" max="1546" width="12" style="1" customWidth="1"/>
    <col min="1547" max="1547" width="10.453125" style="1" customWidth="1"/>
    <col min="1548" max="1548" width="12.7265625" style="1" bestFit="1" customWidth="1"/>
    <col min="1549" max="1549" width="10.7265625" style="1" bestFit="1" customWidth="1"/>
    <col min="1550" max="1550" width="14.1796875" style="1" bestFit="1" customWidth="1"/>
    <col min="1551" max="1551" width="13.81640625" style="1" customWidth="1"/>
    <col min="1552" max="1552" width="14.81640625" style="1" customWidth="1"/>
    <col min="1553" max="1553" width="15" style="1" customWidth="1"/>
    <col min="1554" max="1554" width="11" style="1" customWidth="1"/>
    <col min="1555" max="1555" width="8.7265625" style="1" customWidth="1"/>
    <col min="1556" max="1556" width="12.26953125" style="1" customWidth="1"/>
    <col min="1557" max="1557" width="11.54296875" style="1" bestFit="1" customWidth="1"/>
    <col min="1558" max="1558" width="8.7265625" style="1" customWidth="1"/>
    <col min="1559" max="1561" width="9.1796875" style="1"/>
    <col min="1562" max="1562" width="11.54296875" style="1" bestFit="1" customWidth="1"/>
    <col min="1563" max="1792" width="9.1796875" style="1"/>
    <col min="1793" max="1793" width="10.81640625" style="1" customWidth="1"/>
    <col min="1794" max="1794" width="0.1796875" style="1" customWidth="1"/>
    <col min="1795" max="1795" width="0" style="1" hidden="1" customWidth="1"/>
    <col min="1796" max="1796" width="13.54296875" style="1" customWidth="1"/>
    <col min="1797" max="1797" width="10" style="1" customWidth="1"/>
    <col min="1798" max="1798" width="9.7265625" style="1" customWidth="1"/>
    <col min="1799" max="1799" width="0" style="1" hidden="1" customWidth="1"/>
    <col min="1800" max="1800" width="11.26953125" style="1" customWidth="1"/>
    <col min="1801" max="1801" width="11.7265625" style="1" customWidth="1"/>
    <col min="1802" max="1802" width="12" style="1" customWidth="1"/>
    <col min="1803" max="1803" width="10.453125" style="1" customWidth="1"/>
    <col min="1804" max="1804" width="12.7265625" style="1" bestFit="1" customWidth="1"/>
    <col min="1805" max="1805" width="10.7265625" style="1" bestFit="1" customWidth="1"/>
    <col min="1806" max="1806" width="14.1796875" style="1" bestFit="1" customWidth="1"/>
    <col min="1807" max="1807" width="13.81640625" style="1" customWidth="1"/>
    <col min="1808" max="1808" width="14.81640625" style="1" customWidth="1"/>
    <col min="1809" max="1809" width="15" style="1" customWidth="1"/>
    <col min="1810" max="1810" width="11" style="1" customWidth="1"/>
    <col min="1811" max="1811" width="8.7265625" style="1" customWidth="1"/>
    <col min="1812" max="1812" width="12.26953125" style="1" customWidth="1"/>
    <col min="1813" max="1813" width="11.54296875" style="1" bestFit="1" customWidth="1"/>
    <col min="1814" max="1814" width="8.7265625" style="1" customWidth="1"/>
    <col min="1815" max="1817" width="9.1796875" style="1"/>
    <col min="1818" max="1818" width="11.54296875" style="1" bestFit="1" customWidth="1"/>
    <col min="1819" max="2048" width="9.1796875" style="1"/>
    <col min="2049" max="2049" width="10.81640625" style="1" customWidth="1"/>
    <col min="2050" max="2050" width="0.1796875" style="1" customWidth="1"/>
    <col min="2051" max="2051" width="0" style="1" hidden="1" customWidth="1"/>
    <col min="2052" max="2052" width="13.54296875" style="1" customWidth="1"/>
    <col min="2053" max="2053" width="10" style="1" customWidth="1"/>
    <col min="2054" max="2054" width="9.7265625" style="1" customWidth="1"/>
    <col min="2055" max="2055" width="0" style="1" hidden="1" customWidth="1"/>
    <col min="2056" max="2056" width="11.26953125" style="1" customWidth="1"/>
    <col min="2057" max="2057" width="11.7265625" style="1" customWidth="1"/>
    <col min="2058" max="2058" width="12" style="1" customWidth="1"/>
    <col min="2059" max="2059" width="10.453125" style="1" customWidth="1"/>
    <col min="2060" max="2060" width="12.7265625" style="1" bestFit="1" customWidth="1"/>
    <col min="2061" max="2061" width="10.7265625" style="1" bestFit="1" customWidth="1"/>
    <col min="2062" max="2062" width="14.1796875" style="1" bestFit="1" customWidth="1"/>
    <col min="2063" max="2063" width="13.81640625" style="1" customWidth="1"/>
    <col min="2064" max="2064" width="14.81640625" style="1" customWidth="1"/>
    <col min="2065" max="2065" width="15" style="1" customWidth="1"/>
    <col min="2066" max="2066" width="11" style="1" customWidth="1"/>
    <col min="2067" max="2067" width="8.7265625" style="1" customWidth="1"/>
    <col min="2068" max="2068" width="12.26953125" style="1" customWidth="1"/>
    <col min="2069" max="2069" width="11.54296875" style="1" bestFit="1" customWidth="1"/>
    <col min="2070" max="2070" width="8.7265625" style="1" customWidth="1"/>
    <col min="2071" max="2073" width="9.1796875" style="1"/>
    <col min="2074" max="2074" width="11.54296875" style="1" bestFit="1" customWidth="1"/>
    <col min="2075" max="2304" width="9.1796875" style="1"/>
    <col min="2305" max="2305" width="10.81640625" style="1" customWidth="1"/>
    <col min="2306" max="2306" width="0.1796875" style="1" customWidth="1"/>
    <col min="2307" max="2307" width="0" style="1" hidden="1" customWidth="1"/>
    <col min="2308" max="2308" width="13.54296875" style="1" customWidth="1"/>
    <col min="2309" max="2309" width="10" style="1" customWidth="1"/>
    <col min="2310" max="2310" width="9.7265625" style="1" customWidth="1"/>
    <col min="2311" max="2311" width="0" style="1" hidden="1" customWidth="1"/>
    <col min="2312" max="2312" width="11.26953125" style="1" customWidth="1"/>
    <col min="2313" max="2313" width="11.7265625" style="1" customWidth="1"/>
    <col min="2314" max="2314" width="12" style="1" customWidth="1"/>
    <col min="2315" max="2315" width="10.453125" style="1" customWidth="1"/>
    <col min="2316" max="2316" width="12.7265625" style="1" bestFit="1" customWidth="1"/>
    <col min="2317" max="2317" width="10.7265625" style="1" bestFit="1" customWidth="1"/>
    <col min="2318" max="2318" width="14.1796875" style="1" bestFit="1" customWidth="1"/>
    <col min="2319" max="2319" width="13.81640625" style="1" customWidth="1"/>
    <col min="2320" max="2320" width="14.81640625" style="1" customWidth="1"/>
    <col min="2321" max="2321" width="15" style="1" customWidth="1"/>
    <col min="2322" max="2322" width="11" style="1" customWidth="1"/>
    <col min="2323" max="2323" width="8.7265625" style="1" customWidth="1"/>
    <col min="2324" max="2324" width="12.26953125" style="1" customWidth="1"/>
    <col min="2325" max="2325" width="11.54296875" style="1" bestFit="1" customWidth="1"/>
    <col min="2326" max="2326" width="8.7265625" style="1" customWidth="1"/>
    <col min="2327" max="2329" width="9.1796875" style="1"/>
    <col min="2330" max="2330" width="11.54296875" style="1" bestFit="1" customWidth="1"/>
    <col min="2331" max="2560" width="9.1796875" style="1"/>
    <col min="2561" max="2561" width="10.81640625" style="1" customWidth="1"/>
    <col min="2562" max="2562" width="0.1796875" style="1" customWidth="1"/>
    <col min="2563" max="2563" width="0" style="1" hidden="1" customWidth="1"/>
    <col min="2564" max="2564" width="13.54296875" style="1" customWidth="1"/>
    <col min="2565" max="2565" width="10" style="1" customWidth="1"/>
    <col min="2566" max="2566" width="9.7265625" style="1" customWidth="1"/>
    <col min="2567" max="2567" width="0" style="1" hidden="1" customWidth="1"/>
    <col min="2568" max="2568" width="11.26953125" style="1" customWidth="1"/>
    <col min="2569" max="2569" width="11.7265625" style="1" customWidth="1"/>
    <col min="2570" max="2570" width="12" style="1" customWidth="1"/>
    <col min="2571" max="2571" width="10.453125" style="1" customWidth="1"/>
    <col min="2572" max="2572" width="12.7265625" style="1" bestFit="1" customWidth="1"/>
    <col min="2573" max="2573" width="10.7265625" style="1" bestFit="1" customWidth="1"/>
    <col min="2574" max="2574" width="14.1796875" style="1" bestFit="1" customWidth="1"/>
    <col min="2575" max="2575" width="13.81640625" style="1" customWidth="1"/>
    <col min="2576" max="2576" width="14.81640625" style="1" customWidth="1"/>
    <col min="2577" max="2577" width="15" style="1" customWidth="1"/>
    <col min="2578" max="2578" width="11" style="1" customWidth="1"/>
    <col min="2579" max="2579" width="8.7265625" style="1" customWidth="1"/>
    <col min="2580" max="2580" width="12.26953125" style="1" customWidth="1"/>
    <col min="2581" max="2581" width="11.54296875" style="1" bestFit="1" customWidth="1"/>
    <col min="2582" max="2582" width="8.7265625" style="1" customWidth="1"/>
    <col min="2583" max="2585" width="9.1796875" style="1"/>
    <col min="2586" max="2586" width="11.54296875" style="1" bestFit="1" customWidth="1"/>
    <col min="2587" max="2816" width="9.1796875" style="1"/>
    <col min="2817" max="2817" width="10.81640625" style="1" customWidth="1"/>
    <col min="2818" max="2818" width="0.1796875" style="1" customWidth="1"/>
    <col min="2819" max="2819" width="0" style="1" hidden="1" customWidth="1"/>
    <col min="2820" max="2820" width="13.54296875" style="1" customWidth="1"/>
    <col min="2821" max="2821" width="10" style="1" customWidth="1"/>
    <col min="2822" max="2822" width="9.7265625" style="1" customWidth="1"/>
    <col min="2823" max="2823" width="0" style="1" hidden="1" customWidth="1"/>
    <col min="2824" max="2824" width="11.26953125" style="1" customWidth="1"/>
    <col min="2825" max="2825" width="11.7265625" style="1" customWidth="1"/>
    <col min="2826" max="2826" width="12" style="1" customWidth="1"/>
    <col min="2827" max="2827" width="10.453125" style="1" customWidth="1"/>
    <col min="2828" max="2828" width="12.7265625" style="1" bestFit="1" customWidth="1"/>
    <col min="2829" max="2829" width="10.7265625" style="1" bestFit="1" customWidth="1"/>
    <col min="2830" max="2830" width="14.1796875" style="1" bestFit="1" customWidth="1"/>
    <col min="2831" max="2831" width="13.81640625" style="1" customWidth="1"/>
    <col min="2832" max="2832" width="14.81640625" style="1" customWidth="1"/>
    <col min="2833" max="2833" width="15" style="1" customWidth="1"/>
    <col min="2834" max="2834" width="11" style="1" customWidth="1"/>
    <col min="2835" max="2835" width="8.7265625" style="1" customWidth="1"/>
    <col min="2836" max="2836" width="12.26953125" style="1" customWidth="1"/>
    <col min="2837" max="2837" width="11.54296875" style="1" bestFit="1" customWidth="1"/>
    <col min="2838" max="2838" width="8.7265625" style="1" customWidth="1"/>
    <col min="2839" max="2841" width="9.1796875" style="1"/>
    <col min="2842" max="2842" width="11.54296875" style="1" bestFit="1" customWidth="1"/>
    <col min="2843" max="3072" width="9.1796875" style="1"/>
    <col min="3073" max="3073" width="10.81640625" style="1" customWidth="1"/>
    <col min="3074" max="3074" width="0.1796875" style="1" customWidth="1"/>
    <col min="3075" max="3075" width="0" style="1" hidden="1" customWidth="1"/>
    <col min="3076" max="3076" width="13.54296875" style="1" customWidth="1"/>
    <col min="3077" max="3077" width="10" style="1" customWidth="1"/>
    <col min="3078" max="3078" width="9.7265625" style="1" customWidth="1"/>
    <col min="3079" max="3079" width="0" style="1" hidden="1" customWidth="1"/>
    <col min="3080" max="3080" width="11.26953125" style="1" customWidth="1"/>
    <col min="3081" max="3081" width="11.7265625" style="1" customWidth="1"/>
    <col min="3082" max="3082" width="12" style="1" customWidth="1"/>
    <col min="3083" max="3083" width="10.453125" style="1" customWidth="1"/>
    <col min="3084" max="3084" width="12.7265625" style="1" bestFit="1" customWidth="1"/>
    <col min="3085" max="3085" width="10.7265625" style="1" bestFit="1" customWidth="1"/>
    <col min="3086" max="3086" width="14.1796875" style="1" bestFit="1" customWidth="1"/>
    <col min="3087" max="3087" width="13.81640625" style="1" customWidth="1"/>
    <col min="3088" max="3088" width="14.81640625" style="1" customWidth="1"/>
    <col min="3089" max="3089" width="15" style="1" customWidth="1"/>
    <col min="3090" max="3090" width="11" style="1" customWidth="1"/>
    <col min="3091" max="3091" width="8.7265625" style="1" customWidth="1"/>
    <col min="3092" max="3092" width="12.26953125" style="1" customWidth="1"/>
    <col min="3093" max="3093" width="11.54296875" style="1" bestFit="1" customWidth="1"/>
    <col min="3094" max="3094" width="8.7265625" style="1" customWidth="1"/>
    <col min="3095" max="3097" width="9.1796875" style="1"/>
    <col min="3098" max="3098" width="11.54296875" style="1" bestFit="1" customWidth="1"/>
    <col min="3099" max="3328" width="9.1796875" style="1"/>
    <col min="3329" max="3329" width="10.81640625" style="1" customWidth="1"/>
    <col min="3330" max="3330" width="0.1796875" style="1" customWidth="1"/>
    <col min="3331" max="3331" width="0" style="1" hidden="1" customWidth="1"/>
    <col min="3332" max="3332" width="13.54296875" style="1" customWidth="1"/>
    <col min="3333" max="3333" width="10" style="1" customWidth="1"/>
    <col min="3334" max="3334" width="9.7265625" style="1" customWidth="1"/>
    <col min="3335" max="3335" width="0" style="1" hidden="1" customWidth="1"/>
    <col min="3336" max="3336" width="11.26953125" style="1" customWidth="1"/>
    <col min="3337" max="3337" width="11.7265625" style="1" customWidth="1"/>
    <col min="3338" max="3338" width="12" style="1" customWidth="1"/>
    <col min="3339" max="3339" width="10.453125" style="1" customWidth="1"/>
    <col min="3340" max="3340" width="12.7265625" style="1" bestFit="1" customWidth="1"/>
    <col min="3341" max="3341" width="10.7265625" style="1" bestFit="1" customWidth="1"/>
    <col min="3342" max="3342" width="14.1796875" style="1" bestFit="1" customWidth="1"/>
    <col min="3343" max="3343" width="13.81640625" style="1" customWidth="1"/>
    <col min="3344" max="3344" width="14.81640625" style="1" customWidth="1"/>
    <col min="3345" max="3345" width="15" style="1" customWidth="1"/>
    <col min="3346" max="3346" width="11" style="1" customWidth="1"/>
    <col min="3347" max="3347" width="8.7265625" style="1" customWidth="1"/>
    <col min="3348" max="3348" width="12.26953125" style="1" customWidth="1"/>
    <col min="3349" max="3349" width="11.54296875" style="1" bestFit="1" customWidth="1"/>
    <col min="3350" max="3350" width="8.7265625" style="1" customWidth="1"/>
    <col min="3351" max="3353" width="9.1796875" style="1"/>
    <col min="3354" max="3354" width="11.54296875" style="1" bestFit="1" customWidth="1"/>
    <col min="3355" max="3584" width="9.1796875" style="1"/>
    <col min="3585" max="3585" width="10.81640625" style="1" customWidth="1"/>
    <col min="3586" max="3586" width="0.1796875" style="1" customWidth="1"/>
    <col min="3587" max="3587" width="0" style="1" hidden="1" customWidth="1"/>
    <col min="3588" max="3588" width="13.54296875" style="1" customWidth="1"/>
    <col min="3589" max="3589" width="10" style="1" customWidth="1"/>
    <col min="3590" max="3590" width="9.7265625" style="1" customWidth="1"/>
    <col min="3591" max="3591" width="0" style="1" hidden="1" customWidth="1"/>
    <col min="3592" max="3592" width="11.26953125" style="1" customWidth="1"/>
    <col min="3593" max="3593" width="11.7265625" style="1" customWidth="1"/>
    <col min="3594" max="3594" width="12" style="1" customWidth="1"/>
    <col min="3595" max="3595" width="10.453125" style="1" customWidth="1"/>
    <col min="3596" max="3596" width="12.7265625" style="1" bestFit="1" customWidth="1"/>
    <col min="3597" max="3597" width="10.7265625" style="1" bestFit="1" customWidth="1"/>
    <col min="3598" max="3598" width="14.1796875" style="1" bestFit="1" customWidth="1"/>
    <col min="3599" max="3599" width="13.81640625" style="1" customWidth="1"/>
    <col min="3600" max="3600" width="14.81640625" style="1" customWidth="1"/>
    <col min="3601" max="3601" width="15" style="1" customWidth="1"/>
    <col min="3602" max="3602" width="11" style="1" customWidth="1"/>
    <col min="3603" max="3603" width="8.7265625" style="1" customWidth="1"/>
    <col min="3604" max="3604" width="12.26953125" style="1" customWidth="1"/>
    <col min="3605" max="3605" width="11.54296875" style="1" bestFit="1" customWidth="1"/>
    <col min="3606" max="3606" width="8.7265625" style="1" customWidth="1"/>
    <col min="3607" max="3609" width="9.1796875" style="1"/>
    <col min="3610" max="3610" width="11.54296875" style="1" bestFit="1" customWidth="1"/>
    <col min="3611" max="3840" width="9.1796875" style="1"/>
    <col min="3841" max="3841" width="10.81640625" style="1" customWidth="1"/>
    <col min="3842" max="3842" width="0.1796875" style="1" customWidth="1"/>
    <col min="3843" max="3843" width="0" style="1" hidden="1" customWidth="1"/>
    <col min="3844" max="3844" width="13.54296875" style="1" customWidth="1"/>
    <col min="3845" max="3845" width="10" style="1" customWidth="1"/>
    <col min="3846" max="3846" width="9.7265625" style="1" customWidth="1"/>
    <col min="3847" max="3847" width="0" style="1" hidden="1" customWidth="1"/>
    <col min="3848" max="3848" width="11.26953125" style="1" customWidth="1"/>
    <col min="3849" max="3849" width="11.7265625" style="1" customWidth="1"/>
    <col min="3850" max="3850" width="12" style="1" customWidth="1"/>
    <col min="3851" max="3851" width="10.453125" style="1" customWidth="1"/>
    <col min="3852" max="3852" width="12.7265625" style="1" bestFit="1" customWidth="1"/>
    <col min="3853" max="3853" width="10.7265625" style="1" bestFit="1" customWidth="1"/>
    <col min="3854" max="3854" width="14.1796875" style="1" bestFit="1" customWidth="1"/>
    <col min="3855" max="3855" width="13.81640625" style="1" customWidth="1"/>
    <col min="3856" max="3856" width="14.81640625" style="1" customWidth="1"/>
    <col min="3857" max="3857" width="15" style="1" customWidth="1"/>
    <col min="3858" max="3858" width="11" style="1" customWidth="1"/>
    <col min="3859" max="3859" width="8.7265625" style="1" customWidth="1"/>
    <col min="3860" max="3860" width="12.26953125" style="1" customWidth="1"/>
    <col min="3861" max="3861" width="11.54296875" style="1" bestFit="1" customWidth="1"/>
    <col min="3862" max="3862" width="8.7265625" style="1" customWidth="1"/>
    <col min="3863" max="3865" width="9.1796875" style="1"/>
    <col min="3866" max="3866" width="11.54296875" style="1" bestFit="1" customWidth="1"/>
    <col min="3867" max="4096" width="9.1796875" style="1"/>
    <col min="4097" max="4097" width="10.81640625" style="1" customWidth="1"/>
    <col min="4098" max="4098" width="0.1796875" style="1" customWidth="1"/>
    <col min="4099" max="4099" width="0" style="1" hidden="1" customWidth="1"/>
    <col min="4100" max="4100" width="13.54296875" style="1" customWidth="1"/>
    <col min="4101" max="4101" width="10" style="1" customWidth="1"/>
    <col min="4102" max="4102" width="9.7265625" style="1" customWidth="1"/>
    <col min="4103" max="4103" width="0" style="1" hidden="1" customWidth="1"/>
    <col min="4104" max="4104" width="11.26953125" style="1" customWidth="1"/>
    <col min="4105" max="4105" width="11.7265625" style="1" customWidth="1"/>
    <col min="4106" max="4106" width="12" style="1" customWidth="1"/>
    <col min="4107" max="4107" width="10.453125" style="1" customWidth="1"/>
    <col min="4108" max="4108" width="12.7265625" style="1" bestFit="1" customWidth="1"/>
    <col min="4109" max="4109" width="10.7265625" style="1" bestFit="1" customWidth="1"/>
    <col min="4110" max="4110" width="14.1796875" style="1" bestFit="1" customWidth="1"/>
    <col min="4111" max="4111" width="13.81640625" style="1" customWidth="1"/>
    <col min="4112" max="4112" width="14.81640625" style="1" customWidth="1"/>
    <col min="4113" max="4113" width="15" style="1" customWidth="1"/>
    <col min="4114" max="4114" width="11" style="1" customWidth="1"/>
    <col min="4115" max="4115" width="8.7265625" style="1" customWidth="1"/>
    <col min="4116" max="4116" width="12.26953125" style="1" customWidth="1"/>
    <col min="4117" max="4117" width="11.54296875" style="1" bestFit="1" customWidth="1"/>
    <col min="4118" max="4118" width="8.7265625" style="1" customWidth="1"/>
    <col min="4119" max="4121" width="9.1796875" style="1"/>
    <col min="4122" max="4122" width="11.54296875" style="1" bestFit="1" customWidth="1"/>
    <col min="4123" max="4352" width="9.1796875" style="1"/>
    <col min="4353" max="4353" width="10.81640625" style="1" customWidth="1"/>
    <col min="4354" max="4354" width="0.1796875" style="1" customWidth="1"/>
    <col min="4355" max="4355" width="0" style="1" hidden="1" customWidth="1"/>
    <col min="4356" max="4356" width="13.54296875" style="1" customWidth="1"/>
    <col min="4357" max="4357" width="10" style="1" customWidth="1"/>
    <col min="4358" max="4358" width="9.7265625" style="1" customWidth="1"/>
    <col min="4359" max="4359" width="0" style="1" hidden="1" customWidth="1"/>
    <col min="4360" max="4360" width="11.26953125" style="1" customWidth="1"/>
    <col min="4361" max="4361" width="11.7265625" style="1" customWidth="1"/>
    <col min="4362" max="4362" width="12" style="1" customWidth="1"/>
    <col min="4363" max="4363" width="10.453125" style="1" customWidth="1"/>
    <col min="4364" max="4364" width="12.7265625" style="1" bestFit="1" customWidth="1"/>
    <col min="4365" max="4365" width="10.7265625" style="1" bestFit="1" customWidth="1"/>
    <col min="4366" max="4366" width="14.1796875" style="1" bestFit="1" customWidth="1"/>
    <col min="4367" max="4367" width="13.81640625" style="1" customWidth="1"/>
    <col min="4368" max="4368" width="14.81640625" style="1" customWidth="1"/>
    <col min="4369" max="4369" width="15" style="1" customWidth="1"/>
    <col min="4370" max="4370" width="11" style="1" customWidth="1"/>
    <col min="4371" max="4371" width="8.7265625" style="1" customWidth="1"/>
    <col min="4372" max="4372" width="12.26953125" style="1" customWidth="1"/>
    <col min="4373" max="4373" width="11.54296875" style="1" bestFit="1" customWidth="1"/>
    <col min="4374" max="4374" width="8.7265625" style="1" customWidth="1"/>
    <col min="4375" max="4377" width="9.1796875" style="1"/>
    <col min="4378" max="4378" width="11.54296875" style="1" bestFit="1" customWidth="1"/>
    <col min="4379" max="4608" width="9.1796875" style="1"/>
    <col min="4609" max="4609" width="10.81640625" style="1" customWidth="1"/>
    <col min="4610" max="4610" width="0.1796875" style="1" customWidth="1"/>
    <col min="4611" max="4611" width="0" style="1" hidden="1" customWidth="1"/>
    <col min="4612" max="4612" width="13.54296875" style="1" customWidth="1"/>
    <col min="4613" max="4613" width="10" style="1" customWidth="1"/>
    <col min="4614" max="4614" width="9.7265625" style="1" customWidth="1"/>
    <col min="4615" max="4615" width="0" style="1" hidden="1" customWidth="1"/>
    <col min="4616" max="4616" width="11.26953125" style="1" customWidth="1"/>
    <col min="4617" max="4617" width="11.7265625" style="1" customWidth="1"/>
    <col min="4618" max="4618" width="12" style="1" customWidth="1"/>
    <col min="4619" max="4619" width="10.453125" style="1" customWidth="1"/>
    <col min="4620" max="4620" width="12.7265625" style="1" bestFit="1" customWidth="1"/>
    <col min="4621" max="4621" width="10.7265625" style="1" bestFit="1" customWidth="1"/>
    <col min="4622" max="4622" width="14.1796875" style="1" bestFit="1" customWidth="1"/>
    <col min="4623" max="4623" width="13.81640625" style="1" customWidth="1"/>
    <col min="4624" max="4624" width="14.81640625" style="1" customWidth="1"/>
    <col min="4625" max="4625" width="15" style="1" customWidth="1"/>
    <col min="4626" max="4626" width="11" style="1" customWidth="1"/>
    <col min="4627" max="4627" width="8.7265625" style="1" customWidth="1"/>
    <col min="4628" max="4628" width="12.26953125" style="1" customWidth="1"/>
    <col min="4629" max="4629" width="11.54296875" style="1" bestFit="1" customWidth="1"/>
    <col min="4630" max="4630" width="8.7265625" style="1" customWidth="1"/>
    <col min="4631" max="4633" width="9.1796875" style="1"/>
    <col min="4634" max="4634" width="11.54296875" style="1" bestFit="1" customWidth="1"/>
    <col min="4635" max="4864" width="9.1796875" style="1"/>
    <col min="4865" max="4865" width="10.81640625" style="1" customWidth="1"/>
    <col min="4866" max="4866" width="0.1796875" style="1" customWidth="1"/>
    <col min="4867" max="4867" width="0" style="1" hidden="1" customWidth="1"/>
    <col min="4868" max="4868" width="13.54296875" style="1" customWidth="1"/>
    <col min="4869" max="4869" width="10" style="1" customWidth="1"/>
    <col min="4870" max="4870" width="9.7265625" style="1" customWidth="1"/>
    <col min="4871" max="4871" width="0" style="1" hidden="1" customWidth="1"/>
    <col min="4872" max="4872" width="11.26953125" style="1" customWidth="1"/>
    <col min="4873" max="4873" width="11.7265625" style="1" customWidth="1"/>
    <col min="4874" max="4874" width="12" style="1" customWidth="1"/>
    <col min="4875" max="4875" width="10.453125" style="1" customWidth="1"/>
    <col min="4876" max="4876" width="12.7265625" style="1" bestFit="1" customWidth="1"/>
    <col min="4877" max="4877" width="10.7265625" style="1" bestFit="1" customWidth="1"/>
    <col min="4878" max="4878" width="14.1796875" style="1" bestFit="1" customWidth="1"/>
    <col min="4879" max="4879" width="13.81640625" style="1" customWidth="1"/>
    <col min="4880" max="4880" width="14.81640625" style="1" customWidth="1"/>
    <col min="4881" max="4881" width="15" style="1" customWidth="1"/>
    <col min="4882" max="4882" width="11" style="1" customWidth="1"/>
    <col min="4883" max="4883" width="8.7265625" style="1" customWidth="1"/>
    <col min="4884" max="4884" width="12.26953125" style="1" customWidth="1"/>
    <col min="4885" max="4885" width="11.54296875" style="1" bestFit="1" customWidth="1"/>
    <col min="4886" max="4886" width="8.7265625" style="1" customWidth="1"/>
    <col min="4887" max="4889" width="9.1796875" style="1"/>
    <col min="4890" max="4890" width="11.54296875" style="1" bestFit="1" customWidth="1"/>
    <col min="4891" max="5120" width="9.1796875" style="1"/>
    <col min="5121" max="5121" width="10.81640625" style="1" customWidth="1"/>
    <col min="5122" max="5122" width="0.1796875" style="1" customWidth="1"/>
    <col min="5123" max="5123" width="0" style="1" hidden="1" customWidth="1"/>
    <col min="5124" max="5124" width="13.54296875" style="1" customWidth="1"/>
    <col min="5125" max="5125" width="10" style="1" customWidth="1"/>
    <col min="5126" max="5126" width="9.7265625" style="1" customWidth="1"/>
    <col min="5127" max="5127" width="0" style="1" hidden="1" customWidth="1"/>
    <col min="5128" max="5128" width="11.26953125" style="1" customWidth="1"/>
    <col min="5129" max="5129" width="11.7265625" style="1" customWidth="1"/>
    <col min="5130" max="5130" width="12" style="1" customWidth="1"/>
    <col min="5131" max="5131" width="10.453125" style="1" customWidth="1"/>
    <col min="5132" max="5132" width="12.7265625" style="1" bestFit="1" customWidth="1"/>
    <col min="5133" max="5133" width="10.7265625" style="1" bestFit="1" customWidth="1"/>
    <col min="5134" max="5134" width="14.1796875" style="1" bestFit="1" customWidth="1"/>
    <col min="5135" max="5135" width="13.81640625" style="1" customWidth="1"/>
    <col min="5136" max="5136" width="14.81640625" style="1" customWidth="1"/>
    <col min="5137" max="5137" width="15" style="1" customWidth="1"/>
    <col min="5138" max="5138" width="11" style="1" customWidth="1"/>
    <col min="5139" max="5139" width="8.7265625" style="1" customWidth="1"/>
    <col min="5140" max="5140" width="12.26953125" style="1" customWidth="1"/>
    <col min="5141" max="5141" width="11.54296875" style="1" bestFit="1" customWidth="1"/>
    <col min="5142" max="5142" width="8.7265625" style="1" customWidth="1"/>
    <col min="5143" max="5145" width="9.1796875" style="1"/>
    <col min="5146" max="5146" width="11.54296875" style="1" bestFit="1" customWidth="1"/>
    <col min="5147" max="5376" width="9.1796875" style="1"/>
    <col min="5377" max="5377" width="10.81640625" style="1" customWidth="1"/>
    <col min="5378" max="5378" width="0.1796875" style="1" customWidth="1"/>
    <col min="5379" max="5379" width="0" style="1" hidden="1" customWidth="1"/>
    <col min="5380" max="5380" width="13.54296875" style="1" customWidth="1"/>
    <col min="5381" max="5381" width="10" style="1" customWidth="1"/>
    <col min="5382" max="5382" width="9.7265625" style="1" customWidth="1"/>
    <col min="5383" max="5383" width="0" style="1" hidden="1" customWidth="1"/>
    <col min="5384" max="5384" width="11.26953125" style="1" customWidth="1"/>
    <col min="5385" max="5385" width="11.7265625" style="1" customWidth="1"/>
    <col min="5386" max="5386" width="12" style="1" customWidth="1"/>
    <col min="5387" max="5387" width="10.453125" style="1" customWidth="1"/>
    <col min="5388" max="5388" width="12.7265625" style="1" bestFit="1" customWidth="1"/>
    <col min="5389" max="5389" width="10.7265625" style="1" bestFit="1" customWidth="1"/>
    <col min="5390" max="5390" width="14.1796875" style="1" bestFit="1" customWidth="1"/>
    <col min="5391" max="5391" width="13.81640625" style="1" customWidth="1"/>
    <col min="5392" max="5392" width="14.81640625" style="1" customWidth="1"/>
    <col min="5393" max="5393" width="15" style="1" customWidth="1"/>
    <col min="5394" max="5394" width="11" style="1" customWidth="1"/>
    <col min="5395" max="5395" width="8.7265625" style="1" customWidth="1"/>
    <col min="5396" max="5396" width="12.26953125" style="1" customWidth="1"/>
    <col min="5397" max="5397" width="11.54296875" style="1" bestFit="1" customWidth="1"/>
    <col min="5398" max="5398" width="8.7265625" style="1" customWidth="1"/>
    <col min="5399" max="5401" width="9.1796875" style="1"/>
    <col min="5402" max="5402" width="11.54296875" style="1" bestFit="1" customWidth="1"/>
    <col min="5403" max="5632" width="9.1796875" style="1"/>
    <col min="5633" max="5633" width="10.81640625" style="1" customWidth="1"/>
    <col min="5634" max="5634" width="0.1796875" style="1" customWidth="1"/>
    <col min="5635" max="5635" width="0" style="1" hidden="1" customWidth="1"/>
    <col min="5636" max="5636" width="13.54296875" style="1" customWidth="1"/>
    <col min="5637" max="5637" width="10" style="1" customWidth="1"/>
    <col min="5638" max="5638" width="9.7265625" style="1" customWidth="1"/>
    <col min="5639" max="5639" width="0" style="1" hidden="1" customWidth="1"/>
    <col min="5640" max="5640" width="11.26953125" style="1" customWidth="1"/>
    <col min="5641" max="5641" width="11.7265625" style="1" customWidth="1"/>
    <col min="5642" max="5642" width="12" style="1" customWidth="1"/>
    <col min="5643" max="5643" width="10.453125" style="1" customWidth="1"/>
    <col min="5644" max="5644" width="12.7265625" style="1" bestFit="1" customWidth="1"/>
    <col min="5645" max="5645" width="10.7265625" style="1" bestFit="1" customWidth="1"/>
    <col min="5646" max="5646" width="14.1796875" style="1" bestFit="1" customWidth="1"/>
    <col min="5647" max="5647" width="13.81640625" style="1" customWidth="1"/>
    <col min="5648" max="5648" width="14.81640625" style="1" customWidth="1"/>
    <col min="5649" max="5649" width="15" style="1" customWidth="1"/>
    <col min="5650" max="5650" width="11" style="1" customWidth="1"/>
    <col min="5651" max="5651" width="8.7265625" style="1" customWidth="1"/>
    <col min="5652" max="5652" width="12.26953125" style="1" customWidth="1"/>
    <col min="5653" max="5653" width="11.54296875" style="1" bestFit="1" customWidth="1"/>
    <col min="5654" max="5654" width="8.7265625" style="1" customWidth="1"/>
    <col min="5655" max="5657" width="9.1796875" style="1"/>
    <col min="5658" max="5658" width="11.54296875" style="1" bestFit="1" customWidth="1"/>
    <col min="5659" max="5888" width="9.1796875" style="1"/>
    <col min="5889" max="5889" width="10.81640625" style="1" customWidth="1"/>
    <col min="5890" max="5890" width="0.1796875" style="1" customWidth="1"/>
    <col min="5891" max="5891" width="0" style="1" hidden="1" customWidth="1"/>
    <col min="5892" max="5892" width="13.54296875" style="1" customWidth="1"/>
    <col min="5893" max="5893" width="10" style="1" customWidth="1"/>
    <col min="5894" max="5894" width="9.7265625" style="1" customWidth="1"/>
    <col min="5895" max="5895" width="0" style="1" hidden="1" customWidth="1"/>
    <col min="5896" max="5896" width="11.26953125" style="1" customWidth="1"/>
    <col min="5897" max="5897" width="11.7265625" style="1" customWidth="1"/>
    <col min="5898" max="5898" width="12" style="1" customWidth="1"/>
    <col min="5899" max="5899" width="10.453125" style="1" customWidth="1"/>
    <col min="5900" max="5900" width="12.7265625" style="1" bestFit="1" customWidth="1"/>
    <col min="5901" max="5901" width="10.7265625" style="1" bestFit="1" customWidth="1"/>
    <col min="5902" max="5902" width="14.1796875" style="1" bestFit="1" customWidth="1"/>
    <col min="5903" max="5903" width="13.81640625" style="1" customWidth="1"/>
    <col min="5904" max="5904" width="14.81640625" style="1" customWidth="1"/>
    <col min="5905" max="5905" width="15" style="1" customWidth="1"/>
    <col min="5906" max="5906" width="11" style="1" customWidth="1"/>
    <col min="5907" max="5907" width="8.7265625" style="1" customWidth="1"/>
    <col min="5908" max="5908" width="12.26953125" style="1" customWidth="1"/>
    <col min="5909" max="5909" width="11.54296875" style="1" bestFit="1" customWidth="1"/>
    <col min="5910" max="5910" width="8.7265625" style="1" customWidth="1"/>
    <col min="5911" max="5913" width="9.1796875" style="1"/>
    <col min="5914" max="5914" width="11.54296875" style="1" bestFit="1" customWidth="1"/>
    <col min="5915" max="6144" width="9.1796875" style="1"/>
    <col min="6145" max="6145" width="10.81640625" style="1" customWidth="1"/>
    <col min="6146" max="6146" width="0.1796875" style="1" customWidth="1"/>
    <col min="6147" max="6147" width="0" style="1" hidden="1" customWidth="1"/>
    <col min="6148" max="6148" width="13.54296875" style="1" customWidth="1"/>
    <col min="6149" max="6149" width="10" style="1" customWidth="1"/>
    <col min="6150" max="6150" width="9.7265625" style="1" customWidth="1"/>
    <col min="6151" max="6151" width="0" style="1" hidden="1" customWidth="1"/>
    <col min="6152" max="6152" width="11.26953125" style="1" customWidth="1"/>
    <col min="6153" max="6153" width="11.7265625" style="1" customWidth="1"/>
    <col min="6154" max="6154" width="12" style="1" customWidth="1"/>
    <col min="6155" max="6155" width="10.453125" style="1" customWidth="1"/>
    <col min="6156" max="6156" width="12.7265625" style="1" bestFit="1" customWidth="1"/>
    <col min="6157" max="6157" width="10.7265625" style="1" bestFit="1" customWidth="1"/>
    <col min="6158" max="6158" width="14.1796875" style="1" bestFit="1" customWidth="1"/>
    <col min="6159" max="6159" width="13.81640625" style="1" customWidth="1"/>
    <col min="6160" max="6160" width="14.81640625" style="1" customWidth="1"/>
    <col min="6161" max="6161" width="15" style="1" customWidth="1"/>
    <col min="6162" max="6162" width="11" style="1" customWidth="1"/>
    <col min="6163" max="6163" width="8.7265625" style="1" customWidth="1"/>
    <col min="6164" max="6164" width="12.26953125" style="1" customWidth="1"/>
    <col min="6165" max="6165" width="11.54296875" style="1" bestFit="1" customWidth="1"/>
    <col min="6166" max="6166" width="8.7265625" style="1" customWidth="1"/>
    <col min="6167" max="6169" width="9.1796875" style="1"/>
    <col min="6170" max="6170" width="11.54296875" style="1" bestFit="1" customWidth="1"/>
    <col min="6171" max="6400" width="9.1796875" style="1"/>
    <col min="6401" max="6401" width="10.81640625" style="1" customWidth="1"/>
    <col min="6402" max="6402" width="0.1796875" style="1" customWidth="1"/>
    <col min="6403" max="6403" width="0" style="1" hidden="1" customWidth="1"/>
    <col min="6404" max="6404" width="13.54296875" style="1" customWidth="1"/>
    <col min="6405" max="6405" width="10" style="1" customWidth="1"/>
    <col min="6406" max="6406" width="9.7265625" style="1" customWidth="1"/>
    <col min="6407" max="6407" width="0" style="1" hidden="1" customWidth="1"/>
    <col min="6408" max="6408" width="11.26953125" style="1" customWidth="1"/>
    <col min="6409" max="6409" width="11.7265625" style="1" customWidth="1"/>
    <col min="6410" max="6410" width="12" style="1" customWidth="1"/>
    <col min="6411" max="6411" width="10.453125" style="1" customWidth="1"/>
    <col min="6412" max="6412" width="12.7265625" style="1" bestFit="1" customWidth="1"/>
    <col min="6413" max="6413" width="10.7265625" style="1" bestFit="1" customWidth="1"/>
    <col min="6414" max="6414" width="14.1796875" style="1" bestFit="1" customWidth="1"/>
    <col min="6415" max="6415" width="13.81640625" style="1" customWidth="1"/>
    <col min="6416" max="6416" width="14.81640625" style="1" customWidth="1"/>
    <col min="6417" max="6417" width="15" style="1" customWidth="1"/>
    <col min="6418" max="6418" width="11" style="1" customWidth="1"/>
    <col min="6419" max="6419" width="8.7265625" style="1" customWidth="1"/>
    <col min="6420" max="6420" width="12.26953125" style="1" customWidth="1"/>
    <col min="6421" max="6421" width="11.54296875" style="1" bestFit="1" customWidth="1"/>
    <col min="6422" max="6422" width="8.7265625" style="1" customWidth="1"/>
    <col min="6423" max="6425" width="9.1796875" style="1"/>
    <col min="6426" max="6426" width="11.54296875" style="1" bestFit="1" customWidth="1"/>
    <col min="6427" max="6656" width="9.1796875" style="1"/>
    <col min="6657" max="6657" width="10.81640625" style="1" customWidth="1"/>
    <col min="6658" max="6658" width="0.1796875" style="1" customWidth="1"/>
    <col min="6659" max="6659" width="0" style="1" hidden="1" customWidth="1"/>
    <col min="6660" max="6660" width="13.54296875" style="1" customWidth="1"/>
    <col min="6661" max="6661" width="10" style="1" customWidth="1"/>
    <col min="6662" max="6662" width="9.7265625" style="1" customWidth="1"/>
    <col min="6663" max="6663" width="0" style="1" hidden="1" customWidth="1"/>
    <col min="6664" max="6664" width="11.26953125" style="1" customWidth="1"/>
    <col min="6665" max="6665" width="11.7265625" style="1" customWidth="1"/>
    <col min="6666" max="6666" width="12" style="1" customWidth="1"/>
    <col min="6667" max="6667" width="10.453125" style="1" customWidth="1"/>
    <col min="6668" max="6668" width="12.7265625" style="1" bestFit="1" customWidth="1"/>
    <col min="6669" max="6669" width="10.7265625" style="1" bestFit="1" customWidth="1"/>
    <col min="6670" max="6670" width="14.1796875" style="1" bestFit="1" customWidth="1"/>
    <col min="6671" max="6671" width="13.81640625" style="1" customWidth="1"/>
    <col min="6672" max="6672" width="14.81640625" style="1" customWidth="1"/>
    <col min="6673" max="6673" width="15" style="1" customWidth="1"/>
    <col min="6674" max="6674" width="11" style="1" customWidth="1"/>
    <col min="6675" max="6675" width="8.7265625" style="1" customWidth="1"/>
    <col min="6676" max="6676" width="12.26953125" style="1" customWidth="1"/>
    <col min="6677" max="6677" width="11.54296875" style="1" bestFit="1" customWidth="1"/>
    <col min="6678" max="6678" width="8.7265625" style="1" customWidth="1"/>
    <col min="6679" max="6681" width="9.1796875" style="1"/>
    <col min="6682" max="6682" width="11.54296875" style="1" bestFit="1" customWidth="1"/>
    <col min="6683" max="6912" width="9.1796875" style="1"/>
    <col min="6913" max="6913" width="10.81640625" style="1" customWidth="1"/>
    <col min="6914" max="6914" width="0.1796875" style="1" customWidth="1"/>
    <col min="6915" max="6915" width="0" style="1" hidden="1" customWidth="1"/>
    <col min="6916" max="6916" width="13.54296875" style="1" customWidth="1"/>
    <col min="6917" max="6917" width="10" style="1" customWidth="1"/>
    <col min="6918" max="6918" width="9.7265625" style="1" customWidth="1"/>
    <col min="6919" max="6919" width="0" style="1" hidden="1" customWidth="1"/>
    <col min="6920" max="6920" width="11.26953125" style="1" customWidth="1"/>
    <col min="6921" max="6921" width="11.7265625" style="1" customWidth="1"/>
    <col min="6922" max="6922" width="12" style="1" customWidth="1"/>
    <col min="6923" max="6923" width="10.453125" style="1" customWidth="1"/>
    <col min="6924" max="6924" width="12.7265625" style="1" bestFit="1" customWidth="1"/>
    <col min="6925" max="6925" width="10.7265625" style="1" bestFit="1" customWidth="1"/>
    <col min="6926" max="6926" width="14.1796875" style="1" bestFit="1" customWidth="1"/>
    <col min="6927" max="6927" width="13.81640625" style="1" customWidth="1"/>
    <col min="6928" max="6928" width="14.81640625" style="1" customWidth="1"/>
    <col min="6929" max="6929" width="15" style="1" customWidth="1"/>
    <col min="6930" max="6930" width="11" style="1" customWidth="1"/>
    <col min="6931" max="6931" width="8.7265625" style="1" customWidth="1"/>
    <col min="6932" max="6932" width="12.26953125" style="1" customWidth="1"/>
    <col min="6933" max="6933" width="11.54296875" style="1" bestFit="1" customWidth="1"/>
    <col min="6934" max="6934" width="8.7265625" style="1" customWidth="1"/>
    <col min="6935" max="6937" width="9.1796875" style="1"/>
    <col min="6938" max="6938" width="11.54296875" style="1" bestFit="1" customWidth="1"/>
    <col min="6939" max="7168" width="9.1796875" style="1"/>
    <col min="7169" max="7169" width="10.81640625" style="1" customWidth="1"/>
    <col min="7170" max="7170" width="0.1796875" style="1" customWidth="1"/>
    <col min="7171" max="7171" width="0" style="1" hidden="1" customWidth="1"/>
    <col min="7172" max="7172" width="13.54296875" style="1" customWidth="1"/>
    <col min="7173" max="7173" width="10" style="1" customWidth="1"/>
    <col min="7174" max="7174" width="9.7265625" style="1" customWidth="1"/>
    <col min="7175" max="7175" width="0" style="1" hidden="1" customWidth="1"/>
    <col min="7176" max="7176" width="11.26953125" style="1" customWidth="1"/>
    <col min="7177" max="7177" width="11.7265625" style="1" customWidth="1"/>
    <col min="7178" max="7178" width="12" style="1" customWidth="1"/>
    <col min="7179" max="7179" width="10.453125" style="1" customWidth="1"/>
    <col min="7180" max="7180" width="12.7265625" style="1" bestFit="1" customWidth="1"/>
    <col min="7181" max="7181" width="10.7265625" style="1" bestFit="1" customWidth="1"/>
    <col min="7182" max="7182" width="14.1796875" style="1" bestFit="1" customWidth="1"/>
    <col min="7183" max="7183" width="13.81640625" style="1" customWidth="1"/>
    <col min="7184" max="7184" width="14.81640625" style="1" customWidth="1"/>
    <col min="7185" max="7185" width="15" style="1" customWidth="1"/>
    <col min="7186" max="7186" width="11" style="1" customWidth="1"/>
    <col min="7187" max="7187" width="8.7265625" style="1" customWidth="1"/>
    <col min="7188" max="7188" width="12.26953125" style="1" customWidth="1"/>
    <col min="7189" max="7189" width="11.54296875" style="1" bestFit="1" customWidth="1"/>
    <col min="7190" max="7190" width="8.7265625" style="1" customWidth="1"/>
    <col min="7191" max="7193" width="9.1796875" style="1"/>
    <col min="7194" max="7194" width="11.54296875" style="1" bestFit="1" customWidth="1"/>
    <col min="7195" max="7424" width="9.1796875" style="1"/>
    <col min="7425" max="7425" width="10.81640625" style="1" customWidth="1"/>
    <col min="7426" max="7426" width="0.1796875" style="1" customWidth="1"/>
    <col min="7427" max="7427" width="0" style="1" hidden="1" customWidth="1"/>
    <col min="7428" max="7428" width="13.54296875" style="1" customWidth="1"/>
    <col min="7429" max="7429" width="10" style="1" customWidth="1"/>
    <col min="7430" max="7430" width="9.7265625" style="1" customWidth="1"/>
    <col min="7431" max="7431" width="0" style="1" hidden="1" customWidth="1"/>
    <col min="7432" max="7432" width="11.26953125" style="1" customWidth="1"/>
    <col min="7433" max="7433" width="11.7265625" style="1" customWidth="1"/>
    <col min="7434" max="7434" width="12" style="1" customWidth="1"/>
    <col min="7435" max="7435" width="10.453125" style="1" customWidth="1"/>
    <col min="7436" max="7436" width="12.7265625" style="1" bestFit="1" customWidth="1"/>
    <col min="7437" max="7437" width="10.7265625" style="1" bestFit="1" customWidth="1"/>
    <col min="7438" max="7438" width="14.1796875" style="1" bestFit="1" customWidth="1"/>
    <col min="7439" max="7439" width="13.81640625" style="1" customWidth="1"/>
    <col min="7440" max="7440" width="14.81640625" style="1" customWidth="1"/>
    <col min="7441" max="7441" width="15" style="1" customWidth="1"/>
    <col min="7442" max="7442" width="11" style="1" customWidth="1"/>
    <col min="7443" max="7443" width="8.7265625" style="1" customWidth="1"/>
    <col min="7444" max="7444" width="12.26953125" style="1" customWidth="1"/>
    <col min="7445" max="7445" width="11.54296875" style="1" bestFit="1" customWidth="1"/>
    <col min="7446" max="7446" width="8.7265625" style="1" customWidth="1"/>
    <col min="7447" max="7449" width="9.1796875" style="1"/>
    <col min="7450" max="7450" width="11.54296875" style="1" bestFit="1" customWidth="1"/>
    <col min="7451" max="7680" width="9.1796875" style="1"/>
    <col min="7681" max="7681" width="10.81640625" style="1" customWidth="1"/>
    <col min="7682" max="7682" width="0.1796875" style="1" customWidth="1"/>
    <col min="7683" max="7683" width="0" style="1" hidden="1" customWidth="1"/>
    <col min="7684" max="7684" width="13.54296875" style="1" customWidth="1"/>
    <col min="7685" max="7685" width="10" style="1" customWidth="1"/>
    <col min="7686" max="7686" width="9.7265625" style="1" customWidth="1"/>
    <col min="7687" max="7687" width="0" style="1" hidden="1" customWidth="1"/>
    <col min="7688" max="7688" width="11.26953125" style="1" customWidth="1"/>
    <col min="7689" max="7689" width="11.7265625" style="1" customWidth="1"/>
    <col min="7690" max="7690" width="12" style="1" customWidth="1"/>
    <col min="7691" max="7691" width="10.453125" style="1" customWidth="1"/>
    <col min="7692" max="7692" width="12.7265625" style="1" bestFit="1" customWidth="1"/>
    <col min="7693" max="7693" width="10.7265625" style="1" bestFit="1" customWidth="1"/>
    <col min="7694" max="7694" width="14.1796875" style="1" bestFit="1" customWidth="1"/>
    <col min="7695" max="7695" width="13.81640625" style="1" customWidth="1"/>
    <col min="7696" max="7696" width="14.81640625" style="1" customWidth="1"/>
    <col min="7697" max="7697" width="15" style="1" customWidth="1"/>
    <col min="7698" max="7698" width="11" style="1" customWidth="1"/>
    <col min="7699" max="7699" width="8.7265625" style="1" customWidth="1"/>
    <col min="7700" max="7700" width="12.26953125" style="1" customWidth="1"/>
    <col min="7701" max="7701" width="11.54296875" style="1" bestFit="1" customWidth="1"/>
    <col min="7702" max="7702" width="8.7265625" style="1" customWidth="1"/>
    <col min="7703" max="7705" width="9.1796875" style="1"/>
    <col min="7706" max="7706" width="11.54296875" style="1" bestFit="1" customWidth="1"/>
    <col min="7707" max="7936" width="9.1796875" style="1"/>
    <col min="7937" max="7937" width="10.81640625" style="1" customWidth="1"/>
    <col min="7938" max="7938" width="0.1796875" style="1" customWidth="1"/>
    <col min="7939" max="7939" width="0" style="1" hidden="1" customWidth="1"/>
    <col min="7940" max="7940" width="13.54296875" style="1" customWidth="1"/>
    <col min="7941" max="7941" width="10" style="1" customWidth="1"/>
    <col min="7942" max="7942" width="9.7265625" style="1" customWidth="1"/>
    <col min="7943" max="7943" width="0" style="1" hidden="1" customWidth="1"/>
    <col min="7944" max="7944" width="11.26953125" style="1" customWidth="1"/>
    <col min="7945" max="7945" width="11.7265625" style="1" customWidth="1"/>
    <col min="7946" max="7946" width="12" style="1" customWidth="1"/>
    <col min="7947" max="7947" width="10.453125" style="1" customWidth="1"/>
    <col min="7948" max="7948" width="12.7265625" style="1" bestFit="1" customWidth="1"/>
    <col min="7949" max="7949" width="10.7265625" style="1" bestFit="1" customWidth="1"/>
    <col min="7950" max="7950" width="14.1796875" style="1" bestFit="1" customWidth="1"/>
    <col min="7951" max="7951" width="13.81640625" style="1" customWidth="1"/>
    <col min="7952" max="7952" width="14.81640625" style="1" customWidth="1"/>
    <col min="7953" max="7953" width="15" style="1" customWidth="1"/>
    <col min="7954" max="7954" width="11" style="1" customWidth="1"/>
    <col min="7955" max="7955" width="8.7265625" style="1" customWidth="1"/>
    <col min="7956" max="7956" width="12.26953125" style="1" customWidth="1"/>
    <col min="7957" max="7957" width="11.54296875" style="1" bestFit="1" customWidth="1"/>
    <col min="7958" max="7958" width="8.7265625" style="1" customWidth="1"/>
    <col min="7959" max="7961" width="9.1796875" style="1"/>
    <col min="7962" max="7962" width="11.54296875" style="1" bestFit="1" customWidth="1"/>
    <col min="7963" max="8192" width="9.1796875" style="1"/>
    <col min="8193" max="8193" width="10.81640625" style="1" customWidth="1"/>
    <col min="8194" max="8194" width="0.1796875" style="1" customWidth="1"/>
    <col min="8195" max="8195" width="0" style="1" hidden="1" customWidth="1"/>
    <col min="8196" max="8196" width="13.54296875" style="1" customWidth="1"/>
    <col min="8197" max="8197" width="10" style="1" customWidth="1"/>
    <col min="8198" max="8198" width="9.7265625" style="1" customWidth="1"/>
    <col min="8199" max="8199" width="0" style="1" hidden="1" customWidth="1"/>
    <col min="8200" max="8200" width="11.26953125" style="1" customWidth="1"/>
    <col min="8201" max="8201" width="11.7265625" style="1" customWidth="1"/>
    <col min="8202" max="8202" width="12" style="1" customWidth="1"/>
    <col min="8203" max="8203" width="10.453125" style="1" customWidth="1"/>
    <col min="8204" max="8204" width="12.7265625" style="1" bestFit="1" customWidth="1"/>
    <col min="8205" max="8205" width="10.7265625" style="1" bestFit="1" customWidth="1"/>
    <col min="8206" max="8206" width="14.1796875" style="1" bestFit="1" customWidth="1"/>
    <col min="8207" max="8207" width="13.81640625" style="1" customWidth="1"/>
    <col min="8208" max="8208" width="14.81640625" style="1" customWidth="1"/>
    <col min="8209" max="8209" width="15" style="1" customWidth="1"/>
    <col min="8210" max="8210" width="11" style="1" customWidth="1"/>
    <col min="8211" max="8211" width="8.7265625" style="1" customWidth="1"/>
    <col min="8212" max="8212" width="12.26953125" style="1" customWidth="1"/>
    <col min="8213" max="8213" width="11.54296875" style="1" bestFit="1" customWidth="1"/>
    <col min="8214" max="8214" width="8.7265625" style="1" customWidth="1"/>
    <col min="8215" max="8217" width="9.1796875" style="1"/>
    <col min="8218" max="8218" width="11.54296875" style="1" bestFit="1" customWidth="1"/>
    <col min="8219" max="8448" width="9.1796875" style="1"/>
    <col min="8449" max="8449" width="10.81640625" style="1" customWidth="1"/>
    <col min="8450" max="8450" width="0.1796875" style="1" customWidth="1"/>
    <col min="8451" max="8451" width="0" style="1" hidden="1" customWidth="1"/>
    <col min="8452" max="8452" width="13.54296875" style="1" customWidth="1"/>
    <col min="8453" max="8453" width="10" style="1" customWidth="1"/>
    <col min="8454" max="8454" width="9.7265625" style="1" customWidth="1"/>
    <col min="8455" max="8455" width="0" style="1" hidden="1" customWidth="1"/>
    <col min="8456" max="8456" width="11.26953125" style="1" customWidth="1"/>
    <col min="8457" max="8457" width="11.7265625" style="1" customWidth="1"/>
    <col min="8458" max="8458" width="12" style="1" customWidth="1"/>
    <col min="8459" max="8459" width="10.453125" style="1" customWidth="1"/>
    <col min="8460" max="8460" width="12.7265625" style="1" bestFit="1" customWidth="1"/>
    <col min="8461" max="8461" width="10.7265625" style="1" bestFit="1" customWidth="1"/>
    <col min="8462" max="8462" width="14.1796875" style="1" bestFit="1" customWidth="1"/>
    <col min="8463" max="8463" width="13.81640625" style="1" customWidth="1"/>
    <col min="8464" max="8464" width="14.81640625" style="1" customWidth="1"/>
    <col min="8465" max="8465" width="15" style="1" customWidth="1"/>
    <col min="8466" max="8466" width="11" style="1" customWidth="1"/>
    <col min="8467" max="8467" width="8.7265625" style="1" customWidth="1"/>
    <col min="8468" max="8468" width="12.26953125" style="1" customWidth="1"/>
    <col min="8469" max="8469" width="11.54296875" style="1" bestFit="1" customWidth="1"/>
    <col min="8470" max="8470" width="8.7265625" style="1" customWidth="1"/>
    <col min="8471" max="8473" width="9.1796875" style="1"/>
    <col min="8474" max="8474" width="11.54296875" style="1" bestFit="1" customWidth="1"/>
    <col min="8475" max="8704" width="9.1796875" style="1"/>
    <col min="8705" max="8705" width="10.81640625" style="1" customWidth="1"/>
    <col min="8706" max="8706" width="0.1796875" style="1" customWidth="1"/>
    <col min="8707" max="8707" width="0" style="1" hidden="1" customWidth="1"/>
    <col min="8708" max="8708" width="13.54296875" style="1" customWidth="1"/>
    <col min="8709" max="8709" width="10" style="1" customWidth="1"/>
    <col min="8710" max="8710" width="9.7265625" style="1" customWidth="1"/>
    <col min="8711" max="8711" width="0" style="1" hidden="1" customWidth="1"/>
    <col min="8712" max="8712" width="11.26953125" style="1" customWidth="1"/>
    <col min="8713" max="8713" width="11.7265625" style="1" customWidth="1"/>
    <col min="8714" max="8714" width="12" style="1" customWidth="1"/>
    <col min="8715" max="8715" width="10.453125" style="1" customWidth="1"/>
    <col min="8716" max="8716" width="12.7265625" style="1" bestFit="1" customWidth="1"/>
    <col min="8717" max="8717" width="10.7265625" style="1" bestFit="1" customWidth="1"/>
    <col min="8718" max="8718" width="14.1796875" style="1" bestFit="1" customWidth="1"/>
    <col min="8719" max="8719" width="13.81640625" style="1" customWidth="1"/>
    <col min="8720" max="8720" width="14.81640625" style="1" customWidth="1"/>
    <col min="8721" max="8721" width="15" style="1" customWidth="1"/>
    <col min="8722" max="8722" width="11" style="1" customWidth="1"/>
    <col min="8723" max="8723" width="8.7265625" style="1" customWidth="1"/>
    <col min="8724" max="8724" width="12.26953125" style="1" customWidth="1"/>
    <col min="8725" max="8725" width="11.54296875" style="1" bestFit="1" customWidth="1"/>
    <col min="8726" max="8726" width="8.7265625" style="1" customWidth="1"/>
    <col min="8727" max="8729" width="9.1796875" style="1"/>
    <col min="8730" max="8730" width="11.54296875" style="1" bestFit="1" customWidth="1"/>
    <col min="8731" max="8960" width="9.1796875" style="1"/>
    <col min="8961" max="8961" width="10.81640625" style="1" customWidth="1"/>
    <col min="8962" max="8962" width="0.1796875" style="1" customWidth="1"/>
    <col min="8963" max="8963" width="0" style="1" hidden="1" customWidth="1"/>
    <col min="8964" max="8964" width="13.54296875" style="1" customWidth="1"/>
    <col min="8965" max="8965" width="10" style="1" customWidth="1"/>
    <col min="8966" max="8966" width="9.7265625" style="1" customWidth="1"/>
    <col min="8967" max="8967" width="0" style="1" hidden="1" customWidth="1"/>
    <col min="8968" max="8968" width="11.26953125" style="1" customWidth="1"/>
    <col min="8969" max="8969" width="11.7265625" style="1" customWidth="1"/>
    <col min="8970" max="8970" width="12" style="1" customWidth="1"/>
    <col min="8971" max="8971" width="10.453125" style="1" customWidth="1"/>
    <col min="8972" max="8972" width="12.7265625" style="1" bestFit="1" customWidth="1"/>
    <col min="8973" max="8973" width="10.7265625" style="1" bestFit="1" customWidth="1"/>
    <col min="8974" max="8974" width="14.1796875" style="1" bestFit="1" customWidth="1"/>
    <col min="8975" max="8975" width="13.81640625" style="1" customWidth="1"/>
    <col min="8976" max="8976" width="14.81640625" style="1" customWidth="1"/>
    <col min="8977" max="8977" width="15" style="1" customWidth="1"/>
    <col min="8978" max="8978" width="11" style="1" customWidth="1"/>
    <col min="8979" max="8979" width="8.7265625" style="1" customWidth="1"/>
    <col min="8980" max="8980" width="12.26953125" style="1" customWidth="1"/>
    <col min="8981" max="8981" width="11.54296875" style="1" bestFit="1" customWidth="1"/>
    <col min="8982" max="8982" width="8.7265625" style="1" customWidth="1"/>
    <col min="8983" max="8985" width="9.1796875" style="1"/>
    <col min="8986" max="8986" width="11.54296875" style="1" bestFit="1" customWidth="1"/>
    <col min="8987" max="9216" width="9.1796875" style="1"/>
    <col min="9217" max="9217" width="10.81640625" style="1" customWidth="1"/>
    <col min="9218" max="9218" width="0.1796875" style="1" customWidth="1"/>
    <col min="9219" max="9219" width="0" style="1" hidden="1" customWidth="1"/>
    <col min="9220" max="9220" width="13.54296875" style="1" customWidth="1"/>
    <col min="9221" max="9221" width="10" style="1" customWidth="1"/>
    <col min="9222" max="9222" width="9.7265625" style="1" customWidth="1"/>
    <col min="9223" max="9223" width="0" style="1" hidden="1" customWidth="1"/>
    <col min="9224" max="9224" width="11.26953125" style="1" customWidth="1"/>
    <col min="9225" max="9225" width="11.7265625" style="1" customWidth="1"/>
    <col min="9226" max="9226" width="12" style="1" customWidth="1"/>
    <col min="9227" max="9227" width="10.453125" style="1" customWidth="1"/>
    <col min="9228" max="9228" width="12.7265625" style="1" bestFit="1" customWidth="1"/>
    <col min="9229" max="9229" width="10.7265625" style="1" bestFit="1" customWidth="1"/>
    <col min="9230" max="9230" width="14.1796875" style="1" bestFit="1" customWidth="1"/>
    <col min="9231" max="9231" width="13.81640625" style="1" customWidth="1"/>
    <col min="9232" max="9232" width="14.81640625" style="1" customWidth="1"/>
    <col min="9233" max="9233" width="15" style="1" customWidth="1"/>
    <col min="9234" max="9234" width="11" style="1" customWidth="1"/>
    <col min="9235" max="9235" width="8.7265625" style="1" customWidth="1"/>
    <col min="9236" max="9236" width="12.26953125" style="1" customWidth="1"/>
    <col min="9237" max="9237" width="11.54296875" style="1" bestFit="1" customWidth="1"/>
    <col min="9238" max="9238" width="8.7265625" style="1" customWidth="1"/>
    <col min="9239" max="9241" width="9.1796875" style="1"/>
    <col min="9242" max="9242" width="11.54296875" style="1" bestFit="1" customWidth="1"/>
    <col min="9243" max="9472" width="9.1796875" style="1"/>
    <col min="9473" max="9473" width="10.81640625" style="1" customWidth="1"/>
    <col min="9474" max="9474" width="0.1796875" style="1" customWidth="1"/>
    <col min="9475" max="9475" width="0" style="1" hidden="1" customWidth="1"/>
    <col min="9476" max="9476" width="13.54296875" style="1" customWidth="1"/>
    <col min="9477" max="9477" width="10" style="1" customWidth="1"/>
    <col min="9478" max="9478" width="9.7265625" style="1" customWidth="1"/>
    <col min="9479" max="9479" width="0" style="1" hidden="1" customWidth="1"/>
    <col min="9480" max="9480" width="11.26953125" style="1" customWidth="1"/>
    <col min="9481" max="9481" width="11.7265625" style="1" customWidth="1"/>
    <col min="9482" max="9482" width="12" style="1" customWidth="1"/>
    <col min="9483" max="9483" width="10.453125" style="1" customWidth="1"/>
    <col min="9484" max="9484" width="12.7265625" style="1" bestFit="1" customWidth="1"/>
    <col min="9485" max="9485" width="10.7265625" style="1" bestFit="1" customWidth="1"/>
    <col min="9486" max="9486" width="14.1796875" style="1" bestFit="1" customWidth="1"/>
    <col min="9487" max="9487" width="13.81640625" style="1" customWidth="1"/>
    <col min="9488" max="9488" width="14.81640625" style="1" customWidth="1"/>
    <col min="9489" max="9489" width="15" style="1" customWidth="1"/>
    <col min="9490" max="9490" width="11" style="1" customWidth="1"/>
    <col min="9491" max="9491" width="8.7265625" style="1" customWidth="1"/>
    <col min="9492" max="9492" width="12.26953125" style="1" customWidth="1"/>
    <col min="9493" max="9493" width="11.54296875" style="1" bestFit="1" customWidth="1"/>
    <col min="9494" max="9494" width="8.7265625" style="1" customWidth="1"/>
    <col min="9495" max="9497" width="9.1796875" style="1"/>
    <col min="9498" max="9498" width="11.54296875" style="1" bestFit="1" customWidth="1"/>
    <col min="9499" max="9728" width="9.1796875" style="1"/>
    <col min="9729" max="9729" width="10.81640625" style="1" customWidth="1"/>
    <col min="9730" max="9730" width="0.1796875" style="1" customWidth="1"/>
    <col min="9731" max="9731" width="0" style="1" hidden="1" customWidth="1"/>
    <col min="9732" max="9732" width="13.54296875" style="1" customWidth="1"/>
    <col min="9733" max="9733" width="10" style="1" customWidth="1"/>
    <col min="9734" max="9734" width="9.7265625" style="1" customWidth="1"/>
    <col min="9735" max="9735" width="0" style="1" hidden="1" customWidth="1"/>
    <col min="9736" max="9736" width="11.26953125" style="1" customWidth="1"/>
    <col min="9737" max="9737" width="11.7265625" style="1" customWidth="1"/>
    <col min="9738" max="9738" width="12" style="1" customWidth="1"/>
    <col min="9739" max="9739" width="10.453125" style="1" customWidth="1"/>
    <col min="9740" max="9740" width="12.7265625" style="1" bestFit="1" customWidth="1"/>
    <col min="9741" max="9741" width="10.7265625" style="1" bestFit="1" customWidth="1"/>
    <col min="9742" max="9742" width="14.1796875" style="1" bestFit="1" customWidth="1"/>
    <col min="9743" max="9743" width="13.81640625" style="1" customWidth="1"/>
    <col min="9744" max="9744" width="14.81640625" style="1" customWidth="1"/>
    <col min="9745" max="9745" width="15" style="1" customWidth="1"/>
    <col min="9746" max="9746" width="11" style="1" customWidth="1"/>
    <col min="9747" max="9747" width="8.7265625" style="1" customWidth="1"/>
    <col min="9748" max="9748" width="12.26953125" style="1" customWidth="1"/>
    <col min="9749" max="9749" width="11.54296875" style="1" bestFit="1" customWidth="1"/>
    <col min="9750" max="9750" width="8.7265625" style="1" customWidth="1"/>
    <col min="9751" max="9753" width="9.1796875" style="1"/>
    <col min="9754" max="9754" width="11.54296875" style="1" bestFit="1" customWidth="1"/>
    <col min="9755" max="9984" width="9.1796875" style="1"/>
    <col min="9985" max="9985" width="10.81640625" style="1" customWidth="1"/>
    <col min="9986" max="9986" width="0.1796875" style="1" customWidth="1"/>
    <col min="9987" max="9987" width="0" style="1" hidden="1" customWidth="1"/>
    <col min="9988" max="9988" width="13.54296875" style="1" customWidth="1"/>
    <col min="9989" max="9989" width="10" style="1" customWidth="1"/>
    <col min="9990" max="9990" width="9.7265625" style="1" customWidth="1"/>
    <col min="9991" max="9991" width="0" style="1" hidden="1" customWidth="1"/>
    <col min="9992" max="9992" width="11.26953125" style="1" customWidth="1"/>
    <col min="9993" max="9993" width="11.7265625" style="1" customWidth="1"/>
    <col min="9994" max="9994" width="12" style="1" customWidth="1"/>
    <col min="9995" max="9995" width="10.453125" style="1" customWidth="1"/>
    <col min="9996" max="9996" width="12.7265625" style="1" bestFit="1" customWidth="1"/>
    <col min="9997" max="9997" width="10.7265625" style="1" bestFit="1" customWidth="1"/>
    <col min="9998" max="9998" width="14.1796875" style="1" bestFit="1" customWidth="1"/>
    <col min="9999" max="9999" width="13.81640625" style="1" customWidth="1"/>
    <col min="10000" max="10000" width="14.81640625" style="1" customWidth="1"/>
    <col min="10001" max="10001" width="15" style="1" customWidth="1"/>
    <col min="10002" max="10002" width="11" style="1" customWidth="1"/>
    <col min="10003" max="10003" width="8.7265625" style="1" customWidth="1"/>
    <col min="10004" max="10004" width="12.26953125" style="1" customWidth="1"/>
    <col min="10005" max="10005" width="11.54296875" style="1" bestFit="1" customWidth="1"/>
    <col min="10006" max="10006" width="8.7265625" style="1" customWidth="1"/>
    <col min="10007" max="10009" width="9.1796875" style="1"/>
    <col min="10010" max="10010" width="11.54296875" style="1" bestFit="1" customWidth="1"/>
    <col min="10011" max="10240" width="9.1796875" style="1"/>
    <col min="10241" max="10241" width="10.81640625" style="1" customWidth="1"/>
    <col min="10242" max="10242" width="0.1796875" style="1" customWidth="1"/>
    <col min="10243" max="10243" width="0" style="1" hidden="1" customWidth="1"/>
    <col min="10244" max="10244" width="13.54296875" style="1" customWidth="1"/>
    <col min="10245" max="10245" width="10" style="1" customWidth="1"/>
    <col min="10246" max="10246" width="9.7265625" style="1" customWidth="1"/>
    <col min="10247" max="10247" width="0" style="1" hidden="1" customWidth="1"/>
    <col min="10248" max="10248" width="11.26953125" style="1" customWidth="1"/>
    <col min="10249" max="10249" width="11.7265625" style="1" customWidth="1"/>
    <col min="10250" max="10250" width="12" style="1" customWidth="1"/>
    <col min="10251" max="10251" width="10.453125" style="1" customWidth="1"/>
    <col min="10252" max="10252" width="12.7265625" style="1" bestFit="1" customWidth="1"/>
    <col min="10253" max="10253" width="10.7265625" style="1" bestFit="1" customWidth="1"/>
    <col min="10254" max="10254" width="14.1796875" style="1" bestFit="1" customWidth="1"/>
    <col min="10255" max="10255" width="13.81640625" style="1" customWidth="1"/>
    <col min="10256" max="10256" width="14.81640625" style="1" customWidth="1"/>
    <col min="10257" max="10257" width="15" style="1" customWidth="1"/>
    <col min="10258" max="10258" width="11" style="1" customWidth="1"/>
    <col min="10259" max="10259" width="8.7265625" style="1" customWidth="1"/>
    <col min="10260" max="10260" width="12.26953125" style="1" customWidth="1"/>
    <col min="10261" max="10261" width="11.54296875" style="1" bestFit="1" customWidth="1"/>
    <col min="10262" max="10262" width="8.7265625" style="1" customWidth="1"/>
    <col min="10263" max="10265" width="9.1796875" style="1"/>
    <col min="10266" max="10266" width="11.54296875" style="1" bestFit="1" customWidth="1"/>
    <col min="10267" max="10496" width="9.1796875" style="1"/>
    <col min="10497" max="10497" width="10.81640625" style="1" customWidth="1"/>
    <col min="10498" max="10498" width="0.1796875" style="1" customWidth="1"/>
    <col min="10499" max="10499" width="0" style="1" hidden="1" customWidth="1"/>
    <col min="10500" max="10500" width="13.54296875" style="1" customWidth="1"/>
    <col min="10501" max="10501" width="10" style="1" customWidth="1"/>
    <col min="10502" max="10502" width="9.7265625" style="1" customWidth="1"/>
    <col min="10503" max="10503" width="0" style="1" hidden="1" customWidth="1"/>
    <col min="10504" max="10504" width="11.26953125" style="1" customWidth="1"/>
    <col min="10505" max="10505" width="11.7265625" style="1" customWidth="1"/>
    <col min="10506" max="10506" width="12" style="1" customWidth="1"/>
    <col min="10507" max="10507" width="10.453125" style="1" customWidth="1"/>
    <col min="10508" max="10508" width="12.7265625" style="1" bestFit="1" customWidth="1"/>
    <col min="10509" max="10509" width="10.7265625" style="1" bestFit="1" customWidth="1"/>
    <col min="10510" max="10510" width="14.1796875" style="1" bestFit="1" customWidth="1"/>
    <col min="10511" max="10511" width="13.81640625" style="1" customWidth="1"/>
    <col min="10512" max="10512" width="14.81640625" style="1" customWidth="1"/>
    <col min="10513" max="10513" width="15" style="1" customWidth="1"/>
    <col min="10514" max="10514" width="11" style="1" customWidth="1"/>
    <col min="10515" max="10515" width="8.7265625" style="1" customWidth="1"/>
    <col min="10516" max="10516" width="12.26953125" style="1" customWidth="1"/>
    <col min="10517" max="10517" width="11.54296875" style="1" bestFit="1" customWidth="1"/>
    <col min="10518" max="10518" width="8.7265625" style="1" customWidth="1"/>
    <col min="10519" max="10521" width="9.1796875" style="1"/>
    <col min="10522" max="10522" width="11.54296875" style="1" bestFit="1" customWidth="1"/>
    <col min="10523" max="10752" width="9.1796875" style="1"/>
    <col min="10753" max="10753" width="10.81640625" style="1" customWidth="1"/>
    <col min="10754" max="10754" width="0.1796875" style="1" customWidth="1"/>
    <col min="10755" max="10755" width="0" style="1" hidden="1" customWidth="1"/>
    <col min="10756" max="10756" width="13.54296875" style="1" customWidth="1"/>
    <col min="10757" max="10757" width="10" style="1" customWidth="1"/>
    <col min="10758" max="10758" width="9.7265625" style="1" customWidth="1"/>
    <col min="10759" max="10759" width="0" style="1" hidden="1" customWidth="1"/>
    <col min="10760" max="10760" width="11.26953125" style="1" customWidth="1"/>
    <col min="10761" max="10761" width="11.7265625" style="1" customWidth="1"/>
    <col min="10762" max="10762" width="12" style="1" customWidth="1"/>
    <col min="10763" max="10763" width="10.453125" style="1" customWidth="1"/>
    <col min="10764" max="10764" width="12.7265625" style="1" bestFit="1" customWidth="1"/>
    <col min="10765" max="10765" width="10.7265625" style="1" bestFit="1" customWidth="1"/>
    <col min="10766" max="10766" width="14.1796875" style="1" bestFit="1" customWidth="1"/>
    <col min="10767" max="10767" width="13.81640625" style="1" customWidth="1"/>
    <col min="10768" max="10768" width="14.81640625" style="1" customWidth="1"/>
    <col min="10769" max="10769" width="15" style="1" customWidth="1"/>
    <col min="10770" max="10770" width="11" style="1" customWidth="1"/>
    <col min="10771" max="10771" width="8.7265625" style="1" customWidth="1"/>
    <col min="10772" max="10772" width="12.26953125" style="1" customWidth="1"/>
    <col min="10773" max="10773" width="11.54296875" style="1" bestFit="1" customWidth="1"/>
    <col min="10774" max="10774" width="8.7265625" style="1" customWidth="1"/>
    <col min="10775" max="10777" width="9.1796875" style="1"/>
    <col min="10778" max="10778" width="11.54296875" style="1" bestFit="1" customWidth="1"/>
    <col min="10779" max="11008" width="9.1796875" style="1"/>
    <col min="11009" max="11009" width="10.81640625" style="1" customWidth="1"/>
    <col min="11010" max="11010" width="0.1796875" style="1" customWidth="1"/>
    <col min="11011" max="11011" width="0" style="1" hidden="1" customWidth="1"/>
    <col min="11012" max="11012" width="13.54296875" style="1" customWidth="1"/>
    <col min="11013" max="11013" width="10" style="1" customWidth="1"/>
    <col min="11014" max="11014" width="9.7265625" style="1" customWidth="1"/>
    <col min="11015" max="11015" width="0" style="1" hidden="1" customWidth="1"/>
    <col min="11016" max="11016" width="11.26953125" style="1" customWidth="1"/>
    <col min="11017" max="11017" width="11.7265625" style="1" customWidth="1"/>
    <col min="11018" max="11018" width="12" style="1" customWidth="1"/>
    <col min="11019" max="11019" width="10.453125" style="1" customWidth="1"/>
    <col min="11020" max="11020" width="12.7265625" style="1" bestFit="1" customWidth="1"/>
    <col min="11021" max="11021" width="10.7265625" style="1" bestFit="1" customWidth="1"/>
    <col min="11022" max="11022" width="14.1796875" style="1" bestFit="1" customWidth="1"/>
    <col min="11023" max="11023" width="13.81640625" style="1" customWidth="1"/>
    <col min="11024" max="11024" width="14.81640625" style="1" customWidth="1"/>
    <col min="11025" max="11025" width="15" style="1" customWidth="1"/>
    <col min="11026" max="11026" width="11" style="1" customWidth="1"/>
    <col min="11027" max="11027" width="8.7265625" style="1" customWidth="1"/>
    <col min="11028" max="11028" width="12.26953125" style="1" customWidth="1"/>
    <col min="11029" max="11029" width="11.54296875" style="1" bestFit="1" customWidth="1"/>
    <col min="11030" max="11030" width="8.7265625" style="1" customWidth="1"/>
    <col min="11031" max="11033" width="9.1796875" style="1"/>
    <col min="11034" max="11034" width="11.54296875" style="1" bestFit="1" customWidth="1"/>
    <col min="11035" max="11264" width="9.1796875" style="1"/>
    <col min="11265" max="11265" width="10.81640625" style="1" customWidth="1"/>
    <col min="11266" max="11266" width="0.1796875" style="1" customWidth="1"/>
    <col min="11267" max="11267" width="0" style="1" hidden="1" customWidth="1"/>
    <col min="11268" max="11268" width="13.54296875" style="1" customWidth="1"/>
    <col min="11269" max="11269" width="10" style="1" customWidth="1"/>
    <col min="11270" max="11270" width="9.7265625" style="1" customWidth="1"/>
    <col min="11271" max="11271" width="0" style="1" hidden="1" customWidth="1"/>
    <col min="11272" max="11272" width="11.26953125" style="1" customWidth="1"/>
    <col min="11273" max="11273" width="11.7265625" style="1" customWidth="1"/>
    <col min="11274" max="11274" width="12" style="1" customWidth="1"/>
    <col min="11275" max="11275" width="10.453125" style="1" customWidth="1"/>
    <col min="11276" max="11276" width="12.7265625" style="1" bestFit="1" customWidth="1"/>
    <col min="11277" max="11277" width="10.7265625" style="1" bestFit="1" customWidth="1"/>
    <col min="11278" max="11278" width="14.1796875" style="1" bestFit="1" customWidth="1"/>
    <col min="11279" max="11279" width="13.81640625" style="1" customWidth="1"/>
    <col min="11280" max="11280" width="14.81640625" style="1" customWidth="1"/>
    <col min="11281" max="11281" width="15" style="1" customWidth="1"/>
    <col min="11282" max="11282" width="11" style="1" customWidth="1"/>
    <col min="11283" max="11283" width="8.7265625" style="1" customWidth="1"/>
    <col min="11284" max="11284" width="12.26953125" style="1" customWidth="1"/>
    <col min="11285" max="11285" width="11.54296875" style="1" bestFit="1" customWidth="1"/>
    <col min="11286" max="11286" width="8.7265625" style="1" customWidth="1"/>
    <col min="11287" max="11289" width="9.1796875" style="1"/>
    <col min="11290" max="11290" width="11.54296875" style="1" bestFit="1" customWidth="1"/>
    <col min="11291" max="11520" width="9.1796875" style="1"/>
    <col min="11521" max="11521" width="10.81640625" style="1" customWidth="1"/>
    <col min="11522" max="11522" width="0.1796875" style="1" customWidth="1"/>
    <col min="11523" max="11523" width="0" style="1" hidden="1" customWidth="1"/>
    <col min="11524" max="11524" width="13.54296875" style="1" customWidth="1"/>
    <col min="11525" max="11525" width="10" style="1" customWidth="1"/>
    <col min="11526" max="11526" width="9.7265625" style="1" customWidth="1"/>
    <col min="11527" max="11527" width="0" style="1" hidden="1" customWidth="1"/>
    <col min="11528" max="11528" width="11.26953125" style="1" customWidth="1"/>
    <col min="11529" max="11529" width="11.7265625" style="1" customWidth="1"/>
    <col min="11530" max="11530" width="12" style="1" customWidth="1"/>
    <col min="11531" max="11531" width="10.453125" style="1" customWidth="1"/>
    <col min="11532" max="11532" width="12.7265625" style="1" bestFit="1" customWidth="1"/>
    <col min="11533" max="11533" width="10.7265625" style="1" bestFit="1" customWidth="1"/>
    <col min="11534" max="11534" width="14.1796875" style="1" bestFit="1" customWidth="1"/>
    <col min="11535" max="11535" width="13.81640625" style="1" customWidth="1"/>
    <col min="11536" max="11536" width="14.81640625" style="1" customWidth="1"/>
    <col min="11537" max="11537" width="15" style="1" customWidth="1"/>
    <col min="11538" max="11538" width="11" style="1" customWidth="1"/>
    <col min="11539" max="11539" width="8.7265625" style="1" customWidth="1"/>
    <col min="11540" max="11540" width="12.26953125" style="1" customWidth="1"/>
    <col min="11541" max="11541" width="11.54296875" style="1" bestFit="1" customWidth="1"/>
    <col min="11542" max="11542" width="8.7265625" style="1" customWidth="1"/>
    <col min="11543" max="11545" width="9.1796875" style="1"/>
    <col min="11546" max="11546" width="11.54296875" style="1" bestFit="1" customWidth="1"/>
    <col min="11547" max="11776" width="9.1796875" style="1"/>
    <col min="11777" max="11777" width="10.81640625" style="1" customWidth="1"/>
    <col min="11778" max="11778" width="0.1796875" style="1" customWidth="1"/>
    <col min="11779" max="11779" width="0" style="1" hidden="1" customWidth="1"/>
    <col min="11780" max="11780" width="13.54296875" style="1" customWidth="1"/>
    <col min="11781" max="11781" width="10" style="1" customWidth="1"/>
    <col min="11782" max="11782" width="9.7265625" style="1" customWidth="1"/>
    <col min="11783" max="11783" width="0" style="1" hidden="1" customWidth="1"/>
    <col min="11784" max="11784" width="11.26953125" style="1" customWidth="1"/>
    <col min="11785" max="11785" width="11.7265625" style="1" customWidth="1"/>
    <col min="11786" max="11786" width="12" style="1" customWidth="1"/>
    <col min="11787" max="11787" width="10.453125" style="1" customWidth="1"/>
    <col min="11788" max="11788" width="12.7265625" style="1" bestFit="1" customWidth="1"/>
    <col min="11789" max="11789" width="10.7265625" style="1" bestFit="1" customWidth="1"/>
    <col min="11790" max="11790" width="14.1796875" style="1" bestFit="1" customWidth="1"/>
    <col min="11791" max="11791" width="13.81640625" style="1" customWidth="1"/>
    <col min="11792" max="11792" width="14.81640625" style="1" customWidth="1"/>
    <col min="11793" max="11793" width="15" style="1" customWidth="1"/>
    <col min="11794" max="11794" width="11" style="1" customWidth="1"/>
    <col min="11795" max="11795" width="8.7265625" style="1" customWidth="1"/>
    <col min="11796" max="11796" width="12.26953125" style="1" customWidth="1"/>
    <col min="11797" max="11797" width="11.54296875" style="1" bestFit="1" customWidth="1"/>
    <col min="11798" max="11798" width="8.7265625" style="1" customWidth="1"/>
    <col min="11799" max="11801" width="9.1796875" style="1"/>
    <col min="11802" max="11802" width="11.54296875" style="1" bestFit="1" customWidth="1"/>
    <col min="11803" max="12032" width="9.1796875" style="1"/>
    <col min="12033" max="12033" width="10.81640625" style="1" customWidth="1"/>
    <col min="12034" max="12034" width="0.1796875" style="1" customWidth="1"/>
    <col min="12035" max="12035" width="0" style="1" hidden="1" customWidth="1"/>
    <col min="12036" max="12036" width="13.54296875" style="1" customWidth="1"/>
    <col min="12037" max="12037" width="10" style="1" customWidth="1"/>
    <col min="12038" max="12038" width="9.7265625" style="1" customWidth="1"/>
    <col min="12039" max="12039" width="0" style="1" hidden="1" customWidth="1"/>
    <col min="12040" max="12040" width="11.26953125" style="1" customWidth="1"/>
    <col min="12041" max="12041" width="11.7265625" style="1" customWidth="1"/>
    <col min="12042" max="12042" width="12" style="1" customWidth="1"/>
    <col min="12043" max="12043" width="10.453125" style="1" customWidth="1"/>
    <col min="12044" max="12044" width="12.7265625" style="1" bestFit="1" customWidth="1"/>
    <col min="12045" max="12045" width="10.7265625" style="1" bestFit="1" customWidth="1"/>
    <col min="12046" max="12046" width="14.1796875" style="1" bestFit="1" customWidth="1"/>
    <col min="12047" max="12047" width="13.81640625" style="1" customWidth="1"/>
    <col min="12048" max="12048" width="14.81640625" style="1" customWidth="1"/>
    <col min="12049" max="12049" width="15" style="1" customWidth="1"/>
    <col min="12050" max="12050" width="11" style="1" customWidth="1"/>
    <col min="12051" max="12051" width="8.7265625" style="1" customWidth="1"/>
    <col min="12052" max="12052" width="12.26953125" style="1" customWidth="1"/>
    <col min="12053" max="12053" width="11.54296875" style="1" bestFit="1" customWidth="1"/>
    <col min="12054" max="12054" width="8.7265625" style="1" customWidth="1"/>
    <col min="12055" max="12057" width="9.1796875" style="1"/>
    <col min="12058" max="12058" width="11.54296875" style="1" bestFit="1" customWidth="1"/>
    <col min="12059" max="12288" width="9.1796875" style="1"/>
    <col min="12289" max="12289" width="10.81640625" style="1" customWidth="1"/>
    <col min="12290" max="12290" width="0.1796875" style="1" customWidth="1"/>
    <col min="12291" max="12291" width="0" style="1" hidden="1" customWidth="1"/>
    <col min="12292" max="12292" width="13.54296875" style="1" customWidth="1"/>
    <col min="12293" max="12293" width="10" style="1" customWidth="1"/>
    <col min="12294" max="12294" width="9.7265625" style="1" customWidth="1"/>
    <col min="12295" max="12295" width="0" style="1" hidden="1" customWidth="1"/>
    <col min="12296" max="12296" width="11.26953125" style="1" customWidth="1"/>
    <col min="12297" max="12297" width="11.7265625" style="1" customWidth="1"/>
    <col min="12298" max="12298" width="12" style="1" customWidth="1"/>
    <col min="12299" max="12299" width="10.453125" style="1" customWidth="1"/>
    <col min="12300" max="12300" width="12.7265625" style="1" bestFit="1" customWidth="1"/>
    <col min="12301" max="12301" width="10.7265625" style="1" bestFit="1" customWidth="1"/>
    <col min="12302" max="12302" width="14.1796875" style="1" bestFit="1" customWidth="1"/>
    <col min="12303" max="12303" width="13.81640625" style="1" customWidth="1"/>
    <col min="12304" max="12304" width="14.81640625" style="1" customWidth="1"/>
    <col min="12305" max="12305" width="15" style="1" customWidth="1"/>
    <col min="12306" max="12306" width="11" style="1" customWidth="1"/>
    <col min="12307" max="12307" width="8.7265625" style="1" customWidth="1"/>
    <col min="12308" max="12308" width="12.26953125" style="1" customWidth="1"/>
    <col min="12309" max="12309" width="11.54296875" style="1" bestFit="1" customWidth="1"/>
    <col min="12310" max="12310" width="8.7265625" style="1" customWidth="1"/>
    <col min="12311" max="12313" width="9.1796875" style="1"/>
    <col min="12314" max="12314" width="11.54296875" style="1" bestFit="1" customWidth="1"/>
    <col min="12315" max="12544" width="9.1796875" style="1"/>
    <col min="12545" max="12545" width="10.81640625" style="1" customWidth="1"/>
    <col min="12546" max="12546" width="0.1796875" style="1" customWidth="1"/>
    <col min="12547" max="12547" width="0" style="1" hidden="1" customWidth="1"/>
    <col min="12548" max="12548" width="13.54296875" style="1" customWidth="1"/>
    <col min="12549" max="12549" width="10" style="1" customWidth="1"/>
    <col min="12550" max="12550" width="9.7265625" style="1" customWidth="1"/>
    <col min="12551" max="12551" width="0" style="1" hidden="1" customWidth="1"/>
    <col min="12552" max="12552" width="11.26953125" style="1" customWidth="1"/>
    <col min="12553" max="12553" width="11.7265625" style="1" customWidth="1"/>
    <col min="12554" max="12554" width="12" style="1" customWidth="1"/>
    <col min="12555" max="12555" width="10.453125" style="1" customWidth="1"/>
    <col min="12556" max="12556" width="12.7265625" style="1" bestFit="1" customWidth="1"/>
    <col min="12557" max="12557" width="10.7265625" style="1" bestFit="1" customWidth="1"/>
    <col min="12558" max="12558" width="14.1796875" style="1" bestFit="1" customWidth="1"/>
    <col min="12559" max="12559" width="13.81640625" style="1" customWidth="1"/>
    <col min="12560" max="12560" width="14.81640625" style="1" customWidth="1"/>
    <col min="12561" max="12561" width="15" style="1" customWidth="1"/>
    <col min="12562" max="12562" width="11" style="1" customWidth="1"/>
    <col min="12563" max="12563" width="8.7265625" style="1" customWidth="1"/>
    <col min="12564" max="12564" width="12.26953125" style="1" customWidth="1"/>
    <col min="12565" max="12565" width="11.54296875" style="1" bestFit="1" customWidth="1"/>
    <col min="12566" max="12566" width="8.7265625" style="1" customWidth="1"/>
    <col min="12567" max="12569" width="9.1796875" style="1"/>
    <col min="12570" max="12570" width="11.54296875" style="1" bestFit="1" customWidth="1"/>
    <col min="12571" max="12800" width="9.1796875" style="1"/>
    <col min="12801" max="12801" width="10.81640625" style="1" customWidth="1"/>
    <col min="12802" max="12802" width="0.1796875" style="1" customWidth="1"/>
    <col min="12803" max="12803" width="0" style="1" hidden="1" customWidth="1"/>
    <col min="12804" max="12804" width="13.54296875" style="1" customWidth="1"/>
    <col min="12805" max="12805" width="10" style="1" customWidth="1"/>
    <col min="12806" max="12806" width="9.7265625" style="1" customWidth="1"/>
    <col min="12807" max="12807" width="0" style="1" hidden="1" customWidth="1"/>
    <col min="12808" max="12808" width="11.26953125" style="1" customWidth="1"/>
    <col min="12809" max="12809" width="11.7265625" style="1" customWidth="1"/>
    <col min="12810" max="12810" width="12" style="1" customWidth="1"/>
    <col min="12811" max="12811" width="10.453125" style="1" customWidth="1"/>
    <col min="12812" max="12812" width="12.7265625" style="1" bestFit="1" customWidth="1"/>
    <col min="12813" max="12813" width="10.7265625" style="1" bestFit="1" customWidth="1"/>
    <col min="12814" max="12814" width="14.1796875" style="1" bestFit="1" customWidth="1"/>
    <col min="12815" max="12815" width="13.81640625" style="1" customWidth="1"/>
    <col min="12816" max="12816" width="14.81640625" style="1" customWidth="1"/>
    <col min="12817" max="12817" width="15" style="1" customWidth="1"/>
    <col min="12818" max="12818" width="11" style="1" customWidth="1"/>
    <col min="12819" max="12819" width="8.7265625" style="1" customWidth="1"/>
    <col min="12820" max="12820" width="12.26953125" style="1" customWidth="1"/>
    <col min="12821" max="12821" width="11.54296875" style="1" bestFit="1" customWidth="1"/>
    <col min="12822" max="12822" width="8.7265625" style="1" customWidth="1"/>
    <col min="12823" max="12825" width="9.1796875" style="1"/>
    <col min="12826" max="12826" width="11.54296875" style="1" bestFit="1" customWidth="1"/>
    <col min="12827" max="13056" width="9.1796875" style="1"/>
    <col min="13057" max="13057" width="10.81640625" style="1" customWidth="1"/>
    <col min="13058" max="13058" width="0.1796875" style="1" customWidth="1"/>
    <col min="13059" max="13059" width="0" style="1" hidden="1" customWidth="1"/>
    <col min="13060" max="13060" width="13.54296875" style="1" customWidth="1"/>
    <col min="13061" max="13061" width="10" style="1" customWidth="1"/>
    <col min="13062" max="13062" width="9.7265625" style="1" customWidth="1"/>
    <col min="13063" max="13063" width="0" style="1" hidden="1" customWidth="1"/>
    <col min="13064" max="13064" width="11.26953125" style="1" customWidth="1"/>
    <col min="13065" max="13065" width="11.7265625" style="1" customWidth="1"/>
    <col min="13066" max="13066" width="12" style="1" customWidth="1"/>
    <col min="13067" max="13067" width="10.453125" style="1" customWidth="1"/>
    <col min="13068" max="13068" width="12.7265625" style="1" bestFit="1" customWidth="1"/>
    <col min="13069" max="13069" width="10.7265625" style="1" bestFit="1" customWidth="1"/>
    <col min="13070" max="13070" width="14.1796875" style="1" bestFit="1" customWidth="1"/>
    <col min="13071" max="13071" width="13.81640625" style="1" customWidth="1"/>
    <col min="13072" max="13072" width="14.81640625" style="1" customWidth="1"/>
    <col min="13073" max="13073" width="15" style="1" customWidth="1"/>
    <col min="13074" max="13074" width="11" style="1" customWidth="1"/>
    <col min="13075" max="13075" width="8.7265625" style="1" customWidth="1"/>
    <col min="13076" max="13076" width="12.26953125" style="1" customWidth="1"/>
    <col min="13077" max="13077" width="11.54296875" style="1" bestFit="1" customWidth="1"/>
    <col min="13078" max="13078" width="8.7265625" style="1" customWidth="1"/>
    <col min="13079" max="13081" width="9.1796875" style="1"/>
    <col min="13082" max="13082" width="11.54296875" style="1" bestFit="1" customWidth="1"/>
    <col min="13083" max="13312" width="9.1796875" style="1"/>
    <col min="13313" max="13313" width="10.81640625" style="1" customWidth="1"/>
    <col min="13314" max="13314" width="0.1796875" style="1" customWidth="1"/>
    <col min="13315" max="13315" width="0" style="1" hidden="1" customWidth="1"/>
    <col min="13316" max="13316" width="13.54296875" style="1" customWidth="1"/>
    <col min="13317" max="13317" width="10" style="1" customWidth="1"/>
    <col min="13318" max="13318" width="9.7265625" style="1" customWidth="1"/>
    <col min="13319" max="13319" width="0" style="1" hidden="1" customWidth="1"/>
    <col min="13320" max="13320" width="11.26953125" style="1" customWidth="1"/>
    <col min="13321" max="13321" width="11.7265625" style="1" customWidth="1"/>
    <col min="13322" max="13322" width="12" style="1" customWidth="1"/>
    <col min="13323" max="13323" width="10.453125" style="1" customWidth="1"/>
    <col min="13324" max="13324" width="12.7265625" style="1" bestFit="1" customWidth="1"/>
    <col min="13325" max="13325" width="10.7265625" style="1" bestFit="1" customWidth="1"/>
    <col min="13326" max="13326" width="14.1796875" style="1" bestFit="1" customWidth="1"/>
    <col min="13327" max="13327" width="13.81640625" style="1" customWidth="1"/>
    <col min="13328" max="13328" width="14.81640625" style="1" customWidth="1"/>
    <col min="13329" max="13329" width="15" style="1" customWidth="1"/>
    <col min="13330" max="13330" width="11" style="1" customWidth="1"/>
    <col min="13331" max="13331" width="8.7265625" style="1" customWidth="1"/>
    <col min="13332" max="13332" width="12.26953125" style="1" customWidth="1"/>
    <col min="13333" max="13333" width="11.54296875" style="1" bestFit="1" customWidth="1"/>
    <col min="13334" max="13334" width="8.7265625" style="1" customWidth="1"/>
    <col min="13335" max="13337" width="9.1796875" style="1"/>
    <col min="13338" max="13338" width="11.54296875" style="1" bestFit="1" customWidth="1"/>
    <col min="13339" max="13568" width="9.1796875" style="1"/>
    <col min="13569" max="13569" width="10.81640625" style="1" customWidth="1"/>
    <col min="13570" max="13570" width="0.1796875" style="1" customWidth="1"/>
    <col min="13571" max="13571" width="0" style="1" hidden="1" customWidth="1"/>
    <col min="13572" max="13572" width="13.54296875" style="1" customWidth="1"/>
    <col min="13573" max="13573" width="10" style="1" customWidth="1"/>
    <col min="13574" max="13574" width="9.7265625" style="1" customWidth="1"/>
    <col min="13575" max="13575" width="0" style="1" hidden="1" customWidth="1"/>
    <col min="13576" max="13576" width="11.26953125" style="1" customWidth="1"/>
    <col min="13577" max="13577" width="11.7265625" style="1" customWidth="1"/>
    <col min="13578" max="13578" width="12" style="1" customWidth="1"/>
    <col min="13579" max="13579" width="10.453125" style="1" customWidth="1"/>
    <col min="13580" max="13580" width="12.7265625" style="1" bestFit="1" customWidth="1"/>
    <col min="13581" max="13581" width="10.7265625" style="1" bestFit="1" customWidth="1"/>
    <col min="13582" max="13582" width="14.1796875" style="1" bestFit="1" customWidth="1"/>
    <col min="13583" max="13583" width="13.81640625" style="1" customWidth="1"/>
    <col min="13584" max="13584" width="14.81640625" style="1" customWidth="1"/>
    <col min="13585" max="13585" width="15" style="1" customWidth="1"/>
    <col min="13586" max="13586" width="11" style="1" customWidth="1"/>
    <col min="13587" max="13587" width="8.7265625" style="1" customWidth="1"/>
    <col min="13588" max="13588" width="12.26953125" style="1" customWidth="1"/>
    <col min="13589" max="13589" width="11.54296875" style="1" bestFit="1" customWidth="1"/>
    <col min="13590" max="13590" width="8.7265625" style="1" customWidth="1"/>
    <col min="13591" max="13593" width="9.1796875" style="1"/>
    <col min="13594" max="13594" width="11.54296875" style="1" bestFit="1" customWidth="1"/>
    <col min="13595" max="13824" width="9.1796875" style="1"/>
    <col min="13825" max="13825" width="10.81640625" style="1" customWidth="1"/>
    <col min="13826" max="13826" width="0.1796875" style="1" customWidth="1"/>
    <col min="13827" max="13827" width="0" style="1" hidden="1" customWidth="1"/>
    <col min="13828" max="13828" width="13.54296875" style="1" customWidth="1"/>
    <col min="13829" max="13829" width="10" style="1" customWidth="1"/>
    <col min="13830" max="13830" width="9.7265625" style="1" customWidth="1"/>
    <col min="13831" max="13831" width="0" style="1" hidden="1" customWidth="1"/>
    <col min="13832" max="13832" width="11.26953125" style="1" customWidth="1"/>
    <col min="13833" max="13833" width="11.7265625" style="1" customWidth="1"/>
    <col min="13834" max="13834" width="12" style="1" customWidth="1"/>
    <col min="13835" max="13835" width="10.453125" style="1" customWidth="1"/>
    <col min="13836" max="13836" width="12.7265625" style="1" bestFit="1" customWidth="1"/>
    <col min="13837" max="13837" width="10.7265625" style="1" bestFit="1" customWidth="1"/>
    <col min="13838" max="13838" width="14.1796875" style="1" bestFit="1" customWidth="1"/>
    <col min="13839" max="13839" width="13.81640625" style="1" customWidth="1"/>
    <col min="13840" max="13840" width="14.81640625" style="1" customWidth="1"/>
    <col min="13841" max="13841" width="15" style="1" customWidth="1"/>
    <col min="13842" max="13842" width="11" style="1" customWidth="1"/>
    <col min="13843" max="13843" width="8.7265625" style="1" customWidth="1"/>
    <col min="13844" max="13844" width="12.26953125" style="1" customWidth="1"/>
    <col min="13845" max="13845" width="11.54296875" style="1" bestFit="1" customWidth="1"/>
    <col min="13846" max="13846" width="8.7265625" style="1" customWidth="1"/>
    <col min="13847" max="13849" width="9.1796875" style="1"/>
    <col min="13850" max="13850" width="11.54296875" style="1" bestFit="1" customWidth="1"/>
    <col min="13851" max="14080" width="9.1796875" style="1"/>
    <col min="14081" max="14081" width="10.81640625" style="1" customWidth="1"/>
    <col min="14082" max="14082" width="0.1796875" style="1" customWidth="1"/>
    <col min="14083" max="14083" width="0" style="1" hidden="1" customWidth="1"/>
    <col min="14084" max="14084" width="13.54296875" style="1" customWidth="1"/>
    <col min="14085" max="14085" width="10" style="1" customWidth="1"/>
    <col min="14086" max="14086" width="9.7265625" style="1" customWidth="1"/>
    <col min="14087" max="14087" width="0" style="1" hidden="1" customWidth="1"/>
    <col min="14088" max="14088" width="11.26953125" style="1" customWidth="1"/>
    <col min="14089" max="14089" width="11.7265625" style="1" customWidth="1"/>
    <col min="14090" max="14090" width="12" style="1" customWidth="1"/>
    <col min="14091" max="14091" width="10.453125" style="1" customWidth="1"/>
    <col min="14092" max="14092" width="12.7265625" style="1" bestFit="1" customWidth="1"/>
    <col min="14093" max="14093" width="10.7265625" style="1" bestFit="1" customWidth="1"/>
    <col min="14094" max="14094" width="14.1796875" style="1" bestFit="1" customWidth="1"/>
    <col min="14095" max="14095" width="13.81640625" style="1" customWidth="1"/>
    <col min="14096" max="14096" width="14.81640625" style="1" customWidth="1"/>
    <col min="14097" max="14097" width="15" style="1" customWidth="1"/>
    <col min="14098" max="14098" width="11" style="1" customWidth="1"/>
    <col min="14099" max="14099" width="8.7265625" style="1" customWidth="1"/>
    <col min="14100" max="14100" width="12.26953125" style="1" customWidth="1"/>
    <col min="14101" max="14101" width="11.54296875" style="1" bestFit="1" customWidth="1"/>
    <col min="14102" max="14102" width="8.7265625" style="1" customWidth="1"/>
    <col min="14103" max="14105" width="9.1796875" style="1"/>
    <col min="14106" max="14106" width="11.54296875" style="1" bestFit="1" customWidth="1"/>
    <col min="14107" max="14336" width="9.1796875" style="1"/>
    <col min="14337" max="14337" width="10.81640625" style="1" customWidth="1"/>
    <col min="14338" max="14338" width="0.1796875" style="1" customWidth="1"/>
    <col min="14339" max="14339" width="0" style="1" hidden="1" customWidth="1"/>
    <col min="14340" max="14340" width="13.54296875" style="1" customWidth="1"/>
    <col min="14341" max="14341" width="10" style="1" customWidth="1"/>
    <col min="14342" max="14342" width="9.7265625" style="1" customWidth="1"/>
    <col min="14343" max="14343" width="0" style="1" hidden="1" customWidth="1"/>
    <col min="14344" max="14344" width="11.26953125" style="1" customWidth="1"/>
    <col min="14345" max="14345" width="11.7265625" style="1" customWidth="1"/>
    <col min="14346" max="14346" width="12" style="1" customWidth="1"/>
    <col min="14347" max="14347" width="10.453125" style="1" customWidth="1"/>
    <col min="14348" max="14348" width="12.7265625" style="1" bestFit="1" customWidth="1"/>
    <col min="14349" max="14349" width="10.7265625" style="1" bestFit="1" customWidth="1"/>
    <col min="14350" max="14350" width="14.1796875" style="1" bestFit="1" customWidth="1"/>
    <col min="14351" max="14351" width="13.81640625" style="1" customWidth="1"/>
    <col min="14352" max="14352" width="14.81640625" style="1" customWidth="1"/>
    <col min="14353" max="14353" width="15" style="1" customWidth="1"/>
    <col min="14354" max="14354" width="11" style="1" customWidth="1"/>
    <col min="14355" max="14355" width="8.7265625" style="1" customWidth="1"/>
    <col min="14356" max="14356" width="12.26953125" style="1" customWidth="1"/>
    <col min="14357" max="14357" width="11.54296875" style="1" bestFit="1" customWidth="1"/>
    <col min="14358" max="14358" width="8.7265625" style="1" customWidth="1"/>
    <col min="14359" max="14361" width="9.1796875" style="1"/>
    <col min="14362" max="14362" width="11.54296875" style="1" bestFit="1" customWidth="1"/>
    <col min="14363" max="14592" width="9.1796875" style="1"/>
    <col min="14593" max="14593" width="10.81640625" style="1" customWidth="1"/>
    <col min="14594" max="14594" width="0.1796875" style="1" customWidth="1"/>
    <col min="14595" max="14595" width="0" style="1" hidden="1" customWidth="1"/>
    <col min="14596" max="14596" width="13.54296875" style="1" customWidth="1"/>
    <col min="14597" max="14597" width="10" style="1" customWidth="1"/>
    <col min="14598" max="14598" width="9.7265625" style="1" customWidth="1"/>
    <col min="14599" max="14599" width="0" style="1" hidden="1" customWidth="1"/>
    <col min="14600" max="14600" width="11.26953125" style="1" customWidth="1"/>
    <col min="14601" max="14601" width="11.7265625" style="1" customWidth="1"/>
    <col min="14602" max="14602" width="12" style="1" customWidth="1"/>
    <col min="14603" max="14603" width="10.453125" style="1" customWidth="1"/>
    <col min="14604" max="14604" width="12.7265625" style="1" bestFit="1" customWidth="1"/>
    <col min="14605" max="14605" width="10.7265625" style="1" bestFit="1" customWidth="1"/>
    <col min="14606" max="14606" width="14.1796875" style="1" bestFit="1" customWidth="1"/>
    <col min="14607" max="14607" width="13.81640625" style="1" customWidth="1"/>
    <col min="14608" max="14608" width="14.81640625" style="1" customWidth="1"/>
    <col min="14609" max="14609" width="15" style="1" customWidth="1"/>
    <col min="14610" max="14610" width="11" style="1" customWidth="1"/>
    <col min="14611" max="14611" width="8.7265625" style="1" customWidth="1"/>
    <col min="14612" max="14612" width="12.26953125" style="1" customWidth="1"/>
    <col min="14613" max="14613" width="11.54296875" style="1" bestFit="1" customWidth="1"/>
    <col min="14614" max="14614" width="8.7265625" style="1" customWidth="1"/>
    <col min="14615" max="14617" width="9.1796875" style="1"/>
    <col min="14618" max="14618" width="11.54296875" style="1" bestFit="1" customWidth="1"/>
    <col min="14619" max="14848" width="9.1796875" style="1"/>
    <col min="14849" max="14849" width="10.81640625" style="1" customWidth="1"/>
    <col min="14850" max="14850" width="0.1796875" style="1" customWidth="1"/>
    <col min="14851" max="14851" width="0" style="1" hidden="1" customWidth="1"/>
    <col min="14852" max="14852" width="13.54296875" style="1" customWidth="1"/>
    <col min="14853" max="14853" width="10" style="1" customWidth="1"/>
    <col min="14854" max="14854" width="9.7265625" style="1" customWidth="1"/>
    <col min="14855" max="14855" width="0" style="1" hidden="1" customWidth="1"/>
    <col min="14856" max="14856" width="11.26953125" style="1" customWidth="1"/>
    <col min="14857" max="14857" width="11.7265625" style="1" customWidth="1"/>
    <col min="14858" max="14858" width="12" style="1" customWidth="1"/>
    <col min="14859" max="14859" width="10.453125" style="1" customWidth="1"/>
    <col min="14860" max="14860" width="12.7265625" style="1" bestFit="1" customWidth="1"/>
    <col min="14861" max="14861" width="10.7265625" style="1" bestFit="1" customWidth="1"/>
    <col min="14862" max="14862" width="14.1796875" style="1" bestFit="1" customWidth="1"/>
    <col min="14863" max="14863" width="13.81640625" style="1" customWidth="1"/>
    <col min="14864" max="14864" width="14.81640625" style="1" customWidth="1"/>
    <col min="14865" max="14865" width="15" style="1" customWidth="1"/>
    <col min="14866" max="14866" width="11" style="1" customWidth="1"/>
    <col min="14867" max="14867" width="8.7265625" style="1" customWidth="1"/>
    <col min="14868" max="14868" width="12.26953125" style="1" customWidth="1"/>
    <col min="14869" max="14869" width="11.54296875" style="1" bestFit="1" customWidth="1"/>
    <col min="14870" max="14870" width="8.7265625" style="1" customWidth="1"/>
    <col min="14871" max="14873" width="9.1796875" style="1"/>
    <col min="14874" max="14874" width="11.54296875" style="1" bestFit="1" customWidth="1"/>
    <col min="14875" max="15104" width="9.1796875" style="1"/>
    <col min="15105" max="15105" width="10.81640625" style="1" customWidth="1"/>
    <col min="15106" max="15106" width="0.1796875" style="1" customWidth="1"/>
    <col min="15107" max="15107" width="0" style="1" hidden="1" customWidth="1"/>
    <col min="15108" max="15108" width="13.54296875" style="1" customWidth="1"/>
    <col min="15109" max="15109" width="10" style="1" customWidth="1"/>
    <col min="15110" max="15110" width="9.7265625" style="1" customWidth="1"/>
    <col min="15111" max="15111" width="0" style="1" hidden="1" customWidth="1"/>
    <col min="15112" max="15112" width="11.26953125" style="1" customWidth="1"/>
    <col min="15113" max="15113" width="11.7265625" style="1" customWidth="1"/>
    <col min="15114" max="15114" width="12" style="1" customWidth="1"/>
    <col min="15115" max="15115" width="10.453125" style="1" customWidth="1"/>
    <col min="15116" max="15116" width="12.7265625" style="1" bestFit="1" customWidth="1"/>
    <col min="15117" max="15117" width="10.7265625" style="1" bestFit="1" customWidth="1"/>
    <col min="15118" max="15118" width="14.1796875" style="1" bestFit="1" customWidth="1"/>
    <col min="15119" max="15119" width="13.81640625" style="1" customWidth="1"/>
    <col min="15120" max="15120" width="14.81640625" style="1" customWidth="1"/>
    <col min="15121" max="15121" width="15" style="1" customWidth="1"/>
    <col min="15122" max="15122" width="11" style="1" customWidth="1"/>
    <col min="15123" max="15123" width="8.7265625" style="1" customWidth="1"/>
    <col min="15124" max="15124" width="12.26953125" style="1" customWidth="1"/>
    <col min="15125" max="15125" width="11.54296875" style="1" bestFit="1" customWidth="1"/>
    <col min="15126" max="15126" width="8.7265625" style="1" customWidth="1"/>
    <col min="15127" max="15129" width="9.1796875" style="1"/>
    <col min="15130" max="15130" width="11.54296875" style="1" bestFit="1" customWidth="1"/>
    <col min="15131" max="15360" width="9.1796875" style="1"/>
    <col min="15361" max="15361" width="10.81640625" style="1" customWidth="1"/>
    <col min="15362" max="15362" width="0.1796875" style="1" customWidth="1"/>
    <col min="15363" max="15363" width="0" style="1" hidden="1" customWidth="1"/>
    <col min="15364" max="15364" width="13.54296875" style="1" customWidth="1"/>
    <col min="15365" max="15365" width="10" style="1" customWidth="1"/>
    <col min="15366" max="15366" width="9.7265625" style="1" customWidth="1"/>
    <col min="15367" max="15367" width="0" style="1" hidden="1" customWidth="1"/>
    <col min="15368" max="15368" width="11.26953125" style="1" customWidth="1"/>
    <col min="15369" max="15369" width="11.7265625" style="1" customWidth="1"/>
    <col min="15370" max="15370" width="12" style="1" customWidth="1"/>
    <col min="15371" max="15371" width="10.453125" style="1" customWidth="1"/>
    <col min="15372" max="15372" width="12.7265625" style="1" bestFit="1" customWidth="1"/>
    <col min="15373" max="15373" width="10.7265625" style="1" bestFit="1" customWidth="1"/>
    <col min="15374" max="15374" width="14.1796875" style="1" bestFit="1" customWidth="1"/>
    <col min="15375" max="15375" width="13.81640625" style="1" customWidth="1"/>
    <col min="15376" max="15376" width="14.81640625" style="1" customWidth="1"/>
    <col min="15377" max="15377" width="15" style="1" customWidth="1"/>
    <col min="15378" max="15378" width="11" style="1" customWidth="1"/>
    <col min="15379" max="15379" width="8.7265625" style="1" customWidth="1"/>
    <col min="15380" max="15380" width="12.26953125" style="1" customWidth="1"/>
    <col min="15381" max="15381" width="11.54296875" style="1" bestFit="1" customWidth="1"/>
    <col min="15382" max="15382" width="8.7265625" style="1" customWidth="1"/>
    <col min="15383" max="15385" width="9.1796875" style="1"/>
    <col min="15386" max="15386" width="11.54296875" style="1" bestFit="1" customWidth="1"/>
    <col min="15387" max="15616" width="9.1796875" style="1"/>
    <col min="15617" max="15617" width="10.81640625" style="1" customWidth="1"/>
    <col min="15618" max="15618" width="0.1796875" style="1" customWidth="1"/>
    <col min="15619" max="15619" width="0" style="1" hidden="1" customWidth="1"/>
    <col min="15620" max="15620" width="13.54296875" style="1" customWidth="1"/>
    <col min="15621" max="15621" width="10" style="1" customWidth="1"/>
    <col min="15622" max="15622" width="9.7265625" style="1" customWidth="1"/>
    <col min="15623" max="15623" width="0" style="1" hidden="1" customWidth="1"/>
    <col min="15624" max="15624" width="11.26953125" style="1" customWidth="1"/>
    <col min="15625" max="15625" width="11.7265625" style="1" customWidth="1"/>
    <col min="15626" max="15626" width="12" style="1" customWidth="1"/>
    <col min="15627" max="15627" width="10.453125" style="1" customWidth="1"/>
    <col min="15628" max="15628" width="12.7265625" style="1" bestFit="1" customWidth="1"/>
    <col min="15629" max="15629" width="10.7265625" style="1" bestFit="1" customWidth="1"/>
    <col min="15630" max="15630" width="14.1796875" style="1" bestFit="1" customWidth="1"/>
    <col min="15631" max="15631" width="13.81640625" style="1" customWidth="1"/>
    <col min="15632" max="15632" width="14.81640625" style="1" customWidth="1"/>
    <col min="15633" max="15633" width="15" style="1" customWidth="1"/>
    <col min="15634" max="15634" width="11" style="1" customWidth="1"/>
    <col min="15635" max="15635" width="8.7265625" style="1" customWidth="1"/>
    <col min="15636" max="15636" width="12.26953125" style="1" customWidth="1"/>
    <col min="15637" max="15637" width="11.54296875" style="1" bestFit="1" customWidth="1"/>
    <col min="15638" max="15638" width="8.7265625" style="1" customWidth="1"/>
    <col min="15639" max="15641" width="9.1796875" style="1"/>
    <col min="15642" max="15642" width="11.54296875" style="1" bestFit="1" customWidth="1"/>
    <col min="15643" max="15872" width="9.1796875" style="1"/>
    <col min="15873" max="15873" width="10.81640625" style="1" customWidth="1"/>
    <col min="15874" max="15874" width="0.1796875" style="1" customWidth="1"/>
    <col min="15875" max="15875" width="0" style="1" hidden="1" customWidth="1"/>
    <col min="15876" max="15876" width="13.54296875" style="1" customWidth="1"/>
    <col min="15877" max="15877" width="10" style="1" customWidth="1"/>
    <col min="15878" max="15878" width="9.7265625" style="1" customWidth="1"/>
    <col min="15879" max="15879" width="0" style="1" hidden="1" customWidth="1"/>
    <col min="15880" max="15880" width="11.26953125" style="1" customWidth="1"/>
    <col min="15881" max="15881" width="11.7265625" style="1" customWidth="1"/>
    <col min="15882" max="15882" width="12" style="1" customWidth="1"/>
    <col min="15883" max="15883" width="10.453125" style="1" customWidth="1"/>
    <col min="15884" max="15884" width="12.7265625" style="1" bestFit="1" customWidth="1"/>
    <col min="15885" max="15885" width="10.7265625" style="1" bestFit="1" customWidth="1"/>
    <col min="15886" max="15886" width="14.1796875" style="1" bestFit="1" customWidth="1"/>
    <col min="15887" max="15887" width="13.81640625" style="1" customWidth="1"/>
    <col min="15888" max="15888" width="14.81640625" style="1" customWidth="1"/>
    <col min="15889" max="15889" width="15" style="1" customWidth="1"/>
    <col min="15890" max="15890" width="11" style="1" customWidth="1"/>
    <col min="15891" max="15891" width="8.7265625" style="1" customWidth="1"/>
    <col min="15892" max="15892" width="12.26953125" style="1" customWidth="1"/>
    <col min="15893" max="15893" width="11.54296875" style="1" bestFit="1" customWidth="1"/>
    <col min="15894" max="15894" width="8.7265625" style="1" customWidth="1"/>
    <col min="15895" max="15897" width="9.1796875" style="1"/>
    <col min="15898" max="15898" width="11.54296875" style="1" bestFit="1" customWidth="1"/>
    <col min="15899" max="16128" width="9.1796875" style="1"/>
    <col min="16129" max="16129" width="10.81640625" style="1" customWidth="1"/>
    <col min="16130" max="16130" width="0.1796875" style="1" customWidth="1"/>
    <col min="16131" max="16131" width="0" style="1" hidden="1" customWidth="1"/>
    <col min="16132" max="16132" width="13.54296875" style="1" customWidth="1"/>
    <col min="16133" max="16133" width="10" style="1" customWidth="1"/>
    <col min="16134" max="16134" width="9.7265625" style="1" customWidth="1"/>
    <col min="16135" max="16135" width="0" style="1" hidden="1" customWidth="1"/>
    <col min="16136" max="16136" width="11.26953125" style="1" customWidth="1"/>
    <col min="16137" max="16137" width="11.7265625" style="1" customWidth="1"/>
    <col min="16138" max="16138" width="12" style="1" customWidth="1"/>
    <col min="16139" max="16139" width="10.453125" style="1" customWidth="1"/>
    <col min="16140" max="16140" width="12.7265625" style="1" bestFit="1" customWidth="1"/>
    <col min="16141" max="16141" width="10.7265625" style="1" bestFit="1" customWidth="1"/>
    <col min="16142" max="16142" width="14.1796875" style="1" bestFit="1" customWidth="1"/>
    <col min="16143" max="16143" width="13.81640625" style="1" customWidth="1"/>
    <col min="16144" max="16144" width="14.81640625" style="1" customWidth="1"/>
    <col min="16145" max="16145" width="15" style="1" customWidth="1"/>
    <col min="16146" max="16146" width="11" style="1" customWidth="1"/>
    <col min="16147" max="16147" width="8.7265625" style="1" customWidth="1"/>
    <col min="16148" max="16148" width="12.26953125" style="1" customWidth="1"/>
    <col min="16149" max="16149" width="11.54296875" style="1" bestFit="1" customWidth="1"/>
    <col min="16150" max="16150" width="8.7265625" style="1" customWidth="1"/>
    <col min="16151" max="16153" width="9.1796875" style="1"/>
    <col min="16154" max="16154" width="11.54296875" style="1" bestFit="1" customWidth="1"/>
    <col min="16155" max="16384" width="9.1796875" style="1"/>
  </cols>
  <sheetData>
    <row r="1" spans="1:41" ht="35.25" customHeight="1" thickBot="1" x14ac:dyDescent="0.4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" thickBot="1" x14ac:dyDescent="0.4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" thickBot="1" x14ac:dyDescent="0.4">
      <c r="A3" s="56">
        <v>44197</v>
      </c>
      <c r="B3" s="57"/>
      <c r="C3" s="57"/>
      <c r="D3" s="169">
        <v>0.14199999999999999</v>
      </c>
      <c r="E3" s="170">
        <v>6807.857</v>
      </c>
      <c r="F3" s="171">
        <v>322.33300000000003</v>
      </c>
      <c r="G3" s="172">
        <v>183.67</v>
      </c>
      <c r="H3" s="173"/>
      <c r="I3" s="173">
        <v>20488.859999998404</v>
      </c>
      <c r="J3" s="173">
        <v>1113.6600000000226</v>
      </c>
      <c r="K3" s="174">
        <v>5.4354415033345406E-2</v>
      </c>
      <c r="L3" s="173">
        <v>194.57999999998776</v>
      </c>
      <c r="M3" s="175">
        <v>9.496868054152497E-3</v>
      </c>
      <c r="N3" s="176">
        <v>66068309</v>
      </c>
      <c r="O3" s="17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" thickBot="1" x14ac:dyDescent="0.4">
      <c r="A4" s="56">
        <v>44198</v>
      </c>
      <c r="D4" s="169">
        <v>0.14199999999999999</v>
      </c>
      <c r="E4" s="170">
        <v>6812.8440000000001</v>
      </c>
      <c r="F4" s="171">
        <v>322.64999999999998</v>
      </c>
      <c r="G4" s="172">
        <v>183.709</v>
      </c>
      <c r="H4" s="173"/>
      <c r="I4" s="173">
        <v>20646.180000000331</v>
      </c>
      <c r="J4" s="173">
        <v>1312.3799999997948</v>
      </c>
      <c r="K4" s="174">
        <v>6.3565269701212221E-2</v>
      </c>
      <c r="L4" s="173">
        <v>161.46000000006495</v>
      </c>
      <c r="M4" s="175">
        <v>7.820332865453191E-3</v>
      </c>
      <c r="N4" s="176">
        <v>66068309</v>
      </c>
      <c r="O4" s="17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" thickBot="1" x14ac:dyDescent="0.4">
      <c r="A5" s="56">
        <v>44199</v>
      </c>
      <c r="D5" s="169">
        <v>0.14199999999999999</v>
      </c>
      <c r="E5" s="170">
        <v>6817.741</v>
      </c>
      <c r="F5" s="171">
        <v>322.85500000000002</v>
      </c>
      <c r="G5" s="172">
        <v>183.74100000000001</v>
      </c>
      <c r="H5" s="173"/>
      <c r="I5" s="173">
        <v>20273.579999999729</v>
      </c>
      <c r="J5" s="173">
        <v>848.70000000016944</v>
      </c>
      <c r="K5" s="174">
        <v>4.1862364713098565E-2</v>
      </c>
      <c r="L5" s="173">
        <v>132.48000000004424</v>
      </c>
      <c r="M5" s="175">
        <v>6.5346130283869949E-3</v>
      </c>
      <c r="N5" s="176">
        <v>66068309</v>
      </c>
      <c r="O5" s="17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" thickBot="1" x14ac:dyDescent="0.4">
      <c r="A6" s="56">
        <v>44200</v>
      </c>
      <c r="D6" s="169">
        <v>0.14199999999999999</v>
      </c>
      <c r="E6" s="170">
        <v>6822.43</v>
      </c>
      <c r="F6" s="171">
        <v>323.13099999999997</v>
      </c>
      <c r="G6" s="172">
        <v>183.78100000000001</v>
      </c>
      <c r="H6" s="173"/>
      <c r="I6" s="173">
        <v>19412.460000001265</v>
      </c>
      <c r="J6" s="173">
        <v>1142.639999999808</v>
      </c>
      <c r="K6" s="174">
        <v>5.8861164427369508E-2</v>
      </c>
      <c r="L6" s="173">
        <v>165.59999999996705</v>
      </c>
      <c r="M6" s="175">
        <v>8.5306035401982155E-3</v>
      </c>
      <c r="N6" s="176">
        <v>66068309</v>
      </c>
      <c r="O6" s="17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" thickBot="1" x14ac:dyDescent="0.4">
      <c r="A7" s="56">
        <v>44201</v>
      </c>
      <c r="D7" s="169">
        <v>0.14199999999999999</v>
      </c>
      <c r="E7" s="170">
        <v>6827.3609999999999</v>
      </c>
      <c r="F7" s="171">
        <v>323.40699999999998</v>
      </c>
      <c r="G7" s="172">
        <v>183.809</v>
      </c>
      <c r="H7" s="173"/>
      <c r="I7" s="173">
        <v>20414.339999998283</v>
      </c>
      <c r="J7" s="173">
        <v>1142.6400000000433</v>
      </c>
      <c r="K7" s="174">
        <v>5.5972419387554991E-2</v>
      </c>
      <c r="L7" s="173">
        <v>115.91999999996517</v>
      </c>
      <c r="M7" s="175">
        <v>5.6783613871413388E-3</v>
      </c>
      <c r="N7" s="176">
        <v>66068309</v>
      </c>
      <c r="O7" s="17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" thickBot="1" x14ac:dyDescent="0.4">
      <c r="A8" s="56">
        <v>44202</v>
      </c>
      <c r="D8" s="169">
        <v>0.14199999999999999</v>
      </c>
      <c r="E8" s="170">
        <v>6832.3890000000001</v>
      </c>
      <c r="F8" s="171">
        <v>323.7</v>
      </c>
      <c r="G8" s="172">
        <v>183.83199999999999</v>
      </c>
      <c r="H8" s="173"/>
      <c r="I8" s="173">
        <v>20815.920000001024</v>
      </c>
      <c r="J8" s="173">
        <v>1213.0200000000264</v>
      </c>
      <c r="K8" s="174">
        <v>5.8273667462210015E-2</v>
      </c>
      <c r="L8" s="173">
        <v>95.219999999983997</v>
      </c>
      <c r="M8" s="175">
        <v>4.574383452664082E-3</v>
      </c>
      <c r="N8" s="176">
        <v>66068309</v>
      </c>
      <c r="O8" s="17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" thickBot="1" x14ac:dyDescent="0.4">
      <c r="A9" s="56">
        <v>44203</v>
      </c>
      <c r="D9" s="169">
        <v>0.14199999999999999</v>
      </c>
      <c r="E9" s="170">
        <v>6837.616</v>
      </c>
      <c r="F9" s="171">
        <v>323.923</v>
      </c>
      <c r="G9" s="172">
        <v>183.87200000000001</v>
      </c>
      <c r="H9" s="173"/>
      <c r="I9" s="173">
        <v>21639.779999999428</v>
      </c>
      <c r="J9" s="173">
        <v>923.2200000000546</v>
      </c>
      <c r="K9" s="174">
        <v>4.2663095465854041E-2</v>
      </c>
      <c r="L9" s="173">
        <v>165.60000000008472</v>
      </c>
      <c r="M9" s="175">
        <v>7.6525731777351298E-3</v>
      </c>
      <c r="N9" s="176">
        <v>66068309</v>
      </c>
      <c r="O9" s="17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" thickBot="1" x14ac:dyDescent="0.4">
      <c r="A10" s="56">
        <v>44204</v>
      </c>
      <c r="D10" s="169">
        <v>0.14199999999999999</v>
      </c>
      <c r="E10" s="170">
        <v>6842.268</v>
      </c>
      <c r="F10" s="171">
        <v>324.10500000000002</v>
      </c>
      <c r="G10" s="172">
        <v>183.90899999999999</v>
      </c>
      <c r="H10" s="173"/>
      <c r="I10" s="173">
        <v>19259.280000000181</v>
      </c>
      <c r="J10" s="173">
        <v>753.48000000006778</v>
      </c>
      <c r="K10" s="174">
        <v>3.9122957867586988E-2</v>
      </c>
      <c r="L10" s="173">
        <v>153.17999999990775</v>
      </c>
      <c r="M10" s="175">
        <v>7.9535683576907497E-3</v>
      </c>
      <c r="N10" s="176">
        <v>66068309</v>
      </c>
      <c r="O10" s="17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" thickBot="1" x14ac:dyDescent="0.4">
      <c r="A11" s="56">
        <v>44205</v>
      </c>
      <c r="D11" s="169">
        <v>0.14199999999999999</v>
      </c>
      <c r="E11" s="170">
        <v>6847.5590000000002</v>
      </c>
      <c r="F11" s="171">
        <v>324.29399999999998</v>
      </c>
      <c r="G11" s="172">
        <v>183.94399999999999</v>
      </c>
      <c r="H11" s="173"/>
      <c r="I11" s="173">
        <v>21904.740000000693</v>
      </c>
      <c r="J11" s="173">
        <v>782.45999999985315</v>
      </c>
      <c r="K11" s="174">
        <v>3.5721035721027888E-2</v>
      </c>
      <c r="L11" s="173">
        <v>144.89999999998588</v>
      </c>
      <c r="M11" s="175">
        <v>6.6150066150057613E-3</v>
      </c>
      <c r="N11" s="176">
        <v>66068309</v>
      </c>
      <c r="O11" s="17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" thickBot="1" x14ac:dyDescent="0.4">
      <c r="A12" s="56">
        <v>44206</v>
      </c>
      <c r="D12" s="169">
        <v>0.14199999999999999</v>
      </c>
      <c r="E12" s="170">
        <v>6852.2240000000002</v>
      </c>
      <c r="F12" s="171">
        <v>324.45400000000001</v>
      </c>
      <c r="G12" s="172">
        <v>183.98599999999999</v>
      </c>
      <c r="H12" s="173"/>
      <c r="I12" s="173">
        <v>19313.099999999849</v>
      </c>
      <c r="J12" s="173">
        <v>662.40000000010355</v>
      </c>
      <c r="K12" s="174">
        <v>3.4297963558419346E-2</v>
      </c>
      <c r="L12" s="173">
        <v>173.88000000000659</v>
      </c>
      <c r="M12" s="175">
        <v>9.003215434084012E-3</v>
      </c>
      <c r="N12" s="176">
        <v>66068309</v>
      </c>
      <c r="O12" s="17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" thickBot="1" x14ac:dyDescent="0.4">
      <c r="A13" s="56">
        <v>44207</v>
      </c>
      <c r="D13" s="169">
        <v>0.14199999999999999</v>
      </c>
      <c r="E13" s="170">
        <v>6856.8370000000004</v>
      </c>
      <c r="F13" s="171">
        <v>324.58600000000001</v>
      </c>
      <c r="G13" s="172">
        <v>184.02799999999999</v>
      </c>
      <c r="H13" s="173"/>
      <c r="I13" s="173">
        <v>19097.820000001175</v>
      </c>
      <c r="J13" s="173">
        <v>546.48000000002071</v>
      </c>
      <c r="K13" s="174">
        <v>2.8614784305223691E-2</v>
      </c>
      <c r="L13" s="173">
        <v>173.88000000000659</v>
      </c>
      <c r="M13" s="175">
        <v>9.1047040971166289E-3</v>
      </c>
      <c r="N13" s="176">
        <v>66068309</v>
      </c>
      <c r="O13" s="17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" thickBot="1" x14ac:dyDescent="0.4">
      <c r="A14" s="56">
        <v>44208</v>
      </c>
      <c r="D14" s="169">
        <v>0.14199999999999999</v>
      </c>
      <c r="E14" s="170">
        <v>6862.0110000000004</v>
      </c>
      <c r="F14" s="171">
        <v>324.79399999999998</v>
      </c>
      <c r="G14" s="172">
        <v>184.07300000000001</v>
      </c>
      <c r="H14" s="173"/>
      <c r="I14" s="173">
        <v>21420.35999999991</v>
      </c>
      <c r="J14" s="173">
        <v>861.11999999987574</v>
      </c>
      <c r="K14" s="174">
        <v>4.0201005025119994E-2</v>
      </c>
      <c r="L14" s="173">
        <v>186.30000000006589</v>
      </c>
      <c r="M14" s="175">
        <v>8.6973328179389461E-3</v>
      </c>
      <c r="N14" s="176">
        <v>66068309</v>
      </c>
      <c r="O14" s="17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" thickBot="1" x14ac:dyDescent="0.4">
      <c r="A15" s="56">
        <v>44209</v>
      </c>
      <c r="D15" s="169">
        <v>0.14199999999999999</v>
      </c>
      <c r="E15" s="170">
        <v>6867.2709999999997</v>
      </c>
      <c r="F15" s="171">
        <v>325.03800000000001</v>
      </c>
      <c r="G15" s="172">
        <v>184.107</v>
      </c>
      <c r="H15" s="173"/>
      <c r="I15" s="173">
        <v>21776.399999997138</v>
      </c>
      <c r="J15" s="173">
        <v>1010.1600000001167</v>
      </c>
      <c r="K15" s="174">
        <v>4.6387832699631225E-2</v>
      </c>
      <c r="L15" s="173">
        <v>140.75999999996611</v>
      </c>
      <c r="M15" s="175">
        <v>6.4638783269954907E-3</v>
      </c>
      <c r="N15" s="176">
        <v>66068309</v>
      </c>
      <c r="O15" s="17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" thickBot="1" x14ac:dyDescent="0.4">
      <c r="A16" s="56">
        <v>44210</v>
      </c>
      <c r="D16" s="169">
        <v>0.14199999999999999</v>
      </c>
      <c r="E16" s="170">
        <v>6872.2489999999998</v>
      </c>
      <c r="F16" s="171">
        <v>325.25200000000001</v>
      </c>
      <c r="G16" s="172">
        <v>184.131</v>
      </c>
      <c r="H16" s="173"/>
      <c r="I16" s="173">
        <v>20608.920000000271</v>
      </c>
      <c r="J16" s="173">
        <v>885.95999999999435</v>
      </c>
      <c r="K16" s="174">
        <v>4.2989152269987105E-2</v>
      </c>
      <c r="L16" s="173">
        <v>99.360000000003765</v>
      </c>
      <c r="M16" s="175">
        <v>4.8212133386903566E-3</v>
      </c>
      <c r="N16" s="176">
        <v>66068309</v>
      </c>
      <c r="O16" s="17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" thickBot="1" x14ac:dyDescent="0.4">
      <c r="A17" s="56">
        <v>44211</v>
      </c>
      <c r="D17" s="169">
        <v>0.14199999999999999</v>
      </c>
      <c r="E17" s="170">
        <v>6877.2060000000001</v>
      </c>
      <c r="F17" s="171">
        <v>325.47399999999999</v>
      </c>
      <c r="G17" s="172">
        <v>184.166</v>
      </c>
      <c r="H17" s="173"/>
      <c r="I17" s="173">
        <v>20521.980000001386</v>
      </c>
      <c r="J17" s="173">
        <v>919.07999999991716</v>
      </c>
      <c r="K17" s="174">
        <v>4.478515230985778E-2</v>
      </c>
      <c r="L17" s="173">
        <v>144.89999999998588</v>
      </c>
      <c r="M17" s="175">
        <v>7.0607222110135618E-3</v>
      </c>
      <c r="N17" s="176">
        <v>66068309</v>
      </c>
      <c r="O17" s="17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" thickBot="1" x14ac:dyDescent="0.4">
      <c r="A18" s="56">
        <v>44212</v>
      </c>
      <c r="D18" s="169">
        <v>0.14199999999999999</v>
      </c>
      <c r="E18" s="170">
        <v>6882.08</v>
      </c>
      <c r="F18" s="171">
        <v>325.661</v>
      </c>
      <c r="G18" s="172">
        <v>184.20599999999999</v>
      </c>
      <c r="H18" s="173"/>
      <c r="I18" s="173">
        <v>20178.359999999157</v>
      </c>
      <c r="J18" s="173">
        <v>774.18000000004895</v>
      </c>
      <c r="K18" s="174">
        <v>3.8366844480923194E-2</v>
      </c>
      <c r="L18" s="173">
        <v>165.59999999996705</v>
      </c>
      <c r="M18" s="175">
        <v>8.2068116536712591E-3</v>
      </c>
      <c r="N18" s="176">
        <v>66068309</v>
      </c>
      <c r="O18" s="17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" thickBot="1" x14ac:dyDescent="0.4">
      <c r="A19" s="56">
        <v>44213</v>
      </c>
      <c r="D19" s="169">
        <v>0.14199999999999999</v>
      </c>
      <c r="E19" s="170">
        <v>6886.78</v>
      </c>
      <c r="F19" s="171">
        <v>325.87</v>
      </c>
      <c r="G19" s="172">
        <v>184.245</v>
      </c>
      <c r="H19" s="173"/>
      <c r="I19" s="173">
        <v>19457.999999999247</v>
      </c>
      <c r="J19" s="173">
        <v>865.26000000001318</v>
      </c>
      <c r="K19" s="174">
        <v>4.4468085106385377E-2</v>
      </c>
      <c r="L19" s="173">
        <v>161.46000000006495</v>
      </c>
      <c r="M19" s="175">
        <v>8.2978723404291913E-3</v>
      </c>
      <c r="N19" s="176">
        <v>66068309</v>
      </c>
      <c r="O19" s="17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" thickBot="1" x14ac:dyDescent="0.4">
      <c r="A20" s="56">
        <v>44214</v>
      </c>
      <c r="D20" s="169">
        <v>0.14199999999999999</v>
      </c>
      <c r="E20" s="170">
        <v>6891.4610000000002</v>
      </c>
      <c r="F20" s="171">
        <v>326.12599999999998</v>
      </c>
      <c r="G20" s="172">
        <v>184.28200000000001</v>
      </c>
      <c r="H20" s="173"/>
      <c r="I20" s="173">
        <v>19379.340000002048</v>
      </c>
      <c r="J20" s="173">
        <v>1059.8399999998833</v>
      </c>
      <c r="K20" s="174">
        <v>5.4689168980975165E-2</v>
      </c>
      <c r="L20" s="173">
        <v>153.18000000002542</v>
      </c>
      <c r="M20" s="175">
        <v>7.904293954283749E-3</v>
      </c>
      <c r="N20" s="176">
        <v>66068309</v>
      </c>
      <c r="O20" s="17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" thickBot="1" x14ac:dyDescent="0.4">
      <c r="A21" s="56">
        <v>44215</v>
      </c>
      <c r="D21" s="169">
        <v>0.14199999999999999</v>
      </c>
      <c r="E21" s="170">
        <v>6896.3019999999997</v>
      </c>
      <c r="F21" s="171">
        <v>326.37099999999998</v>
      </c>
      <c r="G21" s="172">
        <v>184.31200000000001</v>
      </c>
      <c r="H21" s="173"/>
      <c r="I21" s="173">
        <v>20041.739999997681</v>
      </c>
      <c r="J21" s="173">
        <v>1014.3000000000188</v>
      </c>
      <c r="K21" s="174">
        <v>5.0609378227645711E-2</v>
      </c>
      <c r="L21" s="173">
        <v>124.20000000000471</v>
      </c>
      <c r="M21" s="175">
        <v>6.1970667217526561E-3</v>
      </c>
      <c r="N21" s="176">
        <v>66068309</v>
      </c>
      <c r="O21" s="176">
        <v>0</v>
      </c>
      <c r="P21" s="163" t="s">
        <v>45</v>
      </c>
      <c r="Q21" s="164"/>
      <c r="R21" s="20">
        <f t="shared" si="0"/>
        <v>1</v>
      </c>
      <c r="S21" s="20">
        <f t="shared" si="1"/>
        <v>0</v>
      </c>
      <c r="T21" s="67"/>
    </row>
    <row r="22" spans="1:21" ht="15" thickBot="1" x14ac:dyDescent="0.4">
      <c r="A22" s="56">
        <v>44216</v>
      </c>
      <c r="D22" s="169">
        <v>0.14199999999999999</v>
      </c>
      <c r="E22" s="170">
        <v>6901.1270000000004</v>
      </c>
      <c r="F22" s="171">
        <v>326.61</v>
      </c>
      <c r="G22" s="172">
        <v>184.34800000000001</v>
      </c>
      <c r="H22" s="173"/>
      <c r="I22" s="173">
        <v>19975.500000003012</v>
      </c>
      <c r="J22" s="173">
        <v>989.46000000013555</v>
      </c>
      <c r="K22" s="174">
        <v>4.9533678756475998E-2</v>
      </c>
      <c r="L22" s="173">
        <v>149.04000000000565</v>
      </c>
      <c r="M22" s="175">
        <v>7.4611398963722146E-3</v>
      </c>
      <c r="N22" s="176">
        <v>66068309</v>
      </c>
      <c r="O22" s="176">
        <v>0</v>
      </c>
      <c r="P22" s="165"/>
      <c r="Q22" s="166"/>
      <c r="R22" s="20">
        <f t="shared" si="0"/>
        <v>1</v>
      </c>
      <c r="S22" s="20">
        <f t="shared" si="1"/>
        <v>0</v>
      </c>
      <c r="T22" s="67"/>
    </row>
    <row r="23" spans="1:21" ht="15" thickBot="1" x14ac:dyDescent="0.4">
      <c r="A23" s="56">
        <v>44217</v>
      </c>
      <c r="D23" s="169">
        <v>0.14199999999999999</v>
      </c>
      <c r="E23" s="170">
        <v>6906.085</v>
      </c>
      <c r="F23" s="171">
        <v>326.83800000000002</v>
      </c>
      <c r="G23" s="172">
        <v>184.39</v>
      </c>
      <c r="H23" s="173"/>
      <c r="I23" s="173">
        <v>20526.119999998464</v>
      </c>
      <c r="J23" s="173">
        <v>943.92000000003577</v>
      </c>
      <c r="K23" s="174">
        <v>4.5986284792260128E-2</v>
      </c>
      <c r="L23" s="173">
        <v>173.87999999988892</v>
      </c>
      <c r="M23" s="175">
        <v>8.4711577248842915E-3</v>
      </c>
      <c r="N23" s="176">
        <v>66068309</v>
      </c>
      <c r="O23" s="17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" thickBot="1" x14ac:dyDescent="0.4">
      <c r="A24" s="56">
        <v>44218</v>
      </c>
      <c r="D24" s="169">
        <v>0.14199999999999999</v>
      </c>
      <c r="E24" s="170">
        <v>6910.9539999999997</v>
      </c>
      <c r="F24" s="171">
        <v>327.09800000000001</v>
      </c>
      <c r="G24" s="172">
        <v>184.43799999999999</v>
      </c>
      <c r="H24" s="173"/>
      <c r="I24" s="173">
        <v>20157.659999998705</v>
      </c>
      <c r="J24" s="173">
        <v>1076.3999999999623</v>
      </c>
      <c r="K24" s="174">
        <v>5.3399055247485644E-2</v>
      </c>
      <c r="L24" s="173">
        <v>198.72000000000753</v>
      </c>
      <c r="M24" s="175">
        <v>9.8582871226134527E-3</v>
      </c>
      <c r="N24" s="176">
        <v>66068309</v>
      </c>
      <c r="O24" s="17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" thickBot="1" x14ac:dyDescent="0.4">
      <c r="A25" s="56">
        <v>44219</v>
      </c>
      <c r="D25" s="169">
        <v>0.14199999999999999</v>
      </c>
      <c r="E25" s="170">
        <v>6915.616</v>
      </c>
      <c r="F25" s="171">
        <v>327.34500000000003</v>
      </c>
      <c r="G25" s="172">
        <v>184.483</v>
      </c>
      <c r="H25" s="173"/>
      <c r="I25" s="173">
        <v>19300.680000001084</v>
      </c>
      <c r="J25" s="173">
        <v>1022.5800000000584</v>
      </c>
      <c r="K25" s="174">
        <v>5.2981552981553028E-2</v>
      </c>
      <c r="L25" s="173">
        <v>186.30000000006589</v>
      </c>
      <c r="M25" s="175">
        <v>9.652509652512525E-3</v>
      </c>
      <c r="N25" s="176">
        <v>66068309</v>
      </c>
      <c r="O25" s="17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" thickBot="1" x14ac:dyDescent="0.4">
      <c r="A26" s="56">
        <v>44220</v>
      </c>
      <c r="D26" s="169">
        <v>0.14199999999999999</v>
      </c>
      <c r="E26" s="170">
        <v>6920.41</v>
      </c>
      <c r="F26" s="171">
        <v>327.54199999999997</v>
      </c>
      <c r="G26" s="172">
        <v>184.53800000000001</v>
      </c>
      <c r="H26" s="173"/>
      <c r="I26" s="173">
        <v>19847.159999999458</v>
      </c>
      <c r="J26" s="173">
        <v>815.57999999977596</v>
      </c>
      <c r="K26" s="174">
        <v>4.1093032957853833E-2</v>
      </c>
      <c r="L26" s="173">
        <v>227.70000000002824</v>
      </c>
      <c r="M26" s="175">
        <v>1.1472674176055136E-2</v>
      </c>
      <c r="N26" s="176">
        <v>66068309</v>
      </c>
      <c r="O26" s="17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" thickBot="1" x14ac:dyDescent="0.4">
      <c r="A27" s="56">
        <v>44221</v>
      </c>
      <c r="D27" s="169">
        <v>0.14199999999999999</v>
      </c>
      <c r="E27" s="170">
        <v>6925.4880000000003</v>
      </c>
      <c r="F27" s="171">
        <v>327.80200000000002</v>
      </c>
      <c r="G27" s="172">
        <v>184.571</v>
      </c>
      <c r="H27" s="173"/>
      <c r="I27" s="173">
        <v>21022.920000001777</v>
      </c>
      <c r="J27" s="173">
        <v>1076.4000000001977</v>
      </c>
      <c r="K27" s="174">
        <v>5.1201260338721105E-2</v>
      </c>
      <c r="L27" s="173">
        <v>136.61999999994634</v>
      </c>
      <c r="M27" s="175">
        <v>6.4986215045262407E-3</v>
      </c>
      <c r="N27" s="176">
        <v>66068309</v>
      </c>
      <c r="O27" s="17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" thickBot="1" x14ac:dyDescent="0.4">
      <c r="A28" s="56">
        <v>44222</v>
      </c>
      <c r="D28" s="169">
        <v>0.14199999999999999</v>
      </c>
      <c r="E28" s="170">
        <v>6930.433</v>
      </c>
      <c r="F28" s="171">
        <v>328.00400000000002</v>
      </c>
      <c r="G28" s="172">
        <v>184.61</v>
      </c>
      <c r="H28" s="173"/>
      <c r="I28" s="173">
        <v>20472.299999998795</v>
      </c>
      <c r="J28" s="173">
        <v>836.27999999999247</v>
      </c>
      <c r="K28" s="174">
        <v>4.0849342770477262E-2</v>
      </c>
      <c r="L28" s="173">
        <v>161.46000000006495</v>
      </c>
      <c r="M28" s="175">
        <v>7.8867542972736061E-3</v>
      </c>
      <c r="N28" s="176">
        <v>66068309</v>
      </c>
      <c r="O28" s="17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" thickBot="1" x14ac:dyDescent="0.4">
      <c r="A29" s="56">
        <v>44223</v>
      </c>
      <c r="D29" s="169">
        <v>0.14199999999999999</v>
      </c>
      <c r="E29" s="170">
        <v>6935.5</v>
      </c>
      <c r="F29" s="171">
        <v>328.21600000000001</v>
      </c>
      <c r="G29" s="172">
        <v>184.66200000000001</v>
      </c>
      <c r="H29" s="173"/>
      <c r="I29" s="173">
        <v>20977.38000000003</v>
      </c>
      <c r="J29" s="173">
        <v>877.67999999995482</v>
      </c>
      <c r="K29" s="174">
        <v>4.1839352674163957E-2</v>
      </c>
      <c r="L29" s="173">
        <v>215.27999999996894</v>
      </c>
      <c r="M29" s="175">
        <v>1.0262482731397755E-2</v>
      </c>
      <c r="N29" s="176">
        <v>66068309</v>
      </c>
      <c r="O29" s="17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" thickBot="1" x14ac:dyDescent="0.4">
      <c r="A30" s="56">
        <v>44224</v>
      </c>
      <c r="D30" s="169">
        <v>0.14199999999999999</v>
      </c>
      <c r="E30" s="170">
        <v>6940.4390000000003</v>
      </c>
      <c r="F30" s="171">
        <v>328.416</v>
      </c>
      <c r="G30" s="172">
        <v>184.72200000000001</v>
      </c>
      <c r="H30" s="173"/>
      <c r="I30" s="173">
        <v>20447.460000001265</v>
      </c>
      <c r="J30" s="173">
        <v>827.99999999995293</v>
      </c>
      <c r="K30" s="174">
        <v>4.0494027130993371E-2</v>
      </c>
      <c r="L30" s="173">
        <v>248.40000000000941</v>
      </c>
      <c r="M30" s="175">
        <v>1.2148208139299161E-2</v>
      </c>
      <c r="N30" s="176">
        <v>66068309</v>
      </c>
      <c r="O30" s="17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" thickBot="1" x14ac:dyDescent="0.4">
      <c r="A31" s="56">
        <v>44225</v>
      </c>
      <c r="D31" s="169">
        <v>0.14199999999999999</v>
      </c>
      <c r="E31" s="170">
        <v>6945.5259999999998</v>
      </c>
      <c r="F31" s="171">
        <v>328.65699999999998</v>
      </c>
      <c r="G31" s="172">
        <v>184.76900000000001</v>
      </c>
      <c r="H31" s="173"/>
      <c r="I31" s="173">
        <v>21060.179999998072</v>
      </c>
      <c r="J31" s="173">
        <v>997.73999999993976</v>
      </c>
      <c r="K31" s="174">
        <v>4.7375663455869375E-2</v>
      </c>
      <c r="L31" s="173">
        <v>194.57999999998776</v>
      </c>
      <c r="M31" s="175">
        <v>9.2392372714765764E-3</v>
      </c>
      <c r="N31" s="176">
        <v>66068309</v>
      </c>
      <c r="O31" s="17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4">
      <c r="A32" s="56">
        <v>44226</v>
      </c>
      <c r="D32" s="169">
        <v>0.14199999999999999</v>
      </c>
      <c r="E32" s="170">
        <v>6950.31</v>
      </c>
      <c r="F32" s="171">
        <v>328.78199999999998</v>
      </c>
      <c r="G32" s="172">
        <v>184.81</v>
      </c>
      <c r="H32" s="173"/>
      <c r="I32" s="173">
        <v>19805.760000002319</v>
      </c>
      <c r="J32" s="173">
        <v>517.5</v>
      </c>
      <c r="K32" s="174">
        <v>2.612876254180296E-2</v>
      </c>
      <c r="L32" s="173">
        <v>169.73999999998682</v>
      </c>
      <c r="M32" s="175">
        <v>8.5702341137107053E-3</v>
      </c>
      <c r="N32" s="176">
        <v>66068309</v>
      </c>
      <c r="O32" s="17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" thickBot="1" x14ac:dyDescent="0.4">
      <c r="A33" s="56">
        <v>44227</v>
      </c>
      <c r="B33" s="89"/>
      <c r="C33" s="90"/>
      <c r="D33" s="177">
        <v>0.14199999999999999</v>
      </c>
      <c r="E33" s="177">
        <v>6954.8010000000004</v>
      </c>
      <c r="F33" s="177">
        <v>329.08600000000001</v>
      </c>
      <c r="G33" s="177">
        <v>184.857</v>
      </c>
      <c r="H33" s="178"/>
      <c r="I33" s="178">
        <v>18592.73999999994</v>
      </c>
      <c r="J33" s="178">
        <v>1258.5600000001261</v>
      </c>
      <c r="K33" s="179">
        <v>6.7690937430423398E-2</v>
      </c>
      <c r="L33" s="178">
        <v>194.57999999998776</v>
      </c>
      <c r="M33" s="179">
        <v>1.0465375194833489E-2</v>
      </c>
      <c r="N33" s="180">
        <v>66068309</v>
      </c>
      <c r="O33" s="18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" thickBot="1" x14ac:dyDescent="0.4">
      <c r="A34" s="56">
        <v>44228</v>
      </c>
      <c r="D34" s="169">
        <v>0.14199999999999999</v>
      </c>
      <c r="E34" s="170">
        <v>6959.6890000000003</v>
      </c>
      <c r="F34" s="171">
        <v>329.34699999999998</v>
      </c>
      <c r="G34" s="172">
        <v>184.89</v>
      </c>
      <c r="H34" s="173"/>
      <c r="I34" s="173">
        <v>20236.319999999669</v>
      </c>
      <c r="J34" s="173">
        <v>1080.5399999998644</v>
      </c>
      <c r="K34" s="174">
        <v>5.3396072013087464E-2</v>
      </c>
      <c r="L34" s="173">
        <v>136.61999999994634</v>
      </c>
      <c r="M34" s="175">
        <v>6.7512274959058063E-3</v>
      </c>
      <c r="N34" s="176">
        <v>66068309</v>
      </c>
      <c r="O34" s="17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" thickBot="1" x14ac:dyDescent="0.4">
      <c r="A35" s="56">
        <v>44229</v>
      </c>
      <c r="D35" s="169">
        <v>0.14199999999999999</v>
      </c>
      <c r="E35" s="170">
        <v>6964.4989999999998</v>
      </c>
      <c r="F35" s="171">
        <v>329.51900000000001</v>
      </c>
      <c r="G35" s="172">
        <v>184.91900000000001</v>
      </c>
      <c r="H35" s="173"/>
      <c r="I35" s="173">
        <v>19913.399999997891</v>
      </c>
      <c r="J35" s="173">
        <v>712.08000000010543</v>
      </c>
      <c r="K35" s="174">
        <v>3.5758835758844837E-2</v>
      </c>
      <c r="L35" s="173">
        <v>120.0600000001026</v>
      </c>
      <c r="M35" s="175">
        <v>6.0291060291118199E-3</v>
      </c>
      <c r="N35" s="176">
        <v>66068309</v>
      </c>
      <c r="O35" s="17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" thickBot="1" x14ac:dyDescent="0.4">
      <c r="A36" s="56">
        <v>44230</v>
      </c>
      <c r="D36" s="169">
        <v>0.14199999999999999</v>
      </c>
      <c r="E36" s="170">
        <v>6969.5690000000004</v>
      </c>
      <c r="F36" s="171">
        <v>329.82900000000001</v>
      </c>
      <c r="G36" s="172">
        <v>184.96700000000001</v>
      </c>
      <c r="H36" s="173"/>
      <c r="I36" s="173">
        <v>20989.80000000256</v>
      </c>
      <c r="J36" s="173">
        <v>1283.4000000000094</v>
      </c>
      <c r="K36" s="174">
        <v>6.114398422090029E-2</v>
      </c>
      <c r="L36" s="173">
        <v>198.72000000000753</v>
      </c>
      <c r="M36" s="175">
        <v>9.467455621300979E-3</v>
      </c>
      <c r="N36" s="176">
        <v>66068309</v>
      </c>
      <c r="O36" s="17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" thickBot="1" x14ac:dyDescent="0.4">
      <c r="A37" s="56">
        <v>44231</v>
      </c>
      <c r="D37" s="169">
        <v>0.14199999999999999</v>
      </c>
      <c r="E37" s="170">
        <v>6974.4859999999999</v>
      </c>
      <c r="F37" s="171">
        <v>329.98700000000002</v>
      </c>
      <c r="G37" s="172">
        <v>185.077</v>
      </c>
      <c r="H37" s="173"/>
      <c r="I37" s="173">
        <v>20356.379999997771</v>
      </c>
      <c r="J37" s="173">
        <v>654.12000000006401</v>
      </c>
      <c r="K37" s="174">
        <v>3.2133414683756918E-2</v>
      </c>
      <c r="L37" s="173">
        <v>455.39999999993881</v>
      </c>
      <c r="M37" s="175">
        <v>2.2371364653243291E-2</v>
      </c>
      <c r="N37" s="176">
        <v>66068309</v>
      </c>
      <c r="O37" s="17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" thickBot="1" x14ac:dyDescent="0.4">
      <c r="A38" s="56">
        <v>44232</v>
      </c>
      <c r="D38" s="169">
        <v>0.14199999999999999</v>
      </c>
      <c r="E38" s="170">
        <v>6979.4279999999999</v>
      </c>
      <c r="F38" s="171">
        <v>330.24400000000003</v>
      </c>
      <c r="G38" s="172">
        <v>185.119</v>
      </c>
      <c r="H38" s="173"/>
      <c r="I38" s="173">
        <v>20459.88000000003</v>
      </c>
      <c r="J38" s="173">
        <v>1063.9800000000207</v>
      </c>
      <c r="K38" s="174">
        <v>5.2003237555646425E-2</v>
      </c>
      <c r="L38" s="173">
        <v>173.88000000000659</v>
      </c>
      <c r="M38" s="175">
        <v>8.4985835694054088E-3</v>
      </c>
      <c r="N38" s="176">
        <v>66068309</v>
      </c>
      <c r="O38" s="17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" thickBot="1" x14ac:dyDescent="0.4">
      <c r="A39" s="56">
        <v>44233</v>
      </c>
      <c r="D39" s="169">
        <v>0.14199999999999999</v>
      </c>
      <c r="E39" s="170">
        <v>6983.8919999999998</v>
      </c>
      <c r="F39" s="171">
        <v>330.495</v>
      </c>
      <c r="G39" s="172">
        <v>185.148</v>
      </c>
      <c r="H39" s="173"/>
      <c r="I39" s="173">
        <v>18480.959999999759</v>
      </c>
      <c r="J39" s="173">
        <v>1039.1399999999021</v>
      </c>
      <c r="K39" s="174">
        <v>5.6227598566303681E-2</v>
      </c>
      <c r="L39" s="173">
        <v>120.05999999998494</v>
      </c>
      <c r="M39" s="175">
        <v>6.4964157706085884E-3</v>
      </c>
      <c r="N39" s="176">
        <v>66068309</v>
      </c>
      <c r="O39" s="17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" thickBot="1" x14ac:dyDescent="0.4">
      <c r="A40" s="56">
        <v>44234</v>
      </c>
      <c r="D40" s="169">
        <v>0.14199999999999999</v>
      </c>
      <c r="E40" s="170">
        <v>6988.6379999999999</v>
      </c>
      <c r="F40" s="171">
        <v>330.70699999999999</v>
      </c>
      <c r="G40" s="172">
        <v>185.19200000000001</v>
      </c>
      <c r="H40" s="173"/>
      <c r="I40" s="173">
        <v>19648.440000000392</v>
      </c>
      <c r="J40" s="173">
        <v>877.67999999995482</v>
      </c>
      <c r="K40" s="174">
        <v>4.46691951116698E-2</v>
      </c>
      <c r="L40" s="173">
        <v>182.16000000004613</v>
      </c>
      <c r="M40" s="175">
        <v>9.2709650231795754E-3</v>
      </c>
      <c r="N40" s="176">
        <v>66068309</v>
      </c>
      <c r="O40" s="17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" thickBot="1" x14ac:dyDescent="0.4">
      <c r="A41" s="56">
        <v>44235</v>
      </c>
      <c r="D41" s="169">
        <v>0.14199999999999999</v>
      </c>
      <c r="E41" s="170">
        <v>6993.3379999999997</v>
      </c>
      <c r="F41" s="171">
        <v>330.85199999999998</v>
      </c>
      <c r="G41" s="172">
        <v>185.26300000000001</v>
      </c>
      <c r="H41" s="173"/>
      <c r="I41" s="173">
        <v>19457.999999999247</v>
      </c>
      <c r="J41" s="173">
        <v>600.29999999992469</v>
      </c>
      <c r="K41" s="174">
        <v>3.0851063829784559E-2</v>
      </c>
      <c r="L41" s="173">
        <v>293.93999999999153</v>
      </c>
      <c r="M41" s="175">
        <v>1.5106382978723553E-2</v>
      </c>
      <c r="N41" s="176">
        <v>66068309</v>
      </c>
      <c r="O41" s="17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" thickBot="1" x14ac:dyDescent="0.4">
      <c r="A42" s="56">
        <v>44236</v>
      </c>
      <c r="D42" s="169">
        <v>0.14199999999999999</v>
      </c>
      <c r="E42" s="170">
        <v>6998.2250000000004</v>
      </c>
      <c r="F42" s="171">
        <v>331.012</v>
      </c>
      <c r="G42" s="172">
        <v>185.31800000000001</v>
      </c>
      <c r="H42" s="173"/>
      <c r="I42" s="173">
        <v>20232.180000002591</v>
      </c>
      <c r="J42" s="173">
        <v>662.40000000010355</v>
      </c>
      <c r="K42" s="174">
        <v>3.2739922242685598E-2</v>
      </c>
      <c r="L42" s="173">
        <v>227.70000000002824</v>
      </c>
      <c r="M42" s="175">
        <v>1.1254348270922811E-2</v>
      </c>
      <c r="N42" s="176">
        <v>66068309</v>
      </c>
      <c r="O42" s="17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" thickBot="1" x14ac:dyDescent="0.4">
      <c r="A43" s="56">
        <v>44237</v>
      </c>
      <c r="D43" s="169">
        <v>0.14199999999999999</v>
      </c>
      <c r="E43" s="170">
        <v>7002.27</v>
      </c>
      <c r="F43" s="171">
        <v>331.10599999999999</v>
      </c>
      <c r="G43" s="172">
        <v>185.46299999999999</v>
      </c>
      <c r="H43" s="173"/>
      <c r="I43" s="173">
        <v>16746.300000000301</v>
      </c>
      <c r="J43" s="173">
        <v>389.15999999997553</v>
      </c>
      <c r="K43" s="174">
        <v>2.3238566131024079E-2</v>
      </c>
      <c r="L43" s="173">
        <v>600.29999999992469</v>
      </c>
      <c r="M43" s="175">
        <v>3.5846724351045536E-2</v>
      </c>
      <c r="N43" s="176">
        <v>66068309</v>
      </c>
      <c r="O43" s="17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" thickBot="1" x14ac:dyDescent="0.4">
      <c r="A44" s="56">
        <v>44238</v>
      </c>
      <c r="D44" s="169">
        <v>0.14199999999999999</v>
      </c>
      <c r="E44" s="170">
        <v>7007.9560000000001</v>
      </c>
      <c r="F44" s="171">
        <v>331.31900000000002</v>
      </c>
      <c r="G44" s="172">
        <v>185.536</v>
      </c>
      <c r="H44" s="173"/>
      <c r="I44" s="173">
        <v>23540.039999998735</v>
      </c>
      <c r="J44" s="173">
        <v>881.82000000009225</v>
      </c>
      <c r="K44" s="174">
        <v>3.7460429124170545E-2</v>
      </c>
      <c r="L44" s="173">
        <v>302.22000000003106</v>
      </c>
      <c r="M44" s="175">
        <v>1.2838550826593638E-2</v>
      </c>
      <c r="N44" s="176">
        <v>66068309</v>
      </c>
      <c r="O44" s="17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" thickBot="1" x14ac:dyDescent="0.4">
      <c r="A45" s="56">
        <v>44239</v>
      </c>
      <c r="D45" s="169">
        <v>0.14199999999999999</v>
      </c>
      <c r="E45" s="170">
        <v>7013.1559999999999</v>
      </c>
      <c r="F45" s="171">
        <v>331.47899999999998</v>
      </c>
      <c r="G45" s="172">
        <v>185.636</v>
      </c>
      <c r="H45" s="173"/>
      <c r="I45" s="173">
        <v>21527.999999999247</v>
      </c>
      <c r="J45" s="173">
        <v>662.39999999986821</v>
      </c>
      <c r="K45" s="174">
        <v>3.0769230769225723E-2</v>
      </c>
      <c r="L45" s="173">
        <v>413.99999999997647</v>
      </c>
      <c r="M45" s="175">
        <v>1.9230769230768812E-2</v>
      </c>
      <c r="N45" s="176">
        <v>66068309</v>
      </c>
      <c r="O45" s="17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" thickBot="1" x14ac:dyDescent="0.4">
      <c r="A46" s="56">
        <v>44240</v>
      </c>
      <c r="D46" s="169">
        <v>0.14199999999999999</v>
      </c>
      <c r="E46" s="170">
        <v>7018.23</v>
      </c>
      <c r="F46" s="171">
        <v>331.69</v>
      </c>
      <c r="G46" s="172">
        <v>185.68700000000001</v>
      </c>
      <c r="H46" s="173"/>
      <c r="I46" s="173">
        <v>21006.359999998404</v>
      </c>
      <c r="J46" s="173">
        <v>873.54000000005271</v>
      </c>
      <c r="K46" s="174">
        <v>4.1584548679548437E-2</v>
      </c>
      <c r="L46" s="173">
        <v>211.14000000006683</v>
      </c>
      <c r="M46" s="175">
        <v>1.0051241623969259E-2</v>
      </c>
      <c r="N46" s="176">
        <v>66068309</v>
      </c>
      <c r="O46" s="17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" thickBot="1" x14ac:dyDescent="0.4">
      <c r="A47" s="56">
        <v>44241</v>
      </c>
      <c r="D47" s="169">
        <v>0.14199999999999999</v>
      </c>
      <c r="E47" s="170">
        <v>7023.33</v>
      </c>
      <c r="F47" s="171">
        <v>331.86</v>
      </c>
      <c r="G47" s="172">
        <v>185.76</v>
      </c>
      <c r="H47" s="173"/>
      <c r="I47" s="173">
        <v>21114.000000001506</v>
      </c>
      <c r="J47" s="173">
        <v>703.80000000006589</v>
      </c>
      <c r="K47" s="174">
        <v>3.3333333333334075E-2</v>
      </c>
      <c r="L47" s="173">
        <v>302.2199999999134</v>
      </c>
      <c r="M47" s="175">
        <v>1.4313725490190955E-2</v>
      </c>
      <c r="N47" s="176">
        <v>66068309</v>
      </c>
      <c r="O47" s="17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" thickBot="1" x14ac:dyDescent="0.4">
      <c r="A48" s="56">
        <v>44242</v>
      </c>
      <c r="D48" s="169">
        <v>0.14199999999999999</v>
      </c>
      <c r="E48" s="170">
        <v>7028.53</v>
      </c>
      <c r="F48" s="171">
        <v>332.041</v>
      </c>
      <c r="G48" s="172">
        <v>185.84</v>
      </c>
      <c r="H48" s="173"/>
      <c r="I48" s="173">
        <v>21527.999999999247</v>
      </c>
      <c r="J48" s="173">
        <v>749.33999999993034</v>
      </c>
      <c r="K48" s="174">
        <v>3.4807692307690291E-2</v>
      </c>
      <c r="L48" s="173">
        <v>331.20000000005177</v>
      </c>
      <c r="M48" s="175">
        <v>1.5384615384618328E-2</v>
      </c>
      <c r="N48" s="176">
        <v>66068309</v>
      </c>
      <c r="O48" s="17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" thickBot="1" x14ac:dyDescent="0.4">
      <c r="A49" s="56">
        <v>44243</v>
      </c>
      <c r="D49" s="169">
        <v>0.14199999999999999</v>
      </c>
      <c r="E49" s="170">
        <v>7033.6080000000002</v>
      </c>
      <c r="F49" s="171">
        <v>332.22</v>
      </c>
      <c r="G49" s="172">
        <v>185.916</v>
      </c>
      <c r="H49" s="173"/>
      <c r="I49" s="173">
        <v>21022.920000001777</v>
      </c>
      <c r="J49" s="173">
        <v>741.06000000012614</v>
      </c>
      <c r="K49" s="174">
        <v>3.5250098463965207E-2</v>
      </c>
      <c r="L49" s="173">
        <v>314.6399999999727</v>
      </c>
      <c r="M49" s="175">
        <v>1.4966522252852891E-2</v>
      </c>
      <c r="N49" s="176">
        <v>66068309</v>
      </c>
      <c r="O49" s="176">
        <v>0</v>
      </c>
      <c r="P49" s="163" t="s">
        <v>57</v>
      </c>
      <c r="Q49" s="164"/>
      <c r="R49" s="20">
        <f t="shared" si="0"/>
        <v>1</v>
      </c>
      <c r="S49" s="20">
        <f t="shared" si="1"/>
        <v>0</v>
      </c>
    </row>
    <row r="50" spans="1:20" ht="15" thickBot="1" x14ac:dyDescent="0.4">
      <c r="A50" s="56">
        <v>44244</v>
      </c>
      <c r="D50" s="169">
        <v>0.14199999999999999</v>
      </c>
      <c r="E50" s="170">
        <v>7038.723</v>
      </c>
      <c r="F50" s="171">
        <v>332.43</v>
      </c>
      <c r="G50" s="172">
        <v>185.96799999999999</v>
      </c>
      <c r="H50" s="173"/>
      <c r="I50" s="173">
        <v>21176.099999999096</v>
      </c>
      <c r="J50" s="173">
        <v>869.39999999991528</v>
      </c>
      <c r="K50" s="174">
        <v>4.1055718475071064E-2</v>
      </c>
      <c r="L50" s="173">
        <v>215.27999999996894</v>
      </c>
      <c r="M50" s="175">
        <v>1.0166177908112358E-2</v>
      </c>
      <c r="N50" s="176">
        <v>66068309</v>
      </c>
      <c r="O50" s="176">
        <v>0</v>
      </c>
      <c r="P50" s="165"/>
      <c r="Q50" s="166"/>
      <c r="R50" s="20">
        <f t="shared" si="0"/>
        <v>1</v>
      </c>
      <c r="S50" s="20">
        <f t="shared" si="1"/>
        <v>0</v>
      </c>
    </row>
    <row r="51" spans="1:20" ht="15" thickBot="1" x14ac:dyDescent="0.4">
      <c r="A51" s="56">
        <v>44245</v>
      </c>
      <c r="D51" s="169">
        <v>0.14199999999999999</v>
      </c>
      <c r="E51" s="170">
        <v>7043.9219999999996</v>
      </c>
      <c r="F51" s="171">
        <v>332.60399999999998</v>
      </c>
      <c r="G51" s="172">
        <v>186.03100000000001</v>
      </c>
      <c r="H51" s="173"/>
      <c r="I51" s="173">
        <v>21523.859999998404</v>
      </c>
      <c r="J51" s="173">
        <v>720.35999999990963</v>
      </c>
      <c r="K51" s="174">
        <v>3.3467974610500301E-2</v>
      </c>
      <c r="L51" s="173">
        <v>260.82000000006872</v>
      </c>
      <c r="M51" s="175">
        <v>1.2117714945185857E-2</v>
      </c>
      <c r="N51" s="176">
        <v>66068309</v>
      </c>
      <c r="O51" s="17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" thickBot="1" x14ac:dyDescent="0.4">
      <c r="A52" s="56">
        <v>44246</v>
      </c>
      <c r="D52" s="169">
        <v>0.14199999999999999</v>
      </c>
      <c r="E52" s="170">
        <v>7049.3530000000001</v>
      </c>
      <c r="F52" s="171">
        <v>332.73200000000003</v>
      </c>
      <c r="G52" s="172">
        <v>186.15700000000001</v>
      </c>
      <c r="H52" s="173"/>
      <c r="I52" s="173">
        <v>22484.340000002048</v>
      </c>
      <c r="J52" s="173">
        <v>529.92000000017697</v>
      </c>
      <c r="K52" s="174">
        <v>2.3568403608917526E-2</v>
      </c>
      <c r="L52" s="173">
        <v>521.64000000001977</v>
      </c>
      <c r="M52" s="175">
        <v>2.3200147302521321E-2</v>
      </c>
      <c r="N52" s="176">
        <v>66068309</v>
      </c>
      <c r="O52" s="17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" thickBot="1" x14ac:dyDescent="0.4">
      <c r="A53" s="56">
        <v>44247</v>
      </c>
      <c r="D53" s="169">
        <v>0.14199999999999999</v>
      </c>
      <c r="E53" s="170">
        <v>7054.1390000000001</v>
      </c>
      <c r="F53" s="171">
        <v>332.90699999999998</v>
      </c>
      <c r="G53" s="172">
        <v>186.21100000000001</v>
      </c>
      <c r="H53" s="173"/>
      <c r="I53" s="173">
        <v>19814.040000000241</v>
      </c>
      <c r="J53" s="173">
        <v>724.49999999981173</v>
      </c>
      <c r="K53" s="174">
        <v>3.6564981195142579E-2</v>
      </c>
      <c r="L53" s="173">
        <v>223.56000000000847</v>
      </c>
      <c r="M53" s="175">
        <v>1.1282908483075928E-2</v>
      </c>
      <c r="N53" s="176">
        <v>66068309</v>
      </c>
      <c r="O53" s="17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" thickBot="1" x14ac:dyDescent="0.4">
      <c r="A54" s="56">
        <v>44248</v>
      </c>
      <c r="D54" s="169">
        <v>0.14199999999999999</v>
      </c>
      <c r="E54" s="170">
        <v>7058.82</v>
      </c>
      <c r="F54" s="171">
        <v>333.08199999999999</v>
      </c>
      <c r="G54" s="172">
        <v>186.25</v>
      </c>
      <c r="H54" s="173"/>
      <c r="I54" s="173">
        <v>19379.339999998283</v>
      </c>
      <c r="J54" s="173">
        <v>724.50000000004707</v>
      </c>
      <c r="K54" s="174">
        <v>3.7385174108102298E-2</v>
      </c>
      <c r="L54" s="173">
        <v>161.45999999994729</v>
      </c>
      <c r="M54" s="175">
        <v>8.3315530869452516E-3</v>
      </c>
      <c r="N54" s="176">
        <v>66068309</v>
      </c>
      <c r="O54" s="17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" thickBot="1" x14ac:dyDescent="0.4">
      <c r="A55" s="56">
        <v>44249</v>
      </c>
      <c r="D55" s="169">
        <v>0.14199999999999999</v>
      </c>
      <c r="E55" s="170">
        <v>7063.9589999999998</v>
      </c>
      <c r="F55" s="171">
        <v>333.26100000000002</v>
      </c>
      <c r="G55" s="172">
        <v>186.30600000000001</v>
      </c>
      <c r="H55" s="173"/>
      <c r="I55" s="173">
        <v>21275.460000000512</v>
      </c>
      <c r="J55" s="173">
        <v>741.06000000012614</v>
      </c>
      <c r="K55" s="174">
        <v>3.483167931504693E-2</v>
      </c>
      <c r="L55" s="173">
        <v>231.84000000004801</v>
      </c>
      <c r="M55" s="175">
        <v>1.0897061685154748E-2</v>
      </c>
      <c r="N55" s="176">
        <v>66068309</v>
      </c>
      <c r="O55" s="17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" thickBot="1" x14ac:dyDescent="0.4">
      <c r="A56" s="56">
        <v>44250</v>
      </c>
      <c r="D56" s="169">
        <v>0.14199999999999999</v>
      </c>
      <c r="E56" s="170">
        <v>7069.058</v>
      </c>
      <c r="F56" s="171">
        <v>333.45699999999999</v>
      </c>
      <c r="G56" s="172">
        <v>186.36600000000001</v>
      </c>
      <c r="H56" s="173"/>
      <c r="I56" s="173">
        <v>21109.860000000663</v>
      </c>
      <c r="J56" s="173">
        <v>811.43999999987386</v>
      </c>
      <c r="K56" s="174">
        <v>3.8438909590108525E-2</v>
      </c>
      <c r="L56" s="173">
        <v>248.40000000000941</v>
      </c>
      <c r="M56" s="175">
        <v>1.1767013139831415E-2</v>
      </c>
      <c r="N56" s="176">
        <v>66068309</v>
      </c>
      <c r="O56" s="17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" thickBot="1" x14ac:dyDescent="0.4">
      <c r="A57" s="56">
        <v>44251</v>
      </c>
      <c r="D57" s="169">
        <v>0.14199999999999999</v>
      </c>
      <c r="E57" s="170">
        <v>7074.5020000000004</v>
      </c>
      <c r="F57" s="171">
        <v>333.69299999999998</v>
      </c>
      <c r="G57" s="172">
        <v>186.435</v>
      </c>
      <c r="H57" s="173"/>
      <c r="I57" s="173">
        <v>22538.160000001717</v>
      </c>
      <c r="J57" s="173">
        <v>977.03999999995858</v>
      </c>
      <c r="K57" s="174">
        <v>4.3350477590002205E-2</v>
      </c>
      <c r="L57" s="173">
        <v>285.65999999995199</v>
      </c>
      <c r="M57" s="175">
        <v>1.267450404114312E-2</v>
      </c>
      <c r="N57" s="176">
        <v>66068309</v>
      </c>
      <c r="O57" s="17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" thickBot="1" x14ac:dyDescent="0.4">
      <c r="A58" s="56">
        <v>44252</v>
      </c>
      <c r="D58" s="169">
        <v>0.14199999999999999</v>
      </c>
      <c r="E58" s="170">
        <v>7079.22</v>
      </c>
      <c r="F58" s="171">
        <v>333.82900000000001</v>
      </c>
      <c r="G58" s="172">
        <v>186.5</v>
      </c>
      <c r="H58" s="173"/>
      <c r="I58" s="173">
        <v>19532.519999999367</v>
      </c>
      <c r="J58" s="173">
        <v>563.04000000009978</v>
      </c>
      <c r="K58" s="174">
        <v>2.8825773632901338E-2</v>
      </c>
      <c r="L58" s="173">
        <v>269.09999999999059</v>
      </c>
      <c r="M58" s="175">
        <v>1.3777024162780803E-2</v>
      </c>
      <c r="N58" s="176">
        <v>66068309</v>
      </c>
      <c r="O58" s="17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" thickBot="1" x14ac:dyDescent="0.4">
      <c r="A59" s="56">
        <v>44253</v>
      </c>
      <c r="D59" s="169">
        <v>0.14199999999999999</v>
      </c>
      <c r="E59" s="170">
        <v>7084.4129999999996</v>
      </c>
      <c r="F59" s="171">
        <v>333.995</v>
      </c>
      <c r="G59" s="172">
        <v>186.56299999999999</v>
      </c>
      <c r="H59" s="173"/>
      <c r="I59" s="173">
        <v>21499.019999997108</v>
      </c>
      <c r="J59" s="173">
        <v>687.23999999998682</v>
      </c>
      <c r="K59" s="174">
        <v>3.1966108222611041E-2</v>
      </c>
      <c r="L59" s="173">
        <v>260.81999999995105</v>
      </c>
      <c r="M59" s="175">
        <v>1.2131715771229857E-2</v>
      </c>
      <c r="N59" s="176">
        <v>66068309</v>
      </c>
      <c r="O59" s="17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" thickBot="1" x14ac:dyDescent="0.4">
      <c r="A60" s="56">
        <v>44254</v>
      </c>
      <c r="D60" s="169">
        <v>0.14199999999999999</v>
      </c>
      <c r="E60" s="170">
        <v>7089.38</v>
      </c>
      <c r="F60" s="171">
        <v>334.23500000000001</v>
      </c>
      <c r="G60" s="172">
        <v>186.62200000000001</v>
      </c>
      <c r="H60" s="173"/>
      <c r="I60" s="173">
        <v>20563.380000002289</v>
      </c>
      <c r="J60" s="173">
        <v>993.60000000003765</v>
      </c>
      <c r="K60" s="174">
        <v>4.83189047714883E-2</v>
      </c>
      <c r="L60" s="173">
        <v>244.26000000010731</v>
      </c>
      <c r="M60" s="175">
        <v>1.1878397422995641E-2</v>
      </c>
      <c r="N60" s="176">
        <v>66068309</v>
      </c>
      <c r="O60" s="17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" thickBot="1" x14ac:dyDescent="0.4">
      <c r="A61" s="56">
        <v>44255</v>
      </c>
      <c r="B61" s="108"/>
      <c r="C61" s="108"/>
      <c r="D61" s="182">
        <v>0.14199999999999999</v>
      </c>
      <c r="E61" s="182">
        <v>7094.9459999999999</v>
      </c>
      <c r="F61" s="182">
        <v>334.47199999999998</v>
      </c>
      <c r="G61" s="182">
        <v>186.69300000000001</v>
      </c>
      <c r="H61" s="183"/>
      <c r="I61" s="178">
        <v>23043.239999999187</v>
      </c>
      <c r="J61" s="178">
        <v>981.17999999986068</v>
      </c>
      <c r="K61" s="179">
        <v>4.2579949694569658E-2</v>
      </c>
      <c r="L61" s="178">
        <v>293.93999999999153</v>
      </c>
      <c r="M61" s="179">
        <v>1.2756018684872522E-2</v>
      </c>
      <c r="N61" s="180">
        <v>66068309</v>
      </c>
      <c r="O61" s="18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" thickBot="1" x14ac:dyDescent="0.4">
      <c r="A62" s="56">
        <v>44256</v>
      </c>
      <c r="B62" s="108"/>
      <c r="C62" s="108"/>
      <c r="D62" s="169">
        <v>0.14199999999999999</v>
      </c>
      <c r="E62" s="170">
        <v>7100.1189999999997</v>
      </c>
      <c r="F62" s="171">
        <v>334.62799999999999</v>
      </c>
      <c r="G62" s="172">
        <v>186.77500000000001</v>
      </c>
      <c r="H62" s="173"/>
      <c r="I62" s="173">
        <v>21416.219999999066</v>
      </c>
      <c r="J62" s="173">
        <v>645.84000000002447</v>
      </c>
      <c r="K62" s="174">
        <v>3.0156582254013669E-2</v>
      </c>
      <c r="L62" s="173">
        <v>339.47999999997364</v>
      </c>
      <c r="M62" s="175">
        <v>1.5851536825825865E-2</v>
      </c>
      <c r="N62" s="176">
        <v>66068309</v>
      </c>
      <c r="O62" s="176"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" thickBot="1" x14ac:dyDescent="0.4">
      <c r="A63" s="56">
        <v>44257</v>
      </c>
      <c r="D63" s="169">
        <v>0.14199999999999999</v>
      </c>
      <c r="E63" s="170">
        <v>7105.5020000000004</v>
      </c>
      <c r="F63" s="171">
        <v>334.77499999999998</v>
      </c>
      <c r="G63" s="172">
        <v>186.875</v>
      </c>
      <c r="H63" s="173"/>
      <c r="I63" s="173">
        <v>22285.620000002982</v>
      </c>
      <c r="J63" s="173">
        <v>608.57999999996423</v>
      </c>
      <c r="K63" s="174">
        <v>2.7308192457732063E-2</v>
      </c>
      <c r="L63" s="173">
        <v>413.99999999997647</v>
      </c>
      <c r="M63" s="175">
        <v>1.8577001671926607E-2</v>
      </c>
      <c r="N63" s="176">
        <v>66068309</v>
      </c>
      <c r="O63" s="176"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" thickBot="1" x14ac:dyDescent="0.4">
      <c r="A64" s="56">
        <v>44258</v>
      </c>
      <c r="D64" s="58"/>
      <c r="E64" s="59"/>
      <c r="F64" s="60"/>
      <c r="G64" s="61"/>
      <c r="H64" s="61">
        <v>4140</v>
      </c>
      <c r="I64" s="61" t="str">
        <f>IF(D64="","",+(D64-D63)*4140)</f>
        <v/>
      </c>
      <c r="J64" s="61" t="str">
        <f t="shared" ref="J3:J68" si="2">IF(E64="","",+(E64-E63)*4140)</f>
        <v/>
      </c>
      <c r="K64" s="62" t="str">
        <f t="shared" ref="K4:K68" si="3">IF(J64="","",+(J64/I64))</f>
        <v/>
      </c>
      <c r="L64" s="61" t="str">
        <f t="shared" ref="L4:L68" si="4">IF(F64="","",+(F64-F63)*4140)</f>
        <v/>
      </c>
      <c r="M64" s="62" t="str">
        <f t="shared" ref="M4:M68" si="5">IF(L64="","",(L64/I64))</f>
        <v/>
      </c>
      <c r="N64" s="63">
        <v>66068309</v>
      </c>
      <c r="O64" s="63">
        <f t="shared" ref="O7:O69" si="6">IF(N64="","",N64-N63)</f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" thickBot="1" x14ac:dyDescent="0.4">
      <c r="A65" s="56">
        <v>44259</v>
      </c>
      <c r="D65" s="58"/>
      <c r="E65" s="59"/>
      <c r="F65" s="60"/>
      <c r="G65" s="61"/>
      <c r="H65" s="61">
        <v>4140</v>
      </c>
      <c r="I65" s="61" t="str">
        <f t="shared" ref="I4:J68" si="7">IF(D65="","",+(D65-D64)*4140)</f>
        <v/>
      </c>
      <c r="J65" s="61" t="str">
        <f>IF(E65="","",+(E65-E64)*4140)</f>
        <v/>
      </c>
      <c r="K65" s="62" t="str">
        <f t="shared" si="3"/>
        <v/>
      </c>
      <c r="L65" s="61" t="str">
        <f t="shared" si="4"/>
        <v/>
      </c>
      <c r="M65" s="62" t="str">
        <f t="shared" si="5"/>
        <v/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" thickBot="1" x14ac:dyDescent="0.4">
      <c r="A66" s="56">
        <v>44260</v>
      </c>
      <c r="D66" s="58"/>
      <c r="E66" s="59"/>
      <c r="F66" s="60"/>
      <c r="G66" s="61"/>
      <c r="H66" s="61">
        <v>4140</v>
      </c>
      <c r="I66" s="61" t="str">
        <f t="shared" si="7"/>
        <v/>
      </c>
      <c r="J66" s="61" t="str">
        <f t="shared" si="2"/>
        <v/>
      </c>
      <c r="K66" s="62" t="str">
        <f t="shared" si="3"/>
        <v/>
      </c>
      <c r="L66" s="61" t="str">
        <f t="shared" si="4"/>
        <v/>
      </c>
      <c r="M66" s="62" t="str">
        <f t="shared" si="5"/>
        <v/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" thickBot="1" x14ac:dyDescent="0.4">
      <c r="A67" s="56">
        <v>44261</v>
      </c>
      <c r="D67" s="58"/>
      <c r="E67" s="59"/>
      <c r="F67" s="60"/>
      <c r="G67" s="61"/>
      <c r="H67" s="61">
        <v>4140</v>
      </c>
      <c r="I67" s="61" t="str">
        <f t="shared" si="7"/>
        <v/>
      </c>
      <c r="J67" s="61" t="str">
        <f t="shared" si="2"/>
        <v/>
      </c>
      <c r="K67" s="62" t="str">
        <f t="shared" si="3"/>
        <v/>
      </c>
      <c r="L67" s="61" t="str">
        <f t="shared" si="4"/>
        <v/>
      </c>
      <c r="M67" s="62" t="str">
        <f>IF(L67="","",(L67/I67))</f>
        <v/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" thickBot="1" x14ac:dyDescent="0.4">
      <c r="A68" s="56">
        <v>44262</v>
      </c>
      <c r="D68" s="58"/>
      <c r="E68" s="59"/>
      <c r="F68" s="60"/>
      <c r="G68" s="61"/>
      <c r="H68" s="61">
        <v>4140</v>
      </c>
      <c r="I68" s="61" t="str">
        <f t="shared" si="7"/>
        <v/>
      </c>
      <c r="J68" s="61" t="str">
        <f t="shared" si="2"/>
        <v/>
      </c>
      <c r="K68" s="62" t="str">
        <f t="shared" si="3"/>
        <v/>
      </c>
      <c r="L68" s="61" t="str">
        <f t="shared" si="4"/>
        <v/>
      </c>
      <c r="M68" s="62" t="str">
        <f t="shared" si="5"/>
        <v/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" thickBot="1" x14ac:dyDescent="0.4">
      <c r="A69" s="56">
        <v>44263</v>
      </c>
      <c r="D69" s="58"/>
      <c r="E69" s="59"/>
      <c r="F69" s="60"/>
      <c r="G69" s="61"/>
      <c r="H69" s="61">
        <v>4140</v>
      </c>
      <c r="I69" s="61" t="str">
        <f t="shared" ref="I69:J132" si="8">IF(D69="","",+(D69-D68)*4140)</f>
        <v/>
      </c>
      <c r="J69" s="61" t="str">
        <f t="shared" si="8"/>
        <v/>
      </c>
      <c r="K69" s="62" t="str">
        <f t="shared" ref="K69:K132" si="9">IF(J69="","",+(J69/I69))</f>
        <v/>
      </c>
      <c r="L69" s="61" t="str">
        <f t="shared" ref="L69:L132" si="10">IF(F69="","",+(F69-F68)*4140)</f>
        <v/>
      </c>
      <c r="M69" s="62" t="str">
        <f t="shared" ref="M69:M132" si="11">IF(L69="","",(L69/I69))</f>
        <v/>
      </c>
      <c r="N69" s="63">
        <v>66068309</v>
      </c>
      <c r="O69" s="63">
        <f t="shared" si="6"/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" thickBot="1" x14ac:dyDescent="0.4">
      <c r="A70" s="56">
        <v>44264</v>
      </c>
      <c r="D70" s="58"/>
      <c r="E70" s="59"/>
      <c r="F70" s="60"/>
      <c r="G70" s="61"/>
      <c r="H70" s="61">
        <v>4140</v>
      </c>
      <c r="I70" s="61" t="str">
        <f t="shared" si="8"/>
        <v/>
      </c>
      <c r="J70" s="61" t="str">
        <f t="shared" si="8"/>
        <v/>
      </c>
      <c r="K70" s="62" t="str">
        <f t="shared" si="9"/>
        <v/>
      </c>
      <c r="L70" s="61" t="str">
        <f t="shared" si="10"/>
        <v/>
      </c>
      <c r="M70" s="62" t="str">
        <f t="shared" si="11"/>
        <v/>
      </c>
      <c r="N70" s="63">
        <v>66068309</v>
      </c>
      <c r="O70" s="63">
        <f>IF(N70="","",N70-N69)</f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" thickBot="1" x14ac:dyDescent="0.4">
      <c r="A71" s="56">
        <v>44265</v>
      </c>
      <c r="D71" s="58"/>
      <c r="E71" s="59"/>
      <c r="F71" s="60"/>
      <c r="G71" s="61"/>
      <c r="H71" s="61">
        <v>4140</v>
      </c>
      <c r="I71" s="61" t="str">
        <f t="shared" si="8"/>
        <v/>
      </c>
      <c r="J71" s="61" t="str">
        <f t="shared" si="8"/>
        <v/>
      </c>
      <c r="K71" s="62" t="str">
        <f t="shared" si="9"/>
        <v/>
      </c>
      <c r="L71" s="61" t="str">
        <f>IF(F71="","",+(F71-F70)*4140)</f>
        <v/>
      </c>
      <c r="M71" s="62" t="str">
        <f t="shared" si="11"/>
        <v/>
      </c>
      <c r="N71" s="63">
        <v>66068309</v>
      </c>
      <c r="O71" s="63">
        <f t="shared" ref="O71:O131" si="12">IF(N71="","",N71-N70)</f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" thickBot="1" x14ac:dyDescent="0.4">
      <c r="A72" s="56">
        <v>44266</v>
      </c>
      <c r="D72" s="58"/>
      <c r="E72" s="59"/>
      <c r="F72" s="60"/>
      <c r="G72" s="61"/>
      <c r="H72" s="61">
        <v>4140</v>
      </c>
      <c r="I72" s="61" t="str">
        <f t="shared" si="8"/>
        <v/>
      </c>
      <c r="J72" s="61" t="str">
        <f t="shared" si="8"/>
        <v/>
      </c>
      <c r="K72" s="62" t="str">
        <f t="shared" si="9"/>
        <v/>
      </c>
      <c r="L72" s="61" t="str">
        <f t="shared" si="10"/>
        <v/>
      </c>
      <c r="M72" s="62" t="str">
        <f t="shared" si="11"/>
        <v/>
      </c>
      <c r="N72" s="63">
        <v>66068309</v>
      </c>
      <c r="O72" s="63">
        <f t="shared" si="12"/>
        <v>0</v>
      </c>
      <c r="P72" s="64"/>
      <c r="Q72" s="66"/>
      <c r="R72" s="20">
        <f t="shared" ref="R72:R93" si="13">IF(N72="",0,1)</f>
        <v>1</v>
      </c>
      <c r="S72" s="20">
        <f t="shared" ref="S72:S135" si="14">IF(N72="",1,0)</f>
        <v>0</v>
      </c>
    </row>
    <row r="73" spans="1:20" ht="15" thickBot="1" x14ac:dyDescent="0.4">
      <c r="A73" s="56">
        <v>44267</v>
      </c>
      <c r="D73" s="58"/>
      <c r="E73" s="59"/>
      <c r="F73" s="60"/>
      <c r="G73" s="61"/>
      <c r="H73" s="61">
        <v>4140</v>
      </c>
      <c r="I73" s="61" t="str">
        <f t="shared" si="8"/>
        <v/>
      </c>
      <c r="J73" s="61" t="str">
        <f t="shared" si="8"/>
        <v/>
      </c>
      <c r="K73" s="62" t="str">
        <f t="shared" si="9"/>
        <v/>
      </c>
      <c r="L73" s="61" t="str">
        <f t="shared" si="10"/>
        <v/>
      </c>
      <c r="M73" s="62" t="str">
        <f t="shared" si="11"/>
        <v/>
      </c>
      <c r="N73" s="63">
        <v>66068309</v>
      </c>
      <c r="O73" s="63">
        <f t="shared" si="12"/>
        <v>0</v>
      </c>
      <c r="P73" s="64"/>
      <c r="Q73" s="65"/>
      <c r="R73" s="20">
        <f t="shared" si="13"/>
        <v>1</v>
      </c>
      <c r="S73" s="20">
        <f t="shared" si="14"/>
        <v>0</v>
      </c>
    </row>
    <row r="74" spans="1:20" ht="15" thickBot="1" x14ac:dyDescent="0.4">
      <c r="A74" s="56">
        <v>44268</v>
      </c>
      <c r="D74" s="58"/>
      <c r="E74" s="59"/>
      <c r="F74" s="60"/>
      <c r="G74" s="61"/>
      <c r="H74" s="61">
        <v>4140</v>
      </c>
      <c r="I74" s="61" t="str">
        <f t="shared" si="8"/>
        <v/>
      </c>
      <c r="J74" s="61" t="str">
        <f t="shared" si="8"/>
        <v/>
      </c>
      <c r="K74" s="62" t="str">
        <f t="shared" si="9"/>
        <v/>
      </c>
      <c r="L74" s="61" t="str">
        <f t="shared" si="10"/>
        <v/>
      </c>
      <c r="M74" s="62" t="str">
        <f t="shared" si="11"/>
        <v/>
      </c>
      <c r="N74" s="63">
        <v>66068309</v>
      </c>
      <c r="O74" s="63">
        <f t="shared" si="12"/>
        <v>0</v>
      </c>
      <c r="P74" s="64"/>
      <c r="Q74" s="66"/>
      <c r="R74" s="20">
        <f t="shared" si="13"/>
        <v>1</v>
      </c>
      <c r="S74" s="20">
        <f t="shared" si="14"/>
        <v>0</v>
      </c>
    </row>
    <row r="75" spans="1:20" ht="15" thickBot="1" x14ac:dyDescent="0.4">
      <c r="A75" s="56">
        <v>44269</v>
      </c>
      <c r="D75" s="58"/>
      <c r="E75" s="59"/>
      <c r="F75" s="60"/>
      <c r="G75" s="61"/>
      <c r="H75" s="61">
        <v>4140</v>
      </c>
      <c r="I75" s="61" t="str">
        <f t="shared" si="8"/>
        <v/>
      </c>
      <c r="J75" s="61" t="str">
        <f t="shared" si="8"/>
        <v/>
      </c>
      <c r="K75" s="62" t="str">
        <f t="shared" si="9"/>
        <v/>
      </c>
      <c r="L75" s="61" t="str">
        <f t="shared" si="10"/>
        <v/>
      </c>
      <c r="M75" s="62" t="str">
        <f t="shared" si="11"/>
        <v/>
      </c>
      <c r="N75" s="63">
        <v>66068309</v>
      </c>
      <c r="O75" s="63">
        <f t="shared" si="12"/>
        <v>0</v>
      </c>
      <c r="P75" s="64"/>
      <c r="Q75" s="66"/>
      <c r="R75" s="20">
        <f t="shared" si="13"/>
        <v>1</v>
      </c>
      <c r="S75" s="20">
        <f t="shared" si="14"/>
        <v>0</v>
      </c>
      <c r="T75" s="67"/>
    </row>
    <row r="76" spans="1:20" ht="15" thickBot="1" x14ac:dyDescent="0.4">
      <c r="A76" s="56">
        <v>44270</v>
      </c>
      <c r="D76" s="58"/>
      <c r="E76" s="59"/>
      <c r="F76" s="60"/>
      <c r="G76" s="61"/>
      <c r="H76" s="61">
        <v>4140</v>
      </c>
      <c r="I76" s="61" t="str">
        <f t="shared" si="8"/>
        <v/>
      </c>
      <c r="J76" s="61" t="str">
        <f t="shared" si="8"/>
        <v/>
      </c>
      <c r="K76" s="62" t="str">
        <f t="shared" si="9"/>
        <v/>
      </c>
      <c r="L76" s="61" t="str">
        <f t="shared" si="10"/>
        <v/>
      </c>
      <c r="M76" s="62" t="str">
        <f t="shared" si="11"/>
        <v/>
      </c>
      <c r="N76" s="63">
        <v>66068309</v>
      </c>
      <c r="O76" s="63">
        <f t="shared" si="12"/>
        <v>0</v>
      </c>
      <c r="P76" s="64"/>
      <c r="Q76" s="65"/>
      <c r="R76" s="20">
        <f t="shared" si="13"/>
        <v>1</v>
      </c>
      <c r="S76" s="20">
        <f t="shared" si="14"/>
        <v>0</v>
      </c>
      <c r="T76" s="67"/>
    </row>
    <row r="77" spans="1:20" ht="15" thickBot="1" x14ac:dyDescent="0.4">
      <c r="A77" s="56">
        <v>44271</v>
      </c>
      <c r="D77" s="58"/>
      <c r="E77" s="59"/>
      <c r="F77" s="60"/>
      <c r="G77" s="61"/>
      <c r="H77" s="61">
        <v>4140</v>
      </c>
      <c r="I77" s="61" t="str">
        <f t="shared" si="8"/>
        <v/>
      </c>
      <c r="J77" s="61" t="str">
        <f t="shared" si="8"/>
        <v/>
      </c>
      <c r="K77" s="62" t="str">
        <f t="shared" si="9"/>
        <v/>
      </c>
      <c r="L77" s="61" t="str">
        <f t="shared" si="10"/>
        <v/>
      </c>
      <c r="M77" s="62" t="str">
        <f t="shared" si="11"/>
        <v/>
      </c>
      <c r="N77" s="63">
        <v>66068309</v>
      </c>
      <c r="O77" s="63">
        <f t="shared" si="12"/>
        <v>0</v>
      </c>
      <c r="P77" s="64"/>
      <c r="Q77" s="106"/>
      <c r="R77" s="20">
        <f t="shared" si="13"/>
        <v>1</v>
      </c>
      <c r="S77" s="20">
        <f t="shared" si="14"/>
        <v>0</v>
      </c>
    </row>
    <row r="78" spans="1:20" ht="15" thickBot="1" x14ac:dyDescent="0.4">
      <c r="A78" s="56">
        <v>44272</v>
      </c>
      <c r="D78" s="58"/>
      <c r="E78" s="59"/>
      <c r="F78" s="60"/>
      <c r="G78" s="61"/>
      <c r="H78" s="61">
        <v>4140</v>
      </c>
      <c r="I78" s="61" t="str">
        <f t="shared" si="8"/>
        <v/>
      </c>
      <c r="J78" s="61" t="str">
        <f t="shared" si="8"/>
        <v/>
      </c>
      <c r="K78" s="62" t="str">
        <f t="shared" si="9"/>
        <v/>
      </c>
      <c r="L78" s="61" t="str">
        <f t="shared" si="10"/>
        <v/>
      </c>
      <c r="M78" s="62" t="str">
        <f t="shared" si="11"/>
        <v/>
      </c>
      <c r="N78" s="63">
        <v>66068309</v>
      </c>
      <c r="O78" s="63">
        <f t="shared" si="12"/>
        <v>0</v>
      </c>
      <c r="P78" s="64"/>
      <c r="Q78" s="106"/>
      <c r="R78" s="20">
        <f t="shared" si="13"/>
        <v>1</v>
      </c>
      <c r="S78" s="20">
        <f t="shared" si="14"/>
        <v>0</v>
      </c>
    </row>
    <row r="79" spans="1:20" ht="15" thickBot="1" x14ac:dyDescent="0.4">
      <c r="A79" s="56">
        <v>44273</v>
      </c>
      <c r="D79" s="58"/>
      <c r="E79" s="59"/>
      <c r="F79" s="60"/>
      <c r="G79" s="61"/>
      <c r="H79" s="61">
        <v>4140</v>
      </c>
      <c r="I79" s="61" t="str">
        <f t="shared" si="8"/>
        <v/>
      </c>
      <c r="J79" s="61" t="str">
        <f t="shared" si="8"/>
        <v/>
      </c>
      <c r="K79" s="62" t="str">
        <f t="shared" si="9"/>
        <v/>
      </c>
      <c r="L79" s="61" t="str">
        <f t="shared" si="10"/>
        <v/>
      </c>
      <c r="M79" s="62" t="str">
        <f t="shared" si="11"/>
        <v/>
      </c>
      <c r="N79" s="63">
        <v>66068309</v>
      </c>
      <c r="O79" s="63">
        <f t="shared" si="12"/>
        <v>0</v>
      </c>
      <c r="P79" s="64"/>
      <c r="Q79" s="106"/>
      <c r="R79" s="20">
        <f t="shared" si="13"/>
        <v>1</v>
      </c>
      <c r="S79" s="20">
        <f t="shared" si="14"/>
        <v>0</v>
      </c>
    </row>
    <row r="80" spans="1:20" ht="15" thickBot="1" x14ac:dyDescent="0.4">
      <c r="A80" s="56">
        <v>44274</v>
      </c>
      <c r="D80" s="58"/>
      <c r="E80" s="59"/>
      <c r="F80" s="60"/>
      <c r="G80" s="61"/>
      <c r="H80" s="61">
        <v>4140</v>
      </c>
      <c r="I80" s="61" t="str">
        <f t="shared" si="8"/>
        <v/>
      </c>
      <c r="J80" s="61" t="str">
        <f t="shared" si="8"/>
        <v/>
      </c>
      <c r="K80" s="62" t="str">
        <f t="shared" si="9"/>
        <v/>
      </c>
      <c r="L80" s="61" t="str">
        <f t="shared" si="10"/>
        <v/>
      </c>
      <c r="M80" s="62" t="str">
        <f t="shared" si="11"/>
        <v/>
      </c>
      <c r="N80" s="63">
        <v>66068309</v>
      </c>
      <c r="O80" s="63">
        <f t="shared" si="12"/>
        <v>0</v>
      </c>
      <c r="P80" s="69"/>
      <c r="Q80" s="107"/>
      <c r="R80" s="20">
        <f t="shared" si="13"/>
        <v>1</v>
      </c>
      <c r="S80" s="20">
        <f t="shared" si="14"/>
        <v>0</v>
      </c>
      <c r="T80" s="67"/>
    </row>
    <row r="81" spans="1:20" ht="15" thickBot="1" x14ac:dyDescent="0.4">
      <c r="A81" s="56">
        <v>44275</v>
      </c>
      <c r="D81" s="58"/>
      <c r="E81" s="59"/>
      <c r="F81" s="60"/>
      <c r="G81" s="61"/>
      <c r="H81" s="61">
        <v>4140</v>
      </c>
      <c r="I81" s="61" t="str">
        <f t="shared" si="8"/>
        <v/>
      </c>
      <c r="J81" s="61" t="str">
        <f t="shared" si="8"/>
        <v/>
      </c>
      <c r="K81" s="62" t="str">
        <f t="shared" si="9"/>
        <v/>
      </c>
      <c r="L81" s="61" t="str">
        <f>IF(F81="","",+(F81-F80)*4140)</f>
        <v/>
      </c>
      <c r="M81" s="62" t="str">
        <f t="shared" si="11"/>
        <v/>
      </c>
      <c r="N81" s="63">
        <v>66068309</v>
      </c>
      <c r="O81" s="63">
        <f t="shared" si="12"/>
        <v>0</v>
      </c>
      <c r="P81" s="163" t="s">
        <v>60</v>
      </c>
      <c r="Q81" s="164"/>
      <c r="R81" s="20">
        <f t="shared" si="13"/>
        <v>1</v>
      </c>
      <c r="S81" s="20">
        <f t="shared" si="14"/>
        <v>0</v>
      </c>
      <c r="T81" s="67"/>
    </row>
    <row r="82" spans="1:20" ht="15" thickBot="1" x14ac:dyDescent="0.4">
      <c r="A82" s="56">
        <v>44276</v>
      </c>
      <c r="D82" s="58"/>
      <c r="E82" s="59"/>
      <c r="F82" s="60"/>
      <c r="G82" s="61"/>
      <c r="H82" s="61">
        <v>4140</v>
      </c>
      <c r="I82" s="61" t="str">
        <f t="shared" si="8"/>
        <v/>
      </c>
      <c r="J82" s="61" t="str">
        <f t="shared" si="8"/>
        <v/>
      </c>
      <c r="K82" s="62" t="str">
        <f t="shared" si="9"/>
        <v/>
      </c>
      <c r="L82" s="61" t="str">
        <f>IF(F82="","",+(F82-F81)*4140)</f>
        <v/>
      </c>
      <c r="M82" s="62" t="str">
        <f t="shared" si="11"/>
        <v/>
      </c>
      <c r="N82" s="63">
        <v>66068309</v>
      </c>
      <c r="O82" s="63">
        <f t="shared" si="12"/>
        <v>0</v>
      </c>
      <c r="P82" s="165"/>
      <c r="Q82" s="166"/>
      <c r="R82" s="20">
        <f t="shared" si="13"/>
        <v>1</v>
      </c>
      <c r="S82" s="20">
        <f t="shared" si="14"/>
        <v>0</v>
      </c>
    </row>
    <row r="83" spans="1:20" ht="15" thickBot="1" x14ac:dyDescent="0.4">
      <c r="A83" s="56">
        <v>44277</v>
      </c>
      <c r="D83" s="58"/>
      <c r="E83" s="59"/>
      <c r="F83" s="60"/>
      <c r="G83" s="61"/>
      <c r="H83" s="61">
        <v>4140</v>
      </c>
      <c r="I83" s="61" t="str">
        <f t="shared" si="8"/>
        <v/>
      </c>
      <c r="J83" s="61" t="str">
        <f t="shared" si="8"/>
        <v/>
      </c>
      <c r="K83" s="62" t="str">
        <f t="shared" si="9"/>
        <v/>
      </c>
      <c r="L83" s="61" t="str">
        <f t="shared" si="10"/>
        <v/>
      </c>
      <c r="M83" s="62" t="str">
        <f t="shared" si="11"/>
        <v/>
      </c>
      <c r="N83" s="63">
        <v>66068309</v>
      </c>
      <c r="O83" s="63">
        <f t="shared" si="12"/>
        <v>0</v>
      </c>
      <c r="P83" s="71" t="s">
        <v>46</v>
      </c>
      <c r="Q83" s="71" t="s">
        <v>47</v>
      </c>
      <c r="R83" s="20">
        <f t="shared" si="13"/>
        <v>1</v>
      </c>
      <c r="S83" s="20">
        <f t="shared" si="14"/>
        <v>0</v>
      </c>
    </row>
    <row r="84" spans="1:20" ht="15" thickBot="1" x14ac:dyDescent="0.4">
      <c r="A84" s="56">
        <v>44278</v>
      </c>
      <c r="D84" s="58"/>
      <c r="E84" s="59"/>
      <c r="F84" s="60"/>
      <c r="G84" s="61"/>
      <c r="H84" s="61">
        <v>4140</v>
      </c>
      <c r="I84" s="61" t="str">
        <f t="shared" si="8"/>
        <v/>
      </c>
      <c r="J84" s="61" t="str">
        <f t="shared" si="8"/>
        <v/>
      </c>
      <c r="K84" s="62" t="str">
        <f>IF(J84="","",+(J84/I84))</f>
        <v/>
      </c>
      <c r="L84" s="61" t="str">
        <f t="shared" si="10"/>
        <v/>
      </c>
      <c r="M84" s="62" t="str">
        <f t="shared" si="11"/>
        <v/>
      </c>
      <c r="N84" s="63">
        <v>66068309</v>
      </c>
      <c r="O84" s="63">
        <f t="shared" si="12"/>
        <v>0</v>
      </c>
      <c r="P84" s="72">
        <f>IF(J63="",0,+SUM(J63:J93)/SUM(I63:I93))</f>
        <v>2.7308192457732063E-2</v>
      </c>
      <c r="Q84" s="72">
        <f>IF(L63="",0,+SUM(L63:L93)/SUM(I63:I93))</f>
        <v>1.8577001671926607E-2</v>
      </c>
      <c r="R84" s="20">
        <f t="shared" si="13"/>
        <v>1</v>
      </c>
      <c r="S84" s="20">
        <f t="shared" si="14"/>
        <v>0</v>
      </c>
      <c r="T84" s="67"/>
    </row>
    <row r="85" spans="1:20" ht="15" thickBot="1" x14ac:dyDescent="0.4">
      <c r="A85" s="56">
        <v>44279</v>
      </c>
      <c r="D85" s="58"/>
      <c r="E85" s="59"/>
      <c r="F85" s="60"/>
      <c r="G85" s="61"/>
      <c r="H85" s="61">
        <v>4140</v>
      </c>
      <c r="I85" s="61" t="str">
        <f t="shared" si="8"/>
        <v/>
      </c>
      <c r="J85" s="61" t="str">
        <f t="shared" si="8"/>
        <v/>
      </c>
      <c r="K85" s="62" t="str">
        <f t="shared" si="9"/>
        <v/>
      </c>
      <c r="L85" s="61" t="str">
        <f t="shared" si="10"/>
        <v/>
      </c>
      <c r="M85" s="62" t="str">
        <f t="shared" si="11"/>
        <v/>
      </c>
      <c r="N85" s="63">
        <v>66068309</v>
      </c>
      <c r="O85" s="63">
        <f t="shared" si="12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13"/>
        <v>1</v>
      </c>
      <c r="S85" s="20">
        <f t="shared" si="14"/>
        <v>0</v>
      </c>
      <c r="T85" s="67"/>
    </row>
    <row r="86" spans="1:20" ht="15" thickBot="1" x14ac:dyDescent="0.4">
      <c r="A86" s="56">
        <v>44280</v>
      </c>
      <c r="D86" s="58"/>
      <c r="E86" s="59"/>
      <c r="F86" s="60"/>
      <c r="G86" s="61"/>
      <c r="H86" s="61">
        <v>4140</v>
      </c>
      <c r="I86" s="61" t="str">
        <f t="shared" si="8"/>
        <v/>
      </c>
      <c r="J86" s="61" t="str">
        <f t="shared" si="8"/>
        <v/>
      </c>
      <c r="K86" s="62" t="str">
        <f t="shared" si="9"/>
        <v/>
      </c>
      <c r="L86" s="61" t="str">
        <f t="shared" si="10"/>
        <v/>
      </c>
      <c r="M86" s="62" t="str">
        <f t="shared" si="11"/>
        <v/>
      </c>
      <c r="N86" s="63">
        <v>66068309</v>
      </c>
      <c r="O86" s="63">
        <f t="shared" si="12"/>
        <v>0</v>
      </c>
      <c r="P86" s="74" t="s">
        <v>48</v>
      </c>
      <c r="Q86" s="75" t="s">
        <v>49</v>
      </c>
      <c r="R86" s="20">
        <f t="shared" si="13"/>
        <v>1</v>
      </c>
      <c r="S86" s="20">
        <f t="shared" si="14"/>
        <v>0</v>
      </c>
      <c r="T86" s="67"/>
    </row>
    <row r="87" spans="1:20" ht="15" thickBot="1" x14ac:dyDescent="0.4">
      <c r="A87" s="56">
        <v>44281</v>
      </c>
      <c r="D87" s="58"/>
      <c r="E87" s="59"/>
      <c r="F87" s="60"/>
      <c r="G87" s="61"/>
      <c r="H87" s="61">
        <v>4140</v>
      </c>
      <c r="I87" s="61" t="str">
        <f t="shared" si="8"/>
        <v/>
      </c>
      <c r="J87" s="61" t="str">
        <f t="shared" si="8"/>
        <v/>
      </c>
      <c r="K87" s="62" t="str">
        <f t="shared" si="9"/>
        <v/>
      </c>
      <c r="L87" s="61" t="str">
        <f>IF(F87="","",+(F87-F86)*4140)</f>
        <v/>
      </c>
      <c r="M87" s="62" t="str">
        <f t="shared" si="11"/>
        <v/>
      </c>
      <c r="N87" s="63">
        <v>66068309</v>
      </c>
      <c r="O87" s="63">
        <f t="shared" si="12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13"/>
        <v>1</v>
      </c>
      <c r="S87" s="20">
        <f t="shared" si="14"/>
        <v>0</v>
      </c>
      <c r="T87" s="67"/>
    </row>
    <row r="88" spans="1:20" ht="15" thickBot="1" x14ac:dyDescent="0.4">
      <c r="A88" s="56">
        <v>44282</v>
      </c>
      <c r="D88" s="58"/>
      <c r="E88" s="59"/>
      <c r="F88" s="60"/>
      <c r="G88" s="61"/>
      <c r="H88" s="61">
        <v>4140</v>
      </c>
      <c r="I88" s="61" t="str">
        <f t="shared" si="8"/>
        <v/>
      </c>
      <c r="J88" s="61" t="str">
        <f t="shared" si="8"/>
        <v/>
      </c>
      <c r="K88" s="62" t="str">
        <f t="shared" si="9"/>
        <v/>
      </c>
      <c r="L88" s="61" t="str">
        <f>IF(F88="","",+(F88-F87)*4140)</f>
        <v/>
      </c>
      <c r="M88" s="62" t="str">
        <f t="shared" si="11"/>
        <v/>
      </c>
      <c r="N88" s="63">
        <v>66068309</v>
      </c>
      <c r="O88" s="63">
        <f t="shared" si="12"/>
        <v>0</v>
      </c>
      <c r="P88" s="78" t="s">
        <v>50</v>
      </c>
      <c r="Q88" s="79" t="s">
        <v>58</v>
      </c>
      <c r="R88" s="20">
        <f t="shared" si="13"/>
        <v>1</v>
      </c>
      <c r="S88" s="20">
        <f t="shared" si="14"/>
        <v>0</v>
      </c>
    </row>
    <row r="89" spans="1:20" ht="15" thickBot="1" x14ac:dyDescent="0.4">
      <c r="A89" s="56">
        <v>44283</v>
      </c>
      <c r="D89" s="58"/>
      <c r="E89" s="59"/>
      <c r="F89" s="60"/>
      <c r="G89" s="61"/>
      <c r="H89" s="61">
        <v>4140</v>
      </c>
      <c r="I89" s="61" t="str">
        <f t="shared" si="8"/>
        <v/>
      </c>
      <c r="J89" s="61" t="str">
        <f t="shared" si="8"/>
        <v/>
      </c>
      <c r="K89" s="62" t="str">
        <f t="shared" si="9"/>
        <v/>
      </c>
      <c r="L89" s="61" t="str">
        <f>IF(F89="","",+(F89-F88)*4140)</f>
        <v/>
      </c>
      <c r="M89" s="62" t="str">
        <f t="shared" si="11"/>
        <v/>
      </c>
      <c r="N89" s="63">
        <v>66068309</v>
      </c>
      <c r="O89" s="63">
        <f t="shared" si="12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13"/>
        <v>1</v>
      </c>
      <c r="S89" s="20">
        <f t="shared" si="14"/>
        <v>0</v>
      </c>
    </row>
    <row r="90" spans="1:20" ht="15" thickBot="1" x14ac:dyDescent="0.4">
      <c r="A90" s="56">
        <v>44284</v>
      </c>
      <c r="D90" s="58"/>
      <c r="E90" s="59"/>
      <c r="F90" s="60"/>
      <c r="G90" s="61"/>
      <c r="H90" s="61">
        <v>4140</v>
      </c>
      <c r="I90" s="61" t="str">
        <f t="shared" si="8"/>
        <v/>
      </c>
      <c r="J90" s="61" t="str">
        <f t="shared" si="8"/>
        <v/>
      </c>
      <c r="K90" s="62" t="str">
        <f t="shared" si="9"/>
        <v/>
      </c>
      <c r="L90" s="61" t="str">
        <f t="shared" si="10"/>
        <v/>
      </c>
      <c r="M90" s="62" t="str">
        <f t="shared" si="11"/>
        <v/>
      </c>
      <c r="N90" s="63">
        <v>66068309</v>
      </c>
      <c r="O90" s="63">
        <f t="shared" si="12"/>
        <v>0</v>
      </c>
      <c r="P90" s="82" t="s">
        <v>52</v>
      </c>
      <c r="Q90" s="83" t="s">
        <v>59</v>
      </c>
      <c r="R90" s="20">
        <f t="shared" si="13"/>
        <v>1</v>
      </c>
      <c r="S90" s="20">
        <f t="shared" si="14"/>
        <v>0</v>
      </c>
      <c r="T90" s="67"/>
    </row>
    <row r="91" spans="1:20" ht="15" thickBot="1" x14ac:dyDescent="0.4">
      <c r="A91" s="56">
        <v>44285</v>
      </c>
      <c r="D91" s="58"/>
      <c r="E91" s="59"/>
      <c r="F91" s="60"/>
      <c r="G91" s="61"/>
      <c r="H91" s="61">
        <v>4140</v>
      </c>
      <c r="I91" s="61" t="str">
        <f t="shared" si="8"/>
        <v/>
      </c>
      <c r="J91" s="61" t="str">
        <f t="shared" si="8"/>
        <v/>
      </c>
      <c r="K91" s="62" t="str">
        <f t="shared" si="9"/>
        <v/>
      </c>
      <c r="L91" s="61" t="str">
        <f t="shared" si="10"/>
        <v/>
      </c>
      <c r="M91" s="62" t="str">
        <f t="shared" si="11"/>
        <v/>
      </c>
      <c r="N91" s="63">
        <v>66068309</v>
      </c>
      <c r="O91" s="63">
        <f t="shared" si="12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13"/>
        <v>1</v>
      </c>
      <c r="S91" s="20">
        <f t="shared" si="14"/>
        <v>0</v>
      </c>
      <c r="T91" s="67"/>
    </row>
    <row r="92" spans="1:20" ht="15" thickBot="1" x14ac:dyDescent="0.4">
      <c r="A92" s="56">
        <v>44286</v>
      </c>
      <c r="D92" s="58"/>
      <c r="E92" s="59"/>
      <c r="F92" s="60"/>
      <c r="G92" s="61"/>
      <c r="H92" s="61">
        <v>4140</v>
      </c>
      <c r="I92" s="61" t="str">
        <f t="shared" si="8"/>
        <v/>
      </c>
      <c r="J92" s="61" t="str">
        <f t="shared" si="8"/>
        <v/>
      </c>
      <c r="K92" s="62" t="str">
        <f t="shared" si="9"/>
        <v/>
      </c>
      <c r="L92" s="61" t="str">
        <f t="shared" si="10"/>
        <v/>
      </c>
      <c r="M92" s="62" t="str">
        <f t="shared" si="11"/>
        <v/>
      </c>
      <c r="N92" s="63">
        <v>66068309</v>
      </c>
      <c r="O92" s="63">
        <f t="shared" si="12"/>
        <v>0</v>
      </c>
      <c r="P92" s="87" t="s">
        <v>54</v>
      </c>
      <c r="Q92" s="88" t="s">
        <v>55</v>
      </c>
      <c r="R92" s="20">
        <f t="shared" si="13"/>
        <v>1</v>
      </c>
      <c r="S92" s="20">
        <f t="shared" si="14"/>
        <v>0</v>
      </c>
      <c r="T92" s="67"/>
    </row>
    <row r="93" spans="1:20" ht="15" thickBot="1" x14ac:dyDescent="0.4">
      <c r="A93" s="56">
        <v>44287</v>
      </c>
      <c r="D93" s="91"/>
      <c r="E93" s="91"/>
      <c r="F93" s="91"/>
      <c r="G93" s="92"/>
      <c r="H93" s="61">
        <v>4140</v>
      </c>
      <c r="I93" s="92" t="str">
        <f t="shared" si="8"/>
        <v/>
      </c>
      <c r="J93" s="92" t="str">
        <f t="shared" si="8"/>
        <v/>
      </c>
      <c r="K93" s="93" t="str">
        <f t="shared" si="9"/>
        <v/>
      </c>
      <c r="L93" s="92" t="str">
        <f t="shared" si="10"/>
        <v/>
      </c>
      <c r="M93" s="93" t="str">
        <f t="shared" si="11"/>
        <v/>
      </c>
      <c r="N93" s="94">
        <v>66068309</v>
      </c>
      <c r="O93" s="95">
        <f t="shared" si="12"/>
        <v>0</v>
      </c>
      <c r="P93" s="96">
        <f>(P91+Q89*SUM(S63:S93)*Q94)</f>
        <v>0</v>
      </c>
      <c r="Q93" s="97">
        <f>Q89*31</f>
        <v>0</v>
      </c>
      <c r="R93" s="20">
        <f t="shared" si="13"/>
        <v>1</v>
      </c>
      <c r="S93" s="20">
        <f t="shared" si="14"/>
        <v>0</v>
      </c>
    </row>
    <row r="94" spans="1:20" ht="15" thickBot="1" x14ac:dyDescent="0.4">
      <c r="A94" s="56">
        <v>44288</v>
      </c>
      <c r="D94" s="58"/>
      <c r="E94" s="59"/>
      <c r="F94" s="60"/>
      <c r="G94" s="61"/>
      <c r="H94" s="61">
        <v>4140</v>
      </c>
      <c r="I94" s="61" t="str">
        <f t="shared" si="8"/>
        <v/>
      </c>
      <c r="J94" s="61" t="str">
        <f t="shared" si="8"/>
        <v/>
      </c>
      <c r="K94" s="62" t="str">
        <f t="shared" si="9"/>
        <v/>
      </c>
      <c r="L94" s="61" t="str">
        <f t="shared" si="10"/>
        <v/>
      </c>
      <c r="M94" s="62" t="str">
        <f t="shared" si="11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" thickBot="1" x14ac:dyDescent="0.4">
      <c r="A95" s="56">
        <v>44289</v>
      </c>
      <c r="D95" s="58"/>
      <c r="E95" s="59"/>
      <c r="F95" s="60"/>
      <c r="G95" s="61"/>
      <c r="H95" s="61">
        <v>4140</v>
      </c>
      <c r="I95" s="61" t="str">
        <f t="shared" si="8"/>
        <v/>
      </c>
      <c r="J95" s="61" t="str">
        <f t="shared" si="8"/>
        <v/>
      </c>
      <c r="K95" s="62" t="str">
        <f t="shared" si="9"/>
        <v/>
      </c>
      <c r="L95" s="61" t="str">
        <f t="shared" si="10"/>
        <v/>
      </c>
      <c r="M95" s="62" t="str">
        <f t="shared" si="11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" thickBot="1" x14ac:dyDescent="0.4">
      <c r="A96" s="56">
        <v>44290</v>
      </c>
      <c r="D96" s="58"/>
      <c r="E96" s="59"/>
      <c r="F96" s="60"/>
      <c r="G96" s="61"/>
      <c r="H96" s="61">
        <v>4140</v>
      </c>
      <c r="I96" s="61" t="str">
        <f t="shared" si="8"/>
        <v/>
      </c>
      <c r="J96" s="61" t="str">
        <f t="shared" si="8"/>
        <v/>
      </c>
      <c r="K96" s="62" t="str">
        <f t="shared" si="9"/>
        <v/>
      </c>
      <c r="L96" s="61" t="str">
        <f t="shared" si="10"/>
        <v/>
      </c>
      <c r="M96" s="62" t="str">
        <f t="shared" si="11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" thickBot="1" x14ac:dyDescent="0.4">
      <c r="A97" s="56">
        <v>44291</v>
      </c>
      <c r="D97" s="58"/>
      <c r="E97" s="59"/>
      <c r="F97" s="60"/>
      <c r="G97" s="61"/>
      <c r="H97" s="61">
        <v>4140</v>
      </c>
      <c r="I97" s="61" t="str">
        <f t="shared" si="8"/>
        <v/>
      </c>
      <c r="J97" s="61" t="str">
        <f t="shared" si="8"/>
        <v/>
      </c>
      <c r="K97" s="62" t="str">
        <f t="shared" si="9"/>
        <v/>
      </c>
      <c r="L97" s="61" t="str">
        <f t="shared" si="10"/>
        <v/>
      </c>
      <c r="M97" s="62" t="str">
        <f t="shared" si="11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14"/>
        <v>0</v>
      </c>
      <c r="T97" s="67"/>
    </row>
    <row r="98" spans="1:20" ht="15" thickBot="1" x14ac:dyDescent="0.4">
      <c r="A98" s="56">
        <v>44292</v>
      </c>
      <c r="D98" s="58"/>
      <c r="E98" s="59"/>
      <c r="F98" s="60"/>
      <c r="G98" s="61"/>
      <c r="H98" s="61">
        <v>4140</v>
      </c>
      <c r="I98" s="61" t="str">
        <f t="shared" si="8"/>
        <v/>
      </c>
      <c r="J98" s="61" t="str">
        <f t="shared" si="8"/>
        <v/>
      </c>
      <c r="K98" s="62" t="str">
        <f t="shared" si="9"/>
        <v/>
      </c>
      <c r="L98" s="61" t="str">
        <f t="shared" si="10"/>
        <v/>
      </c>
      <c r="M98" s="62" t="str">
        <f t="shared" si="11"/>
        <v/>
      </c>
      <c r="N98" s="63">
        <v>66068309</v>
      </c>
      <c r="O98" s="63">
        <f t="shared" si="12"/>
        <v>0</v>
      </c>
      <c r="P98" s="104"/>
      <c r="Q98" s="103"/>
      <c r="R98" s="20">
        <f t="shared" si="15"/>
        <v>1</v>
      </c>
      <c r="S98" s="20">
        <f t="shared" si="14"/>
        <v>0</v>
      </c>
    </row>
    <row r="99" spans="1:20" ht="15" thickBot="1" x14ac:dyDescent="0.4">
      <c r="A99" s="56">
        <v>44293</v>
      </c>
      <c r="D99" s="58"/>
      <c r="E99" s="59"/>
      <c r="F99" s="60"/>
      <c r="G99" s="61"/>
      <c r="H99" s="61">
        <v>4140</v>
      </c>
      <c r="I99" s="61" t="str">
        <f t="shared" si="8"/>
        <v/>
      </c>
      <c r="J99" s="61" t="str">
        <f t="shared" si="8"/>
        <v/>
      </c>
      <c r="K99" s="62" t="str">
        <f t="shared" si="9"/>
        <v/>
      </c>
      <c r="L99" s="61" t="str">
        <f>IF(F99="","",+(F99-F98)*4140)</f>
        <v/>
      </c>
      <c r="M99" s="62" t="str">
        <f t="shared" si="11"/>
        <v/>
      </c>
      <c r="N99" s="63">
        <v>66068309</v>
      </c>
      <c r="O99" s="63">
        <f t="shared" si="12"/>
        <v>0</v>
      </c>
      <c r="P99" s="64"/>
      <c r="Q99" s="65"/>
      <c r="R99" s="20">
        <f t="shared" si="15"/>
        <v>1</v>
      </c>
      <c r="S99" s="20">
        <f t="shared" si="14"/>
        <v>0</v>
      </c>
    </row>
    <row r="100" spans="1:20" ht="15" thickBot="1" x14ac:dyDescent="0.4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8"/>
        <v/>
      </c>
      <c r="J100" s="61" t="str">
        <f t="shared" si="8"/>
        <v/>
      </c>
      <c r="K100" s="62" t="str">
        <f t="shared" si="9"/>
        <v/>
      </c>
      <c r="L100" s="61" t="str">
        <f t="shared" si="10"/>
        <v/>
      </c>
      <c r="M100" s="62" t="str">
        <f t="shared" si="11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14"/>
        <v>0</v>
      </c>
    </row>
    <row r="101" spans="1:20" ht="15" thickBot="1" x14ac:dyDescent="0.4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8"/>
        <v/>
      </c>
      <c r="J101" s="61" t="str">
        <f t="shared" si="8"/>
        <v/>
      </c>
      <c r="K101" s="62" t="str">
        <f t="shared" si="9"/>
        <v/>
      </c>
      <c r="L101" s="61" t="str">
        <f t="shared" si="10"/>
        <v/>
      </c>
      <c r="M101" s="62" t="str">
        <f t="shared" si="11"/>
        <v/>
      </c>
      <c r="N101" s="63">
        <v>66068309</v>
      </c>
      <c r="O101" s="63">
        <f t="shared" si="12"/>
        <v>0</v>
      </c>
      <c r="P101" s="64"/>
      <c r="Q101" s="66"/>
      <c r="R101" s="20">
        <f t="shared" si="15"/>
        <v>1</v>
      </c>
      <c r="S101" s="20">
        <f t="shared" si="14"/>
        <v>0</v>
      </c>
      <c r="T101" s="67"/>
    </row>
    <row r="102" spans="1:20" ht="15" thickBot="1" x14ac:dyDescent="0.4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8"/>
        <v/>
      </c>
      <c r="J102" s="61" t="str">
        <f t="shared" si="8"/>
        <v/>
      </c>
      <c r="K102" s="62" t="str">
        <f t="shared" si="9"/>
        <v/>
      </c>
      <c r="L102" s="61" t="str">
        <f t="shared" si="10"/>
        <v/>
      </c>
      <c r="M102" s="62" t="str">
        <f t="shared" si="11"/>
        <v/>
      </c>
      <c r="N102" s="63">
        <v>66068309</v>
      </c>
      <c r="O102" s="63">
        <f t="shared" si="12"/>
        <v>0</v>
      </c>
      <c r="P102" s="64"/>
      <c r="Q102" s="66"/>
      <c r="R102" s="20">
        <f t="shared" si="15"/>
        <v>1</v>
      </c>
      <c r="S102" s="20">
        <f t="shared" si="14"/>
        <v>0</v>
      </c>
      <c r="T102" s="67"/>
    </row>
    <row r="103" spans="1:20" ht="15" thickBot="1" x14ac:dyDescent="0.4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8"/>
        <v/>
      </c>
      <c r="J103" s="61" t="str">
        <f t="shared" si="8"/>
        <v/>
      </c>
      <c r="K103" s="62" t="str">
        <f t="shared" si="9"/>
        <v/>
      </c>
      <c r="L103" s="61" t="str">
        <f t="shared" si="10"/>
        <v/>
      </c>
      <c r="M103" s="62" t="str">
        <f t="shared" si="11"/>
        <v/>
      </c>
      <c r="N103" s="63">
        <v>66068309</v>
      </c>
      <c r="O103" s="63">
        <f t="shared" si="12"/>
        <v>0</v>
      </c>
      <c r="P103" s="64"/>
      <c r="Q103" s="65"/>
      <c r="R103" s="20">
        <f t="shared" si="15"/>
        <v>1</v>
      </c>
      <c r="S103" s="20">
        <f t="shared" si="14"/>
        <v>0</v>
      </c>
    </row>
    <row r="104" spans="1:20" ht="15" thickBot="1" x14ac:dyDescent="0.4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8"/>
        <v/>
      </c>
      <c r="J104" s="61" t="str">
        <f t="shared" si="8"/>
        <v/>
      </c>
      <c r="K104" s="62" t="str">
        <f t="shared" si="9"/>
        <v/>
      </c>
      <c r="L104" s="61" t="str">
        <f t="shared" si="10"/>
        <v/>
      </c>
      <c r="M104" s="62" t="str">
        <f t="shared" si="11"/>
        <v/>
      </c>
      <c r="N104" s="63">
        <v>66068309</v>
      </c>
      <c r="O104" s="63">
        <f t="shared" si="12"/>
        <v>0</v>
      </c>
      <c r="P104" s="64"/>
      <c r="Q104" s="65"/>
      <c r="R104" s="20">
        <f t="shared" si="15"/>
        <v>1</v>
      </c>
      <c r="S104" s="20">
        <f t="shared" si="14"/>
        <v>0</v>
      </c>
    </row>
    <row r="105" spans="1:20" ht="15" thickBot="1" x14ac:dyDescent="0.4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8"/>
        <v/>
      </c>
      <c r="J105" s="61" t="str">
        <f t="shared" si="8"/>
        <v/>
      </c>
      <c r="K105" s="62" t="str">
        <f t="shared" si="9"/>
        <v/>
      </c>
      <c r="L105" s="61" t="str">
        <f t="shared" si="10"/>
        <v/>
      </c>
      <c r="M105" s="62" t="str">
        <f t="shared" si="11"/>
        <v/>
      </c>
      <c r="N105" s="63">
        <v>66068309</v>
      </c>
      <c r="O105" s="63">
        <f t="shared" si="12"/>
        <v>0</v>
      </c>
      <c r="P105" s="64"/>
      <c r="Q105" s="66"/>
      <c r="R105" s="20">
        <f t="shared" si="15"/>
        <v>1</v>
      </c>
      <c r="S105" s="20">
        <f t="shared" si="14"/>
        <v>0</v>
      </c>
    </row>
    <row r="106" spans="1:20" ht="15" thickBot="1" x14ac:dyDescent="0.4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8"/>
        <v/>
      </c>
      <c r="J106" s="61" t="str">
        <f t="shared" si="8"/>
        <v/>
      </c>
      <c r="K106" s="62" t="str">
        <f t="shared" si="9"/>
        <v/>
      </c>
      <c r="L106" s="61" t="str">
        <f t="shared" si="10"/>
        <v/>
      </c>
      <c r="M106" s="62" t="str">
        <f>IF(L106="","",(L106/I106))</f>
        <v/>
      </c>
      <c r="N106" s="63">
        <v>66068309</v>
      </c>
      <c r="O106" s="63">
        <f t="shared" si="12"/>
        <v>0</v>
      </c>
      <c r="P106" s="64"/>
      <c r="Q106" s="66"/>
      <c r="R106" s="20">
        <f t="shared" si="15"/>
        <v>1</v>
      </c>
      <c r="S106" s="20">
        <f t="shared" si="14"/>
        <v>0</v>
      </c>
      <c r="T106" s="67"/>
    </row>
    <row r="107" spans="1:20" ht="15" thickBot="1" x14ac:dyDescent="0.4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8"/>
        <v/>
      </c>
      <c r="J107" s="61" t="str">
        <f t="shared" si="8"/>
        <v/>
      </c>
      <c r="K107" s="62" t="str">
        <f t="shared" si="9"/>
        <v/>
      </c>
      <c r="L107" s="61" t="str">
        <f t="shared" si="10"/>
        <v/>
      </c>
      <c r="M107" s="62" t="str">
        <f t="shared" si="11"/>
        <v/>
      </c>
      <c r="N107" s="63">
        <v>66068309</v>
      </c>
      <c r="O107" s="63">
        <f t="shared" si="12"/>
        <v>0</v>
      </c>
      <c r="P107" s="64"/>
      <c r="Q107" s="65"/>
      <c r="R107" s="20">
        <f t="shared" si="15"/>
        <v>1</v>
      </c>
      <c r="S107" s="20">
        <f t="shared" si="14"/>
        <v>0</v>
      </c>
      <c r="T107" s="67"/>
    </row>
    <row r="108" spans="1:20" ht="15" thickBot="1" x14ac:dyDescent="0.4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8"/>
        <v/>
      </c>
      <c r="J108" s="61" t="str">
        <f t="shared" si="8"/>
        <v/>
      </c>
      <c r="K108" s="62" t="str">
        <f t="shared" si="9"/>
        <v/>
      </c>
      <c r="L108" s="61" t="str">
        <f t="shared" si="10"/>
        <v/>
      </c>
      <c r="M108" s="62" t="str">
        <f t="shared" si="11"/>
        <v/>
      </c>
      <c r="N108" s="63">
        <v>66068309</v>
      </c>
      <c r="O108" s="63">
        <f t="shared" si="12"/>
        <v>0</v>
      </c>
      <c r="P108" s="64"/>
      <c r="Q108" s="65"/>
      <c r="R108" s="20">
        <f t="shared" si="15"/>
        <v>1</v>
      </c>
      <c r="S108" s="20">
        <f t="shared" si="14"/>
        <v>0</v>
      </c>
    </row>
    <row r="109" spans="1:20" ht="15" thickBot="1" x14ac:dyDescent="0.4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8"/>
        <v/>
      </c>
      <c r="J109" s="61" t="str">
        <f t="shared" si="8"/>
        <v/>
      </c>
      <c r="K109" s="62" t="str">
        <f t="shared" si="9"/>
        <v/>
      </c>
      <c r="L109" s="61" t="str">
        <f t="shared" si="10"/>
        <v/>
      </c>
      <c r="M109" s="62" t="str">
        <f t="shared" si="11"/>
        <v/>
      </c>
      <c r="N109" s="63">
        <v>66068309</v>
      </c>
      <c r="O109" s="63">
        <f t="shared" si="12"/>
        <v>0</v>
      </c>
      <c r="P109" s="64"/>
      <c r="Q109" s="65"/>
      <c r="R109" s="20">
        <f t="shared" si="15"/>
        <v>1</v>
      </c>
      <c r="S109" s="20">
        <f t="shared" si="14"/>
        <v>0</v>
      </c>
    </row>
    <row r="110" spans="1:20" ht="15" thickBot="1" x14ac:dyDescent="0.4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8"/>
        <v/>
      </c>
      <c r="J110" s="61" t="str">
        <f t="shared" si="8"/>
        <v/>
      </c>
      <c r="K110" s="62" t="str">
        <f t="shared" si="9"/>
        <v/>
      </c>
      <c r="L110" s="61" t="str">
        <f t="shared" si="10"/>
        <v/>
      </c>
      <c r="M110" s="62" t="str">
        <f t="shared" si="11"/>
        <v/>
      </c>
      <c r="N110" s="63">
        <v>66068309</v>
      </c>
      <c r="O110" s="63">
        <f t="shared" si="12"/>
        <v>0</v>
      </c>
      <c r="P110" s="64"/>
      <c r="Q110" s="106"/>
      <c r="R110" s="20">
        <f t="shared" si="15"/>
        <v>1</v>
      </c>
      <c r="S110" s="20">
        <f t="shared" si="14"/>
        <v>0</v>
      </c>
    </row>
    <row r="111" spans="1:20" ht="15" thickBot="1" x14ac:dyDescent="0.4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8"/>
        <v/>
      </c>
      <c r="J111" s="61" t="str">
        <f t="shared" si="8"/>
        <v/>
      </c>
      <c r="K111" s="62" t="str">
        <f t="shared" si="9"/>
        <v/>
      </c>
      <c r="L111" s="61" t="str">
        <f t="shared" si="10"/>
        <v/>
      </c>
      <c r="M111" s="62" t="str">
        <f t="shared" si="11"/>
        <v/>
      </c>
      <c r="N111" s="63">
        <v>66068309</v>
      </c>
      <c r="O111" s="63">
        <f t="shared" si="12"/>
        <v>0</v>
      </c>
      <c r="P111" s="163" t="s">
        <v>61</v>
      </c>
      <c r="Q111" s="164"/>
      <c r="R111" s="20">
        <f t="shared" si="15"/>
        <v>1</v>
      </c>
      <c r="S111" s="20">
        <f t="shared" si="14"/>
        <v>0</v>
      </c>
      <c r="T111" s="67"/>
    </row>
    <row r="112" spans="1:20" ht="15" thickBot="1" x14ac:dyDescent="0.4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8"/>
        <v/>
      </c>
      <c r="J112" s="61" t="str">
        <f t="shared" si="8"/>
        <v/>
      </c>
      <c r="K112" s="62" t="str">
        <f t="shared" si="9"/>
        <v/>
      </c>
      <c r="L112" s="61" t="str">
        <f t="shared" si="10"/>
        <v/>
      </c>
      <c r="M112" s="62" t="str">
        <f t="shared" si="11"/>
        <v/>
      </c>
      <c r="N112" s="63">
        <v>66068309</v>
      </c>
      <c r="O112" s="63">
        <f t="shared" si="12"/>
        <v>0</v>
      </c>
      <c r="P112" s="165"/>
      <c r="Q112" s="166"/>
      <c r="R112" s="20">
        <f t="shared" si="15"/>
        <v>1</v>
      </c>
      <c r="S112" s="20">
        <f t="shared" si="14"/>
        <v>0</v>
      </c>
      <c r="T112" s="67"/>
    </row>
    <row r="113" spans="1:20" ht="15" thickBot="1" x14ac:dyDescent="0.4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8"/>
        <v/>
      </c>
      <c r="J113" s="61" t="str">
        <f t="shared" si="8"/>
        <v/>
      </c>
      <c r="K113" s="62" t="str">
        <f t="shared" si="9"/>
        <v/>
      </c>
      <c r="L113" s="61" t="str">
        <f t="shared" si="10"/>
        <v/>
      </c>
      <c r="M113" s="62" t="str">
        <f t="shared" si="11"/>
        <v/>
      </c>
      <c r="N113" s="63">
        <v>66068309</v>
      </c>
      <c r="O113" s="63">
        <f t="shared" si="12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14"/>
        <v>0</v>
      </c>
    </row>
    <row r="114" spans="1:20" ht="15" thickBot="1" x14ac:dyDescent="0.4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8"/>
        <v/>
      </c>
      <c r="J114" s="61" t="str">
        <f t="shared" si="8"/>
        <v/>
      </c>
      <c r="K114" s="62" t="str">
        <f t="shared" si="9"/>
        <v/>
      </c>
      <c r="L114" s="61" t="str">
        <f t="shared" si="10"/>
        <v/>
      </c>
      <c r="M114" s="62" t="str">
        <f t="shared" si="11"/>
        <v/>
      </c>
      <c r="N114" s="63">
        <v>66068309</v>
      </c>
      <c r="O114" s="63">
        <f t="shared" si="12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14"/>
        <v>0</v>
      </c>
    </row>
    <row r="115" spans="1:20" ht="15" thickBot="1" x14ac:dyDescent="0.4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8"/>
        <v/>
      </c>
      <c r="J115" s="61" t="str">
        <f t="shared" si="8"/>
        <v/>
      </c>
      <c r="K115" s="62" t="str">
        <f t="shared" si="9"/>
        <v/>
      </c>
      <c r="L115" s="61" t="str">
        <f t="shared" si="10"/>
        <v/>
      </c>
      <c r="M115" s="62" t="str">
        <f t="shared" si="11"/>
        <v/>
      </c>
      <c r="N115" s="63">
        <v>66068309</v>
      </c>
      <c r="O115" s="63">
        <f t="shared" si="12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14"/>
        <v>0</v>
      </c>
      <c r="T115" s="67"/>
    </row>
    <row r="116" spans="1:20" ht="15" thickBot="1" x14ac:dyDescent="0.4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8"/>
        <v/>
      </c>
      <c r="J116" s="61" t="str">
        <f t="shared" si="8"/>
        <v/>
      </c>
      <c r="K116" s="62" t="str">
        <f t="shared" si="9"/>
        <v/>
      </c>
      <c r="L116" s="61" t="str">
        <f t="shared" si="10"/>
        <v/>
      </c>
      <c r="M116" s="62" t="str">
        <f t="shared" si="11"/>
        <v/>
      </c>
      <c r="N116" s="63">
        <v>66068309</v>
      </c>
      <c r="O116" s="63">
        <f t="shared" si="12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14"/>
        <v>0</v>
      </c>
      <c r="T116" s="67"/>
    </row>
    <row r="117" spans="1:20" ht="15" thickBot="1" x14ac:dyDescent="0.4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8"/>
        <v/>
      </c>
      <c r="J117" s="61" t="str">
        <f t="shared" si="8"/>
        <v/>
      </c>
      <c r="K117" s="62" t="str">
        <f t="shared" si="9"/>
        <v/>
      </c>
      <c r="L117" s="61" t="str">
        <f t="shared" si="10"/>
        <v/>
      </c>
      <c r="M117" s="62" t="str">
        <f t="shared" si="11"/>
        <v/>
      </c>
      <c r="N117" s="63">
        <v>66068309</v>
      </c>
      <c r="O117" s="63">
        <f t="shared" si="12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14"/>
        <v>0</v>
      </c>
      <c r="T117" s="67"/>
    </row>
    <row r="118" spans="1:20" ht="15" thickBot="1" x14ac:dyDescent="0.4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8"/>
        <v/>
      </c>
      <c r="J118" s="61" t="str">
        <f t="shared" si="8"/>
        <v/>
      </c>
      <c r="K118" s="62" t="str">
        <f t="shared" si="9"/>
        <v/>
      </c>
      <c r="L118" s="61" t="str">
        <f t="shared" si="10"/>
        <v/>
      </c>
      <c r="M118" s="62" t="str">
        <f t="shared" si="11"/>
        <v/>
      </c>
      <c r="N118" s="63">
        <v>66068309</v>
      </c>
      <c r="O118" s="63">
        <f t="shared" si="12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14"/>
        <v>0</v>
      </c>
      <c r="T118" s="67"/>
    </row>
    <row r="119" spans="1:20" ht="15" thickBot="1" x14ac:dyDescent="0.4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8"/>
        <v/>
      </c>
      <c r="J119" s="61" t="str">
        <f t="shared" si="8"/>
        <v/>
      </c>
      <c r="K119" s="62" t="str">
        <f t="shared" si="9"/>
        <v/>
      </c>
      <c r="L119" s="61" t="str">
        <f t="shared" si="10"/>
        <v/>
      </c>
      <c r="M119" s="62" t="str">
        <f t="shared" si="11"/>
        <v/>
      </c>
      <c r="N119" s="63">
        <v>66068309</v>
      </c>
      <c r="O119" s="63">
        <f t="shared" si="12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14"/>
        <v>0</v>
      </c>
    </row>
    <row r="120" spans="1:20" ht="15" thickBot="1" x14ac:dyDescent="0.4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8"/>
        <v/>
      </c>
      <c r="J120" s="61" t="str">
        <f t="shared" si="8"/>
        <v/>
      </c>
      <c r="K120" s="62" t="str">
        <f t="shared" si="9"/>
        <v/>
      </c>
      <c r="L120" s="61" t="str">
        <f t="shared" si="10"/>
        <v/>
      </c>
      <c r="M120" s="62" t="str">
        <f t="shared" si="11"/>
        <v/>
      </c>
      <c r="N120" s="63">
        <v>66068309</v>
      </c>
      <c r="O120" s="63">
        <f t="shared" si="12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14"/>
        <v>0</v>
      </c>
    </row>
    <row r="121" spans="1:20" ht="15" thickBot="1" x14ac:dyDescent="0.4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8"/>
        <v/>
      </c>
      <c r="J121" s="61" t="str">
        <f t="shared" si="8"/>
        <v/>
      </c>
      <c r="K121" s="62" t="str">
        <f t="shared" si="9"/>
        <v/>
      </c>
      <c r="L121" s="61" t="str">
        <f t="shared" si="10"/>
        <v/>
      </c>
      <c r="M121" s="62" t="str">
        <f t="shared" si="11"/>
        <v/>
      </c>
      <c r="N121" s="63">
        <v>66068309</v>
      </c>
      <c r="O121" s="63">
        <f t="shared" si="12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14"/>
        <v>0</v>
      </c>
      <c r="T121" s="67"/>
    </row>
    <row r="122" spans="1:20" ht="15" thickBot="1" x14ac:dyDescent="0.4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8"/>
        <v/>
      </c>
      <c r="J122" s="61" t="str">
        <f t="shared" si="8"/>
        <v/>
      </c>
      <c r="K122" s="62" t="str">
        <f t="shared" si="9"/>
        <v/>
      </c>
      <c r="L122" s="61" t="str">
        <f t="shared" si="10"/>
        <v/>
      </c>
      <c r="M122" s="62" t="str">
        <f t="shared" si="11"/>
        <v/>
      </c>
      <c r="N122" s="63">
        <v>66068309</v>
      </c>
      <c r="O122" s="63">
        <f t="shared" si="12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14"/>
        <v>0</v>
      </c>
      <c r="T122" s="67"/>
    </row>
    <row r="123" spans="1:20" ht="15" thickBot="1" x14ac:dyDescent="0.4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8"/>
        <v/>
      </c>
      <c r="J123" s="92" t="str">
        <f t="shared" si="8"/>
        <v/>
      </c>
      <c r="K123" s="93" t="str">
        <f t="shared" si="9"/>
        <v/>
      </c>
      <c r="L123" s="92" t="str">
        <f t="shared" si="10"/>
        <v/>
      </c>
      <c r="M123" s="93" t="str">
        <f t="shared" si="11"/>
        <v/>
      </c>
      <c r="N123" s="94">
        <v>66068309</v>
      </c>
      <c r="O123" s="95">
        <f t="shared" si="12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14"/>
        <v>0</v>
      </c>
    </row>
    <row r="124" spans="1:20" ht="15" thickBot="1" x14ac:dyDescent="0.4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8"/>
        <v/>
      </c>
      <c r="J124" s="61" t="str">
        <f>IF(E124="","",+(E124-E123)*4140)</f>
        <v/>
      </c>
      <c r="K124" s="62" t="str">
        <f t="shared" si="9"/>
        <v/>
      </c>
      <c r="L124" s="61" t="str">
        <f t="shared" si="10"/>
        <v/>
      </c>
      <c r="M124" s="62" t="str">
        <f t="shared" si="11"/>
        <v/>
      </c>
      <c r="N124" s="63">
        <v>66068309</v>
      </c>
      <c r="O124" s="63">
        <f t="shared" si="12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14"/>
        <v>0</v>
      </c>
    </row>
    <row r="125" spans="1:20" ht="15" thickBot="1" x14ac:dyDescent="0.4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8"/>
        <v/>
      </c>
      <c r="J125" s="61" t="str">
        <f t="shared" si="8"/>
        <v/>
      </c>
      <c r="K125" s="62" t="str">
        <f t="shared" si="9"/>
        <v/>
      </c>
      <c r="L125" s="61" t="str">
        <f t="shared" si="10"/>
        <v/>
      </c>
      <c r="M125" s="62" t="str">
        <f t="shared" si="11"/>
        <v/>
      </c>
      <c r="N125" s="63">
        <v>66068309</v>
      </c>
      <c r="O125" s="63">
        <f t="shared" si="12"/>
        <v>0</v>
      </c>
      <c r="P125" s="64"/>
      <c r="Q125" s="106"/>
      <c r="R125" s="20">
        <f t="shared" si="15"/>
        <v>1</v>
      </c>
      <c r="S125" s="20">
        <f t="shared" si="14"/>
        <v>0</v>
      </c>
    </row>
    <row r="126" spans="1:20" ht="15" thickBot="1" x14ac:dyDescent="0.4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8"/>
        <v/>
      </c>
      <c r="J126" s="61" t="str">
        <f t="shared" si="8"/>
        <v/>
      </c>
      <c r="K126" s="62" t="str">
        <f t="shared" si="9"/>
        <v/>
      </c>
      <c r="L126" s="61" t="str">
        <f t="shared" si="10"/>
        <v/>
      </c>
      <c r="M126" s="62" t="str">
        <f t="shared" si="11"/>
        <v/>
      </c>
      <c r="N126" s="63">
        <v>66068309</v>
      </c>
      <c r="O126" s="63">
        <f t="shared" si="12"/>
        <v>0</v>
      </c>
      <c r="P126" s="102"/>
      <c r="Q126" s="103"/>
      <c r="R126" s="20">
        <f t="shared" si="15"/>
        <v>1</v>
      </c>
      <c r="S126" s="20">
        <f t="shared" si="14"/>
        <v>0</v>
      </c>
      <c r="T126" s="67"/>
    </row>
    <row r="127" spans="1:20" ht="15" thickBot="1" x14ac:dyDescent="0.4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8"/>
        <v/>
      </c>
      <c r="J127" s="61" t="str">
        <f t="shared" si="8"/>
        <v/>
      </c>
      <c r="K127" s="62" t="str">
        <f t="shared" si="9"/>
        <v/>
      </c>
      <c r="L127" s="61" t="str">
        <f t="shared" si="10"/>
        <v/>
      </c>
      <c r="M127" s="62" t="str">
        <f t="shared" si="11"/>
        <v/>
      </c>
      <c r="N127" s="63">
        <v>66068309</v>
      </c>
      <c r="O127" s="63">
        <f t="shared" si="12"/>
        <v>0</v>
      </c>
      <c r="P127" s="104"/>
      <c r="Q127" s="105"/>
      <c r="R127" s="20">
        <f t="shared" si="15"/>
        <v>1</v>
      </c>
      <c r="S127" s="20">
        <f t="shared" si="14"/>
        <v>0</v>
      </c>
      <c r="T127" s="67"/>
    </row>
    <row r="128" spans="1:20" ht="15" thickBot="1" x14ac:dyDescent="0.4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8"/>
        <v/>
      </c>
      <c r="J128" s="61" t="str">
        <f>IF(E128="","",+(E128-E127)*4140)</f>
        <v/>
      </c>
      <c r="K128" s="62" t="str">
        <f t="shared" si="9"/>
        <v/>
      </c>
      <c r="L128" s="61" t="str">
        <f t="shared" si="10"/>
        <v/>
      </c>
      <c r="M128" s="62" t="str">
        <f t="shared" si="11"/>
        <v/>
      </c>
      <c r="N128" s="63">
        <v>66068309</v>
      </c>
      <c r="O128" s="63">
        <f t="shared" si="12"/>
        <v>0</v>
      </c>
      <c r="P128" s="104"/>
      <c r="Q128" s="103"/>
      <c r="R128" s="20">
        <f t="shared" si="15"/>
        <v>1</v>
      </c>
      <c r="S128" s="20">
        <f t="shared" si="14"/>
        <v>0</v>
      </c>
    </row>
    <row r="129" spans="1:20" ht="15" thickBot="1" x14ac:dyDescent="0.4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8"/>
        <v/>
      </c>
      <c r="J129" s="61" t="str">
        <f t="shared" si="8"/>
        <v/>
      </c>
      <c r="K129" s="62" t="str">
        <f t="shared" si="9"/>
        <v/>
      </c>
      <c r="L129" s="61" t="str">
        <f t="shared" si="10"/>
        <v/>
      </c>
      <c r="M129" s="62" t="str">
        <f t="shared" si="11"/>
        <v/>
      </c>
      <c r="N129" s="63">
        <v>66068309</v>
      </c>
      <c r="O129" s="63">
        <f t="shared" si="12"/>
        <v>0</v>
      </c>
      <c r="P129" s="64"/>
      <c r="Q129" s="65"/>
      <c r="R129" s="20">
        <f t="shared" si="15"/>
        <v>1</v>
      </c>
      <c r="S129" s="20">
        <f t="shared" si="14"/>
        <v>0</v>
      </c>
    </row>
    <row r="130" spans="1:20" ht="15" thickBot="1" x14ac:dyDescent="0.4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8"/>
        <v/>
      </c>
      <c r="J130" s="61" t="str">
        <f t="shared" si="8"/>
        <v/>
      </c>
      <c r="K130" s="62" t="str">
        <f t="shared" si="9"/>
        <v/>
      </c>
      <c r="L130" s="61" t="str">
        <f t="shared" si="10"/>
        <v/>
      </c>
      <c r="M130" s="62" t="str">
        <f t="shared" si="11"/>
        <v/>
      </c>
      <c r="N130" s="63">
        <v>66068309</v>
      </c>
      <c r="O130" s="63">
        <f t="shared" si="12"/>
        <v>0</v>
      </c>
      <c r="P130" s="64"/>
      <c r="Q130" s="65"/>
      <c r="R130" s="20">
        <f t="shared" si="15"/>
        <v>1</v>
      </c>
      <c r="S130" s="20">
        <f t="shared" si="14"/>
        <v>0</v>
      </c>
    </row>
    <row r="131" spans="1:20" ht="15" thickBot="1" x14ac:dyDescent="0.4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8"/>
        <v/>
      </c>
      <c r="J131" s="61" t="str">
        <f t="shared" si="8"/>
        <v/>
      </c>
      <c r="K131" s="62" t="str">
        <f t="shared" si="9"/>
        <v/>
      </c>
      <c r="L131" s="61" t="str">
        <f t="shared" si="10"/>
        <v/>
      </c>
      <c r="M131" s="62" t="str">
        <f t="shared" si="11"/>
        <v/>
      </c>
      <c r="N131" s="63">
        <v>66068309</v>
      </c>
      <c r="O131" s="63">
        <f t="shared" si="12"/>
        <v>0</v>
      </c>
      <c r="P131" s="64"/>
      <c r="Q131" s="66"/>
      <c r="R131" s="20">
        <f t="shared" si="15"/>
        <v>1</v>
      </c>
      <c r="S131" s="20">
        <f t="shared" si="14"/>
        <v>0</v>
      </c>
      <c r="T131" s="67"/>
    </row>
    <row r="132" spans="1:20" ht="15" thickBot="1" x14ac:dyDescent="0.4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8"/>
        <v/>
      </c>
      <c r="J132" s="61" t="str">
        <f>IF(E132="","",+(E132-E131)*4140)</f>
        <v/>
      </c>
      <c r="K132" s="62" t="str">
        <f t="shared" si="9"/>
        <v/>
      </c>
      <c r="L132" s="61" t="str">
        <f t="shared" si="10"/>
        <v/>
      </c>
      <c r="M132" s="62" t="str">
        <f t="shared" si="11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14"/>
        <v>0</v>
      </c>
      <c r="T132" s="67"/>
    </row>
    <row r="133" spans="1:20" ht="15" thickBot="1" x14ac:dyDescent="0.4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14"/>
        <v>0</v>
      </c>
    </row>
    <row r="134" spans="1:20" ht="15" thickBot="1" x14ac:dyDescent="0.4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14"/>
        <v>0</v>
      </c>
    </row>
    <row r="135" spans="1:20" ht="15" thickBot="1" x14ac:dyDescent="0.4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14"/>
        <v>0</v>
      </c>
    </row>
    <row r="136" spans="1:20" ht="15" thickBot="1" x14ac:dyDescent="0.4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" thickBot="1" x14ac:dyDescent="0.4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" thickBot="1" x14ac:dyDescent="0.4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" thickBot="1" x14ac:dyDescent="0.4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" thickBot="1" x14ac:dyDescent="0.4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" thickBot="1" x14ac:dyDescent="0.4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" thickBot="1" x14ac:dyDescent="0.4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163" t="s">
        <v>62</v>
      </c>
      <c r="Q142" s="164"/>
      <c r="R142" s="20">
        <f t="shared" si="15"/>
        <v>1</v>
      </c>
      <c r="S142" s="20">
        <f t="shared" si="21"/>
        <v>0</v>
      </c>
      <c r="T142" s="67"/>
    </row>
    <row r="143" spans="1:20" ht="15" thickBot="1" x14ac:dyDescent="0.4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165"/>
      <c r="Q143" s="166"/>
      <c r="R143" s="20">
        <f t="shared" si="15"/>
        <v>1</v>
      </c>
      <c r="S143" s="20">
        <f t="shared" si="21"/>
        <v>0</v>
      </c>
    </row>
    <row r="144" spans="1:20" ht="15" thickBot="1" x14ac:dyDescent="0.4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" thickBot="1" x14ac:dyDescent="0.4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" thickBot="1" x14ac:dyDescent="0.4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" thickBot="1" x14ac:dyDescent="0.4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" thickBot="1" x14ac:dyDescent="0.4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" thickBot="1" x14ac:dyDescent="0.4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" thickBot="1" x14ac:dyDescent="0.4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" thickBot="1" x14ac:dyDescent="0.4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" thickBot="1" x14ac:dyDescent="0.4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" thickBot="1" x14ac:dyDescent="0.4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" thickBot="1" x14ac:dyDescent="0.4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" thickBot="1" x14ac:dyDescent="0.4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" thickBot="1" x14ac:dyDescent="0.4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" thickBot="1" x14ac:dyDescent="0.4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" thickBot="1" x14ac:dyDescent="0.4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" thickBot="1" x14ac:dyDescent="0.4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" thickBot="1" x14ac:dyDescent="0.4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" thickBot="1" x14ac:dyDescent="0.4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" thickBot="1" x14ac:dyDescent="0.4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" thickBot="1" x14ac:dyDescent="0.4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" thickBot="1" x14ac:dyDescent="0.4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" thickBot="1" x14ac:dyDescent="0.4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" thickBot="1" x14ac:dyDescent="0.4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" thickBot="1" x14ac:dyDescent="0.4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" thickBot="1" x14ac:dyDescent="0.4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" thickBot="1" x14ac:dyDescent="0.4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" thickBot="1" x14ac:dyDescent="0.4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" thickBot="1" x14ac:dyDescent="0.4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" thickBot="1" x14ac:dyDescent="0.4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163" t="s">
        <v>63</v>
      </c>
      <c r="Q172" s="164"/>
      <c r="R172" s="20">
        <f t="shared" si="22"/>
        <v>1</v>
      </c>
      <c r="S172" s="20">
        <f t="shared" si="21"/>
        <v>0</v>
      </c>
      <c r="T172" s="67"/>
    </row>
    <row r="173" spans="1:20" ht="15" thickBot="1" x14ac:dyDescent="0.4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165"/>
      <c r="Q173" s="166"/>
      <c r="R173" s="20">
        <f t="shared" si="22"/>
        <v>1</v>
      </c>
      <c r="S173" s="20">
        <f t="shared" si="21"/>
        <v>0</v>
      </c>
      <c r="T173" s="67"/>
    </row>
    <row r="174" spans="1:20" ht="15" thickBot="1" x14ac:dyDescent="0.4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" thickBot="1" x14ac:dyDescent="0.4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" thickBot="1" x14ac:dyDescent="0.4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" thickBot="1" x14ac:dyDescent="0.4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" thickBot="1" x14ac:dyDescent="0.4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" thickBot="1" x14ac:dyDescent="0.4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" thickBot="1" x14ac:dyDescent="0.4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" thickBot="1" x14ac:dyDescent="0.4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" thickBot="1" x14ac:dyDescent="0.4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" thickBot="1" x14ac:dyDescent="0.4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" thickBot="1" x14ac:dyDescent="0.4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" thickBot="1" x14ac:dyDescent="0.4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" thickBot="1" x14ac:dyDescent="0.4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" thickBot="1" x14ac:dyDescent="0.4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" thickBot="1" x14ac:dyDescent="0.4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" thickBot="1" x14ac:dyDescent="0.4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" thickBot="1" x14ac:dyDescent="0.4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" thickBot="1" x14ac:dyDescent="0.4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" thickBot="1" x14ac:dyDescent="0.4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" thickBot="1" x14ac:dyDescent="0.4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" thickBot="1" x14ac:dyDescent="0.4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" thickBot="1" x14ac:dyDescent="0.4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" thickBot="1" x14ac:dyDescent="0.4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" thickBot="1" x14ac:dyDescent="0.4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" thickBot="1" x14ac:dyDescent="0.4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" thickBot="1" x14ac:dyDescent="0.4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" thickBot="1" x14ac:dyDescent="0.4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" thickBot="1" x14ac:dyDescent="0.4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" thickBot="1" x14ac:dyDescent="0.4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" thickBot="1" x14ac:dyDescent="0.4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167" t="s">
        <v>64</v>
      </c>
      <c r="Q203" s="168"/>
      <c r="R203" s="20">
        <f t="shared" si="22"/>
        <v>1</v>
      </c>
      <c r="S203" s="20">
        <f t="shared" si="28"/>
        <v>0</v>
      </c>
      <c r="T203" s="67"/>
    </row>
    <row r="204" spans="1:20" ht="15" thickBot="1" x14ac:dyDescent="0.4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165"/>
      <c r="Q204" s="166"/>
      <c r="R204" s="20">
        <f t="shared" si="22"/>
        <v>1</v>
      </c>
      <c r="S204" s="20">
        <f t="shared" si="28"/>
        <v>0</v>
      </c>
    </row>
    <row r="205" spans="1:20" ht="15" thickBot="1" x14ac:dyDescent="0.4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" thickBot="1" x14ac:dyDescent="0.4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" thickBot="1" x14ac:dyDescent="0.4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" thickBot="1" x14ac:dyDescent="0.4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" thickBot="1" x14ac:dyDescent="0.4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" thickBot="1" x14ac:dyDescent="0.4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" thickBot="1" x14ac:dyDescent="0.4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" thickBot="1" x14ac:dyDescent="0.4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" thickBot="1" x14ac:dyDescent="0.4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" thickBot="1" x14ac:dyDescent="0.4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" thickBot="1" x14ac:dyDescent="0.4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" thickBot="1" x14ac:dyDescent="0.4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" thickBot="1" x14ac:dyDescent="0.4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" thickBot="1" x14ac:dyDescent="0.4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" thickBot="1" x14ac:dyDescent="0.4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" thickBot="1" x14ac:dyDescent="0.4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" thickBot="1" x14ac:dyDescent="0.4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" thickBot="1" x14ac:dyDescent="0.4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" thickBot="1" x14ac:dyDescent="0.4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" thickBot="1" x14ac:dyDescent="0.4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" thickBot="1" x14ac:dyDescent="0.4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" thickBot="1" x14ac:dyDescent="0.4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" thickBot="1" x14ac:dyDescent="0.4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" thickBot="1" x14ac:dyDescent="0.4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" thickBot="1" x14ac:dyDescent="0.4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" thickBot="1" x14ac:dyDescent="0.4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" thickBot="1" x14ac:dyDescent="0.4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" thickBot="1" x14ac:dyDescent="0.4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" thickBot="1" x14ac:dyDescent="0.4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" thickBot="1" x14ac:dyDescent="0.4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167" t="s">
        <v>65</v>
      </c>
      <c r="Q234" s="168"/>
      <c r="R234" s="20">
        <f t="shared" si="29"/>
        <v>1</v>
      </c>
      <c r="S234" s="20">
        <f t="shared" si="28"/>
        <v>0</v>
      </c>
      <c r="T234" s="67"/>
    </row>
    <row r="235" spans="1:20" ht="15" thickBot="1" x14ac:dyDescent="0.4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165"/>
      <c r="Q235" s="166"/>
      <c r="R235" s="20">
        <f t="shared" si="29"/>
        <v>1</v>
      </c>
      <c r="S235" s="20">
        <f t="shared" si="28"/>
        <v>0</v>
      </c>
    </row>
    <row r="236" spans="1:20" ht="15" thickBot="1" x14ac:dyDescent="0.4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" thickBot="1" x14ac:dyDescent="0.4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" thickBot="1" x14ac:dyDescent="0.4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" thickBot="1" x14ac:dyDescent="0.4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" thickBot="1" x14ac:dyDescent="0.4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" thickBot="1" x14ac:dyDescent="0.4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" thickBot="1" x14ac:dyDescent="0.4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" thickBot="1" x14ac:dyDescent="0.4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" thickBot="1" x14ac:dyDescent="0.4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" thickBot="1" x14ac:dyDescent="0.4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" thickBot="1" x14ac:dyDescent="0.4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4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4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4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4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4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4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4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4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4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4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4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4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4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4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4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4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4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4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163" t="s">
        <v>66</v>
      </c>
      <c r="Q264" s="164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4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165"/>
      <c r="Q265" s="166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4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4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4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4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4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4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4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4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4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4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4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" thickBot="1" x14ac:dyDescent="0.4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" thickBot="1" x14ac:dyDescent="0.4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" thickBot="1" x14ac:dyDescent="0.4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" thickBot="1" x14ac:dyDescent="0.4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" thickBot="1" x14ac:dyDescent="0.4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" thickBot="1" x14ac:dyDescent="0.4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" thickBot="1" x14ac:dyDescent="0.4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" thickBot="1" x14ac:dyDescent="0.4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" thickBot="1" x14ac:dyDescent="0.4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" thickBot="1" x14ac:dyDescent="0.4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" thickBot="1" x14ac:dyDescent="0.4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" thickBot="1" x14ac:dyDescent="0.4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" thickBot="1" x14ac:dyDescent="0.4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" thickBot="1" x14ac:dyDescent="0.4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" thickBot="1" x14ac:dyDescent="0.4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" thickBot="1" x14ac:dyDescent="0.4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" thickBot="1" x14ac:dyDescent="0.4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" thickBot="1" x14ac:dyDescent="0.4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" thickBot="1" x14ac:dyDescent="0.4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163" t="s">
        <v>67</v>
      </c>
      <c r="Q295" s="164"/>
      <c r="R295" s="20">
        <f t="shared" si="30"/>
        <v>1</v>
      </c>
      <c r="S295" s="20">
        <f t="shared" si="37"/>
        <v>0</v>
      </c>
      <c r="T295" s="67"/>
    </row>
    <row r="296" spans="1:20" ht="15" thickBot="1" x14ac:dyDescent="0.4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165"/>
      <c r="Q296" s="166"/>
      <c r="R296" s="20">
        <f t="shared" si="30"/>
        <v>1</v>
      </c>
      <c r="S296" s="20">
        <f t="shared" si="37"/>
        <v>0</v>
      </c>
    </row>
    <row r="297" spans="1:20" ht="15" thickBot="1" x14ac:dyDescent="0.4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" thickBot="1" x14ac:dyDescent="0.4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" thickBot="1" x14ac:dyDescent="0.4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" thickBot="1" x14ac:dyDescent="0.4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" thickBot="1" x14ac:dyDescent="0.4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" thickBot="1" x14ac:dyDescent="0.4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" thickBot="1" x14ac:dyDescent="0.4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" thickBot="1" x14ac:dyDescent="0.4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" thickBot="1" x14ac:dyDescent="0.4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" thickBot="1" x14ac:dyDescent="0.4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" thickBot="1" x14ac:dyDescent="0.4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" thickBot="1" x14ac:dyDescent="0.4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" thickBot="1" x14ac:dyDescent="0.4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" thickBot="1" x14ac:dyDescent="0.4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" thickBot="1" x14ac:dyDescent="0.4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" thickBot="1" x14ac:dyDescent="0.4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" thickBot="1" x14ac:dyDescent="0.4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" thickBot="1" x14ac:dyDescent="0.4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" thickBot="1" x14ac:dyDescent="0.4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" thickBot="1" x14ac:dyDescent="0.4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" thickBot="1" x14ac:dyDescent="0.4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" thickBot="1" x14ac:dyDescent="0.4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" thickBot="1" x14ac:dyDescent="0.4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" thickBot="1" x14ac:dyDescent="0.4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" thickBot="1" x14ac:dyDescent="0.4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" thickBot="1" x14ac:dyDescent="0.4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" thickBot="1" x14ac:dyDescent="0.4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" thickBot="1" x14ac:dyDescent="0.4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" thickBot="1" x14ac:dyDescent="0.4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163" t="s">
        <v>68</v>
      </c>
      <c r="Q325" s="164"/>
      <c r="R325" s="20">
        <f t="shared" si="39"/>
        <v>1</v>
      </c>
      <c r="S325" s="20">
        <f t="shared" si="37"/>
        <v>0</v>
      </c>
      <c r="T325" s="67"/>
    </row>
    <row r="326" spans="1:20" ht="15" thickBot="1" x14ac:dyDescent="0.4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165"/>
      <c r="Q326" s="166"/>
      <c r="R326" s="20">
        <f t="shared" si="39"/>
        <v>1</v>
      </c>
      <c r="S326" s="20">
        <f t="shared" si="37"/>
        <v>0</v>
      </c>
      <c r="T326" s="67"/>
    </row>
    <row r="327" spans="1:20" ht="15" thickBot="1" x14ac:dyDescent="0.4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" thickBot="1" x14ac:dyDescent="0.4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" thickBot="1" x14ac:dyDescent="0.4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" thickBot="1" x14ac:dyDescent="0.4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" thickBot="1" x14ac:dyDescent="0.4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" thickBot="1" x14ac:dyDescent="0.4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" thickBot="1" x14ac:dyDescent="0.4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" thickBot="1" x14ac:dyDescent="0.4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" thickBot="1" x14ac:dyDescent="0.4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" thickBot="1" x14ac:dyDescent="0.4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" thickBot="1" x14ac:dyDescent="0.4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" thickBot="1" x14ac:dyDescent="0.4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" thickBot="1" x14ac:dyDescent="0.4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" thickBot="1" x14ac:dyDescent="0.4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" thickBot="1" x14ac:dyDescent="0.4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" thickBot="1" x14ac:dyDescent="0.4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" thickBot="1" x14ac:dyDescent="0.4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" thickBot="1" x14ac:dyDescent="0.4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" thickBot="1" x14ac:dyDescent="0.4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" thickBot="1" x14ac:dyDescent="0.4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" thickBot="1" x14ac:dyDescent="0.4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" thickBot="1" x14ac:dyDescent="0.4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" thickBot="1" x14ac:dyDescent="0.4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" thickBot="1" x14ac:dyDescent="0.4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" thickBot="1" x14ac:dyDescent="0.4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" thickBot="1" x14ac:dyDescent="0.4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" thickBot="1" x14ac:dyDescent="0.4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" thickBot="1" x14ac:dyDescent="0.4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" thickBot="1" x14ac:dyDescent="0.4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" thickBot="1" x14ac:dyDescent="0.4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163" t="s">
        <v>69</v>
      </c>
      <c r="Q356" s="164"/>
      <c r="R356" s="20">
        <f t="shared" si="39"/>
        <v>1</v>
      </c>
      <c r="S356" s="20">
        <f t="shared" si="44"/>
        <v>0</v>
      </c>
      <c r="T356" s="67"/>
    </row>
    <row r="357" spans="1:20" ht="15" thickBot="1" x14ac:dyDescent="0.4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165"/>
      <c r="Q357" s="166"/>
      <c r="R357" s="20">
        <f t="shared" si="39"/>
        <v>1</v>
      </c>
      <c r="S357" s="20">
        <f t="shared" si="44"/>
        <v>0</v>
      </c>
    </row>
    <row r="358" spans="1:20" ht="15" thickBot="1" x14ac:dyDescent="0.4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" thickBot="1" x14ac:dyDescent="0.4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" thickBot="1" x14ac:dyDescent="0.4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" thickBot="1" x14ac:dyDescent="0.4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" thickBot="1" x14ac:dyDescent="0.4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" thickBot="1" x14ac:dyDescent="0.4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" thickBot="1" x14ac:dyDescent="0.4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" thickBot="1" x14ac:dyDescent="0.4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" thickBot="1" x14ac:dyDescent="0.4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" thickBot="1" x14ac:dyDescent="0.4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" thickBot="1" x14ac:dyDescent="0.4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4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6">
      <c r="A370" s="142"/>
      <c r="N370" s="146"/>
      <c r="O370" s="147"/>
      <c r="S370" s="20"/>
    </row>
    <row r="371" spans="1:19" ht="14.25" customHeight="1" x14ac:dyDescent="0.35">
      <c r="A371" s="142"/>
      <c r="F371" s="148" t="s">
        <v>70</v>
      </c>
      <c r="I371" s="149">
        <f>SUM(I3:I368)</f>
        <v>1252739.1600000004</v>
      </c>
      <c r="N371" s="63"/>
      <c r="O371" s="150">
        <f>SUM(O3:O368)</f>
        <v>0</v>
      </c>
      <c r="P371" s="151" t="s">
        <v>71</v>
      </c>
    </row>
    <row r="372" spans="1:19" x14ac:dyDescent="0.35">
      <c r="A372" s="142"/>
    </row>
    <row r="373" spans="1:19" x14ac:dyDescent="0.35">
      <c r="A373" s="142"/>
      <c r="N373" s="152"/>
      <c r="O373" s="148"/>
    </row>
    <row r="374" spans="1:19" x14ac:dyDescent="0.35">
      <c r="A374" s="142"/>
    </row>
    <row r="375" spans="1:19" x14ac:dyDescent="0.35">
      <c r="A375" s="142"/>
    </row>
    <row r="376" spans="1:19" x14ac:dyDescent="0.35">
      <c r="A376" s="142"/>
    </row>
    <row r="377" spans="1:19" x14ac:dyDescent="0.35">
      <c r="A377" s="142"/>
    </row>
    <row r="378" spans="1:19" x14ac:dyDescent="0.35">
      <c r="A378" s="142"/>
    </row>
    <row r="379" spans="1:19" x14ac:dyDescent="0.35">
      <c r="A379" s="142"/>
    </row>
    <row r="380" spans="1:19" x14ac:dyDescent="0.35">
      <c r="A380" s="142"/>
    </row>
    <row r="381" spans="1:19" x14ac:dyDescent="0.35">
      <c r="A381" s="142"/>
    </row>
    <row r="382" spans="1:19" x14ac:dyDescent="0.35">
      <c r="A382" s="142"/>
    </row>
    <row r="383" spans="1:19" x14ac:dyDescent="0.35">
      <c r="A383" s="142"/>
    </row>
    <row r="384" spans="1:19" x14ac:dyDescent="0.35">
      <c r="A384" s="142"/>
    </row>
    <row r="385" spans="1:1" x14ac:dyDescent="0.35">
      <c r="A385" s="142"/>
    </row>
    <row r="386" spans="1:1" x14ac:dyDescent="0.35">
      <c r="A386" s="142"/>
    </row>
    <row r="387" spans="1:1" x14ac:dyDescent="0.35">
      <c r="A387" s="142"/>
    </row>
    <row r="388" spans="1:1" x14ac:dyDescent="0.35">
      <c r="A388" s="142"/>
    </row>
    <row r="389" spans="1:1" x14ac:dyDescent="0.35">
      <c r="A389" s="142"/>
    </row>
    <row r="390" spans="1:1" x14ac:dyDescent="0.35">
      <c r="A390" s="142"/>
    </row>
    <row r="391" spans="1:1" x14ac:dyDescent="0.35">
      <c r="A391" s="142"/>
    </row>
    <row r="392" spans="1:1" x14ac:dyDescent="0.35">
      <c r="A392" s="142"/>
    </row>
    <row r="393" spans="1:1" x14ac:dyDescent="0.35">
      <c r="A393" s="142"/>
    </row>
    <row r="394" spans="1:1" x14ac:dyDescent="0.35">
      <c r="A394" s="142"/>
    </row>
    <row r="395" spans="1:1" x14ac:dyDescent="0.35">
      <c r="A395" s="142"/>
    </row>
    <row r="396" spans="1:1" x14ac:dyDescent="0.35">
      <c r="A396" s="142"/>
    </row>
    <row r="397" spans="1:1" x14ac:dyDescent="0.35">
      <c r="A397" s="142"/>
    </row>
    <row r="398" spans="1:1" x14ac:dyDescent="0.35">
      <c r="A398" s="142"/>
    </row>
    <row r="399" spans="1:1" x14ac:dyDescent="0.35">
      <c r="A399" s="142"/>
    </row>
    <row r="400" spans="1:1" x14ac:dyDescent="0.35">
      <c r="A400" s="142"/>
    </row>
    <row r="401" spans="1:1" x14ac:dyDescent="0.35">
      <c r="A401" s="142"/>
    </row>
    <row r="402" spans="1:1" x14ac:dyDescent="0.3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2" priority="1" stopIfTrue="1" operator="greaterThan">
      <formula>0.15</formula>
    </cfRule>
  </conditionalFormatting>
  <conditionalFormatting sqref="K2:K65536">
    <cfRule type="cellIs" dxfId="1" priority="2" stopIfTrue="1" operator="between">
      <formula>0.2</formula>
      <formula>100</formula>
    </cfRule>
  </conditionalFormatting>
  <conditionalFormatting sqref="M2:M65536">
    <cfRule type="cellIs" dxfId="0" priority="3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2021-03-03T10:59:35Z</dcterms:modified>
  <cp:category/>
  <cp:contentStatus/>
</cp:coreProperties>
</file>