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03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jimbaran\"/>
    </mc:Choice>
  </mc:AlternateContent>
  <xr:revisionPtr revIDLastSave="142" documentId="11_0674A1C1125A4E1DCCB387B0F1289DD4252F1A84" xr6:coauthVersionLast="47" xr6:coauthVersionMax="47" xr10:uidLastSave="{3AEEFFB5-2D4D-436E-8B57-BF1BE9DE5F54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" i="15" l="1"/>
  <c r="AZ10" i="15"/>
  <c r="BA10" i="15"/>
  <c r="BB10" i="15"/>
  <c r="BC10" i="15"/>
  <c r="BD10" i="15"/>
  <c r="BE10" i="15"/>
  <c r="BF10" i="15"/>
  <c r="BG10" i="15"/>
  <c r="BH10" i="15"/>
  <c r="BI10" i="15"/>
  <c r="BJ10" i="15"/>
  <c r="BK10" i="15"/>
  <c r="BO10" i="15"/>
  <c r="AX10" i="15"/>
  <c r="AO10" i="15"/>
  <c r="AP10" i="15"/>
  <c r="AQ10" i="15"/>
  <c r="AR10" i="15"/>
  <c r="AS10" i="15"/>
  <c r="AT10" i="15"/>
  <c r="AU10" i="15"/>
  <c r="AW10" i="15"/>
  <c r="AY10" i="15"/>
  <c r="AE10" i="15"/>
  <c r="AF10" i="15"/>
  <c r="AG10" i="15"/>
  <c r="AH10" i="15"/>
  <c r="AI10" i="15"/>
  <c r="AJ10" i="15"/>
  <c r="AK10" i="15"/>
  <c r="AL10" i="15"/>
  <c r="AM10" i="15"/>
  <c r="AN10" i="15"/>
  <c r="Y10" i="15"/>
  <c r="Z10" i="15"/>
  <c r="AA10" i="15"/>
  <c r="AB10" i="15"/>
  <c r="AC10" i="15"/>
  <c r="AD10" i="15"/>
  <c r="R10" i="15"/>
  <c r="S10" i="15"/>
  <c r="T10" i="15"/>
  <c r="U10" i="15"/>
  <c r="V10" i="15"/>
  <c r="W10" i="15"/>
  <c r="G32" i="11"/>
  <c r="F9" i="15"/>
  <c r="F10" i="15"/>
  <c r="E10" i="15"/>
  <c r="G10" i="15"/>
  <c r="H10" i="15"/>
  <c r="I10" i="15"/>
  <c r="J10" i="15"/>
  <c r="K10" i="15"/>
  <c r="L10" i="15"/>
  <c r="M10" i="15"/>
  <c r="N10" i="15"/>
  <c r="O10" i="15"/>
  <c r="P10" i="15"/>
  <c r="Q10" i="15"/>
  <c r="D10" i="15"/>
  <c r="BC3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2" i="11"/>
  <c r="K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2" i="11"/>
  <c r="K23" i="11"/>
  <c r="K24" i="11"/>
  <c r="K25" i="11"/>
  <c r="K26" i="11"/>
  <c r="K27" i="11"/>
  <c r="K28" i="11"/>
  <c r="K29" i="11"/>
  <c r="K30" i="11"/>
  <c r="K31" i="11"/>
  <c r="K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2" i="11"/>
  <c r="E32" i="11"/>
  <c r="D44" i="14"/>
  <c r="C44" i="14"/>
</calcChain>
</file>

<file path=xl/sharedStrings.xml><?xml version="1.0" encoding="utf-8"?>
<sst xmlns="http://schemas.openxmlformats.org/spreadsheetml/2006/main" count="253" uniqueCount="81">
  <si>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</si>
  <si>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</si>
  <si>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</si>
  <si>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</si>
  <si>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</si>
  <si>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</si>
  <si>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</si>
  <si>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</si>
  <si>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</si>
  <si>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</si>
  <si>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</si>
  <si>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</si>
  <si>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</si>
  <si>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</si>
  <si>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</si>
  <si>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</si>
  <si>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</si>
  <si>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</si>
  <si>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</si>
  <si>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</si>
  <si>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</si>
  <si>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</si>
  <si>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</si>
  <si>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</si>
  <si>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</si>
  <si>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</si>
  <si>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</si>
  <si>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</si>
  <si>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</si>
  <si>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</si>
  <si>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</si>
  <si>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</si>
  <si>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</si>
  <si>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</si>
  <si>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</si>
  <si>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</si>
  <si>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</si>
  <si>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</si>
  <si>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</si>
  <si>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</si>
  <si>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</si>
  <si>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</si>
  <si>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</si>
  <si>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</si>
  <si>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</si>
  <si>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</si>
  <si>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</si>
  <si>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</si>
  <si>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</si>
  <si>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</si>
  <si>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</si>
  <si>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</si>
  <si>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</si>
  <si>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</si>
  <si>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</si>
  <si>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</si>
  <si>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</si>
  <si>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</si>
  <si>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</si>
  <si>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</si>
  <si>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</si>
  <si>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</si>
  <si>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</si>
  <si>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</si>
  <si>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</si>
  <si>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</si>
  <si>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</si>
  <si>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</si>
  <si>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</si>
  <si>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</si>
  <si>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Sep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</si>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</sst>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_(* #,##0.0_);_(* \(#,##0.0\);_(* &quot;-&quot;?_);_(@_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1" fontId="11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  <xf numFmtId="0" fontId="15" fillId="0" borderId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96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/>
    <xf numFmtId="0" fontId="0" fillId="0" borderId="0" xfId="0" applyAlignment="1">
      <alignment vertical="center" wrapText="1"/>
    </xf>
    <xf numFmtId="167" fontId="12" fillId="0" borderId="0" xfId="8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166" fontId="0" fillId="3" borderId="0" xfId="0" applyNumberFormat="1" applyFill="1"/>
    <xf numFmtId="0" fontId="6" fillId="3" borderId="0" xfId="0" applyFont="1" applyFill="1"/>
    <xf numFmtId="166" fontId="0" fillId="3" borderId="0" xfId="15" applyNumberFormat="1" applyFont="1" applyFill="1" applyBorder="1" applyAlignment="1">
      <alignment horizontal="right"/>
    </xf>
    <xf numFmtId="166" fontId="4" fillId="3" borderId="0" xfId="15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5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2" xfId="0" applyFill="1" applyBorder="1"/>
    <xf numFmtId="166" fontId="2" fillId="0" borderId="0" xfId="15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3" borderId="5" xfId="0" applyFill="1" applyBorder="1"/>
    <xf numFmtId="166" fontId="0" fillId="3" borderId="17" xfId="0" applyNumberFormat="1" applyFill="1" applyBorder="1"/>
    <xf numFmtId="166" fontId="0" fillId="0" borderId="17" xfId="0" applyNumberFormat="1" applyBorder="1"/>
    <xf numFmtId="0" fontId="0" fillId="0" borderId="1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6" fontId="0" fillId="3" borderId="17" xfId="15" applyNumberFormat="1" applyFont="1" applyFill="1" applyBorder="1" applyAlignment="1">
      <alignment vertical="center"/>
    </xf>
    <xf numFmtId="0" fontId="14" fillId="0" borderId="17" xfId="0" applyFont="1" applyBorder="1"/>
    <xf numFmtId="0" fontId="8" fillId="7" borderId="12" xfId="0" applyFont="1" applyFill="1" applyBorder="1" applyAlignment="1">
      <alignment horizontal="center" vertical="center" shrinkToFit="1"/>
    </xf>
    <xf numFmtId="0" fontId="16" fillId="0" borderId="2" xfId="0" applyFont="1" applyBorder="1"/>
    <xf numFmtId="0" fontId="16" fillId="0" borderId="18" xfId="0" applyFont="1" applyBorder="1"/>
    <xf numFmtId="0" fontId="8" fillId="7" borderId="13" xfId="0" applyFont="1" applyFill="1" applyBorder="1" applyAlignment="1">
      <alignment horizontal="center" vertical="center" shrinkToFit="1"/>
    </xf>
    <xf numFmtId="0" fontId="16" fillId="0" borderId="19" xfId="0" applyFont="1" applyBorder="1"/>
    <xf numFmtId="0" fontId="0" fillId="0" borderId="20" xfId="0" applyBorder="1" applyAlignment="1">
      <alignment vertical="center"/>
    </xf>
    <xf numFmtId="0" fontId="16" fillId="0" borderId="21" xfId="0" applyFont="1" applyBorder="1"/>
    <xf numFmtId="0" fontId="16" fillId="0" borderId="15" xfId="0" applyFont="1" applyBorder="1"/>
    <xf numFmtId="0" fontId="16" fillId="0" borderId="0" xfId="0" applyFont="1"/>
    <xf numFmtId="0" fontId="0" fillId="0" borderId="4" xfId="0" applyBorder="1" applyAlignment="1">
      <alignment vertical="center"/>
    </xf>
    <xf numFmtId="0" fontId="13" fillId="0" borderId="20" xfId="0" applyFont="1" applyBorder="1"/>
    <xf numFmtId="0" fontId="13" fillId="0" borderId="20" xfId="0" applyFont="1" applyBorder="1" applyAlignment="1">
      <alignment horizontal="right"/>
    </xf>
    <xf numFmtId="0" fontId="0" fillId="3" borderId="20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19" xfId="0" applyFill="1" applyBorder="1" applyAlignment="1">
      <alignment vertical="center"/>
    </xf>
    <xf numFmtId="0" fontId="13" fillId="0" borderId="5" xfId="0" applyFont="1" applyBorder="1"/>
    <xf numFmtId="0" fontId="13" fillId="0" borderId="19" xfId="0" applyFont="1" applyBorder="1"/>
    <xf numFmtId="0" fontId="13" fillId="0" borderId="22" xfId="0" applyFont="1" applyBorder="1"/>
    <xf numFmtId="4" fontId="13" fillId="0" borderId="22" xfId="0" applyNumberFormat="1" applyFont="1" applyBorder="1"/>
    <xf numFmtId="0" fontId="13" fillId="12" borderId="20" xfId="0" applyFont="1" applyFill="1" applyBorder="1"/>
    <xf numFmtId="4" fontId="13" fillId="12" borderId="20" xfId="0" applyNumberFormat="1" applyFont="1" applyFill="1" applyBorder="1"/>
    <xf numFmtId="0" fontId="0" fillId="0" borderId="3" xfId="0" applyBorder="1" applyAlignment="1">
      <alignment vertical="center"/>
    </xf>
    <xf numFmtId="0" fontId="0" fillId="3" borderId="18" xfId="0" applyFill="1" applyBorder="1"/>
    <xf numFmtId="0" fontId="1" fillId="0" borderId="0" xfId="0" applyFont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5" fontId="0" fillId="0" borderId="7" xfId="15" applyFont="1" applyBorder="1" applyAlignment="1">
      <alignment horizontal="center" vertical="center" wrapText="1"/>
    </xf>
    <xf numFmtId="165" fontId="0" fillId="0" borderId="8" xfId="15" applyFont="1" applyBorder="1" applyAlignment="1">
      <alignment horizontal="center" vertical="center" wrapText="1"/>
    </xf>
    <xf numFmtId="165" fontId="0" fillId="0" borderId="9" xfId="15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</cellXfs>
  <cellStyles count="16">
    <cellStyle name="Comma" xfId="1" builtinId="3"/>
    <cellStyle name="Comma [0] 2" xfId="5" xr:uid="{00000000-0005-0000-0000-000001000000}"/>
    <cellStyle name="Comma [0] 2 2" xfId="12" xr:uid="{00000000-0005-0000-0000-000002000000}"/>
    <cellStyle name="Comma 10" xfId="2" xr:uid="{00000000-0005-0000-0000-000003000000}"/>
    <cellStyle name="Comma 10 2" xfId="10" xr:uid="{00000000-0005-0000-0000-000004000000}"/>
    <cellStyle name="Comma 2" xfId="3" xr:uid="{00000000-0005-0000-0000-000005000000}"/>
    <cellStyle name="Comma 2 2" xfId="11" xr:uid="{00000000-0005-0000-0000-000006000000}"/>
    <cellStyle name="Comma 3" xfId="7" xr:uid="{00000000-0005-0000-0000-000007000000}"/>
    <cellStyle name="Comma 3 2" xfId="14" xr:uid="{00000000-0005-0000-0000-000008000000}"/>
    <cellStyle name="Comma 4" xfId="9" xr:uid="{00000000-0005-0000-0000-000009000000}"/>
    <cellStyle name="Comma 5" xfId="13" xr:uid="{00000000-0005-0000-0000-00000A000000}"/>
    <cellStyle name="Comma 6" xfId="15" xr:uid="{00000000-0005-0000-0000-00000B000000}"/>
    <cellStyle name="Hyperlink 2" xfId="4" xr:uid="{00000000-0005-0000-0000-00000C000000}"/>
    <cellStyle name="Normal" xfId="0" builtinId="0"/>
    <cellStyle name="Normal 2" xfId="6" xr:uid="{00000000-0005-0000-0000-00000E000000}"/>
    <cellStyle name="Normal 2 3" xfId="8" xr:uid="{00000000-0005-0000-0000-00000F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K16" sqref="K16"/>
    </sheetView>
  </sheetViews>
  <sheetFormatPr defaultRowHeight="15"/>
  <cols>
    <col min="1" max="1" width="12.7109375" bestFit="1" customWidth="1"/>
    <col min="2" max="3" width="8.42578125" customWidth="1"/>
    <col min="4" max="22" width="8.140625" customWidth="1"/>
    <col min="23" max="23" width="11" customWidth="1"/>
    <col min="24" max="46" width="8.140625" customWidth="1"/>
    <col min="47" max="51" width="8.5703125" customWidth="1"/>
    <col min="52" max="73" width="8.42578125" customWidth="1"/>
  </cols>
  <sheetData>
    <row r="1" spans="1:67" s="11" customFormat="1" ht="106.5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77" t="s">
        <v>65</v>
      </c>
      <c r="BO1" s="77" t="s">
        <v>66</v>
      </c>
    </row>
    <row r="2" spans="1:67">
      <c r="A2" t="s">
        <v>67</v>
      </c>
      <c r="B2" s="13">
        <v>1</v>
      </c>
      <c r="C2" s="13">
        <v>2022</v>
      </c>
      <c r="D2" s="10">
        <v>784</v>
      </c>
      <c r="E2" s="10">
        <v>0</v>
      </c>
      <c r="F2" s="10">
        <v>123.09999999999998</v>
      </c>
      <c r="G2" s="10">
        <v>0</v>
      </c>
      <c r="H2" s="10">
        <v>136.49999999999997</v>
      </c>
      <c r="I2" s="10">
        <v>0</v>
      </c>
      <c r="J2" s="10">
        <v>784</v>
      </c>
      <c r="K2" s="10">
        <v>0</v>
      </c>
      <c r="L2" s="10">
        <v>0</v>
      </c>
      <c r="M2" s="10">
        <v>0</v>
      </c>
      <c r="N2" s="10">
        <v>58.699999999999996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5420</v>
      </c>
      <c r="W2" s="10">
        <v>11555278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11508.5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6.65</v>
      </c>
      <c r="BM2" s="10">
        <v>437500</v>
      </c>
      <c r="BN2" s="10">
        <v>0</v>
      </c>
      <c r="BO2" s="10">
        <v>0</v>
      </c>
    </row>
    <row r="3" spans="1:67">
      <c r="A3" t="s">
        <v>67</v>
      </c>
      <c r="B3" s="13">
        <v>2</v>
      </c>
      <c r="C3" s="13">
        <v>2022</v>
      </c>
      <c r="D3" s="10">
        <v>412</v>
      </c>
      <c r="E3" s="10">
        <v>0</v>
      </c>
      <c r="F3" s="10">
        <v>7.4999999999999991</v>
      </c>
      <c r="G3" s="10">
        <v>0</v>
      </c>
      <c r="H3" s="10">
        <v>172.89999999999998</v>
      </c>
      <c r="I3" s="10">
        <v>0</v>
      </c>
      <c r="J3" s="10">
        <v>581</v>
      </c>
      <c r="K3" s="10">
        <v>0</v>
      </c>
      <c r="L3" s="10">
        <v>0</v>
      </c>
      <c r="M3" s="10">
        <v>0</v>
      </c>
      <c r="N3" s="10">
        <v>53.499999999999993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6183</v>
      </c>
      <c r="W3" s="10">
        <v>11555278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10212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0">
        <v>0</v>
      </c>
      <c r="BO3" s="10">
        <v>0</v>
      </c>
    </row>
    <row r="4" spans="1:67">
      <c r="A4" t="s">
        <v>67</v>
      </c>
      <c r="B4" s="13">
        <v>3</v>
      </c>
      <c r="C4" s="13">
        <v>2022</v>
      </c>
      <c r="D4" s="12">
        <v>479</v>
      </c>
      <c r="E4" s="14">
        <v>0</v>
      </c>
      <c r="F4" s="10">
        <v>9.9</v>
      </c>
      <c r="G4" s="14">
        <v>0</v>
      </c>
      <c r="H4" s="12">
        <v>95.59999999999998</v>
      </c>
      <c r="I4" s="14">
        <v>0</v>
      </c>
      <c r="J4" s="12">
        <v>479</v>
      </c>
      <c r="K4" s="14">
        <v>0</v>
      </c>
      <c r="L4" s="14">
        <v>0</v>
      </c>
      <c r="M4" s="14">
        <v>0</v>
      </c>
      <c r="N4" s="10">
        <v>58.7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0">
        <v>4020</v>
      </c>
      <c r="W4" s="14">
        <v>11555278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  <c r="BB4" s="16">
        <v>11523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</row>
    <row r="5" spans="1:67">
      <c r="A5" t="s">
        <v>67</v>
      </c>
      <c r="B5" s="13">
        <v>4</v>
      </c>
      <c r="C5" s="13">
        <v>2022</v>
      </c>
      <c r="D5" s="14">
        <v>200.59999999999997</v>
      </c>
      <c r="E5" s="14">
        <v>0</v>
      </c>
      <c r="F5" s="14">
        <v>110.6</v>
      </c>
      <c r="G5" s="12">
        <v>0</v>
      </c>
      <c r="H5" s="14">
        <v>215</v>
      </c>
      <c r="I5" s="12">
        <v>0</v>
      </c>
      <c r="J5" s="14">
        <v>64.100000000000009</v>
      </c>
      <c r="K5" s="14">
        <v>0</v>
      </c>
      <c r="L5" s="14">
        <v>0</v>
      </c>
      <c r="M5" s="15">
        <v>0</v>
      </c>
      <c r="N5" s="14">
        <v>78.499999999999986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0">
        <v>0</v>
      </c>
      <c r="V5" s="12">
        <v>5116</v>
      </c>
      <c r="W5" s="14">
        <v>11555278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6">
        <v>0</v>
      </c>
      <c r="BB5" s="14">
        <v>13278.059999999998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>
        <v>0</v>
      </c>
    </row>
    <row r="6" spans="1:67">
      <c r="A6" t="s">
        <v>67</v>
      </c>
      <c r="B6" s="13">
        <v>5</v>
      </c>
      <c r="C6" s="13">
        <v>2022</v>
      </c>
      <c r="D6" s="10">
        <v>198.30000000000004</v>
      </c>
      <c r="E6" s="10">
        <v>0</v>
      </c>
      <c r="F6" s="10">
        <v>118.19999999999999</v>
      </c>
      <c r="G6" s="10">
        <v>0</v>
      </c>
      <c r="H6" s="10">
        <v>260.8</v>
      </c>
      <c r="I6" s="10">
        <v>0</v>
      </c>
      <c r="J6" s="10">
        <v>106.69999999999999</v>
      </c>
      <c r="K6" s="10">
        <v>0</v>
      </c>
      <c r="L6" s="10">
        <v>0</v>
      </c>
      <c r="M6" s="10">
        <v>0</v>
      </c>
      <c r="N6" s="10">
        <v>58.600000000000009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7190</v>
      </c>
      <c r="W6" s="14">
        <v>11555278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16080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</row>
    <row r="7" spans="1:67">
      <c r="A7" t="s">
        <v>67</v>
      </c>
      <c r="B7" s="13">
        <v>6</v>
      </c>
      <c r="C7" s="13">
        <v>2022</v>
      </c>
      <c r="D7" s="12">
        <v>489.20000000000005</v>
      </c>
      <c r="E7" s="12">
        <v>0</v>
      </c>
      <c r="F7" s="12">
        <v>367.59999999999991</v>
      </c>
      <c r="G7" s="12">
        <v>0</v>
      </c>
      <c r="H7" s="12">
        <v>140.89999999999998</v>
      </c>
      <c r="I7" s="12">
        <v>0</v>
      </c>
      <c r="J7" s="12">
        <v>121.7</v>
      </c>
      <c r="K7" s="12">
        <v>0</v>
      </c>
      <c r="L7" s="12">
        <v>0</v>
      </c>
      <c r="M7" s="12">
        <v>0</v>
      </c>
      <c r="N7" s="12">
        <v>297.69999999999993</v>
      </c>
      <c r="O7" s="12">
        <v>0</v>
      </c>
      <c r="P7" s="12">
        <v>0</v>
      </c>
      <c r="Q7" s="12">
        <v>0</v>
      </c>
      <c r="R7" s="17">
        <v>0</v>
      </c>
      <c r="S7" s="12">
        <v>0</v>
      </c>
      <c r="T7" s="12">
        <v>0</v>
      </c>
      <c r="U7" s="12">
        <v>0</v>
      </c>
      <c r="V7" s="12">
        <v>8278</v>
      </c>
      <c r="W7" s="12">
        <v>11555278</v>
      </c>
      <c r="X7" s="12">
        <v>0</v>
      </c>
      <c r="Y7" s="12">
        <v>0</v>
      </c>
      <c r="Z7" s="18">
        <v>0</v>
      </c>
      <c r="AA7" s="12">
        <v>0</v>
      </c>
      <c r="AB7" s="18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13981.4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</row>
    <row r="8" spans="1:67">
      <c r="A8" t="s">
        <v>67</v>
      </c>
      <c r="B8" s="13">
        <v>7</v>
      </c>
      <c r="C8" s="13">
        <v>2022</v>
      </c>
      <c r="D8" s="10">
        <v>664</v>
      </c>
      <c r="E8" s="10">
        <v>0</v>
      </c>
      <c r="F8" s="10">
        <v>29.900000000000002</v>
      </c>
      <c r="G8" s="10">
        <v>0</v>
      </c>
      <c r="H8" s="10">
        <v>142.69999999999996</v>
      </c>
      <c r="I8" s="10">
        <v>0</v>
      </c>
      <c r="J8" s="10">
        <v>664</v>
      </c>
      <c r="K8" s="10">
        <v>0</v>
      </c>
      <c r="L8" s="10">
        <v>0</v>
      </c>
      <c r="M8" s="10">
        <v>0</v>
      </c>
      <c r="N8" s="10">
        <v>102.3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6960</v>
      </c>
      <c r="W8" s="10">
        <v>11555278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11523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</row>
    <row r="9" spans="1:67">
      <c r="A9" t="s">
        <v>67</v>
      </c>
      <c r="B9" s="13">
        <v>8</v>
      </c>
      <c r="C9" s="13">
        <v>2022</v>
      </c>
      <c r="D9">
        <v>412.99999999999994</v>
      </c>
      <c r="E9">
        <v>0</v>
      </c>
      <c r="F9">
        <f>TOTAL!G32</f>
        <v>184.1</v>
      </c>
      <c r="G9">
        <v>0</v>
      </c>
      <c r="H9">
        <v>433.40000000000003</v>
      </c>
      <c r="I9">
        <v>0</v>
      </c>
      <c r="J9">
        <v>412.99999999999994</v>
      </c>
      <c r="K9">
        <v>0</v>
      </c>
      <c r="L9">
        <v>0</v>
      </c>
      <c r="M9">
        <v>0</v>
      </c>
      <c r="N9">
        <v>157.29999999999998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14950</v>
      </c>
      <c r="W9">
        <v>11555278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13405.599999999999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>
      <c r="A10" t="s">
        <v>67</v>
      </c>
      <c r="B10" s="13">
        <v>9</v>
      </c>
      <c r="C10" s="13">
        <v>2022</v>
      </c>
      <c r="D10">
        <f>TOTAL!E32</f>
        <v>119.40000000000002</v>
      </c>
      <c r="E10">
        <f>TOTAL!F32</f>
        <v>0</v>
      </c>
      <c r="F10">
        <f>TOTAL!G32</f>
        <v>184.1</v>
      </c>
      <c r="G10">
        <f>TOTAL!H32</f>
        <v>0</v>
      </c>
      <c r="H10">
        <f>TOTAL!I32</f>
        <v>433.40000000000003</v>
      </c>
      <c r="I10">
        <f>TOTAL!J32</f>
        <v>0</v>
      </c>
      <c r="J10">
        <f>TOTAL!K32</f>
        <v>412.99999999999994</v>
      </c>
      <c r="K10">
        <f>TOTAL!L32</f>
        <v>0</v>
      </c>
      <c r="L10">
        <f>TOTAL!M32</f>
        <v>0</v>
      </c>
      <c r="M10">
        <f>TOTAL!N32</f>
        <v>0</v>
      </c>
      <c r="N10">
        <f>TOTAL!O32</f>
        <v>157.29999999999998</v>
      </c>
      <c r="O10">
        <f>TOTAL!P32</f>
        <v>0</v>
      </c>
      <c r="P10">
        <f>TOTAL!Q32</f>
        <v>0</v>
      </c>
      <c r="Q10">
        <f>TOTAL!R32</f>
        <v>0</v>
      </c>
      <c r="R10">
        <f>TOTAL!S32</f>
        <v>0</v>
      </c>
      <c r="S10">
        <f>TOTAL!T32</f>
        <v>0</v>
      </c>
      <c r="T10">
        <f>TOTAL!U32</f>
        <v>0</v>
      </c>
      <c r="U10">
        <f>TOTAL!V32</f>
        <v>0</v>
      </c>
      <c r="V10">
        <f>TOTAL!W32</f>
        <v>14950</v>
      </c>
      <c r="W10">
        <f>TOTAL!X32</f>
        <v>11555278</v>
      </c>
      <c r="X10">
        <f>TOTAL!Y32</f>
        <v>0</v>
      </c>
      <c r="Y10">
        <f>TOTAL!Z32</f>
        <v>0</v>
      </c>
      <c r="Z10">
        <f>TOTAL!AA32</f>
        <v>0</v>
      </c>
      <c r="AA10">
        <f>TOTAL!AB32</f>
        <v>0</v>
      </c>
      <c r="AB10">
        <f>TOTAL!AC32</f>
        <v>0</v>
      </c>
      <c r="AC10">
        <f>TOTAL!AD32</f>
        <v>0</v>
      </c>
      <c r="AD10">
        <f>TOTAL!AE32</f>
        <v>0</v>
      </c>
      <c r="AE10">
        <f>TOTAL!AF32</f>
        <v>0</v>
      </c>
      <c r="AF10">
        <f>TOTAL!AG32</f>
        <v>0</v>
      </c>
      <c r="AG10">
        <f>TOTAL!AH32</f>
        <v>0</v>
      </c>
      <c r="AH10">
        <f>TOTAL!AI32</f>
        <v>0</v>
      </c>
      <c r="AI10">
        <f>TOTAL!AJ32</f>
        <v>0</v>
      </c>
      <c r="AJ10">
        <f>TOTAL!AK32</f>
        <v>0</v>
      </c>
      <c r="AK10">
        <f>TOTAL!AL32</f>
        <v>0</v>
      </c>
      <c r="AL10">
        <f>TOTAL!AM32</f>
        <v>0</v>
      </c>
      <c r="AM10">
        <f>TOTAL!AN32</f>
        <v>0</v>
      </c>
      <c r="AN10">
        <f>TOTAL!AO32</f>
        <v>0</v>
      </c>
      <c r="AO10">
        <f>TOTAL!AP32</f>
        <v>0</v>
      </c>
      <c r="AP10">
        <f>TOTAL!AQ32</f>
        <v>0</v>
      </c>
      <c r="AQ10">
        <f>TOTAL!AR32</f>
        <v>0</v>
      </c>
      <c r="AR10">
        <f>TOTAL!AS32</f>
        <v>0</v>
      </c>
      <c r="AS10">
        <f>TOTAL!AT32</f>
        <v>0</v>
      </c>
      <c r="AT10">
        <f>TOTAL!AU32</f>
        <v>0</v>
      </c>
      <c r="AU10">
        <f>TOTAL!AV32</f>
        <v>0</v>
      </c>
      <c r="AV10">
        <v>0</v>
      </c>
      <c r="AW10">
        <f>TOTAL!AX32</f>
        <v>0</v>
      </c>
      <c r="AX10">
        <f>TOTAL!AY32</f>
        <v>0</v>
      </c>
      <c r="AY10">
        <f>TOTAL!AZ32</f>
        <v>0</v>
      </c>
      <c r="AZ10">
        <f>TOTAL!BA32</f>
        <v>0</v>
      </c>
      <c r="BA10">
        <f>TOTAL!BB32</f>
        <v>0</v>
      </c>
      <c r="BB10">
        <f>TOTAL!BC32</f>
        <v>18392.599999999999</v>
      </c>
      <c r="BC10">
        <f>TOTAL!BD32</f>
        <v>0</v>
      </c>
      <c r="BD10">
        <f>TOTAL!BE32</f>
        <v>0</v>
      </c>
      <c r="BE10">
        <f>TOTAL!BF32</f>
        <v>0</v>
      </c>
      <c r="BF10">
        <f>TOTAL!BG32</f>
        <v>0</v>
      </c>
      <c r="BG10">
        <f>TOTAL!BH32</f>
        <v>0</v>
      </c>
      <c r="BH10">
        <f>TOTAL!BI32</f>
        <v>0</v>
      </c>
      <c r="BI10">
        <f>TOTAL!BJ32</f>
        <v>0</v>
      </c>
      <c r="BJ10">
        <f>TOTAL!BK32</f>
        <v>0</v>
      </c>
      <c r="BK10">
        <f>TOTAL!BL32</f>
        <v>0</v>
      </c>
      <c r="BL10">
        <v>0</v>
      </c>
      <c r="BM10">
        <v>0</v>
      </c>
      <c r="BN10">
        <v>0</v>
      </c>
      <c r="BO10">
        <f>TOTAL!BP32</f>
        <v>0</v>
      </c>
    </row>
    <row r="11" spans="1:67">
      <c r="A11" t="s">
        <v>67</v>
      </c>
      <c r="B11" s="13">
        <v>10</v>
      </c>
      <c r="C11" s="13">
        <v>2022</v>
      </c>
    </row>
    <row r="12" spans="1:67">
      <c r="A12" t="s">
        <v>67</v>
      </c>
      <c r="B12" s="13">
        <v>11</v>
      </c>
      <c r="C12" s="13">
        <v>2022</v>
      </c>
    </row>
    <row r="13" spans="1:67">
      <c r="A13" t="s">
        <v>67</v>
      </c>
      <c r="B13" s="13">
        <v>12</v>
      </c>
      <c r="C13" s="13">
        <v>2022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BP49"/>
  <sheetViews>
    <sheetView topLeftCell="A26" workbookViewId="0">
      <selection activeCell="Y33" sqref="Y33"/>
    </sheetView>
  </sheetViews>
  <sheetFormatPr defaultColWidth="11.5703125" defaultRowHeight="15"/>
  <cols>
    <col min="1" max="1" width="18.42578125" style="7" customWidth="1"/>
    <col min="2" max="2" width="8.28515625" style="8" customWidth="1"/>
    <col min="3" max="3" width="7.5703125" style="9" customWidth="1"/>
    <col min="4" max="4" width="13.42578125" style="8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6" customFormat="1" ht="113.25" customHeight="1">
      <c r="A1" s="19" t="s">
        <v>0</v>
      </c>
      <c r="B1" s="19" t="s">
        <v>68</v>
      </c>
      <c r="C1" s="20" t="s">
        <v>1</v>
      </c>
      <c r="D1" s="25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  <c r="AF1" s="24" t="s">
        <v>30</v>
      </c>
      <c r="AG1" s="24" t="s">
        <v>31</v>
      </c>
      <c r="AH1" s="24" t="s">
        <v>32</v>
      </c>
      <c r="AI1" s="24" t="s">
        <v>33</v>
      </c>
      <c r="AJ1" s="24" t="s">
        <v>34</v>
      </c>
      <c r="AK1" s="24" t="s">
        <v>35</v>
      </c>
      <c r="AL1" s="24" t="s">
        <v>36</v>
      </c>
      <c r="AM1" s="24" t="s">
        <v>37</v>
      </c>
      <c r="AN1" s="24" t="s">
        <v>38</v>
      </c>
      <c r="AO1" s="24" t="s">
        <v>39</v>
      </c>
      <c r="AP1" s="24" t="s">
        <v>40</v>
      </c>
      <c r="AQ1" s="24" t="s">
        <v>41</v>
      </c>
      <c r="AR1" s="24" t="s">
        <v>42</v>
      </c>
      <c r="AS1" s="24" t="s">
        <v>43</v>
      </c>
      <c r="AT1" s="24" t="s">
        <v>44</v>
      </c>
      <c r="AU1" s="24" t="s">
        <v>45</v>
      </c>
      <c r="AV1" s="24" t="s">
        <v>46</v>
      </c>
      <c r="AW1" s="24" t="s">
        <v>47</v>
      </c>
      <c r="AX1" s="24" t="s">
        <v>48</v>
      </c>
      <c r="AY1" s="24" t="s">
        <v>49</v>
      </c>
      <c r="AZ1" s="24" t="s">
        <v>50</v>
      </c>
      <c r="BA1" s="24" t="s">
        <v>51</v>
      </c>
      <c r="BB1" s="24" t="s">
        <v>52</v>
      </c>
      <c r="BC1" s="24" t="s">
        <v>53</v>
      </c>
      <c r="BD1" s="24" t="s">
        <v>54</v>
      </c>
      <c r="BE1" s="24" t="s">
        <v>55</v>
      </c>
      <c r="BF1" s="24" t="s">
        <v>56</v>
      </c>
      <c r="BG1" s="24" t="s">
        <v>57</v>
      </c>
      <c r="BH1" s="24" t="s">
        <v>58</v>
      </c>
      <c r="BI1" s="24" t="s">
        <v>59</v>
      </c>
      <c r="BJ1" s="24" t="s">
        <v>60</v>
      </c>
      <c r="BK1" s="24" t="s">
        <v>61</v>
      </c>
      <c r="BL1" s="24" t="s">
        <v>62</v>
      </c>
      <c r="BM1" s="24" t="s">
        <v>63</v>
      </c>
      <c r="BN1" s="24" t="s">
        <v>64</v>
      </c>
      <c r="BO1" s="27" t="s">
        <v>65</v>
      </c>
      <c r="BP1" s="24" t="s">
        <v>66</v>
      </c>
    </row>
    <row r="2" spans="1:68">
      <c r="A2" s="21" t="s">
        <v>67</v>
      </c>
      <c r="B2" s="22">
        <v>1</v>
      </c>
      <c r="C2" s="23">
        <v>9</v>
      </c>
      <c r="D2" s="26">
        <v>2022</v>
      </c>
      <c r="E2" s="24">
        <f>'FS Jimbaran'!O12</f>
        <v>3.5</v>
      </c>
      <c r="F2" s="24">
        <v>0</v>
      </c>
      <c r="G2" s="24">
        <f>'FS Jimbaran'!E12</f>
        <v>3</v>
      </c>
      <c r="H2" s="24">
        <v>0</v>
      </c>
      <c r="I2" s="24">
        <v>0</v>
      </c>
      <c r="J2" s="24">
        <v>0</v>
      </c>
      <c r="K2" s="24">
        <f>'FS Jimbaran'!K12</f>
        <v>15</v>
      </c>
      <c r="L2" s="24">
        <v>0</v>
      </c>
      <c r="M2" s="24">
        <v>0</v>
      </c>
      <c r="N2" s="24">
        <v>0</v>
      </c>
      <c r="O2" s="24">
        <f>'FS Jimbaran'!U12</f>
        <v>2.2999999999999998</v>
      </c>
      <c r="P2" s="24">
        <v>0</v>
      </c>
      <c r="Q2" s="24">
        <v>0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f>'FS Jimbaran'!Y12</f>
        <v>550</v>
      </c>
      <c r="X2" s="24">
        <v>11555278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0</v>
      </c>
      <c r="AF2" s="24">
        <v>0</v>
      </c>
      <c r="AG2" s="24">
        <v>0</v>
      </c>
      <c r="AH2" s="24">
        <v>0</v>
      </c>
      <c r="AI2" s="24">
        <v>0</v>
      </c>
      <c r="AJ2" s="24">
        <v>0</v>
      </c>
      <c r="AK2" s="24">
        <v>0</v>
      </c>
      <c r="AL2" s="24">
        <v>0</v>
      </c>
      <c r="AM2" s="24">
        <v>0</v>
      </c>
      <c r="AN2" s="24">
        <v>0</v>
      </c>
      <c r="AO2" s="24">
        <v>0</v>
      </c>
      <c r="AP2" s="24">
        <v>0</v>
      </c>
      <c r="AQ2" s="24">
        <v>0</v>
      </c>
      <c r="AR2" s="24">
        <v>0</v>
      </c>
      <c r="AS2" s="24">
        <v>0</v>
      </c>
      <c r="AT2" s="24">
        <v>0</v>
      </c>
      <c r="AU2" s="24">
        <v>0</v>
      </c>
      <c r="AV2" s="24">
        <v>0</v>
      </c>
      <c r="AW2" s="24">
        <v>0</v>
      </c>
      <c r="AX2" s="24">
        <v>0</v>
      </c>
      <c r="AY2" s="24">
        <v>0</v>
      </c>
      <c r="AZ2" s="24">
        <v>0</v>
      </c>
      <c r="BA2" s="24">
        <v>0</v>
      </c>
      <c r="BB2" s="24">
        <v>0</v>
      </c>
      <c r="BC2" s="24">
        <f>'FS Jimbaran'!AI12</f>
        <v>535.79999999999995</v>
      </c>
      <c r="BD2" s="24">
        <v>0</v>
      </c>
      <c r="BE2" s="24">
        <v>0</v>
      </c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  <c r="BL2" s="24">
        <v>0</v>
      </c>
      <c r="BM2" s="24">
        <v>0</v>
      </c>
      <c r="BN2" s="24">
        <v>0</v>
      </c>
      <c r="BO2" s="27">
        <v>0</v>
      </c>
      <c r="BP2" s="24">
        <v>0</v>
      </c>
    </row>
    <row r="3" spans="1:68">
      <c r="A3" s="21" t="s">
        <v>67</v>
      </c>
      <c r="B3" s="22">
        <v>2</v>
      </c>
      <c r="C3" s="23">
        <v>9</v>
      </c>
      <c r="D3" s="26">
        <v>2022</v>
      </c>
      <c r="E3" s="24">
        <f>'FS Jimbaran'!O13</f>
        <v>3.6</v>
      </c>
      <c r="F3" s="24">
        <v>0</v>
      </c>
      <c r="G3" s="24">
        <f>'FS Jimbaran'!E13</f>
        <v>5</v>
      </c>
      <c r="H3" s="24">
        <v>0</v>
      </c>
      <c r="I3" s="24">
        <v>0</v>
      </c>
      <c r="J3" s="24">
        <v>0</v>
      </c>
      <c r="K3" s="24">
        <f>'FS Jimbaran'!K13</f>
        <v>12</v>
      </c>
      <c r="L3" s="24">
        <v>0</v>
      </c>
      <c r="M3" s="24">
        <v>0</v>
      </c>
      <c r="N3" s="24">
        <v>0</v>
      </c>
      <c r="O3" s="24">
        <f>'FS Jimbaran'!U13</f>
        <v>8.6999999999999993</v>
      </c>
      <c r="P3" s="24">
        <v>0</v>
      </c>
      <c r="Q3" s="24">
        <v>0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f>'FS Jimbaran'!Y13</f>
        <v>545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>
        <v>0</v>
      </c>
      <c r="AZ3" s="24">
        <v>0</v>
      </c>
      <c r="BA3" s="24">
        <v>0</v>
      </c>
      <c r="BB3" s="24">
        <v>0</v>
      </c>
      <c r="BC3" s="24">
        <f>'FS Jimbaran'!AI13</f>
        <v>672.1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0</v>
      </c>
      <c r="BM3" s="24">
        <v>0</v>
      </c>
      <c r="BN3" s="24">
        <v>0</v>
      </c>
      <c r="BO3" s="27">
        <v>0</v>
      </c>
      <c r="BP3" s="24">
        <v>0</v>
      </c>
    </row>
    <row r="4" spans="1:68">
      <c r="A4" s="21" t="s">
        <v>67</v>
      </c>
      <c r="B4" s="22">
        <v>3</v>
      </c>
      <c r="C4" s="23">
        <v>9</v>
      </c>
      <c r="D4" s="26">
        <v>2022</v>
      </c>
      <c r="E4" s="24">
        <f>'FS Jimbaran'!O14</f>
        <v>3.7</v>
      </c>
      <c r="F4" s="24">
        <v>0</v>
      </c>
      <c r="G4" s="24">
        <f>'FS Jimbaran'!E14</f>
        <v>6.8</v>
      </c>
      <c r="H4" s="24">
        <v>0</v>
      </c>
      <c r="I4" s="24">
        <v>0</v>
      </c>
      <c r="J4" s="24">
        <v>0</v>
      </c>
      <c r="K4" s="24">
        <f>'FS Jimbaran'!K14</f>
        <v>23.2</v>
      </c>
      <c r="L4" s="24">
        <v>0</v>
      </c>
      <c r="M4" s="24">
        <v>0</v>
      </c>
      <c r="N4" s="24">
        <v>0</v>
      </c>
      <c r="O4" s="24">
        <f>'FS Jimbaran'!U14</f>
        <v>7.8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f>'FS Jimbaran'!Y14</f>
        <v>545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>
        <v>0</v>
      </c>
      <c r="AZ4" s="24">
        <v>0</v>
      </c>
      <c r="BA4" s="24">
        <v>0</v>
      </c>
      <c r="BB4" s="24">
        <v>0</v>
      </c>
      <c r="BC4" s="24">
        <f>'FS Jimbaran'!AI14</f>
        <v>413.6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  <c r="BL4" s="24">
        <v>0</v>
      </c>
      <c r="BM4" s="24">
        <v>0</v>
      </c>
      <c r="BN4" s="24">
        <v>0</v>
      </c>
      <c r="BO4" s="27">
        <v>0</v>
      </c>
      <c r="BP4" s="24">
        <v>0</v>
      </c>
    </row>
    <row r="5" spans="1:68">
      <c r="A5" s="21" t="s">
        <v>67</v>
      </c>
      <c r="B5" s="22">
        <v>4</v>
      </c>
      <c r="C5" s="23">
        <v>9</v>
      </c>
      <c r="D5" s="26">
        <v>2022</v>
      </c>
      <c r="E5" s="24">
        <f>'FS Jimbaran'!O15</f>
        <v>3.6</v>
      </c>
      <c r="F5" s="24">
        <v>0</v>
      </c>
      <c r="G5" s="24">
        <f>'FS Jimbaran'!E15</f>
        <v>7.9</v>
      </c>
      <c r="H5" s="24">
        <v>0</v>
      </c>
      <c r="I5" s="24">
        <v>0</v>
      </c>
      <c r="J5" s="24">
        <v>0</v>
      </c>
      <c r="K5" s="24">
        <f>'FS Jimbaran'!K15</f>
        <v>25.6</v>
      </c>
      <c r="L5" s="24">
        <v>0</v>
      </c>
      <c r="M5" s="24">
        <v>0</v>
      </c>
      <c r="N5" s="24">
        <v>0</v>
      </c>
      <c r="O5" s="24">
        <f>'FS Jimbaran'!U15</f>
        <v>5.3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f>'FS Jimbaran'!Y15</f>
        <v>590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0</v>
      </c>
      <c r="AV5" s="24">
        <v>0</v>
      </c>
      <c r="AW5" s="24">
        <v>0</v>
      </c>
      <c r="AX5" s="24">
        <v>0</v>
      </c>
      <c r="AY5" s="24">
        <v>0</v>
      </c>
      <c r="AZ5" s="24">
        <v>0</v>
      </c>
      <c r="BA5" s="24">
        <v>0</v>
      </c>
      <c r="BB5" s="24">
        <v>0</v>
      </c>
      <c r="BC5" s="24">
        <f>'FS Jimbaran'!AI15</f>
        <v>343.1</v>
      </c>
      <c r="BD5" s="24">
        <v>0</v>
      </c>
      <c r="BE5" s="24">
        <v>0</v>
      </c>
      <c r="BF5" s="24">
        <v>0</v>
      </c>
      <c r="BG5" s="24">
        <v>0</v>
      </c>
      <c r="BH5" s="24">
        <v>0</v>
      </c>
      <c r="BI5" s="24">
        <v>0</v>
      </c>
      <c r="BJ5" s="24">
        <v>0</v>
      </c>
      <c r="BK5" s="24">
        <v>0</v>
      </c>
      <c r="BL5" s="24">
        <v>0</v>
      </c>
      <c r="BM5" s="24">
        <v>0</v>
      </c>
      <c r="BN5" s="24">
        <v>0</v>
      </c>
      <c r="BO5" s="27">
        <v>0</v>
      </c>
      <c r="BP5" s="24">
        <v>0</v>
      </c>
    </row>
    <row r="6" spans="1:68">
      <c r="A6" s="21" t="s">
        <v>67</v>
      </c>
      <c r="B6" s="22">
        <v>5</v>
      </c>
      <c r="C6" s="23">
        <v>9</v>
      </c>
      <c r="D6" s="26">
        <v>2022</v>
      </c>
      <c r="E6" s="24">
        <f>'FS Jimbaran'!O16</f>
        <v>3.9</v>
      </c>
      <c r="F6" s="24">
        <v>0</v>
      </c>
      <c r="G6" s="24">
        <f>'FS Jimbaran'!E16</f>
        <v>6.5</v>
      </c>
      <c r="H6" s="24">
        <v>0</v>
      </c>
      <c r="I6" s="24">
        <v>0</v>
      </c>
      <c r="J6" s="24">
        <v>0</v>
      </c>
      <c r="K6" s="24">
        <f>'FS Jimbaran'!K16</f>
        <v>12.4</v>
      </c>
      <c r="L6" s="24">
        <v>0</v>
      </c>
      <c r="M6" s="24">
        <v>0</v>
      </c>
      <c r="N6" s="24">
        <v>0</v>
      </c>
      <c r="O6" s="24">
        <f>'FS Jimbaran'!U16</f>
        <v>6.9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f>'FS Jimbaran'!Y16</f>
        <v>535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4">
        <v>0</v>
      </c>
      <c r="AV6" s="24">
        <v>0</v>
      </c>
      <c r="AW6" s="24">
        <v>0</v>
      </c>
      <c r="AX6" s="24">
        <v>0</v>
      </c>
      <c r="AY6" s="24">
        <v>0</v>
      </c>
      <c r="AZ6" s="24">
        <v>0</v>
      </c>
      <c r="BA6" s="24">
        <v>0</v>
      </c>
      <c r="BB6" s="24">
        <v>0</v>
      </c>
      <c r="BC6" s="24">
        <f>'FS Jimbaran'!AI16</f>
        <v>460</v>
      </c>
      <c r="BD6" s="24">
        <v>0</v>
      </c>
      <c r="BE6" s="24">
        <v>0</v>
      </c>
      <c r="BF6" s="24">
        <v>0</v>
      </c>
      <c r="BG6" s="24">
        <v>0</v>
      </c>
      <c r="BH6" s="24">
        <v>0</v>
      </c>
      <c r="BI6" s="24">
        <v>0</v>
      </c>
      <c r="BJ6" s="24">
        <v>0</v>
      </c>
      <c r="BK6" s="24">
        <v>0</v>
      </c>
      <c r="BL6" s="24">
        <v>0</v>
      </c>
      <c r="BM6" s="24">
        <v>0</v>
      </c>
      <c r="BN6" s="24">
        <v>0</v>
      </c>
      <c r="BO6" s="27">
        <v>0</v>
      </c>
      <c r="BP6" s="24">
        <v>0</v>
      </c>
    </row>
    <row r="7" spans="1:68">
      <c r="A7" s="21" t="s">
        <v>67</v>
      </c>
      <c r="B7" s="22">
        <v>6</v>
      </c>
      <c r="C7" s="23">
        <v>9</v>
      </c>
      <c r="D7" s="26">
        <v>2022</v>
      </c>
      <c r="E7" s="24">
        <f>'FS Jimbaran'!O17</f>
        <v>3.8</v>
      </c>
      <c r="F7" s="24">
        <v>0</v>
      </c>
      <c r="G7" s="24">
        <f>'FS Jimbaran'!E17</f>
        <v>6.9</v>
      </c>
      <c r="H7" s="24">
        <v>0</v>
      </c>
      <c r="I7" s="24">
        <v>0</v>
      </c>
      <c r="J7" s="24">
        <v>0</v>
      </c>
      <c r="K7" s="24">
        <f>'FS Jimbaran'!K17</f>
        <v>10.8</v>
      </c>
      <c r="L7" s="24">
        <v>0</v>
      </c>
      <c r="M7" s="24">
        <v>0</v>
      </c>
      <c r="N7" s="24">
        <v>0</v>
      </c>
      <c r="O7" s="24">
        <f>'FS Jimbaran'!U17</f>
        <v>4.8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f>'FS Jimbaran'!Y17</f>
        <v>560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24">
        <v>0</v>
      </c>
      <c r="AJ7" s="24">
        <v>0</v>
      </c>
      <c r="AK7" s="24">
        <v>0</v>
      </c>
      <c r="AL7" s="24">
        <v>0</v>
      </c>
      <c r="AM7" s="24">
        <v>0</v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>
        <v>0</v>
      </c>
      <c r="AV7" s="24">
        <v>0</v>
      </c>
      <c r="AW7" s="24">
        <v>0</v>
      </c>
      <c r="AX7" s="24">
        <v>0</v>
      </c>
      <c r="AY7" s="24">
        <v>0</v>
      </c>
      <c r="AZ7" s="24">
        <v>0</v>
      </c>
      <c r="BA7" s="24">
        <v>0</v>
      </c>
      <c r="BB7" s="24">
        <v>0</v>
      </c>
      <c r="BC7" s="24">
        <f>'FS Jimbaran'!AI17</f>
        <v>470</v>
      </c>
      <c r="BD7" s="24">
        <v>0</v>
      </c>
      <c r="BE7" s="24">
        <v>0</v>
      </c>
      <c r="BF7" s="24">
        <v>0</v>
      </c>
      <c r="BG7" s="24">
        <v>0</v>
      </c>
      <c r="BH7" s="24">
        <v>0</v>
      </c>
      <c r="BI7" s="24">
        <v>0</v>
      </c>
      <c r="BJ7" s="24">
        <v>0</v>
      </c>
      <c r="BK7" s="24">
        <v>0</v>
      </c>
      <c r="BL7" s="24">
        <v>0</v>
      </c>
      <c r="BM7" s="24">
        <v>0</v>
      </c>
      <c r="BN7" s="24">
        <v>0</v>
      </c>
      <c r="BO7" s="27">
        <v>0</v>
      </c>
      <c r="BP7" s="24">
        <v>0</v>
      </c>
    </row>
    <row r="8" spans="1:68">
      <c r="A8" s="21" t="s">
        <v>67</v>
      </c>
      <c r="B8" s="22">
        <v>7</v>
      </c>
      <c r="C8" s="23">
        <v>9</v>
      </c>
      <c r="D8" s="26">
        <v>2022</v>
      </c>
      <c r="E8" s="24">
        <f>'FS Jimbaran'!O18</f>
        <v>4.0999999999999996</v>
      </c>
      <c r="F8" s="24">
        <v>0</v>
      </c>
      <c r="G8" s="24">
        <f>'FS Jimbaran'!E18</f>
        <v>9</v>
      </c>
      <c r="H8" s="24">
        <v>0</v>
      </c>
      <c r="I8" s="24">
        <v>0</v>
      </c>
      <c r="J8" s="24">
        <v>0</v>
      </c>
      <c r="K8" s="24">
        <f>'FS Jimbaran'!K18</f>
        <v>15.6</v>
      </c>
      <c r="L8" s="24">
        <v>0</v>
      </c>
      <c r="M8" s="24">
        <v>0</v>
      </c>
      <c r="N8" s="24">
        <v>0</v>
      </c>
      <c r="O8" s="24">
        <f>'FS Jimbaran'!U18</f>
        <v>5.7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f>'FS Jimbaran'!Y18</f>
        <v>550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24">
        <v>0</v>
      </c>
      <c r="AX8" s="24">
        <v>0</v>
      </c>
      <c r="AY8" s="24">
        <v>0</v>
      </c>
      <c r="AZ8" s="24">
        <v>0</v>
      </c>
      <c r="BA8" s="24">
        <v>0</v>
      </c>
      <c r="BB8" s="24">
        <v>0</v>
      </c>
      <c r="BC8" s="24">
        <f>'FS Jimbaran'!AI18</f>
        <v>357.2</v>
      </c>
      <c r="BD8" s="24">
        <v>0</v>
      </c>
      <c r="BE8" s="24">
        <v>0</v>
      </c>
      <c r="BF8" s="24">
        <v>0</v>
      </c>
      <c r="BG8" s="24">
        <v>0</v>
      </c>
      <c r="BH8" s="24">
        <v>0</v>
      </c>
      <c r="BI8" s="24">
        <v>0</v>
      </c>
      <c r="BJ8" s="24">
        <v>0</v>
      </c>
      <c r="BK8" s="24">
        <v>0</v>
      </c>
      <c r="BL8" s="24">
        <v>0</v>
      </c>
      <c r="BM8" s="24">
        <v>0</v>
      </c>
      <c r="BN8" s="24">
        <v>0</v>
      </c>
      <c r="BO8" s="27">
        <v>0</v>
      </c>
      <c r="BP8" s="24">
        <v>0</v>
      </c>
    </row>
    <row r="9" spans="1:68">
      <c r="A9" s="21" t="s">
        <v>67</v>
      </c>
      <c r="B9" s="22">
        <v>8</v>
      </c>
      <c r="C9" s="23">
        <v>9</v>
      </c>
      <c r="D9" s="26">
        <v>2022</v>
      </c>
      <c r="E9" s="24">
        <f>'FS Jimbaran'!O19</f>
        <v>2.2000000000000002</v>
      </c>
      <c r="F9" s="24">
        <v>0</v>
      </c>
      <c r="G9" s="24">
        <f>'FS Jimbaran'!E19</f>
        <v>3.1</v>
      </c>
      <c r="H9" s="24">
        <v>0</v>
      </c>
      <c r="I9" s="24">
        <v>0</v>
      </c>
      <c r="J9" s="24">
        <v>0</v>
      </c>
      <c r="K9" s="24">
        <f>'FS Jimbaran'!K19</f>
        <v>13.2</v>
      </c>
      <c r="L9" s="24">
        <v>0</v>
      </c>
      <c r="M9" s="24">
        <v>0</v>
      </c>
      <c r="N9" s="24">
        <v>0</v>
      </c>
      <c r="O9" s="24">
        <f>'FS Jimbaran'!U19</f>
        <v>6.9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f>'FS Jimbaran'!Y19</f>
        <v>590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24">
        <v>0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0</v>
      </c>
      <c r="AU9" s="24">
        <v>0</v>
      </c>
      <c r="AV9" s="24">
        <v>0</v>
      </c>
      <c r="AW9" s="24">
        <v>0</v>
      </c>
      <c r="AX9" s="24">
        <v>0</v>
      </c>
      <c r="AY9" s="24">
        <v>0</v>
      </c>
      <c r="AZ9" s="24">
        <v>0</v>
      </c>
      <c r="BA9" s="24">
        <v>0</v>
      </c>
      <c r="BB9" s="24">
        <v>0</v>
      </c>
      <c r="BC9" s="24">
        <f>'FS Jimbaran'!AI19</f>
        <v>376</v>
      </c>
      <c r="BD9" s="24">
        <v>0</v>
      </c>
      <c r="BE9" s="24">
        <v>0</v>
      </c>
      <c r="BF9" s="24">
        <v>0</v>
      </c>
      <c r="BG9" s="24">
        <v>0</v>
      </c>
      <c r="BH9" s="24">
        <v>0</v>
      </c>
      <c r="BI9" s="24">
        <v>0</v>
      </c>
      <c r="BJ9" s="24">
        <v>0</v>
      </c>
      <c r="BK9" s="24">
        <v>0</v>
      </c>
      <c r="BL9" s="24">
        <v>0</v>
      </c>
      <c r="BM9" s="24">
        <v>0</v>
      </c>
      <c r="BN9" s="24">
        <v>0</v>
      </c>
      <c r="BO9" s="27">
        <v>0</v>
      </c>
      <c r="BP9" s="24">
        <v>0</v>
      </c>
    </row>
    <row r="10" spans="1:68">
      <c r="A10" s="21" t="s">
        <v>67</v>
      </c>
      <c r="B10" s="22">
        <v>9</v>
      </c>
      <c r="C10" s="23">
        <v>9</v>
      </c>
      <c r="D10" s="26">
        <v>2022</v>
      </c>
      <c r="E10" s="24">
        <f>'FS Jimbaran'!O20</f>
        <v>3.9</v>
      </c>
      <c r="F10" s="24">
        <v>0</v>
      </c>
      <c r="G10" s="24">
        <f>'FS Jimbaran'!E20</f>
        <v>5.2</v>
      </c>
      <c r="H10" s="24">
        <v>0</v>
      </c>
      <c r="I10" s="24">
        <v>0</v>
      </c>
      <c r="J10" s="24">
        <v>0</v>
      </c>
      <c r="K10" s="24">
        <f>'FS Jimbaran'!K20</f>
        <v>14.6</v>
      </c>
      <c r="L10" s="24">
        <v>0</v>
      </c>
      <c r="M10" s="24">
        <v>0</v>
      </c>
      <c r="N10" s="24">
        <v>0</v>
      </c>
      <c r="O10" s="24">
        <f>'FS Jimbaran'!U20</f>
        <v>7.8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f>'FS Jimbaran'!Y20</f>
        <v>530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24">
        <v>0</v>
      </c>
      <c r="AX10" s="24">
        <v>0</v>
      </c>
      <c r="AY10" s="24">
        <v>0</v>
      </c>
      <c r="AZ10" s="24">
        <v>0</v>
      </c>
      <c r="BA10" s="24">
        <v>0</v>
      </c>
      <c r="BB10" s="24">
        <v>0</v>
      </c>
      <c r="BC10" s="24">
        <f>'FS Jimbaran'!AI20</f>
        <v>552</v>
      </c>
      <c r="BD10" s="24">
        <v>0</v>
      </c>
      <c r="BE10" s="24">
        <v>0</v>
      </c>
      <c r="BF10" s="24">
        <v>0</v>
      </c>
      <c r="BG10" s="24">
        <v>0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7">
        <v>0</v>
      </c>
      <c r="BP10" s="24">
        <v>0</v>
      </c>
    </row>
    <row r="11" spans="1:68">
      <c r="A11" s="21" t="s">
        <v>67</v>
      </c>
      <c r="B11" s="22">
        <v>10</v>
      </c>
      <c r="C11" s="23">
        <v>9</v>
      </c>
      <c r="D11" s="26">
        <v>2022</v>
      </c>
      <c r="E11" s="24">
        <f>'FS Jimbaran'!O21</f>
        <v>4.0999999999999996</v>
      </c>
      <c r="F11" s="24">
        <v>0</v>
      </c>
      <c r="G11" s="24">
        <f>'FS Jimbaran'!E21</f>
        <v>5.6</v>
      </c>
      <c r="H11" s="24">
        <v>0</v>
      </c>
      <c r="I11" s="24">
        <v>0</v>
      </c>
      <c r="J11" s="24">
        <v>0</v>
      </c>
      <c r="K11" s="24">
        <f>'FS Jimbaran'!K21</f>
        <v>14.7</v>
      </c>
      <c r="L11" s="24">
        <v>0</v>
      </c>
      <c r="M11" s="24">
        <v>0</v>
      </c>
      <c r="N11" s="24">
        <v>0</v>
      </c>
      <c r="O11" s="24">
        <f>'FS Jimbaran'!U21</f>
        <v>8.9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f>'FS Jimbaran'!Y21</f>
        <v>580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0</v>
      </c>
      <c r="AU11" s="24">
        <v>0</v>
      </c>
      <c r="AV11" s="24">
        <v>0</v>
      </c>
      <c r="AW11" s="24">
        <v>0</v>
      </c>
      <c r="AX11" s="24">
        <v>0</v>
      </c>
      <c r="AY11" s="24">
        <v>0</v>
      </c>
      <c r="AZ11" s="24">
        <v>0</v>
      </c>
      <c r="BA11" s="24">
        <v>0</v>
      </c>
      <c r="BB11" s="24">
        <v>0</v>
      </c>
      <c r="BC11" s="24">
        <f>'FS Jimbaran'!AI21</f>
        <v>540.5</v>
      </c>
      <c r="BD11" s="24">
        <v>0</v>
      </c>
      <c r="BE11" s="24">
        <v>0</v>
      </c>
      <c r="BF11" s="24">
        <v>0</v>
      </c>
      <c r="BG11" s="24">
        <v>0</v>
      </c>
      <c r="BH11" s="24">
        <v>0</v>
      </c>
      <c r="BI11" s="24">
        <v>0</v>
      </c>
      <c r="BJ11" s="24">
        <v>0</v>
      </c>
      <c r="BK11" s="24">
        <v>0</v>
      </c>
      <c r="BL11" s="24">
        <v>0</v>
      </c>
      <c r="BM11" s="24">
        <v>0</v>
      </c>
      <c r="BN11" s="24">
        <v>0</v>
      </c>
      <c r="BO11" s="27">
        <v>0</v>
      </c>
      <c r="BP11" s="24">
        <v>0</v>
      </c>
    </row>
    <row r="12" spans="1:68">
      <c r="A12" s="21" t="s">
        <v>67</v>
      </c>
      <c r="B12" s="22">
        <v>11</v>
      </c>
      <c r="C12" s="23">
        <v>9</v>
      </c>
      <c r="D12" s="26">
        <v>2022</v>
      </c>
      <c r="E12" s="24">
        <f>'FS Jimbaran'!O22</f>
        <v>4.2</v>
      </c>
      <c r="F12" s="24">
        <v>0</v>
      </c>
      <c r="G12" s="24">
        <f>'FS Jimbaran'!E22</f>
        <v>5.3</v>
      </c>
      <c r="H12" s="24">
        <v>0</v>
      </c>
      <c r="I12" s="24">
        <v>0</v>
      </c>
      <c r="J12" s="24">
        <v>0</v>
      </c>
      <c r="K12" s="24">
        <f>'FS Jimbaran'!K22</f>
        <v>9.6999999999999993</v>
      </c>
      <c r="L12" s="24">
        <v>0</v>
      </c>
      <c r="M12" s="24">
        <v>0</v>
      </c>
      <c r="N12" s="24">
        <v>0</v>
      </c>
      <c r="O12" s="24">
        <f>'FS Jimbaran'!U22</f>
        <v>4.9000000000000004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f>'FS Jimbaran'!Y22</f>
        <v>530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0</v>
      </c>
      <c r="AY12" s="24">
        <v>0</v>
      </c>
      <c r="AZ12" s="24">
        <v>0</v>
      </c>
      <c r="BA12" s="24">
        <v>0</v>
      </c>
      <c r="BB12" s="24">
        <v>0</v>
      </c>
      <c r="BC12" s="24">
        <f>'FS Jimbaran'!AI22</f>
        <v>709.7</v>
      </c>
      <c r="BD12" s="24">
        <v>0</v>
      </c>
      <c r="BE12" s="24">
        <v>0</v>
      </c>
      <c r="BF12" s="24">
        <v>0</v>
      </c>
      <c r="BG12" s="24">
        <v>0</v>
      </c>
      <c r="BH12" s="24">
        <v>0</v>
      </c>
      <c r="BI12" s="24">
        <v>0</v>
      </c>
      <c r="BJ12" s="24">
        <v>0</v>
      </c>
      <c r="BK12" s="24">
        <v>0</v>
      </c>
      <c r="BL12" s="24">
        <v>0</v>
      </c>
      <c r="BM12" s="24">
        <v>0</v>
      </c>
      <c r="BN12" s="24">
        <v>0</v>
      </c>
      <c r="BO12" s="27">
        <v>0</v>
      </c>
      <c r="BP12" s="24">
        <v>0</v>
      </c>
    </row>
    <row r="13" spans="1:68">
      <c r="A13" s="21" t="s">
        <v>67</v>
      </c>
      <c r="B13" s="22">
        <v>12</v>
      </c>
      <c r="C13" s="23">
        <v>9</v>
      </c>
      <c r="D13" s="26">
        <v>2022</v>
      </c>
      <c r="E13" s="24">
        <f>'FS Jimbaran'!O23</f>
        <v>3.9</v>
      </c>
      <c r="F13" s="24">
        <v>0</v>
      </c>
      <c r="G13" s="24">
        <f>'FS Jimbaran'!E23</f>
        <v>6.5</v>
      </c>
      <c r="H13" s="24">
        <v>0</v>
      </c>
      <c r="I13" s="24">
        <v>0</v>
      </c>
      <c r="J13" s="24">
        <v>0</v>
      </c>
      <c r="K13" s="24">
        <f>'FS Jimbaran'!K23</f>
        <v>14.1</v>
      </c>
      <c r="L13" s="24">
        <v>0</v>
      </c>
      <c r="M13" s="24">
        <v>0</v>
      </c>
      <c r="N13" s="24">
        <v>0</v>
      </c>
      <c r="O13" s="24">
        <f>'FS Jimbaran'!U23</f>
        <v>5.7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f>'FS Jimbaran'!Y23</f>
        <v>570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0</v>
      </c>
      <c r="AX13" s="24">
        <v>0</v>
      </c>
      <c r="AY13" s="24">
        <v>0</v>
      </c>
      <c r="AZ13" s="24">
        <v>0</v>
      </c>
      <c r="BA13" s="24">
        <v>0</v>
      </c>
      <c r="BB13" s="24">
        <v>0</v>
      </c>
      <c r="BC13" s="24">
        <f>'FS Jimbaran'!AI23</f>
        <v>512.29999999999995</v>
      </c>
      <c r="BD13" s="24">
        <v>0</v>
      </c>
      <c r="BE13" s="24">
        <v>0</v>
      </c>
      <c r="BF13" s="24">
        <v>0</v>
      </c>
      <c r="BG13" s="24">
        <v>0</v>
      </c>
      <c r="BH13" s="24">
        <v>0</v>
      </c>
      <c r="BI13" s="24">
        <v>0</v>
      </c>
      <c r="BJ13" s="24">
        <v>0</v>
      </c>
      <c r="BK13" s="24">
        <v>0</v>
      </c>
      <c r="BL13" s="24">
        <v>0</v>
      </c>
      <c r="BM13" s="24">
        <v>0</v>
      </c>
      <c r="BN13" s="24">
        <v>0</v>
      </c>
      <c r="BO13" s="27">
        <v>0</v>
      </c>
      <c r="BP13" s="24">
        <v>0</v>
      </c>
    </row>
    <row r="14" spans="1:68">
      <c r="A14" s="21" t="s">
        <v>67</v>
      </c>
      <c r="B14" s="22">
        <v>13</v>
      </c>
      <c r="C14" s="23">
        <v>9</v>
      </c>
      <c r="D14" s="26">
        <v>2022</v>
      </c>
      <c r="E14" s="24">
        <f>'FS Jimbaran'!O24</f>
        <v>2.5</v>
      </c>
      <c r="F14" s="24">
        <v>0</v>
      </c>
      <c r="G14" s="24">
        <f>'FS Jimbaran'!E24</f>
        <v>4.4000000000000004</v>
      </c>
      <c r="H14" s="24">
        <v>0</v>
      </c>
      <c r="I14" s="24">
        <v>0</v>
      </c>
      <c r="J14" s="24">
        <v>0</v>
      </c>
      <c r="K14" s="24">
        <f>'FS Jimbaran'!K24</f>
        <v>12.5</v>
      </c>
      <c r="L14" s="24">
        <v>0</v>
      </c>
      <c r="M14" s="24">
        <v>0</v>
      </c>
      <c r="N14" s="24">
        <v>0</v>
      </c>
      <c r="O14" s="24">
        <f>'FS Jimbaran'!U24</f>
        <v>4.2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f>'FS Jimbaran'!Y24</f>
        <v>560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0</v>
      </c>
      <c r="AU14" s="24">
        <v>0</v>
      </c>
      <c r="AV14" s="24">
        <v>0</v>
      </c>
      <c r="AW14" s="24">
        <v>0</v>
      </c>
      <c r="AX14" s="24">
        <v>0</v>
      </c>
      <c r="AY14" s="24">
        <v>0</v>
      </c>
      <c r="AZ14" s="24">
        <v>0</v>
      </c>
      <c r="BA14" s="24">
        <v>0</v>
      </c>
      <c r="BB14" s="24">
        <v>0</v>
      </c>
      <c r="BC14" s="24">
        <f>'FS Jimbaran'!AI24</f>
        <v>846</v>
      </c>
      <c r="BD14" s="24">
        <v>0</v>
      </c>
      <c r="BE14" s="24">
        <v>0</v>
      </c>
      <c r="BF14" s="24">
        <v>0</v>
      </c>
      <c r="BG14" s="24">
        <v>0</v>
      </c>
      <c r="BH14" s="24">
        <v>0</v>
      </c>
      <c r="BI14" s="24">
        <v>0</v>
      </c>
      <c r="BJ14" s="24">
        <v>0</v>
      </c>
      <c r="BK14" s="24">
        <v>0</v>
      </c>
      <c r="BL14" s="24">
        <v>0</v>
      </c>
      <c r="BM14" s="24">
        <v>0</v>
      </c>
      <c r="BN14" s="24">
        <v>0</v>
      </c>
      <c r="BO14" s="27">
        <v>0</v>
      </c>
      <c r="BP14" s="24">
        <v>0</v>
      </c>
    </row>
    <row r="15" spans="1:68">
      <c r="A15" s="21" t="s">
        <v>67</v>
      </c>
      <c r="B15" s="22">
        <v>14</v>
      </c>
      <c r="C15" s="23">
        <v>9</v>
      </c>
      <c r="D15" s="26">
        <v>2022</v>
      </c>
      <c r="E15" s="24">
        <f>'FS Jimbaran'!O25</f>
        <v>5.8</v>
      </c>
      <c r="F15" s="24">
        <v>0</v>
      </c>
      <c r="G15" s="24">
        <f>'FS Jimbaran'!E25</f>
        <v>6.3</v>
      </c>
      <c r="H15" s="24">
        <v>0</v>
      </c>
      <c r="I15" s="24">
        <v>0</v>
      </c>
      <c r="J15" s="24">
        <v>0</v>
      </c>
      <c r="K15" s="24">
        <f>'FS Jimbaran'!K25</f>
        <v>13.9</v>
      </c>
      <c r="L15" s="24">
        <v>0</v>
      </c>
      <c r="M15" s="24">
        <v>0</v>
      </c>
      <c r="N15" s="24">
        <v>0</v>
      </c>
      <c r="O15" s="24">
        <f>'FS Jimbaran'!U25</f>
        <v>7.5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f>'FS Jimbaran'!Y25</f>
        <v>565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24">
        <v>0</v>
      </c>
      <c r="AV15" s="24">
        <v>0</v>
      </c>
      <c r="AW15" s="24">
        <v>0</v>
      </c>
      <c r="AX15" s="24">
        <v>0</v>
      </c>
      <c r="AY15" s="24">
        <v>0</v>
      </c>
      <c r="AZ15" s="24">
        <v>0</v>
      </c>
      <c r="BA15" s="24">
        <v>0</v>
      </c>
      <c r="BB15" s="24">
        <v>0</v>
      </c>
      <c r="BC15" s="24">
        <f>'FS Jimbaran'!AI25</f>
        <v>517</v>
      </c>
      <c r="BD15" s="24">
        <v>0</v>
      </c>
      <c r="BE15" s="24">
        <v>0</v>
      </c>
      <c r="BF15" s="24">
        <v>0</v>
      </c>
      <c r="BG15" s="24">
        <v>0</v>
      </c>
      <c r="BH15" s="24">
        <v>0</v>
      </c>
      <c r="BI15" s="24">
        <v>0</v>
      </c>
      <c r="BJ15" s="24">
        <v>0</v>
      </c>
      <c r="BK15" s="24">
        <v>0</v>
      </c>
      <c r="BL15" s="24">
        <v>0</v>
      </c>
      <c r="BM15" s="24">
        <v>0</v>
      </c>
      <c r="BN15" s="24">
        <v>0</v>
      </c>
      <c r="BO15" s="27">
        <v>0</v>
      </c>
      <c r="BP15" s="24">
        <v>0</v>
      </c>
    </row>
    <row r="16" spans="1:68">
      <c r="A16" s="21" t="s">
        <v>67</v>
      </c>
      <c r="B16" s="22">
        <v>15</v>
      </c>
      <c r="C16" s="23">
        <v>9</v>
      </c>
      <c r="D16" s="26">
        <v>2022</v>
      </c>
      <c r="E16" s="24">
        <f>'FS Jimbaran'!O26</f>
        <v>4.3</v>
      </c>
      <c r="F16" s="24">
        <v>0</v>
      </c>
      <c r="G16" s="24">
        <f>'FS Jimbaran'!E26</f>
        <v>6.3</v>
      </c>
      <c r="H16" s="24">
        <v>0</v>
      </c>
      <c r="I16" s="24">
        <v>0</v>
      </c>
      <c r="J16" s="24">
        <v>0</v>
      </c>
      <c r="K16" s="24">
        <f>'FS Jimbaran'!K26</f>
        <v>15.9</v>
      </c>
      <c r="L16" s="24">
        <v>0</v>
      </c>
      <c r="M16" s="24">
        <v>0</v>
      </c>
      <c r="N16" s="24">
        <v>0</v>
      </c>
      <c r="O16" s="24">
        <f>'FS Jimbaran'!U26</f>
        <v>6.4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f>'FS Jimbaran'!Y26</f>
        <v>570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24">
        <v>0</v>
      </c>
      <c r="AX16" s="24">
        <v>0</v>
      </c>
      <c r="AY16" s="24">
        <v>0</v>
      </c>
      <c r="AZ16" s="24">
        <v>0</v>
      </c>
      <c r="BA16" s="24">
        <v>0</v>
      </c>
      <c r="BB16" s="24">
        <v>0</v>
      </c>
      <c r="BC16" s="24">
        <f>'FS Jimbaran'!AI26</f>
        <v>761.4</v>
      </c>
      <c r="BD16" s="24">
        <v>0</v>
      </c>
      <c r="BE16" s="24">
        <v>0</v>
      </c>
      <c r="BF16" s="24">
        <v>0</v>
      </c>
      <c r="BG16" s="24">
        <v>0</v>
      </c>
      <c r="BH16" s="24">
        <v>0</v>
      </c>
      <c r="BI16" s="24">
        <v>0</v>
      </c>
      <c r="BJ16" s="24">
        <v>0</v>
      </c>
      <c r="BK16" s="24">
        <v>0</v>
      </c>
      <c r="BL16" s="24">
        <v>0</v>
      </c>
      <c r="BM16" s="24">
        <v>0</v>
      </c>
      <c r="BN16" s="24">
        <v>0</v>
      </c>
      <c r="BO16" s="27">
        <v>0</v>
      </c>
      <c r="BP16" s="24">
        <v>0</v>
      </c>
    </row>
    <row r="17" spans="1:68">
      <c r="A17" s="21" t="s">
        <v>67</v>
      </c>
      <c r="B17" s="22">
        <v>16</v>
      </c>
      <c r="C17" s="23">
        <v>9</v>
      </c>
      <c r="D17" s="26">
        <v>2022</v>
      </c>
      <c r="E17" s="24">
        <f>'FS Jimbaran'!O27</f>
        <v>3.9</v>
      </c>
      <c r="F17" s="24">
        <v>0</v>
      </c>
      <c r="G17" s="24">
        <f>'FS Jimbaran'!E27</f>
        <v>4.0999999999999996</v>
      </c>
      <c r="H17" s="24">
        <v>0</v>
      </c>
      <c r="I17" s="24">
        <v>0</v>
      </c>
      <c r="J17" s="24">
        <v>0</v>
      </c>
      <c r="K17" s="24">
        <f>'FS Jimbaran'!K27</f>
        <v>17.100000000000001</v>
      </c>
      <c r="L17" s="24">
        <v>0</v>
      </c>
      <c r="M17" s="24">
        <v>0</v>
      </c>
      <c r="N17" s="24">
        <v>0</v>
      </c>
      <c r="O17" s="24">
        <f>'FS Jimbaran'!U27</f>
        <v>7.7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f>'FS Jimbaran'!Y27</f>
        <v>575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24">
        <v>0</v>
      </c>
      <c r="AX17" s="24">
        <v>0</v>
      </c>
      <c r="AY17" s="24">
        <v>0</v>
      </c>
      <c r="AZ17" s="24">
        <v>0</v>
      </c>
      <c r="BA17" s="24">
        <v>0</v>
      </c>
      <c r="BB17" s="24">
        <v>0</v>
      </c>
      <c r="BC17" s="24">
        <f>'FS Jimbaran'!AI27</f>
        <v>517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4">
        <v>0</v>
      </c>
      <c r="BN17" s="24">
        <v>0</v>
      </c>
      <c r="BO17" s="27">
        <v>0</v>
      </c>
      <c r="BP17" s="24">
        <v>0</v>
      </c>
    </row>
    <row r="18" spans="1:68">
      <c r="A18" s="21" t="s">
        <v>67</v>
      </c>
      <c r="B18" s="22">
        <v>17</v>
      </c>
      <c r="C18" s="23">
        <v>9</v>
      </c>
      <c r="D18" s="26">
        <v>2022</v>
      </c>
      <c r="E18" s="24">
        <f>'FS Jimbaran'!O28</f>
        <v>2.5</v>
      </c>
      <c r="F18" s="24">
        <v>0</v>
      </c>
      <c r="G18" s="24">
        <f>'FS Jimbaran'!E28</f>
        <v>7.9</v>
      </c>
      <c r="H18" s="24">
        <v>0</v>
      </c>
      <c r="I18" s="24">
        <v>0</v>
      </c>
      <c r="J18" s="24">
        <v>0</v>
      </c>
      <c r="K18" s="24">
        <f>'FS Jimbaran'!K28</f>
        <v>10.8</v>
      </c>
      <c r="L18" s="24">
        <v>0</v>
      </c>
      <c r="M18" s="24">
        <v>0</v>
      </c>
      <c r="N18" s="24">
        <v>0</v>
      </c>
      <c r="O18" s="24">
        <f>'FS Jimbaran'!U28</f>
        <v>6.8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f>'FS Jimbaran'!Y28</f>
        <v>560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0</v>
      </c>
      <c r="AX18" s="24">
        <v>0</v>
      </c>
      <c r="AY18" s="24">
        <v>0</v>
      </c>
      <c r="AZ18" s="24">
        <v>0</v>
      </c>
      <c r="BA18" s="24">
        <v>0</v>
      </c>
      <c r="BB18" s="24">
        <v>0</v>
      </c>
      <c r="BC18" s="24">
        <f>'FS Jimbaran'!AI28</f>
        <v>408.9</v>
      </c>
      <c r="BD18" s="24">
        <v>0</v>
      </c>
      <c r="BE18" s="24">
        <v>0</v>
      </c>
      <c r="BF18" s="24">
        <v>0</v>
      </c>
      <c r="BG18" s="24">
        <v>0</v>
      </c>
      <c r="BH18" s="24">
        <v>0</v>
      </c>
      <c r="BI18" s="24">
        <v>0</v>
      </c>
      <c r="BJ18" s="24">
        <v>0</v>
      </c>
      <c r="BK18" s="24">
        <v>0</v>
      </c>
      <c r="BL18" s="24">
        <v>0</v>
      </c>
      <c r="BM18" s="24">
        <v>0</v>
      </c>
      <c r="BN18" s="24">
        <v>0</v>
      </c>
      <c r="BO18" s="27">
        <v>0</v>
      </c>
      <c r="BP18" s="24">
        <v>0</v>
      </c>
    </row>
    <row r="19" spans="1:68">
      <c r="A19" s="21" t="s">
        <v>67</v>
      </c>
      <c r="B19" s="22">
        <v>18</v>
      </c>
      <c r="C19" s="23">
        <v>9</v>
      </c>
      <c r="D19" s="26">
        <v>2022</v>
      </c>
      <c r="E19" s="24">
        <f>'FS Jimbaran'!O29</f>
        <v>4.8</v>
      </c>
      <c r="F19" s="24">
        <v>0</v>
      </c>
      <c r="G19" s="24">
        <f>'FS Jimbaran'!E29</f>
        <v>6.5</v>
      </c>
      <c r="H19" s="24">
        <v>0</v>
      </c>
      <c r="I19" s="24">
        <v>0</v>
      </c>
      <c r="J19" s="24">
        <v>0</v>
      </c>
      <c r="K19" s="24">
        <f>'FS Jimbaran'!K29</f>
        <v>10.199999999999999</v>
      </c>
      <c r="L19" s="24">
        <v>0</v>
      </c>
      <c r="M19" s="24">
        <v>0</v>
      </c>
      <c r="N19" s="24">
        <v>0</v>
      </c>
      <c r="O19" s="24">
        <f>'FS Jimbaran'!U29</f>
        <v>4.0999999999999996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f>'FS Jimbaran'!Y29</f>
        <v>580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  <c r="AW19" s="24">
        <v>0</v>
      </c>
      <c r="AX19" s="24">
        <v>0</v>
      </c>
      <c r="AY19" s="24">
        <v>0</v>
      </c>
      <c r="AZ19" s="24">
        <v>0</v>
      </c>
      <c r="BA19" s="24">
        <v>0</v>
      </c>
      <c r="BB19" s="24">
        <v>0</v>
      </c>
      <c r="BC19" s="24">
        <f>'FS Jimbaran'!AI29</f>
        <v>300.8</v>
      </c>
      <c r="BD19" s="24">
        <v>0</v>
      </c>
      <c r="BE19" s="24">
        <v>0</v>
      </c>
      <c r="BF19" s="24">
        <v>0</v>
      </c>
      <c r="BG19" s="24">
        <v>0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7">
        <v>0</v>
      </c>
      <c r="BP19" s="24">
        <v>0</v>
      </c>
    </row>
    <row r="20" spans="1:68">
      <c r="A20" s="21" t="s">
        <v>67</v>
      </c>
      <c r="B20" s="22">
        <v>19</v>
      </c>
      <c r="C20" s="23">
        <v>9</v>
      </c>
      <c r="D20" s="26">
        <v>2022</v>
      </c>
      <c r="E20" s="24">
        <f>'FS Jimbaran'!O30</f>
        <v>5.7</v>
      </c>
      <c r="F20" s="24">
        <v>0</v>
      </c>
      <c r="G20" s="24">
        <f>'FS Jimbaran'!E30</f>
        <v>5.8</v>
      </c>
      <c r="H20" s="24">
        <v>0</v>
      </c>
      <c r="I20" s="24">
        <v>0</v>
      </c>
      <c r="J20" s="24">
        <v>0</v>
      </c>
      <c r="K20" s="24">
        <f>'FS Jimbaran'!K30</f>
        <v>14.4</v>
      </c>
      <c r="L20" s="24">
        <v>0</v>
      </c>
      <c r="M20" s="24">
        <v>0</v>
      </c>
      <c r="N20" s="24">
        <v>0</v>
      </c>
      <c r="O20" s="24">
        <f>'FS Jimbaran'!U30</f>
        <v>3.5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f>'FS Jimbaran'!Y30</f>
        <v>575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0</v>
      </c>
      <c r="BA20" s="24">
        <v>0</v>
      </c>
      <c r="BB20" s="24">
        <v>0</v>
      </c>
      <c r="BC20" s="24">
        <f>'FS Jimbaran'!AI30</f>
        <v>488.8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7">
        <v>0</v>
      </c>
      <c r="BP20" s="24">
        <v>0</v>
      </c>
    </row>
    <row r="21" spans="1:68">
      <c r="A21" s="21" t="s">
        <v>67</v>
      </c>
      <c r="B21" s="22">
        <v>20</v>
      </c>
      <c r="C21" s="23">
        <v>9</v>
      </c>
      <c r="D21" s="26">
        <v>2022</v>
      </c>
      <c r="E21" s="24">
        <f>'FS Jimbaran'!O31</f>
        <v>3.7</v>
      </c>
      <c r="F21" s="24">
        <v>0</v>
      </c>
      <c r="G21" s="24">
        <f>'FS Jimbaran'!E31</f>
        <v>5.2</v>
      </c>
      <c r="H21" s="24">
        <v>0</v>
      </c>
      <c r="I21" s="24">
        <v>0</v>
      </c>
      <c r="J21" s="24">
        <v>0</v>
      </c>
      <c r="K21" s="24">
        <f>'FS Jimbaran'!K31</f>
        <v>15.6</v>
      </c>
      <c r="L21" s="24">
        <v>0</v>
      </c>
      <c r="M21" s="24">
        <v>0</v>
      </c>
      <c r="N21" s="24">
        <v>0</v>
      </c>
      <c r="O21" s="24">
        <f>'FS Jimbaran'!U31</f>
        <v>8.6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f>'FS Jimbaran'!Y31</f>
        <v>600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f>'FS Jimbaran'!AI31</f>
        <v>690.9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7">
        <v>0</v>
      </c>
      <c r="BP21" s="24">
        <v>0</v>
      </c>
    </row>
    <row r="22" spans="1:68">
      <c r="A22" s="21" t="s">
        <v>67</v>
      </c>
      <c r="B22" s="22">
        <v>21</v>
      </c>
      <c r="C22" s="23">
        <v>9</v>
      </c>
      <c r="D22" s="26">
        <v>2022</v>
      </c>
      <c r="E22" s="24">
        <f>'FS Jimbaran'!O32</f>
        <v>2.8</v>
      </c>
      <c r="F22" s="24">
        <v>0</v>
      </c>
      <c r="G22" s="24">
        <f>'FS Jimbaran'!E32</f>
        <v>5.9</v>
      </c>
      <c r="H22" s="24">
        <v>0</v>
      </c>
      <c r="I22" s="24">
        <v>0</v>
      </c>
      <c r="J22" s="24">
        <v>0</v>
      </c>
      <c r="K22" s="24">
        <f>'FS Jimbaran'!K32</f>
        <v>14.9</v>
      </c>
      <c r="L22" s="24">
        <v>0</v>
      </c>
      <c r="M22" s="24">
        <v>0</v>
      </c>
      <c r="N22" s="24">
        <v>0</v>
      </c>
      <c r="O22" s="24">
        <f>'FS Jimbaran'!U32</f>
        <v>1.7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f>'FS Jimbaran'!Y32</f>
        <v>550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</v>
      </c>
      <c r="BA22" s="24">
        <v>0</v>
      </c>
      <c r="BB22" s="24">
        <v>0</v>
      </c>
      <c r="BC22" s="24">
        <f>'FS Jimbaran'!AI32</f>
        <v>827.2</v>
      </c>
      <c r="BD22" s="24">
        <v>0</v>
      </c>
      <c r="BE22" s="24">
        <v>0</v>
      </c>
      <c r="BF22" s="24">
        <v>0</v>
      </c>
      <c r="BG22" s="24">
        <v>0</v>
      </c>
      <c r="BH22" s="24">
        <v>0</v>
      </c>
      <c r="BI22" s="24">
        <v>0</v>
      </c>
      <c r="BJ22" s="24">
        <v>0</v>
      </c>
      <c r="BK22" s="24">
        <v>0</v>
      </c>
      <c r="BL22" s="24">
        <v>0</v>
      </c>
      <c r="BM22" s="24">
        <v>0</v>
      </c>
      <c r="BN22" s="24">
        <v>0</v>
      </c>
      <c r="BO22" s="27">
        <v>0</v>
      </c>
      <c r="BP22" s="24">
        <v>0</v>
      </c>
    </row>
    <row r="23" spans="1:68">
      <c r="A23" s="21" t="s">
        <v>67</v>
      </c>
      <c r="B23" s="22">
        <v>22</v>
      </c>
      <c r="C23" s="23">
        <v>9</v>
      </c>
      <c r="D23" s="26">
        <v>2022</v>
      </c>
      <c r="E23" s="24">
        <f>'FS Jimbaran'!O33</f>
        <v>4.9000000000000004</v>
      </c>
      <c r="F23" s="24">
        <v>0</v>
      </c>
      <c r="G23" s="24">
        <f>'FS Jimbaran'!E33</f>
        <v>5.6</v>
      </c>
      <c r="H23" s="24">
        <v>0</v>
      </c>
      <c r="I23" s="24">
        <v>0</v>
      </c>
      <c r="J23" s="24">
        <v>0</v>
      </c>
      <c r="K23" s="24">
        <f>'FS Jimbaran'!K33</f>
        <v>19.8</v>
      </c>
      <c r="L23" s="24">
        <v>0</v>
      </c>
      <c r="M23" s="24">
        <v>0</v>
      </c>
      <c r="N23" s="24">
        <v>0</v>
      </c>
      <c r="O23" s="24">
        <f>'FS Jimbaran'!U33</f>
        <v>3.8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f>'FS Jimbaran'!Y33</f>
        <v>555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4">
        <v>0</v>
      </c>
      <c r="AG23" s="24">
        <v>0</v>
      </c>
      <c r="AH23" s="24">
        <v>0</v>
      </c>
      <c r="AI23" s="24">
        <v>0</v>
      </c>
      <c r="AJ23" s="24">
        <v>0</v>
      </c>
      <c r="AK23" s="24">
        <v>0</v>
      </c>
      <c r="AL23" s="24">
        <v>0</v>
      </c>
      <c r="AM23" s="24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0</v>
      </c>
      <c r="AY23" s="24">
        <v>0</v>
      </c>
      <c r="AZ23" s="24">
        <v>0</v>
      </c>
      <c r="BA23" s="24">
        <v>0</v>
      </c>
      <c r="BB23" s="24">
        <v>0</v>
      </c>
      <c r="BC23" s="24">
        <f>'FS Jimbaran'!AI33</f>
        <v>888.3</v>
      </c>
      <c r="BD23" s="24">
        <v>0</v>
      </c>
      <c r="BE23" s="24">
        <v>0</v>
      </c>
      <c r="BF23" s="24">
        <v>0</v>
      </c>
      <c r="BG23" s="24">
        <v>0</v>
      </c>
      <c r="BH23" s="24">
        <v>0</v>
      </c>
      <c r="BI23" s="24">
        <v>0</v>
      </c>
      <c r="BJ23" s="24">
        <v>0</v>
      </c>
      <c r="BK23" s="24">
        <v>0</v>
      </c>
      <c r="BL23" s="24">
        <v>0</v>
      </c>
      <c r="BM23" s="24">
        <v>0</v>
      </c>
      <c r="BN23" s="24">
        <v>0</v>
      </c>
      <c r="BO23" s="27">
        <v>0</v>
      </c>
      <c r="BP23" s="24">
        <v>0</v>
      </c>
    </row>
    <row r="24" spans="1:68">
      <c r="A24" s="21" t="s">
        <v>67</v>
      </c>
      <c r="B24" s="22">
        <v>23</v>
      </c>
      <c r="C24" s="23">
        <v>9</v>
      </c>
      <c r="D24" s="26">
        <v>2022</v>
      </c>
      <c r="E24" s="24">
        <f>'FS Jimbaran'!O34</f>
        <v>5.7</v>
      </c>
      <c r="F24" s="24">
        <v>0</v>
      </c>
      <c r="G24" s="24">
        <f>'FS Jimbaran'!E34</f>
        <v>5.0999999999999996</v>
      </c>
      <c r="H24" s="24">
        <v>0</v>
      </c>
      <c r="I24" s="24">
        <v>0</v>
      </c>
      <c r="J24" s="24">
        <v>0</v>
      </c>
      <c r="K24" s="24">
        <f>'FS Jimbaran'!K34</f>
        <v>12.3</v>
      </c>
      <c r="L24" s="24">
        <v>0</v>
      </c>
      <c r="M24" s="24">
        <v>0</v>
      </c>
      <c r="N24" s="24">
        <v>0</v>
      </c>
      <c r="O24" s="24">
        <f>'FS Jimbaran'!U34</f>
        <v>3.5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f>'FS Jimbaran'!Y34</f>
        <v>570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24">
        <v>0</v>
      </c>
      <c r="AX24" s="24">
        <v>0</v>
      </c>
      <c r="AY24" s="24">
        <v>0</v>
      </c>
      <c r="AZ24" s="24">
        <v>0</v>
      </c>
      <c r="BA24" s="24">
        <v>0</v>
      </c>
      <c r="BB24" s="24">
        <v>0</v>
      </c>
      <c r="BC24" s="24">
        <f>'FS Jimbaran'!AI34</f>
        <v>733.2</v>
      </c>
      <c r="BD24" s="24">
        <v>0</v>
      </c>
      <c r="BE24" s="24">
        <v>0</v>
      </c>
      <c r="BF24" s="24">
        <v>0</v>
      </c>
      <c r="BG24" s="24">
        <v>0</v>
      </c>
      <c r="BH24" s="24">
        <v>0</v>
      </c>
      <c r="BI24" s="24">
        <v>0</v>
      </c>
      <c r="BJ24" s="24">
        <v>0</v>
      </c>
      <c r="BK24" s="24">
        <v>0</v>
      </c>
      <c r="BL24" s="24">
        <v>0</v>
      </c>
      <c r="BM24" s="24">
        <v>0</v>
      </c>
      <c r="BN24" s="24">
        <v>0</v>
      </c>
      <c r="BO24" s="27">
        <v>0</v>
      </c>
      <c r="BP24" s="24">
        <v>0</v>
      </c>
    </row>
    <row r="25" spans="1:68">
      <c r="A25" s="21" t="s">
        <v>67</v>
      </c>
      <c r="B25" s="22">
        <v>24</v>
      </c>
      <c r="C25" s="23">
        <v>9</v>
      </c>
      <c r="D25" s="26">
        <v>2022</v>
      </c>
      <c r="E25" s="24">
        <f>'FS Jimbaran'!O35</f>
        <v>3.8</v>
      </c>
      <c r="F25" s="24">
        <v>0</v>
      </c>
      <c r="G25" s="24">
        <f>'FS Jimbaran'!E35</f>
        <v>4.8</v>
      </c>
      <c r="H25" s="24">
        <v>0</v>
      </c>
      <c r="I25" s="24">
        <v>0</v>
      </c>
      <c r="J25" s="24">
        <v>0</v>
      </c>
      <c r="K25" s="24">
        <f>'FS Jimbaran'!K35</f>
        <v>13.9</v>
      </c>
      <c r="L25" s="24">
        <v>0</v>
      </c>
      <c r="M25" s="24">
        <v>0</v>
      </c>
      <c r="N25" s="24">
        <v>0</v>
      </c>
      <c r="O25" s="24">
        <f>'FS Jimbaran'!U35</f>
        <v>5.9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f>'FS Jimbaran'!Y35</f>
        <v>580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24">
        <f>'FS Jimbaran'!AI35</f>
        <v>794.3</v>
      </c>
      <c r="BD25" s="24">
        <v>0</v>
      </c>
      <c r="BE25" s="24">
        <v>0</v>
      </c>
      <c r="BF25" s="24">
        <v>0</v>
      </c>
      <c r="BG25" s="24">
        <v>0</v>
      </c>
      <c r="BH25" s="24">
        <v>0</v>
      </c>
      <c r="BI25" s="24">
        <v>0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7">
        <v>0</v>
      </c>
      <c r="BP25" s="24">
        <v>0</v>
      </c>
    </row>
    <row r="26" spans="1:68">
      <c r="A26" s="21" t="s">
        <v>67</v>
      </c>
      <c r="B26" s="22">
        <v>25</v>
      </c>
      <c r="C26" s="23">
        <v>9</v>
      </c>
      <c r="D26" s="26">
        <v>2022</v>
      </c>
      <c r="E26" s="24">
        <f>'FS Jimbaran'!O36</f>
        <v>2.7</v>
      </c>
      <c r="F26" s="24">
        <v>0</v>
      </c>
      <c r="G26" s="24">
        <f>'FS Jimbaran'!E36</f>
        <v>8.1</v>
      </c>
      <c r="H26" s="24">
        <v>0</v>
      </c>
      <c r="I26" s="24">
        <v>0</v>
      </c>
      <c r="J26" s="24">
        <v>0</v>
      </c>
      <c r="K26" s="24">
        <f>'FS Jimbaran'!K36</f>
        <v>12.7</v>
      </c>
      <c r="L26" s="24">
        <v>0</v>
      </c>
      <c r="M26" s="24">
        <v>0</v>
      </c>
      <c r="N26" s="24">
        <v>0</v>
      </c>
      <c r="O26" s="24">
        <f>'FS Jimbaran'!U36</f>
        <v>4.8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f>'FS Jimbaran'!Y36</f>
        <v>600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4">
        <v>0</v>
      </c>
      <c r="AS26" s="24">
        <v>0</v>
      </c>
      <c r="AT26" s="24">
        <v>0</v>
      </c>
      <c r="AU26" s="24">
        <v>0</v>
      </c>
      <c r="AV26" s="24">
        <v>0</v>
      </c>
      <c r="AW26" s="24">
        <v>0</v>
      </c>
      <c r="AX26" s="24">
        <v>0</v>
      </c>
      <c r="AY26" s="24">
        <v>0</v>
      </c>
      <c r="AZ26" s="24">
        <v>0</v>
      </c>
      <c r="BA26" s="24">
        <v>0</v>
      </c>
      <c r="BB26" s="24">
        <v>0</v>
      </c>
      <c r="BC26" s="24">
        <f>'FS Jimbaran'!AI36</f>
        <v>620.4</v>
      </c>
      <c r="BD26" s="24">
        <v>0</v>
      </c>
      <c r="BE26" s="24">
        <v>0</v>
      </c>
      <c r="BF26" s="24">
        <v>0</v>
      </c>
      <c r="BG26" s="24">
        <v>0</v>
      </c>
      <c r="BH26" s="24">
        <v>0</v>
      </c>
      <c r="BI26" s="24">
        <v>0</v>
      </c>
      <c r="BJ26" s="24">
        <v>0</v>
      </c>
      <c r="BK26" s="24">
        <v>0</v>
      </c>
      <c r="BL26" s="24">
        <v>0</v>
      </c>
      <c r="BM26" s="24">
        <v>0</v>
      </c>
      <c r="BN26" s="24">
        <v>0</v>
      </c>
      <c r="BO26" s="27">
        <v>0</v>
      </c>
      <c r="BP26" s="24">
        <v>0</v>
      </c>
    </row>
    <row r="27" spans="1:68">
      <c r="A27" s="21" t="s">
        <v>67</v>
      </c>
      <c r="B27" s="22">
        <v>26</v>
      </c>
      <c r="C27" s="23">
        <v>9</v>
      </c>
      <c r="D27" s="26">
        <v>2022</v>
      </c>
      <c r="E27" s="24">
        <f>'FS Jimbaran'!O37</f>
        <v>4.7</v>
      </c>
      <c r="F27" s="24">
        <v>0</v>
      </c>
      <c r="G27" s="24">
        <f>'FS Jimbaran'!E37</f>
        <v>5.5</v>
      </c>
      <c r="H27" s="24">
        <v>0</v>
      </c>
      <c r="I27" s="24">
        <v>0</v>
      </c>
      <c r="J27" s="24">
        <v>0</v>
      </c>
      <c r="K27" s="24">
        <f>'FS Jimbaran'!K37</f>
        <v>16.3</v>
      </c>
      <c r="L27" s="24">
        <v>0</v>
      </c>
      <c r="M27" s="24">
        <v>0</v>
      </c>
      <c r="N27" s="24">
        <v>0</v>
      </c>
      <c r="O27" s="24">
        <f>'FS Jimbaran'!U37</f>
        <v>3.5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f>'FS Jimbaran'!Y37</f>
        <v>585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24">
        <v>0</v>
      </c>
      <c r="AO27" s="24">
        <v>0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0</v>
      </c>
      <c r="AX27" s="24">
        <v>0</v>
      </c>
      <c r="AY27" s="24">
        <v>0</v>
      </c>
      <c r="AZ27" s="24">
        <v>0</v>
      </c>
      <c r="BA27" s="24">
        <v>0</v>
      </c>
      <c r="BB27" s="24">
        <v>0</v>
      </c>
      <c r="BC27" s="24">
        <f>'FS Jimbaran'!AI37</f>
        <v>1048.0999999999999</v>
      </c>
      <c r="BD27" s="24">
        <v>0</v>
      </c>
      <c r="BE27" s="24">
        <v>0</v>
      </c>
      <c r="BF27" s="24">
        <v>0</v>
      </c>
      <c r="BG27" s="24">
        <v>0</v>
      </c>
      <c r="BH27" s="24">
        <v>0</v>
      </c>
      <c r="BI27" s="24">
        <v>0</v>
      </c>
      <c r="BJ27" s="24">
        <v>0</v>
      </c>
      <c r="BK27" s="24">
        <v>0</v>
      </c>
      <c r="BL27" s="24">
        <v>0</v>
      </c>
      <c r="BM27" s="24">
        <v>0</v>
      </c>
      <c r="BN27" s="24">
        <v>0</v>
      </c>
      <c r="BO27" s="27">
        <v>0</v>
      </c>
      <c r="BP27" s="24">
        <v>0</v>
      </c>
    </row>
    <row r="28" spans="1:68">
      <c r="A28" s="21" t="s">
        <v>67</v>
      </c>
      <c r="B28" s="22">
        <v>27</v>
      </c>
      <c r="C28" s="23">
        <v>9</v>
      </c>
      <c r="D28" s="26">
        <v>2022</v>
      </c>
      <c r="E28" s="24">
        <f>'FS Jimbaran'!O38</f>
        <v>5.5</v>
      </c>
      <c r="F28" s="24">
        <v>0</v>
      </c>
      <c r="G28" s="24">
        <f>'FS Jimbaran'!E38</f>
        <v>9.1999999999999993</v>
      </c>
      <c r="H28" s="24">
        <v>0</v>
      </c>
      <c r="I28" s="24">
        <v>0</v>
      </c>
      <c r="J28" s="24">
        <v>0</v>
      </c>
      <c r="K28" s="24">
        <f>'FS Jimbaran'!K38</f>
        <v>16.8</v>
      </c>
      <c r="L28" s="24">
        <v>0</v>
      </c>
      <c r="M28" s="24">
        <v>0</v>
      </c>
      <c r="N28" s="24">
        <v>0</v>
      </c>
      <c r="O28" s="24">
        <f>'FS Jimbaran'!U38</f>
        <v>8.4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f>'FS Jimbaran'!Y38</f>
        <v>560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f>'FS Jimbaran'!AI38</f>
        <v>564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7">
        <v>0</v>
      </c>
      <c r="BP28" s="24">
        <v>0</v>
      </c>
    </row>
    <row r="29" spans="1:68">
      <c r="A29" s="21" t="s">
        <v>67</v>
      </c>
      <c r="B29" s="22">
        <v>28</v>
      </c>
      <c r="C29" s="23">
        <v>9</v>
      </c>
      <c r="D29" s="26">
        <v>2022</v>
      </c>
      <c r="E29" s="24">
        <f>'FS Jimbaran'!O39</f>
        <v>3.9</v>
      </c>
      <c r="F29" s="24">
        <v>0</v>
      </c>
      <c r="G29" s="24">
        <f>'FS Jimbaran'!E39</f>
        <v>9</v>
      </c>
      <c r="H29" s="24">
        <v>0</v>
      </c>
      <c r="I29" s="24">
        <v>0</v>
      </c>
      <c r="J29" s="24">
        <v>0</v>
      </c>
      <c r="K29" s="24">
        <f>'FS Jimbaran'!K39</f>
        <v>12.5</v>
      </c>
      <c r="L29" s="24">
        <v>0</v>
      </c>
      <c r="M29" s="24">
        <v>0</v>
      </c>
      <c r="N29" s="24">
        <v>0</v>
      </c>
      <c r="O29" s="24">
        <f>'FS Jimbaran'!U39</f>
        <v>7.5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f>'FS Jimbaran'!Y39</f>
        <v>535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4">
        <v>0</v>
      </c>
      <c r="AH29" s="24">
        <v>0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>
        <v>0</v>
      </c>
      <c r="AO29" s="24">
        <v>0</v>
      </c>
      <c r="AP29" s="24">
        <v>0</v>
      </c>
      <c r="AQ29" s="24">
        <v>0</v>
      </c>
      <c r="AR29" s="24">
        <v>0</v>
      </c>
      <c r="AS29" s="24">
        <v>0</v>
      </c>
      <c r="AT29" s="24">
        <v>0</v>
      </c>
      <c r="AU29" s="24">
        <v>0</v>
      </c>
      <c r="AV29" s="24">
        <v>0</v>
      </c>
      <c r="AW29" s="24">
        <v>0</v>
      </c>
      <c r="AX29" s="24">
        <v>0</v>
      </c>
      <c r="AY29" s="24">
        <v>0</v>
      </c>
      <c r="AZ29" s="24">
        <v>0</v>
      </c>
      <c r="BA29" s="24">
        <v>0</v>
      </c>
      <c r="BB29" s="24">
        <v>0</v>
      </c>
      <c r="BC29" s="24">
        <f>'FS Jimbaran'!AI39</f>
        <v>836.6</v>
      </c>
      <c r="BD29" s="24">
        <v>0</v>
      </c>
      <c r="BE29" s="24">
        <v>0</v>
      </c>
      <c r="BF29" s="24">
        <v>0</v>
      </c>
      <c r="BG29" s="24">
        <v>0</v>
      </c>
      <c r="BH29" s="24">
        <v>0</v>
      </c>
      <c r="BI29" s="24">
        <v>0</v>
      </c>
      <c r="BJ29" s="24">
        <v>0</v>
      </c>
      <c r="BK29" s="24">
        <v>0</v>
      </c>
      <c r="BL29" s="24">
        <v>0</v>
      </c>
      <c r="BM29" s="24">
        <v>0</v>
      </c>
      <c r="BN29" s="24">
        <v>0</v>
      </c>
      <c r="BO29" s="27">
        <v>0</v>
      </c>
      <c r="BP29" s="24">
        <v>0</v>
      </c>
    </row>
    <row r="30" spans="1:68">
      <c r="A30" s="21" t="s">
        <v>67</v>
      </c>
      <c r="B30" s="22">
        <v>29</v>
      </c>
      <c r="C30" s="23">
        <v>9</v>
      </c>
      <c r="D30" s="26">
        <v>2022</v>
      </c>
      <c r="E30" s="24">
        <f>'FS Jimbaran'!O40</f>
        <v>2.8</v>
      </c>
      <c r="F30" s="24">
        <v>0</v>
      </c>
      <c r="G30" s="24">
        <f>'FS Jimbaran'!E40</f>
        <v>8.5</v>
      </c>
      <c r="H30" s="24">
        <v>0</v>
      </c>
      <c r="I30" s="24">
        <v>0</v>
      </c>
      <c r="J30" s="24">
        <v>0</v>
      </c>
      <c r="K30" s="24">
        <f>'FS Jimbaran'!K40</f>
        <v>11.2</v>
      </c>
      <c r="L30" s="24">
        <v>0</v>
      </c>
      <c r="M30" s="24">
        <v>0</v>
      </c>
      <c r="N30" s="24">
        <v>0</v>
      </c>
      <c r="O30" s="24">
        <f>'FS Jimbaran'!U40</f>
        <v>3.2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f>'FS Jimbaran'!Y40</f>
        <v>560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4">
        <f>'FS Jimbaran'!AI40</f>
        <v>681.5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7">
        <v>0</v>
      </c>
      <c r="BP30" s="24">
        <v>0</v>
      </c>
    </row>
    <row r="31" spans="1:68">
      <c r="A31" s="21" t="s">
        <v>67</v>
      </c>
      <c r="B31" s="22">
        <v>30</v>
      </c>
      <c r="C31" s="23">
        <v>9</v>
      </c>
      <c r="D31" s="26">
        <v>2022</v>
      </c>
      <c r="E31" s="24">
        <f>'FS Jimbaran'!O41</f>
        <v>4.9000000000000004</v>
      </c>
      <c r="F31" s="24">
        <v>0</v>
      </c>
      <c r="G31" s="24">
        <f>'FS Jimbaran'!E41</f>
        <v>5.0999999999999996</v>
      </c>
      <c r="H31" s="24">
        <v>0</v>
      </c>
      <c r="I31" s="24">
        <v>0</v>
      </c>
      <c r="J31" s="24">
        <v>0</v>
      </c>
      <c r="K31" s="24">
        <f>'FS Jimbaran'!K41</f>
        <v>11.2</v>
      </c>
      <c r="L31" s="24">
        <v>0</v>
      </c>
      <c r="M31" s="24">
        <v>0</v>
      </c>
      <c r="N31" s="24">
        <v>0</v>
      </c>
      <c r="O31" s="24">
        <f>'FS Jimbaran'!U41</f>
        <v>3.6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f>'FS Jimbaran'!Y41</f>
        <v>585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0</v>
      </c>
      <c r="AE31" s="24">
        <v>0</v>
      </c>
      <c r="AF31" s="24">
        <v>0</v>
      </c>
      <c r="AG31" s="24">
        <v>0</v>
      </c>
      <c r="AH31" s="24">
        <v>0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0</v>
      </c>
      <c r="AO31" s="24">
        <v>0</v>
      </c>
      <c r="AP31" s="24">
        <v>0</v>
      </c>
      <c r="AQ31" s="24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24">
        <v>0</v>
      </c>
      <c r="AX31" s="24">
        <v>0</v>
      </c>
      <c r="AY31" s="24">
        <v>0</v>
      </c>
      <c r="AZ31" s="24">
        <v>0</v>
      </c>
      <c r="BA31" s="24">
        <v>0</v>
      </c>
      <c r="BB31" s="24">
        <v>0</v>
      </c>
      <c r="BC31" s="24">
        <f>'FS Jimbaran'!AI41</f>
        <v>925.9</v>
      </c>
      <c r="BD31" s="24">
        <v>0</v>
      </c>
      <c r="BE31" s="24">
        <v>0</v>
      </c>
      <c r="BF31" s="24">
        <v>0</v>
      </c>
      <c r="BG31" s="24">
        <v>0</v>
      </c>
      <c r="BH31" s="24">
        <v>0</v>
      </c>
      <c r="BI31" s="24">
        <v>0</v>
      </c>
      <c r="BJ31" s="24">
        <v>0</v>
      </c>
      <c r="BK31" s="24">
        <v>0</v>
      </c>
      <c r="BL31" s="24">
        <v>0</v>
      </c>
      <c r="BM31" s="24">
        <v>0</v>
      </c>
      <c r="BN31" s="24">
        <v>0</v>
      </c>
      <c r="BO31" s="27">
        <v>0</v>
      </c>
      <c r="BP31" s="24">
        <v>0</v>
      </c>
    </row>
    <row r="32" spans="1:68">
      <c r="E32" s="10">
        <f>SUM(E2:E31)</f>
        <v>119.40000000000002</v>
      </c>
      <c r="F32" s="10">
        <v>0</v>
      </c>
      <c r="G32" s="24">
        <f>SUM(G2:G31)</f>
        <v>184.1</v>
      </c>
      <c r="H32" s="10">
        <v>0</v>
      </c>
      <c r="I32" s="10">
        <v>433.40000000000003</v>
      </c>
      <c r="J32" s="10">
        <v>0</v>
      </c>
      <c r="K32" s="10">
        <v>412.99999999999994</v>
      </c>
      <c r="L32" s="10">
        <v>0</v>
      </c>
      <c r="M32" s="10">
        <v>0</v>
      </c>
      <c r="N32" s="10">
        <v>0</v>
      </c>
      <c r="O32" s="10">
        <v>157.29999999999998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14950</v>
      </c>
      <c r="X32" s="10">
        <v>11555278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24">
        <v>0</v>
      </c>
      <c r="AX32" s="10">
        <v>0</v>
      </c>
      <c r="AY32" s="24">
        <v>0</v>
      </c>
      <c r="AZ32" s="10">
        <v>0</v>
      </c>
      <c r="BA32" s="10">
        <v>0</v>
      </c>
      <c r="BB32" s="10">
        <v>0</v>
      </c>
      <c r="BC32" s="10">
        <f>SUM(BC2:BC31)</f>
        <v>18392.599999999999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</row>
    <row r="33" spans="5:68"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</row>
    <row r="34" spans="5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5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5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5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spans="5:6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5:68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5:68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spans="5:68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5:68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5:68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5:68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  <row r="45" spans="5:68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spans="5:68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spans="5:68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spans="5:68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</row>
    <row r="49" spans="5:68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</row>
  </sheetData>
  <pageMargins left="0.7" right="0.7" top="0.75" bottom="0.75" header="0.3" footer="0.3"/>
  <pageSetup paperSize="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P45"/>
  <sheetViews>
    <sheetView zoomScale="85" zoomScaleNormal="85" workbookViewId="0">
      <pane xSplit="4" ySplit="10" topLeftCell="AE11" activePane="bottomRight" state="frozen"/>
      <selection pane="bottomRight" activeCell="K32" sqref="K3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9.7109375" customWidth="1"/>
    <col min="5" max="5" width="9.5703125" style="12" customWidth="1"/>
    <col min="6" max="6" width="9.42578125" style="12" customWidth="1"/>
    <col min="7" max="7" width="10" style="12" customWidth="1"/>
    <col min="8" max="35" width="14.28515625" style="12" customWidth="1"/>
    <col min="36" max="36" width="15.28515625" style="12" customWidth="1"/>
    <col min="37" max="68" width="14.28515625" style="12" customWidth="1"/>
  </cols>
  <sheetData>
    <row r="2" spans="1:68"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2"/>
      <c r="BE2" s="71"/>
      <c r="BF2" s="71"/>
      <c r="BG2" s="71"/>
      <c r="BH2" s="71"/>
    </row>
    <row r="3" spans="1:68"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</row>
    <row r="4" spans="1:68"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</row>
    <row r="6" spans="1:68" s="4" customFormat="1" ht="19.5" thickBot="1">
      <c r="B6" s="4" t="s">
        <v>69</v>
      </c>
      <c r="C6" s="31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</row>
    <row r="7" spans="1:68" s="3" customFormat="1" ht="16.5" thickBot="1">
      <c r="A7" s="29"/>
      <c r="B7" s="80" t="s">
        <v>70</v>
      </c>
      <c r="C7" s="81"/>
      <c r="D7" s="8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</row>
    <row r="8" spans="1:68" s="5" customFormat="1" ht="15.75" customHeight="1">
      <c r="A8" s="35"/>
      <c r="B8" s="82" t="s">
        <v>71</v>
      </c>
      <c r="C8" s="85" t="s">
        <v>72</v>
      </c>
      <c r="D8" s="88" t="s">
        <v>73</v>
      </c>
      <c r="E8" s="78" t="s">
        <v>74</v>
      </c>
      <c r="F8" s="79"/>
      <c r="G8" s="79"/>
      <c r="H8" s="79"/>
      <c r="I8" s="79"/>
      <c r="J8" s="79"/>
      <c r="K8" s="94" t="s">
        <v>75</v>
      </c>
      <c r="L8" s="94"/>
      <c r="M8" s="95" t="s">
        <v>76</v>
      </c>
      <c r="N8" s="95"/>
      <c r="O8" s="95"/>
      <c r="P8" s="95"/>
      <c r="Q8" s="95"/>
      <c r="R8" s="95"/>
      <c r="S8" s="95"/>
      <c r="T8" s="95"/>
      <c r="U8" s="90" t="s">
        <v>77</v>
      </c>
      <c r="V8" s="90"/>
      <c r="W8" s="90"/>
      <c r="X8" s="90"/>
      <c r="Y8" s="91" t="s">
        <v>78</v>
      </c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2" t="s">
        <v>79</v>
      </c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3" t="s">
        <v>80</v>
      </c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</row>
    <row r="9" spans="1:68" s="11" customFormat="1" ht="15" customHeight="1">
      <c r="A9" s="5"/>
      <c r="B9" s="83"/>
      <c r="C9" s="86"/>
      <c r="D9" s="89"/>
      <c r="E9" s="78"/>
      <c r="F9" s="79"/>
      <c r="G9" s="79"/>
      <c r="H9" s="79"/>
      <c r="I9" s="79"/>
      <c r="J9" s="79"/>
      <c r="K9" s="94"/>
      <c r="L9" s="94"/>
      <c r="M9" s="95"/>
      <c r="N9" s="95"/>
      <c r="O9" s="95"/>
      <c r="P9" s="95"/>
      <c r="Q9" s="95"/>
      <c r="R9" s="95"/>
      <c r="S9" s="95"/>
      <c r="T9" s="95"/>
      <c r="U9" s="90"/>
      <c r="V9" s="90"/>
      <c r="W9" s="90"/>
      <c r="X9" s="90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</row>
    <row r="10" spans="1:68" s="11" customFormat="1" ht="61.5" customHeight="1" thickBot="1">
      <c r="A10" s="5"/>
      <c r="B10" s="84"/>
      <c r="C10" s="87"/>
      <c r="D10" s="89"/>
      <c r="E10" s="39" t="s">
        <v>47</v>
      </c>
      <c r="F10" s="39" t="s">
        <v>48</v>
      </c>
      <c r="G10" s="39" t="s">
        <v>5</v>
      </c>
      <c r="H10" s="39" t="s">
        <v>6</v>
      </c>
      <c r="I10" s="39" t="s">
        <v>7</v>
      </c>
      <c r="J10" s="39" t="s">
        <v>8</v>
      </c>
      <c r="K10" s="39" t="s">
        <v>9</v>
      </c>
      <c r="L10" s="39" t="s">
        <v>10</v>
      </c>
      <c r="M10" s="24" t="s">
        <v>3</v>
      </c>
      <c r="N10" s="24" t="s">
        <v>4</v>
      </c>
      <c r="O10" s="24" t="s">
        <v>49</v>
      </c>
      <c r="P10" s="24" t="s">
        <v>50</v>
      </c>
      <c r="Q10" s="24" t="s">
        <v>65</v>
      </c>
      <c r="R10" s="24" t="s">
        <v>66</v>
      </c>
      <c r="S10" s="24" t="s">
        <v>11</v>
      </c>
      <c r="T10" s="24" t="s">
        <v>12</v>
      </c>
      <c r="U10" s="24" t="s">
        <v>51</v>
      </c>
      <c r="V10" s="24" t="s">
        <v>52</v>
      </c>
      <c r="W10" s="24" t="s">
        <v>13</v>
      </c>
      <c r="X10" s="24" t="s">
        <v>14</v>
      </c>
      <c r="Y10" s="24" t="s">
        <v>21</v>
      </c>
      <c r="Z10" s="24" t="s">
        <v>22</v>
      </c>
      <c r="AA10" s="24" t="s">
        <v>23</v>
      </c>
      <c r="AB10" s="24" t="s">
        <v>24</v>
      </c>
      <c r="AC10" s="24" t="s">
        <v>25</v>
      </c>
      <c r="AD10" s="24" t="s">
        <v>26</v>
      </c>
      <c r="AE10" s="24" t="s">
        <v>27</v>
      </c>
      <c r="AF10" s="24" t="s">
        <v>28</v>
      </c>
      <c r="AG10" s="24" t="s">
        <v>29</v>
      </c>
      <c r="AH10" s="24" t="s">
        <v>30</v>
      </c>
      <c r="AI10" s="24" t="s">
        <v>53</v>
      </c>
      <c r="AJ10" s="24" t="s">
        <v>54</v>
      </c>
      <c r="AK10" s="24" t="s">
        <v>55</v>
      </c>
      <c r="AL10" s="24" t="s">
        <v>56</v>
      </c>
      <c r="AM10" s="24" t="s">
        <v>57</v>
      </c>
      <c r="AN10" s="24" t="s">
        <v>58</v>
      </c>
      <c r="AO10" s="24" t="s">
        <v>59</v>
      </c>
      <c r="AP10" s="24" t="s">
        <v>60</v>
      </c>
      <c r="AQ10" s="24" t="s">
        <v>61</v>
      </c>
      <c r="AR10" s="24" t="s">
        <v>62</v>
      </c>
      <c r="AS10" s="24" t="s">
        <v>63</v>
      </c>
      <c r="AT10" s="24" t="s">
        <v>64</v>
      </c>
      <c r="AU10" s="24" t="s">
        <v>31</v>
      </c>
      <c r="AV10" s="24" t="s">
        <v>32</v>
      </c>
      <c r="AW10" s="24" t="s">
        <v>33</v>
      </c>
      <c r="AX10" s="24" t="s">
        <v>34</v>
      </c>
      <c r="AY10" s="24" t="s">
        <v>35</v>
      </c>
      <c r="AZ10" s="24" t="s">
        <v>36</v>
      </c>
      <c r="BA10" s="24" t="s">
        <v>37</v>
      </c>
      <c r="BB10" s="24" t="s">
        <v>38</v>
      </c>
      <c r="BC10" s="24" t="s">
        <v>41</v>
      </c>
      <c r="BD10" s="24" t="s">
        <v>42</v>
      </c>
      <c r="BE10" s="24" t="s">
        <v>15</v>
      </c>
      <c r="BF10" s="24" t="s">
        <v>16</v>
      </c>
      <c r="BG10" s="24" t="s">
        <v>17</v>
      </c>
      <c r="BH10" s="24" t="s">
        <v>18</v>
      </c>
      <c r="BI10" s="24" t="s">
        <v>19</v>
      </c>
      <c r="BJ10" s="24" t="s">
        <v>20</v>
      </c>
      <c r="BK10" s="24" t="s">
        <v>39</v>
      </c>
      <c r="BL10" s="24" t="s">
        <v>40</v>
      </c>
      <c r="BM10" s="24" t="s">
        <v>43</v>
      </c>
      <c r="BN10" s="24" t="s">
        <v>44</v>
      </c>
      <c r="BO10" s="24" t="s">
        <v>45</v>
      </c>
      <c r="BP10" s="24" t="s">
        <v>46</v>
      </c>
    </row>
    <row r="11" spans="1:68">
      <c r="A11" s="5"/>
      <c r="B11" s="32"/>
      <c r="C11" s="33"/>
      <c r="D11" s="34"/>
      <c r="E11"/>
      <c r="F11"/>
      <c r="G11"/>
      <c r="H11"/>
      <c r="I11"/>
      <c r="J11"/>
      <c r="K11"/>
      <c r="L11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3"/>
      <c r="AE11" s="43"/>
      <c r="AF11" s="43"/>
      <c r="AG11" s="43"/>
      <c r="AH11" s="43"/>
      <c r="AI11" s="48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</row>
    <row r="12" spans="1:68">
      <c r="A12" s="30"/>
      <c r="B12" s="53">
        <v>1</v>
      </c>
      <c r="C12" s="54">
        <v>134</v>
      </c>
      <c r="D12" s="59">
        <v>526</v>
      </c>
      <c r="E12" s="58">
        <v>3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58">
        <v>15</v>
      </c>
      <c r="L12" s="58">
        <v>0</v>
      </c>
      <c r="M12" s="58">
        <v>0</v>
      </c>
      <c r="N12" s="58">
        <v>0</v>
      </c>
      <c r="O12" s="58">
        <v>3.5</v>
      </c>
      <c r="P12" s="58">
        <v>0</v>
      </c>
      <c r="Q12" s="58">
        <v>0</v>
      </c>
      <c r="R12" s="58">
        <v>0</v>
      </c>
      <c r="S12" s="63">
        <v>0</v>
      </c>
      <c r="T12" s="58">
        <v>0</v>
      </c>
      <c r="U12" s="58">
        <v>2.2999999999999998</v>
      </c>
      <c r="V12" s="58">
        <v>0</v>
      </c>
      <c r="W12" s="58">
        <v>0</v>
      </c>
      <c r="X12" s="58">
        <v>0</v>
      </c>
      <c r="Y12" s="69">
        <v>550</v>
      </c>
      <c r="Z12" s="58">
        <v>11555278</v>
      </c>
      <c r="AA12" s="69">
        <v>9.1999999999999993</v>
      </c>
      <c r="AB12" s="58">
        <v>0</v>
      </c>
      <c r="AC12" s="64">
        <v>0</v>
      </c>
      <c r="AD12" s="62">
        <v>0</v>
      </c>
      <c r="AE12" s="43">
        <v>0</v>
      </c>
      <c r="AF12" s="43">
        <v>0</v>
      </c>
      <c r="AG12" s="43">
        <v>0</v>
      </c>
      <c r="AH12" s="75">
        <v>0</v>
      </c>
      <c r="AI12" s="73">
        <v>535.79999999999995</v>
      </c>
      <c r="AJ12" s="62">
        <v>0</v>
      </c>
      <c r="AK12" s="42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3">
        <v>0</v>
      </c>
      <c r="AU12" s="43">
        <v>0</v>
      </c>
      <c r="AV12" s="43">
        <v>0</v>
      </c>
      <c r="AW12" s="43">
        <v>0</v>
      </c>
      <c r="AX12" s="43">
        <v>0</v>
      </c>
      <c r="AY12" s="43">
        <v>0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0</v>
      </c>
      <c r="BF12" s="43">
        <v>0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3">
        <v>0</v>
      </c>
      <c r="BM12" s="43">
        <v>0</v>
      </c>
      <c r="BN12" s="43">
        <v>0</v>
      </c>
      <c r="BO12" s="43">
        <v>0</v>
      </c>
      <c r="BP12" s="43">
        <v>0</v>
      </c>
    </row>
    <row r="13" spans="1:68">
      <c r="A13" s="30"/>
      <c r="B13" s="53">
        <v>2</v>
      </c>
      <c r="C13" s="55">
        <v>127</v>
      </c>
      <c r="D13" s="60">
        <v>761</v>
      </c>
      <c r="E13" s="58">
        <v>5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12</v>
      </c>
      <c r="L13" s="58">
        <v>0</v>
      </c>
      <c r="M13" s="58">
        <v>0</v>
      </c>
      <c r="N13" s="58">
        <v>0</v>
      </c>
      <c r="O13" s="58">
        <v>3.6</v>
      </c>
      <c r="P13" s="58">
        <v>0</v>
      </c>
      <c r="Q13" s="58">
        <v>0</v>
      </c>
      <c r="R13" s="58">
        <v>0</v>
      </c>
      <c r="S13" s="63">
        <v>0</v>
      </c>
      <c r="T13" s="58">
        <v>0</v>
      </c>
      <c r="U13" s="58">
        <v>8.6999999999999993</v>
      </c>
      <c r="V13" s="58">
        <v>0</v>
      </c>
      <c r="W13" s="58">
        <v>0</v>
      </c>
      <c r="X13" s="58">
        <v>0</v>
      </c>
      <c r="Y13" s="69">
        <v>545</v>
      </c>
      <c r="Z13" s="58">
        <v>0</v>
      </c>
      <c r="AA13" s="69">
        <v>8</v>
      </c>
      <c r="AB13" s="58">
        <v>0</v>
      </c>
      <c r="AC13" s="64">
        <v>0</v>
      </c>
      <c r="AD13" s="62">
        <v>0</v>
      </c>
      <c r="AE13" s="43">
        <v>0</v>
      </c>
      <c r="AF13" s="43">
        <v>0</v>
      </c>
      <c r="AG13" s="43">
        <v>0</v>
      </c>
      <c r="AH13" s="75">
        <v>0</v>
      </c>
      <c r="AI13" s="73">
        <v>672.1</v>
      </c>
      <c r="AJ13" s="62">
        <v>0</v>
      </c>
      <c r="AK13" s="42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3">
        <v>0</v>
      </c>
      <c r="AU13" s="43">
        <v>0</v>
      </c>
      <c r="AV13" s="43">
        <v>0</v>
      </c>
      <c r="AW13" s="43">
        <v>0</v>
      </c>
      <c r="AX13" s="43">
        <v>0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0</v>
      </c>
      <c r="BF13" s="43">
        <v>0</v>
      </c>
      <c r="BG13" s="43">
        <v>0</v>
      </c>
      <c r="BH13" s="43">
        <v>0</v>
      </c>
      <c r="BI13" s="43">
        <v>0</v>
      </c>
      <c r="BJ13" s="43">
        <v>0</v>
      </c>
      <c r="BK13" s="43">
        <v>0</v>
      </c>
      <c r="BL13" s="43">
        <v>0</v>
      </c>
      <c r="BM13" s="43">
        <v>0</v>
      </c>
      <c r="BN13" s="43">
        <v>0</v>
      </c>
      <c r="BO13" s="43">
        <v>0</v>
      </c>
      <c r="BP13" s="43">
        <v>0</v>
      </c>
    </row>
    <row r="14" spans="1:68">
      <c r="A14" s="30"/>
      <c r="B14" s="53">
        <v>3</v>
      </c>
      <c r="C14" s="55">
        <v>42</v>
      </c>
      <c r="D14" s="60">
        <v>814</v>
      </c>
      <c r="E14" s="58">
        <v>6.8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23.2</v>
      </c>
      <c r="L14" s="58">
        <v>0</v>
      </c>
      <c r="M14" s="58">
        <v>0</v>
      </c>
      <c r="N14" s="58">
        <v>0</v>
      </c>
      <c r="O14" s="58">
        <v>3.7</v>
      </c>
      <c r="P14" s="58">
        <v>0</v>
      </c>
      <c r="Q14" s="58">
        <v>0</v>
      </c>
      <c r="R14" s="58">
        <v>0</v>
      </c>
      <c r="S14" s="63">
        <v>0</v>
      </c>
      <c r="T14" s="58">
        <v>0</v>
      </c>
      <c r="U14" s="58">
        <v>7.8</v>
      </c>
      <c r="V14" s="58">
        <v>0</v>
      </c>
      <c r="W14" s="58">
        <v>0</v>
      </c>
      <c r="X14" s="58">
        <v>0</v>
      </c>
      <c r="Y14" s="69">
        <v>545</v>
      </c>
      <c r="Z14" s="58">
        <v>0</v>
      </c>
      <c r="AA14" s="69">
        <v>10.199999999999999</v>
      </c>
      <c r="AB14" s="58">
        <v>0</v>
      </c>
      <c r="AC14" s="64">
        <v>0</v>
      </c>
      <c r="AD14" s="62">
        <v>0</v>
      </c>
      <c r="AE14" s="43">
        <v>0</v>
      </c>
      <c r="AF14" s="43">
        <v>0</v>
      </c>
      <c r="AG14" s="43">
        <v>0</v>
      </c>
      <c r="AH14" s="75">
        <v>0</v>
      </c>
      <c r="AI14" s="73">
        <v>413.6</v>
      </c>
      <c r="AJ14" s="62">
        <v>0</v>
      </c>
      <c r="AK14" s="42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</row>
    <row r="15" spans="1:68">
      <c r="A15" s="30"/>
      <c r="B15" s="53">
        <v>4</v>
      </c>
      <c r="C15" s="55">
        <v>34</v>
      </c>
      <c r="D15" s="60">
        <v>353</v>
      </c>
      <c r="E15" s="58">
        <v>7.9</v>
      </c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8">
        <v>25.6</v>
      </c>
      <c r="L15" s="58">
        <v>0</v>
      </c>
      <c r="M15" s="58">
        <v>0</v>
      </c>
      <c r="N15" s="58">
        <v>0</v>
      </c>
      <c r="O15" s="58">
        <v>3.6</v>
      </c>
      <c r="P15" s="58">
        <v>0</v>
      </c>
      <c r="Q15" s="58">
        <v>0</v>
      </c>
      <c r="R15" s="58">
        <v>0</v>
      </c>
      <c r="S15" s="63">
        <v>0</v>
      </c>
      <c r="T15" s="58">
        <v>0</v>
      </c>
      <c r="U15" s="58">
        <v>5.3</v>
      </c>
      <c r="V15" s="58">
        <v>0</v>
      </c>
      <c r="W15" s="58">
        <v>0</v>
      </c>
      <c r="X15" s="58">
        <v>0</v>
      </c>
      <c r="Y15" s="69">
        <v>590</v>
      </c>
      <c r="Z15" s="58">
        <v>0</v>
      </c>
      <c r="AA15" s="69">
        <v>7.5</v>
      </c>
      <c r="AB15" s="58">
        <v>0</v>
      </c>
      <c r="AC15" s="64">
        <v>0</v>
      </c>
      <c r="AD15" s="62">
        <v>0</v>
      </c>
      <c r="AE15" s="43">
        <v>0</v>
      </c>
      <c r="AF15" s="43">
        <v>0</v>
      </c>
      <c r="AG15" s="43">
        <v>0</v>
      </c>
      <c r="AH15" s="75">
        <v>0</v>
      </c>
      <c r="AI15" s="73">
        <v>343.1</v>
      </c>
      <c r="AJ15" s="62">
        <v>0</v>
      </c>
      <c r="AK15" s="42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</row>
    <row r="16" spans="1:68">
      <c r="A16" s="30"/>
      <c r="B16" s="53">
        <v>5</v>
      </c>
      <c r="C16" s="55">
        <v>37</v>
      </c>
      <c r="D16" s="60">
        <v>265</v>
      </c>
      <c r="E16" s="58">
        <v>6.5</v>
      </c>
      <c r="F16" s="58">
        <v>0</v>
      </c>
      <c r="G16" s="58">
        <v>0</v>
      </c>
      <c r="H16" s="58">
        <v>0</v>
      </c>
      <c r="I16" s="58">
        <v>0</v>
      </c>
      <c r="J16" s="58">
        <v>0</v>
      </c>
      <c r="K16" s="58">
        <v>12.4</v>
      </c>
      <c r="L16" s="58">
        <v>0</v>
      </c>
      <c r="M16" s="58">
        <v>0</v>
      </c>
      <c r="N16" s="58">
        <v>0</v>
      </c>
      <c r="O16" s="58">
        <v>3.9</v>
      </c>
      <c r="P16" s="58">
        <v>0</v>
      </c>
      <c r="Q16" s="58">
        <v>0</v>
      </c>
      <c r="R16" s="58">
        <v>0</v>
      </c>
      <c r="S16" s="63">
        <v>0</v>
      </c>
      <c r="T16" s="58">
        <v>0</v>
      </c>
      <c r="U16" s="58">
        <v>6.9</v>
      </c>
      <c r="V16" s="58">
        <v>0</v>
      </c>
      <c r="W16" s="58">
        <v>0</v>
      </c>
      <c r="X16" s="58">
        <v>0</v>
      </c>
      <c r="Y16" s="69">
        <v>535</v>
      </c>
      <c r="Z16" s="58">
        <v>0</v>
      </c>
      <c r="AA16" s="69">
        <v>11.3</v>
      </c>
      <c r="AB16" s="58">
        <v>0</v>
      </c>
      <c r="AC16" s="64">
        <v>0</v>
      </c>
      <c r="AD16" s="62">
        <v>0</v>
      </c>
      <c r="AE16" s="43">
        <v>0</v>
      </c>
      <c r="AF16" s="43">
        <v>0</v>
      </c>
      <c r="AG16" s="43">
        <v>0</v>
      </c>
      <c r="AH16" s="75">
        <v>0</v>
      </c>
      <c r="AI16" s="73">
        <v>460</v>
      </c>
      <c r="AJ16" s="62">
        <v>0</v>
      </c>
      <c r="AK16" s="42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</row>
    <row r="17" spans="1:68">
      <c r="A17" s="30"/>
      <c r="B17" s="53">
        <v>6</v>
      </c>
      <c r="C17" s="55">
        <v>51</v>
      </c>
      <c r="D17" s="60">
        <v>293</v>
      </c>
      <c r="E17" s="58">
        <v>6.9</v>
      </c>
      <c r="F17" s="58">
        <v>0</v>
      </c>
      <c r="G17" s="58">
        <v>0</v>
      </c>
      <c r="H17" s="58">
        <v>0</v>
      </c>
      <c r="I17" s="58">
        <v>0</v>
      </c>
      <c r="J17" s="58">
        <v>0</v>
      </c>
      <c r="K17" s="58">
        <v>10.8</v>
      </c>
      <c r="L17" s="58">
        <v>0</v>
      </c>
      <c r="M17" s="58">
        <v>0</v>
      </c>
      <c r="N17" s="58">
        <v>0</v>
      </c>
      <c r="O17" s="58">
        <v>3.8</v>
      </c>
      <c r="P17" s="58">
        <v>0</v>
      </c>
      <c r="Q17" s="58">
        <v>0</v>
      </c>
      <c r="R17" s="58">
        <v>0</v>
      </c>
      <c r="S17" s="63">
        <v>0</v>
      </c>
      <c r="T17" s="58">
        <v>0</v>
      </c>
      <c r="U17" s="58">
        <v>4.8</v>
      </c>
      <c r="V17" s="58">
        <v>0</v>
      </c>
      <c r="W17" s="58">
        <v>0</v>
      </c>
      <c r="X17" s="58">
        <v>0</v>
      </c>
      <c r="Y17" s="70">
        <v>560</v>
      </c>
      <c r="Z17" s="58">
        <v>0</v>
      </c>
      <c r="AA17" s="69">
        <v>13.5</v>
      </c>
      <c r="AB17" s="58">
        <v>0</v>
      </c>
      <c r="AC17" s="64">
        <v>0</v>
      </c>
      <c r="AD17" s="62">
        <v>0</v>
      </c>
      <c r="AE17" s="43">
        <v>0</v>
      </c>
      <c r="AF17" s="43">
        <v>0</v>
      </c>
      <c r="AG17" s="43">
        <v>0</v>
      </c>
      <c r="AH17" s="75">
        <v>0</v>
      </c>
      <c r="AI17" s="73">
        <v>470</v>
      </c>
      <c r="AJ17" s="62">
        <v>0</v>
      </c>
      <c r="AK17" s="42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</row>
    <row r="18" spans="1:68">
      <c r="A18" s="30"/>
      <c r="B18" s="53">
        <v>7</v>
      </c>
      <c r="C18" s="55">
        <v>67</v>
      </c>
      <c r="D18" s="60">
        <v>387</v>
      </c>
      <c r="E18" s="58">
        <v>9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15.6</v>
      </c>
      <c r="L18" s="58">
        <v>0</v>
      </c>
      <c r="M18" s="58">
        <v>0</v>
      </c>
      <c r="N18" s="58">
        <v>0</v>
      </c>
      <c r="O18" s="58">
        <v>4.0999999999999996</v>
      </c>
      <c r="P18" s="58">
        <v>0</v>
      </c>
      <c r="Q18" s="58">
        <v>0</v>
      </c>
      <c r="R18" s="58">
        <v>0</v>
      </c>
      <c r="S18" s="63">
        <v>0</v>
      </c>
      <c r="T18" s="58">
        <v>0</v>
      </c>
      <c r="U18" s="58">
        <v>5.7</v>
      </c>
      <c r="V18" s="58">
        <v>0</v>
      </c>
      <c r="W18" s="58">
        <v>0</v>
      </c>
      <c r="X18" s="58">
        <v>0</v>
      </c>
      <c r="Y18" s="70">
        <v>550</v>
      </c>
      <c r="Z18" s="58">
        <v>0</v>
      </c>
      <c r="AA18" s="69">
        <v>10.1</v>
      </c>
      <c r="AB18" s="58">
        <v>0</v>
      </c>
      <c r="AC18" s="64">
        <v>0</v>
      </c>
      <c r="AD18" s="62">
        <v>0</v>
      </c>
      <c r="AE18" s="43">
        <v>0</v>
      </c>
      <c r="AF18" s="43">
        <v>0</v>
      </c>
      <c r="AG18" s="43">
        <v>0</v>
      </c>
      <c r="AH18" s="75">
        <v>0</v>
      </c>
      <c r="AI18" s="73">
        <v>357.2</v>
      </c>
      <c r="AJ18" s="62">
        <v>0</v>
      </c>
      <c r="AK18" s="42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3">
        <v>0</v>
      </c>
      <c r="BP18" s="43">
        <v>0</v>
      </c>
    </row>
    <row r="19" spans="1:68">
      <c r="A19" s="30"/>
      <c r="B19" s="53">
        <v>8</v>
      </c>
      <c r="C19" s="55">
        <v>69</v>
      </c>
      <c r="D19" s="60">
        <v>420</v>
      </c>
      <c r="E19" s="58">
        <v>3.1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13.2</v>
      </c>
      <c r="L19" s="58">
        <v>0</v>
      </c>
      <c r="M19" s="58">
        <v>0</v>
      </c>
      <c r="N19" s="58">
        <v>0</v>
      </c>
      <c r="O19" s="58">
        <v>2.2000000000000002</v>
      </c>
      <c r="P19" s="58">
        <v>0</v>
      </c>
      <c r="Q19" s="58">
        <v>0</v>
      </c>
      <c r="R19" s="58">
        <v>0</v>
      </c>
      <c r="S19" s="63">
        <v>0</v>
      </c>
      <c r="T19" s="58">
        <v>0</v>
      </c>
      <c r="U19" s="58">
        <v>6.9</v>
      </c>
      <c r="V19" s="58">
        <v>0</v>
      </c>
      <c r="W19" s="58">
        <v>0</v>
      </c>
      <c r="X19" s="58">
        <v>0</v>
      </c>
      <c r="Y19" s="70">
        <v>590</v>
      </c>
      <c r="Z19" s="58">
        <v>0</v>
      </c>
      <c r="AA19" s="69">
        <v>12.4</v>
      </c>
      <c r="AB19" s="58">
        <v>0</v>
      </c>
      <c r="AC19" s="64">
        <v>0</v>
      </c>
      <c r="AD19" s="62">
        <v>0</v>
      </c>
      <c r="AE19" s="43">
        <v>0</v>
      </c>
      <c r="AF19" s="43">
        <v>0</v>
      </c>
      <c r="AG19" s="43">
        <v>0</v>
      </c>
      <c r="AH19" s="75">
        <v>0</v>
      </c>
      <c r="AI19" s="73">
        <v>376</v>
      </c>
      <c r="AJ19" s="62">
        <v>0</v>
      </c>
      <c r="AK19" s="42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0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</row>
    <row r="20" spans="1:68">
      <c r="A20" s="30"/>
      <c r="B20" s="53">
        <v>9</v>
      </c>
      <c r="C20" s="55">
        <v>63</v>
      </c>
      <c r="D20" s="60">
        <v>405</v>
      </c>
      <c r="E20" s="58">
        <v>5.2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14.6</v>
      </c>
      <c r="L20" s="58">
        <v>0</v>
      </c>
      <c r="M20" s="58">
        <v>0</v>
      </c>
      <c r="N20" s="58">
        <v>0</v>
      </c>
      <c r="O20" s="58">
        <v>3.9</v>
      </c>
      <c r="P20" s="58">
        <v>0</v>
      </c>
      <c r="Q20" s="58">
        <v>0</v>
      </c>
      <c r="R20" s="58">
        <v>0</v>
      </c>
      <c r="S20" s="63">
        <v>0</v>
      </c>
      <c r="T20" s="58">
        <v>0</v>
      </c>
      <c r="U20" s="58">
        <v>7.8</v>
      </c>
      <c r="V20" s="58">
        <v>0</v>
      </c>
      <c r="W20" s="58">
        <v>0</v>
      </c>
      <c r="X20" s="58">
        <v>0</v>
      </c>
      <c r="Y20" s="70">
        <v>530</v>
      </c>
      <c r="Z20" s="58">
        <v>0</v>
      </c>
      <c r="AA20" s="69">
        <v>14.7</v>
      </c>
      <c r="AB20" s="58">
        <v>0</v>
      </c>
      <c r="AC20" s="64">
        <v>0</v>
      </c>
      <c r="AD20" s="62">
        <v>0</v>
      </c>
      <c r="AE20" s="43">
        <v>0</v>
      </c>
      <c r="AF20" s="43">
        <v>0</v>
      </c>
      <c r="AG20" s="43">
        <v>0</v>
      </c>
      <c r="AH20" s="75">
        <v>0</v>
      </c>
      <c r="AI20" s="73">
        <v>552</v>
      </c>
      <c r="AJ20" s="62">
        <v>0</v>
      </c>
      <c r="AK20" s="42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</row>
    <row r="21" spans="1:68">
      <c r="A21" s="30"/>
      <c r="B21" s="53">
        <v>10</v>
      </c>
      <c r="C21" s="55">
        <v>54</v>
      </c>
      <c r="D21" s="60">
        <v>385</v>
      </c>
      <c r="E21" s="58">
        <v>5.6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14.7</v>
      </c>
      <c r="L21" s="58">
        <v>0</v>
      </c>
      <c r="M21" s="58">
        <v>0</v>
      </c>
      <c r="N21" s="58">
        <v>0</v>
      </c>
      <c r="O21" s="58">
        <v>4.0999999999999996</v>
      </c>
      <c r="P21" s="58">
        <v>0</v>
      </c>
      <c r="Q21" s="58">
        <v>0</v>
      </c>
      <c r="R21" s="58">
        <v>0</v>
      </c>
      <c r="S21" s="63">
        <v>0</v>
      </c>
      <c r="T21" s="58">
        <v>0</v>
      </c>
      <c r="U21" s="58">
        <v>8.9</v>
      </c>
      <c r="V21" s="58">
        <v>0</v>
      </c>
      <c r="W21" s="58">
        <v>0</v>
      </c>
      <c r="X21" s="58">
        <v>0</v>
      </c>
      <c r="Y21" s="70">
        <v>580</v>
      </c>
      <c r="Z21" s="58">
        <v>0</v>
      </c>
      <c r="AA21" s="69">
        <v>16.5</v>
      </c>
      <c r="AB21" s="58">
        <v>0</v>
      </c>
      <c r="AC21" s="64">
        <v>0</v>
      </c>
      <c r="AD21" s="62">
        <v>0</v>
      </c>
      <c r="AE21" s="43">
        <v>0</v>
      </c>
      <c r="AF21" s="43">
        <v>0</v>
      </c>
      <c r="AG21" s="43">
        <v>0</v>
      </c>
      <c r="AH21" s="75">
        <v>0</v>
      </c>
      <c r="AI21" s="73">
        <v>540.5</v>
      </c>
      <c r="AJ21" s="62">
        <v>0</v>
      </c>
      <c r="AK21" s="42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</row>
    <row r="22" spans="1:68">
      <c r="A22" s="30"/>
      <c r="B22" s="53">
        <v>11</v>
      </c>
      <c r="C22" s="55">
        <v>48</v>
      </c>
      <c r="D22" s="60">
        <v>382</v>
      </c>
      <c r="E22" s="58">
        <v>5.3</v>
      </c>
      <c r="F22" s="58">
        <v>0</v>
      </c>
      <c r="G22" s="58">
        <v>0</v>
      </c>
      <c r="H22" s="58">
        <v>0</v>
      </c>
      <c r="I22" s="58">
        <v>0</v>
      </c>
      <c r="J22" s="58">
        <v>0</v>
      </c>
      <c r="K22" s="58">
        <v>9.6999999999999993</v>
      </c>
      <c r="L22" s="58">
        <v>0</v>
      </c>
      <c r="M22" s="58">
        <v>0</v>
      </c>
      <c r="N22" s="58">
        <v>0</v>
      </c>
      <c r="O22" s="58">
        <v>4.2</v>
      </c>
      <c r="P22" s="58">
        <v>0</v>
      </c>
      <c r="Q22" s="58">
        <v>0</v>
      </c>
      <c r="R22" s="58">
        <v>0</v>
      </c>
      <c r="S22" s="63">
        <v>0</v>
      </c>
      <c r="T22" s="58">
        <v>0</v>
      </c>
      <c r="U22" s="58">
        <v>4.9000000000000004</v>
      </c>
      <c r="V22" s="58">
        <v>0</v>
      </c>
      <c r="W22" s="58">
        <v>0</v>
      </c>
      <c r="X22" s="58">
        <v>0</v>
      </c>
      <c r="Y22" s="70">
        <v>530</v>
      </c>
      <c r="Z22" s="58">
        <v>0</v>
      </c>
      <c r="AA22" s="69">
        <v>8.1999999999999993</v>
      </c>
      <c r="AB22" s="58">
        <v>0</v>
      </c>
      <c r="AC22" s="64">
        <v>0</v>
      </c>
      <c r="AD22" s="62">
        <v>0</v>
      </c>
      <c r="AE22" s="43">
        <v>0</v>
      </c>
      <c r="AF22" s="43">
        <v>0</v>
      </c>
      <c r="AG22" s="43">
        <v>0</v>
      </c>
      <c r="AH22" s="75">
        <v>0</v>
      </c>
      <c r="AI22" s="73">
        <v>709.7</v>
      </c>
      <c r="AJ22" s="62">
        <v>0</v>
      </c>
      <c r="AK22" s="42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</row>
    <row r="23" spans="1:68">
      <c r="A23" s="30"/>
      <c r="B23" s="53">
        <v>12</v>
      </c>
      <c r="C23" s="55">
        <v>45</v>
      </c>
      <c r="D23" s="60">
        <v>315</v>
      </c>
      <c r="E23" s="58">
        <v>6.5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14.1</v>
      </c>
      <c r="L23" s="58">
        <v>0</v>
      </c>
      <c r="M23" s="58">
        <v>0</v>
      </c>
      <c r="N23" s="58">
        <v>0</v>
      </c>
      <c r="O23" s="58">
        <v>3.9</v>
      </c>
      <c r="P23" s="58">
        <v>0</v>
      </c>
      <c r="Q23" s="58">
        <v>0</v>
      </c>
      <c r="R23" s="58">
        <v>0</v>
      </c>
      <c r="S23" s="63">
        <v>0</v>
      </c>
      <c r="T23" s="58">
        <v>0</v>
      </c>
      <c r="U23" s="58">
        <v>5.7</v>
      </c>
      <c r="V23" s="58">
        <v>0</v>
      </c>
      <c r="W23" s="58">
        <v>0</v>
      </c>
      <c r="X23" s="58">
        <v>0</v>
      </c>
      <c r="Y23" s="69">
        <v>570</v>
      </c>
      <c r="Z23" s="58">
        <v>0</v>
      </c>
      <c r="AA23" s="69">
        <v>10.1</v>
      </c>
      <c r="AB23" s="58">
        <v>0</v>
      </c>
      <c r="AC23" s="64">
        <v>0</v>
      </c>
      <c r="AD23" s="62">
        <v>0</v>
      </c>
      <c r="AE23" s="43">
        <v>0</v>
      </c>
      <c r="AF23" s="43">
        <v>0</v>
      </c>
      <c r="AG23" s="43">
        <v>0</v>
      </c>
      <c r="AH23" s="75">
        <v>0</v>
      </c>
      <c r="AI23" s="73">
        <v>512.29999999999995</v>
      </c>
      <c r="AJ23" s="62">
        <v>0</v>
      </c>
      <c r="AK23" s="42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</row>
    <row r="24" spans="1:68">
      <c r="A24" s="30"/>
      <c r="B24" s="53">
        <v>13</v>
      </c>
      <c r="C24" s="55">
        <v>42</v>
      </c>
      <c r="D24" s="60">
        <v>299</v>
      </c>
      <c r="E24" s="58">
        <v>4.4000000000000004</v>
      </c>
      <c r="F24" s="58">
        <v>0</v>
      </c>
      <c r="G24" s="58">
        <v>0</v>
      </c>
      <c r="H24" s="58">
        <v>0</v>
      </c>
      <c r="I24" s="58">
        <v>0</v>
      </c>
      <c r="J24" s="58">
        <v>0</v>
      </c>
      <c r="K24" s="58">
        <v>12.5</v>
      </c>
      <c r="L24" s="58">
        <v>0</v>
      </c>
      <c r="M24" s="58">
        <v>0</v>
      </c>
      <c r="N24" s="58">
        <v>0</v>
      </c>
      <c r="O24" s="58">
        <v>2.5</v>
      </c>
      <c r="P24" s="58">
        <v>0</v>
      </c>
      <c r="Q24" s="58">
        <v>0</v>
      </c>
      <c r="R24" s="58">
        <v>0</v>
      </c>
      <c r="S24" s="63">
        <v>0</v>
      </c>
      <c r="T24" s="58">
        <v>0</v>
      </c>
      <c r="U24" s="58">
        <v>4.2</v>
      </c>
      <c r="V24" s="58">
        <v>0</v>
      </c>
      <c r="W24" s="58">
        <v>0</v>
      </c>
      <c r="X24" s="58">
        <v>0</v>
      </c>
      <c r="Y24" s="69">
        <v>560</v>
      </c>
      <c r="Z24" s="58">
        <v>0</v>
      </c>
      <c r="AA24" s="69">
        <v>9.5</v>
      </c>
      <c r="AB24" s="58">
        <v>0</v>
      </c>
      <c r="AC24" s="64">
        <v>0</v>
      </c>
      <c r="AD24" s="62">
        <v>0</v>
      </c>
      <c r="AE24" s="43">
        <v>0</v>
      </c>
      <c r="AF24" s="43">
        <v>0</v>
      </c>
      <c r="AG24" s="43">
        <v>0</v>
      </c>
      <c r="AH24" s="75">
        <v>0</v>
      </c>
      <c r="AI24" s="73">
        <v>846</v>
      </c>
      <c r="AJ24" s="62">
        <v>0</v>
      </c>
      <c r="AK24" s="42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</row>
    <row r="25" spans="1:68">
      <c r="A25" s="30"/>
      <c r="B25" s="53">
        <v>14</v>
      </c>
      <c r="C25" s="55">
        <v>54</v>
      </c>
      <c r="D25" s="60">
        <v>317</v>
      </c>
      <c r="E25" s="58">
        <v>6.3</v>
      </c>
      <c r="F25" s="58">
        <v>0</v>
      </c>
      <c r="G25" s="58">
        <v>0</v>
      </c>
      <c r="H25" s="58">
        <v>0</v>
      </c>
      <c r="I25" s="58">
        <v>0</v>
      </c>
      <c r="J25" s="58">
        <v>0</v>
      </c>
      <c r="K25" s="58">
        <v>13.9</v>
      </c>
      <c r="L25" s="58">
        <v>0</v>
      </c>
      <c r="M25" s="58">
        <v>0</v>
      </c>
      <c r="N25" s="58">
        <v>0</v>
      </c>
      <c r="O25" s="58">
        <v>5.8</v>
      </c>
      <c r="P25" s="58">
        <v>0</v>
      </c>
      <c r="Q25" s="58">
        <v>0</v>
      </c>
      <c r="R25" s="58">
        <v>0</v>
      </c>
      <c r="S25" s="63">
        <v>0</v>
      </c>
      <c r="T25" s="58">
        <v>0</v>
      </c>
      <c r="U25" s="58">
        <v>7.5</v>
      </c>
      <c r="V25" s="58">
        <v>0</v>
      </c>
      <c r="W25" s="58">
        <v>0</v>
      </c>
      <c r="X25" s="58">
        <v>0</v>
      </c>
      <c r="Y25" s="69">
        <v>565</v>
      </c>
      <c r="Z25" s="58">
        <v>0</v>
      </c>
      <c r="AA25" s="69">
        <v>11.3</v>
      </c>
      <c r="AB25" s="58">
        <v>0</v>
      </c>
      <c r="AC25" s="64">
        <v>0</v>
      </c>
      <c r="AD25" s="62">
        <v>0</v>
      </c>
      <c r="AE25" s="43">
        <v>0</v>
      </c>
      <c r="AF25" s="43">
        <v>0</v>
      </c>
      <c r="AG25" s="43">
        <v>0</v>
      </c>
      <c r="AH25" s="75">
        <v>0</v>
      </c>
      <c r="AI25" s="73">
        <v>517</v>
      </c>
      <c r="AJ25" s="62">
        <v>0</v>
      </c>
      <c r="AK25" s="42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</row>
    <row r="26" spans="1:68">
      <c r="A26" s="30"/>
      <c r="B26" s="53">
        <v>15</v>
      </c>
      <c r="C26" s="55">
        <v>55</v>
      </c>
      <c r="D26" s="60">
        <v>365</v>
      </c>
      <c r="E26" s="58">
        <v>6.3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15.9</v>
      </c>
      <c r="L26" s="58">
        <v>0</v>
      </c>
      <c r="M26" s="58">
        <v>0</v>
      </c>
      <c r="N26" s="58">
        <v>0</v>
      </c>
      <c r="O26" s="58">
        <v>4.3</v>
      </c>
      <c r="P26" s="58">
        <v>0</v>
      </c>
      <c r="Q26" s="58">
        <v>0</v>
      </c>
      <c r="R26" s="58">
        <v>0</v>
      </c>
      <c r="S26" s="63">
        <v>0</v>
      </c>
      <c r="T26" s="58">
        <v>0</v>
      </c>
      <c r="U26" s="58">
        <v>6.4</v>
      </c>
      <c r="V26" s="58">
        <v>0</v>
      </c>
      <c r="W26" s="58">
        <v>0</v>
      </c>
      <c r="X26" s="58">
        <v>0</v>
      </c>
      <c r="Y26" s="69">
        <v>570</v>
      </c>
      <c r="Z26" s="58">
        <v>0</v>
      </c>
      <c r="AA26" s="69">
        <v>8.5</v>
      </c>
      <c r="AB26" s="58">
        <v>0</v>
      </c>
      <c r="AC26" s="64">
        <v>0</v>
      </c>
      <c r="AD26" s="62">
        <v>0</v>
      </c>
      <c r="AE26" s="43">
        <v>0</v>
      </c>
      <c r="AF26" s="43">
        <v>0</v>
      </c>
      <c r="AG26" s="43">
        <v>0</v>
      </c>
      <c r="AH26" s="75">
        <v>0</v>
      </c>
      <c r="AI26" s="73">
        <v>761.4</v>
      </c>
      <c r="AJ26" s="62">
        <v>0</v>
      </c>
      <c r="AK26" s="42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</row>
    <row r="27" spans="1:68">
      <c r="A27" s="30"/>
      <c r="B27" s="53">
        <v>16</v>
      </c>
      <c r="C27" s="55">
        <v>60</v>
      </c>
      <c r="D27" s="60">
        <v>488</v>
      </c>
      <c r="E27" s="58">
        <v>4.0999999999999996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17.100000000000001</v>
      </c>
      <c r="L27" s="58">
        <v>0</v>
      </c>
      <c r="M27" s="58">
        <v>0</v>
      </c>
      <c r="N27" s="58">
        <v>0</v>
      </c>
      <c r="O27" s="58">
        <v>3.9</v>
      </c>
      <c r="P27" s="58">
        <v>0</v>
      </c>
      <c r="Q27" s="58">
        <v>0</v>
      </c>
      <c r="R27" s="58">
        <v>0</v>
      </c>
      <c r="S27" s="63">
        <v>0</v>
      </c>
      <c r="T27" s="58">
        <v>0</v>
      </c>
      <c r="U27" s="58">
        <v>7.7</v>
      </c>
      <c r="V27" s="58">
        <v>0</v>
      </c>
      <c r="W27" s="58">
        <v>0</v>
      </c>
      <c r="X27" s="58">
        <v>0</v>
      </c>
      <c r="Y27" s="69">
        <v>575</v>
      </c>
      <c r="Z27" s="58">
        <v>0</v>
      </c>
      <c r="AA27" s="69">
        <v>13.2</v>
      </c>
      <c r="AB27" s="58">
        <v>0</v>
      </c>
      <c r="AC27" s="64">
        <v>0</v>
      </c>
      <c r="AD27" s="62">
        <v>0</v>
      </c>
      <c r="AE27" s="43">
        <v>0</v>
      </c>
      <c r="AF27" s="43">
        <v>0</v>
      </c>
      <c r="AG27" s="43">
        <v>0</v>
      </c>
      <c r="AH27" s="75">
        <v>0</v>
      </c>
      <c r="AI27" s="73">
        <v>517</v>
      </c>
      <c r="AJ27" s="62">
        <v>0</v>
      </c>
      <c r="AK27" s="42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</row>
    <row r="28" spans="1:68">
      <c r="A28" s="30"/>
      <c r="B28" s="53">
        <v>17</v>
      </c>
      <c r="C28" s="55">
        <v>64</v>
      </c>
      <c r="D28" s="60">
        <v>444</v>
      </c>
      <c r="E28" s="58">
        <v>7.9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10.8</v>
      </c>
      <c r="L28" s="58">
        <v>0</v>
      </c>
      <c r="M28" s="58">
        <v>0</v>
      </c>
      <c r="N28" s="58">
        <v>0</v>
      </c>
      <c r="O28" s="58">
        <v>2.5</v>
      </c>
      <c r="P28" s="58">
        <v>0</v>
      </c>
      <c r="Q28" s="58">
        <v>0</v>
      </c>
      <c r="R28" s="58">
        <v>0</v>
      </c>
      <c r="S28" s="63">
        <v>0</v>
      </c>
      <c r="T28" s="58">
        <v>0</v>
      </c>
      <c r="U28" s="58">
        <v>6.8</v>
      </c>
      <c r="V28" s="58">
        <v>0</v>
      </c>
      <c r="W28" s="58">
        <v>0</v>
      </c>
      <c r="X28" s="58">
        <v>0</v>
      </c>
      <c r="Y28" s="69">
        <v>560</v>
      </c>
      <c r="Z28" s="58">
        <v>0</v>
      </c>
      <c r="AA28" s="69">
        <v>14.7</v>
      </c>
      <c r="AB28" s="58">
        <v>0</v>
      </c>
      <c r="AC28" s="64">
        <v>0</v>
      </c>
      <c r="AD28" s="62">
        <v>0</v>
      </c>
      <c r="AE28" s="43">
        <v>0</v>
      </c>
      <c r="AF28" s="43">
        <v>0</v>
      </c>
      <c r="AG28" s="43">
        <v>0</v>
      </c>
      <c r="AH28" s="75">
        <v>0</v>
      </c>
      <c r="AI28" s="73">
        <v>408.9</v>
      </c>
      <c r="AJ28" s="62">
        <v>0</v>
      </c>
      <c r="AK28" s="42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</row>
    <row r="29" spans="1:68">
      <c r="A29" s="30"/>
      <c r="B29" s="53">
        <v>18</v>
      </c>
      <c r="C29" s="55">
        <v>60</v>
      </c>
      <c r="D29" s="60">
        <v>472</v>
      </c>
      <c r="E29" s="58">
        <v>6.5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10.199999999999999</v>
      </c>
      <c r="L29" s="58">
        <v>0</v>
      </c>
      <c r="M29" s="58">
        <v>0</v>
      </c>
      <c r="N29" s="58">
        <v>0</v>
      </c>
      <c r="O29" s="58">
        <v>4.8</v>
      </c>
      <c r="P29" s="58">
        <v>0</v>
      </c>
      <c r="Q29" s="58">
        <v>0</v>
      </c>
      <c r="R29" s="58">
        <v>0</v>
      </c>
      <c r="S29" s="63">
        <v>0</v>
      </c>
      <c r="T29" s="58">
        <v>0</v>
      </c>
      <c r="U29" s="58">
        <v>4.0999999999999996</v>
      </c>
      <c r="V29" s="58">
        <v>0</v>
      </c>
      <c r="W29" s="58">
        <v>0</v>
      </c>
      <c r="X29" s="58">
        <v>0</v>
      </c>
      <c r="Y29" s="69">
        <v>580</v>
      </c>
      <c r="Z29" s="58">
        <v>0</v>
      </c>
      <c r="AA29" s="69">
        <v>15.2</v>
      </c>
      <c r="AB29" s="58">
        <v>0</v>
      </c>
      <c r="AC29" s="64">
        <v>0</v>
      </c>
      <c r="AD29" s="62">
        <v>0</v>
      </c>
      <c r="AE29" s="43">
        <v>0</v>
      </c>
      <c r="AF29" s="43">
        <v>0</v>
      </c>
      <c r="AG29" s="43">
        <v>0</v>
      </c>
      <c r="AH29" s="75">
        <v>0</v>
      </c>
      <c r="AI29" s="73">
        <v>300.8</v>
      </c>
      <c r="AJ29" s="62">
        <v>0</v>
      </c>
      <c r="AK29" s="42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</row>
    <row r="30" spans="1:68">
      <c r="A30" s="30"/>
      <c r="B30" s="53">
        <v>19</v>
      </c>
      <c r="C30" s="55">
        <v>69</v>
      </c>
      <c r="D30" s="60">
        <v>471</v>
      </c>
      <c r="E30" s="58">
        <v>5.8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14.4</v>
      </c>
      <c r="L30" s="58">
        <v>0</v>
      </c>
      <c r="M30" s="58">
        <v>0</v>
      </c>
      <c r="N30" s="58">
        <v>0</v>
      </c>
      <c r="O30" s="58">
        <v>5.7</v>
      </c>
      <c r="P30" s="58">
        <v>0</v>
      </c>
      <c r="Q30" s="58">
        <v>0</v>
      </c>
      <c r="R30" s="58">
        <v>0</v>
      </c>
      <c r="S30" s="63">
        <v>0</v>
      </c>
      <c r="T30" s="58">
        <v>0</v>
      </c>
      <c r="U30" s="58">
        <v>3.5</v>
      </c>
      <c r="V30" s="58">
        <v>0</v>
      </c>
      <c r="W30" s="58">
        <v>0</v>
      </c>
      <c r="X30" s="58">
        <v>0</v>
      </c>
      <c r="Y30" s="69">
        <v>575</v>
      </c>
      <c r="Z30" s="58">
        <v>0</v>
      </c>
      <c r="AA30" s="69">
        <v>13.2</v>
      </c>
      <c r="AB30" s="58">
        <v>0</v>
      </c>
      <c r="AC30" s="64">
        <v>0</v>
      </c>
      <c r="AD30" s="62">
        <v>0</v>
      </c>
      <c r="AE30" s="43">
        <v>0</v>
      </c>
      <c r="AF30" s="43">
        <v>0</v>
      </c>
      <c r="AG30" s="43">
        <v>0</v>
      </c>
      <c r="AH30" s="75">
        <v>0</v>
      </c>
      <c r="AI30" s="73">
        <v>488.8</v>
      </c>
      <c r="AJ30" s="62">
        <v>0</v>
      </c>
      <c r="AK30" s="42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</row>
    <row r="31" spans="1:68">
      <c r="A31" s="30"/>
      <c r="B31" s="53">
        <v>20</v>
      </c>
      <c r="C31" s="55">
        <v>64</v>
      </c>
      <c r="D31" s="60">
        <v>510</v>
      </c>
      <c r="E31" s="58">
        <v>5.2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15.6</v>
      </c>
      <c r="L31" s="58">
        <v>0</v>
      </c>
      <c r="M31" s="58">
        <v>0</v>
      </c>
      <c r="N31" s="58">
        <v>0</v>
      </c>
      <c r="O31" s="58">
        <v>3.7</v>
      </c>
      <c r="P31" s="58">
        <v>0</v>
      </c>
      <c r="Q31" s="58">
        <v>0</v>
      </c>
      <c r="R31" s="58">
        <v>0</v>
      </c>
      <c r="S31" s="63">
        <v>0</v>
      </c>
      <c r="T31" s="58">
        <v>0</v>
      </c>
      <c r="U31" s="58">
        <v>8.6</v>
      </c>
      <c r="V31" s="58">
        <v>0</v>
      </c>
      <c r="W31" s="58">
        <v>0</v>
      </c>
      <c r="X31" s="58">
        <v>0</v>
      </c>
      <c r="Y31" s="69">
        <v>600</v>
      </c>
      <c r="Z31" s="58">
        <v>0</v>
      </c>
      <c r="AA31" s="69">
        <v>10.4</v>
      </c>
      <c r="AB31" s="58">
        <v>0</v>
      </c>
      <c r="AC31" s="64">
        <v>0</v>
      </c>
      <c r="AD31" s="62">
        <v>0</v>
      </c>
      <c r="AE31" s="43">
        <v>0</v>
      </c>
      <c r="AF31" s="43">
        <v>0</v>
      </c>
      <c r="AG31" s="43">
        <v>0</v>
      </c>
      <c r="AH31" s="75">
        <v>0</v>
      </c>
      <c r="AI31" s="73">
        <v>690.9</v>
      </c>
      <c r="AJ31" s="62">
        <v>0</v>
      </c>
      <c r="AK31" s="42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0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</row>
    <row r="32" spans="1:68">
      <c r="A32" s="30"/>
      <c r="B32" s="53">
        <v>21</v>
      </c>
      <c r="C32" s="55">
        <v>68</v>
      </c>
      <c r="D32" s="60">
        <v>482</v>
      </c>
      <c r="E32" s="58">
        <v>5.9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8">
        <v>14.9</v>
      </c>
      <c r="L32" s="58">
        <v>0</v>
      </c>
      <c r="M32" s="58">
        <v>0</v>
      </c>
      <c r="N32" s="58">
        <v>0</v>
      </c>
      <c r="O32" s="58">
        <v>2.8</v>
      </c>
      <c r="P32" s="58">
        <v>0</v>
      </c>
      <c r="Q32" s="58">
        <v>0</v>
      </c>
      <c r="R32" s="58">
        <v>0</v>
      </c>
      <c r="S32" s="63">
        <v>0</v>
      </c>
      <c r="T32" s="58">
        <v>0</v>
      </c>
      <c r="U32" s="58">
        <v>1.7</v>
      </c>
      <c r="V32" s="58">
        <v>0</v>
      </c>
      <c r="W32" s="58">
        <v>0</v>
      </c>
      <c r="X32" s="58">
        <v>0</v>
      </c>
      <c r="Y32" s="69">
        <v>550</v>
      </c>
      <c r="Z32" s="58">
        <v>0</v>
      </c>
      <c r="AA32" s="69">
        <v>9.1999999999999993</v>
      </c>
      <c r="AB32" s="58">
        <v>0</v>
      </c>
      <c r="AC32" s="64">
        <v>0</v>
      </c>
      <c r="AD32" s="62">
        <v>0</v>
      </c>
      <c r="AE32" s="43">
        <v>0</v>
      </c>
      <c r="AF32" s="43">
        <v>0</v>
      </c>
      <c r="AG32" s="43">
        <v>0</v>
      </c>
      <c r="AH32" s="75">
        <v>0</v>
      </c>
      <c r="AI32" s="73">
        <v>827.2</v>
      </c>
      <c r="AJ32" s="62">
        <v>0</v>
      </c>
      <c r="AK32" s="42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</v>
      </c>
      <c r="AY32" s="43">
        <v>0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</row>
    <row r="33" spans="1:68">
      <c r="A33" s="30"/>
      <c r="B33" s="53">
        <v>22</v>
      </c>
      <c r="C33" s="55">
        <v>72</v>
      </c>
      <c r="D33" s="60">
        <v>444</v>
      </c>
      <c r="E33" s="58">
        <v>5.6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19.8</v>
      </c>
      <c r="L33" s="58">
        <v>0</v>
      </c>
      <c r="M33" s="58">
        <v>0</v>
      </c>
      <c r="N33" s="58">
        <v>0</v>
      </c>
      <c r="O33" s="58">
        <v>4.9000000000000004</v>
      </c>
      <c r="P33" s="58">
        <v>0</v>
      </c>
      <c r="Q33" s="58">
        <v>0</v>
      </c>
      <c r="R33" s="58">
        <v>0</v>
      </c>
      <c r="S33" s="63">
        <v>0</v>
      </c>
      <c r="T33" s="58">
        <v>0</v>
      </c>
      <c r="U33" s="58">
        <v>3.8</v>
      </c>
      <c r="V33" s="58">
        <v>0</v>
      </c>
      <c r="W33" s="58">
        <v>0</v>
      </c>
      <c r="X33" s="58">
        <v>0</v>
      </c>
      <c r="Y33" s="69">
        <v>555</v>
      </c>
      <c r="Z33" s="58">
        <v>0</v>
      </c>
      <c r="AA33" s="69">
        <v>6.7</v>
      </c>
      <c r="AB33" s="58">
        <v>0</v>
      </c>
      <c r="AC33" s="64">
        <v>0</v>
      </c>
      <c r="AD33" s="62">
        <v>0</v>
      </c>
      <c r="AE33" s="43">
        <v>0</v>
      </c>
      <c r="AF33" s="43">
        <v>0</v>
      </c>
      <c r="AG33" s="43">
        <v>0</v>
      </c>
      <c r="AH33" s="75">
        <v>0</v>
      </c>
      <c r="AI33" s="73">
        <v>888.3</v>
      </c>
      <c r="AJ33" s="62">
        <v>0</v>
      </c>
      <c r="AK33" s="42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0</v>
      </c>
      <c r="BM33" s="43">
        <v>0</v>
      </c>
      <c r="BN33" s="43">
        <v>0</v>
      </c>
      <c r="BO33" s="43">
        <v>0</v>
      </c>
      <c r="BP33" s="43">
        <v>0</v>
      </c>
    </row>
    <row r="34" spans="1:68">
      <c r="A34" s="30"/>
      <c r="B34" s="53">
        <v>23</v>
      </c>
      <c r="C34" s="55">
        <v>62</v>
      </c>
      <c r="D34" s="60">
        <v>567</v>
      </c>
      <c r="E34" s="58">
        <v>5.0999999999999996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12.3</v>
      </c>
      <c r="L34" s="58">
        <v>0</v>
      </c>
      <c r="M34" s="58">
        <v>0</v>
      </c>
      <c r="N34" s="58">
        <v>0</v>
      </c>
      <c r="O34" s="58">
        <v>5.7</v>
      </c>
      <c r="P34" s="58">
        <v>0</v>
      </c>
      <c r="Q34" s="58">
        <v>0</v>
      </c>
      <c r="R34" s="58">
        <v>0</v>
      </c>
      <c r="S34" s="63">
        <v>0</v>
      </c>
      <c r="T34" s="58">
        <v>0</v>
      </c>
      <c r="U34" s="58">
        <v>3.5</v>
      </c>
      <c r="V34" s="58">
        <v>0</v>
      </c>
      <c r="W34" s="58">
        <v>0</v>
      </c>
      <c r="X34" s="58">
        <v>0</v>
      </c>
      <c r="Y34" s="69">
        <v>570</v>
      </c>
      <c r="Z34" s="58">
        <v>0</v>
      </c>
      <c r="AA34" s="69">
        <v>8.1999999999999993</v>
      </c>
      <c r="AB34" s="58">
        <v>0</v>
      </c>
      <c r="AC34" s="64">
        <v>0</v>
      </c>
      <c r="AD34" s="62">
        <v>0</v>
      </c>
      <c r="AE34" s="43">
        <v>0</v>
      </c>
      <c r="AF34" s="43">
        <v>0</v>
      </c>
      <c r="AG34" s="43">
        <v>0</v>
      </c>
      <c r="AH34" s="75">
        <v>0</v>
      </c>
      <c r="AI34" s="73">
        <v>733.2</v>
      </c>
      <c r="AJ34" s="62">
        <v>0</v>
      </c>
      <c r="AK34" s="42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</row>
    <row r="35" spans="1:68">
      <c r="A35" s="30"/>
      <c r="B35" s="53">
        <v>24</v>
      </c>
      <c r="C35" s="55">
        <v>81</v>
      </c>
      <c r="D35" s="60">
        <v>476</v>
      </c>
      <c r="E35" s="58">
        <v>4.8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13.9</v>
      </c>
      <c r="L35" s="58">
        <v>0</v>
      </c>
      <c r="M35" s="58">
        <v>0</v>
      </c>
      <c r="N35" s="58">
        <v>0</v>
      </c>
      <c r="O35" s="58">
        <v>3.8</v>
      </c>
      <c r="P35" s="58">
        <v>0</v>
      </c>
      <c r="Q35" s="58">
        <v>0</v>
      </c>
      <c r="R35" s="58">
        <v>0</v>
      </c>
      <c r="S35" s="63">
        <v>0</v>
      </c>
      <c r="T35" s="58">
        <v>0</v>
      </c>
      <c r="U35" s="58">
        <v>5.9</v>
      </c>
      <c r="V35" s="58">
        <v>0</v>
      </c>
      <c r="W35" s="58">
        <v>0</v>
      </c>
      <c r="X35" s="58">
        <v>0</v>
      </c>
      <c r="Y35" s="69">
        <v>580</v>
      </c>
      <c r="Z35" s="58">
        <v>0</v>
      </c>
      <c r="AA35" s="69">
        <v>7.1</v>
      </c>
      <c r="AB35" s="58">
        <v>0</v>
      </c>
      <c r="AC35" s="64">
        <v>0</v>
      </c>
      <c r="AD35" s="62">
        <v>0</v>
      </c>
      <c r="AE35" s="43">
        <v>0</v>
      </c>
      <c r="AF35" s="43">
        <v>0</v>
      </c>
      <c r="AG35" s="43">
        <v>0</v>
      </c>
      <c r="AH35" s="75">
        <v>0</v>
      </c>
      <c r="AI35" s="73">
        <v>794.3</v>
      </c>
      <c r="AJ35" s="62">
        <v>0</v>
      </c>
      <c r="AK35" s="42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  <c r="BO35" s="43">
        <v>0</v>
      </c>
      <c r="BP35" s="43">
        <v>0</v>
      </c>
    </row>
    <row r="36" spans="1:68">
      <c r="A36" s="30"/>
      <c r="B36" s="53">
        <v>25</v>
      </c>
      <c r="C36" s="55">
        <v>66</v>
      </c>
      <c r="D36" s="60">
        <v>443</v>
      </c>
      <c r="E36" s="58">
        <v>8.1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12.7</v>
      </c>
      <c r="L36" s="58">
        <v>0</v>
      </c>
      <c r="M36" s="58">
        <v>0</v>
      </c>
      <c r="N36" s="58">
        <v>0</v>
      </c>
      <c r="O36" s="58">
        <v>2.7</v>
      </c>
      <c r="P36" s="58">
        <v>0</v>
      </c>
      <c r="Q36" s="58">
        <v>0</v>
      </c>
      <c r="R36" s="58">
        <v>0</v>
      </c>
      <c r="S36" s="63">
        <v>0</v>
      </c>
      <c r="T36" s="58">
        <v>0</v>
      </c>
      <c r="U36" s="58">
        <v>4.8</v>
      </c>
      <c r="V36" s="58">
        <v>0</v>
      </c>
      <c r="W36" s="58">
        <v>0</v>
      </c>
      <c r="X36" s="58">
        <v>0</v>
      </c>
      <c r="Y36" s="69">
        <v>600</v>
      </c>
      <c r="Z36" s="58">
        <v>0</v>
      </c>
      <c r="AA36" s="69">
        <v>11.5</v>
      </c>
      <c r="AB36" s="58">
        <v>0</v>
      </c>
      <c r="AC36" s="64">
        <v>0</v>
      </c>
      <c r="AD36" s="62">
        <v>0</v>
      </c>
      <c r="AE36" s="43">
        <v>0</v>
      </c>
      <c r="AF36" s="43">
        <v>0</v>
      </c>
      <c r="AG36" s="43">
        <v>0</v>
      </c>
      <c r="AH36" s="75">
        <v>0</v>
      </c>
      <c r="AI36" s="73">
        <v>620.4</v>
      </c>
      <c r="AJ36" s="62">
        <v>0</v>
      </c>
      <c r="AK36" s="42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</row>
    <row r="37" spans="1:68">
      <c r="A37" s="30"/>
      <c r="B37" s="53">
        <v>26</v>
      </c>
      <c r="C37" s="55">
        <v>57</v>
      </c>
      <c r="D37" s="60">
        <v>434</v>
      </c>
      <c r="E37" s="58">
        <v>5.5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16.3</v>
      </c>
      <c r="L37" s="58">
        <v>0</v>
      </c>
      <c r="M37" s="58">
        <v>0</v>
      </c>
      <c r="N37" s="58">
        <v>0</v>
      </c>
      <c r="O37" s="58">
        <v>4.7</v>
      </c>
      <c r="P37" s="58">
        <v>0</v>
      </c>
      <c r="Q37" s="58">
        <v>0</v>
      </c>
      <c r="R37" s="58">
        <v>0</v>
      </c>
      <c r="S37" s="63">
        <v>0</v>
      </c>
      <c r="T37" s="58">
        <v>0</v>
      </c>
      <c r="U37" s="58">
        <v>3.5</v>
      </c>
      <c r="V37" s="58">
        <v>0</v>
      </c>
      <c r="W37" s="58">
        <v>0</v>
      </c>
      <c r="X37" s="58">
        <v>0</v>
      </c>
      <c r="Y37" s="69">
        <v>585</v>
      </c>
      <c r="Z37" s="58">
        <v>0</v>
      </c>
      <c r="AA37" s="69">
        <v>12.3</v>
      </c>
      <c r="AB37" s="58">
        <v>0</v>
      </c>
      <c r="AC37" s="64">
        <v>0</v>
      </c>
      <c r="AD37" s="62">
        <v>0</v>
      </c>
      <c r="AE37" s="43">
        <v>0</v>
      </c>
      <c r="AF37" s="43">
        <v>0</v>
      </c>
      <c r="AG37" s="43">
        <v>0</v>
      </c>
      <c r="AH37" s="75">
        <v>0</v>
      </c>
      <c r="AI37" s="74">
        <v>1048.0999999999999</v>
      </c>
      <c r="AJ37" s="62">
        <v>0</v>
      </c>
      <c r="AK37" s="42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  <c r="AR37" s="43">
        <v>0</v>
      </c>
      <c r="AS37" s="43">
        <v>0</v>
      </c>
      <c r="AT37" s="43">
        <v>0</v>
      </c>
      <c r="AU37" s="43">
        <v>0</v>
      </c>
      <c r="AV37" s="43">
        <v>0</v>
      </c>
      <c r="AW37" s="43">
        <v>0</v>
      </c>
      <c r="AX37" s="43">
        <v>0</v>
      </c>
      <c r="AY37" s="43">
        <v>0</v>
      </c>
      <c r="AZ37" s="43">
        <v>0</v>
      </c>
      <c r="BA37" s="43">
        <v>0</v>
      </c>
      <c r="BB37" s="43">
        <v>0</v>
      </c>
      <c r="BC37" s="43">
        <v>0</v>
      </c>
      <c r="BD37" s="43">
        <v>0</v>
      </c>
      <c r="BE37" s="43">
        <v>0</v>
      </c>
      <c r="BF37" s="43">
        <v>0</v>
      </c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0</v>
      </c>
      <c r="BN37" s="43">
        <v>0</v>
      </c>
      <c r="BO37" s="43">
        <v>0</v>
      </c>
      <c r="BP37" s="43">
        <v>0</v>
      </c>
    </row>
    <row r="38" spans="1:68">
      <c r="A38" s="30"/>
      <c r="B38" s="53">
        <v>27</v>
      </c>
      <c r="C38" s="55">
        <v>63</v>
      </c>
      <c r="D38" s="60">
        <v>397</v>
      </c>
      <c r="E38" s="58">
        <v>9.1999999999999993</v>
      </c>
      <c r="F38" s="58">
        <v>0</v>
      </c>
      <c r="G38" s="58">
        <v>0</v>
      </c>
      <c r="H38" s="58">
        <v>0</v>
      </c>
      <c r="I38" s="58">
        <v>0</v>
      </c>
      <c r="J38" s="58">
        <v>0</v>
      </c>
      <c r="K38" s="58">
        <v>16.8</v>
      </c>
      <c r="L38" s="58">
        <v>0</v>
      </c>
      <c r="M38" s="58">
        <v>0</v>
      </c>
      <c r="N38" s="58">
        <v>0</v>
      </c>
      <c r="O38" s="58">
        <v>5.5</v>
      </c>
      <c r="P38" s="58">
        <v>0</v>
      </c>
      <c r="Q38" s="58">
        <v>0</v>
      </c>
      <c r="R38" s="58">
        <v>0</v>
      </c>
      <c r="S38" s="63">
        <v>0</v>
      </c>
      <c r="T38" s="58">
        <v>0</v>
      </c>
      <c r="U38" s="58">
        <v>8.4</v>
      </c>
      <c r="V38" s="58">
        <v>0</v>
      </c>
      <c r="W38" s="58">
        <v>0</v>
      </c>
      <c r="X38" s="58">
        <v>0</v>
      </c>
      <c r="Y38" s="69">
        <v>560</v>
      </c>
      <c r="Z38" s="58">
        <v>0</v>
      </c>
      <c r="AA38" s="69">
        <v>14.2</v>
      </c>
      <c r="AB38" s="58">
        <v>0</v>
      </c>
      <c r="AC38" s="64">
        <v>0</v>
      </c>
      <c r="AD38" s="62">
        <v>0</v>
      </c>
      <c r="AE38" s="43">
        <v>0</v>
      </c>
      <c r="AF38" s="43">
        <v>0</v>
      </c>
      <c r="AG38" s="43">
        <v>0</v>
      </c>
      <c r="AH38" s="75">
        <v>0</v>
      </c>
      <c r="AI38" s="73">
        <v>564</v>
      </c>
      <c r="AJ38" s="62">
        <v>0</v>
      </c>
      <c r="AK38" s="42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</row>
    <row r="39" spans="1:68">
      <c r="A39" s="30"/>
      <c r="B39" s="53">
        <v>28</v>
      </c>
      <c r="C39" s="55">
        <v>69</v>
      </c>
      <c r="D39" s="60">
        <v>453</v>
      </c>
      <c r="E39" s="58">
        <v>9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12.5</v>
      </c>
      <c r="L39" s="58">
        <v>0</v>
      </c>
      <c r="M39" s="58">
        <v>0</v>
      </c>
      <c r="N39" s="58">
        <v>0</v>
      </c>
      <c r="O39" s="58">
        <v>3.9</v>
      </c>
      <c r="P39" s="58">
        <v>0</v>
      </c>
      <c r="Q39" s="58">
        <v>0</v>
      </c>
      <c r="R39" s="58">
        <v>0</v>
      </c>
      <c r="S39" s="63">
        <v>0</v>
      </c>
      <c r="T39" s="58">
        <v>0</v>
      </c>
      <c r="U39" s="58">
        <v>7.5</v>
      </c>
      <c r="V39" s="58">
        <v>0</v>
      </c>
      <c r="W39" s="58">
        <v>0</v>
      </c>
      <c r="X39" s="58">
        <v>0</v>
      </c>
      <c r="Y39" s="69">
        <v>535</v>
      </c>
      <c r="Z39" s="58">
        <v>0</v>
      </c>
      <c r="AA39" s="69">
        <v>13.7</v>
      </c>
      <c r="AB39" s="58">
        <v>0</v>
      </c>
      <c r="AC39" s="64">
        <v>0</v>
      </c>
      <c r="AD39" s="62">
        <v>0</v>
      </c>
      <c r="AE39" s="43">
        <v>0</v>
      </c>
      <c r="AF39" s="43">
        <v>0</v>
      </c>
      <c r="AG39" s="43">
        <v>0</v>
      </c>
      <c r="AH39" s="75">
        <v>0</v>
      </c>
      <c r="AI39" s="73">
        <v>836.6</v>
      </c>
      <c r="AJ39" s="62">
        <v>0</v>
      </c>
      <c r="AK39" s="42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</row>
    <row r="40" spans="1:68">
      <c r="A40" s="30"/>
      <c r="B40" s="53">
        <v>29</v>
      </c>
      <c r="C40" s="55">
        <v>52</v>
      </c>
      <c r="D40" s="60">
        <v>546</v>
      </c>
      <c r="E40" s="58">
        <v>8.5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11.2</v>
      </c>
      <c r="L40" s="58">
        <v>0</v>
      </c>
      <c r="M40" s="58">
        <v>0</v>
      </c>
      <c r="N40" s="58">
        <v>0</v>
      </c>
      <c r="O40" s="58">
        <v>2.8</v>
      </c>
      <c r="P40" s="58">
        <v>0</v>
      </c>
      <c r="Q40" s="58">
        <v>0</v>
      </c>
      <c r="R40" s="58">
        <v>0</v>
      </c>
      <c r="S40" s="63">
        <v>0</v>
      </c>
      <c r="T40" s="58">
        <v>0</v>
      </c>
      <c r="U40" s="58">
        <v>3.2</v>
      </c>
      <c r="V40" s="58">
        <v>0</v>
      </c>
      <c r="W40" s="58">
        <v>0</v>
      </c>
      <c r="X40" s="58">
        <v>0</v>
      </c>
      <c r="Y40" s="69">
        <v>560</v>
      </c>
      <c r="Z40" s="58">
        <v>0</v>
      </c>
      <c r="AA40" s="69">
        <v>16.2</v>
      </c>
      <c r="AB40" s="58">
        <v>0</v>
      </c>
      <c r="AC40" s="64">
        <v>0</v>
      </c>
      <c r="AD40" s="62">
        <v>0</v>
      </c>
      <c r="AE40" s="43">
        <v>0</v>
      </c>
      <c r="AF40" s="43">
        <v>0</v>
      </c>
      <c r="AG40" s="43">
        <v>0</v>
      </c>
      <c r="AH40" s="75">
        <v>0</v>
      </c>
      <c r="AI40" s="73">
        <v>681.5</v>
      </c>
      <c r="AJ40" s="62">
        <v>0</v>
      </c>
      <c r="AK40" s="42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S40" s="43">
        <v>0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0</v>
      </c>
      <c r="BD40" s="43">
        <v>0</v>
      </c>
      <c r="BE40" s="43">
        <v>0</v>
      </c>
      <c r="BF40" s="43">
        <v>0</v>
      </c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0</v>
      </c>
      <c r="BM40" s="43">
        <v>0</v>
      </c>
      <c r="BN40" s="43">
        <v>0</v>
      </c>
      <c r="BO40" s="43">
        <v>0</v>
      </c>
      <c r="BP40" s="43">
        <v>0</v>
      </c>
    </row>
    <row r="41" spans="1:68" ht="17.25" customHeight="1">
      <c r="A41" s="30"/>
      <c r="B41" s="56">
        <v>30</v>
      </c>
      <c r="C41" s="57">
        <v>65</v>
      </c>
      <c r="D41" s="61">
        <v>489</v>
      </c>
      <c r="E41" s="58">
        <v>5.0999999999999996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11.2</v>
      </c>
      <c r="L41" s="58">
        <v>0</v>
      </c>
      <c r="M41" s="58">
        <v>0</v>
      </c>
      <c r="N41" s="58">
        <v>0</v>
      </c>
      <c r="O41" s="58">
        <v>4.9000000000000004</v>
      </c>
      <c r="P41" s="58">
        <v>0</v>
      </c>
      <c r="Q41" s="58">
        <v>0</v>
      </c>
      <c r="R41" s="58">
        <v>0</v>
      </c>
      <c r="S41" s="63">
        <v>0</v>
      </c>
      <c r="T41" s="58">
        <v>0</v>
      </c>
      <c r="U41" s="58">
        <v>3.6</v>
      </c>
      <c r="V41" s="58">
        <v>0</v>
      </c>
      <c r="W41" s="58">
        <v>0</v>
      </c>
      <c r="X41" s="58">
        <v>0</v>
      </c>
      <c r="Y41" s="69">
        <v>585</v>
      </c>
      <c r="Z41" s="58">
        <v>0</v>
      </c>
      <c r="AA41" s="69">
        <v>12.5</v>
      </c>
      <c r="AB41" s="58">
        <v>0</v>
      </c>
      <c r="AC41" s="64">
        <v>0</v>
      </c>
      <c r="AD41" s="62">
        <v>0</v>
      </c>
      <c r="AE41" s="43">
        <v>0</v>
      </c>
      <c r="AF41" s="43">
        <v>0</v>
      </c>
      <c r="AG41" s="43">
        <v>0</v>
      </c>
      <c r="AH41" s="75">
        <v>0</v>
      </c>
      <c r="AI41" s="73">
        <v>925.9</v>
      </c>
      <c r="AJ41" s="62">
        <v>0</v>
      </c>
      <c r="AK41" s="42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</row>
    <row r="42" spans="1:68" s="2" customFormat="1" ht="13.5" customHeight="1">
      <c r="B42" s="36"/>
      <c r="C42" s="36"/>
      <c r="D42" s="66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7"/>
      <c r="AE42" s="36"/>
      <c r="AF42" s="36"/>
      <c r="AG42" s="36"/>
      <c r="AH42" s="36"/>
      <c r="AI42" s="7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</row>
    <row r="43" spans="1:68" s="2" customFormat="1" ht="15.75" thickBot="1">
      <c r="B43" s="44"/>
      <c r="C43" s="44"/>
      <c r="D43" s="44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</row>
    <row r="44" spans="1:68" ht="15.75" thickTop="1">
      <c r="A44" s="28"/>
      <c r="B44" s="45"/>
      <c r="C44" s="46">
        <f>SUM(C12:C41)</f>
        <v>1894</v>
      </c>
      <c r="D44" s="46">
        <f>SUM(D12:D41)</f>
        <v>13403</v>
      </c>
      <c r="E44" s="50">
        <v>194.50000000000003</v>
      </c>
      <c r="F44" s="47">
        <v>0</v>
      </c>
      <c r="G44" s="50">
        <v>0</v>
      </c>
      <c r="H44" s="47">
        <v>0</v>
      </c>
      <c r="I44" s="50">
        <v>433.40000000000003</v>
      </c>
      <c r="J44" s="47">
        <v>0</v>
      </c>
      <c r="K44" s="50">
        <v>412.99999999999994</v>
      </c>
      <c r="L44" s="50"/>
      <c r="M44" s="50"/>
      <c r="N44" s="50"/>
      <c r="O44" s="50"/>
      <c r="P44" s="50"/>
      <c r="Q44" s="50">
        <v>54.7</v>
      </c>
      <c r="R44" s="50"/>
      <c r="S44" s="50">
        <v>0</v>
      </c>
      <c r="T44" s="50"/>
      <c r="U44" s="50">
        <v>157.29999999999998</v>
      </c>
      <c r="V44" s="50"/>
      <c r="W44" s="50"/>
      <c r="X44" s="50"/>
      <c r="Y44" s="50">
        <v>14950</v>
      </c>
      <c r="Z44" s="51">
        <v>11555278</v>
      </c>
      <c r="AA44" s="52">
        <v>76.2</v>
      </c>
      <c r="AB44" s="50"/>
      <c r="AC44" s="50">
        <v>0</v>
      </c>
      <c r="AD44" s="50"/>
      <c r="AE44" s="50"/>
      <c r="AF44" s="50"/>
      <c r="AG44" s="50"/>
      <c r="AH44" s="50"/>
      <c r="AI44" s="50">
        <v>13405.6</v>
      </c>
      <c r="AJ44" s="50"/>
      <c r="AK44" s="50">
        <v>0</v>
      </c>
      <c r="AL44" s="50"/>
      <c r="AM44" s="50"/>
      <c r="AN44" s="50"/>
      <c r="AO44" s="50"/>
      <c r="AP44" s="50"/>
      <c r="AQ44" s="50"/>
      <c r="AR44" s="50"/>
      <c r="AS44" s="50">
        <v>0</v>
      </c>
      <c r="AT44" s="50">
        <v>0</v>
      </c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</row>
    <row r="45" spans="1:68">
      <c r="A45" s="28"/>
      <c r="B45" s="28"/>
      <c r="C45" s="37"/>
      <c r="D45" s="38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66280ABA-9709-43C6-848E-14FCC8270EA6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2022-10-07T09:58:50Z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