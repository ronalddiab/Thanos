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D16" i="2"/>
  <c r="E17" i="2" s="1"/>
  <c r="F16" i="2"/>
  <c r="H16" i="2"/>
  <c r="I17" i="2" s="1"/>
  <c r="J16" i="2"/>
  <c r="K17" i="2" s="1"/>
  <c r="L16" i="2"/>
  <c r="M17" i="2" s="1"/>
  <c r="N16" i="2"/>
  <c r="T16" i="2"/>
  <c r="C17" i="2"/>
  <c r="G17" i="2"/>
  <c r="O17" i="2"/>
  <c r="P17" i="2"/>
  <c r="Q17" i="2"/>
  <c r="R17" i="2"/>
  <c r="S17" i="2"/>
  <c r="P15" i="2" l="1"/>
  <c r="W13" i="4" l="1"/>
  <c r="P16" i="2"/>
  <c r="P18" i="2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14" i="2"/>
  <c r="T5" i="2" l="1"/>
  <c r="T7" i="2" s="1"/>
  <c r="T8" i="2" s="1"/>
  <c r="T13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5" i="2"/>
  <c r="P5" i="2"/>
  <c r="P6" i="2" s="1"/>
  <c r="P13" i="2" s="1"/>
  <c r="N13" i="2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3" i="2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3" i="2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3" i="2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3" i="2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3" i="2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3" i="2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S2" i="1" l="1"/>
  <c r="P2" i="1"/>
  <c r="M2" i="1"/>
  <c r="J2" i="1"/>
  <c r="G2" i="1"/>
  <c r="D2" i="1"/>
  <c r="Z2" i="4"/>
  <c r="X2" i="4"/>
  <c r="I2" i="4"/>
  <c r="J2" i="3"/>
  <c r="K2" i="3" s="1"/>
  <c r="C3" i="2"/>
  <c r="E3" i="2"/>
  <c r="T2" i="1" l="1"/>
  <c r="U2" i="1" s="1"/>
  <c r="Y2" i="4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AB32" i="8"/>
  <c r="AA32" i="8"/>
  <c r="X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C33" i="5"/>
  <c r="G32" i="9" s="1"/>
  <c r="I33" i="3"/>
  <c r="H32" i="8" s="1"/>
  <c r="G33" i="3"/>
  <c r="G32" i="8" s="1"/>
  <c r="E33" i="3"/>
  <c r="F32" i="8" s="1"/>
  <c r="C33" i="3"/>
  <c r="E32" i="8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33" i="4" l="1"/>
  <c r="H24" i="4"/>
  <c r="E16" i="2"/>
  <c r="U64" i="10"/>
  <c r="J32" i="8" l="1"/>
  <c r="Y32" i="8" s="1"/>
  <c r="I33" i="4"/>
  <c r="Y33" i="4" s="1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E21" i="2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J22" i="1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4" i="2"/>
  <c r="E34" i="2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<sst xmlns="http://schemas.openxmlformats.org/spreadsheetml/2006/main" count="514" uniqueCount="151">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</sst>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E17" sqref="E17:K1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84560.415768000006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1036.0000000000002</v>
      </c>
      <c r="J2" s="141">
        <v>10.029999999999999</v>
      </c>
      <c r="K2" s="36">
        <f>ELECT.!B3</f>
        <v>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64846.018592</v>
      </c>
      <c r="F3" s="138">
        <v>1.27</v>
      </c>
      <c r="G3" s="36">
        <f>Gas!C4*0.9147</f>
        <v>1973.0078999999998</v>
      </c>
      <c r="H3" s="139">
        <v>3.65</v>
      </c>
      <c r="I3" s="141">
        <f>Submetering!H3+Submetering!AD3+Submetering!AE3</f>
        <v>796.00000000000011</v>
      </c>
      <c r="J3" s="141">
        <v>10.029999999999999</v>
      </c>
      <c r="K3" s="36">
        <f>ELECT.!B4</f>
        <v>195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78015.970851999999</v>
      </c>
      <c r="F4" s="138">
        <v>1.27</v>
      </c>
      <c r="G4" s="36">
        <f>Gas!C5*0.9147</f>
        <v>1877.8790999999999</v>
      </c>
      <c r="H4" s="139">
        <v>3.65</v>
      </c>
      <c r="I4" s="141">
        <f>Submetering!H4+Submetering!AD4+Submetering!AE4</f>
        <v>1015.9999999999999</v>
      </c>
      <c r="J4" s="141">
        <v>10.029999999999999</v>
      </c>
      <c r="K4" s="36">
        <f>ELECT.!B5</f>
        <v>180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91948.480460000006</v>
      </c>
      <c r="F5" s="138">
        <v>1.27</v>
      </c>
      <c r="G5" s="36">
        <f>Gas!C6*0.9147</f>
        <v>2274.8588999999997</v>
      </c>
      <c r="H5" s="139">
        <v>3.65</v>
      </c>
      <c r="I5" s="141">
        <f>Submetering!H5+Submetering!AD5+Submetering!AE5</f>
        <v>1686</v>
      </c>
      <c r="J5" s="141">
        <v>10.029999999999999</v>
      </c>
      <c r="K5" s="36">
        <f>ELECT.!B6</f>
        <v>201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81554.5913</v>
      </c>
      <c r="F6" s="138">
        <v>1.27</v>
      </c>
      <c r="G6" s="36">
        <f>Gas!C7*0.9147</f>
        <v>1224.7833000000001</v>
      </c>
      <c r="H6" s="139">
        <v>3.65</v>
      </c>
      <c r="I6" s="141">
        <f>Submetering!H6+Submetering!AD6+Submetering!AE6</f>
        <v>626</v>
      </c>
      <c r="J6" s="141">
        <v>10.029999999999999</v>
      </c>
      <c r="K6" s="36">
        <f>ELECT.!B7</f>
        <v>198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57165.183755999999</v>
      </c>
      <c r="F7" s="138">
        <v>1.27</v>
      </c>
      <c r="G7" s="36">
        <f>Gas!C8*0.9147</f>
        <v>1317.1679999999999</v>
      </c>
      <c r="H7" s="139">
        <v>3.65</v>
      </c>
      <c r="I7" s="141">
        <f>Submetering!H7+Submetering!AD7+Submetering!AE7</f>
        <v>-104.00000000000001</v>
      </c>
      <c r="J7" s="141">
        <v>10.029999999999999</v>
      </c>
      <c r="K7" s="36">
        <f>ELECT.!B8</f>
        <v>195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83503.326263999988</v>
      </c>
      <c r="F8" s="138">
        <v>1.27</v>
      </c>
      <c r="G8" s="36">
        <f>Gas!C9*0.9147</f>
        <v>1249.4802</v>
      </c>
      <c r="H8" s="139">
        <v>3.65</v>
      </c>
      <c r="I8" s="141">
        <f>Submetering!H8+Submetering!AD8+Submetering!AE8</f>
        <v>636</v>
      </c>
      <c r="J8" s="141">
        <v>10.029999999999999</v>
      </c>
      <c r="K8" s="36">
        <f>ELECT.!B9</f>
        <v>185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86978.514532000001</v>
      </c>
      <c r="F9" s="138">
        <v>1.27</v>
      </c>
      <c r="G9" s="36">
        <f>Gas!C10*0.9147</f>
        <v>1887.0260999999998</v>
      </c>
      <c r="H9" s="139">
        <v>3.65</v>
      </c>
      <c r="I9" s="141">
        <f>Submetering!H9+Submetering!AD9+Submetering!AE9</f>
        <v>836.00000000000011</v>
      </c>
      <c r="J9" s="141">
        <v>10.029999999999999</v>
      </c>
      <c r="K9" s="36">
        <f>ELECT.!B10</f>
        <v>245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68027.619936000003</v>
      </c>
      <c r="F10" s="138">
        <v>1.27</v>
      </c>
      <c r="G10" s="36">
        <f>Gas!C11*0.9147</f>
        <v>1801.0443</v>
      </c>
      <c r="H10" s="139">
        <v>3.65</v>
      </c>
      <c r="I10" s="141">
        <f>Submetering!H10+Submetering!AD10+Submetering!AE10</f>
        <v>806</v>
      </c>
      <c r="J10" s="141">
        <v>10.029999999999999</v>
      </c>
      <c r="K10" s="36">
        <f>ELECT.!B11</f>
        <v>203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66002.122275999995</v>
      </c>
      <c r="F11" s="138">
        <v>1.27</v>
      </c>
      <c r="G11" s="36">
        <f>Gas!C12*0.9147</f>
        <v>1670.2421999999999</v>
      </c>
      <c r="H11" s="139">
        <v>3.65</v>
      </c>
      <c r="I11" s="141">
        <f>Submetering!H11+Submetering!AD11+Submetering!AE11</f>
        <v>786</v>
      </c>
      <c r="J11" s="141">
        <v>10.029999999999999</v>
      </c>
      <c r="K11" s="36">
        <f>ELECT.!B12</f>
        <v>234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104692.759984</v>
      </c>
      <c r="F12" s="138">
        <v>1.27</v>
      </c>
      <c r="G12" s="36">
        <f>Gas!C13*0.9147</f>
        <v>1706.8301999999999</v>
      </c>
      <c r="H12" s="139">
        <v>3.65</v>
      </c>
      <c r="I12" s="141">
        <f>Submetering!H12+Submetering!AD12+Submetering!AE12</f>
        <v>1006.0000000000001</v>
      </c>
      <c r="J12" s="141">
        <v>10.029999999999999</v>
      </c>
      <c r="K12" s="36">
        <f>ELECT.!B13</f>
        <v>222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66811.583259999999</v>
      </c>
      <c r="F13" s="138">
        <v>1.27</v>
      </c>
      <c r="G13" s="36">
        <f>Gas!C14*0.9147</f>
        <v>1511.0844</v>
      </c>
      <c r="H13" s="139">
        <v>3.65</v>
      </c>
      <c r="I13" s="141">
        <f>Submetering!H13+Submetering!AD13+Submetering!AE13</f>
        <v>906.00000000000011</v>
      </c>
      <c r="J13" s="141">
        <v>10.029999999999999</v>
      </c>
      <c r="K13" s="36">
        <f>ELECT.!B14</f>
        <v>245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75219.95248800001</v>
      </c>
      <c r="F14" s="138">
        <v>1.27</v>
      </c>
      <c r="G14" s="36">
        <f>Gas!C15*0.9147</f>
        <v>2232.7826999999997</v>
      </c>
      <c r="H14" s="139">
        <v>3.65</v>
      </c>
      <c r="I14" s="141">
        <f>Submetering!H14+Submetering!AD14+Submetering!AE14</f>
        <v>866</v>
      </c>
      <c r="J14" s="141">
        <v>10.029999999999999</v>
      </c>
      <c r="K14" s="36">
        <f>ELECT.!B15</f>
        <v>218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74894.297420000003</v>
      </c>
      <c r="F15" s="138">
        <v>1.27</v>
      </c>
      <c r="G15" s="36">
        <f>Gas!C16*0.9147</f>
        <v>1707.7448999999999</v>
      </c>
      <c r="H15" s="139">
        <v>3.65</v>
      </c>
      <c r="I15" s="141">
        <f>Submetering!H15+Submetering!AD15+Submetering!AE15</f>
        <v>856.00000000000011</v>
      </c>
      <c r="J15" s="141">
        <v>10.029999999999999</v>
      </c>
      <c r="K15" s="36">
        <f>ELECT.!B16</f>
        <v>224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91577.853600000002</v>
      </c>
      <c r="F16" s="138">
        <v>1.27</v>
      </c>
      <c r="G16" s="36">
        <f>Gas!C17*0.9147</f>
        <v>1793.7266999999999</v>
      </c>
      <c r="H16" s="139">
        <v>3.65</v>
      </c>
      <c r="I16" s="141">
        <f>Submetering!H16+Submetering!AD16+Submetering!AE16</f>
        <v>526</v>
      </c>
      <c r="J16" s="141">
        <v>10.029999999999999</v>
      </c>
      <c r="K16" s="36">
        <f>ELECT.!B17</f>
        <v>223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62741.828992000002</v>
      </c>
      <c r="F17" s="138">
        <v>1.27</v>
      </c>
      <c r="G17" s="36">
        <f>Gas!C18*0.9147</f>
        <v>1648.2893999999999</v>
      </c>
      <c r="H17" s="139">
        <v>3.65</v>
      </c>
      <c r="I17" s="141">
        <f>Submetering!H17+Submetering!AD17+Submetering!AE17</f>
        <v>905.99999999999989</v>
      </c>
      <c r="J17" s="141">
        <v>10.029999999999999</v>
      </c>
      <c r="K17" s="36">
        <f>ELECT.!B18</f>
        <v>107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17" sqref="I1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1230</v>
      </c>
      <c r="F2" s="36">
        <f>Water!E3</f>
        <v>480</v>
      </c>
      <c r="G2" s="36">
        <f>Water!G3</f>
        <v>639.9</v>
      </c>
      <c r="H2" s="36">
        <f>Water!I3</f>
        <v>3.456</v>
      </c>
      <c r="I2" s="36">
        <f>ELECT.!F3</f>
        <v>27470</v>
      </c>
      <c r="J2" s="36">
        <f>ELECT.!H3</f>
        <v>59901</v>
      </c>
      <c r="K2" s="36">
        <f>ELECT.!K3</f>
        <v>13974</v>
      </c>
      <c r="L2" s="36">
        <f>ELECT.!M3</f>
        <v>7313</v>
      </c>
      <c r="M2" s="36">
        <f>ELECT.!O3</f>
        <v>20004</v>
      </c>
      <c r="N2" s="36">
        <f>ELECT.!Q3</f>
        <v>15489</v>
      </c>
      <c r="O2" s="36">
        <f>ELECT.!S3</f>
        <v>11486</v>
      </c>
      <c r="P2" s="36">
        <f>ELECT.!W3*2</f>
        <v>25516</v>
      </c>
      <c r="Q2" s="36">
        <f>ELECT.!D3</f>
        <v>960</v>
      </c>
      <c r="R2" s="37">
        <f>BTU!C3</f>
        <v>15.761999999998807</v>
      </c>
      <c r="S2" s="37">
        <f>BTU!F3</f>
        <v>3.7460000000000946</v>
      </c>
      <c r="T2" s="37">
        <f>BTU!I3</f>
        <v>8</v>
      </c>
      <c r="U2" s="37">
        <f>BTU!O3</f>
        <v>1.94399999999996</v>
      </c>
      <c r="V2" s="37">
        <f>BTU!L3</f>
        <v>2.7800000000006548</v>
      </c>
      <c r="W2" s="37" t="str">
        <f>BTU!R3</f>
        <v>0</v>
      </c>
      <c r="X2" s="34">
        <f>ELECT.!B3</f>
        <v>0</v>
      </c>
      <c r="Y2" s="34">
        <f>I2+J2-(K2+L2+M2+N2+O2+P2)</f>
        <v>-6411</v>
      </c>
      <c r="Z2">
        <f>'Mall, Citadel, Rotana'!C3+'Mall, Citadel, Rotana'!E3+'Mall, Citadel, Rotana'!G3+'Mall, Citadel, Rotana'!I3</f>
        <v>1017</v>
      </c>
      <c r="AA2">
        <f>'Mall, Citadel, Rotana'!K3+'Mall, Citadel, Rotana'!M3</f>
        <v>414</v>
      </c>
      <c r="AB2">
        <f>'Mall, Citadel, Rotana'!O3</f>
        <v>3</v>
      </c>
      <c r="AC2">
        <f>'Mall, Citadel, Rotana'!Q3+'Mall, Citadel, Rotana'!S3</f>
        <v>224</v>
      </c>
      <c r="AD2" s="34">
        <f>(E2-H2-194)*0.1318</f>
        <v>136.0892992</v>
      </c>
      <c r="AE2" s="34">
        <f>E2-H2-AD2-194</f>
        <v>896.45470080000018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990</v>
      </c>
      <c r="F3" s="36">
        <f>Water!E4</f>
        <v>320</v>
      </c>
      <c r="G3" s="36">
        <f>Water!G4</f>
        <v>588.6</v>
      </c>
      <c r="H3" s="36">
        <f>Water!I4</f>
        <v>3.1320000000000001</v>
      </c>
      <c r="I3" s="36">
        <f>ELECT.!F4</f>
        <v>20689</v>
      </c>
      <c r="J3" s="36">
        <f>ELECT.!H4</f>
        <v>47057</v>
      </c>
      <c r="K3" s="36">
        <f>ELECT.!K4</f>
        <v>9950</v>
      </c>
      <c r="L3" s="36">
        <f>ELECT.!M4</f>
        <v>5657</v>
      </c>
      <c r="M3" s="36">
        <f>ELECT.!O4</f>
        <v>14832</v>
      </c>
      <c r="N3" s="36">
        <f>ELECT.!Q4</f>
        <v>11860</v>
      </c>
      <c r="O3" s="36">
        <f>ELECT.!S4</f>
        <v>8818</v>
      </c>
      <c r="P3" s="36">
        <f>ELECT.!W4*2</f>
        <v>20370</v>
      </c>
      <c r="Q3" s="36">
        <f>ELECT.!D4</f>
        <v>640</v>
      </c>
      <c r="R3" s="141">
        <f>BTU!C4</f>
        <v>13.223000000001775</v>
      </c>
      <c r="S3" s="141">
        <f>BTU!F4</f>
        <v>2.7079999999996289</v>
      </c>
      <c r="T3" s="141">
        <f>BTU!I4</f>
        <v>7</v>
      </c>
      <c r="U3" s="141">
        <f>BTU!O4</f>
        <v>1.9659999999998945</v>
      </c>
      <c r="V3" s="141">
        <f>BTU!L4</f>
        <v>2.2000000000007276</v>
      </c>
      <c r="W3" s="141">
        <f>BTU!R4</f>
        <v>1.8299999999999272</v>
      </c>
      <c r="X3" s="34">
        <f>ELECT.!B4</f>
        <v>195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1412</v>
      </c>
      <c r="AA3">
        <f>'Mall, Citadel, Rotana'!K4+'Mall, Citadel, Rotana'!M4</f>
        <v>422</v>
      </c>
      <c r="AB3">
        <f>'Mall, Citadel, Rotana'!O4</f>
        <v>4</v>
      </c>
      <c r="AC3">
        <f>'Mall, Citadel, Rotana'!Q4+'Mall, Citadel, Rotana'!S4</f>
        <v>135</v>
      </c>
      <c r="AD3" s="34">
        <f t="shared" ref="AD3:AD31" si="1">(E3-H3-194)*0.1318</f>
        <v>104.50000240000001</v>
      </c>
      <c r="AE3" s="34">
        <f t="shared" ref="AE3:AE31" si="2">E3-H3-AD3-194</f>
        <v>688.36799760000008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1210</v>
      </c>
      <c r="F4" s="36">
        <f>Water!E5</f>
        <v>440</v>
      </c>
      <c r="G4" s="36">
        <f>Water!G5</f>
        <v>669.6</v>
      </c>
      <c r="H4" s="36">
        <f>Water!I5</f>
        <v>3.8609999999999998</v>
      </c>
      <c r="I4" s="36">
        <f>ELECT.!F5</f>
        <v>24437</v>
      </c>
      <c r="J4" s="36">
        <f>ELECT.!H5</f>
        <v>56297</v>
      </c>
      <c r="K4" s="36">
        <f>ELECT.!K5</f>
        <v>11578</v>
      </c>
      <c r="L4" s="36">
        <f>ELECT.!M5</f>
        <v>6850</v>
      </c>
      <c r="M4" s="36">
        <f>ELECT.!O5</f>
        <v>17382</v>
      </c>
      <c r="N4" s="36">
        <f>ELECT.!Q5</f>
        <v>13976</v>
      </c>
      <c r="O4" s="36">
        <f>ELECT.!S5</f>
        <v>10651</v>
      </c>
      <c r="P4" s="36">
        <f>ELECT.!W5*2</f>
        <v>24652</v>
      </c>
      <c r="Q4" s="36">
        <f>ELECT.!D5</f>
        <v>640</v>
      </c>
      <c r="R4" s="141">
        <f>BTU!C5</f>
        <v>14.973000000001775</v>
      </c>
      <c r="S4" s="141">
        <f>BTU!F5</f>
        <v>3.9250000000001819</v>
      </c>
      <c r="T4" s="141">
        <f>BTU!I5</f>
        <v>9</v>
      </c>
      <c r="U4" s="141">
        <f>BTU!O5</f>
        <v>2.0420000000003711</v>
      </c>
      <c r="V4" s="141">
        <f>BTU!L5</f>
        <v>2.6700000000000728</v>
      </c>
      <c r="W4" s="141">
        <f>BTU!R5</f>
        <v>1.2000000000007276</v>
      </c>
      <c r="X4" s="34">
        <f>ELECT.!B5</f>
        <v>180</v>
      </c>
      <c r="Y4" s="34">
        <f t="shared" si="0"/>
        <v>-4355</v>
      </c>
      <c r="Z4">
        <f>'Mall, Citadel, Rotana'!C5+'Mall, Citadel, Rotana'!E5+'Mall, Citadel, Rotana'!G5+'Mall, Citadel, Rotana'!I5</f>
        <v>1250</v>
      </c>
      <c r="AA4">
        <f>'Mall, Citadel, Rotana'!K5+'Mall, Citadel, Rotana'!M5</f>
        <v>349</v>
      </c>
      <c r="AB4">
        <f>'Mall, Citadel, Rotana'!O5</f>
        <v>3</v>
      </c>
      <c r="AC4">
        <f>'Mall, Citadel, Rotana'!Q5+'Mall, Citadel, Rotana'!S5</f>
        <v>0</v>
      </c>
      <c r="AD4" s="34">
        <f t="shared" si="1"/>
        <v>133.3999202</v>
      </c>
      <c r="AE4" s="34">
        <f t="shared" si="2"/>
        <v>878.7390797999999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1880</v>
      </c>
      <c r="F5" s="36">
        <f>Water!E6</f>
        <v>450</v>
      </c>
      <c r="G5" s="36">
        <f>Water!G6</f>
        <v>580.5</v>
      </c>
      <c r="H5" s="36">
        <f>Water!I6</f>
        <v>3.6179999999999999</v>
      </c>
      <c r="I5" s="36">
        <f>ELECT.!F6</f>
        <v>29027</v>
      </c>
      <c r="J5" s="36">
        <f>ELECT.!H6</f>
        <v>66155</v>
      </c>
      <c r="K5" s="36">
        <f>ELECT.!K6</f>
        <v>13402</v>
      </c>
      <c r="L5" s="36">
        <f>ELECT.!M6</f>
        <v>8076</v>
      </c>
      <c r="M5" s="36">
        <f>ELECT.!O6</f>
        <v>20722</v>
      </c>
      <c r="N5" s="36">
        <f>ELECT.!Q6</f>
        <v>16273</v>
      </c>
      <c r="O5" s="36">
        <f>ELECT.!S6</f>
        <v>12875</v>
      </c>
      <c r="P5" s="36">
        <f>ELECT.!W6*2</f>
        <v>28890</v>
      </c>
      <c r="Q5" s="36">
        <f>ELECT.!D6</f>
        <v>640</v>
      </c>
      <c r="R5" s="141">
        <f>BTU!C6</f>
        <v>15.925999999999476</v>
      </c>
      <c r="S5" s="141">
        <f>BTU!F6</f>
        <v>4.1109999999998763</v>
      </c>
      <c r="T5" s="141">
        <f>BTU!I6</f>
        <v>10</v>
      </c>
      <c r="U5" s="141">
        <f>BTU!O6</f>
        <v>1.9909999999999854</v>
      </c>
      <c r="V5" s="141">
        <f>BTU!L6</f>
        <v>2.6299999999991996</v>
      </c>
      <c r="W5" s="141">
        <f>BTU!R6</f>
        <v>3.7399999999997817</v>
      </c>
      <c r="X5" s="34">
        <f>ELECT.!B6</f>
        <v>201</v>
      </c>
      <c r="Y5" s="34">
        <f t="shared" si="0"/>
        <v>-5056</v>
      </c>
      <c r="Z5">
        <f>'Mall, Citadel, Rotana'!C6+'Mall, Citadel, Rotana'!E6+'Mall, Citadel, Rotana'!G6+'Mall, Citadel, Rotana'!I6</f>
        <v>1549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0</v>
      </c>
      <c r="AD5" s="34">
        <f t="shared" si="1"/>
        <v>221.73794760000001</v>
      </c>
      <c r="AE5" s="34">
        <f t="shared" si="2"/>
        <v>1460.6440524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820</v>
      </c>
      <c r="F6" s="36">
        <f>Water!E7</f>
        <v>360</v>
      </c>
      <c r="G6" s="36">
        <f>Water!G7</f>
        <v>469.8</v>
      </c>
      <c r="H6" s="36">
        <f>Water!I7</f>
        <v>2.754</v>
      </c>
      <c r="I6" s="36">
        <f>ELECT.!F7</f>
        <v>25690</v>
      </c>
      <c r="J6" s="36">
        <f>ELECT.!H7</f>
        <v>59175</v>
      </c>
      <c r="K6" s="36">
        <f>ELECT.!K7</f>
        <v>10828</v>
      </c>
      <c r="L6" s="36">
        <f>ELECT.!M7</f>
        <v>6766</v>
      </c>
      <c r="M6" s="36">
        <f>ELECT.!O7</f>
        <v>12478</v>
      </c>
      <c r="N6" s="36">
        <f>ELECT.!Q7</f>
        <v>14631</v>
      </c>
      <c r="O6" s="36">
        <f>ELECT.!S7</f>
        <v>11797</v>
      </c>
      <c r="P6" s="36">
        <f>ELECT.!W7*2</f>
        <v>26078</v>
      </c>
      <c r="Q6" s="36">
        <f>ELECT.!D7</f>
        <v>640</v>
      </c>
      <c r="R6" s="141">
        <f>BTU!C7</f>
        <v>15.108000000000175</v>
      </c>
      <c r="S6" s="141">
        <f>BTU!F7</f>
        <v>1.9210000000002765</v>
      </c>
      <c r="T6" s="141">
        <f>BTU!I7</f>
        <v>7</v>
      </c>
      <c r="U6" s="141">
        <f>BTU!O7</f>
        <v>2.0149999999998727</v>
      </c>
      <c r="V6" s="141">
        <f>BTU!L7</f>
        <v>3.1900000000005093</v>
      </c>
      <c r="W6" s="141">
        <f>BTU!R7</f>
        <v>2.2100000000000364</v>
      </c>
      <c r="X6" s="34">
        <f>ELECT.!B7</f>
        <v>198</v>
      </c>
      <c r="Y6" s="34">
        <f t="shared" si="0"/>
        <v>2287</v>
      </c>
      <c r="Z6">
        <f>'Mall, Citadel, Rotana'!C7+'Mall, Citadel, Rotana'!E7+'Mall, Citadel, Rotana'!G7+'Mall, Citadel, Rotana'!I7</f>
        <v>1091</v>
      </c>
      <c r="AA6">
        <f>'Mall, Citadel, Rotana'!K7+'Mall, Citadel, Rotana'!M7</f>
        <v>226</v>
      </c>
      <c r="AB6">
        <f>'Mall, Citadel, Rotana'!O7</f>
        <v>3</v>
      </c>
      <c r="AC6">
        <f>'Mall, Citadel, Rotana'!Q7+'Mall, Citadel, Rotana'!S7</f>
        <v>772</v>
      </c>
      <c r="AD6" s="34">
        <f t="shared" si="1"/>
        <v>82.143822799999995</v>
      </c>
      <c r="AE6" s="34">
        <f t="shared" si="2"/>
        <v>541.10217720000003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90</v>
      </c>
      <c r="F7" s="36">
        <f>Water!E8</f>
        <v>410</v>
      </c>
      <c r="G7" s="36">
        <f>Water!G8</f>
        <v>567</v>
      </c>
      <c r="H7" s="36">
        <f>Water!I8</f>
        <v>3.0779999999999998</v>
      </c>
      <c r="I7" s="36">
        <f>ELECT.!F8</f>
        <v>18172</v>
      </c>
      <c r="J7" s="36">
        <f>ELECT.!H8</f>
        <v>41433</v>
      </c>
      <c r="K7" s="36">
        <f>ELECT.!K8</f>
        <v>7782</v>
      </c>
      <c r="L7" s="36">
        <f>ELECT.!M8</f>
        <v>4903</v>
      </c>
      <c r="M7" s="36">
        <f>ELECT.!O8</f>
        <v>19312</v>
      </c>
      <c r="N7" s="36">
        <f>ELECT.!Q8</f>
        <v>10346</v>
      </c>
      <c r="O7" s="36">
        <f>ELECT.!S8</f>
        <v>7981</v>
      </c>
      <c r="P7" s="36">
        <f>ELECT.!W8*2</f>
        <v>18328</v>
      </c>
      <c r="Q7" s="36">
        <f>ELECT.!D8</f>
        <v>800</v>
      </c>
      <c r="R7" s="141">
        <f>BTU!C8</f>
        <v>12.820999999999913</v>
      </c>
      <c r="S7" s="141">
        <f>BTU!F8</f>
        <v>2.2280000000000655</v>
      </c>
      <c r="T7" s="141">
        <f>BTU!I8</f>
        <v>8</v>
      </c>
      <c r="U7" s="141">
        <f>BTU!O8</f>
        <v>1.9510000000000218</v>
      </c>
      <c r="V7" s="141">
        <f>BTU!L8</f>
        <v>2.7799999999988358</v>
      </c>
      <c r="W7" s="141">
        <f>BTU!R8</f>
        <v>2.3699999999998909</v>
      </c>
      <c r="X7" s="34">
        <f>ELECT.!B8</f>
        <v>195</v>
      </c>
      <c r="Y7" s="34">
        <f t="shared" si="0"/>
        <v>-9047</v>
      </c>
      <c r="Z7">
        <f>'Mall, Citadel, Rotana'!C8+'Mall, Citadel, Rotana'!E8+'Mall, Citadel, Rotana'!G8+'Mall, Citadel, Rotana'!I8</f>
        <v>1234</v>
      </c>
      <c r="AA7">
        <f>'Mall, Citadel, Rotana'!K8+'Mall, Citadel, Rotana'!M8</f>
        <v>267</v>
      </c>
      <c r="AB7">
        <f>'Mall, Citadel, Rotana'!O8</f>
        <v>3</v>
      </c>
      <c r="AC7">
        <f>'Mall, Citadel, Rotana'!Q8+'Mall, Citadel, Rotana'!S8</f>
        <v>136</v>
      </c>
      <c r="AD7" s="34">
        <f t="shared" si="1"/>
        <v>-14.1128804</v>
      </c>
      <c r="AE7" s="34">
        <f t="shared" si="2"/>
        <v>-92.965119600000008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830</v>
      </c>
      <c r="F8" s="36">
        <f>Water!E9</f>
        <v>440</v>
      </c>
      <c r="G8" s="36">
        <f>Water!G9</f>
        <v>604.79999999999995</v>
      </c>
      <c r="H8" s="36">
        <f>Water!I9</f>
        <v>3.78</v>
      </c>
      <c r="I8" s="36">
        <f>ELECT.!F9</f>
        <v>26520</v>
      </c>
      <c r="J8" s="36">
        <f>ELECT.!H9</f>
        <v>60112</v>
      </c>
      <c r="K8" s="36">
        <f>ELECT.!K9</f>
        <v>11822</v>
      </c>
      <c r="L8" s="36">
        <f>ELECT.!M9</f>
        <v>7208</v>
      </c>
      <c r="M8" s="36">
        <f>ELECT.!O9</f>
        <v>19084</v>
      </c>
      <c r="N8" s="36">
        <f>ELECT.!Q9</f>
        <v>15008</v>
      </c>
      <c r="O8" s="36">
        <f>ELECT.!S9</f>
        <v>11496</v>
      </c>
      <c r="P8" s="36">
        <f>ELECT.!W9*2</f>
        <v>26450</v>
      </c>
      <c r="Q8" s="36">
        <f>ELECT.!D9</f>
        <v>640</v>
      </c>
      <c r="R8" s="141">
        <f>BTU!C9</f>
        <v>18.332999999998719</v>
      </c>
      <c r="S8" s="141">
        <f>BTU!F9</f>
        <v>3.714999999999236</v>
      </c>
      <c r="T8" s="141">
        <f>BTU!I9</f>
        <v>10</v>
      </c>
      <c r="U8" s="141">
        <f>BTU!O9</f>
        <v>2.7010000000000218</v>
      </c>
      <c r="V8" s="141">
        <f>BTU!L9</f>
        <v>3.7300000000013824</v>
      </c>
      <c r="W8" s="141">
        <f>BTU!R9</f>
        <v>2.2799999999997453</v>
      </c>
      <c r="X8" s="34">
        <f>ELECT.!B9</f>
        <v>185</v>
      </c>
      <c r="Y8" s="34">
        <f t="shared" si="0"/>
        <v>-4436</v>
      </c>
      <c r="Z8">
        <f>'Mall, Citadel, Rotana'!C9+'Mall, Citadel, Rotana'!E9+'Mall, Citadel, Rotana'!G9+'Mall, Citadel, Rotana'!I9</f>
        <v>1379</v>
      </c>
      <c r="AA8">
        <f>'Mall, Citadel, Rotana'!K9+'Mall, Citadel, Rotana'!M9</f>
        <v>402</v>
      </c>
      <c r="AB8">
        <f>'Mall, Citadel, Rotana'!O9</f>
        <v>4</v>
      </c>
      <c r="AC8">
        <f>'Mall, Citadel, Rotana'!Q9+'Mall, Citadel, Rotana'!S9</f>
        <v>116</v>
      </c>
      <c r="AD8" s="34">
        <f t="shared" si="1"/>
        <v>83.326596000000009</v>
      </c>
      <c r="AE8" s="34">
        <f t="shared" si="2"/>
        <v>548.89340400000003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1030</v>
      </c>
      <c r="F9" s="36">
        <f>Water!E10</f>
        <v>410</v>
      </c>
      <c r="G9" s="36">
        <f>Water!G10</f>
        <v>531.9</v>
      </c>
      <c r="H9" s="36">
        <f>Water!I10</f>
        <v>3.1859999999999999</v>
      </c>
      <c r="I9" s="36">
        <f>ELECT.!F10</f>
        <v>27207</v>
      </c>
      <c r="J9" s="36">
        <f>ELECT.!H10</f>
        <v>62879</v>
      </c>
      <c r="K9" s="36">
        <f>ELECT.!K10</f>
        <v>12734</v>
      </c>
      <c r="L9" s="36">
        <f>ELECT.!M10</f>
        <v>7330</v>
      </c>
      <c r="M9" s="36">
        <f>ELECT.!O10</f>
        <v>19670</v>
      </c>
      <c r="N9" s="36">
        <f>ELECT.!Q10</f>
        <v>15531</v>
      </c>
      <c r="O9" s="36">
        <f>ELECT.!S10</f>
        <v>12065</v>
      </c>
      <c r="P9" s="36">
        <f>ELECT.!W10*2</f>
        <v>27558</v>
      </c>
      <c r="Q9" s="36">
        <f>ELECT.!D10</f>
        <v>800</v>
      </c>
      <c r="R9" s="141">
        <f>BTU!C10</f>
        <v>12.493999999998778</v>
      </c>
      <c r="S9" s="141">
        <f>BTU!F10</f>
        <v>2.1159999999999854</v>
      </c>
      <c r="T9" s="141">
        <f>BTU!I10</f>
        <v>7</v>
      </c>
      <c r="U9" s="141">
        <f>BTU!O10</f>
        <v>1.5889999999999418</v>
      </c>
      <c r="V9" s="141">
        <f>BTU!L10</f>
        <v>1.4799999999995634</v>
      </c>
      <c r="W9" s="141">
        <f>BTU!R10</f>
        <v>0.53999999999996362</v>
      </c>
      <c r="X9" s="34">
        <f>ELECT.!B10</f>
        <v>245</v>
      </c>
      <c r="Y9" s="34">
        <f t="shared" si="0"/>
        <v>-4802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353</v>
      </c>
      <c r="AB9">
        <f>'Mall, Citadel, Rotana'!O10</f>
        <v>3</v>
      </c>
      <c r="AC9">
        <f>'Mall, Citadel, Rotana'!Q10+'Mall, Citadel, Rotana'!S10</f>
        <v>121</v>
      </c>
      <c r="AD9" s="34">
        <f t="shared" si="1"/>
        <v>109.76488520000001</v>
      </c>
      <c r="AE9" s="34">
        <f t="shared" si="2"/>
        <v>723.0491148000001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1000</v>
      </c>
      <c r="F10" s="36">
        <f>Water!E11</f>
        <v>450</v>
      </c>
      <c r="G10" s="36">
        <f>Water!G11</f>
        <v>591.29999999999995</v>
      </c>
      <c r="H10" s="36">
        <f>Water!I11</f>
        <v>3.4830000000000001</v>
      </c>
      <c r="I10" s="36">
        <f>ELECT.!F11</f>
        <v>21948</v>
      </c>
      <c r="J10" s="36">
        <f>ELECT.!H11</f>
        <v>48774</v>
      </c>
      <c r="K10" s="36">
        <f>ELECT.!K11</f>
        <v>10282</v>
      </c>
      <c r="L10" s="36">
        <f>ELECT.!M11</f>
        <v>5872</v>
      </c>
      <c r="M10" s="36">
        <f>ELECT.!O11</f>
        <v>15870</v>
      </c>
      <c r="N10" s="36">
        <f>ELECT.!Q11</f>
        <v>12499</v>
      </c>
      <c r="O10" s="36">
        <f>ELECT.!S11</f>
        <v>9506</v>
      </c>
      <c r="P10" s="36">
        <f>ELECT.!W11*2</f>
        <v>20598</v>
      </c>
      <c r="Q10" s="36">
        <f>ELECT.!D11</f>
        <v>640</v>
      </c>
      <c r="R10" s="141">
        <f>BTU!C11</f>
        <v>10.020000000000437</v>
      </c>
      <c r="S10" s="141">
        <f>BTU!F11</f>
        <v>3.3000000000001819</v>
      </c>
      <c r="T10" s="141">
        <f>BTU!I11</f>
        <v>7</v>
      </c>
      <c r="U10" s="141">
        <f>BTU!O11</f>
        <v>1.3000000000001819</v>
      </c>
      <c r="V10" s="141">
        <f>BTU!L11</f>
        <v>1.8999999999996362</v>
      </c>
      <c r="W10" s="141">
        <f>BTU!R11</f>
        <v>1</v>
      </c>
      <c r="X10" s="34">
        <f>ELECT.!B11</f>
        <v>203</v>
      </c>
      <c r="Y10" s="34">
        <f t="shared" si="0"/>
        <v>-3905</v>
      </c>
      <c r="Z10">
        <f>'Mall, Citadel, Rotana'!C11+'Mall, Citadel, Rotana'!E11+'Mall, Citadel, Rotana'!G11+'Mall, Citadel, Rotana'!I11</f>
        <v>1241</v>
      </c>
      <c r="AA10">
        <f>'Mall, Citadel, Rotana'!K11+'Mall, Citadel, Rotana'!M11</f>
        <v>350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105.7717406</v>
      </c>
      <c r="AE10" s="34">
        <f t="shared" si="2"/>
        <v>696.74525940000001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980</v>
      </c>
      <c r="F11" s="36">
        <f>Water!E12</f>
        <v>410</v>
      </c>
      <c r="G11" s="36">
        <f>Water!G12</f>
        <v>569.70000000000005</v>
      </c>
      <c r="H11" s="36">
        <f>Water!I12</f>
        <v>3.6720000000000002</v>
      </c>
      <c r="I11" s="36">
        <f>ELECT.!F12</f>
        <v>21596</v>
      </c>
      <c r="J11" s="36">
        <f>ELECT.!H12</f>
        <v>48029</v>
      </c>
      <c r="K11" s="36">
        <f>ELECT.!K12</f>
        <v>10088</v>
      </c>
      <c r="L11" s="36">
        <f>ELECT.!M12</f>
        <v>5571</v>
      </c>
      <c r="M11" s="36">
        <f>ELECT.!O12</f>
        <v>15848</v>
      </c>
      <c r="N11" s="36">
        <f>ELECT.!Q12</f>
        <v>12350</v>
      </c>
      <c r="O11" s="36">
        <f>ELECT.!S12</f>
        <v>9269</v>
      </c>
      <c r="P11" s="36">
        <f>ELECT.!W12*2</f>
        <v>20370</v>
      </c>
      <c r="Q11" s="36">
        <f>ELECT.!D12</f>
        <v>800</v>
      </c>
      <c r="R11" s="141">
        <f>BTU!C12</f>
        <v>14.849000000001979</v>
      </c>
      <c r="S11" s="141">
        <f>BTU!F12</f>
        <v>3.7669999999998254</v>
      </c>
      <c r="T11" s="141">
        <f>BTU!I12</f>
        <v>9</v>
      </c>
      <c r="U11" s="141">
        <f>BTU!O12</f>
        <v>1.6599999999998545</v>
      </c>
      <c r="V11" s="141">
        <f>BTU!L12</f>
        <v>2.7399999999997817</v>
      </c>
      <c r="W11" s="141">
        <f>BTU!R12</f>
        <v>1.0500000000001819</v>
      </c>
      <c r="X11" s="34">
        <f>ELECT.!B12</f>
        <v>234</v>
      </c>
      <c r="Y11" s="34">
        <f t="shared" si="0"/>
        <v>-3871</v>
      </c>
      <c r="Z11">
        <f>'Mall, Citadel, Rotana'!C12+'Mall, Citadel, Rotana'!E12+'Mall, Citadel, Rotana'!G12+'Mall, Citadel, Rotana'!I12</f>
        <v>1837</v>
      </c>
      <c r="AA11">
        <f>'Mall, Citadel, Rotana'!K12+'Mall, Citadel, Rotana'!M12</f>
        <v>706</v>
      </c>
      <c r="AB11">
        <f>'Mall, Citadel, Rotana'!O12</f>
        <v>6</v>
      </c>
      <c r="AC11">
        <f>'Mall, Citadel, Rotana'!Q12+'Mall, Citadel, Rotana'!S12</f>
        <v>121</v>
      </c>
      <c r="AD11" s="34">
        <f t="shared" si="1"/>
        <v>103.1108304</v>
      </c>
      <c r="AE11" s="34">
        <f t="shared" si="2"/>
        <v>679.21716960000003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1200</v>
      </c>
      <c r="F12" s="36">
        <f>Water!E13</f>
        <v>480</v>
      </c>
      <c r="G12" s="36">
        <f>Water!G13</f>
        <v>602.1</v>
      </c>
      <c r="H12" s="36">
        <f>Water!I13</f>
        <v>3.456</v>
      </c>
      <c r="I12" s="36">
        <f>ELECT.!F13</f>
        <v>32407</v>
      </c>
      <c r="J12" s="36">
        <f>ELECT.!H13</f>
        <v>73860</v>
      </c>
      <c r="K12" s="36">
        <f>ELECT.!K13</f>
        <v>14956</v>
      </c>
      <c r="L12" s="36">
        <f>ELECT.!M13</f>
        <v>8187</v>
      </c>
      <c r="M12" s="36">
        <f>ELECT.!O13</f>
        <v>23962</v>
      </c>
      <c r="N12" s="36">
        <f>ELECT.!Q13</f>
        <v>18974</v>
      </c>
      <c r="O12" s="36">
        <f>ELECT.!S13</f>
        <v>14756</v>
      </c>
      <c r="P12" s="36">
        <f>ELECT.!W13*2</f>
        <v>31120</v>
      </c>
      <c r="Q12" s="36">
        <f>ELECT.!D13</f>
        <v>480</v>
      </c>
      <c r="R12" s="141">
        <f>BTU!C13</f>
        <v>15.454999999998108</v>
      </c>
      <c r="S12" s="141">
        <f>BTU!F13</f>
        <v>3.4600000000000364</v>
      </c>
      <c r="T12" s="141">
        <f>BTU!I13</f>
        <v>8</v>
      </c>
      <c r="U12" s="141">
        <f>BTU!O13</f>
        <v>2.0619999999998981</v>
      </c>
      <c r="V12" s="141">
        <f>BTU!L13</f>
        <v>2.5500000000010914</v>
      </c>
      <c r="W12" s="141">
        <f>BTU!R13</f>
        <v>1.1199999999998909</v>
      </c>
      <c r="X12" s="34">
        <f>ELECT.!B13</f>
        <v>222</v>
      </c>
      <c r="Y12" s="34">
        <f t="shared" si="0"/>
        <v>-5688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132.13529920000002</v>
      </c>
      <c r="AE12" s="34">
        <f t="shared" si="2"/>
        <v>870.40870080000013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1100</v>
      </c>
      <c r="F13" s="36">
        <f>Water!E14</f>
        <v>430</v>
      </c>
      <c r="G13" s="36">
        <f>Water!G14</f>
        <v>569.70000000000005</v>
      </c>
      <c r="H13" s="36">
        <f>Water!I14</f>
        <v>3.456</v>
      </c>
      <c r="I13" s="36">
        <f>ELECT.!F14</f>
        <v>21145</v>
      </c>
      <c r="J13" s="36">
        <f>ELECT.!H14</f>
        <v>48912</v>
      </c>
      <c r="K13" s="36">
        <f>ELECT.!K14</f>
        <v>9378</v>
      </c>
      <c r="L13" s="36">
        <f>ELECT.!M14</f>
        <v>5450</v>
      </c>
      <c r="M13" s="36">
        <f>ELECT.!O14</f>
        <v>15486</v>
      </c>
      <c r="N13" s="36">
        <f>ELECT.!Q14</f>
        <v>12299</v>
      </c>
      <c r="O13" s="36">
        <f>ELECT.!S14</f>
        <v>9947</v>
      </c>
      <c r="P13" s="36">
        <f>ELECT.!W14*2</f>
        <v>21018</v>
      </c>
      <c r="Q13" s="36">
        <f>ELECT.!D14</f>
        <v>640</v>
      </c>
      <c r="R13" s="141">
        <f>BTU!C14</f>
        <v>14.02100000000064</v>
      </c>
      <c r="S13" s="141">
        <f>BTU!F14</f>
        <v>1.7310000000006767</v>
      </c>
      <c r="T13" s="141">
        <f>BTU!I14</f>
        <v>7</v>
      </c>
      <c r="U13" s="141">
        <f>BTU!O14</f>
        <v>1.7989999999999782</v>
      </c>
      <c r="V13" s="141">
        <f>BTU!L14</f>
        <v>2.5799999999999272</v>
      </c>
      <c r="W13" s="141">
        <f>BTU!R14</f>
        <v>0.93000000000029104</v>
      </c>
      <c r="X13" s="34">
        <f>ELECT.!B14</f>
        <v>245</v>
      </c>
      <c r="Y13" s="34">
        <f t="shared" si="0"/>
        <v>-3521</v>
      </c>
      <c r="Z13">
        <f>'Mall, Citadel, Rotana'!C14+'Mall, Citadel, Rotana'!E14+'Mall, Citadel, Rotana'!G14+'Mall, Citadel, Rotana'!I14</f>
        <v>2016</v>
      </c>
      <c r="AA13">
        <f>'Mall, Citadel, Rotana'!K14+'Mall, Citadel, Rotana'!M14</f>
        <v>239</v>
      </c>
      <c r="AB13">
        <f>'Mall, Citadel, Rotana'!O14</f>
        <v>4</v>
      </c>
      <c r="AC13">
        <f>'Mall, Citadel, Rotana'!Q14+'Mall, Citadel, Rotana'!S14</f>
        <v>0</v>
      </c>
      <c r="AD13" s="34">
        <f t="shared" si="1"/>
        <v>118.95529920000001</v>
      </c>
      <c r="AE13" s="34">
        <f t="shared" si="2"/>
        <v>783.58870080000008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1060</v>
      </c>
      <c r="F14" s="36">
        <f>Water!E15</f>
        <v>440</v>
      </c>
      <c r="G14" s="36">
        <f>Water!G15</f>
        <v>588.6</v>
      </c>
      <c r="H14" s="36">
        <f>Water!I15</f>
        <v>2.835</v>
      </c>
      <c r="I14" s="36">
        <f>ELECT.!F15</f>
        <v>23240</v>
      </c>
      <c r="J14" s="36">
        <f>ELECT.!H15</f>
        <v>54688</v>
      </c>
      <c r="K14" s="36">
        <f>ELECT.!K15</f>
        <v>10760</v>
      </c>
      <c r="L14" s="36">
        <f>ELECT.!M15</f>
        <v>5944</v>
      </c>
      <c r="M14" s="36">
        <f>ELECT.!O15</f>
        <v>17104</v>
      </c>
      <c r="N14" s="36">
        <f>ELECT.!Q15</f>
        <v>13562</v>
      </c>
      <c r="O14" s="36">
        <f>ELECT.!S15</f>
        <v>13214</v>
      </c>
      <c r="P14" s="36">
        <f>ELECT.!W15*2</f>
        <v>23368</v>
      </c>
      <c r="Q14" s="36">
        <f>ELECT.!D15</f>
        <v>640</v>
      </c>
      <c r="R14" s="141">
        <f>BTU!C15</f>
        <v>18.180000000000291</v>
      </c>
      <c r="S14" s="141">
        <f>BTU!F15</f>
        <v>2.4259999999994761</v>
      </c>
      <c r="T14" s="141">
        <f>BTU!I15</f>
        <v>9</v>
      </c>
      <c r="U14" s="141">
        <f>BTU!O15</f>
        <v>3.0799999999999272</v>
      </c>
      <c r="V14" s="141">
        <f>BTU!L15</f>
        <v>3.3299999999999272</v>
      </c>
      <c r="W14" s="141">
        <f>BTU!R15</f>
        <v>1.180000000000291</v>
      </c>
      <c r="X14" s="34">
        <f>ELECT.!B15</f>
        <v>218</v>
      </c>
      <c r="Y14" s="34">
        <f t="shared" si="0"/>
        <v>-6024</v>
      </c>
      <c r="Z14">
        <f>'Mall, Citadel, Rotana'!C15+'Mall, Citadel, Rotana'!E15+'Mall, Citadel, Rotana'!G15+'Mall, Citadel, Rotana'!I15</f>
        <v>1398</v>
      </c>
      <c r="AA14">
        <f>'Mall, Citadel, Rotana'!K15+'Mall, Citadel, Rotana'!M15</f>
        <v>258</v>
      </c>
      <c r="AB14">
        <f>'Mall, Citadel, Rotana'!O15</f>
        <v>3</v>
      </c>
      <c r="AC14">
        <f>'Mall, Citadel, Rotana'!Q15+'Mall, Citadel, Rotana'!S15</f>
        <v>0</v>
      </c>
      <c r="AD14" s="34">
        <f t="shared" si="1"/>
        <v>113.765147</v>
      </c>
      <c r="AE14" s="34">
        <f t="shared" si="2"/>
        <v>749.39985300000001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1050</v>
      </c>
      <c r="F15" s="36">
        <f>Water!E16</f>
        <v>440</v>
      </c>
      <c r="G15" s="36">
        <f>Water!G16</f>
        <v>572.4</v>
      </c>
      <c r="H15" s="36">
        <f>Water!I16</f>
        <v>3.5909999999999997</v>
      </c>
      <c r="I15" s="36">
        <f>ELECT.!F16</f>
        <v>23201</v>
      </c>
      <c r="J15" s="36">
        <f>ELECT.!H16</f>
        <v>52839</v>
      </c>
      <c r="K15" s="36">
        <f>ELECT.!K16</f>
        <v>10970</v>
      </c>
      <c r="L15" s="36">
        <f>ELECT.!M16</f>
        <v>6038</v>
      </c>
      <c r="M15" s="36">
        <f>ELECT.!O16</f>
        <v>16966</v>
      </c>
      <c r="N15" s="36">
        <f>ELECT.!Q16</f>
        <v>13567</v>
      </c>
      <c r="O15" s="36">
        <f>ELECT.!S16</f>
        <v>7417</v>
      </c>
      <c r="P15" s="36">
        <f>ELECT.!W16*2</f>
        <v>22188</v>
      </c>
      <c r="Q15" s="36">
        <f>ELECT.!D16</f>
        <v>640</v>
      </c>
      <c r="R15" s="141">
        <f>BTU!C16</f>
        <v>10.819999999999709</v>
      </c>
      <c r="S15" s="141">
        <f>BTU!F16</f>
        <v>2.3000000000001819</v>
      </c>
      <c r="T15" s="141">
        <f>BTU!I16</f>
        <v>7</v>
      </c>
      <c r="U15" s="141">
        <f>BTU!O16</f>
        <v>1.1100000000001273</v>
      </c>
      <c r="V15" s="141">
        <f>BTU!L16</f>
        <v>2.2199999999993452</v>
      </c>
      <c r="W15" s="141">
        <f>BTU!R16</f>
        <v>1.7799999999997453</v>
      </c>
      <c r="X15" s="34">
        <f>ELECT.!B16</f>
        <v>224</v>
      </c>
      <c r="Y15" s="34">
        <f t="shared" si="0"/>
        <v>-1106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112.34750620000001</v>
      </c>
      <c r="AE15" s="34">
        <f t="shared" si="2"/>
        <v>740.06149380000011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720</v>
      </c>
      <c r="F16" s="36">
        <f>Water!E17</f>
        <v>420</v>
      </c>
      <c r="G16" s="36">
        <f>Water!G17</f>
        <v>567</v>
      </c>
      <c r="H16" s="36">
        <f>Water!I17</f>
        <v>3.4289999999999998</v>
      </c>
      <c r="I16" s="36">
        <f>ELECT.!F17</f>
        <v>30016</v>
      </c>
      <c r="J16" s="36">
        <f>ELECT.!H17</f>
        <v>66248</v>
      </c>
      <c r="K16" s="36">
        <f>ELECT.!K17</f>
        <v>13966</v>
      </c>
      <c r="L16" s="36">
        <f>ELECT.!M17</f>
        <v>8267</v>
      </c>
      <c r="M16" s="36">
        <f>ELECT.!O17</f>
        <v>21510</v>
      </c>
      <c r="N16" s="36">
        <f>ELECT.!Q17</f>
        <v>17175</v>
      </c>
      <c r="O16" s="36">
        <f>ELECT.!S17</f>
        <v>13822</v>
      </c>
      <c r="P16" s="36">
        <f>ELECT.!W17*2</f>
        <v>27878</v>
      </c>
      <c r="Q16" s="36">
        <f>ELECT.!D17</f>
        <v>800</v>
      </c>
      <c r="R16" s="141">
        <f>BTU!C17</f>
        <v>13</v>
      </c>
      <c r="S16" s="141">
        <f>BTU!F17</f>
        <v>3.8000000000001819</v>
      </c>
      <c r="T16" s="141">
        <f>BTU!I17</f>
        <v>8</v>
      </c>
      <c r="U16" s="141">
        <f>BTU!O17</f>
        <v>2.5109999999999673</v>
      </c>
      <c r="V16" s="141">
        <f>BTU!L17</f>
        <v>2.3400000000001455</v>
      </c>
      <c r="W16" s="141">
        <f>BTU!R17</f>
        <v>0.1499999999996362</v>
      </c>
      <c r="X16" s="34">
        <f>ELECT.!B17</f>
        <v>223</v>
      </c>
      <c r="Y16" s="34">
        <f t="shared" si="0"/>
        <v>-6354</v>
      </c>
      <c r="Z16">
        <f>'Mall, Citadel, Rotana'!C17+'Mall, Citadel, Rotana'!E17+'Mall, Citadel, Rotana'!G17+'Mall, Citadel, Rotana'!I17</f>
        <v>2601</v>
      </c>
      <c r="AA16">
        <f>'Mall, Citadel, Rotana'!K17+'Mall, Citadel, Rotana'!M17</f>
        <v>753</v>
      </c>
      <c r="AB16">
        <f>'Mall, Citadel, Rotana'!O17</f>
        <v>6</v>
      </c>
      <c r="AC16">
        <f>'Mall, Citadel, Rotana'!Q17+'Mall, Citadel, Rotana'!S17</f>
        <v>0</v>
      </c>
      <c r="AD16" s="34">
        <f t="shared" si="1"/>
        <v>68.874857800000001</v>
      </c>
      <c r="AE16" s="34">
        <f t="shared" si="2"/>
        <v>453.69614220000005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1100</v>
      </c>
      <c r="F17" s="36">
        <f>Water!E18</f>
        <v>430</v>
      </c>
      <c r="G17" s="36">
        <f>Water!G18</f>
        <v>631.79999999999995</v>
      </c>
      <c r="H17" s="36">
        <f>Water!I18</f>
        <v>3.5640000000000001</v>
      </c>
      <c r="I17" s="36">
        <f>ELECT.!F18</f>
        <v>19581</v>
      </c>
      <c r="J17" s="36">
        <f>ELECT.!H18</f>
        <v>45809</v>
      </c>
      <c r="K17" s="36">
        <f>ELECT.!K18</f>
        <v>9950</v>
      </c>
      <c r="L17" s="36">
        <f>ELECT.!M18</f>
        <v>5801</v>
      </c>
      <c r="M17" s="36">
        <f>ELECT.!O18</f>
        <v>13584</v>
      </c>
      <c r="N17" s="36">
        <f>ELECT.!Q18</f>
        <v>12054</v>
      </c>
      <c r="O17" s="36">
        <f>ELECT.!S18</f>
        <v>8990</v>
      </c>
      <c r="P17" s="36">
        <f>ELECT.!W18*2</f>
        <v>18798</v>
      </c>
      <c r="Q17" s="36">
        <f>ELECT.!D18</f>
        <v>800</v>
      </c>
      <c r="R17" s="141">
        <f>BTU!C18</f>
        <v>11.900000000001455</v>
      </c>
      <c r="S17" s="141">
        <f>BTU!F18</f>
        <v>2.6939999999995052</v>
      </c>
      <c r="T17" s="141">
        <f>BTU!I18</f>
        <v>8</v>
      </c>
      <c r="U17" s="141">
        <f>BTU!O18</f>
        <v>1.8240000000000691</v>
      </c>
      <c r="V17" s="141">
        <f>BTU!L18</f>
        <v>1.9599999999991269</v>
      </c>
      <c r="W17" s="141">
        <f>BTU!R18</f>
        <v>0.9499999999998181</v>
      </c>
      <c r="X17" s="34">
        <f>ELECT.!B18</f>
        <v>107</v>
      </c>
      <c r="Y17" s="34">
        <f t="shared" si="0"/>
        <v>-3787</v>
      </c>
      <c r="Z17">
        <f>'Mall, Citadel, Rotana'!C18+'Mall, Citadel, Rotana'!E18+'Mall, Citadel, Rotana'!G18+'Mall, Citadel, Rotana'!I18</f>
        <v>1382</v>
      </c>
      <c r="AA17">
        <f>'Mall, Citadel, Rotana'!K18+'Mall, Citadel, Rotana'!M18</f>
        <v>408</v>
      </c>
      <c r="AB17">
        <f>'Mall, Citadel, Rotana'!O18</f>
        <v>4</v>
      </c>
      <c r="AC17">
        <f>'Mall, Citadel, Rotana'!Q18+'Mall, Citadel, Rotana'!S18</f>
        <v>0</v>
      </c>
      <c r="AD17" s="34">
        <f t="shared" si="1"/>
        <v>118.94106479999999</v>
      </c>
      <c r="AE17" s="34">
        <f t="shared" si="2"/>
        <v>783.49493519999987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 t="str">
        <f>ELECT.!F19</f>
        <v>0</v>
      </c>
      <c r="J18" s="36" t="str">
        <f>ELECT.!H19</f>
        <v>0</v>
      </c>
      <c r="K18" s="36">
        <f>ELECT.!K19</f>
        <v>0</v>
      </c>
      <c r="L18" s="36" t="str">
        <f>ELECT.!M19</f>
        <v>0</v>
      </c>
      <c r="M18" s="36">
        <f>ELECT.!O19</f>
        <v>0</v>
      </c>
      <c r="N18" s="36" t="str">
        <f>ELECT.!Q19</f>
        <v>0</v>
      </c>
      <c r="O18" s="36" t="str">
        <f>ELECT.!S19</f>
        <v>0</v>
      </c>
      <c r="P18" s="36">
        <f>ELECT.!W19*2</f>
        <v>0</v>
      </c>
      <c r="Q18" s="36">
        <f>ELECT.!D19</f>
        <v>0</v>
      </c>
      <c r="R18" s="141" t="str">
        <f>BTU!C19</f>
        <v>0</v>
      </c>
      <c r="S18" s="141" t="str">
        <f>BTU!F19</f>
        <v>0</v>
      </c>
      <c r="T18" s="141" t="str">
        <f>BTU!I19</f>
        <v>0</v>
      </c>
      <c r="U18" s="141" t="str">
        <f>BTU!O19</f>
        <v>0</v>
      </c>
      <c r="V18" s="141" t="str">
        <f>BTU!L19</f>
        <v>0</v>
      </c>
      <c r="W18" s="141" t="str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S25" sqref="S25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44773</v>
      </c>
      <c r="B2" s="32">
        <v>47370</v>
      </c>
      <c r="C2" s="14"/>
      <c r="D2" s="32">
        <v>40832</v>
      </c>
      <c r="E2" s="14"/>
      <c r="F2" s="32">
        <v>21902</v>
      </c>
      <c r="G2" s="14"/>
      <c r="H2" s="32">
        <v>257036</v>
      </c>
      <c r="I2" s="14"/>
      <c r="J2" s="32">
        <v>325715</v>
      </c>
      <c r="K2" s="14"/>
      <c r="L2" s="32">
        <v>26354</v>
      </c>
      <c r="M2" s="14"/>
      <c r="N2" s="32">
        <v>226230</v>
      </c>
      <c r="O2" s="14"/>
      <c r="P2" s="32">
        <v>162611</v>
      </c>
      <c r="Q2" s="14"/>
      <c r="R2" s="1">
        <v>55047</v>
      </c>
      <c r="S2" s="14"/>
      <c r="T2" s="32">
        <v>4029</v>
      </c>
      <c r="U2" s="14"/>
    </row>
    <row r="3" spans="1:24" ht="13.5" thickBot="1" x14ac:dyDescent="0.25">
      <c r="A3" s="9">
        <v>44774</v>
      </c>
      <c r="B3" s="32">
        <v>47374</v>
      </c>
      <c r="C3" s="14">
        <f t="shared" ref="C3" si="0">(B3-B2)*800/5</f>
        <v>640</v>
      </c>
      <c r="D3" s="32">
        <v>40834</v>
      </c>
      <c r="E3" s="14">
        <f t="shared" ref="E3" si="1">(D3-D2)*800/5</f>
        <v>320</v>
      </c>
      <c r="F3" s="32">
        <v>21903</v>
      </c>
      <c r="G3" s="14">
        <f>(F3-F2)*100/5</f>
        <v>20</v>
      </c>
      <c r="H3" s="32">
        <v>257073</v>
      </c>
      <c r="I3" s="14">
        <f>(H3-H2)</f>
        <v>37</v>
      </c>
      <c r="J3" s="32">
        <v>325889</v>
      </c>
      <c r="K3" s="14">
        <f>(J3-J2)</f>
        <v>174</v>
      </c>
      <c r="L3" s="32">
        <v>26358</v>
      </c>
      <c r="M3" s="14">
        <f>(L3-L2)*300/5</f>
        <v>240</v>
      </c>
      <c r="N3" s="32">
        <v>226233</v>
      </c>
      <c r="O3" s="14">
        <f>N3-N2</f>
        <v>3</v>
      </c>
      <c r="P3" s="32">
        <v>162835</v>
      </c>
      <c r="Q3" s="14">
        <f t="shared" ref="Q3:Q33" si="2">P3-P2</f>
        <v>224</v>
      </c>
      <c r="R3" s="1">
        <v>55047</v>
      </c>
      <c r="S3" s="14">
        <v>0</v>
      </c>
      <c r="T3" s="32">
        <v>4030</v>
      </c>
      <c r="U3" s="14">
        <f>(T3-T2)*800/5</f>
        <v>160</v>
      </c>
    </row>
    <row r="4" spans="1:24" ht="13.5" thickBot="1" x14ac:dyDescent="0.25">
      <c r="A4" s="9">
        <v>44775</v>
      </c>
      <c r="B4" s="32">
        <v>47379</v>
      </c>
      <c r="C4" s="14">
        <f t="shared" ref="C4:C33" si="3">(B4-B3)*800/5</f>
        <v>800</v>
      </c>
      <c r="D4" s="32">
        <v>40837</v>
      </c>
      <c r="E4" s="14">
        <f t="shared" ref="E4:E33" si="4">(D4-D3)*800/5</f>
        <v>480</v>
      </c>
      <c r="F4" s="32">
        <v>21908</v>
      </c>
      <c r="G4" s="14">
        <f t="shared" ref="G4:G33" si="5">(F4-F3)*100/5</f>
        <v>100</v>
      </c>
      <c r="H4" s="32">
        <v>257105</v>
      </c>
      <c r="I4" s="14">
        <f t="shared" ref="I4:I33" si="6">(H4-H3)</f>
        <v>32</v>
      </c>
      <c r="J4" s="32">
        <v>326071</v>
      </c>
      <c r="K4" s="14">
        <f t="shared" ref="K4:K33" si="7">(J4-J3)</f>
        <v>182</v>
      </c>
      <c r="L4" s="32">
        <v>26362</v>
      </c>
      <c r="M4" s="14">
        <f t="shared" ref="M4:M33" si="8">(L4-L3)*300/5</f>
        <v>240</v>
      </c>
      <c r="N4" s="32">
        <v>226237</v>
      </c>
      <c r="O4" s="14">
        <f t="shared" ref="O4:O33" si="9">N4-N3</f>
        <v>4</v>
      </c>
      <c r="P4" s="32">
        <v>162970</v>
      </c>
      <c r="Q4" s="14">
        <f t="shared" si="2"/>
        <v>135</v>
      </c>
      <c r="R4" s="1">
        <v>55047</v>
      </c>
      <c r="S4" s="14">
        <v>0</v>
      </c>
      <c r="T4" s="32">
        <v>4030</v>
      </c>
      <c r="U4" s="14">
        <f t="shared" ref="U4:U33" si="10">(T4-T3)*800/5</f>
        <v>0</v>
      </c>
    </row>
    <row r="5" spans="1:24" ht="13.5" thickBot="1" x14ac:dyDescent="0.25">
      <c r="A5" s="9">
        <v>44776</v>
      </c>
      <c r="B5" s="32">
        <v>47383</v>
      </c>
      <c r="C5" s="14">
        <f t="shared" si="3"/>
        <v>640</v>
      </c>
      <c r="D5" s="32">
        <v>40840</v>
      </c>
      <c r="E5" s="14">
        <f t="shared" si="4"/>
        <v>480</v>
      </c>
      <c r="F5" s="32">
        <v>21913</v>
      </c>
      <c r="G5" s="14">
        <f t="shared" si="5"/>
        <v>100</v>
      </c>
      <c r="H5" s="32">
        <v>257135</v>
      </c>
      <c r="I5" s="14">
        <f t="shared" si="6"/>
        <v>30</v>
      </c>
      <c r="J5" s="32">
        <v>326240</v>
      </c>
      <c r="K5" s="14">
        <f t="shared" si="7"/>
        <v>169</v>
      </c>
      <c r="L5" s="32">
        <v>26365</v>
      </c>
      <c r="M5" s="14">
        <f t="shared" si="8"/>
        <v>180</v>
      </c>
      <c r="N5" s="32">
        <v>226240</v>
      </c>
      <c r="O5" s="14">
        <f t="shared" si="9"/>
        <v>3</v>
      </c>
      <c r="P5" s="32">
        <f>P4</f>
        <v>162970</v>
      </c>
      <c r="Q5" s="14">
        <f t="shared" si="2"/>
        <v>0</v>
      </c>
      <c r="R5" s="1">
        <f>R4</f>
        <v>55047</v>
      </c>
      <c r="S5" s="14">
        <f t="shared" ref="S5:S32" si="11">R5-R4</f>
        <v>0</v>
      </c>
      <c r="T5" s="32">
        <f>T4</f>
        <v>4030</v>
      </c>
      <c r="U5" s="14">
        <f t="shared" si="10"/>
        <v>0</v>
      </c>
    </row>
    <row r="6" spans="1:24" ht="13.5" thickBot="1" x14ac:dyDescent="0.25">
      <c r="A6" s="9">
        <v>44777</v>
      </c>
      <c r="B6" s="32">
        <v>47388</v>
      </c>
      <c r="C6" s="14">
        <f t="shared" si="3"/>
        <v>800</v>
      </c>
      <c r="D6" s="32">
        <v>40844</v>
      </c>
      <c r="E6" s="14">
        <f t="shared" si="4"/>
        <v>640</v>
      </c>
      <c r="F6" s="32">
        <v>21917</v>
      </c>
      <c r="G6" s="14">
        <f t="shared" si="5"/>
        <v>80</v>
      </c>
      <c r="H6" s="32">
        <v>257164</v>
      </c>
      <c r="I6" s="14">
        <f t="shared" si="6"/>
        <v>29</v>
      </c>
      <c r="J6" s="32">
        <v>326404</v>
      </c>
      <c r="K6" s="14">
        <f t="shared" si="7"/>
        <v>164</v>
      </c>
      <c r="L6" s="32">
        <v>26368</v>
      </c>
      <c r="M6" s="14">
        <f t="shared" si="8"/>
        <v>180</v>
      </c>
      <c r="N6" s="32">
        <v>226243</v>
      </c>
      <c r="O6" s="14">
        <f t="shared" si="9"/>
        <v>3</v>
      </c>
      <c r="P6" s="32">
        <f t="shared" ref="P6:P13" si="12">P5</f>
        <v>162970</v>
      </c>
      <c r="Q6" s="14">
        <f t="shared" si="2"/>
        <v>0</v>
      </c>
      <c r="R6" s="1">
        <f t="shared" ref="R6:R33" si="13">R5</f>
        <v>55047</v>
      </c>
      <c r="S6" s="14">
        <v>0</v>
      </c>
      <c r="T6" s="32">
        <v>4031</v>
      </c>
      <c r="U6" s="14">
        <f t="shared" si="10"/>
        <v>160</v>
      </c>
    </row>
    <row r="7" spans="1:24" ht="13.5" thickBot="1" x14ac:dyDescent="0.25">
      <c r="A7" s="9">
        <v>44778</v>
      </c>
      <c r="B7" s="32">
        <v>47392</v>
      </c>
      <c r="C7" s="14">
        <f t="shared" si="3"/>
        <v>640</v>
      </c>
      <c r="D7" s="32">
        <v>40846</v>
      </c>
      <c r="E7" s="14">
        <f t="shared" si="4"/>
        <v>320</v>
      </c>
      <c r="F7" s="32">
        <v>21921</v>
      </c>
      <c r="G7" s="14">
        <f t="shared" si="5"/>
        <v>80</v>
      </c>
      <c r="H7" s="32">
        <v>257215</v>
      </c>
      <c r="I7" s="14">
        <f t="shared" si="6"/>
        <v>51</v>
      </c>
      <c r="J7" s="32">
        <v>326510</v>
      </c>
      <c r="K7" s="14">
        <f t="shared" si="7"/>
        <v>106</v>
      </c>
      <c r="L7" s="32">
        <v>26370</v>
      </c>
      <c r="M7" s="14">
        <f t="shared" si="8"/>
        <v>120</v>
      </c>
      <c r="N7" s="32">
        <v>226246</v>
      </c>
      <c r="O7" s="14">
        <f t="shared" si="9"/>
        <v>3</v>
      </c>
      <c r="P7" s="32">
        <v>163742</v>
      </c>
      <c r="Q7" s="14">
        <f t="shared" si="2"/>
        <v>772</v>
      </c>
      <c r="R7" s="1">
        <f t="shared" si="13"/>
        <v>55047</v>
      </c>
      <c r="S7" s="14">
        <v>0</v>
      </c>
      <c r="T7" s="32">
        <f t="shared" ref="T7:T33" si="14">T6</f>
        <v>4031</v>
      </c>
      <c r="U7" s="14">
        <f t="shared" si="10"/>
        <v>0</v>
      </c>
    </row>
    <row r="8" spans="1:24" ht="13.5" thickBot="1" x14ac:dyDescent="0.25">
      <c r="A8" s="9">
        <v>44779</v>
      </c>
      <c r="B8" s="32">
        <v>47396</v>
      </c>
      <c r="C8" s="14">
        <f t="shared" si="3"/>
        <v>640</v>
      </c>
      <c r="D8" s="32">
        <v>40849</v>
      </c>
      <c r="E8" s="14">
        <f t="shared" si="4"/>
        <v>480</v>
      </c>
      <c r="F8" s="32">
        <v>21925</v>
      </c>
      <c r="G8" s="14">
        <f t="shared" si="5"/>
        <v>80</v>
      </c>
      <c r="H8" s="32">
        <v>257249</v>
      </c>
      <c r="I8" s="14">
        <f t="shared" si="6"/>
        <v>34</v>
      </c>
      <c r="J8" s="32">
        <v>326657</v>
      </c>
      <c r="K8" s="14">
        <f t="shared" si="7"/>
        <v>147</v>
      </c>
      <c r="L8" s="32">
        <v>26372</v>
      </c>
      <c r="M8" s="14">
        <f t="shared" si="8"/>
        <v>120</v>
      </c>
      <c r="N8" s="32">
        <v>226249</v>
      </c>
      <c r="O8" s="14">
        <f t="shared" si="9"/>
        <v>3</v>
      </c>
      <c r="P8" s="32">
        <v>163878</v>
      </c>
      <c r="Q8" s="14">
        <f t="shared" si="2"/>
        <v>136</v>
      </c>
      <c r="R8" s="1">
        <f t="shared" si="13"/>
        <v>55047</v>
      </c>
      <c r="S8" s="14">
        <f>R8-R7</f>
        <v>0</v>
      </c>
      <c r="T8" s="32">
        <f t="shared" si="14"/>
        <v>4031</v>
      </c>
      <c r="U8" s="14">
        <f t="shared" si="10"/>
        <v>0</v>
      </c>
    </row>
    <row r="9" spans="1:24" ht="13.5" thickBot="1" x14ac:dyDescent="0.25">
      <c r="A9" s="9">
        <v>44780</v>
      </c>
      <c r="B9" s="32">
        <v>47401</v>
      </c>
      <c r="C9" s="14">
        <f t="shared" si="3"/>
        <v>800</v>
      </c>
      <c r="D9" s="32">
        <v>40852</v>
      </c>
      <c r="E9" s="14">
        <f t="shared" si="4"/>
        <v>480</v>
      </c>
      <c r="F9" s="32">
        <v>21928</v>
      </c>
      <c r="G9" s="14">
        <f t="shared" si="5"/>
        <v>60</v>
      </c>
      <c r="H9" s="32">
        <v>257288</v>
      </c>
      <c r="I9" s="14">
        <f t="shared" si="6"/>
        <v>39</v>
      </c>
      <c r="J9" s="32">
        <v>326879</v>
      </c>
      <c r="K9" s="14">
        <f t="shared" si="7"/>
        <v>222</v>
      </c>
      <c r="L9" s="32">
        <v>26375</v>
      </c>
      <c r="M9" s="14">
        <f t="shared" si="8"/>
        <v>180</v>
      </c>
      <c r="N9" s="32">
        <v>226253</v>
      </c>
      <c r="O9" s="14">
        <f t="shared" si="9"/>
        <v>4</v>
      </c>
      <c r="P9" s="32">
        <v>163994</v>
      </c>
      <c r="Q9" s="14">
        <f t="shared" si="2"/>
        <v>116</v>
      </c>
      <c r="R9" s="1">
        <f t="shared" si="13"/>
        <v>55047</v>
      </c>
      <c r="S9" s="14">
        <f>R9-R8</f>
        <v>0</v>
      </c>
      <c r="T9" s="32">
        <v>4031</v>
      </c>
      <c r="U9" s="14">
        <f t="shared" si="10"/>
        <v>0</v>
      </c>
    </row>
    <row r="10" spans="1:24" ht="13.5" thickBot="1" x14ac:dyDescent="0.25">
      <c r="A10" s="9">
        <v>44781</v>
      </c>
      <c r="B10" s="32">
        <v>47406</v>
      </c>
      <c r="C10" s="14">
        <f t="shared" si="3"/>
        <v>800</v>
      </c>
      <c r="D10" s="32">
        <v>40855</v>
      </c>
      <c r="E10" s="14">
        <f t="shared" si="4"/>
        <v>480</v>
      </c>
      <c r="F10" s="32">
        <v>21931</v>
      </c>
      <c r="G10" s="14">
        <f t="shared" si="5"/>
        <v>60</v>
      </c>
      <c r="H10" s="32">
        <v>257335</v>
      </c>
      <c r="I10" s="14">
        <f t="shared" si="6"/>
        <v>47</v>
      </c>
      <c r="J10" s="32">
        <v>326992</v>
      </c>
      <c r="K10" s="14">
        <f t="shared" si="7"/>
        <v>113</v>
      </c>
      <c r="L10" s="32">
        <v>26379</v>
      </c>
      <c r="M10" s="14">
        <f t="shared" si="8"/>
        <v>240</v>
      </c>
      <c r="N10" s="32">
        <v>226256</v>
      </c>
      <c r="O10" s="14">
        <f t="shared" si="9"/>
        <v>3</v>
      </c>
      <c r="P10" s="32">
        <v>164115</v>
      </c>
      <c r="Q10" s="14">
        <f t="shared" si="2"/>
        <v>121</v>
      </c>
      <c r="R10" s="1">
        <f t="shared" si="13"/>
        <v>55047</v>
      </c>
      <c r="S10" s="14">
        <f>R10-R9</f>
        <v>0</v>
      </c>
      <c r="T10" s="32">
        <v>4032</v>
      </c>
      <c r="U10" s="14">
        <f t="shared" si="10"/>
        <v>160</v>
      </c>
    </row>
    <row r="11" spans="1:24" ht="13.5" thickBot="1" x14ac:dyDescent="0.25">
      <c r="A11" s="9">
        <v>44782</v>
      </c>
      <c r="B11" s="32">
        <v>47410</v>
      </c>
      <c r="C11" s="14">
        <f t="shared" si="3"/>
        <v>640</v>
      </c>
      <c r="D11" s="32">
        <v>40858</v>
      </c>
      <c r="E11" s="14">
        <f t="shared" si="4"/>
        <v>480</v>
      </c>
      <c r="F11" s="32">
        <v>21935</v>
      </c>
      <c r="G11" s="14">
        <f t="shared" si="5"/>
        <v>80</v>
      </c>
      <c r="H11" s="32">
        <v>257376</v>
      </c>
      <c r="I11" s="14">
        <f t="shared" si="6"/>
        <v>41</v>
      </c>
      <c r="J11" s="32">
        <v>327162</v>
      </c>
      <c r="K11" s="14">
        <f t="shared" si="7"/>
        <v>170</v>
      </c>
      <c r="L11" s="32">
        <v>26382</v>
      </c>
      <c r="M11" s="14">
        <f t="shared" si="8"/>
        <v>180</v>
      </c>
      <c r="N11" s="32">
        <v>226259</v>
      </c>
      <c r="O11" s="14">
        <f t="shared" si="9"/>
        <v>3</v>
      </c>
      <c r="P11" s="32">
        <v>164230</v>
      </c>
      <c r="Q11" s="14">
        <f t="shared" si="2"/>
        <v>115</v>
      </c>
      <c r="R11" s="1">
        <f t="shared" si="13"/>
        <v>55047</v>
      </c>
      <c r="S11" s="14">
        <f t="shared" si="11"/>
        <v>0</v>
      </c>
      <c r="T11" s="32">
        <v>4032</v>
      </c>
      <c r="U11" s="14">
        <f t="shared" si="10"/>
        <v>0</v>
      </c>
    </row>
    <row r="12" spans="1:24" ht="13.5" thickBot="1" x14ac:dyDescent="0.25">
      <c r="A12" s="9">
        <v>44783</v>
      </c>
      <c r="B12" s="32">
        <v>47414</v>
      </c>
      <c r="C12" s="14">
        <f t="shared" si="3"/>
        <v>640</v>
      </c>
      <c r="D12" s="32">
        <v>40864</v>
      </c>
      <c r="E12" s="14">
        <f t="shared" si="4"/>
        <v>960</v>
      </c>
      <c r="F12" s="32">
        <v>21943</v>
      </c>
      <c r="G12" s="14">
        <f t="shared" si="5"/>
        <v>160</v>
      </c>
      <c r="H12" s="32">
        <v>257453</v>
      </c>
      <c r="I12" s="14">
        <f t="shared" si="6"/>
        <v>77</v>
      </c>
      <c r="J12" s="32">
        <v>327508</v>
      </c>
      <c r="K12" s="14">
        <f t="shared" si="7"/>
        <v>346</v>
      </c>
      <c r="L12" s="32">
        <v>26388</v>
      </c>
      <c r="M12" s="14">
        <f t="shared" si="8"/>
        <v>360</v>
      </c>
      <c r="N12" s="32">
        <v>226265</v>
      </c>
      <c r="O12" s="14">
        <f t="shared" si="9"/>
        <v>6</v>
      </c>
      <c r="P12" s="32">
        <v>164351</v>
      </c>
      <c r="Q12" s="14">
        <f t="shared" si="2"/>
        <v>121</v>
      </c>
      <c r="R12" s="1">
        <f t="shared" si="13"/>
        <v>55047</v>
      </c>
      <c r="S12" s="14">
        <f t="shared" si="11"/>
        <v>0</v>
      </c>
      <c r="T12" s="32">
        <v>4033</v>
      </c>
      <c r="U12" s="14">
        <f t="shared" si="10"/>
        <v>160</v>
      </c>
    </row>
    <row r="13" spans="1:24" ht="13.5" thickBot="1" x14ac:dyDescent="0.25">
      <c r="A13" s="9">
        <v>44784</v>
      </c>
      <c r="B13" s="32">
        <f t="shared" ref="B13:B33" si="15">B12</f>
        <v>47414</v>
      </c>
      <c r="C13" s="14">
        <f t="shared" si="3"/>
        <v>0</v>
      </c>
      <c r="D13" s="32">
        <f t="shared" ref="D13:D33" si="16">D12</f>
        <v>40864</v>
      </c>
      <c r="E13" s="14">
        <f t="shared" si="4"/>
        <v>0</v>
      </c>
      <c r="F13" s="32">
        <f t="shared" ref="F13:F33" si="17">F12</f>
        <v>21943</v>
      </c>
      <c r="G13" s="14">
        <f t="shared" si="5"/>
        <v>0</v>
      </c>
      <c r="H13" s="32">
        <f t="shared" ref="H13:H33" si="18">H12</f>
        <v>257453</v>
      </c>
      <c r="I13" s="14">
        <f t="shared" si="6"/>
        <v>0</v>
      </c>
      <c r="J13" s="32">
        <f t="shared" ref="J13:J33" si="19">J12</f>
        <v>327508</v>
      </c>
      <c r="K13" s="14">
        <f t="shared" si="7"/>
        <v>0</v>
      </c>
      <c r="L13" s="32">
        <f t="shared" ref="L13:L33" si="20">L12</f>
        <v>26388</v>
      </c>
      <c r="M13" s="14">
        <f t="shared" si="8"/>
        <v>0</v>
      </c>
      <c r="N13" s="32">
        <f t="shared" ref="N13:N33" si="21">N12</f>
        <v>226265</v>
      </c>
      <c r="O13" s="14">
        <f t="shared" si="9"/>
        <v>0</v>
      </c>
      <c r="P13" s="32">
        <f t="shared" si="12"/>
        <v>164351</v>
      </c>
      <c r="Q13" s="14">
        <f t="shared" si="2"/>
        <v>0</v>
      </c>
      <c r="R13" s="1">
        <f t="shared" si="13"/>
        <v>55047</v>
      </c>
      <c r="S13" s="14">
        <f t="shared" si="11"/>
        <v>0</v>
      </c>
      <c r="T13" s="32">
        <f t="shared" si="14"/>
        <v>4033</v>
      </c>
      <c r="U13" s="14">
        <f t="shared" si="10"/>
        <v>0</v>
      </c>
    </row>
    <row r="14" spans="1:24" ht="13.5" thickBot="1" x14ac:dyDescent="0.25">
      <c r="A14" s="9">
        <v>44785</v>
      </c>
      <c r="B14" s="32">
        <v>47423</v>
      </c>
      <c r="C14" s="14">
        <f t="shared" si="3"/>
        <v>1440</v>
      </c>
      <c r="D14" s="32">
        <v>40867</v>
      </c>
      <c r="E14" s="14">
        <f t="shared" si="4"/>
        <v>480</v>
      </c>
      <c r="F14" s="32">
        <v>21947</v>
      </c>
      <c r="G14" s="14">
        <f t="shared" si="5"/>
        <v>80</v>
      </c>
      <c r="H14" s="32">
        <v>257469</v>
      </c>
      <c r="I14" s="14">
        <f t="shared" si="6"/>
        <v>16</v>
      </c>
      <c r="J14" s="32">
        <v>327627</v>
      </c>
      <c r="K14" s="14">
        <f t="shared" si="7"/>
        <v>119</v>
      </c>
      <c r="L14" s="32">
        <v>26390</v>
      </c>
      <c r="M14" s="14">
        <f t="shared" si="8"/>
        <v>120</v>
      </c>
      <c r="N14" s="32">
        <v>226269</v>
      </c>
      <c r="O14" s="14">
        <f t="shared" si="9"/>
        <v>4</v>
      </c>
      <c r="P14" s="32">
        <f>P13</f>
        <v>164351</v>
      </c>
      <c r="Q14" s="14">
        <f t="shared" si="2"/>
        <v>0</v>
      </c>
      <c r="R14" s="1">
        <f t="shared" si="13"/>
        <v>55047</v>
      </c>
      <c r="S14" s="14">
        <v>0</v>
      </c>
      <c r="T14" s="32">
        <v>4034</v>
      </c>
      <c r="U14" s="14">
        <f t="shared" si="10"/>
        <v>160</v>
      </c>
    </row>
    <row r="15" spans="1:24" ht="13.5" thickBot="1" x14ac:dyDescent="0.25">
      <c r="A15" s="9">
        <v>44786</v>
      </c>
      <c r="B15" s="32">
        <v>47428</v>
      </c>
      <c r="C15" s="14">
        <f t="shared" si="3"/>
        <v>800</v>
      </c>
      <c r="D15" s="32">
        <v>40870</v>
      </c>
      <c r="E15" s="14">
        <f t="shared" si="4"/>
        <v>480</v>
      </c>
      <c r="F15" s="32">
        <v>21951</v>
      </c>
      <c r="G15" s="14">
        <f t="shared" si="5"/>
        <v>80</v>
      </c>
      <c r="H15" s="32">
        <v>257507</v>
      </c>
      <c r="I15" s="14">
        <f t="shared" si="6"/>
        <v>38</v>
      </c>
      <c r="J15" s="32">
        <v>327765</v>
      </c>
      <c r="K15" s="14">
        <f t="shared" si="7"/>
        <v>138</v>
      </c>
      <c r="L15" s="32">
        <v>26392</v>
      </c>
      <c r="M15" s="14">
        <f t="shared" si="8"/>
        <v>120</v>
      </c>
      <c r="N15" s="32">
        <v>226272</v>
      </c>
      <c r="O15" s="14">
        <f t="shared" si="9"/>
        <v>3</v>
      </c>
      <c r="P15" s="32">
        <f t="shared" ref="P15:P33" si="22">P14</f>
        <v>164351</v>
      </c>
      <c r="Q15" s="14">
        <f t="shared" si="2"/>
        <v>0</v>
      </c>
      <c r="R15" s="1">
        <f t="shared" si="13"/>
        <v>55047</v>
      </c>
      <c r="S15" s="14">
        <v>0</v>
      </c>
      <c r="T15" s="32">
        <v>4034</v>
      </c>
      <c r="U15" s="14">
        <f t="shared" si="10"/>
        <v>0</v>
      </c>
      <c r="X15" t="s">
        <v>12</v>
      </c>
    </row>
    <row r="16" spans="1:24" ht="13.5" thickBot="1" x14ac:dyDescent="0.25">
      <c r="A16" s="9">
        <v>44787</v>
      </c>
      <c r="B16" s="32">
        <f t="shared" si="15"/>
        <v>47428</v>
      </c>
      <c r="C16" s="14">
        <f t="shared" si="3"/>
        <v>0</v>
      </c>
      <c r="D16" s="32">
        <f t="shared" si="16"/>
        <v>40870</v>
      </c>
      <c r="E16" s="14">
        <f t="shared" si="4"/>
        <v>0</v>
      </c>
      <c r="F16" s="32">
        <f t="shared" si="17"/>
        <v>21951</v>
      </c>
      <c r="G16" s="14">
        <f t="shared" si="5"/>
        <v>0</v>
      </c>
      <c r="H16" s="32">
        <f t="shared" si="18"/>
        <v>257507</v>
      </c>
      <c r="I16" s="14">
        <f t="shared" si="6"/>
        <v>0</v>
      </c>
      <c r="J16" s="32">
        <f t="shared" si="19"/>
        <v>327765</v>
      </c>
      <c r="K16" s="14">
        <f t="shared" si="7"/>
        <v>0</v>
      </c>
      <c r="L16" s="32">
        <f t="shared" si="20"/>
        <v>26392</v>
      </c>
      <c r="M16" s="14">
        <f t="shared" si="8"/>
        <v>0</v>
      </c>
      <c r="N16" s="32">
        <f t="shared" si="21"/>
        <v>226272</v>
      </c>
      <c r="O16" s="14">
        <f t="shared" si="9"/>
        <v>0</v>
      </c>
      <c r="P16" s="32">
        <f t="shared" si="22"/>
        <v>164351</v>
      </c>
      <c r="Q16" s="14">
        <f t="shared" si="2"/>
        <v>0</v>
      </c>
      <c r="R16" s="1">
        <f t="shared" si="13"/>
        <v>55047</v>
      </c>
      <c r="S16" s="14">
        <f t="shared" si="11"/>
        <v>0</v>
      </c>
      <c r="T16" s="32">
        <f t="shared" si="14"/>
        <v>4034</v>
      </c>
      <c r="U16" s="14">
        <f t="shared" si="10"/>
        <v>0</v>
      </c>
      <c r="W16" t="s">
        <v>12</v>
      </c>
    </row>
    <row r="17" spans="1:23" ht="13.5" thickBot="1" x14ac:dyDescent="0.25">
      <c r="A17" s="9">
        <v>44788</v>
      </c>
      <c r="B17" s="32">
        <v>47437</v>
      </c>
      <c r="C17" s="14">
        <f t="shared" si="3"/>
        <v>1440</v>
      </c>
      <c r="D17" s="32">
        <v>40876</v>
      </c>
      <c r="E17" s="14">
        <f t="shared" si="4"/>
        <v>960</v>
      </c>
      <c r="F17" s="32">
        <v>21958</v>
      </c>
      <c r="G17" s="14">
        <f t="shared" si="5"/>
        <v>140</v>
      </c>
      <c r="H17" s="32">
        <v>257568</v>
      </c>
      <c r="I17" s="14">
        <f t="shared" si="6"/>
        <v>61</v>
      </c>
      <c r="J17" s="32">
        <v>328098</v>
      </c>
      <c r="K17" s="14">
        <f t="shared" si="7"/>
        <v>333</v>
      </c>
      <c r="L17" s="32">
        <v>26399</v>
      </c>
      <c r="M17" s="14">
        <f t="shared" si="8"/>
        <v>420</v>
      </c>
      <c r="N17" s="32">
        <v>226278</v>
      </c>
      <c r="O17" s="14">
        <f t="shared" si="9"/>
        <v>6</v>
      </c>
      <c r="P17" s="32">
        <f t="shared" si="22"/>
        <v>164351</v>
      </c>
      <c r="Q17" s="14">
        <f t="shared" si="2"/>
        <v>0</v>
      </c>
      <c r="R17" s="1">
        <f t="shared" si="13"/>
        <v>55047</v>
      </c>
      <c r="S17" s="14">
        <f>S16</f>
        <v>0</v>
      </c>
      <c r="T17" s="32">
        <v>4035</v>
      </c>
      <c r="U17" s="14">
        <f t="shared" si="10"/>
        <v>160</v>
      </c>
    </row>
    <row r="18" spans="1:23" ht="13.5" thickBot="1" x14ac:dyDescent="0.25">
      <c r="A18" s="9">
        <v>44789</v>
      </c>
      <c r="B18" s="32">
        <v>47442</v>
      </c>
      <c r="C18" s="14">
        <f t="shared" si="3"/>
        <v>800</v>
      </c>
      <c r="D18" s="32">
        <v>40879</v>
      </c>
      <c r="E18" s="14">
        <f t="shared" si="4"/>
        <v>480</v>
      </c>
      <c r="F18" s="32">
        <v>21961</v>
      </c>
      <c r="G18" s="14">
        <f t="shared" si="5"/>
        <v>60</v>
      </c>
      <c r="H18" s="32">
        <v>257610</v>
      </c>
      <c r="I18" s="14">
        <f t="shared" si="6"/>
        <v>42</v>
      </c>
      <c r="J18" s="32">
        <v>328266</v>
      </c>
      <c r="K18" s="14">
        <f t="shared" si="7"/>
        <v>168</v>
      </c>
      <c r="L18" s="32">
        <v>26403</v>
      </c>
      <c r="M18" s="14">
        <f t="shared" si="8"/>
        <v>240</v>
      </c>
      <c r="N18" s="32">
        <v>226282</v>
      </c>
      <c r="O18" s="14">
        <f t="shared" si="9"/>
        <v>4</v>
      </c>
      <c r="P18" s="32">
        <f t="shared" si="22"/>
        <v>164351</v>
      </c>
      <c r="Q18" s="14">
        <f t="shared" si="2"/>
        <v>0</v>
      </c>
      <c r="R18" s="1">
        <f t="shared" si="13"/>
        <v>55047</v>
      </c>
      <c r="S18" s="14">
        <f t="shared" si="11"/>
        <v>0</v>
      </c>
      <c r="T18" s="32">
        <v>4036</v>
      </c>
      <c r="U18" s="14">
        <f t="shared" si="10"/>
        <v>160</v>
      </c>
    </row>
    <row r="19" spans="1:23" ht="13.5" thickBot="1" x14ac:dyDescent="0.25">
      <c r="A19" s="9">
        <v>44790</v>
      </c>
      <c r="B19" s="32">
        <f t="shared" si="15"/>
        <v>47442</v>
      </c>
      <c r="C19" s="14">
        <f t="shared" si="3"/>
        <v>0</v>
      </c>
      <c r="D19" s="32">
        <f t="shared" si="16"/>
        <v>40879</v>
      </c>
      <c r="E19" s="14">
        <f t="shared" si="4"/>
        <v>0</v>
      </c>
      <c r="F19" s="32">
        <f t="shared" si="17"/>
        <v>21961</v>
      </c>
      <c r="G19" s="14">
        <f t="shared" si="5"/>
        <v>0</v>
      </c>
      <c r="H19" s="32">
        <f t="shared" si="18"/>
        <v>257610</v>
      </c>
      <c r="I19" s="14">
        <f t="shared" si="6"/>
        <v>0</v>
      </c>
      <c r="J19" s="32">
        <f t="shared" si="19"/>
        <v>328266</v>
      </c>
      <c r="K19" s="14">
        <f t="shared" si="7"/>
        <v>0</v>
      </c>
      <c r="L19" s="32">
        <f t="shared" si="20"/>
        <v>26403</v>
      </c>
      <c r="M19" s="14">
        <f t="shared" si="8"/>
        <v>0</v>
      </c>
      <c r="N19" s="32">
        <f t="shared" si="21"/>
        <v>226282</v>
      </c>
      <c r="O19" s="14">
        <f t="shared" si="9"/>
        <v>0</v>
      </c>
      <c r="P19" s="32">
        <f t="shared" si="22"/>
        <v>164351</v>
      </c>
      <c r="Q19" s="14">
        <v>0</v>
      </c>
      <c r="R19" s="1">
        <f t="shared" si="13"/>
        <v>55047</v>
      </c>
      <c r="S19" s="14">
        <f t="shared" si="11"/>
        <v>0</v>
      </c>
      <c r="T19" s="32">
        <f t="shared" si="14"/>
        <v>4036</v>
      </c>
      <c r="U19" s="14">
        <f t="shared" si="10"/>
        <v>0</v>
      </c>
      <c r="W19" t="s">
        <v>12</v>
      </c>
    </row>
    <row r="20" spans="1:23" ht="13.5" thickBot="1" x14ac:dyDescent="0.25">
      <c r="A20" s="9">
        <v>44791</v>
      </c>
      <c r="B20" s="32">
        <f t="shared" si="15"/>
        <v>47442</v>
      </c>
      <c r="C20" s="14">
        <f t="shared" si="3"/>
        <v>0</v>
      </c>
      <c r="D20" s="32">
        <f t="shared" si="16"/>
        <v>40879</v>
      </c>
      <c r="E20" s="14">
        <f t="shared" si="4"/>
        <v>0</v>
      </c>
      <c r="F20" s="32">
        <f t="shared" si="17"/>
        <v>21961</v>
      </c>
      <c r="G20" s="14">
        <f t="shared" si="5"/>
        <v>0</v>
      </c>
      <c r="H20" s="32">
        <f t="shared" si="18"/>
        <v>257610</v>
      </c>
      <c r="I20" s="14">
        <f t="shared" si="6"/>
        <v>0</v>
      </c>
      <c r="J20" s="32">
        <f t="shared" si="19"/>
        <v>328266</v>
      </c>
      <c r="K20" s="14">
        <f t="shared" si="7"/>
        <v>0</v>
      </c>
      <c r="L20" s="32">
        <f t="shared" si="20"/>
        <v>26403</v>
      </c>
      <c r="M20" s="14">
        <f t="shared" si="8"/>
        <v>0</v>
      </c>
      <c r="N20" s="32">
        <f t="shared" si="21"/>
        <v>226282</v>
      </c>
      <c r="O20" s="14">
        <f t="shared" si="9"/>
        <v>0</v>
      </c>
      <c r="P20" s="32">
        <f t="shared" si="22"/>
        <v>164351</v>
      </c>
      <c r="Q20" s="14">
        <f t="shared" si="2"/>
        <v>0</v>
      </c>
      <c r="R20" s="1">
        <f t="shared" si="13"/>
        <v>55047</v>
      </c>
      <c r="S20" s="14">
        <f t="shared" si="11"/>
        <v>0</v>
      </c>
      <c r="T20" s="32">
        <f t="shared" si="14"/>
        <v>4036</v>
      </c>
      <c r="U20" s="14">
        <f t="shared" si="10"/>
        <v>0</v>
      </c>
    </row>
    <row r="21" spans="1:23" ht="13.5" thickBot="1" x14ac:dyDescent="0.25">
      <c r="A21" s="9">
        <v>44792</v>
      </c>
      <c r="B21" s="32">
        <f t="shared" si="15"/>
        <v>47442</v>
      </c>
      <c r="C21" s="14">
        <f t="shared" si="3"/>
        <v>0</v>
      </c>
      <c r="D21" s="32">
        <f t="shared" si="16"/>
        <v>40879</v>
      </c>
      <c r="E21" s="14">
        <f t="shared" si="4"/>
        <v>0</v>
      </c>
      <c r="F21" s="32">
        <f t="shared" si="17"/>
        <v>21961</v>
      </c>
      <c r="G21" s="14">
        <f t="shared" si="5"/>
        <v>0</v>
      </c>
      <c r="H21" s="32">
        <f t="shared" si="18"/>
        <v>257610</v>
      </c>
      <c r="I21" s="14">
        <f t="shared" si="6"/>
        <v>0</v>
      </c>
      <c r="J21" s="32">
        <f t="shared" si="19"/>
        <v>328266</v>
      </c>
      <c r="K21" s="14">
        <f t="shared" si="7"/>
        <v>0</v>
      </c>
      <c r="L21" s="32">
        <f t="shared" si="20"/>
        <v>26403</v>
      </c>
      <c r="M21" s="14">
        <f t="shared" si="8"/>
        <v>0</v>
      </c>
      <c r="N21" s="32">
        <f t="shared" si="21"/>
        <v>226282</v>
      </c>
      <c r="O21" s="14">
        <f t="shared" si="9"/>
        <v>0</v>
      </c>
      <c r="P21" s="32">
        <f t="shared" si="22"/>
        <v>164351</v>
      </c>
      <c r="Q21" s="14">
        <f t="shared" si="2"/>
        <v>0</v>
      </c>
      <c r="R21" s="1">
        <f t="shared" si="13"/>
        <v>55047</v>
      </c>
      <c r="S21" s="14">
        <f t="shared" si="11"/>
        <v>0</v>
      </c>
      <c r="T21" s="32">
        <f t="shared" si="14"/>
        <v>4036</v>
      </c>
      <c r="U21" s="14">
        <f t="shared" si="10"/>
        <v>0</v>
      </c>
    </row>
    <row r="22" spans="1:23" ht="13.5" thickBot="1" x14ac:dyDescent="0.25">
      <c r="A22" s="9">
        <v>44793</v>
      </c>
      <c r="B22" s="32">
        <f t="shared" si="15"/>
        <v>47442</v>
      </c>
      <c r="C22" s="14">
        <f t="shared" si="3"/>
        <v>0</v>
      </c>
      <c r="D22" s="32">
        <f t="shared" si="16"/>
        <v>40879</v>
      </c>
      <c r="E22" s="14">
        <f t="shared" si="4"/>
        <v>0</v>
      </c>
      <c r="F22" s="32">
        <f t="shared" si="17"/>
        <v>21961</v>
      </c>
      <c r="G22" s="14">
        <f t="shared" si="5"/>
        <v>0</v>
      </c>
      <c r="H22" s="32">
        <f t="shared" si="18"/>
        <v>257610</v>
      </c>
      <c r="I22" s="14">
        <f t="shared" si="6"/>
        <v>0</v>
      </c>
      <c r="J22" s="32">
        <f t="shared" si="19"/>
        <v>328266</v>
      </c>
      <c r="K22" s="14">
        <f t="shared" si="7"/>
        <v>0</v>
      </c>
      <c r="L22" s="32">
        <f t="shared" si="20"/>
        <v>26403</v>
      </c>
      <c r="M22" s="14">
        <f t="shared" si="8"/>
        <v>0</v>
      </c>
      <c r="N22" s="32">
        <f t="shared" si="21"/>
        <v>226282</v>
      </c>
      <c r="O22" s="14">
        <f t="shared" si="9"/>
        <v>0</v>
      </c>
      <c r="P22" s="32">
        <f t="shared" si="22"/>
        <v>164351</v>
      </c>
      <c r="Q22" s="14">
        <f t="shared" si="2"/>
        <v>0</v>
      </c>
      <c r="R22" s="1">
        <f t="shared" si="13"/>
        <v>55047</v>
      </c>
      <c r="S22" s="14">
        <f t="shared" si="11"/>
        <v>0</v>
      </c>
      <c r="T22" s="32">
        <f t="shared" si="14"/>
        <v>4036</v>
      </c>
      <c r="U22" s="14">
        <f t="shared" si="10"/>
        <v>0</v>
      </c>
    </row>
    <row r="23" spans="1:23" ht="13.5" thickBot="1" x14ac:dyDescent="0.25">
      <c r="A23" s="9">
        <v>44794</v>
      </c>
      <c r="B23" s="32">
        <f t="shared" si="15"/>
        <v>47442</v>
      </c>
      <c r="C23" s="14">
        <f t="shared" si="3"/>
        <v>0</v>
      </c>
      <c r="D23" s="32">
        <f t="shared" si="16"/>
        <v>40879</v>
      </c>
      <c r="E23" s="14">
        <f t="shared" si="4"/>
        <v>0</v>
      </c>
      <c r="F23" s="32">
        <f t="shared" si="17"/>
        <v>21961</v>
      </c>
      <c r="G23" s="14">
        <f t="shared" si="5"/>
        <v>0</v>
      </c>
      <c r="H23" s="32">
        <f t="shared" si="18"/>
        <v>257610</v>
      </c>
      <c r="I23" s="14">
        <f t="shared" si="6"/>
        <v>0</v>
      </c>
      <c r="J23" s="32">
        <f t="shared" si="19"/>
        <v>328266</v>
      </c>
      <c r="K23" s="14">
        <f t="shared" si="7"/>
        <v>0</v>
      </c>
      <c r="L23" s="32">
        <f t="shared" si="20"/>
        <v>26403</v>
      </c>
      <c r="M23" s="14">
        <f t="shared" si="8"/>
        <v>0</v>
      </c>
      <c r="N23" s="32">
        <f t="shared" si="21"/>
        <v>226282</v>
      </c>
      <c r="O23" s="14">
        <f t="shared" si="9"/>
        <v>0</v>
      </c>
      <c r="P23" s="32">
        <f t="shared" si="22"/>
        <v>164351</v>
      </c>
      <c r="Q23" s="14">
        <f t="shared" si="2"/>
        <v>0</v>
      </c>
      <c r="R23" s="1">
        <f t="shared" si="13"/>
        <v>55047</v>
      </c>
      <c r="S23" s="14">
        <f t="shared" si="11"/>
        <v>0</v>
      </c>
      <c r="T23" s="32">
        <f t="shared" si="14"/>
        <v>4036</v>
      </c>
      <c r="U23" s="14">
        <f t="shared" si="10"/>
        <v>0</v>
      </c>
    </row>
    <row r="24" spans="1:23" s="131" customFormat="1" ht="13.5" thickBot="1" x14ac:dyDescent="0.25">
      <c r="A24" s="9">
        <v>44795</v>
      </c>
      <c r="B24" s="32">
        <f t="shared" si="15"/>
        <v>47442</v>
      </c>
      <c r="C24" s="14">
        <f t="shared" si="3"/>
        <v>0</v>
      </c>
      <c r="D24" s="32">
        <f t="shared" si="16"/>
        <v>40879</v>
      </c>
      <c r="E24" s="14">
        <f t="shared" si="4"/>
        <v>0</v>
      </c>
      <c r="F24" s="32">
        <f t="shared" si="17"/>
        <v>21961</v>
      </c>
      <c r="G24" s="14">
        <f t="shared" si="5"/>
        <v>0</v>
      </c>
      <c r="H24" s="32">
        <f t="shared" si="18"/>
        <v>257610</v>
      </c>
      <c r="I24" s="14">
        <f t="shared" si="6"/>
        <v>0</v>
      </c>
      <c r="J24" s="32">
        <f t="shared" si="19"/>
        <v>328266</v>
      </c>
      <c r="K24" s="14">
        <f t="shared" si="7"/>
        <v>0</v>
      </c>
      <c r="L24" s="32">
        <f t="shared" si="20"/>
        <v>26403</v>
      </c>
      <c r="M24" s="14">
        <f t="shared" si="8"/>
        <v>0</v>
      </c>
      <c r="N24" s="32">
        <f t="shared" si="21"/>
        <v>226282</v>
      </c>
      <c r="O24" s="14">
        <f t="shared" si="9"/>
        <v>0</v>
      </c>
      <c r="P24" s="32">
        <f t="shared" si="22"/>
        <v>164351</v>
      </c>
      <c r="Q24" s="14">
        <f t="shared" si="2"/>
        <v>0</v>
      </c>
      <c r="R24" s="1">
        <f t="shared" si="13"/>
        <v>55047</v>
      </c>
      <c r="S24" s="14">
        <f t="shared" si="11"/>
        <v>0</v>
      </c>
      <c r="T24" s="32">
        <f t="shared" si="14"/>
        <v>4036</v>
      </c>
      <c r="U24" s="14">
        <f t="shared" si="10"/>
        <v>0</v>
      </c>
    </row>
    <row r="25" spans="1:23" ht="13.5" thickBot="1" x14ac:dyDescent="0.25">
      <c r="A25" s="9">
        <v>44796</v>
      </c>
      <c r="B25" s="32">
        <f t="shared" si="15"/>
        <v>47442</v>
      </c>
      <c r="C25" s="14">
        <f t="shared" si="3"/>
        <v>0</v>
      </c>
      <c r="D25" s="32">
        <f t="shared" si="16"/>
        <v>40879</v>
      </c>
      <c r="E25" s="14">
        <f t="shared" si="4"/>
        <v>0</v>
      </c>
      <c r="F25" s="32">
        <f t="shared" si="17"/>
        <v>21961</v>
      </c>
      <c r="G25" s="14">
        <f t="shared" si="5"/>
        <v>0</v>
      </c>
      <c r="H25" s="32">
        <f t="shared" si="18"/>
        <v>257610</v>
      </c>
      <c r="I25" s="14">
        <f t="shared" si="6"/>
        <v>0</v>
      </c>
      <c r="J25" s="32">
        <f t="shared" si="19"/>
        <v>328266</v>
      </c>
      <c r="K25" s="14">
        <f t="shared" si="7"/>
        <v>0</v>
      </c>
      <c r="L25" s="32">
        <f t="shared" si="20"/>
        <v>26403</v>
      </c>
      <c r="M25" s="14">
        <f t="shared" si="8"/>
        <v>0</v>
      </c>
      <c r="N25" s="32">
        <f t="shared" si="21"/>
        <v>226282</v>
      </c>
      <c r="O25" s="14">
        <f t="shared" si="9"/>
        <v>0</v>
      </c>
      <c r="P25" s="32">
        <f t="shared" si="22"/>
        <v>164351</v>
      </c>
      <c r="Q25" s="14">
        <f t="shared" si="2"/>
        <v>0</v>
      </c>
      <c r="R25" s="1">
        <f t="shared" si="13"/>
        <v>55047</v>
      </c>
      <c r="S25" s="14">
        <f t="shared" si="11"/>
        <v>0</v>
      </c>
      <c r="T25" s="32">
        <f t="shared" si="14"/>
        <v>4036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44797</v>
      </c>
      <c r="B26" s="32">
        <f t="shared" si="15"/>
        <v>47442</v>
      </c>
      <c r="C26" s="14">
        <f t="shared" si="3"/>
        <v>0</v>
      </c>
      <c r="D26" s="32">
        <f t="shared" si="16"/>
        <v>40879</v>
      </c>
      <c r="E26" s="14">
        <f t="shared" si="4"/>
        <v>0</v>
      </c>
      <c r="F26" s="32">
        <f t="shared" si="17"/>
        <v>21961</v>
      </c>
      <c r="G26" s="14">
        <f t="shared" si="5"/>
        <v>0</v>
      </c>
      <c r="H26" s="32">
        <f t="shared" si="18"/>
        <v>257610</v>
      </c>
      <c r="I26" s="14">
        <f t="shared" si="6"/>
        <v>0</v>
      </c>
      <c r="J26" s="32">
        <f t="shared" si="19"/>
        <v>328266</v>
      </c>
      <c r="K26" s="14">
        <f t="shared" si="7"/>
        <v>0</v>
      </c>
      <c r="L26" s="32">
        <f t="shared" si="20"/>
        <v>26403</v>
      </c>
      <c r="M26" s="14">
        <f t="shared" si="8"/>
        <v>0</v>
      </c>
      <c r="N26" s="32">
        <f t="shared" si="21"/>
        <v>226282</v>
      </c>
      <c r="O26" s="14">
        <f t="shared" si="9"/>
        <v>0</v>
      </c>
      <c r="P26" s="32">
        <f t="shared" si="22"/>
        <v>164351</v>
      </c>
      <c r="Q26" s="14">
        <f t="shared" si="2"/>
        <v>0</v>
      </c>
      <c r="R26" s="1">
        <f t="shared" si="13"/>
        <v>55047</v>
      </c>
      <c r="S26" s="14">
        <f t="shared" si="11"/>
        <v>0</v>
      </c>
      <c r="T26" s="32">
        <f t="shared" si="14"/>
        <v>4036</v>
      </c>
      <c r="U26" s="14">
        <f t="shared" si="10"/>
        <v>0</v>
      </c>
      <c r="W26" t="s">
        <v>12</v>
      </c>
    </row>
    <row r="27" spans="1:23" ht="13.5" thickBot="1" x14ac:dyDescent="0.25">
      <c r="A27" s="9">
        <v>44798</v>
      </c>
      <c r="B27" s="32">
        <f t="shared" si="15"/>
        <v>47442</v>
      </c>
      <c r="C27" s="14">
        <f t="shared" si="3"/>
        <v>0</v>
      </c>
      <c r="D27" s="32">
        <f t="shared" si="16"/>
        <v>40879</v>
      </c>
      <c r="E27" s="14">
        <f t="shared" si="4"/>
        <v>0</v>
      </c>
      <c r="F27" s="32">
        <f t="shared" si="17"/>
        <v>21961</v>
      </c>
      <c r="G27" s="14">
        <f t="shared" si="5"/>
        <v>0</v>
      </c>
      <c r="H27" s="32">
        <f t="shared" si="18"/>
        <v>257610</v>
      </c>
      <c r="I27" s="14">
        <f t="shared" si="6"/>
        <v>0</v>
      </c>
      <c r="J27" s="32">
        <f t="shared" si="19"/>
        <v>328266</v>
      </c>
      <c r="K27" s="14">
        <f t="shared" si="7"/>
        <v>0</v>
      </c>
      <c r="L27" s="32">
        <f t="shared" si="20"/>
        <v>26403</v>
      </c>
      <c r="M27" s="14">
        <f t="shared" si="8"/>
        <v>0</v>
      </c>
      <c r="N27" s="32">
        <f t="shared" si="21"/>
        <v>226282</v>
      </c>
      <c r="O27" s="14">
        <f t="shared" si="9"/>
        <v>0</v>
      </c>
      <c r="P27" s="32">
        <f t="shared" si="22"/>
        <v>164351</v>
      </c>
      <c r="Q27" s="14">
        <f t="shared" si="2"/>
        <v>0</v>
      </c>
      <c r="R27" s="1">
        <f t="shared" si="13"/>
        <v>55047</v>
      </c>
      <c r="S27" s="14">
        <f t="shared" si="11"/>
        <v>0</v>
      </c>
      <c r="T27" s="32">
        <f t="shared" si="14"/>
        <v>4036</v>
      </c>
      <c r="U27" s="14">
        <f t="shared" si="10"/>
        <v>0</v>
      </c>
    </row>
    <row r="28" spans="1:23" ht="13.5" thickBot="1" x14ac:dyDescent="0.25">
      <c r="A28" s="9">
        <v>44799</v>
      </c>
      <c r="B28" s="32">
        <f t="shared" si="15"/>
        <v>47442</v>
      </c>
      <c r="C28" s="14">
        <f t="shared" si="3"/>
        <v>0</v>
      </c>
      <c r="D28" s="32">
        <f t="shared" si="16"/>
        <v>40879</v>
      </c>
      <c r="E28" s="14">
        <f t="shared" si="4"/>
        <v>0</v>
      </c>
      <c r="F28" s="32">
        <f t="shared" si="17"/>
        <v>21961</v>
      </c>
      <c r="G28" s="14">
        <f t="shared" si="5"/>
        <v>0</v>
      </c>
      <c r="H28" s="32">
        <f t="shared" si="18"/>
        <v>257610</v>
      </c>
      <c r="I28" s="14">
        <f t="shared" si="6"/>
        <v>0</v>
      </c>
      <c r="J28" s="32">
        <f t="shared" si="19"/>
        <v>328266</v>
      </c>
      <c r="K28" s="14">
        <f t="shared" si="7"/>
        <v>0</v>
      </c>
      <c r="L28" s="32">
        <f t="shared" si="20"/>
        <v>26403</v>
      </c>
      <c r="M28" s="14">
        <f t="shared" si="8"/>
        <v>0</v>
      </c>
      <c r="N28" s="32">
        <f t="shared" si="21"/>
        <v>226282</v>
      </c>
      <c r="O28" s="14">
        <f t="shared" si="9"/>
        <v>0</v>
      </c>
      <c r="P28" s="32">
        <f t="shared" si="22"/>
        <v>164351</v>
      </c>
      <c r="Q28" s="14">
        <f t="shared" si="2"/>
        <v>0</v>
      </c>
      <c r="R28" s="1">
        <f t="shared" si="13"/>
        <v>55047</v>
      </c>
      <c r="S28" s="15">
        <f t="shared" si="11"/>
        <v>0</v>
      </c>
      <c r="T28" s="32">
        <f t="shared" si="14"/>
        <v>4036</v>
      </c>
      <c r="U28" s="14">
        <f t="shared" si="10"/>
        <v>0</v>
      </c>
    </row>
    <row r="29" spans="1:23" ht="13.5" thickBot="1" x14ac:dyDescent="0.25">
      <c r="A29" s="9">
        <v>44800</v>
      </c>
      <c r="B29" s="32">
        <f t="shared" si="15"/>
        <v>47442</v>
      </c>
      <c r="C29" s="14">
        <f t="shared" si="3"/>
        <v>0</v>
      </c>
      <c r="D29" s="32">
        <f t="shared" si="16"/>
        <v>40879</v>
      </c>
      <c r="E29" s="14">
        <f t="shared" si="4"/>
        <v>0</v>
      </c>
      <c r="F29" s="32">
        <f t="shared" si="17"/>
        <v>21961</v>
      </c>
      <c r="G29" s="14">
        <f t="shared" si="5"/>
        <v>0</v>
      </c>
      <c r="H29" s="32">
        <f t="shared" si="18"/>
        <v>257610</v>
      </c>
      <c r="I29" s="14">
        <f t="shared" si="6"/>
        <v>0</v>
      </c>
      <c r="J29" s="32">
        <f t="shared" si="19"/>
        <v>328266</v>
      </c>
      <c r="K29" s="14">
        <f t="shared" si="7"/>
        <v>0</v>
      </c>
      <c r="L29" s="32">
        <f t="shared" si="20"/>
        <v>26403</v>
      </c>
      <c r="M29" s="14">
        <f t="shared" si="8"/>
        <v>0</v>
      </c>
      <c r="N29" s="32">
        <f t="shared" si="21"/>
        <v>226282</v>
      </c>
      <c r="O29" s="14">
        <f t="shared" si="9"/>
        <v>0</v>
      </c>
      <c r="P29" s="32">
        <f t="shared" si="22"/>
        <v>164351</v>
      </c>
      <c r="Q29" s="14">
        <f t="shared" si="2"/>
        <v>0</v>
      </c>
      <c r="R29" s="1">
        <f t="shared" si="13"/>
        <v>55047</v>
      </c>
      <c r="S29" s="14">
        <f t="shared" si="11"/>
        <v>0</v>
      </c>
      <c r="T29" s="32">
        <f t="shared" si="14"/>
        <v>4036</v>
      </c>
      <c r="U29" s="14">
        <f t="shared" si="10"/>
        <v>0</v>
      </c>
    </row>
    <row r="30" spans="1:23" ht="13.5" thickBot="1" x14ac:dyDescent="0.25">
      <c r="A30" s="9">
        <v>44801</v>
      </c>
      <c r="B30" s="32">
        <f t="shared" si="15"/>
        <v>47442</v>
      </c>
      <c r="C30" s="14">
        <f t="shared" si="3"/>
        <v>0</v>
      </c>
      <c r="D30" s="32">
        <f t="shared" si="16"/>
        <v>40879</v>
      </c>
      <c r="E30" s="14">
        <f t="shared" si="4"/>
        <v>0</v>
      </c>
      <c r="F30" s="32">
        <f t="shared" si="17"/>
        <v>21961</v>
      </c>
      <c r="G30" s="14">
        <f t="shared" si="5"/>
        <v>0</v>
      </c>
      <c r="H30" s="32">
        <f t="shared" si="18"/>
        <v>257610</v>
      </c>
      <c r="I30" s="14">
        <f t="shared" si="6"/>
        <v>0</v>
      </c>
      <c r="J30" s="32">
        <f t="shared" si="19"/>
        <v>328266</v>
      </c>
      <c r="K30" s="14">
        <f t="shared" si="7"/>
        <v>0</v>
      </c>
      <c r="L30" s="32">
        <f t="shared" si="20"/>
        <v>26403</v>
      </c>
      <c r="M30" s="14">
        <f t="shared" si="8"/>
        <v>0</v>
      </c>
      <c r="N30" s="32">
        <f t="shared" si="21"/>
        <v>226282</v>
      </c>
      <c r="O30" s="14">
        <f t="shared" si="9"/>
        <v>0</v>
      </c>
      <c r="P30" s="32">
        <f t="shared" si="22"/>
        <v>164351</v>
      </c>
      <c r="Q30" s="14">
        <f t="shared" si="2"/>
        <v>0</v>
      </c>
      <c r="R30" s="1">
        <f t="shared" si="13"/>
        <v>55047</v>
      </c>
      <c r="S30" s="14">
        <f t="shared" si="11"/>
        <v>0</v>
      </c>
      <c r="T30" s="32">
        <f t="shared" si="14"/>
        <v>4036</v>
      </c>
      <c r="U30" s="14">
        <f t="shared" si="10"/>
        <v>0</v>
      </c>
    </row>
    <row r="31" spans="1:23" ht="13.5" thickBot="1" x14ac:dyDescent="0.25">
      <c r="A31" s="9">
        <v>44802</v>
      </c>
      <c r="B31" s="32">
        <f t="shared" si="15"/>
        <v>47442</v>
      </c>
      <c r="C31" s="14">
        <f t="shared" si="3"/>
        <v>0</v>
      </c>
      <c r="D31" s="32">
        <f t="shared" si="16"/>
        <v>40879</v>
      </c>
      <c r="E31" s="14">
        <f t="shared" si="4"/>
        <v>0</v>
      </c>
      <c r="F31" s="32">
        <f t="shared" si="17"/>
        <v>21961</v>
      </c>
      <c r="G31" s="14">
        <f t="shared" si="5"/>
        <v>0</v>
      </c>
      <c r="H31" s="32">
        <f t="shared" si="18"/>
        <v>257610</v>
      </c>
      <c r="I31" s="14">
        <f t="shared" si="6"/>
        <v>0</v>
      </c>
      <c r="J31" s="32">
        <f t="shared" si="19"/>
        <v>328266</v>
      </c>
      <c r="K31" s="14">
        <f t="shared" si="7"/>
        <v>0</v>
      </c>
      <c r="L31" s="32">
        <f t="shared" si="20"/>
        <v>26403</v>
      </c>
      <c r="M31" s="14">
        <f t="shared" si="8"/>
        <v>0</v>
      </c>
      <c r="N31" s="32">
        <f t="shared" si="21"/>
        <v>226282</v>
      </c>
      <c r="O31" s="14">
        <f t="shared" si="9"/>
        <v>0</v>
      </c>
      <c r="P31" s="32">
        <f t="shared" si="22"/>
        <v>164351</v>
      </c>
      <c r="Q31" s="14">
        <f t="shared" si="2"/>
        <v>0</v>
      </c>
      <c r="R31" s="1">
        <f t="shared" si="13"/>
        <v>55047</v>
      </c>
      <c r="S31" s="14">
        <v>0</v>
      </c>
      <c r="T31" s="32">
        <f t="shared" si="14"/>
        <v>4036</v>
      </c>
      <c r="U31" s="14">
        <f t="shared" si="10"/>
        <v>0</v>
      </c>
    </row>
    <row r="32" spans="1:23" ht="13.5" thickBot="1" x14ac:dyDescent="0.25">
      <c r="A32" s="9">
        <v>44803</v>
      </c>
      <c r="B32" s="32">
        <f t="shared" si="15"/>
        <v>47442</v>
      </c>
      <c r="C32" s="14">
        <f t="shared" si="3"/>
        <v>0</v>
      </c>
      <c r="D32" s="32">
        <f t="shared" si="16"/>
        <v>40879</v>
      </c>
      <c r="E32" s="14">
        <f t="shared" si="4"/>
        <v>0</v>
      </c>
      <c r="F32" s="32">
        <f t="shared" si="17"/>
        <v>21961</v>
      </c>
      <c r="G32" s="14">
        <f t="shared" si="5"/>
        <v>0</v>
      </c>
      <c r="H32" s="32">
        <f t="shared" si="18"/>
        <v>257610</v>
      </c>
      <c r="I32" s="14">
        <f t="shared" si="6"/>
        <v>0</v>
      </c>
      <c r="J32" s="32">
        <f t="shared" si="19"/>
        <v>328266</v>
      </c>
      <c r="K32" s="14">
        <f t="shared" si="7"/>
        <v>0</v>
      </c>
      <c r="L32" s="32">
        <f t="shared" si="20"/>
        <v>26403</v>
      </c>
      <c r="M32" s="14">
        <f t="shared" si="8"/>
        <v>0</v>
      </c>
      <c r="N32" s="32">
        <f t="shared" si="21"/>
        <v>226282</v>
      </c>
      <c r="O32" s="14">
        <f t="shared" si="9"/>
        <v>0</v>
      </c>
      <c r="P32" s="32">
        <f t="shared" si="22"/>
        <v>164351</v>
      </c>
      <c r="Q32" s="14">
        <f t="shared" si="2"/>
        <v>0</v>
      </c>
      <c r="R32" s="1">
        <f t="shared" si="13"/>
        <v>55047</v>
      </c>
      <c r="S32" s="14">
        <f t="shared" si="11"/>
        <v>0</v>
      </c>
      <c r="T32" s="32">
        <f t="shared" si="14"/>
        <v>4036</v>
      </c>
      <c r="U32" s="14">
        <f t="shared" si="10"/>
        <v>0</v>
      </c>
    </row>
    <row r="33" spans="1:21" ht="13.5" thickBot="1" x14ac:dyDescent="0.25">
      <c r="A33" s="9">
        <v>44804</v>
      </c>
      <c r="B33" s="32">
        <f t="shared" si="15"/>
        <v>47442</v>
      </c>
      <c r="C33" s="14">
        <f t="shared" si="3"/>
        <v>0</v>
      </c>
      <c r="D33" s="32">
        <f t="shared" si="16"/>
        <v>40879</v>
      </c>
      <c r="E33" s="14">
        <f t="shared" si="4"/>
        <v>0</v>
      </c>
      <c r="F33" s="32">
        <f t="shared" si="17"/>
        <v>21961</v>
      </c>
      <c r="G33" s="14">
        <f t="shared" si="5"/>
        <v>0</v>
      </c>
      <c r="H33" s="32">
        <f t="shared" si="18"/>
        <v>257610</v>
      </c>
      <c r="I33" s="14">
        <f t="shared" si="6"/>
        <v>0</v>
      </c>
      <c r="J33" s="32">
        <f t="shared" si="19"/>
        <v>328266</v>
      </c>
      <c r="K33" s="14">
        <f t="shared" si="7"/>
        <v>0</v>
      </c>
      <c r="L33" s="32">
        <f t="shared" si="20"/>
        <v>26403</v>
      </c>
      <c r="M33" s="14">
        <f t="shared" si="8"/>
        <v>0</v>
      </c>
      <c r="N33" s="32">
        <f t="shared" si="21"/>
        <v>226282</v>
      </c>
      <c r="O33" s="14">
        <f t="shared" si="9"/>
        <v>0</v>
      </c>
      <c r="P33" s="32">
        <f t="shared" si="22"/>
        <v>164351</v>
      </c>
      <c r="Q33" s="14">
        <f t="shared" si="2"/>
        <v>0</v>
      </c>
      <c r="R33" s="1">
        <f t="shared" si="13"/>
        <v>55047</v>
      </c>
      <c r="S33" s="14">
        <f>SUM(S3:S32)</f>
        <v>0</v>
      </c>
      <c r="T33" s="32">
        <f t="shared" si="14"/>
        <v>4036</v>
      </c>
      <c r="U33" s="14">
        <f t="shared" si="10"/>
        <v>0</v>
      </c>
    </row>
    <row r="34" spans="1:21" ht="13.5" thickBot="1" x14ac:dyDescent="0.25">
      <c r="A34" s="14" t="s">
        <v>23</v>
      </c>
      <c r="B34" s="14"/>
      <c r="C34" s="14">
        <f>SUM(C3:C33)</f>
        <v>11520</v>
      </c>
      <c r="D34" s="14"/>
      <c r="E34" s="14">
        <f>SUM(E3:E33)</f>
        <v>7520</v>
      </c>
      <c r="F34" s="14"/>
      <c r="G34" s="14">
        <f>SUM(G3:G33)</f>
        <v>1180</v>
      </c>
      <c r="H34" s="14"/>
      <c r="I34" s="14">
        <f>SUM(I3:I33)</f>
        <v>574</v>
      </c>
      <c r="J34" s="14"/>
      <c r="K34" s="14">
        <f>SUM(K3:K33)</f>
        <v>2551</v>
      </c>
      <c r="L34" s="14"/>
      <c r="M34" s="14">
        <f>SUM(M3:M33)</f>
        <v>2940</v>
      </c>
      <c r="N34" s="14"/>
      <c r="O34" s="14">
        <f>SUM(O3:O33)</f>
        <v>52</v>
      </c>
      <c r="P34" s="14"/>
      <c r="Q34" s="14">
        <f>SUM(Q3:Q33)</f>
        <v>1740</v>
      </c>
      <c r="R34" s="14"/>
      <c r="S34" s="14">
        <f>SUM(S3:S33)</f>
        <v>0</v>
      </c>
      <c r="T34" s="14"/>
      <c r="U34" s="14">
        <f>SUM(U3:U33)</f>
        <v>1120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opLeftCell="E1" zoomScaleNormal="100" zoomScaleSheetLayoutView="110" workbookViewId="0">
      <pane ySplit="1" topLeftCell="A2" activePane="bottomLeft" state="frozen"/>
      <selection pane="bottomLeft" activeCell="Z18" sqref="Z18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3.8554687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44773</v>
      </c>
      <c r="B2" s="38">
        <v>170</v>
      </c>
      <c r="C2" s="144">
        <v>19927</v>
      </c>
      <c r="D2" s="38"/>
      <c r="E2" s="145">
        <v>32445770</v>
      </c>
      <c r="F2" s="38"/>
      <c r="G2" s="146">
        <v>2929341</v>
      </c>
      <c r="H2" s="38"/>
      <c r="I2" s="147">
        <f t="shared" ref="I2" si="0">F2+H2</f>
        <v>0</v>
      </c>
      <c r="J2" s="145">
        <v>245034</v>
      </c>
      <c r="K2" s="129"/>
      <c r="L2" s="148">
        <v>497687</v>
      </c>
      <c r="M2" s="38"/>
      <c r="N2" s="145">
        <v>7113857</v>
      </c>
      <c r="O2" s="38"/>
      <c r="P2" s="148">
        <v>7467951</v>
      </c>
      <c r="Q2" s="38"/>
      <c r="R2" s="145">
        <v>21870756</v>
      </c>
      <c r="S2" s="38"/>
      <c r="T2" s="145">
        <v>0</v>
      </c>
      <c r="U2" s="149"/>
      <c r="V2" s="145">
        <v>9866667</v>
      </c>
      <c r="W2" s="38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44774</v>
      </c>
      <c r="B3" s="38"/>
      <c r="C3" s="144">
        <v>19933</v>
      </c>
      <c r="D3" s="38">
        <f>IF((C3-C2)&lt;0,"0",(C3-C2))*160</f>
        <v>960</v>
      </c>
      <c r="E3" s="145">
        <v>32473240</v>
      </c>
      <c r="F3" s="38">
        <f>IF((E3-E2)&lt;0,"0",(E3-E2))</f>
        <v>27470</v>
      </c>
      <c r="G3" s="146">
        <v>2989242</v>
      </c>
      <c r="H3" s="38">
        <f>IF((G3-G2)&lt;0,"0",(G3-G2))</f>
        <v>59901</v>
      </c>
      <c r="I3" s="19">
        <f>F3+H3</f>
        <v>87371</v>
      </c>
      <c r="J3" s="145">
        <v>252021</v>
      </c>
      <c r="K3" s="38">
        <f>(IF((J3-J2)&lt;L90,"0",(J3-J2)))*2</f>
        <v>13974</v>
      </c>
      <c r="L3" s="148">
        <v>505000</v>
      </c>
      <c r="M3" s="38">
        <f>IF((L3-L2)&lt;0,"0",(L3-L2))</f>
        <v>7313</v>
      </c>
      <c r="N3" s="145">
        <v>7123859</v>
      </c>
      <c r="O3" s="38">
        <f>(IF((N3-N2)&lt;P90,"0",(N3-N2)))*2</f>
        <v>20004</v>
      </c>
      <c r="P3" s="148">
        <v>7483440</v>
      </c>
      <c r="Q3" s="38">
        <f>IF((P3-P2)&lt;0,"0",(P3-P2))</f>
        <v>15489</v>
      </c>
      <c r="R3" s="145">
        <v>21882242</v>
      </c>
      <c r="S3" s="38">
        <f>IF((R3-R2)&lt;0,"0",(R3-R2))</f>
        <v>11486</v>
      </c>
      <c r="T3" s="145">
        <v>0</v>
      </c>
      <c r="U3" s="149"/>
      <c r="V3" s="145">
        <v>9879425</v>
      </c>
      <c r="W3" s="38">
        <f>IF((V3-V2)&lt;0,"0",(V3-V2))</f>
        <v>12758</v>
      </c>
      <c r="X3" s="19">
        <f>K3+M3+O3+Q3+S3+U3+W3</f>
        <v>81024</v>
      </c>
      <c r="Y3" s="150">
        <f>I3-X3</f>
        <v>6347</v>
      </c>
      <c r="Z3" s="3">
        <f>(0.93352*(W3+S3)+0.5568*(Q3+O3))*0.26</f>
        <v>11022.6379328</v>
      </c>
      <c r="AA3" s="3">
        <f>SUM(Z1:Z3)</f>
        <v>11022.6379328</v>
      </c>
    </row>
    <row r="4" spans="1:27" ht="16.5" thickBot="1" x14ac:dyDescent="0.3">
      <c r="A4" s="9">
        <v>44775</v>
      </c>
      <c r="B4" s="38">
        <v>195</v>
      </c>
      <c r="C4" s="144">
        <v>19937</v>
      </c>
      <c r="D4" s="38">
        <f t="shared" ref="D4:D29" si="4">IF((C4-C3)&lt;0,"0",(C4-C3))*160</f>
        <v>640</v>
      </c>
      <c r="E4" s="145">
        <v>32493929</v>
      </c>
      <c r="F4" s="38">
        <f t="shared" ref="F4:F29" si="5">IF((E4-E3)&lt;0,"0",(E4-E3))</f>
        <v>20689</v>
      </c>
      <c r="G4" s="146">
        <v>3036299</v>
      </c>
      <c r="H4" s="38">
        <f t="shared" ref="H4:H33" si="6">IF((G4-G3)&lt;0,"0",(G4-G3))</f>
        <v>47057</v>
      </c>
      <c r="I4" s="147">
        <f t="shared" ref="I4:I30" si="7">F4+H4</f>
        <v>67746</v>
      </c>
      <c r="J4" s="145">
        <v>256996</v>
      </c>
      <c r="K4" s="38">
        <f>(IF((J4-J3)&lt;L92,"0",(J4-J3)))*2</f>
        <v>9950</v>
      </c>
      <c r="L4" s="148">
        <v>510657</v>
      </c>
      <c r="M4" s="38">
        <f t="shared" ref="M4:M29" si="8">IF((L4-L3)&lt;0,"0",(L4-L3))</f>
        <v>5657</v>
      </c>
      <c r="N4" s="145">
        <v>7131275</v>
      </c>
      <c r="O4" s="38">
        <f>(IF((N4-N3)&lt;P92,"0",(N4-N3)))*2</f>
        <v>14832</v>
      </c>
      <c r="P4" s="148">
        <v>7495300</v>
      </c>
      <c r="Q4" s="38">
        <f t="shared" ref="Q4:Q29" si="9">IF((P4-P3)&lt;0,"0",(P4-P3))</f>
        <v>11860</v>
      </c>
      <c r="R4" s="145">
        <v>21891060</v>
      </c>
      <c r="S4" s="38">
        <f t="shared" ref="S4:S29" si="10">IF((R4-R3)&lt;0,"0",(R4-R3))</f>
        <v>8818</v>
      </c>
      <c r="T4" s="145">
        <v>0</v>
      </c>
      <c r="U4" s="149"/>
      <c r="V4" s="145">
        <v>9889610</v>
      </c>
      <c r="W4" s="38">
        <f t="shared" ref="W4:W29" si="11">IF((V4-V3)&lt;0,"0",(V4-V3))</f>
        <v>10185</v>
      </c>
      <c r="X4" s="19">
        <f t="shared" ref="X4:X30" si="12">K4+M4+O4+Q4+S4+U4+W4</f>
        <v>61302</v>
      </c>
      <c r="Y4" s="150">
        <f t="shared" ref="Y4:Y30" si="13">I4-X4</f>
        <v>6444</v>
      </c>
      <c r="Z4" s="3">
        <f t="shared" ref="Z4:Z30" si="14">(0.93352*(W4+S4)+0.5568*(Q4+O4))*0.26</f>
        <v>8476.4644016000002</v>
      </c>
      <c r="AA4" s="3">
        <f>SUM(Z1:Z4)</f>
        <v>19499.102334399999</v>
      </c>
    </row>
    <row r="5" spans="1:27" ht="16.5" thickBot="1" x14ac:dyDescent="0.3">
      <c r="A5" s="9">
        <v>44776</v>
      </c>
      <c r="B5" s="38">
        <v>180</v>
      </c>
      <c r="C5" s="144">
        <v>19941</v>
      </c>
      <c r="D5" s="38">
        <f t="shared" si="4"/>
        <v>640</v>
      </c>
      <c r="E5" s="145">
        <v>32518366</v>
      </c>
      <c r="F5" s="38">
        <f t="shared" si="5"/>
        <v>24437</v>
      </c>
      <c r="G5" s="146">
        <v>3092596</v>
      </c>
      <c r="H5" s="38">
        <f t="shared" si="6"/>
        <v>56297</v>
      </c>
      <c r="I5" s="147">
        <f t="shared" si="7"/>
        <v>80734</v>
      </c>
      <c r="J5" s="145">
        <v>262785</v>
      </c>
      <c r="K5" s="38">
        <f t="shared" ref="K5:K33" si="15">(IF((J5-J4)&lt;0,"0",(J5-J4)))*2</f>
        <v>11578</v>
      </c>
      <c r="L5" s="148">
        <v>517507</v>
      </c>
      <c r="M5" s="38">
        <f t="shared" si="8"/>
        <v>6850</v>
      </c>
      <c r="N5" s="145">
        <v>7139966</v>
      </c>
      <c r="O5" s="38">
        <f t="shared" ref="O5:O29" si="16">(IF((N5-N4)&lt;0,"0",(N5-N4)))*2</f>
        <v>17382</v>
      </c>
      <c r="P5" s="148">
        <v>7509276</v>
      </c>
      <c r="Q5" s="38">
        <f t="shared" si="9"/>
        <v>13976</v>
      </c>
      <c r="R5" s="145">
        <v>21901711</v>
      </c>
      <c r="S5" s="38">
        <f t="shared" si="10"/>
        <v>10651</v>
      </c>
      <c r="T5" s="145">
        <v>0</v>
      </c>
      <c r="U5" s="149"/>
      <c r="V5" s="145">
        <v>9901936</v>
      </c>
      <c r="W5" s="38">
        <f t="shared" si="11"/>
        <v>12326</v>
      </c>
      <c r="X5" s="19">
        <f t="shared" si="12"/>
        <v>72763</v>
      </c>
      <c r="Y5" s="150">
        <f t="shared" si="13"/>
        <v>7971</v>
      </c>
      <c r="Z5" s="3">
        <f t="shared" si="14"/>
        <v>10116.502094399999</v>
      </c>
      <c r="AA5" s="3">
        <f>SUM(Z1:Z5)</f>
        <v>29615.604428799998</v>
      </c>
    </row>
    <row r="6" spans="1:27" ht="16.5" thickBot="1" x14ac:dyDescent="0.3">
      <c r="A6" s="9">
        <v>44777</v>
      </c>
      <c r="B6" s="38">
        <v>201</v>
      </c>
      <c r="C6" s="144">
        <v>19945</v>
      </c>
      <c r="D6" s="38">
        <f t="shared" si="4"/>
        <v>640</v>
      </c>
      <c r="E6" s="145">
        <v>32547393</v>
      </c>
      <c r="F6" s="38">
        <f t="shared" si="5"/>
        <v>29027</v>
      </c>
      <c r="G6" s="146">
        <v>3158751</v>
      </c>
      <c r="H6" s="38">
        <f t="shared" si="6"/>
        <v>66155</v>
      </c>
      <c r="I6" s="147">
        <f t="shared" si="7"/>
        <v>95182</v>
      </c>
      <c r="J6" s="145">
        <v>269486</v>
      </c>
      <c r="K6" s="38">
        <f t="shared" si="15"/>
        <v>13402</v>
      </c>
      <c r="L6" s="148">
        <v>525583</v>
      </c>
      <c r="M6" s="38">
        <f t="shared" si="8"/>
        <v>8076</v>
      </c>
      <c r="N6" s="145">
        <v>7150327</v>
      </c>
      <c r="O6" s="38">
        <f t="shared" si="16"/>
        <v>20722</v>
      </c>
      <c r="P6" s="148">
        <v>7525549</v>
      </c>
      <c r="Q6" s="38">
        <f t="shared" si="9"/>
        <v>16273</v>
      </c>
      <c r="R6" s="145">
        <v>21914586</v>
      </c>
      <c r="S6" s="38">
        <f t="shared" si="10"/>
        <v>12875</v>
      </c>
      <c r="T6" s="145">
        <v>0</v>
      </c>
      <c r="U6" s="149"/>
      <c r="V6" s="145">
        <v>9916381</v>
      </c>
      <c r="W6" s="38">
        <f t="shared" si="11"/>
        <v>14445</v>
      </c>
      <c r="X6" s="19">
        <f t="shared" si="12"/>
        <v>85793</v>
      </c>
      <c r="Y6" s="150">
        <f t="shared" si="13"/>
        <v>9389</v>
      </c>
      <c r="Z6" s="3">
        <f t="shared" si="14"/>
        <v>11986.671424</v>
      </c>
      <c r="AA6" s="3">
        <f>SUM(Z1:Z6)</f>
        <v>41602.275852799998</v>
      </c>
    </row>
    <row r="7" spans="1:27" ht="16.5" thickBot="1" x14ac:dyDescent="0.3">
      <c r="A7" s="9">
        <v>44778</v>
      </c>
      <c r="B7" s="38">
        <v>198</v>
      </c>
      <c r="C7" s="144">
        <v>19949</v>
      </c>
      <c r="D7" s="38">
        <f t="shared" si="4"/>
        <v>640</v>
      </c>
      <c r="E7" s="145">
        <v>32573083</v>
      </c>
      <c r="F7" s="38">
        <f t="shared" si="5"/>
        <v>25690</v>
      </c>
      <c r="G7" s="146">
        <v>3217926</v>
      </c>
      <c r="H7" s="38">
        <f t="shared" si="6"/>
        <v>59175</v>
      </c>
      <c r="I7" s="147">
        <f t="shared" si="7"/>
        <v>84865</v>
      </c>
      <c r="J7" s="145">
        <v>274900</v>
      </c>
      <c r="K7" s="38">
        <f t="shared" si="15"/>
        <v>10828</v>
      </c>
      <c r="L7" s="148">
        <v>532349</v>
      </c>
      <c r="M7" s="38">
        <f t="shared" si="8"/>
        <v>6766</v>
      </c>
      <c r="N7" s="145">
        <v>7156566</v>
      </c>
      <c r="O7" s="38">
        <f t="shared" si="16"/>
        <v>12478</v>
      </c>
      <c r="P7" s="148">
        <v>7540180</v>
      </c>
      <c r="Q7" s="38">
        <f t="shared" si="9"/>
        <v>14631</v>
      </c>
      <c r="R7" s="145">
        <v>21926383</v>
      </c>
      <c r="S7" s="38">
        <f t="shared" si="10"/>
        <v>11797</v>
      </c>
      <c r="T7" s="145">
        <v>0</v>
      </c>
      <c r="U7" s="149"/>
      <c r="V7" s="145">
        <v>9929420</v>
      </c>
      <c r="W7" s="38">
        <f t="shared" si="11"/>
        <v>13039</v>
      </c>
      <c r="X7" s="19">
        <f t="shared" si="12"/>
        <v>69539</v>
      </c>
      <c r="Y7" s="150">
        <f t="shared" si="13"/>
        <v>15326</v>
      </c>
      <c r="Z7" s="3">
        <f t="shared" si="14"/>
        <v>9952.5904192000016</v>
      </c>
      <c r="AA7" s="3">
        <f>SUM(Z1:Z7)</f>
        <v>51554.866271999999</v>
      </c>
    </row>
    <row r="8" spans="1:27" ht="16.5" thickBot="1" x14ac:dyDescent="0.3">
      <c r="A8" s="9">
        <v>44779</v>
      </c>
      <c r="B8" s="38">
        <v>195</v>
      </c>
      <c r="C8" s="144">
        <v>19954</v>
      </c>
      <c r="D8" s="38">
        <f t="shared" si="4"/>
        <v>800</v>
      </c>
      <c r="E8" s="145">
        <v>32591255</v>
      </c>
      <c r="F8" s="38">
        <f t="shared" si="5"/>
        <v>18172</v>
      </c>
      <c r="G8" s="146">
        <v>3259359</v>
      </c>
      <c r="H8" s="38">
        <f t="shared" si="6"/>
        <v>41433</v>
      </c>
      <c r="I8" s="147">
        <f t="shared" si="7"/>
        <v>59605</v>
      </c>
      <c r="J8" s="145">
        <v>278791</v>
      </c>
      <c r="K8" s="38">
        <f t="shared" si="15"/>
        <v>7782</v>
      </c>
      <c r="L8" s="148">
        <v>537252</v>
      </c>
      <c r="M8" s="38">
        <f t="shared" si="8"/>
        <v>4903</v>
      </c>
      <c r="N8" s="145">
        <v>7166222</v>
      </c>
      <c r="O8" s="38">
        <f t="shared" si="16"/>
        <v>19312</v>
      </c>
      <c r="P8" s="148">
        <v>7550526</v>
      </c>
      <c r="Q8" s="38">
        <f t="shared" si="9"/>
        <v>10346</v>
      </c>
      <c r="R8" s="145">
        <v>21934364</v>
      </c>
      <c r="S8" s="38">
        <f t="shared" si="10"/>
        <v>7981</v>
      </c>
      <c r="T8" s="145">
        <v>0</v>
      </c>
      <c r="U8" s="149"/>
      <c r="V8" s="145">
        <v>9938584</v>
      </c>
      <c r="W8" s="38">
        <f t="shared" si="11"/>
        <v>9164</v>
      </c>
      <c r="X8" s="19">
        <f t="shared" si="12"/>
        <v>59488</v>
      </c>
      <c r="Y8" s="150">
        <f t="shared" si="13"/>
        <v>117</v>
      </c>
      <c r="Z8" s="3">
        <f t="shared" si="14"/>
        <v>8454.8814480000001</v>
      </c>
      <c r="AA8" s="3">
        <f>SUM(Z1:Z8)</f>
        <v>60009.747719999999</v>
      </c>
    </row>
    <row r="9" spans="1:27" ht="16.5" thickBot="1" x14ac:dyDescent="0.3">
      <c r="A9" s="9">
        <v>44780</v>
      </c>
      <c r="B9" s="38">
        <v>185</v>
      </c>
      <c r="C9" s="144">
        <v>19958</v>
      </c>
      <c r="D9" s="38">
        <f t="shared" si="4"/>
        <v>640</v>
      </c>
      <c r="E9" s="145">
        <v>32617775</v>
      </c>
      <c r="F9" s="38">
        <f t="shared" si="5"/>
        <v>26520</v>
      </c>
      <c r="G9" s="146">
        <v>3319471</v>
      </c>
      <c r="H9" s="38">
        <f t="shared" si="6"/>
        <v>60112</v>
      </c>
      <c r="I9" s="147">
        <f t="shared" si="7"/>
        <v>86632</v>
      </c>
      <c r="J9" s="145">
        <v>284702</v>
      </c>
      <c r="K9" s="38">
        <f t="shared" si="15"/>
        <v>11822</v>
      </c>
      <c r="L9" s="148">
        <v>544460</v>
      </c>
      <c r="M9" s="38">
        <f t="shared" si="8"/>
        <v>7208</v>
      </c>
      <c r="N9" s="145">
        <v>7175764</v>
      </c>
      <c r="O9" s="38">
        <f t="shared" si="16"/>
        <v>19084</v>
      </c>
      <c r="P9" s="148">
        <v>7565534</v>
      </c>
      <c r="Q9" s="38">
        <f t="shared" si="9"/>
        <v>15008</v>
      </c>
      <c r="R9" s="145">
        <v>21945860</v>
      </c>
      <c r="S9" s="38">
        <f t="shared" si="10"/>
        <v>11496</v>
      </c>
      <c r="T9" s="145">
        <v>0</v>
      </c>
      <c r="U9" s="149"/>
      <c r="V9" s="145">
        <v>9951809</v>
      </c>
      <c r="W9" s="38">
        <f t="shared" si="11"/>
        <v>13225</v>
      </c>
      <c r="X9" s="19">
        <f t="shared" si="12"/>
        <v>77843</v>
      </c>
      <c r="Y9" s="150">
        <f t="shared" si="13"/>
        <v>8789</v>
      </c>
      <c r="Z9" s="3">
        <f t="shared" si="14"/>
        <v>10935.593115199999</v>
      </c>
      <c r="AA9" s="3">
        <f>SUM(Z1:Z9)</f>
        <v>70945.340835199997</v>
      </c>
    </row>
    <row r="10" spans="1:27" ht="16.5" thickBot="1" x14ac:dyDescent="0.3">
      <c r="A10" s="9">
        <v>44781</v>
      </c>
      <c r="B10" s="38">
        <v>245</v>
      </c>
      <c r="C10" s="144">
        <v>19963</v>
      </c>
      <c r="D10" s="38">
        <f>IF((C10-C9)&lt;0,"0",(C10-C9))*160</f>
        <v>800</v>
      </c>
      <c r="E10" s="145">
        <v>32644982</v>
      </c>
      <c r="F10" s="38">
        <f t="shared" si="5"/>
        <v>27207</v>
      </c>
      <c r="G10" s="146">
        <v>3382350</v>
      </c>
      <c r="H10" s="38">
        <f t="shared" si="6"/>
        <v>62879</v>
      </c>
      <c r="I10" s="147">
        <f t="shared" si="7"/>
        <v>90086</v>
      </c>
      <c r="J10" s="145">
        <v>291069</v>
      </c>
      <c r="K10" s="38">
        <f t="shared" si="15"/>
        <v>12734</v>
      </c>
      <c r="L10" s="148">
        <v>551790</v>
      </c>
      <c r="M10" s="38">
        <f t="shared" si="8"/>
        <v>7330</v>
      </c>
      <c r="N10" s="145">
        <v>7185599</v>
      </c>
      <c r="O10" s="38">
        <f t="shared" si="16"/>
        <v>19670</v>
      </c>
      <c r="P10" s="148">
        <v>7581065</v>
      </c>
      <c r="Q10" s="38">
        <f t="shared" si="9"/>
        <v>15531</v>
      </c>
      <c r="R10" s="145">
        <v>21957925</v>
      </c>
      <c r="S10" s="38">
        <f t="shared" si="10"/>
        <v>12065</v>
      </c>
      <c r="T10" s="145">
        <v>0</v>
      </c>
      <c r="U10" s="149"/>
      <c r="V10" s="145">
        <v>9965588</v>
      </c>
      <c r="W10" s="38">
        <f t="shared" si="11"/>
        <v>13779</v>
      </c>
      <c r="X10" s="19">
        <f t="shared" si="12"/>
        <v>81109</v>
      </c>
      <c r="Y10" s="150">
        <f t="shared" si="13"/>
        <v>8977</v>
      </c>
      <c r="Z10" s="3">
        <f t="shared" si="14"/>
        <v>11368.7099968</v>
      </c>
      <c r="AA10" s="3">
        <f>SUM(Z1:Z10)</f>
        <v>82314.050831999994</v>
      </c>
    </row>
    <row r="11" spans="1:27" ht="15.75" customHeight="1" thickBot="1" x14ac:dyDescent="0.3">
      <c r="A11" s="9">
        <v>44782</v>
      </c>
      <c r="B11" s="38">
        <v>203</v>
      </c>
      <c r="C11" s="144">
        <v>19967</v>
      </c>
      <c r="D11" s="38">
        <f>IF((C11-C10)&lt;0,"0",(C11-C10))*160</f>
        <v>640</v>
      </c>
      <c r="E11" s="145">
        <v>32666930</v>
      </c>
      <c r="F11" s="38">
        <f t="shared" si="5"/>
        <v>21948</v>
      </c>
      <c r="G11" s="146">
        <v>3431124</v>
      </c>
      <c r="H11" s="38">
        <f t="shared" si="6"/>
        <v>48774</v>
      </c>
      <c r="I11" s="147">
        <f t="shared" si="7"/>
        <v>70722</v>
      </c>
      <c r="J11" s="145">
        <v>296210</v>
      </c>
      <c r="K11" s="38">
        <f t="shared" si="15"/>
        <v>10282</v>
      </c>
      <c r="L11" s="148">
        <v>557662</v>
      </c>
      <c r="M11" s="38">
        <f t="shared" si="8"/>
        <v>5872</v>
      </c>
      <c r="N11" s="145">
        <v>7193534</v>
      </c>
      <c r="O11" s="38">
        <f t="shared" si="16"/>
        <v>15870</v>
      </c>
      <c r="P11" s="148">
        <v>7593564</v>
      </c>
      <c r="Q11" s="38">
        <f t="shared" si="9"/>
        <v>12499</v>
      </c>
      <c r="R11" s="145">
        <v>21967431</v>
      </c>
      <c r="S11" s="38">
        <f t="shared" si="10"/>
        <v>9506</v>
      </c>
      <c r="T11" s="145">
        <v>0</v>
      </c>
      <c r="U11" s="149"/>
      <c r="V11" s="145">
        <v>9975887</v>
      </c>
      <c r="W11" s="38">
        <f t="shared" si="11"/>
        <v>10299</v>
      </c>
      <c r="X11" s="19">
        <f t="shared" si="12"/>
        <v>64328</v>
      </c>
      <c r="Y11" s="150">
        <f t="shared" si="13"/>
        <v>6394</v>
      </c>
      <c r="Z11" s="3">
        <f t="shared" si="14"/>
        <v>8913.8979280000003</v>
      </c>
      <c r="AA11" s="3">
        <f>SUM(Z1:Z11)</f>
        <v>91227.948759999999</v>
      </c>
    </row>
    <row r="12" spans="1:27" ht="16.5" thickBot="1" x14ac:dyDescent="0.3">
      <c r="A12" s="9">
        <v>44783</v>
      </c>
      <c r="B12" s="38">
        <v>234</v>
      </c>
      <c r="C12" s="144">
        <v>19972</v>
      </c>
      <c r="D12" s="38">
        <f>IF((C12-C11)&lt;0,"0",(C12-C11))*160</f>
        <v>800</v>
      </c>
      <c r="E12" s="145">
        <v>32688526</v>
      </c>
      <c r="F12" s="38">
        <f t="shared" si="5"/>
        <v>21596</v>
      </c>
      <c r="G12" s="146">
        <v>3479153</v>
      </c>
      <c r="H12" s="38">
        <f t="shared" si="6"/>
        <v>48029</v>
      </c>
      <c r="I12" s="147">
        <f t="shared" si="7"/>
        <v>69625</v>
      </c>
      <c r="J12" s="145">
        <v>301254</v>
      </c>
      <c r="K12" s="38">
        <f t="shared" si="15"/>
        <v>10088</v>
      </c>
      <c r="L12" s="148">
        <v>563233</v>
      </c>
      <c r="M12" s="38">
        <f t="shared" si="8"/>
        <v>5571</v>
      </c>
      <c r="N12" s="145">
        <v>7201458</v>
      </c>
      <c r="O12" s="38">
        <f t="shared" si="16"/>
        <v>15848</v>
      </c>
      <c r="P12" s="148">
        <v>7605914</v>
      </c>
      <c r="Q12" s="38">
        <f t="shared" si="9"/>
        <v>12350</v>
      </c>
      <c r="R12" s="145">
        <v>21976700</v>
      </c>
      <c r="S12" s="38">
        <f t="shared" si="10"/>
        <v>9269</v>
      </c>
      <c r="T12" s="145">
        <v>0</v>
      </c>
      <c r="U12" s="149"/>
      <c r="V12" s="145">
        <v>9986072</v>
      </c>
      <c r="W12" s="38">
        <f t="shared" si="11"/>
        <v>10185</v>
      </c>
      <c r="X12" s="19">
        <f t="shared" si="12"/>
        <v>63311</v>
      </c>
      <c r="Y12" s="150">
        <f t="shared" si="13"/>
        <v>6314</v>
      </c>
      <c r="Z12" s="3">
        <f t="shared" si="14"/>
        <v>8803.9495648000011</v>
      </c>
      <c r="AA12" s="3">
        <f>SUM(Z1:Z12)</f>
        <v>100031.8983248</v>
      </c>
    </row>
    <row r="13" spans="1:27" ht="16.5" thickBot="1" x14ac:dyDescent="0.3">
      <c r="A13" s="9">
        <v>44784</v>
      </c>
      <c r="B13" s="38">
        <v>222</v>
      </c>
      <c r="C13" s="144">
        <v>19975</v>
      </c>
      <c r="D13" s="38">
        <f t="shared" ref="D13" si="17">IF((C13-C12)&lt;0,"0",(C13-C12))*160</f>
        <v>480</v>
      </c>
      <c r="E13" s="145">
        <v>32720933</v>
      </c>
      <c r="F13" s="38">
        <f t="shared" ref="F13" si="18">IF((E13-E12)&lt;0,"0",(E13-E12))</f>
        <v>32407</v>
      </c>
      <c r="G13" s="146">
        <v>3553013</v>
      </c>
      <c r="H13" s="38">
        <f t="shared" si="6"/>
        <v>73860</v>
      </c>
      <c r="I13" s="147">
        <f t="shared" ref="I13" si="19">F13+H13</f>
        <v>106267</v>
      </c>
      <c r="J13" s="145">
        <v>308732</v>
      </c>
      <c r="K13" s="38">
        <f t="shared" ref="K13" si="20">(IF((J13-J12)&lt;0,"0",(J13-J12)))*2</f>
        <v>14956</v>
      </c>
      <c r="L13" s="148">
        <v>571420</v>
      </c>
      <c r="M13" s="38">
        <f t="shared" ref="M13" si="21">IF((L13-L12)&lt;0,"0",(L13-L12))</f>
        <v>8187</v>
      </c>
      <c r="N13" s="145">
        <v>7213439</v>
      </c>
      <c r="O13" s="38">
        <f t="shared" ref="O13" si="22">(IF((N13-N12)&lt;0,"0",(N13-N12)))*2</f>
        <v>23962</v>
      </c>
      <c r="P13" s="148">
        <v>7624888</v>
      </c>
      <c r="Q13" s="38">
        <f t="shared" ref="Q13" si="23">IF((P13-P12)&lt;0,"0",(P13-P12))</f>
        <v>18974</v>
      </c>
      <c r="R13" s="145">
        <v>21991456</v>
      </c>
      <c r="S13" s="38">
        <f t="shared" ref="S13" si="24">IF((R13-R12)&lt;0,"0",(R13-R12))</f>
        <v>14756</v>
      </c>
      <c r="T13" s="145">
        <v>0</v>
      </c>
      <c r="U13" s="149"/>
      <c r="V13" s="145">
        <v>1633</v>
      </c>
      <c r="W13" s="38">
        <f>(V13-V12)+9999999</f>
        <v>15560</v>
      </c>
      <c r="X13" s="19">
        <f t="shared" ref="X13" si="25">K13+M13+O13+Q13+S13+U13+W13</f>
        <v>96395</v>
      </c>
      <c r="Y13" s="150">
        <f t="shared" si="13"/>
        <v>9872</v>
      </c>
      <c r="Z13" s="3">
        <f t="shared" ref="Z13" si="26">(0.93352*(W13+S13)+0.5568*(Q13+O13))*0.26</f>
        <v>13573.912851200001</v>
      </c>
      <c r="AA13" s="3">
        <f>SUM(Z1:Z13)</f>
        <v>113605.811176</v>
      </c>
    </row>
    <row r="14" spans="1:27" ht="16.5" thickBot="1" x14ac:dyDescent="0.3">
      <c r="A14" s="9">
        <v>44785</v>
      </c>
      <c r="B14" s="38">
        <v>245</v>
      </c>
      <c r="C14" s="144">
        <v>19979</v>
      </c>
      <c r="D14" s="38">
        <f t="shared" si="4"/>
        <v>640</v>
      </c>
      <c r="E14" s="145">
        <v>32742078</v>
      </c>
      <c r="F14" s="38">
        <f t="shared" si="5"/>
        <v>21145</v>
      </c>
      <c r="G14" s="146">
        <v>3601925</v>
      </c>
      <c r="H14" s="38">
        <f t="shared" si="6"/>
        <v>48912</v>
      </c>
      <c r="I14" s="147">
        <f t="shared" si="7"/>
        <v>70057</v>
      </c>
      <c r="J14" s="145">
        <v>313421</v>
      </c>
      <c r="K14" s="38">
        <f t="shared" si="15"/>
        <v>9378</v>
      </c>
      <c r="L14" s="148">
        <v>576870</v>
      </c>
      <c r="M14" s="38">
        <f t="shared" si="8"/>
        <v>5450</v>
      </c>
      <c r="N14" s="145">
        <v>7221182</v>
      </c>
      <c r="O14" s="38">
        <f t="shared" si="16"/>
        <v>15486</v>
      </c>
      <c r="P14" s="148">
        <v>7637187</v>
      </c>
      <c r="Q14" s="38">
        <f t="shared" si="9"/>
        <v>12299</v>
      </c>
      <c r="R14" s="145">
        <v>22001403</v>
      </c>
      <c r="S14" s="38">
        <f>IF((R14-R13)&lt;0,"0",(R14-R13))</f>
        <v>9947</v>
      </c>
      <c r="T14" s="145">
        <v>0</v>
      </c>
      <c r="U14" s="149"/>
      <c r="V14" s="145">
        <v>12142</v>
      </c>
      <c r="W14" s="38">
        <f t="shared" si="11"/>
        <v>10509</v>
      </c>
      <c r="X14" s="19">
        <f t="shared" si="12"/>
        <v>63069</v>
      </c>
      <c r="Y14" s="150">
        <f t="shared" si="13"/>
        <v>6988</v>
      </c>
      <c r="Z14" s="3">
        <f t="shared" si="14"/>
        <v>8987.3610112000006</v>
      </c>
      <c r="AA14" s="3">
        <f>SUM(Z1:Z14)</f>
        <v>122593.17218720001</v>
      </c>
    </row>
    <row r="15" spans="1:27" ht="16.5" thickBot="1" x14ac:dyDescent="0.3">
      <c r="A15" s="9">
        <v>44786</v>
      </c>
      <c r="B15" s="38">
        <v>218</v>
      </c>
      <c r="C15" s="144">
        <v>19983</v>
      </c>
      <c r="D15" s="38">
        <f t="shared" si="4"/>
        <v>640</v>
      </c>
      <c r="E15" s="145">
        <v>32765318</v>
      </c>
      <c r="F15" s="38">
        <f t="shared" si="5"/>
        <v>23240</v>
      </c>
      <c r="G15" s="146">
        <v>3656613</v>
      </c>
      <c r="H15" s="38">
        <f t="shared" si="6"/>
        <v>54688</v>
      </c>
      <c r="I15" s="147">
        <f t="shared" si="7"/>
        <v>77928</v>
      </c>
      <c r="J15" s="145">
        <v>318801</v>
      </c>
      <c r="K15" s="38">
        <f t="shared" si="15"/>
        <v>10760</v>
      </c>
      <c r="L15" s="148">
        <v>582814</v>
      </c>
      <c r="M15" s="38">
        <f t="shared" si="8"/>
        <v>5944</v>
      </c>
      <c r="N15" s="145">
        <v>7229734</v>
      </c>
      <c r="O15" s="38">
        <f t="shared" si="16"/>
        <v>17104</v>
      </c>
      <c r="P15" s="148">
        <v>7650749</v>
      </c>
      <c r="Q15" s="38">
        <f t="shared" si="9"/>
        <v>13562</v>
      </c>
      <c r="R15" s="145">
        <v>22014617</v>
      </c>
      <c r="S15" s="38">
        <f>IF((R15-R14)&lt;0,"0",(R15-R14))</f>
        <v>13214</v>
      </c>
      <c r="T15" s="145">
        <v>0</v>
      </c>
      <c r="U15" s="149"/>
      <c r="V15" s="145">
        <v>23826</v>
      </c>
      <c r="W15" s="38">
        <f t="shared" si="11"/>
        <v>11684</v>
      </c>
      <c r="X15" s="19">
        <f t="shared" si="12"/>
        <v>72268</v>
      </c>
      <c r="Y15" s="150">
        <f t="shared" si="13"/>
        <v>5660</v>
      </c>
      <c r="Z15" s="3">
        <f t="shared" si="14"/>
        <v>10482.5785376</v>
      </c>
      <c r="AA15" s="3">
        <f>SUM(Z1:Z15)</f>
        <v>133075.75072480002</v>
      </c>
    </row>
    <row r="16" spans="1:27" ht="16.5" thickBot="1" x14ac:dyDescent="0.3">
      <c r="A16" s="9">
        <v>44787</v>
      </c>
      <c r="B16" s="38">
        <v>224</v>
      </c>
      <c r="C16" s="144">
        <v>19987</v>
      </c>
      <c r="D16" s="38">
        <f t="shared" si="4"/>
        <v>640</v>
      </c>
      <c r="E16" s="145">
        <v>32788519</v>
      </c>
      <c r="F16" s="38">
        <f t="shared" si="5"/>
        <v>23201</v>
      </c>
      <c r="G16" s="146">
        <v>3709452</v>
      </c>
      <c r="H16" s="38">
        <f t="shared" si="6"/>
        <v>52839</v>
      </c>
      <c r="I16" s="147">
        <f t="shared" si="7"/>
        <v>76040</v>
      </c>
      <c r="J16" s="145">
        <v>324286</v>
      </c>
      <c r="K16" s="38">
        <f t="shared" si="15"/>
        <v>10970</v>
      </c>
      <c r="L16" s="148">
        <v>588852</v>
      </c>
      <c r="M16" s="38">
        <f t="shared" si="8"/>
        <v>6038</v>
      </c>
      <c r="N16" s="145">
        <v>7238217</v>
      </c>
      <c r="O16" s="38">
        <f t="shared" si="16"/>
        <v>16966</v>
      </c>
      <c r="P16" s="148">
        <v>7664316</v>
      </c>
      <c r="Q16" s="38">
        <f t="shared" si="9"/>
        <v>13567</v>
      </c>
      <c r="R16" s="145">
        <v>22022034</v>
      </c>
      <c r="S16" s="38">
        <f t="shared" si="10"/>
        <v>7417</v>
      </c>
      <c r="T16" s="145">
        <v>0</v>
      </c>
      <c r="U16" s="149"/>
      <c r="V16" s="145">
        <v>34920</v>
      </c>
      <c r="W16" s="38">
        <f t="shared" si="11"/>
        <v>11094</v>
      </c>
      <c r="X16" s="19">
        <f t="shared" si="12"/>
        <v>66052</v>
      </c>
      <c r="Y16" s="150">
        <f t="shared" si="13"/>
        <v>9988</v>
      </c>
      <c r="Z16" s="3">
        <f t="shared" si="14"/>
        <v>8913.1024111999996</v>
      </c>
      <c r="AA16" s="3">
        <f>SUM(Z1:Z16)</f>
        <v>141988.85313600002</v>
      </c>
    </row>
    <row r="17" spans="1:27" s="130" customFormat="1" ht="16.5" thickBot="1" x14ac:dyDescent="0.3">
      <c r="A17" s="9">
        <v>44788</v>
      </c>
      <c r="B17" s="38">
        <v>223</v>
      </c>
      <c r="C17" s="144">
        <v>19992</v>
      </c>
      <c r="D17" s="38">
        <f t="shared" si="4"/>
        <v>800</v>
      </c>
      <c r="E17" s="145">
        <v>32818535</v>
      </c>
      <c r="F17" s="38">
        <f t="shared" si="5"/>
        <v>30016</v>
      </c>
      <c r="G17" s="146">
        <v>3775700</v>
      </c>
      <c r="H17" s="38">
        <f t="shared" si="6"/>
        <v>66248</v>
      </c>
      <c r="I17" s="151">
        <f t="shared" si="7"/>
        <v>96264</v>
      </c>
      <c r="J17" s="145">
        <v>331269</v>
      </c>
      <c r="K17" s="129">
        <f t="shared" si="15"/>
        <v>13966</v>
      </c>
      <c r="L17" s="148">
        <v>597119</v>
      </c>
      <c r="M17" s="129">
        <f t="shared" si="8"/>
        <v>8267</v>
      </c>
      <c r="N17" s="145">
        <v>7248972</v>
      </c>
      <c r="O17" s="129">
        <f t="shared" si="16"/>
        <v>21510</v>
      </c>
      <c r="P17" s="148">
        <v>7681491</v>
      </c>
      <c r="Q17" s="129">
        <f t="shared" si="9"/>
        <v>17175</v>
      </c>
      <c r="R17" s="145">
        <v>22035856</v>
      </c>
      <c r="S17" s="129">
        <f t="shared" si="10"/>
        <v>13822</v>
      </c>
      <c r="T17" s="152">
        <v>0</v>
      </c>
      <c r="U17" s="149"/>
      <c r="V17" s="145">
        <v>48859</v>
      </c>
      <c r="W17" s="129">
        <f t="shared" si="11"/>
        <v>13939</v>
      </c>
      <c r="X17" s="19">
        <f t="shared" si="12"/>
        <v>88679</v>
      </c>
      <c r="Y17" s="153">
        <f t="shared" si="13"/>
        <v>7585</v>
      </c>
      <c r="Z17" s="154">
        <f t="shared" si="14"/>
        <v>12338.3667472</v>
      </c>
      <c r="AA17" s="3">
        <f>SUM(Z1:Z17)</f>
        <v>154327.21988320001</v>
      </c>
    </row>
    <row r="18" spans="1:27" s="130" customFormat="1" ht="16.5" thickBot="1" x14ac:dyDescent="0.3">
      <c r="A18" s="9">
        <v>44789</v>
      </c>
      <c r="B18" s="38">
        <v>107</v>
      </c>
      <c r="C18" s="144">
        <v>19997</v>
      </c>
      <c r="D18" s="38">
        <f t="shared" si="4"/>
        <v>800</v>
      </c>
      <c r="E18" s="145">
        <v>32838116</v>
      </c>
      <c r="F18" s="38">
        <f t="shared" si="5"/>
        <v>19581</v>
      </c>
      <c r="G18" s="146">
        <v>3821509</v>
      </c>
      <c r="H18" s="38">
        <f t="shared" si="6"/>
        <v>45809</v>
      </c>
      <c r="I18" s="151">
        <f t="shared" si="7"/>
        <v>65390</v>
      </c>
      <c r="J18" s="145">
        <v>336244</v>
      </c>
      <c r="K18" s="129">
        <f t="shared" si="15"/>
        <v>9950</v>
      </c>
      <c r="L18" s="148">
        <v>602920</v>
      </c>
      <c r="M18" s="129">
        <f t="shared" si="8"/>
        <v>5801</v>
      </c>
      <c r="N18" s="145">
        <v>7255764</v>
      </c>
      <c r="O18" s="129">
        <f t="shared" si="16"/>
        <v>13584</v>
      </c>
      <c r="P18" s="148">
        <v>7693545</v>
      </c>
      <c r="Q18" s="129">
        <f t="shared" si="9"/>
        <v>12054</v>
      </c>
      <c r="R18" s="145">
        <v>22044846</v>
      </c>
      <c r="S18" s="129">
        <f t="shared" si="10"/>
        <v>8990</v>
      </c>
      <c r="T18" s="152">
        <v>0</v>
      </c>
      <c r="U18" s="149"/>
      <c r="V18" s="145">
        <v>58258</v>
      </c>
      <c r="W18" s="129">
        <f t="shared" si="11"/>
        <v>9399</v>
      </c>
      <c r="X18" s="19">
        <f t="shared" si="12"/>
        <v>59778</v>
      </c>
      <c r="Y18" s="153">
        <f t="shared" si="13"/>
        <v>5612</v>
      </c>
      <c r="Z18" s="154">
        <f t="shared" si="14"/>
        <v>8174.8517967999996</v>
      </c>
      <c r="AA18" s="3">
        <f>SUM(Z1:Z18)</f>
        <v>162502.07168000002</v>
      </c>
    </row>
    <row r="19" spans="1:27" s="130" customFormat="1" ht="16.5" thickBot="1" x14ac:dyDescent="0.3">
      <c r="A19" s="9">
        <v>44790</v>
      </c>
      <c r="B19" s="38"/>
      <c r="C19" s="144"/>
      <c r="D19" s="38">
        <f t="shared" si="4"/>
        <v>0</v>
      </c>
      <c r="E19" s="145"/>
      <c r="F19" s="38" t="str">
        <f t="shared" si="5"/>
        <v>0</v>
      </c>
      <c r="G19" s="146"/>
      <c r="H19" s="38" t="str">
        <f t="shared" si="6"/>
        <v>0</v>
      </c>
      <c r="I19" s="151">
        <f t="shared" si="7"/>
        <v>0</v>
      </c>
      <c r="J19" s="145"/>
      <c r="K19" s="129">
        <f t="shared" si="15"/>
        <v>0</v>
      </c>
      <c r="L19" s="148"/>
      <c r="M19" s="129" t="str">
        <f t="shared" si="8"/>
        <v>0</v>
      </c>
      <c r="N19" s="145"/>
      <c r="O19" s="129">
        <f t="shared" si="16"/>
        <v>0</v>
      </c>
      <c r="P19" s="148"/>
      <c r="Q19" s="129" t="str">
        <f t="shared" si="9"/>
        <v>0</v>
      </c>
      <c r="R19" s="145"/>
      <c r="S19" s="129" t="str">
        <f t="shared" si="10"/>
        <v>0</v>
      </c>
      <c r="T19" s="152">
        <v>0</v>
      </c>
      <c r="U19" s="149"/>
      <c r="V19" s="145"/>
      <c r="W19" s="129" t="str">
        <f t="shared" si="11"/>
        <v>0</v>
      </c>
      <c r="X19" s="19">
        <f t="shared" si="12"/>
        <v>0</v>
      </c>
      <c r="Y19" s="153">
        <f t="shared" si="13"/>
        <v>0</v>
      </c>
      <c r="Z19" s="154">
        <f t="shared" si="14"/>
        <v>0</v>
      </c>
      <c r="AA19" s="3">
        <f>SUM(Z1:Z19)</f>
        <v>162502.07168000002</v>
      </c>
    </row>
    <row r="20" spans="1:27" s="130" customFormat="1" ht="16.5" thickBot="1" x14ac:dyDescent="0.3">
      <c r="A20" s="9">
        <v>44791</v>
      </c>
      <c r="B20" s="38"/>
      <c r="C20" s="144"/>
      <c r="D20" s="38">
        <f t="shared" si="4"/>
        <v>0</v>
      </c>
      <c r="E20" s="145"/>
      <c r="F20" s="38">
        <f t="shared" si="5"/>
        <v>0</v>
      </c>
      <c r="G20" s="146"/>
      <c r="H20" s="38">
        <f t="shared" si="6"/>
        <v>0</v>
      </c>
      <c r="I20" s="151">
        <f t="shared" si="7"/>
        <v>0</v>
      </c>
      <c r="J20" s="145"/>
      <c r="K20" s="129">
        <f t="shared" si="15"/>
        <v>0</v>
      </c>
      <c r="L20" s="148"/>
      <c r="M20" s="129">
        <f t="shared" si="8"/>
        <v>0</v>
      </c>
      <c r="N20" s="145"/>
      <c r="O20" s="129">
        <f t="shared" si="16"/>
        <v>0</v>
      </c>
      <c r="P20" s="148"/>
      <c r="Q20" s="129">
        <f t="shared" si="9"/>
        <v>0</v>
      </c>
      <c r="R20" s="145"/>
      <c r="S20" s="129">
        <f t="shared" si="10"/>
        <v>0</v>
      </c>
      <c r="T20" s="152">
        <v>0</v>
      </c>
      <c r="U20" s="149"/>
      <c r="V20" s="145"/>
      <c r="W20" s="129">
        <f t="shared" si="11"/>
        <v>0</v>
      </c>
      <c r="X20" s="19">
        <f t="shared" si="12"/>
        <v>0</v>
      </c>
      <c r="Y20" s="153">
        <f t="shared" si="13"/>
        <v>0</v>
      </c>
      <c r="Z20" s="154">
        <f t="shared" si="14"/>
        <v>0</v>
      </c>
      <c r="AA20" s="3">
        <f>SUM(Z1:Z20)</f>
        <v>162502.07168000002</v>
      </c>
    </row>
    <row r="21" spans="1:27" s="130" customFormat="1" ht="16.5" thickBot="1" x14ac:dyDescent="0.3">
      <c r="A21" s="9">
        <v>44792</v>
      </c>
      <c r="B21" s="38"/>
      <c r="C21" s="144"/>
      <c r="D21" s="38">
        <f t="shared" si="4"/>
        <v>0</v>
      </c>
      <c r="E21" s="145"/>
      <c r="F21" s="38">
        <f t="shared" si="5"/>
        <v>0</v>
      </c>
      <c r="G21" s="146"/>
      <c r="H21" s="38">
        <f t="shared" si="6"/>
        <v>0</v>
      </c>
      <c r="I21" s="151">
        <f t="shared" si="7"/>
        <v>0</v>
      </c>
      <c r="J21" s="145"/>
      <c r="K21" s="129">
        <f t="shared" si="15"/>
        <v>0</v>
      </c>
      <c r="L21" s="148"/>
      <c r="M21" s="129">
        <f t="shared" si="8"/>
        <v>0</v>
      </c>
      <c r="N21" s="145"/>
      <c r="O21" s="129">
        <f t="shared" si="16"/>
        <v>0</v>
      </c>
      <c r="P21" s="148"/>
      <c r="Q21" s="129">
        <f t="shared" si="9"/>
        <v>0</v>
      </c>
      <c r="R21" s="145"/>
      <c r="S21" s="129">
        <f t="shared" si="10"/>
        <v>0</v>
      </c>
      <c r="T21" s="152">
        <v>0</v>
      </c>
      <c r="U21" s="149"/>
      <c r="V21" s="145"/>
      <c r="W21" s="129">
        <f t="shared" si="11"/>
        <v>0</v>
      </c>
      <c r="X21" s="19">
        <f t="shared" si="12"/>
        <v>0</v>
      </c>
      <c r="Y21" s="153">
        <f t="shared" si="13"/>
        <v>0</v>
      </c>
      <c r="Z21" s="154">
        <f t="shared" si="14"/>
        <v>0</v>
      </c>
      <c r="AA21" s="3">
        <f>SUM(Z1:Z21)</f>
        <v>162502.07168000002</v>
      </c>
    </row>
    <row r="22" spans="1:27" ht="16.5" thickBot="1" x14ac:dyDescent="0.3">
      <c r="A22" s="9">
        <v>44793</v>
      </c>
      <c r="B22" s="38"/>
      <c r="C22" s="144"/>
      <c r="D22" s="38">
        <f t="shared" si="4"/>
        <v>0</v>
      </c>
      <c r="E22" s="145"/>
      <c r="F22" s="38">
        <f t="shared" si="5"/>
        <v>0</v>
      </c>
      <c r="G22" s="146"/>
      <c r="H22" s="38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>
        <f t="shared" si="8"/>
        <v>0</v>
      </c>
      <c r="N22" s="145"/>
      <c r="O22" s="38">
        <f t="shared" si="16"/>
        <v>0</v>
      </c>
      <c r="P22" s="148"/>
      <c r="Q22" s="38">
        <f t="shared" si="9"/>
        <v>0</v>
      </c>
      <c r="R22" s="145"/>
      <c r="S22" s="38">
        <f t="shared" si="10"/>
        <v>0</v>
      </c>
      <c r="T22" s="145">
        <v>0</v>
      </c>
      <c r="U22" s="149"/>
      <c r="V22" s="145"/>
      <c r="W22" s="38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162502.07168000002</v>
      </c>
    </row>
    <row r="23" spans="1:27" ht="16.5" thickBot="1" x14ac:dyDescent="0.3">
      <c r="A23" s="9">
        <v>44794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162502.07168000002</v>
      </c>
    </row>
    <row r="24" spans="1:27" ht="16.5" thickBot="1" x14ac:dyDescent="0.3">
      <c r="A24" s="9">
        <v>44795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162502.07168000002</v>
      </c>
    </row>
    <row r="25" spans="1:27" ht="16.5" thickBot="1" x14ac:dyDescent="0.3">
      <c r="A25" s="9">
        <v>44796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162502.07168000002</v>
      </c>
    </row>
    <row r="26" spans="1:27" ht="16.5" thickBot="1" x14ac:dyDescent="0.3">
      <c r="A26" s="9">
        <v>44797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162502.07168000002</v>
      </c>
    </row>
    <row r="27" spans="1:27" ht="16.5" thickBot="1" x14ac:dyDescent="0.3">
      <c r="A27" s="9">
        <v>44798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162502.07168000002</v>
      </c>
    </row>
    <row r="28" spans="1:27" ht="16.5" thickBot="1" x14ac:dyDescent="0.3">
      <c r="A28" s="9">
        <v>44799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162502.07168000002</v>
      </c>
    </row>
    <row r="29" spans="1:27" ht="16.5" thickBot="1" x14ac:dyDescent="0.3">
      <c r="A29" s="9">
        <v>44800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162502.07168000002</v>
      </c>
    </row>
    <row r="30" spans="1:27" ht="16.5" thickBot="1" x14ac:dyDescent="0.3">
      <c r="A30" s="9">
        <v>44801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162502.07168000002</v>
      </c>
    </row>
    <row r="31" spans="1:27" ht="16.5" thickBot="1" x14ac:dyDescent="0.3">
      <c r="A31" s="9">
        <v>44802</v>
      </c>
      <c r="B31" s="38"/>
      <c r="C31" s="144"/>
      <c r="D31" s="38">
        <f t="shared" ref="D31:D33" si="27">IF((C31-C30)&lt;0,"0",(C31-C30))*160</f>
        <v>0</v>
      </c>
      <c r="E31" s="145"/>
      <c r="F31" s="38">
        <f t="shared" ref="F31:F33" si="28">IF((E31-E30)&lt;0,"0",(E31-E30))</f>
        <v>0</v>
      </c>
      <c r="G31" s="146"/>
      <c r="H31" s="38">
        <f t="shared" si="6"/>
        <v>0</v>
      </c>
      <c r="I31" s="147">
        <f t="shared" ref="I31:I33" si="29">F31+H31</f>
        <v>0</v>
      </c>
      <c r="J31" s="145"/>
      <c r="K31" s="129">
        <f t="shared" si="15"/>
        <v>0</v>
      </c>
      <c r="L31" s="148"/>
      <c r="M31" s="38">
        <f t="shared" ref="M31:M33" si="30">IF((L31-L30)&lt;0,"0",(L31-L30))</f>
        <v>0</v>
      </c>
      <c r="N31" s="145"/>
      <c r="O31" s="38">
        <f t="shared" ref="O31:O33" si="31">(IF((N31-N30)&lt;0,"0",(N31-N30)))*2</f>
        <v>0</v>
      </c>
      <c r="P31" s="148"/>
      <c r="Q31" s="38">
        <f t="shared" ref="Q31:Q33" si="32">IF((P31-P30)&lt;0,"0",(P31-P30))</f>
        <v>0</v>
      </c>
      <c r="R31" s="145"/>
      <c r="S31" s="38">
        <f t="shared" ref="S31:S33" si="33">IF((R31-R30)&lt;0,"0",(R31-R30))</f>
        <v>0</v>
      </c>
      <c r="T31" s="145">
        <v>0</v>
      </c>
      <c r="U31" s="149"/>
      <c r="V31" s="145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50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162502.07168000002</v>
      </c>
    </row>
    <row r="32" spans="1:27" ht="16.5" thickBot="1" x14ac:dyDescent="0.3">
      <c r="A32" s="9">
        <v>44803</v>
      </c>
      <c r="B32" s="38"/>
      <c r="C32" s="144"/>
      <c r="D32" s="38">
        <f t="shared" si="27"/>
        <v>0</v>
      </c>
      <c r="E32" s="145"/>
      <c r="F32" s="38">
        <f t="shared" si="28"/>
        <v>0</v>
      </c>
      <c r="G32" s="146"/>
      <c r="H32" s="38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>
        <f t="shared" si="30"/>
        <v>0</v>
      </c>
      <c r="N32" s="145"/>
      <c r="O32" s="38">
        <f t="shared" si="31"/>
        <v>0</v>
      </c>
      <c r="P32" s="148"/>
      <c r="Q32" s="38">
        <f t="shared" si="32"/>
        <v>0</v>
      </c>
      <c r="R32" s="145"/>
      <c r="S32" s="38">
        <f t="shared" si="33"/>
        <v>0</v>
      </c>
      <c r="T32" s="145">
        <v>0</v>
      </c>
      <c r="U32" s="149"/>
      <c r="V32" s="145"/>
      <c r="W32" s="38">
        <f t="shared" si="34"/>
        <v>0</v>
      </c>
      <c r="X32" s="19">
        <f t="shared" si="35"/>
        <v>0</v>
      </c>
      <c r="Y32" s="150">
        <f t="shared" si="36"/>
        <v>0</v>
      </c>
      <c r="Z32" s="3">
        <f t="shared" si="37"/>
        <v>0</v>
      </c>
      <c r="AA32" s="3">
        <f>SUM(Z1:Z32)</f>
        <v>162502.07168000002</v>
      </c>
    </row>
    <row r="33" spans="1:27" ht="16.5" thickBot="1" x14ac:dyDescent="0.3">
      <c r="A33" s="9">
        <v>44804</v>
      </c>
      <c r="B33" s="38"/>
      <c r="C33" s="144"/>
      <c r="D33" s="38">
        <f t="shared" si="27"/>
        <v>0</v>
      </c>
      <c r="E33" s="145"/>
      <c r="F33" s="38">
        <f t="shared" si="28"/>
        <v>0</v>
      </c>
      <c r="G33" s="146"/>
      <c r="H33" s="38">
        <f t="shared" si="6"/>
        <v>0</v>
      </c>
      <c r="I33" s="147">
        <f t="shared" si="29"/>
        <v>0</v>
      </c>
      <c r="J33" s="145"/>
      <c r="K33" s="129">
        <f t="shared" si="15"/>
        <v>0</v>
      </c>
      <c r="L33" s="148"/>
      <c r="M33" s="38">
        <f t="shared" si="30"/>
        <v>0</v>
      </c>
      <c r="N33" s="145"/>
      <c r="O33" s="38">
        <f t="shared" si="31"/>
        <v>0</v>
      </c>
      <c r="P33" s="148"/>
      <c r="Q33" s="38">
        <f t="shared" si="32"/>
        <v>0</v>
      </c>
      <c r="R33" s="145"/>
      <c r="S33" s="38">
        <f t="shared" si="33"/>
        <v>0</v>
      </c>
      <c r="T33" s="145">
        <v>0</v>
      </c>
      <c r="U33" s="55"/>
      <c r="V33" s="145"/>
      <c r="W33" s="38">
        <f t="shared" si="34"/>
        <v>0</v>
      </c>
      <c r="X33" s="19">
        <f t="shared" si="35"/>
        <v>0</v>
      </c>
      <c r="Y33" s="150">
        <f t="shared" si="36"/>
        <v>0</v>
      </c>
      <c r="Z33" s="3">
        <f t="shared" si="37"/>
        <v>0</v>
      </c>
      <c r="AA33" s="3">
        <f>SUM(Z2:Z33)</f>
        <v>162502.07168000002</v>
      </c>
    </row>
    <row r="34" spans="1:27" ht="16.5" thickBot="1" x14ac:dyDescent="0.3">
      <c r="A34" s="136" t="s">
        <v>23</v>
      </c>
      <c r="B34" s="136">
        <f>SUM(B3:B33)</f>
        <v>3075</v>
      </c>
      <c r="C34" s="136">
        <v>0</v>
      </c>
      <c r="D34" s="136">
        <f>SUM(D3:D33)</f>
        <v>11200</v>
      </c>
      <c r="E34" s="55">
        <v>0</v>
      </c>
      <c r="F34" s="136">
        <f>SUM(F3:F33)</f>
        <v>392346</v>
      </c>
      <c r="G34" s="55">
        <v>0</v>
      </c>
      <c r="H34" s="136">
        <f>SUM(H3:H33)</f>
        <v>892168</v>
      </c>
      <c r="I34" s="55">
        <v>92693</v>
      </c>
      <c r="J34" s="55">
        <v>0</v>
      </c>
      <c r="K34" s="136">
        <f>SUM(K3:K33)</f>
        <v>182420</v>
      </c>
      <c r="L34" s="55">
        <v>0</v>
      </c>
      <c r="M34" s="136">
        <f>SUM(M3:M33)</f>
        <v>105233</v>
      </c>
      <c r="N34" s="55">
        <v>0</v>
      </c>
      <c r="O34" s="136">
        <f>SUM(O3:O33)</f>
        <v>283814</v>
      </c>
      <c r="P34" s="55">
        <v>0</v>
      </c>
      <c r="Q34" s="136">
        <f>SUM(Q3:Q33)</f>
        <v>225594</v>
      </c>
      <c r="R34" s="55">
        <v>0</v>
      </c>
      <c r="S34" s="136">
        <f>SUM(S3:S33)</f>
        <v>174090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191590</v>
      </c>
      <c r="X34" s="136">
        <f>SUM(X3:X33)</f>
        <v>1162741</v>
      </c>
      <c r="Y34" s="136">
        <f>SUM(Y3:Y33)</f>
        <v>121773</v>
      </c>
      <c r="Z34" s="136">
        <f>SUM(Z3:Z33)</f>
        <v>162502.07168000002</v>
      </c>
      <c r="AA34" s="136">
        <f>SUM(AA3:AA33)</f>
        <v>3823447.4272800009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H26" sqref="H26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44773</v>
      </c>
      <c r="B2" s="3">
        <v>456526</v>
      </c>
      <c r="C2" s="38"/>
      <c r="D2" s="3">
        <v>11606</v>
      </c>
      <c r="E2" s="38"/>
      <c r="F2" s="3">
        <v>10527500</v>
      </c>
      <c r="G2" s="38"/>
      <c r="H2" s="3">
        <v>804064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44774</v>
      </c>
      <c r="B3" s="3">
        <v>456649</v>
      </c>
      <c r="C3" s="38">
        <f t="shared" ref="C3:E18" si="2">(IF((B3-B2)&lt;0,"0",(B3-B2)))*10</f>
        <v>1230</v>
      </c>
      <c r="D3" s="3">
        <v>11654</v>
      </c>
      <c r="E3" s="38">
        <f t="shared" si="2"/>
        <v>480</v>
      </c>
      <c r="F3" s="3">
        <v>10551200</v>
      </c>
      <c r="G3" s="38">
        <f>(IF((F3-F2)&lt;0,"0",(F3-F2)))*0.027</f>
        <v>639.9</v>
      </c>
      <c r="H3" s="3">
        <v>804192</v>
      </c>
      <c r="I3" s="43">
        <f>(IF((H3-H2)&lt;0,"0",(H3-H2)))*0.027</f>
        <v>3.456</v>
      </c>
      <c r="J3" s="19">
        <f>C3+E3+G3+I3</f>
        <v>2353.3560000000002</v>
      </c>
      <c r="K3" s="20">
        <f>J3*5.86</f>
        <v>13790.666160000002</v>
      </c>
    </row>
    <row r="4" spans="1:14" ht="16.5" thickBot="1" x14ac:dyDescent="0.3">
      <c r="A4" s="9">
        <v>44775</v>
      </c>
      <c r="B4" s="3">
        <v>456748</v>
      </c>
      <c r="C4" s="38">
        <f t="shared" si="2"/>
        <v>990</v>
      </c>
      <c r="D4" s="3">
        <v>11686</v>
      </c>
      <c r="E4" s="38">
        <f t="shared" si="2"/>
        <v>320</v>
      </c>
      <c r="F4" s="3">
        <v>10573000</v>
      </c>
      <c r="G4" s="38">
        <f>(IF((F4-F3)&lt;0,"0",(F4-F3)))*0.027</f>
        <v>588.6</v>
      </c>
      <c r="H4" s="3">
        <v>804308</v>
      </c>
      <c r="I4" s="43">
        <f>(IF((H4-H3)&lt;0,"0",(H4-H3)))*0.027</f>
        <v>3.1320000000000001</v>
      </c>
      <c r="J4" s="19">
        <f t="shared" ref="J4:J33" si="3">C4+E4+G4+I4</f>
        <v>1901.732</v>
      </c>
      <c r="K4" s="20">
        <f t="shared" ref="K4:K33" si="4">J4*5.86</f>
        <v>11144.149520000001</v>
      </c>
    </row>
    <row r="5" spans="1:14" ht="16.5" thickBot="1" x14ac:dyDescent="0.3">
      <c r="A5" s="9">
        <v>44776</v>
      </c>
      <c r="B5" s="3">
        <v>456869</v>
      </c>
      <c r="C5" s="38">
        <f t="shared" si="2"/>
        <v>1210</v>
      </c>
      <c r="D5" s="3">
        <v>11730</v>
      </c>
      <c r="E5" s="38">
        <f t="shared" si="2"/>
        <v>440</v>
      </c>
      <c r="F5" s="3">
        <v>10597800</v>
      </c>
      <c r="G5" s="38">
        <f t="shared" ref="G5:G33" si="5">(IF((F5-F4)&lt;0,"0",(F5-F4)))*0.027</f>
        <v>669.6</v>
      </c>
      <c r="H5" s="3">
        <v>804451</v>
      </c>
      <c r="I5" s="43">
        <f t="shared" ref="I5:I33" si="6">(IF((H5-H4)&lt;0,"0",(H5-H4)))*0.027</f>
        <v>3.8609999999999998</v>
      </c>
      <c r="J5" s="19">
        <f t="shared" si="3"/>
        <v>2323.4609999999998</v>
      </c>
      <c r="K5" s="20">
        <f t="shared" si="4"/>
        <v>13615.481459999999</v>
      </c>
    </row>
    <row r="6" spans="1:14" ht="16.5" thickBot="1" x14ac:dyDescent="0.3">
      <c r="A6" s="9">
        <v>44777</v>
      </c>
      <c r="B6" s="3">
        <v>457057</v>
      </c>
      <c r="C6" s="38">
        <f t="shared" si="2"/>
        <v>1880</v>
      </c>
      <c r="D6" s="3">
        <v>11775</v>
      </c>
      <c r="E6" s="38">
        <f t="shared" si="2"/>
        <v>450</v>
      </c>
      <c r="F6" s="3">
        <v>10619300</v>
      </c>
      <c r="G6" s="38">
        <f t="shared" si="5"/>
        <v>580.5</v>
      </c>
      <c r="H6" s="3">
        <v>804585</v>
      </c>
      <c r="I6" s="43">
        <f t="shared" si="6"/>
        <v>3.6179999999999999</v>
      </c>
      <c r="J6" s="19">
        <f t="shared" si="3"/>
        <v>2914.1179999999999</v>
      </c>
      <c r="K6" s="20">
        <f t="shared" si="4"/>
        <v>17076.731480000002</v>
      </c>
    </row>
    <row r="7" spans="1:14" ht="16.5" thickBot="1" x14ac:dyDescent="0.3">
      <c r="A7" s="9">
        <v>44778</v>
      </c>
      <c r="B7" s="3">
        <v>457139</v>
      </c>
      <c r="C7" s="38">
        <f t="shared" si="2"/>
        <v>820</v>
      </c>
      <c r="D7" s="3">
        <v>11811</v>
      </c>
      <c r="E7" s="38">
        <f t="shared" si="2"/>
        <v>360</v>
      </c>
      <c r="F7" s="3">
        <v>10636700</v>
      </c>
      <c r="G7" s="38">
        <f t="shared" si="5"/>
        <v>469.8</v>
      </c>
      <c r="H7" s="3">
        <v>804687</v>
      </c>
      <c r="I7" s="43">
        <f t="shared" si="6"/>
        <v>2.754</v>
      </c>
      <c r="J7" s="19">
        <f t="shared" si="3"/>
        <v>1652.5539999999999</v>
      </c>
      <c r="K7" s="20">
        <f t="shared" si="4"/>
        <v>9683.9664400000001</v>
      </c>
      <c r="L7" t="s">
        <v>12</v>
      </c>
      <c r="N7" t="s">
        <v>12</v>
      </c>
    </row>
    <row r="8" spans="1:14" ht="16.5" thickBot="1" x14ac:dyDescent="0.3">
      <c r="A8" s="9">
        <v>44779</v>
      </c>
      <c r="B8" s="3">
        <v>457148</v>
      </c>
      <c r="C8" s="38">
        <f t="shared" si="2"/>
        <v>90</v>
      </c>
      <c r="D8" s="3">
        <v>11852</v>
      </c>
      <c r="E8" s="38">
        <f t="shared" si="2"/>
        <v>410</v>
      </c>
      <c r="F8" s="3">
        <v>10657700</v>
      </c>
      <c r="G8" s="38">
        <f t="shared" si="5"/>
        <v>567</v>
      </c>
      <c r="H8" s="3">
        <v>804801</v>
      </c>
      <c r="I8" s="43">
        <f t="shared" si="6"/>
        <v>3.0779999999999998</v>
      </c>
      <c r="J8" s="19">
        <f t="shared" si="3"/>
        <v>1070.078</v>
      </c>
      <c r="K8" s="20">
        <f t="shared" si="4"/>
        <v>6270.65708</v>
      </c>
    </row>
    <row r="9" spans="1:14" ht="16.5" thickBot="1" x14ac:dyDescent="0.3">
      <c r="A9" s="9">
        <v>44780</v>
      </c>
      <c r="B9" s="3">
        <v>457231</v>
      </c>
      <c r="C9" s="38">
        <f t="shared" ref="C9:C33" si="7">(IF((B9-B8)&lt;0,"0",(B9-B8)))*10</f>
        <v>830</v>
      </c>
      <c r="D9" s="3">
        <v>11896</v>
      </c>
      <c r="E9" s="38">
        <f t="shared" si="2"/>
        <v>440</v>
      </c>
      <c r="F9" s="3">
        <v>10680100</v>
      </c>
      <c r="G9" s="38">
        <f t="shared" si="5"/>
        <v>604.79999999999995</v>
      </c>
      <c r="H9" s="3">
        <v>804941</v>
      </c>
      <c r="I9" s="43">
        <f t="shared" si="6"/>
        <v>3.78</v>
      </c>
      <c r="J9" s="19">
        <f t="shared" si="3"/>
        <v>1878.58</v>
      </c>
      <c r="K9" s="20">
        <f t="shared" si="4"/>
        <v>11008.478800000001</v>
      </c>
    </row>
    <row r="10" spans="1:14" ht="16.5" thickBot="1" x14ac:dyDescent="0.3">
      <c r="A10" s="9">
        <v>44781</v>
      </c>
      <c r="B10" s="3">
        <v>457334</v>
      </c>
      <c r="C10" s="38">
        <f>(IF((B10-B9)&lt;0,"0",(B10-B9)))*10</f>
        <v>1030</v>
      </c>
      <c r="D10" s="3">
        <v>11937</v>
      </c>
      <c r="E10" s="38">
        <f t="shared" si="2"/>
        <v>410</v>
      </c>
      <c r="F10" s="3">
        <v>10699800</v>
      </c>
      <c r="G10" s="38">
        <f t="shared" si="5"/>
        <v>531.9</v>
      </c>
      <c r="H10" s="3">
        <v>805059</v>
      </c>
      <c r="I10" s="43">
        <f t="shared" si="6"/>
        <v>3.1859999999999999</v>
      </c>
      <c r="J10" s="19">
        <f t="shared" si="3"/>
        <v>1975.086</v>
      </c>
      <c r="K10" s="20">
        <f t="shared" si="4"/>
        <v>11574.00396</v>
      </c>
    </row>
    <row r="11" spans="1:14" ht="16.5" thickBot="1" x14ac:dyDescent="0.3">
      <c r="A11" s="9">
        <v>44782</v>
      </c>
      <c r="B11" s="3">
        <v>457434</v>
      </c>
      <c r="C11" s="38">
        <f t="shared" si="7"/>
        <v>1000</v>
      </c>
      <c r="D11" s="3">
        <v>11982</v>
      </c>
      <c r="E11" s="38">
        <f t="shared" si="2"/>
        <v>450</v>
      </c>
      <c r="F11" s="3">
        <v>10721700</v>
      </c>
      <c r="G11" s="38">
        <f t="shared" si="5"/>
        <v>591.29999999999995</v>
      </c>
      <c r="H11" s="3">
        <v>805188</v>
      </c>
      <c r="I11" s="43">
        <f t="shared" si="6"/>
        <v>3.4830000000000001</v>
      </c>
      <c r="J11" s="19">
        <f t="shared" si="3"/>
        <v>2044.7829999999999</v>
      </c>
      <c r="K11" s="20">
        <f t="shared" si="4"/>
        <v>11982.428379999999</v>
      </c>
      <c r="N11" t="s">
        <v>12</v>
      </c>
    </row>
    <row r="12" spans="1:14" ht="16.5" thickBot="1" x14ac:dyDescent="0.3">
      <c r="A12" s="9">
        <v>44783</v>
      </c>
      <c r="B12" s="3">
        <v>457532</v>
      </c>
      <c r="C12" s="38">
        <f t="shared" si="7"/>
        <v>980</v>
      </c>
      <c r="D12" s="3">
        <v>12023</v>
      </c>
      <c r="E12" s="38">
        <f t="shared" si="2"/>
        <v>410</v>
      </c>
      <c r="F12" s="3">
        <v>10742800</v>
      </c>
      <c r="G12" s="38">
        <f t="shared" si="5"/>
        <v>569.70000000000005</v>
      </c>
      <c r="H12" s="3">
        <v>805324</v>
      </c>
      <c r="I12" s="43">
        <f t="shared" si="6"/>
        <v>3.6720000000000002</v>
      </c>
      <c r="J12" s="19">
        <f t="shared" si="3"/>
        <v>1963.3720000000001</v>
      </c>
      <c r="K12" s="20">
        <f t="shared" si="4"/>
        <v>11505.359920000001</v>
      </c>
    </row>
    <row r="13" spans="1:14" ht="16.5" thickBot="1" x14ac:dyDescent="0.3">
      <c r="A13" s="9">
        <v>44784</v>
      </c>
      <c r="B13" s="3">
        <v>457652</v>
      </c>
      <c r="C13" s="38">
        <f t="shared" si="7"/>
        <v>1200</v>
      </c>
      <c r="D13" s="3">
        <v>12071</v>
      </c>
      <c r="E13" s="38">
        <f t="shared" si="2"/>
        <v>480</v>
      </c>
      <c r="F13" s="3">
        <v>10765100</v>
      </c>
      <c r="G13" s="38">
        <f t="shared" si="5"/>
        <v>602.1</v>
      </c>
      <c r="H13" s="3">
        <v>805452</v>
      </c>
      <c r="I13" s="43">
        <f t="shared" si="6"/>
        <v>3.456</v>
      </c>
      <c r="J13" s="19">
        <f t="shared" si="3"/>
        <v>2285.556</v>
      </c>
      <c r="K13" s="20">
        <f t="shared" si="4"/>
        <v>13393.358160000002</v>
      </c>
    </row>
    <row r="14" spans="1:14" ht="16.5" thickBot="1" x14ac:dyDescent="0.3">
      <c r="A14" s="9">
        <v>44785</v>
      </c>
      <c r="B14" s="3">
        <v>457762</v>
      </c>
      <c r="C14" s="38">
        <f t="shared" si="7"/>
        <v>1100</v>
      </c>
      <c r="D14" s="3">
        <v>12114</v>
      </c>
      <c r="E14" s="38">
        <f t="shared" si="2"/>
        <v>430</v>
      </c>
      <c r="F14" s="3">
        <v>10786200</v>
      </c>
      <c r="G14" s="38">
        <f t="shared" si="5"/>
        <v>569.70000000000005</v>
      </c>
      <c r="H14" s="3">
        <v>805580</v>
      </c>
      <c r="I14" s="43">
        <f t="shared" si="6"/>
        <v>3.456</v>
      </c>
      <c r="J14" s="19">
        <f t="shared" si="3"/>
        <v>2103.1559999999999</v>
      </c>
      <c r="K14" s="20">
        <f t="shared" si="4"/>
        <v>12324.49416</v>
      </c>
    </row>
    <row r="15" spans="1:14" ht="16.5" thickBot="1" x14ac:dyDescent="0.3">
      <c r="A15" s="9">
        <v>44786</v>
      </c>
      <c r="B15" s="3">
        <v>457868</v>
      </c>
      <c r="C15" s="38">
        <f t="shared" si="7"/>
        <v>1060</v>
      </c>
      <c r="D15" s="3">
        <v>12158</v>
      </c>
      <c r="E15" s="38">
        <f t="shared" si="2"/>
        <v>440</v>
      </c>
      <c r="F15" s="3">
        <v>10808000</v>
      </c>
      <c r="G15" s="38">
        <f t="shared" si="5"/>
        <v>588.6</v>
      </c>
      <c r="H15" s="3">
        <v>805685</v>
      </c>
      <c r="I15" s="43">
        <f t="shared" si="6"/>
        <v>2.835</v>
      </c>
      <c r="J15" s="19">
        <f t="shared" si="3"/>
        <v>2091.4349999999999</v>
      </c>
      <c r="K15" s="20">
        <f t="shared" si="4"/>
        <v>12255.8091</v>
      </c>
    </row>
    <row r="16" spans="1:14" ht="16.5" thickBot="1" x14ac:dyDescent="0.3">
      <c r="A16" s="9">
        <v>44787</v>
      </c>
      <c r="B16" s="3">
        <v>457973</v>
      </c>
      <c r="C16" s="38">
        <f t="shared" si="7"/>
        <v>1050</v>
      </c>
      <c r="D16" s="3">
        <v>12202</v>
      </c>
      <c r="E16" s="38">
        <f t="shared" si="2"/>
        <v>440</v>
      </c>
      <c r="F16" s="3">
        <v>10829200</v>
      </c>
      <c r="G16" s="38">
        <f t="shared" si="5"/>
        <v>572.4</v>
      </c>
      <c r="H16" s="3">
        <v>805818</v>
      </c>
      <c r="I16" s="43">
        <f t="shared" si="6"/>
        <v>3.5909999999999997</v>
      </c>
      <c r="J16" s="19">
        <f t="shared" si="3"/>
        <v>2065.991</v>
      </c>
      <c r="K16" s="20">
        <f t="shared" si="4"/>
        <v>12106.707260000001</v>
      </c>
    </row>
    <row r="17" spans="1:25" ht="16.5" thickBot="1" x14ac:dyDescent="0.3">
      <c r="A17" s="9">
        <v>44788</v>
      </c>
      <c r="B17" s="3">
        <v>458045</v>
      </c>
      <c r="C17" s="38">
        <f t="shared" si="7"/>
        <v>720</v>
      </c>
      <c r="D17" s="3">
        <v>12244</v>
      </c>
      <c r="E17" s="38">
        <f t="shared" si="2"/>
        <v>420</v>
      </c>
      <c r="F17" s="3">
        <v>10850200</v>
      </c>
      <c r="G17" s="38">
        <f t="shared" si="5"/>
        <v>567</v>
      </c>
      <c r="H17" s="3">
        <v>805945</v>
      </c>
      <c r="I17" s="43">
        <f t="shared" si="6"/>
        <v>3.4289999999999998</v>
      </c>
      <c r="J17" s="19">
        <f t="shared" si="3"/>
        <v>1710.4290000000001</v>
      </c>
      <c r="K17" s="20">
        <f t="shared" si="4"/>
        <v>10023.113940000001</v>
      </c>
      <c r="P17" t="s">
        <v>12</v>
      </c>
      <c r="R17" t="s">
        <v>12</v>
      </c>
    </row>
    <row r="18" spans="1:25" ht="16.5" thickBot="1" x14ac:dyDescent="0.3">
      <c r="A18" s="9">
        <v>44789</v>
      </c>
      <c r="B18" s="3">
        <v>458155</v>
      </c>
      <c r="C18" s="38">
        <f t="shared" si="7"/>
        <v>1100</v>
      </c>
      <c r="D18" s="3">
        <v>12287</v>
      </c>
      <c r="E18" s="38">
        <f t="shared" si="2"/>
        <v>430</v>
      </c>
      <c r="F18" s="3">
        <v>10873600</v>
      </c>
      <c r="G18" s="38">
        <f t="shared" si="5"/>
        <v>631.79999999999995</v>
      </c>
      <c r="H18" s="3">
        <v>806077</v>
      </c>
      <c r="I18" s="43">
        <f t="shared" si="6"/>
        <v>3.5640000000000001</v>
      </c>
      <c r="J18" s="19">
        <f t="shared" si="3"/>
        <v>2165.364</v>
      </c>
      <c r="K18" s="20">
        <f t="shared" si="4"/>
        <v>12689.03304</v>
      </c>
      <c r="Q18" t="s">
        <v>43</v>
      </c>
    </row>
    <row r="19" spans="1:25" ht="16.5" thickBot="1" x14ac:dyDescent="0.3">
      <c r="A19" s="9">
        <v>44790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44791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44792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44793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44794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44795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44796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44797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44798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44799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44800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44801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44802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44803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44804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16290</v>
      </c>
      <c r="D34" s="55"/>
      <c r="E34" s="55">
        <f>SUM(E3:E33)</f>
        <v>6810</v>
      </c>
      <c r="F34" s="55"/>
      <c r="G34" s="55">
        <f>SUM(G3:G33)</f>
        <v>9344.6999999999989</v>
      </c>
      <c r="H34" s="55"/>
      <c r="I34" s="55">
        <f>SUM(I3:I33)</f>
        <v>54.351000000000013</v>
      </c>
      <c r="J34" s="55">
        <v>0</v>
      </c>
      <c r="K34" s="55">
        <f>SUM(K4:K33)</f>
        <v>176653.77270000003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B19" sqref="B19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f>IF((B3-B2)&lt;0,"0",(B3-B2))</f>
        <v>2084</v>
      </c>
    </row>
    <row r="4" spans="1:9" ht="24" thickBot="1" x14ac:dyDescent="0.4">
      <c r="A4" s="9">
        <v>44775</v>
      </c>
      <c r="B4" s="132">
        <v>18425241</v>
      </c>
      <c r="C4" s="44">
        <f t="shared" ref="C4:C33" si="0">IF((B4-B3)&lt;0,"0",(B4-B3))</f>
        <v>2157</v>
      </c>
    </row>
    <row r="5" spans="1:9" ht="24" thickBot="1" x14ac:dyDescent="0.4">
      <c r="A5" s="9">
        <v>44776</v>
      </c>
      <c r="B5" s="132">
        <v>18427294</v>
      </c>
      <c r="C5" s="44">
        <f t="shared" si="0"/>
        <v>2053</v>
      </c>
    </row>
    <row r="6" spans="1:9" ht="24" thickBot="1" x14ac:dyDescent="0.4">
      <c r="A6" s="9">
        <v>44777</v>
      </c>
      <c r="B6" s="132">
        <v>18429781</v>
      </c>
      <c r="C6" s="44">
        <f t="shared" si="0"/>
        <v>2487</v>
      </c>
    </row>
    <row r="7" spans="1:9" ht="24" thickBot="1" x14ac:dyDescent="0.4">
      <c r="A7" s="9">
        <v>44778</v>
      </c>
      <c r="B7" s="132">
        <v>18431120</v>
      </c>
      <c r="C7" s="44">
        <f t="shared" si="0"/>
        <v>1339</v>
      </c>
    </row>
    <row r="8" spans="1:9" ht="24" thickBot="1" x14ac:dyDescent="0.4">
      <c r="A8" s="9">
        <v>44779</v>
      </c>
      <c r="B8" s="132">
        <v>18432560</v>
      </c>
      <c r="C8" s="44">
        <f t="shared" si="0"/>
        <v>1440</v>
      </c>
    </row>
    <row r="9" spans="1:9" ht="24" thickBot="1" x14ac:dyDescent="0.4">
      <c r="A9" s="9">
        <v>44780</v>
      </c>
      <c r="B9" s="132">
        <v>18433926</v>
      </c>
      <c r="C9" s="44">
        <f t="shared" si="0"/>
        <v>1366</v>
      </c>
    </row>
    <row r="10" spans="1:9" ht="24" thickBot="1" x14ac:dyDescent="0.4">
      <c r="A10" s="9">
        <v>44781</v>
      </c>
      <c r="B10" s="132">
        <v>18435989</v>
      </c>
      <c r="C10" s="44">
        <f t="shared" si="0"/>
        <v>2063</v>
      </c>
    </row>
    <row r="11" spans="1:9" ht="24" thickBot="1" x14ac:dyDescent="0.4">
      <c r="A11" s="9">
        <v>44782</v>
      </c>
      <c r="B11" s="132">
        <v>18437958</v>
      </c>
      <c r="C11" s="44">
        <f t="shared" si="0"/>
        <v>1969</v>
      </c>
    </row>
    <row r="12" spans="1:9" ht="24" thickBot="1" x14ac:dyDescent="0.4">
      <c r="A12" s="9">
        <v>44783</v>
      </c>
      <c r="B12" s="132">
        <v>18439784</v>
      </c>
      <c r="C12" s="44">
        <f t="shared" si="0"/>
        <v>1826</v>
      </c>
    </row>
    <row r="13" spans="1:9" ht="24" thickBot="1" x14ac:dyDescent="0.4">
      <c r="A13" s="9">
        <v>44784</v>
      </c>
      <c r="B13" s="132">
        <v>18441650</v>
      </c>
      <c r="C13" s="44">
        <f t="shared" si="0"/>
        <v>1866</v>
      </c>
    </row>
    <row r="14" spans="1:9" ht="24" thickBot="1" x14ac:dyDescent="0.4">
      <c r="A14" s="9">
        <v>44785</v>
      </c>
      <c r="B14" s="132">
        <v>18443302</v>
      </c>
      <c r="C14" s="44">
        <f t="shared" si="0"/>
        <v>1652</v>
      </c>
    </row>
    <row r="15" spans="1:9" ht="24" thickBot="1" x14ac:dyDescent="0.4">
      <c r="A15" s="9">
        <v>44786</v>
      </c>
      <c r="B15" s="132">
        <v>18445743</v>
      </c>
      <c r="C15" s="44">
        <f t="shared" si="0"/>
        <v>2441</v>
      </c>
      <c r="I15" t="s">
        <v>12</v>
      </c>
    </row>
    <row r="16" spans="1:9" ht="26.25" customHeight="1" thickBot="1" x14ac:dyDescent="0.4">
      <c r="A16" s="9">
        <v>44787</v>
      </c>
      <c r="B16" s="132">
        <v>18447610</v>
      </c>
      <c r="C16" s="44">
        <f t="shared" si="0"/>
        <v>1867</v>
      </c>
      <c r="F16" s="155"/>
    </row>
    <row r="17" spans="1:9" ht="25.5" customHeight="1" thickBot="1" x14ac:dyDescent="0.4">
      <c r="A17" s="9">
        <v>44788</v>
      </c>
      <c r="B17" s="132">
        <v>18449571</v>
      </c>
      <c r="C17" s="44">
        <f t="shared" si="0"/>
        <v>1961</v>
      </c>
    </row>
    <row r="18" spans="1:9" ht="24" thickBot="1" x14ac:dyDescent="0.4">
      <c r="A18" s="9">
        <v>44789</v>
      </c>
      <c r="B18" s="132">
        <v>18451373</v>
      </c>
      <c r="C18" s="44">
        <f t="shared" si="0"/>
        <v>1802</v>
      </c>
      <c r="I18" s="34"/>
    </row>
    <row r="19" spans="1:9" ht="24" thickBot="1" x14ac:dyDescent="0.4">
      <c r="A19" s="9">
        <v>44790</v>
      </c>
      <c r="B19" s="132"/>
      <c r="C19" s="44" t="str">
        <f t="shared" si="0"/>
        <v>0</v>
      </c>
    </row>
    <row r="20" spans="1:9" ht="24" thickBot="1" x14ac:dyDescent="0.4">
      <c r="A20" s="9">
        <v>44791</v>
      </c>
      <c r="B20" s="132"/>
      <c r="C20" s="44">
        <f t="shared" si="0"/>
        <v>0</v>
      </c>
    </row>
    <row r="21" spans="1:9" ht="24" thickBot="1" x14ac:dyDescent="0.4">
      <c r="A21" s="9">
        <v>44792</v>
      </c>
      <c r="B21" s="132"/>
      <c r="C21" s="44">
        <f t="shared" si="0"/>
        <v>0</v>
      </c>
    </row>
    <row r="22" spans="1:9" ht="24" thickBot="1" x14ac:dyDescent="0.4">
      <c r="A22" s="9">
        <v>44793</v>
      </c>
      <c r="B22" s="132"/>
      <c r="C22" s="44">
        <f t="shared" si="0"/>
        <v>0</v>
      </c>
    </row>
    <row r="23" spans="1:9" ht="24" thickBot="1" x14ac:dyDescent="0.4">
      <c r="A23" s="9">
        <v>44794</v>
      </c>
      <c r="B23" s="132"/>
      <c r="C23" s="44">
        <f t="shared" si="0"/>
        <v>0</v>
      </c>
      <c r="F23" t="s">
        <v>12</v>
      </c>
    </row>
    <row r="24" spans="1:9" ht="24" thickBot="1" x14ac:dyDescent="0.4">
      <c r="A24" s="9">
        <v>44795</v>
      </c>
      <c r="B24" s="132"/>
      <c r="C24" s="44">
        <f t="shared" si="0"/>
        <v>0</v>
      </c>
      <c r="E24" t="s">
        <v>12</v>
      </c>
    </row>
    <row r="25" spans="1:9" ht="24" thickBot="1" x14ac:dyDescent="0.4">
      <c r="A25" s="9">
        <v>44796</v>
      </c>
      <c r="B25" s="132"/>
      <c r="C25" s="44">
        <f t="shared" si="0"/>
        <v>0</v>
      </c>
    </row>
    <row r="26" spans="1:9" ht="24" thickBot="1" x14ac:dyDescent="0.4">
      <c r="A26" s="9">
        <v>44797</v>
      </c>
      <c r="B26" s="132"/>
      <c r="C26" s="44">
        <f t="shared" si="0"/>
        <v>0</v>
      </c>
    </row>
    <row r="27" spans="1:9" ht="24" thickBot="1" x14ac:dyDescent="0.4">
      <c r="A27" s="9">
        <v>44798</v>
      </c>
      <c r="B27" s="132"/>
      <c r="C27" s="44">
        <f t="shared" si="0"/>
        <v>0</v>
      </c>
    </row>
    <row r="28" spans="1:9" ht="24" thickBot="1" x14ac:dyDescent="0.4">
      <c r="A28" s="9">
        <v>44799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44800</v>
      </c>
      <c r="B29" s="132"/>
      <c r="C29" s="44">
        <f t="shared" si="0"/>
        <v>0</v>
      </c>
    </row>
    <row r="30" spans="1:9" ht="24" thickBot="1" x14ac:dyDescent="0.4">
      <c r="A30" s="9">
        <v>44801</v>
      </c>
      <c r="B30" s="132"/>
      <c r="C30" s="44">
        <f t="shared" si="0"/>
        <v>0</v>
      </c>
    </row>
    <row r="31" spans="1:9" ht="24" thickBot="1" x14ac:dyDescent="0.4">
      <c r="A31" s="9">
        <v>44802</v>
      </c>
      <c r="B31" s="132"/>
      <c r="C31" s="44">
        <f t="shared" si="0"/>
        <v>0</v>
      </c>
    </row>
    <row r="32" spans="1:9" ht="24" thickBot="1" x14ac:dyDescent="0.4">
      <c r="A32" s="9">
        <v>44803</v>
      </c>
      <c r="B32" s="132"/>
      <c r="C32" s="44">
        <f t="shared" si="0"/>
        <v>0</v>
      </c>
    </row>
    <row r="33" spans="1:3" ht="24" thickBot="1" x14ac:dyDescent="0.4">
      <c r="A33" s="9">
        <v>44804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28289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F1" zoomScale="90" zoomScaleNormal="90" workbookViewId="0">
      <pane ySplit="1" topLeftCell="A2" activePane="bottomLeft" state="frozen"/>
      <selection pane="bottomLeft" activeCell="AD19" sqref="AD19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44773</v>
      </c>
      <c r="B2" s="159">
        <v>24297.014999999999</v>
      </c>
      <c r="C2" s="43"/>
      <c r="D2" s="28">
        <f t="shared" ref="D2" si="0">C2*1.9*1000</f>
        <v>0</v>
      </c>
      <c r="E2" s="1">
        <v>4401.5460000000003</v>
      </c>
      <c r="F2" s="43"/>
      <c r="G2" s="28">
        <f t="shared" ref="G2" si="1">F2*1.9*1000</f>
        <v>0</v>
      </c>
      <c r="H2" s="1">
        <v>5734</v>
      </c>
      <c r="I2" s="43"/>
      <c r="J2" s="28">
        <f t="shared" ref="J2" si="2">I2*1.9*1000</f>
        <v>0</v>
      </c>
      <c r="K2" s="7">
        <v>14118.72</v>
      </c>
      <c r="L2" s="43"/>
      <c r="M2" s="28">
        <f t="shared" ref="M2" si="3">L2*1.9*1000</f>
        <v>0</v>
      </c>
      <c r="N2" s="7">
        <v>3656.79</v>
      </c>
      <c r="O2" s="43"/>
      <c r="P2" s="28">
        <f t="shared" ref="P2" si="4">O2*1.9*1000</f>
        <v>0</v>
      </c>
      <c r="Q2" s="7">
        <v>5472.25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6">
        <v>44773</v>
      </c>
      <c r="X2" s="157">
        <v>193600</v>
      </c>
      <c r="Y2" s="162"/>
      <c r="Z2" s="157">
        <v>9656</v>
      </c>
      <c r="AA2" s="162"/>
      <c r="AB2" s="157">
        <v>31</v>
      </c>
      <c r="AC2" s="162"/>
      <c r="AD2" s="157">
        <v>651</v>
      </c>
      <c r="AE2" s="162"/>
      <c r="AF2" s="157">
        <v>8426</v>
      </c>
      <c r="AG2" s="162"/>
    </row>
    <row r="3" spans="1:33" ht="16.5" thickBot="1" x14ac:dyDescent="0.25">
      <c r="A3" s="9">
        <v>44774</v>
      </c>
      <c r="B3" s="159">
        <v>24312.776999999998</v>
      </c>
      <c r="C3" s="43">
        <f t="shared" ref="C3" si="8">IF((B3-B2)&lt;0,"0",(B3-B2))</f>
        <v>15.761999999998807</v>
      </c>
      <c r="D3" s="28">
        <f t="shared" ref="D3" si="9">C3*1.9*1000</f>
        <v>29947.799999997729</v>
      </c>
      <c r="E3" s="1">
        <v>4405.2920000000004</v>
      </c>
      <c r="F3" s="43">
        <f t="shared" ref="F3" si="10">IF((E3-E2)&lt;0,"0",(E3-E2))</f>
        <v>3.7460000000000946</v>
      </c>
      <c r="G3" s="28">
        <f t="shared" ref="G3" si="11">F3*1.9*1000</f>
        <v>7117.4000000001797</v>
      </c>
      <c r="H3" s="1">
        <v>5742</v>
      </c>
      <c r="I3" s="43">
        <f t="shared" ref="I3" si="12">IF((H3-H2)&lt;0,"0",(H3-H2))</f>
        <v>8</v>
      </c>
      <c r="J3" s="28">
        <f t="shared" ref="J3" si="13">I3*1.9*1000</f>
        <v>15200</v>
      </c>
      <c r="K3" s="7">
        <v>14121.5</v>
      </c>
      <c r="L3" s="43">
        <f t="shared" ref="L3" si="14">IF((K3-K2)&lt;0,"0",(K3-K2))</f>
        <v>2.7800000000006548</v>
      </c>
      <c r="M3" s="28">
        <f t="shared" ref="M3" si="15">L3*1.9*1000</f>
        <v>5282.0000000012442</v>
      </c>
      <c r="N3" s="7">
        <v>3658.7339999999999</v>
      </c>
      <c r="O3" s="43">
        <f t="shared" ref="O3" si="16">IF((N3-N2)&lt;0,"0",(N3-N2))</f>
        <v>1.94399999999996</v>
      </c>
      <c r="P3" s="28">
        <f t="shared" ref="P3" si="17">O3*1.9*1000</f>
        <v>3693.5999999999235</v>
      </c>
      <c r="Q3" s="7">
        <v>5471.07</v>
      </c>
      <c r="R3" s="43" t="str">
        <f t="shared" ref="R3" si="18">IF((Q3-Q2)&lt;0,"0",(Q3-Q2))</f>
        <v>0</v>
      </c>
      <c r="S3" s="28">
        <f t="shared" ref="S3" si="19">R3*1.9*1000</f>
        <v>0</v>
      </c>
      <c r="T3" s="8">
        <f>C3+F3+I3+L3+O3+R3</f>
        <v>32.231999999999516</v>
      </c>
      <c r="U3" s="30">
        <f t="shared" ref="U3" si="20">T3*1.9*1000</f>
        <v>61240.799999999079</v>
      </c>
      <c r="W3" s="156">
        <v>44774</v>
      </c>
      <c r="X3" s="157">
        <v>193953</v>
      </c>
      <c r="Y3" s="162">
        <f t="shared" ref="Y3:AG31" si="21">IF((X3-X2)&lt;0,"0",(X3-X2))</f>
        <v>353</v>
      </c>
      <c r="Z3" s="157">
        <v>9664</v>
      </c>
      <c r="AA3" s="162">
        <f t="shared" si="21"/>
        <v>8</v>
      </c>
      <c r="AB3" s="157">
        <v>31</v>
      </c>
      <c r="AC3" s="162">
        <f t="shared" si="21"/>
        <v>0</v>
      </c>
      <c r="AD3" s="157">
        <v>651</v>
      </c>
      <c r="AE3" s="162">
        <f t="shared" si="21"/>
        <v>0</v>
      </c>
      <c r="AF3" s="157">
        <v>8439</v>
      </c>
      <c r="AG3" s="162">
        <f t="shared" si="21"/>
        <v>13</v>
      </c>
    </row>
    <row r="4" spans="1:33" ht="16.5" thickBot="1" x14ac:dyDescent="0.25">
      <c r="A4" s="9">
        <v>44775</v>
      </c>
      <c r="B4" s="159">
        <v>24326</v>
      </c>
      <c r="C4" s="43">
        <f t="shared" ref="C4:C33" si="22">IF((B4-B3)&lt;0,"0",(B4-B3))</f>
        <v>13.223000000001775</v>
      </c>
      <c r="D4" s="28">
        <f t="shared" ref="D4:D33" si="23">C4*1.9*1000</f>
        <v>25123.700000003369</v>
      </c>
      <c r="E4" s="1">
        <v>4408</v>
      </c>
      <c r="F4" s="43">
        <f t="shared" ref="F4:F33" si="24">IF((E4-E3)&lt;0,"0",(E4-E3))</f>
        <v>2.7079999999996289</v>
      </c>
      <c r="G4" s="28">
        <f t="shared" ref="G4:G33" si="25">F4*1.9*1000</f>
        <v>5145.199999999295</v>
      </c>
      <c r="H4" s="1">
        <v>5749</v>
      </c>
      <c r="I4" s="43">
        <f t="shared" ref="I4:I33" si="26">IF((H4-H3)&lt;0,"0",(H4-H3))</f>
        <v>7</v>
      </c>
      <c r="J4" s="28">
        <f t="shared" ref="J4:J33" si="27">I4*1.9*1000</f>
        <v>13299.999999999998</v>
      </c>
      <c r="K4" s="7">
        <v>14123.7</v>
      </c>
      <c r="L4" s="43">
        <f t="shared" ref="L4:L33" si="28">IF((K4-K3)&lt;0,"0",(K4-K3))</f>
        <v>2.2000000000007276</v>
      </c>
      <c r="M4" s="28">
        <f t="shared" ref="M4:M33" si="29">L4*1.9*1000</f>
        <v>4180.0000000013824</v>
      </c>
      <c r="N4" s="7">
        <v>3660.7</v>
      </c>
      <c r="O4" s="43">
        <f t="shared" ref="O4:O33" si="30">IF((N4-N3)&lt;0,"0",(N4-N3))</f>
        <v>1.9659999999998945</v>
      </c>
      <c r="P4" s="28">
        <f t="shared" ref="P4:P33" si="31">O4*1.9*1000</f>
        <v>3735.3999999997995</v>
      </c>
      <c r="Q4" s="7">
        <v>5472.9</v>
      </c>
      <c r="R4" s="43">
        <f t="shared" ref="R4:R33" si="32">IF((Q4-Q3)&lt;0,"0",(Q4-Q3))</f>
        <v>1.8299999999999272</v>
      </c>
      <c r="S4" s="28">
        <f t="shared" ref="S4:S33" si="33">R4*1.9*1000</f>
        <v>3476.9999999998618</v>
      </c>
      <c r="T4" s="8">
        <f>C4+F4+I4+L4+O4+R4</f>
        <v>28.927000000001954</v>
      </c>
      <c r="U4" s="30">
        <f t="shared" ref="U4:U33" si="34">T4*1.9*1000</f>
        <v>54961.300000003714</v>
      </c>
      <c r="W4" s="156">
        <v>44775</v>
      </c>
      <c r="X4" s="157">
        <v>194278</v>
      </c>
      <c r="Y4" s="162">
        <f t="shared" si="21"/>
        <v>325</v>
      </c>
      <c r="Z4" s="157">
        <v>9677</v>
      </c>
      <c r="AA4" s="162">
        <f t="shared" si="21"/>
        <v>13</v>
      </c>
      <c r="AB4" s="157">
        <v>31</v>
      </c>
      <c r="AC4" s="162">
        <f t="shared" si="21"/>
        <v>0</v>
      </c>
      <c r="AD4" s="157">
        <v>653</v>
      </c>
      <c r="AE4" s="162">
        <f t="shared" si="21"/>
        <v>2</v>
      </c>
      <c r="AF4" s="157">
        <v>8456</v>
      </c>
      <c r="AG4" s="162">
        <f t="shared" si="21"/>
        <v>17</v>
      </c>
    </row>
    <row r="5" spans="1:33" ht="16.5" thickBot="1" x14ac:dyDescent="0.25">
      <c r="A5" s="9">
        <v>44776</v>
      </c>
      <c r="B5" s="159">
        <v>24340.973000000002</v>
      </c>
      <c r="C5" s="43">
        <f t="shared" si="22"/>
        <v>14.973000000001775</v>
      </c>
      <c r="D5" s="28">
        <f t="shared" si="23"/>
        <v>28448.700000003369</v>
      </c>
      <c r="E5" s="1">
        <v>4411.9250000000002</v>
      </c>
      <c r="F5" s="43">
        <f t="shared" si="24"/>
        <v>3.9250000000001819</v>
      </c>
      <c r="G5" s="28">
        <f t="shared" si="25"/>
        <v>7457.5000000003447</v>
      </c>
      <c r="H5" s="1">
        <v>5758</v>
      </c>
      <c r="I5" s="43">
        <f t="shared" si="26"/>
        <v>9</v>
      </c>
      <c r="J5" s="28">
        <f t="shared" si="27"/>
        <v>17099.999999999996</v>
      </c>
      <c r="K5" s="7">
        <v>14126.37</v>
      </c>
      <c r="L5" s="43">
        <f t="shared" si="28"/>
        <v>2.6700000000000728</v>
      </c>
      <c r="M5" s="28">
        <f t="shared" si="29"/>
        <v>5073.0000000001382</v>
      </c>
      <c r="N5" s="7">
        <v>3662.7420000000002</v>
      </c>
      <c r="O5" s="43">
        <f t="shared" si="30"/>
        <v>2.0420000000003711</v>
      </c>
      <c r="P5" s="28">
        <f t="shared" si="31"/>
        <v>3879.8000000007046</v>
      </c>
      <c r="Q5" s="7">
        <v>5474.1</v>
      </c>
      <c r="R5" s="43">
        <f t="shared" si="32"/>
        <v>1.2000000000007276</v>
      </c>
      <c r="S5" s="28">
        <f t="shared" si="33"/>
        <v>2280.0000000013824</v>
      </c>
      <c r="T5" s="8">
        <f>C5+F5+I5+L5+O5+R5</f>
        <v>33.810000000003129</v>
      </c>
      <c r="U5" s="30">
        <f t="shared" si="34"/>
        <v>64239.000000005944</v>
      </c>
      <c r="W5" s="156">
        <v>44776</v>
      </c>
      <c r="X5" s="157">
        <v>194727</v>
      </c>
      <c r="Y5" s="162">
        <f t="shared" si="21"/>
        <v>449</v>
      </c>
      <c r="Z5" s="157">
        <v>9689</v>
      </c>
      <c r="AA5" s="162">
        <f t="shared" si="21"/>
        <v>12</v>
      </c>
      <c r="AB5" s="157">
        <v>31</v>
      </c>
      <c r="AC5" s="162">
        <f t="shared" si="21"/>
        <v>0</v>
      </c>
      <c r="AD5" s="157">
        <v>654</v>
      </c>
      <c r="AE5" s="162">
        <f t="shared" si="21"/>
        <v>1</v>
      </c>
      <c r="AF5" s="157">
        <v>8468</v>
      </c>
      <c r="AG5" s="162">
        <f t="shared" si="21"/>
        <v>12</v>
      </c>
    </row>
    <row r="6" spans="1:33" ht="16.5" thickBot="1" x14ac:dyDescent="0.25">
      <c r="A6" s="9">
        <v>44777</v>
      </c>
      <c r="B6" s="159">
        <v>24356.899000000001</v>
      </c>
      <c r="C6" s="43">
        <f t="shared" si="22"/>
        <v>15.925999999999476</v>
      </c>
      <c r="D6" s="28">
        <f t="shared" si="23"/>
        <v>30259.399999999005</v>
      </c>
      <c r="E6" s="1">
        <v>4416.0360000000001</v>
      </c>
      <c r="F6" s="43">
        <f t="shared" si="24"/>
        <v>4.1109999999998763</v>
      </c>
      <c r="G6" s="28">
        <f t="shared" si="25"/>
        <v>7810.899999999765</v>
      </c>
      <c r="H6" s="1">
        <v>5768</v>
      </c>
      <c r="I6" s="43">
        <f t="shared" si="26"/>
        <v>10</v>
      </c>
      <c r="J6" s="28">
        <f t="shared" si="27"/>
        <v>19000</v>
      </c>
      <c r="K6" s="7">
        <v>14129</v>
      </c>
      <c r="L6" s="43">
        <f t="shared" si="28"/>
        <v>2.6299999999991996</v>
      </c>
      <c r="M6" s="28">
        <f t="shared" si="29"/>
        <v>4996.9999999984793</v>
      </c>
      <c r="N6" s="7">
        <v>3664.7330000000002</v>
      </c>
      <c r="O6" s="43">
        <f t="shared" si="30"/>
        <v>1.9909999999999854</v>
      </c>
      <c r="P6" s="28">
        <f t="shared" si="31"/>
        <v>3782.8999999999724</v>
      </c>
      <c r="Q6" s="7">
        <v>5477.84</v>
      </c>
      <c r="R6" s="43">
        <f t="shared" si="32"/>
        <v>3.7399999999997817</v>
      </c>
      <c r="S6" s="28">
        <f t="shared" si="33"/>
        <v>7105.9999999995853</v>
      </c>
      <c r="T6" s="8">
        <f t="shared" ref="T6:T33" si="35">C6+F6+I6+L6+O6+R6</f>
        <v>38.397999999998319</v>
      </c>
      <c r="U6" s="30">
        <f t="shared" si="34"/>
        <v>72956.199999996796</v>
      </c>
      <c r="W6" s="156">
        <v>44777</v>
      </c>
      <c r="X6" s="157">
        <v>194973</v>
      </c>
      <c r="Y6" s="162">
        <f t="shared" si="21"/>
        <v>246</v>
      </c>
      <c r="Z6" s="157">
        <v>9695</v>
      </c>
      <c r="AA6" s="162">
        <f t="shared" si="21"/>
        <v>6</v>
      </c>
      <c r="AB6" s="157">
        <v>31</v>
      </c>
      <c r="AC6" s="162">
        <f t="shared" si="21"/>
        <v>0</v>
      </c>
      <c r="AD6" s="157">
        <v>655</v>
      </c>
      <c r="AE6" s="162">
        <f t="shared" si="21"/>
        <v>1</v>
      </c>
      <c r="AF6" s="157">
        <v>8468</v>
      </c>
      <c r="AG6" s="162">
        <f t="shared" si="21"/>
        <v>0</v>
      </c>
    </row>
    <row r="7" spans="1:33" ht="16.5" thickBot="1" x14ac:dyDescent="0.25">
      <c r="A7" s="9">
        <v>44778</v>
      </c>
      <c r="B7" s="159">
        <v>24372.007000000001</v>
      </c>
      <c r="C7" s="43">
        <f t="shared" si="22"/>
        <v>15.108000000000175</v>
      </c>
      <c r="D7" s="28">
        <f t="shared" si="23"/>
        <v>28705.200000000332</v>
      </c>
      <c r="E7" s="1">
        <v>4417.9570000000003</v>
      </c>
      <c r="F7" s="43">
        <f t="shared" si="24"/>
        <v>1.9210000000002765</v>
      </c>
      <c r="G7" s="28">
        <f t="shared" si="25"/>
        <v>3649.9000000005249</v>
      </c>
      <c r="H7" s="1">
        <v>5775</v>
      </c>
      <c r="I7" s="43">
        <f t="shared" si="26"/>
        <v>7</v>
      </c>
      <c r="J7" s="28">
        <f t="shared" si="27"/>
        <v>13299.999999999998</v>
      </c>
      <c r="K7" s="7">
        <v>14132.19</v>
      </c>
      <c r="L7" s="43">
        <f t="shared" si="28"/>
        <v>3.1900000000005093</v>
      </c>
      <c r="M7" s="28">
        <f t="shared" si="29"/>
        <v>6061.0000000009668</v>
      </c>
      <c r="N7" s="7">
        <v>3666.748</v>
      </c>
      <c r="O7" s="43">
        <f t="shared" si="30"/>
        <v>2.0149999999998727</v>
      </c>
      <c r="P7" s="28">
        <f t="shared" si="31"/>
        <v>3828.4999999997581</v>
      </c>
      <c r="Q7" s="7">
        <v>5480.05</v>
      </c>
      <c r="R7" s="43">
        <f t="shared" si="32"/>
        <v>2.2100000000000364</v>
      </c>
      <c r="S7" s="28">
        <f t="shared" si="33"/>
        <v>4199.0000000000691</v>
      </c>
      <c r="T7" s="8">
        <f t="shared" si="35"/>
        <v>31.444000000000869</v>
      </c>
      <c r="U7" s="30">
        <f t="shared" si="34"/>
        <v>59743.60000000165</v>
      </c>
      <c r="W7" s="156">
        <v>44778</v>
      </c>
      <c r="X7" s="157">
        <v>195273</v>
      </c>
      <c r="Y7" s="162">
        <f t="shared" si="21"/>
        <v>300</v>
      </c>
      <c r="Z7" s="157">
        <v>9699</v>
      </c>
      <c r="AA7" s="162">
        <f t="shared" si="21"/>
        <v>4</v>
      </c>
      <c r="AB7" s="157">
        <v>31</v>
      </c>
      <c r="AC7" s="162">
        <f t="shared" si="21"/>
        <v>0</v>
      </c>
      <c r="AD7" s="157">
        <v>656</v>
      </c>
      <c r="AE7" s="162">
        <f t="shared" si="21"/>
        <v>1</v>
      </c>
      <c r="AF7" s="157">
        <v>8498</v>
      </c>
      <c r="AG7" s="162">
        <f t="shared" si="21"/>
        <v>30</v>
      </c>
    </row>
    <row r="8" spans="1:33" ht="16.5" thickBot="1" x14ac:dyDescent="0.25">
      <c r="A8" s="9">
        <v>44779</v>
      </c>
      <c r="B8" s="159">
        <v>24384.828000000001</v>
      </c>
      <c r="C8" s="43">
        <f t="shared" si="22"/>
        <v>12.820999999999913</v>
      </c>
      <c r="D8" s="28">
        <f t="shared" si="23"/>
        <v>24359.899999999834</v>
      </c>
      <c r="E8" s="1">
        <v>4420.1850000000004</v>
      </c>
      <c r="F8" s="43">
        <f t="shared" si="24"/>
        <v>2.2280000000000655</v>
      </c>
      <c r="G8" s="28">
        <f t="shared" si="25"/>
        <v>4233.2000000001244</v>
      </c>
      <c r="H8" s="1">
        <v>5783</v>
      </c>
      <c r="I8" s="43">
        <f t="shared" si="26"/>
        <v>8</v>
      </c>
      <c r="J8" s="28">
        <f t="shared" si="27"/>
        <v>15200</v>
      </c>
      <c r="K8" s="7">
        <v>14134.97</v>
      </c>
      <c r="L8" s="43">
        <f t="shared" si="28"/>
        <v>2.7799999999988358</v>
      </c>
      <c r="M8" s="28">
        <f t="shared" si="29"/>
        <v>5281.9999999977872</v>
      </c>
      <c r="N8" s="7">
        <v>3668.6990000000001</v>
      </c>
      <c r="O8" s="43">
        <f t="shared" si="30"/>
        <v>1.9510000000000218</v>
      </c>
      <c r="P8" s="28">
        <f t="shared" si="31"/>
        <v>3706.9000000000415</v>
      </c>
      <c r="Q8" s="7">
        <v>5482.42</v>
      </c>
      <c r="R8" s="43">
        <f t="shared" si="32"/>
        <v>2.3699999999998909</v>
      </c>
      <c r="S8" s="28">
        <f t="shared" si="33"/>
        <v>4502.9999999997926</v>
      </c>
      <c r="T8" s="8">
        <f t="shared" si="35"/>
        <v>30.149999999998727</v>
      </c>
      <c r="U8" s="30">
        <f t="shared" si="34"/>
        <v>57284.999999997584</v>
      </c>
      <c r="W8" s="156">
        <v>44779</v>
      </c>
      <c r="X8" s="157">
        <v>195567</v>
      </c>
      <c r="Y8" s="162">
        <f t="shared" si="21"/>
        <v>294</v>
      </c>
      <c r="Z8" s="157">
        <v>9704</v>
      </c>
      <c r="AA8" s="162">
        <f t="shared" si="21"/>
        <v>5</v>
      </c>
      <c r="AB8" s="157">
        <v>31</v>
      </c>
      <c r="AC8" s="162">
        <f t="shared" si="21"/>
        <v>0</v>
      </c>
      <c r="AD8" s="157">
        <v>657</v>
      </c>
      <c r="AE8" s="162">
        <f t="shared" si="21"/>
        <v>1</v>
      </c>
      <c r="AF8" s="157">
        <v>8498</v>
      </c>
      <c r="AG8" s="162">
        <f t="shared" si="21"/>
        <v>0</v>
      </c>
    </row>
    <row r="9" spans="1:33" ht="16.5" thickBot="1" x14ac:dyDescent="0.25">
      <c r="A9" s="9">
        <v>44780</v>
      </c>
      <c r="B9" s="159">
        <v>24403.161</v>
      </c>
      <c r="C9" s="43">
        <f t="shared" si="22"/>
        <v>18.332999999998719</v>
      </c>
      <c r="D9" s="28">
        <f t="shared" si="23"/>
        <v>34832.699999997567</v>
      </c>
      <c r="E9" s="1">
        <v>4423.8999999999996</v>
      </c>
      <c r="F9" s="43">
        <f t="shared" si="24"/>
        <v>3.714999999999236</v>
      </c>
      <c r="G9" s="28">
        <f t="shared" si="25"/>
        <v>7058.4999999985484</v>
      </c>
      <c r="H9" s="1">
        <v>5793</v>
      </c>
      <c r="I9" s="43">
        <f t="shared" si="26"/>
        <v>10</v>
      </c>
      <c r="J9" s="28">
        <f t="shared" si="27"/>
        <v>19000</v>
      </c>
      <c r="K9" s="7">
        <v>14138.7</v>
      </c>
      <c r="L9" s="43">
        <f t="shared" si="28"/>
        <v>3.7300000000013824</v>
      </c>
      <c r="M9" s="28">
        <f t="shared" si="29"/>
        <v>7087.0000000026257</v>
      </c>
      <c r="N9" s="7">
        <v>3671.4</v>
      </c>
      <c r="O9" s="43">
        <f t="shared" si="30"/>
        <v>2.7010000000000218</v>
      </c>
      <c r="P9" s="28">
        <f t="shared" si="31"/>
        <v>5131.9000000000415</v>
      </c>
      <c r="Q9" s="7">
        <v>5484.7</v>
      </c>
      <c r="R9" s="43">
        <f t="shared" si="32"/>
        <v>2.2799999999997453</v>
      </c>
      <c r="S9" s="28">
        <f t="shared" si="33"/>
        <v>4331.9999999995161</v>
      </c>
      <c r="T9" s="8">
        <f t="shared" si="35"/>
        <v>40.758999999999105</v>
      </c>
      <c r="U9" s="30">
        <f t="shared" si="34"/>
        <v>77442.099999998289</v>
      </c>
      <c r="W9" s="156">
        <v>44780</v>
      </c>
      <c r="X9" s="157">
        <v>195993</v>
      </c>
      <c r="Y9" s="162">
        <f t="shared" si="21"/>
        <v>426</v>
      </c>
      <c r="Z9" s="157">
        <v>9710</v>
      </c>
      <c r="AA9" s="162">
        <f t="shared" si="21"/>
        <v>6</v>
      </c>
      <c r="AB9" s="157">
        <v>31</v>
      </c>
      <c r="AC9" s="162">
        <f t="shared" si="21"/>
        <v>0</v>
      </c>
      <c r="AD9" s="157">
        <v>659</v>
      </c>
      <c r="AE9" s="162">
        <f t="shared" si="21"/>
        <v>2</v>
      </c>
      <c r="AF9" s="157">
        <v>8529</v>
      </c>
      <c r="AG9" s="162">
        <f t="shared" si="21"/>
        <v>31</v>
      </c>
    </row>
    <row r="10" spans="1:33" ht="16.5" thickBot="1" x14ac:dyDescent="0.25">
      <c r="A10" s="9">
        <v>44781</v>
      </c>
      <c r="B10" s="159">
        <v>24415.654999999999</v>
      </c>
      <c r="C10" s="43">
        <f t="shared" si="22"/>
        <v>12.493999999998778</v>
      </c>
      <c r="D10" s="28">
        <f t="shared" si="23"/>
        <v>23738.599999997674</v>
      </c>
      <c r="E10" s="1">
        <v>4426.0159999999996</v>
      </c>
      <c r="F10" s="43">
        <f t="shared" si="24"/>
        <v>2.1159999999999854</v>
      </c>
      <c r="G10" s="28">
        <f t="shared" si="25"/>
        <v>4020.3999999999719</v>
      </c>
      <c r="H10" s="1">
        <v>5800</v>
      </c>
      <c r="I10" s="43">
        <f t="shared" si="26"/>
        <v>7</v>
      </c>
      <c r="J10" s="28">
        <f t="shared" si="27"/>
        <v>13299.999999999998</v>
      </c>
      <c r="K10" s="7">
        <v>14140.18</v>
      </c>
      <c r="L10" s="43">
        <f t="shared" si="28"/>
        <v>1.4799999999995634</v>
      </c>
      <c r="M10" s="28">
        <f t="shared" si="29"/>
        <v>2811.9999999991701</v>
      </c>
      <c r="N10" s="7">
        <v>3672.989</v>
      </c>
      <c r="O10" s="43">
        <f>IF((N10-N9)&lt;0,"0",(N10-N9))</f>
        <v>1.5889999999999418</v>
      </c>
      <c r="P10" s="28">
        <f t="shared" si="31"/>
        <v>3019.0999999998894</v>
      </c>
      <c r="Q10" s="7">
        <v>5485.24</v>
      </c>
      <c r="R10" s="43">
        <f t="shared" si="32"/>
        <v>0.53999999999996362</v>
      </c>
      <c r="S10" s="28">
        <f t="shared" si="33"/>
        <v>1025.9999999999307</v>
      </c>
      <c r="T10" s="8">
        <f t="shared" si="35"/>
        <v>25.218999999998232</v>
      </c>
      <c r="U10" s="30">
        <f t="shared" si="34"/>
        <v>47916.099999996637</v>
      </c>
      <c r="W10" s="156">
        <v>44781</v>
      </c>
      <c r="X10" s="157">
        <v>196229</v>
      </c>
      <c r="Y10" s="162">
        <f t="shared" si="21"/>
        <v>236</v>
      </c>
      <c r="Z10" s="157">
        <v>9715</v>
      </c>
      <c r="AA10" s="162">
        <f t="shared" si="21"/>
        <v>5</v>
      </c>
      <c r="AB10" s="157">
        <v>31</v>
      </c>
      <c r="AC10" s="162">
        <f t="shared" si="21"/>
        <v>0</v>
      </c>
      <c r="AD10" s="157">
        <v>662</v>
      </c>
      <c r="AE10" s="162">
        <f t="shared" si="21"/>
        <v>3</v>
      </c>
      <c r="AF10" s="157">
        <v>8541</v>
      </c>
      <c r="AG10" s="162">
        <f t="shared" si="21"/>
        <v>12</v>
      </c>
    </row>
    <row r="11" spans="1:33" ht="16.5" thickBot="1" x14ac:dyDescent="0.25">
      <c r="A11" s="9">
        <v>44782</v>
      </c>
      <c r="B11" s="159">
        <v>24425.674999999999</v>
      </c>
      <c r="C11" s="43">
        <f t="shared" si="22"/>
        <v>10.020000000000437</v>
      </c>
      <c r="D11" s="28">
        <f t="shared" si="23"/>
        <v>19038.000000000829</v>
      </c>
      <c r="E11" s="1">
        <v>4429.3159999999998</v>
      </c>
      <c r="F11" s="43">
        <f t="shared" si="24"/>
        <v>3.3000000000001819</v>
      </c>
      <c r="G11" s="28">
        <f t="shared" si="25"/>
        <v>6270.0000000003447</v>
      </c>
      <c r="H11" s="1">
        <v>5807</v>
      </c>
      <c r="I11" s="43">
        <f t="shared" si="26"/>
        <v>7</v>
      </c>
      <c r="J11" s="28">
        <f t="shared" si="27"/>
        <v>13299.999999999998</v>
      </c>
      <c r="K11" s="7">
        <v>14142.08</v>
      </c>
      <c r="L11" s="43">
        <f t="shared" si="28"/>
        <v>1.8999999999996362</v>
      </c>
      <c r="M11" s="28">
        <f t="shared" si="29"/>
        <v>3609.9999999993083</v>
      </c>
      <c r="N11" s="7">
        <v>3674.2890000000002</v>
      </c>
      <c r="O11" s="43">
        <f t="shared" si="30"/>
        <v>1.3000000000001819</v>
      </c>
      <c r="P11" s="28">
        <f t="shared" si="31"/>
        <v>2470.0000000003456</v>
      </c>
      <c r="Q11" s="7">
        <v>5486.24</v>
      </c>
      <c r="R11" s="43">
        <f t="shared" si="32"/>
        <v>1</v>
      </c>
      <c r="S11" s="28">
        <f t="shared" si="33"/>
        <v>1900</v>
      </c>
      <c r="T11" s="8">
        <f t="shared" si="35"/>
        <v>24.520000000000437</v>
      </c>
      <c r="U11" s="30">
        <f t="shared" si="34"/>
        <v>46588.000000000822</v>
      </c>
      <c r="W11" s="156">
        <v>44782</v>
      </c>
      <c r="X11" s="157">
        <v>196529</v>
      </c>
      <c r="Y11" s="162">
        <f t="shared" si="21"/>
        <v>300</v>
      </c>
      <c r="Z11" s="157">
        <v>9720</v>
      </c>
      <c r="AA11" s="162">
        <f t="shared" si="21"/>
        <v>5</v>
      </c>
      <c r="AB11" s="157">
        <v>31</v>
      </c>
      <c r="AC11" s="162">
        <f t="shared" si="21"/>
        <v>0</v>
      </c>
      <c r="AD11" s="157">
        <v>665</v>
      </c>
      <c r="AE11" s="162">
        <f t="shared" si="21"/>
        <v>3</v>
      </c>
      <c r="AF11" s="157">
        <v>8551</v>
      </c>
      <c r="AG11" s="162">
        <f t="shared" si="21"/>
        <v>10</v>
      </c>
    </row>
    <row r="12" spans="1:33" ht="16.5" thickBot="1" x14ac:dyDescent="0.25">
      <c r="A12" s="9">
        <v>44783</v>
      </c>
      <c r="B12" s="159">
        <v>24440.524000000001</v>
      </c>
      <c r="C12" s="43">
        <f t="shared" si="22"/>
        <v>14.849000000001979</v>
      </c>
      <c r="D12" s="28">
        <f t="shared" si="23"/>
        <v>28213.10000000376</v>
      </c>
      <c r="E12" s="1">
        <v>4433.0829999999996</v>
      </c>
      <c r="F12" s="43">
        <f t="shared" si="24"/>
        <v>3.7669999999998254</v>
      </c>
      <c r="G12" s="28">
        <f t="shared" si="25"/>
        <v>7157.2999999996682</v>
      </c>
      <c r="H12" s="1">
        <v>5816</v>
      </c>
      <c r="I12" s="43">
        <f t="shared" si="26"/>
        <v>9</v>
      </c>
      <c r="J12" s="28">
        <f t="shared" si="27"/>
        <v>17099.999999999996</v>
      </c>
      <c r="K12" s="7">
        <v>14144.82</v>
      </c>
      <c r="L12" s="43">
        <f t="shared" si="28"/>
        <v>2.7399999999997817</v>
      </c>
      <c r="M12" s="28">
        <f t="shared" si="29"/>
        <v>5205.9999999995844</v>
      </c>
      <c r="N12" s="7">
        <v>3675.9490000000001</v>
      </c>
      <c r="O12" s="43">
        <f t="shared" si="30"/>
        <v>1.6599999999998545</v>
      </c>
      <c r="P12" s="28">
        <f t="shared" si="31"/>
        <v>3153.9999999997231</v>
      </c>
      <c r="Q12" s="7">
        <v>5487.29</v>
      </c>
      <c r="R12" s="43">
        <f t="shared" si="32"/>
        <v>1.0500000000001819</v>
      </c>
      <c r="S12" s="28">
        <f t="shared" si="33"/>
        <v>1995.0000000003456</v>
      </c>
      <c r="T12" s="8">
        <f t="shared" si="35"/>
        <v>33.066000000001623</v>
      </c>
      <c r="U12" s="30">
        <f t="shared" si="34"/>
        <v>62825.400000003079</v>
      </c>
      <c r="W12" s="156">
        <v>44783</v>
      </c>
      <c r="X12" s="157">
        <v>196857</v>
      </c>
      <c r="Y12" s="162">
        <f t="shared" si="21"/>
        <v>328</v>
      </c>
      <c r="Z12" s="157">
        <v>9725</v>
      </c>
      <c r="AA12" s="162">
        <f t="shared" si="21"/>
        <v>5</v>
      </c>
      <c r="AB12" s="157">
        <v>31</v>
      </c>
      <c r="AC12" s="162">
        <f t="shared" si="21"/>
        <v>0</v>
      </c>
      <c r="AD12" s="157">
        <v>668</v>
      </c>
      <c r="AE12" s="162">
        <f t="shared" si="21"/>
        <v>3</v>
      </c>
      <c r="AF12" s="157">
        <v>8565</v>
      </c>
      <c r="AG12" s="162">
        <f t="shared" si="21"/>
        <v>14</v>
      </c>
    </row>
    <row r="13" spans="1:33" ht="16.5" thickBot="1" x14ac:dyDescent="0.25">
      <c r="A13" s="9">
        <v>44784</v>
      </c>
      <c r="B13" s="159">
        <v>24455.978999999999</v>
      </c>
      <c r="C13" s="43">
        <f t="shared" si="22"/>
        <v>15.454999999998108</v>
      </c>
      <c r="D13" s="28">
        <f t="shared" si="23"/>
        <v>29364.499999996406</v>
      </c>
      <c r="E13" s="1">
        <v>4436.5429999999997</v>
      </c>
      <c r="F13" s="43">
        <f t="shared" si="24"/>
        <v>3.4600000000000364</v>
      </c>
      <c r="G13" s="28">
        <f t="shared" si="25"/>
        <v>6574.0000000000691</v>
      </c>
      <c r="H13" s="1">
        <v>5824</v>
      </c>
      <c r="I13" s="43">
        <f t="shared" si="26"/>
        <v>8</v>
      </c>
      <c r="J13" s="28">
        <f t="shared" si="27"/>
        <v>15200</v>
      </c>
      <c r="K13" s="7">
        <v>14147.37</v>
      </c>
      <c r="L13" s="43">
        <f t="shared" si="28"/>
        <v>2.5500000000010914</v>
      </c>
      <c r="M13" s="28">
        <f t="shared" si="29"/>
        <v>4845.0000000020736</v>
      </c>
      <c r="N13" s="7">
        <v>3678.011</v>
      </c>
      <c r="O13" s="43">
        <f t="shared" si="30"/>
        <v>2.0619999999998981</v>
      </c>
      <c r="P13" s="28">
        <f t="shared" si="31"/>
        <v>3917.799999999806</v>
      </c>
      <c r="Q13" s="7">
        <v>5488.41</v>
      </c>
      <c r="R13" s="43">
        <f t="shared" si="32"/>
        <v>1.1199999999998909</v>
      </c>
      <c r="S13" s="28">
        <f t="shared" si="33"/>
        <v>2127.9999999997926</v>
      </c>
      <c r="T13" s="8">
        <f t="shared" si="35"/>
        <v>32.646999999999025</v>
      </c>
      <c r="U13" s="30">
        <f t="shared" si="34"/>
        <v>62029.299999998148</v>
      </c>
      <c r="W13" s="156">
        <v>44784</v>
      </c>
      <c r="X13" s="157">
        <v>197206</v>
      </c>
      <c r="Y13" s="162">
        <f t="shared" si="21"/>
        <v>349</v>
      </c>
      <c r="Z13" s="157">
        <v>9730</v>
      </c>
      <c r="AA13" s="162">
        <f t="shared" si="21"/>
        <v>5</v>
      </c>
      <c r="AB13" s="157">
        <v>31</v>
      </c>
      <c r="AC13" s="162">
        <f t="shared" si="21"/>
        <v>0</v>
      </c>
      <c r="AD13" s="157">
        <v>671</v>
      </c>
      <c r="AE13" s="162">
        <f t="shared" si="21"/>
        <v>3</v>
      </c>
      <c r="AF13" s="157">
        <v>8574</v>
      </c>
      <c r="AG13" s="162">
        <f t="shared" si="21"/>
        <v>9</v>
      </c>
    </row>
    <row r="14" spans="1:33" ht="16.5" thickBot="1" x14ac:dyDescent="0.25">
      <c r="A14" s="9">
        <v>44785</v>
      </c>
      <c r="B14" s="159">
        <v>24470</v>
      </c>
      <c r="C14" s="43">
        <f t="shared" si="22"/>
        <v>14.02100000000064</v>
      </c>
      <c r="D14" s="28">
        <f t="shared" si="23"/>
        <v>26639.900000001217</v>
      </c>
      <c r="E14" s="1">
        <v>4438.2740000000003</v>
      </c>
      <c r="F14" s="43">
        <f t="shared" si="24"/>
        <v>1.7310000000006767</v>
      </c>
      <c r="G14" s="28">
        <f t="shared" si="25"/>
        <v>3288.9000000012857</v>
      </c>
      <c r="H14" s="1">
        <v>5831</v>
      </c>
      <c r="I14" s="43">
        <f t="shared" si="26"/>
        <v>7</v>
      </c>
      <c r="J14" s="28">
        <f t="shared" si="27"/>
        <v>13299.999999999998</v>
      </c>
      <c r="K14" s="7">
        <v>14149.95</v>
      </c>
      <c r="L14" s="43">
        <f t="shared" si="28"/>
        <v>2.5799999999999272</v>
      </c>
      <c r="M14" s="28">
        <f t="shared" si="29"/>
        <v>4901.9999999998618</v>
      </c>
      <c r="N14" s="7">
        <v>3679.81</v>
      </c>
      <c r="O14" s="43">
        <f>IF((N14-N13)&lt;0,"0",(N14-N13))</f>
        <v>1.7989999999999782</v>
      </c>
      <c r="P14" s="28">
        <f t="shared" si="31"/>
        <v>3418.0999999999581</v>
      </c>
      <c r="Q14" s="7">
        <v>5489.34</v>
      </c>
      <c r="R14" s="43">
        <f t="shared" si="32"/>
        <v>0.93000000000029104</v>
      </c>
      <c r="S14" s="28">
        <f t="shared" si="33"/>
        <v>1767.0000000005527</v>
      </c>
      <c r="T14" s="8">
        <f t="shared" si="35"/>
        <v>28.061000000001513</v>
      </c>
      <c r="U14" s="30">
        <f t="shared" si="34"/>
        <v>53315.900000002868</v>
      </c>
      <c r="W14" s="156">
        <v>44785</v>
      </c>
      <c r="X14" s="157">
        <v>197488</v>
      </c>
      <c r="Y14" s="162">
        <f t="shared" si="21"/>
        <v>282</v>
      </c>
      <c r="Z14" s="157">
        <v>9734</v>
      </c>
      <c r="AA14" s="162">
        <f t="shared" si="21"/>
        <v>4</v>
      </c>
      <c r="AB14" s="157">
        <v>31.5</v>
      </c>
      <c r="AC14" s="162">
        <f t="shared" si="21"/>
        <v>0.5</v>
      </c>
      <c r="AD14" s="157">
        <v>674</v>
      </c>
      <c r="AE14" s="162">
        <f t="shared" si="21"/>
        <v>3</v>
      </c>
      <c r="AF14" s="157">
        <v>8584</v>
      </c>
      <c r="AG14" s="162">
        <f t="shared" si="21"/>
        <v>10</v>
      </c>
    </row>
    <row r="15" spans="1:33" ht="16.5" thickBot="1" x14ac:dyDescent="0.25">
      <c r="A15" s="9">
        <v>44786</v>
      </c>
      <c r="B15" s="159">
        <v>24488.18</v>
      </c>
      <c r="C15" s="43">
        <f t="shared" ref="C15" si="36">IF((B15-B14)&lt;0,"0",(B15-B14))</f>
        <v>18.180000000000291</v>
      </c>
      <c r="D15" s="28">
        <f t="shared" ref="D15" si="37">C15*1.9*1000</f>
        <v>34542.000000000546</v>
      </c>
      <c r="E15" s="1">
        <v>4440.7</v>
      </c>
      <c r="F15" s="43">
        <f t="shared" ref="F15" si="38">IF((E15-E14)&lt;0,"0",(E15-E14))</f>
        <v>2.4259999999994761</v>
      </c>
      <c r="G15" s="28">
        <f t="shared" ref="G15" si="39">F15*1.9*1000</f>
        <v>4609.3999999990046</v>
      </c>
      <c r="H15" s="1">
        <v>5840</v>
      </c>
      <c r="I15" s="43">
        <f t="shared" ref="I15" si="40">IF((H15-H14)&lt;0,"0",(H15-H14))</f>
        <v>9</v>
      </c>
      <c r="J15" s="28">
        <f t="shared" ref="J15" si="41">I15*1.9*1000</f>
        <v>17099.999999999996</v>
      </c>
      <c r="K15" s="7">
        <v>14153.28</v>
      </c>
      <c r="L15" s="43">
        <f t="shared" ref="L15" si="42">IF((K15-K14)&lt;0,"0",(K15-K14))</f>
        <v>3.3299999999999272</v>
      </c>
      <c r="M15" s="28">
        <f t="shared" ref="M15" si="43">L15*1.9*1000</f>
        <v>6326.9999999998618</v>
      </c>
      <c r="N15" s="7">
        <v>3682.89</v>
      </c>
      <c r="O15" s="43">
        <f>IF((N15-N14)&lt;0,"0",(N15-N14))</f>
        <v>3.0799999999999272</v>
      </c>
      <c r="P15" s="28">
        <f t="shared" ref="P15" si="44">O15*1.9*1000</f>
        <v>5851.9999999998618</v>
      </c>
      <c r="Q15" s="7">
        <v>5490.52</v>
      </c>
      <c r="R15" s="43">
        <f t="shared" ref="R15" si="45">IF((Q15-Q14)&lt;0,"0",(Q15-Q14))</f>
        <v>1.180000000000291</v>
      </c>
      <c r="S15" s="28">
        <f t="shared" ref="S15" si="46">R15*1.9*1000</f>
        <v>2242.000000000553</v>
      </c>
      <c r="T15" s="8">
        <f t="shared" ref="T15" si="47">C15+F15+I15+L15+O15+R15</f>
        <v>37.195999999999913</v>
      </c>
      <c r="U15" s="30">
        <f t="shared" ref="U15" si="48">T15*1.9*1000</f>
        <v>70672.39999999982</v>
      </c>
      <c r="W15" s="156">
        <v>44786</v>
      </c>
      <c r="X15" s="157">
        <v>197802</v>
      </c>
      <c r="Y15" s="162">
        <f t="shared" si="21"/>
        <v>314</v>
      </c>
      <c r="Z15" s="157">
        <v>9740</v>
      </c>
      <c r="AA15" s="162">
        <f t="shared" si="21"/>
        <v>6</v>
      </c>
      <c r="AB15" s="157">
        <v>31.5</v>
      </c>
      <c r="AC15" s="162">
        <f t="shared" si="21"/>
        <v>0</v>
      </c>
      <c r="AD15" s="157">
        <v>680</v>
      </c>
      <c r="AE15" s="162">
        <f t="shared" si="21"/>
        <v>6</v>
      </c>
      <c r="AF15" s="157">
        <v>8583</v>
      </c>
      <c r="AG15" s="162" t="str">
        <f t="shared" si="21"/>
        <v>0</v>
      </c>
    </row>
    <row r="16" spans="1:33" ht="16.5" thickBot="1" x14ac:dyDescent="0.25">
      <c r="A16" s="9">
        <v>44787</v>
      </c>
      <c r="B16" s="159">
        <v>24499</v>
      </c>
      <c r="C16" s="43">
        <f t="shared" si="22"/>
        <v>10.819999999999709</v>
      </c>
      <c r="D16" s="28">
        <f t="shared" si="23"/>
        <v>20557.999999999447</v>
      </c>
      <c r="E16" s="1">
        <v>4443</v>
      </c>
      <c r="F16" s="43">
        <f t="shared" si="24"/>
        <v>2.3000000000001819</v>
      </c>
      <c r="G16" s="28">
        <f t="shared" si="25"/>
        <v>4370.0000000003456</v>
      </c>
      <c r="H16" s="1">
        <v>5847</v>
      </c>
      <c r="I16" s="43">
        <f t="shared" si="26"/>
        <v>7</v>
      </c>
      <c r="J16" s="28">
        <f t="shared" si="27"/>
        <v>13299.999999999998</v>
      </c>
      <c r="K16" s="7">
        <v>14155.5</v>
      </c>
      <c r="L16" s="43">
        <f t="shared" si="28"/>
        <v>2.2199999999993452</v>
      </c>
      <c r="M16" s="28">
        <f t="shared" si="29"/>
        <v>4217.9999999987558</v>
      </c>
      <c r="N16" s="7">
        <v>3684</v>
      </c>
      <c r="O16" s="43">
        <f t="shared" si="30"/>
        <v>1.1100000000001273</v>
      </c>
      <c r="P16" s="28">
        <f t="shared" si="31"/>
        <v>2109.0000000002419</v>
      </c>
      <c r="Q16" s="7">
        <v>5492.3</v>
      </c>
      <c r="R16" s="43">
        <f t="shared" si="32"/>
        <v>1.7799999999997453</v>
      </c>
      <c r="S16" s="28">
        <f t="shared" si="33"/>
        <v>3381.9999999995161</v>
      </c>
      <c r="T16" s="8">
        <f t="shared" si="35"/>
        <v>25.229999999999109</v>
      </c>
      <c r="U16" s="30">
        <f t="shared" si="34"/>
        <v>47936.999999998305</v>
      </c>
      <c r="W16" s="156">
        <v>44787</v>
      </c>
      <c r="X16" s="157">
        <v>198113</v>
      </c>
      <c r="Y16" s="162">
        <f t="shared" si="21"/>
        <v>311</v>
      </c>
      <c r="Z16" s="157">
        <v>9746</v>
      </c>
      <c r="AA16" s="162">
        <f t="shared" si="21"/>
        <v>6</v>
      </c>
      <c r="AB16" s="157">
        <v>31.5</v>
      </c>
      <c r="AC16" s="162">
        <f t="shared" si="21"/>
        <v>0</v>
      </c>
      <c r="AD16" s="157">
        <v>682</v>
      </c>
      <c r="AE16" s="162">
        <f t="shared" si="21"/>
        <v>2</v>
      </c>
      <c r="AF16" s="157">
        <v>8607</v>
      </c>
      <c r="AG16" s="162">
        <f t="shared" si="21"/>
        <v>24</v>
      </c>
    </row>
    <row r="17" spans="1:33" ht="16.5" thickBot="1" x14ac:dyDescent="0.25">
      <c r="A17" s="9">
        <v>44788</v>
      </c>
      <c r="B17" s="159">
        <v>24512</v>
      </c>
      <c r="C17" s="43">
        <f t="shared" si="22"/>
        <v>13</v>
      </c>
      <c r="D17" s="28">
        <f t="shared" si="23"/>
        <v>24700</v>
      </c>
      <c r="E17" s="1">
        <v>4446.8</v>
      </c>
      <c r="F17" s="43">
        <f t="shared" si="24"/>
        <v>3.8000000000001819</v>
      </c>
      <c r="G17" s="28">
        <f t="shared" si="25"/>
        <v>7220.0000000003456</v>
      </c>
      <c r="H17" s="1">
        <v>5855</v>
      </c>
      <c r="I17" s="43">
        <f t="shared" si="26"/>
        <v>8</v>
      </c>
      <c r="J17" s="28">
        <f t="shared" si="27"/>
        <v>15200</v>
      </c>
      <c r="K17" s="7">
        <v>14157.84</v>
      </c>
      <c r="L17" s="43">
        <f t="shared" si="28"/>
        <v>2.3400000000001455</v>
      </c>
      <c r="M17" s="28">
        <f t="shared" si="29"/>
        <v>4446.0000000002756</v>
      </c>
      <c r="N17" s="7">
        <v>3686.511</v>
      </c>
      <c r="O17" s="43">
        <f t="shared" si="30"/>
        <v>2.5109999999999673</v>
      </c>
      <c r="P17" s="28">
        <f t="shared" si="31"/>
        <v>4770.8999999999378</v>
      </c>
      <c r="Q17" s="7">
        <v>5492.45</v>
      </c>
      <c r="R17" s="43">
        <f t="shared" si="32"/>
        <v>0.1499999999996362</v>
      </c>
      <c r="S17" s="28">
        <f t="shared" si="33"/>
        <v>284.99999999930873</v>
      </c>
      <c r="T17" s="8">
        <f t="shared" si="35"/>
        <v>29.800999999999931</v>
      </c>
      <c r="U17" s="30">
        <f t="shared" si="34"/>
        <v>56621.89999999987</v>
      </c>
      <c r="W17" s="156">
        <v>44788</v>
      </c>
      <c r="X17" s="157">
        <v>198494</v>
      </c>
      <c r="Y17" s="162">
        <f t="shared" si="21"/>
        <v>381</v>
      </c>
      <c r="Z17" s="157">
        <v>9764</v>
      </c>
      <c r="AA17" s="162">
        <f t="shared" si="21"/>
        <v>18</v>
      </c>
      <c r="AB17" s="157">
        <v>31.5</v>
      </c>
      <c r="AC17" s="162">
        <f t="shared" si="21"/>
        <v>0</v>
      </c>
      <c r="AD17" s="157">
        <v>685</v>
      </c>
      <c r="AE17" s="162">
        <f t="shared" si="21"/>
        <v>3</v>
      </c>
      <c r="AF17" s="157">
        <v>8621</v>
      </c>
      <c r="AG17" s="162">
        <f t="shared" si="21"/>
        <v>14</v>
      </c>
    </row>
    <row r="18" spans="1:33" ht="16.5" thickBot="1" x14ac:dyDescent="0.25">
      <c r="A18" s="9">
        <v>44789</v>
      </c>
      <c r="B18" s="159">
        <v>24523.9</v>
      </c>
      <c r="C18" s="43">
        <f t="shared" si="22"/>
        <v>11.900000000001455</v>
      </c>
      <c r="D18" s="28">
        <f t="shared" si="23"/>
        <v>22610.000000002765</v>
      </c>
      <c r="E18" s="1">
        <v>4449.4939999999997</v>
      </c>
      <c r="F18" s="43">
        <f t="shared" si="24"/>
        <v>2.6939999999995052</v>
      </c>
      <c r="G18" s="28">
        <f t="shared" si="25"/>
        <v>5118.5999999990599</v>
      </c>
      <c r="H18" s="1">
        <v>5863</v>
      </c>
      <c r="I18" s="43">
        <f t="shared" si="26"/>
        <v>8</v>
      </c>
      <c r="J18" s="28">
        <f t="shared" si="27"/>
        <v>15200</v>
      </c>
      <c r="K18" s="7">
        <v>14159.8</v>
      </c>
      <c r="L18" s="43">
        <f t="shared" si="28"/>
        <v>1.9599999999991269</v>
      </c>
      <c r="M18" s="28">
        <f t="shared" si="29"/>
        <v>3723.9999999983411</v>
      </c>
      <c r="N18" s="7">
        <v>3688.335</v>
      </c>
      <c r="O18" s="43">
        <f t="shared" si="30"/>
        <v>1.8240000000000691</v>
      </c>
      <c r="P18" s="28">
        <f t="shared" si="31"/>
        <v>3465.6000000001313</v>
      </c>
      <c r="Q18" s="7">
        <v>5493.4</v>
      </c>
      <c r="R18" s="43">
        <f t="shared" si="32"/>
        <v>0.9499999999998181</v>
      </c>
      <c r="S18" s="28">
        <f t="shared" si="33"/>
        <v>1804.9999999996542</v>
      </c>
      <c r="T18" s="8">
        <f t="shared" si="35"/>
        <v>27.327999999999975</v>
      </c>
      <c r="U18" s="30">
        <f t="shared" si="34"/>
        <v>51923.199999999953</v>
      </c>
      <c r="W18" s="156">
        <v>44789</v>
      </c>
      <c r="X18" s="157">
        <v>198842</v>
      </c>
      <c r="Y18" s="162">
        <f t="shared" si="21"/>
        <v>348</v>
      </c>
      <c r="Z18" s="157">
        <v>9769</v>
      </c>
      <c r="AA18" s="162">
        <f t="shared" si="21"/>
        <v>5</v>
      </c>
      <c r="AB18" s="157">
        <v>31.5</v>
      </c>
      <c r="AC18" s="162">
        <f t="shared" si="21"/>
        <v>0</v>
      </c>
      <c r="AD18" s="157">
        <v>686</v>
      </c>
      <c r="AE18" s="162">
        <f t="shared" si="21"/>
        <v>1</v>
      </c>
      <c r="AF18" s="157"/>
      <c r="AG18" s="162" t="str">
        <f t="shared" si="21"/>
        <v>0</v>
      </c>
    </row>
    <row r="19" spans="1:33" ht="16.5" thickBot="1" x14ac:dyDescent="0.25">
      <c r="A19" s="9">
        <v>44790</v>
      </c>
      <c r="B19" s="159"/>
      <c r="C19" s="43" t="str">
        <f t="shared" si="22"/>
        <v>0</v>
      </c>
      <c r="D19" s="28">
        <f t="shared" si="23"/>
        <v>0</v>
      </c>
      <c r="E19" s="1"/>
      <c r="F19" s="43" t="str">
        <f t="shared" si="24"/>
        <v>0</v>
      </c>
      <c r="G19" s="28">
        <f t="shared" si="25"/>
        <v>0</v>
      </c>
      <c r="H19" s="1"/>
      <c r="I19" s="43" t="str">
        <f t="shared" si="26"/>
        <v>0</v>
      </c>
      <c r="J19" s="28">
        <f t="shared" si="27"/>
        <v>0</v>
      </c>
      <c r="K19" s="7"/>
      <c r="L19" s="43" t="str">
        <f t="shared" si="28"/>
        <v>0</v>
      </c>
      <c r="M19" s="28">
        <f t="shared" si="29"/>
        <v>0</v>
      </c>
      <c r="N19" s="7"/>
      <c r="O19" s="43" t="str">
        <f t="shared" si="30"/>
        <v>0</v>
      </c>
      <c r="P19" s="28">
        <f t="shared" si="31"/>
        <v>0</v>
      </c>
      <c r="Q19" s="7"/>
      <c r="R19" s="43" t="str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6">
        <v>44790</v>
      </c>
      <c r="X19" s="157"/>
      <c r="Y19" s="162" t="str">
        <f t="shared" si="21"/>
        <v>0</v>
      </c>
      <c r="Z19" s="157"/>
      <c r="AA19" s="162" t="str">
        <f t="shared" si="21"/>
        <v>0</v>
      </c>
      <c r="AB19" s="157"/>
      <c r="AC19" s="162" t="str">
        <f t="shared" si="21"/>
        <v>0</v>
      </c>
      <c r="AD19" s="157"/>
      <c r="AE19" s="162" t="str">
        <f t="shared" si="21"/>
        <v>0</v>
      </c>
      <c r="AF19" s="157"/>
      <c r="AG19" s="162">
        <f t="shared" si="21"/>
        <v>0</v>
      </c>
    </row>
    <row r="20" spans="1:33" ht="16.5" thickBot="1" x14ac:dyDescent="0.25">
      <c r="A20" s="9">
        <v>44791</v>
      </c>
      <c r="B20" s="159"/>
      <c r="C20" s="43">
        <f t="shared" si="22"/>
        <v>0</v>
      </c>
      <c r="D20" s="28">
        <f t="shared" si="23"/>
        <v>0</v>
      </c>
      <c r="E20" s="1"/>
      <c r="F20" s="43">
        <f t="shared" si="24"/>
        <v>0</v>
      </c>
      <c r="G20" s="28">
        <f t="shared" si="25"/>
        <v>0</v>
      </c>
      <c r="H20" s="1"/>
      <c r="I20" s="43">
        <f t="shared" si="26"/>
        <v>0</v>
      </c>
      <c r="J20" s="28">
        <f t="shared" si="27"/>
        <v>0</v>
      </c>
      <c r="K20" s="7"/>
      <c r="L20" s="43">
        <f t="shared" si="28"/>
        <v>0</v>
      </c>
      <c r="M20" s="28">
        <f t="shared" si="29"/>
        <v>0</v>
      </c>
      <c r="N20" s="7"/>
      <c r="O20" s="43">
        <f t="shared" si="30"/>
        <v>0</v>
      </c>
      <c r="P20" s="28">
        <f t="shared" si="31"/>
        <v>0</v>
      </c>
      <c r="Q20" s="7"/>
      <c r="R20" s="43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6">
        <v>44791</v>
      </c>
      <c r="X20" s="157"/>
      <c r="Y20" s="162">
        <f t="shared" si="21"/>
        <v>0</v>
      </c>
      <c r="Z20" s="157"/>
      <c r="AA20" s="162">
        <f t="shared" si="21"/>
        <v>0</v>
      </c>
      <c r="AB20" s="157"/>
      <c r="AC20" s="162">
        <f t="shared" si="21"/>
        <v>0</v>
      </c>
      <c r="AD20" s="157"/>
      <c r="AE20" s="162">
        <f t="shared" si="21"/>
        <v>0</v>
      </c>
      <c r="AF20" s="157"/>
      <c r="AG20" s="162">
        <f t="shared" si="21"/>
        <v>0</v>
      </c>
    </row>
    <row r="21" spans="1:33" ht="16.5" thickBot="1" x14ac:dyDescent="0.25">
      <c r="A21" s="9">
        <v>44792</v>
      </c>
      <c r="B21" s="159"/>
      <c r="C21" s="43">
        <f t="shared" si="22"/>
        <v>0</v>
      </c>
      <c r="D21" s="28">
        <f t="shared" si="23"/>
        <v>0</v>
      </c>
      <c r="E21" s="1"/>
      <c r="F21" s="43">
        <f t="shared" si="24"/>
        <v>0</v>
      </c>
      <c r="G21" s="28">
        <f t="shared" si="25"/>
        <v>0</v>
      </c>
      <c r="H21" s="1"/>
      <c r="I21" s="43">
        <f t="shared" si="26"/>
        <v>0</v>
      </c>
      <c r="J21" s="28">
        <f t="shared" si="27"/>
        <v>0</v>
      </c>
      <c r="K21" s="7"/>
      <c r="L21" s="43">
        <f t="shared" si="28"/>
        <v>0</v>
      </c>
      <c r="M21" s="28">
        <f t="shared" si="29"/>
        <v>0</v>
      </c>
      <c r="N21" s="7"/>
      <c r="O21" s="43">
        <f t="shared" si="30"/>
        <v>0</v>
      </c>
      <c r="P21" s="28">
        <f t="shared" si="31"/>
        <v>0</v>
      </c>
      <c r="Q21" s="7"/>
      <c r="R21" s="43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6">
        <v>44792</v>
      </c>
      <c r="X21" s="157"/>
      <c r="Y21" s="162">
        <f t="shared" si="21"/>
        <v>0</v>
      </c>
      <c r="Z21" s="157"/>
      <c r="AA21" s="162">
        <f t="shared" si="21"/>
        <v>0</v>
      </c>
      <c r="AB21" s="157"/>
      <c r="AC21" s="162">
        <f t="shared" si="21"/>
        <v>0</v>
      </c>
      <c r="AD21" s="157"/>
      <c r="AE21" s="162">
        <f t="shared" si="21"/>
        <v>0</v>
      </c>
      <c r="AF21" s="157"/>
      <c r="AG21" s="162">
        <f t="shared" si="21"/>
        <v>0</v>
      </c>
    </row>
    <row r="22" spans="1:33" ht="16.5" thickBot="1" x14ac:dyDescent="0.25">
      <c r="A22" s="9">
        <v>44793</v>
      </c>
      <c r="B22" s="159"/>
      <c r="C22" s="43">
        <f t="shared" si="22"/>
        <v>0</v>
      </c>
      <c r="D22" s="28">
        <f t="shared" si="23"/>
        <v>0</v>
      </c>
      <c r="E22" s="1"/>
      <c r="F22" s="43">
        <f t="shared" si="24"/>
        <v>0</v>
      </c>
      <c r="G22" s="28">
        <f t="shared" si="25"/>
        <v>0</v>
      </c>
      <c r="H22" s="1"/>
      <c r="I22" s="43">
        <f t="shared" si="26"/>
        <v>0</v>
      </c>
      <c r="J22" s="28">
        <f t="shared" si="27"/>
        <v>0</v>
      </c>
      <c r="K22" s="7"/>
      <c r="L22" s="43">
        <f t="shared" si="28"/>
        <v>0</v>
      </c>
      <c r="M22" s="28">
        <f t="shared" si="29"/>
        <v>0</v>
      </c>
      <c r="N22" s="7"/>
      <c r="O22" s="43">
        <f t="shared" si="30"/>
        <v>0</v>
      </c>
      <c r="P22" s="28">
        <f t="shared" si="31"/>
        <v>0</v>
      </c>
      <c r="Q22" s="7"/>
      <c r="R22" s="43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6">
        <v>44793</v>
      </c>
      <c r="X22" s="157"/>
      <c r="Y22" s="162">
        <f t="shared" si="21"/>
        <v>0</v>
      </c>
      <c r="Z22" s="157"/>
      <c r="AA22" s="162">
        <f t="shared" si="21"/>
        <v>0</v>
      </c>
      <c r="AB22" s="157"/>
      <c r="AC22" s="162">
        <f t="shared" si="21"/>
        <v>0</v>
      </c>
      <c r="AD22" s="157"/>
      <c r="AE22" s="162">
        <f t="shared" si="21"/>
        <v>0</v>
      </c>
      <c r="AF22" s="157"/>
      <c r="AG22" s="162">
        <f t="shared" si="21"/>
        <v>0</v>
      </c>
    </row>
    <row r="23" spans="1:33" ht="16.5" thickBot="1" x14ac:dyDescent="0.25">
      <c r="A23" s="9">
        <v>44794</v>
      </c>
      <c r="B23" s="159"/>
      <c r="C23" s="43">
        <f t="shared" si="22"/>
        <v>0</v>
      </c>
      <c r="D23" s="28">
        <f t="shared" si="23"/>
        <v>0</v>
      </c>
      <c r="E23" s="1"/>
      <c r="F23" s="43">
        <f t="shared" si="24"/>
        <v>0</v>
      </c>
      <c r="G23" s="28">
        <f t="shared" si="25"/>
        <v>0</v>
      </c>
      <c r="H23" s="1"/>
      <c r="I23" s="43">
        <f t="shared" si="26"/>
        <v>0</v>
      </c>
      <c r="J23" s="28">
        <f t="shared" si="27"/>
        <v>0</v>
      </c>
      <c r="K23" s="7"/>
      <c r="L23" s="43">
        <f t="shared" si="28"/>
        <v>0</v>
      </c>
      <c r="M23" s="28">
        <f t="shared" si="29"/>
        <v>0</v>
      </c>
      <c r="N23" s="7"/>
      <c r="O23" s="43">
        <f t="shared" si="30"/>
        <v>0</v>
      </c>
      <c r="P23" s="28">
        <f t="shared" si="31"/>
        <v>0</v>
      </c>
      <c r="Q23" s="7"/>
      <c r="R23" s="43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6">
        <v>44794</v>
      </c>
      <c r="X23" s="157"/>
      <c r="Y23" s="162">
        <f t="shared" si="21"/>
        <v>0</v>
      </c>
      <c r="Z23" s="157"/>
      <c r="AA23" s="162">
        <f t="shared" si="21"/>
        <v>0</v>
      </c>
      <c r="AB23" s="157"/>
      <c r="AC23" s="162">
        <f t="shared" si="21"/>
        <v>0</v>
      </c>
      <c r="AD23" s="157"/>
      <c r="AE23" s="162">
        <f t="shared" si="21"/>
        <v>0</v>
      </c>
      <c r="AF23" s="157"/>
      <c r="AG23" s="162">
        <f t="shared" si="21"/>
        <v>0</v>
      </c>
    </row>
    <row r="24" spans="1:33" ht="16.5" thickBot="1" x14ac:dyDescent="0.25">
      <c r="A24" s="9">
        <v>44795</v>
      </c>
      <c r="B24" s="159"/>
      <c r="C24" s="43">
        <f t="shared" si="22"/>
        <v>0</v>
      </c>
      <c r="D24" s="28">
        <f t="shared" si="23"/>
        <v>0</v>
      </c>
      <c r="E24" s="1"/>
      <c r="F24" s="43">
        <f t="shared" si="24"/>
        <v>0</v>
      </c>
      <c r="G24" s="28">
        <f t="shared" si="25"/>
        <v>0</v>
      </c>
      <c r="H24" s="1"/>
      <c r="I24" s="43">
        <f t="shared" si="26"/>
        <v>0</v>
      </c>
      <c r="J24" s="28">
        <f t="shared" si="27"/>
        <v>0</v>
      </c>
      <c r="K24" s="7"/>
      <c r="L24" s="43">
        <f t="shared" si="28"/>
        <v>0</v>
      </c>
      <c r="M24" s="28">
        <f t="shared" si="29"/>
        <v>0</v>
      </c>
      <c r="N24" s="7"/>
      <c r="O24" s="43">
        <f t="shared" si="30"/>
        <v>0</v>
      </c>
      <c r="P24" s="28">
        <f t="shared" si="31"/>
        <v>0</v>
      </c>
      <c r="Q24" s="7"/>
      <c r="R24" s="43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6">
        <v>44795</v>
      </c>
      <c r="X24" s="157"/>
      <c r="Y24" s="162">
        <f t="shared" si="21"/>
        <v>0</v>
      </c>
      <c r="Z24" s="157"/>
      <c r="AA24" s="162">
        <f t="shared" si="21"/>
        <v>0</v>
      </c>
      <c r="AB24" s="157"/>
      <c r="AC24" s="162">
        <f t="shared" si="21"/>
        <v>0</v>
      </c>
      <c r="AD24" s="157"/>
      <c r="AE24" s="162">
        <f t="shared" si="21"/>
        <v>0</v>
      </c>
      <c r="AF24" s="157"/>
      <c r="AG24" s="162">
        <f t="shared" si="21"/>
        <v>0</v>
      </c>
    </row>
    <row r="25" spans="1:33" ht="16.5" thickBot="1" x14ac:dyDescent="0.25">
      <c r="A25" s="9">
        <v>44796</v>
      </c>
      <c r="B25" s="159"/>
      <c r="C25" s="43">
        <f t="shared" si="22"/>
        <v>0</v>
      </c>
      <c r="D25" s="28">
        <f t="shared" si="23"/>
        <v>0</v>
      </c>
      <c r="E25" s="1"/>
      <c r="F25" s="43">
        <f t="shared" si="24"/>
        <v>0</v>
      </c>
      <c r="G25" s="28">
        <f t="shared" si="25"/>
        <v>0</v>
      </c>
      <c r="H25" s="1"/>
      <c r="I25" s="43">
        <f t="shared" si="26"/>
        <v>0</v>
      </c>
      <c r="J25" s="28">
        <f t="shared" si="27"/>
        <v>0</v>
      </c>
      <c r="K25" s="7"/>
      <c r="L25" s="43">
        <f t="shared" si="28"/>
        <v>0</v>
      </c>
      <c r="M25" s="28">
        <f t="shared" si="29"/>
        <v>0</v>
      </c>
      <c r="N25" s="7"/>
      <c r="O25" s="43">
        <f t="shared" si="30"/>
        <v>0</v>
      </c>
      <c r="P25" s="28">
        <f t="shared" si="31"/>
        <v>0</v>
      </c>
      <c r="Q25" s="7"/>
      <c r="R25" s="43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6">
        <v>44796</v>
      </c>
      <c r="X25" s="157"/>
      <c r="Y25" s="162">
        <f t="shared" si="21"/>
        <v>0</v>
      </c>
      <c r="Z25" s="157"/>
      <c r="AA25" s="162">
        <f t="shared" si="21"/>
        <v>0</v>
      </c>
      <c r="AB25" s="157"/>
      <c r="AC25" s="162">
        <f t="shared" si="21"/>
        <v>0</v>
      </c>
      <c r="AD25" s="157"/>
      <c r="AE25" s="162">
        <f t="shared" si="21"/>
        <v>0</v>
      </c>
      <c r="AF25" s="157"/>
      <c r="AG25" s="162">
        <f t="shared" si="21"/>
        <v>0</v>
      </c>
    </row>
    <row r="26" spans="1:33" ht="16.5" thickBot="1" x14ac:dyDescent="0.25">
      <c r="A26" s="9">
        <v>44797</v>
      </c>
      <c r="B26" s="159"/>
      <c r="C26" s="43">
        <f t="shared" si="22"/>
        <v>0</v>
      </c>
      <c r="D26" s="28">
        <f t="shared" si="23"/>
        <v>0</v>
      </c>
      <c r="E26" s="1"/>
      <c r="F26" s="43">
        <f t="shared" si="24"/>
        <v>0</v>
      </c>
      <c r="G26" s="28">
        <f t="shared" si="25"/>
        <v>0</v>
      </c>
      <c r="H26" s="1"/>
      <c r="I26" s="43">
        <f t="shared" si="26"/>
        <v>0</v>
      </c>
      <c r="J26" s="28">
        <f t="shared" si="27"/>
        <v>0</v>
      </c>
      <c r="K26" s="7"/>
      <c r="L26" s="43">
        <f>IF((K26-K25)&lt;0,"0",(K26-K25))</f>
        <v>0</v>
      </c>
      <c r="M26" s="28">
        <f t="shared" si="29"/>
        <v>0</v>
      </c>
      <c r="N26" s="7"/>
      <c r="O26" s="43">
        <f t="shared" si="30"/>
        <v>0</v>
      </c>
      <c r="P26" s="28">
        <f t="shared" si="31"/>
        <v>0</v>
      </c>
      <c r="Q26" s="7"/>
      <c r="R26" s="43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6">
        <v>44797</v>
      </c>
      <c r="X26" s="157"/>
      <c r="Y26" s="162">
        <f t="shared" si="21"/>
        <v>0</v>
      </c>
      <c r="Z26" s="157"/>
      <c r="AA26" s="162">
        <f t="shared" si="21"/>
        <v>0</v>
      </c>
      <c r="AB26" s="157"/>
      <c r="AC26" s="162">
        <f t="shared" si="21"/>
        <v>0</v>
      </c>
      <c r="AD26" s="157"/>
      <c r="AE26" s="162">
        <f t="shared" si="21"/>
        <v>0</v>
      </c>
      <c r="AF26" s="157"/>
      <c r="AG26" s="162">
        <f t="shared" si="21"/>
        <v>0</v>
      </c>
    </row>
    <row r="27" spans="1:33" ht="16.5" thickBot="1" x14ac:dyDescent="0.25">
      <c r="A27" s="9">
        <v>44798</v>
      </c>
      <c r="B27" s="159"/>
      <c r="C27" s="43">
        <f t="shared" si="22"/>
        <v>0</v>
      </c>
      <c r="D27" s="28">
        <f t="shared" si="23"/>
        <v>0</v>
      </c>
      <c r="E27" s="1"/>
      <c r="F27" s="43">
        <f t="shared" si="24"/>
        <v>0</v>
      </c>
      <c r="G27" s="28">
        <f t="shared" si="25"/>
        <v>0</v>
      </c>
      <c r="H27" s="1"/>
      <c r="I27" s="43">
        <f t="shared" si="26"/>
        <v>0</v>
      </c>
      <c r="J27" s="28">
        <f t="shared" si="27"/>
        <v>0</v>
      </c>
      <c r="K27" s="7"/>
      <c r="L27" s="43">
        <f t="shared" si="28"/>
        <v>0</v>
      </c>
      <c r="M27" s="28">
        <f t="shared" si="29"/>
        <v>0</v>
      </c>
      <c r="N27" s="7"/>
      <c r="O27" s="43">
        <f t="shared" si="30"/>
        <v>0</v>
      </c>
      <c r="P27" s="28">
        <f t="shared" si="31"/>
        <v>0</v>
      </c>
      <c r="Q27" s="7"/>
      <c r="R27" s="43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6">
        <v>44798</v>
      </c>
      <c r="X27" s="157"/>
      <c r="Y27" s="162">
        <f t="shared" si="21"/>
        <v>0</v>
      </c>
      <c r="Z27" s="157"/>
      <c r="AA27" s="162">
        <f t="shared" si="21"/>
        <v>0</v>
      </c>
      <c r="AB27" s="157"/>
      <c r="AC27" s="162">
        <f t="shared" si="21"/>
        <v>0</v>
      </c>
      <c r="AD27" s="157"/>
      <c r="AE27" s="162">
        <f t="shared" si="21"/>
        <v>0</v>
      </c>
      <c r="AF27" s="157"/>
      <c r="AG27" s="162">
        <f t="shared" si="21"/>
        <v>0</v>
      </c>
    </row>
    <row r="28" spans="1:33" ht="16.5" thickBot="1" x14ac:dyDescent="0.25">
      <c r="A28" s="9">
        <v>44799</v>
      </c>
      <c r="B28" s="159"/>
      <c r="C28" s="43">
        <f t="shared" si="22"/>
        <v>0</v>
      </c>
      <c r="D28" s="28">
        <f t="shared" si="23"/>
        <v>0</v>
      </c>
      <c r="E28" s="1"/>
      <c r="F28" s="43">
        <f t="shared" si="24"/>
        <v>0</v>
      </c>
      <c r="G28" s="28">
        <f t="shared" si="25"/>
        <v>0</v>
      </c>
      <c r="H28" s="1"/>
      <c r="I28" s="43">
        <f t="shared" si="26"/>
        <v>0</v>
      </c>
      <c r="J28" s="28">
        <f t="shared" si="27"/>
        <v>0</v>
      </c>
      <c r="K28" s="7"/>
      <c r="L28" s="43">
        <f t="shared" si="28"/>
        <v>0</v>
      </c>
      <c r="M28" s="28">
        <f t="shared" si="29"/>
        <v>0</v>
      </c>
      <c r="N28" s="7"/>
      <c r="O28" s="43">
        <f t="shared" si="30"/>
        <v>0</v>
      </c>
      <c r="P28" s="28">
        <f t="shared" si="31"/>
        <v>0</v>
      </c>
      <c r="Q28" s="7"/>
      <c r="R28" s="43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6">
        <v>44799</v>
      </c>
      <c r="X28" s="157"/>
      <c r="Y28" s="162">
        <f t="shared" si="21"/>
        <v>0</v>
      </c>
      <c r="Z28" s="157"/>
      <c r="AA28" s="162">
        <f t="shared" si="21"/>
        <v>0</v>
      </c>
      <c r="AB28" s="157"/>
      <c r="AC28" s="162">
        <f t="shared" si="21"/>
        <v>0</v>
      </c>
      <c r="AD28" s="157"/>
      <c r="AE28" s="162">
        <f t="shared" si="21"/>
        <v>0</v>
      </c>
      <c r="AF28" s="157"/>
      <c r="AG28" s="162">
        <f t="shared" si="21"/>
        <v>0</v>
      </c>
    </row>
    <row r="29" spans="1:33" ht="16.5" thickBot="1" x14ac:dyDescent="0.25">
      <c r="A29" s="9">
        <v>44800</v>
      </c>
      <c r="B29" s="159"/>
      <c r="C29" s="43">
        <f t="shared" si="22"/>
        <v>0</v>
      </c>
      <c r="D29" s="28">
        <f t="shared" si="23"/>
        <v>0</v>
      </c>
      <c r="E29" s="1"/>
      <c r="F29" s="43">
        <f t="shared" si="24"/>
        <v>0</v>
      </c>
      <c r="G29" s="28">
        <f t="shared" si="25"/>
        <v>0</v>
      </c>
      <c r="H29" s="1"/>
      <c r="I29" s="43">
        <f t="shared" si="26"/>
        <v>0</v>
      </c>
      <c r="J29" s="28">
        <f t="shared" si="27"/>
        <v>0</v>
      </c>
      <c r="K29" s="7"/>
      <c r="L29" s="43">
        <f t="shared" si="28"/>
        <v>0</v>
      </c>
      <c r="M29" s="28">
        <f t="shared" si="29"/>
        <v>0</v>
      </c>
      <c r="N29" s="7"/>
      <c r="O29" s="43">
        <f t="shared" si="30"/>
        <v>0</v>
      </c>
      <c r="P29" s="28">
        <f t="shared" si="31"/>
        <v>0</v>
      </c>
      <c r="Q29" s="7"/>
      <c r="R29" s="43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6">
        <v>44800</v>
      </c>
      <c r="X29" s="157"/>
      <c r="Y29" s="162">
        <f t="shared" si="21"/>
        <v>0</v>
      </c>
      <c r="Z29" s="157"/>
      <c r="AA29" s="162">
        <f t="shared" si="21"/>
        <v>0</v>
      </c>
      <c r="AB29" s="157"/>
      <c r="AC29" s="162">
        <f t="shared" si="21"/>
        <v>0</v>
      </c>
      <c r="AD29" s="157"/>
      <c r="AE29" s="162">
        <f t="shared" si="21"/>
        <v>0</v>
      </c>
      <c r="AF29" s="157"/>
      <c r="AG29" s="162">
        <f t="shared" si="21"/>
        <v>0</v>
      </c>
    </row>
    <row r="30" spans="1:33" ht="16.5" thickBot="1" x14ac:dyDescent="0.25">
      <c r="A30" s="9">
        <v>44801</v>
      </c>
      <c r="B30" s="159"/>
      <c r="C30" s="43">
        <f t="shared" si="22"/>
        <v>0</v>
      </c>
      <c r="D30" s="28">
        <f t="shared" si="23"/>
        <v>0</v>
      </c>
      <c r="E30" s="1"/>
      <c r="F30" s="43">
        <f t="shared" si="24"/>
        <v>0</v>
      </c>
      <c r="G30" s="28">
        <f t="shared" si="25"/>
        <v>0</v>
      </c>
      <c r="H30" s="1"/>
      <c r="I30" s="43">
        <f t="shared" si="26"/>
        <v>0</v>
      </c>
      <c r="J30" s="28">
        <f t="shared" si="27"/>
        <v>0</v>
      </c>
      <c r="K30" s="7"/>
      <c r="L30" s="43">
        <f t="shared" si="28"/>
        <v>0</v>
      </c>
      <c r="M30" s="28">
        <f t="shared" si="29"/>
        <v>0</v>
      </c>
      <c r="N30" s="7"/>
      <c r="O30" s="43">
        <f t="shared" si="30"/>
        <v>0</v>
      </c>
      <c r="P30" s="28">
        <f t="shared" si="31"/>
        <v>0</v>
      </c>
      <c r="Q30" s="7"/>
      <c r="R30" s="43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6">
        <v>44801</v>
      </c>
      <c r="X30" s="157"/>
      <c r="Y30" s="162">
        <f t="shared" si="21"/>
        <v>0</v>
      </c>
      <c r="Z30" s="157"/>
      <c r="AA30" s="162">
        <f t="shared" si="21"/>
        <v>0</v>
      </c>
      <c r="AB30" s="157"/>
      <c r="AC30" s="162">
        <f t="shared" si="21"/>
        <v>0</v>
      </c>
      <c r="AD30" s="157"/>
      <c r="AE30" s="162">
        <f t="shared" si="21"/>
        <v>0</v>
      </c>
      <c r="AF30" s="157"/>
      <c r="AG30" s="162">
        <f t="shared" si="21"/>
        <v>0</v>
      </c>
    </row>
    <row r="31" spans="1:33" ht="16.5" thickBot="1" x14ac:dyDescent="0.25">
      <c r="A31" s="9">
        <v>44802</v>
      </c>
      <c r="B31" s="159"/>
      <c r="C31" s="43">
        <f t="shared" si="22"/>
        <v>0</v>
      </c>
      <c r="D31" s="28">
        <f t="shared" si="23"/>
        <v>0</v>
      </c>
      <c r="E31" s="1"/>
      <c r="F31" s="43">
        <f t="shared" si="24"/>
        <v>0</v>
      </c>
      <c r="G31" s="28">
        <f t="shared" si="25"/>
        <v>0</v>
      </c>
      <c r="H31" s="1"/>
      <c r="I31" s="43">
        <f t="shared" si="26"/>
        <v>0</v>
      </c>
      <c r="J31" s="28">
        <f t="shared" si="27"/>
        <v>0</v>
      </c>
      <c r="K31" s="7"/>
      <c r="L31" s="43">
        <f t="shared" si="28"/>
        <v>0</v>
      </c>
      <c r="M31" s="28">
        <f t="shared" si="29"/>
        <v>0</v>
      </c>
      <c r="N31" s="7"/>
      <c r="O31" s="43">
        <f t="shared" si="30"/>
        <v>0</v>
      </c>
      <c r="P31" s="28">
        <f t="shared" si="31"/>
        <v>0</v>
      </c>
      <c r="Q31" s="7"/>
      <c r="R31" s="43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6">
        <v>44802</v>
      </c>
      <c r="X31" s="157"/>
      <c r="Y31" s="162">
        <f t="shared" si="21"/>
        <v>0</v>
      </c>
      <c r="Z31" s="157"/>
      <c r="AA31" s="162">
        <f t="shared" si="21"/>
        <v>0</v>
      </c>
      <c r="AB31" s="157"/>
      <c r="AC31" s="162">
        <f t="shared" si="21"/>
        <v>0</v>
      </c>
      <c r="AD31" s="157"/>
      <c r="AE31" s="162">
        <f t="shared" si="21"/>
        <v>0</v>
      </c>
      <c r="AF31" s="157"/>
      <c r="AG31" s="162">
        <f t="shared" si="21"/>
        <v>0</v>
      </c>
    </row>
    <row r="32" spans="1:33" ht="16.5" thickBot="1" x14ac:dyDescent="0.25">
      <c r="A32" s="9">
        <v>44803</v>
      </c>
      <c r="B32" s="159"/>
      <c r="C32" s="43">
        <f t="shared" si="22"/>
        <v>0</v>
      </c>
      <c r="D32" s="28">
        <f t="shared" si="23"/>
        <v>0</v>
      </c>
      <c r="E32" s="1"/>
      <c r="F32" s="43">
        <f t="shared" si="24"/>
        <v>0</v>
      </c>
      <c r="G32" s="28">
        <f t="shared" si="25"/>
        <v>0</v>
      </c>
      <c r="H32" s="1"/>
      <c r="I32" s="43">
        <f t="shared" si="26"/>
        <v>0</v>
      </c>
      <c r="J32" s="28">
        <f t="shared" si="27"/>
        <v>0</v>
      </c>
      <c r="K32" s="7"/>
      <c r="L32" s="43">
        <f t="shared" si="28"/>
        <v>0</v>
      </c>
      <c r="M32" s="28">
        <f t="shared" si="29"/>
        <v>0</v>
      </c>
      <c r="N32" s="7"/>
      <c r="O32" s="43">
        <f t="shared" si="30"/>
        <v>0</v>
      </c>
      <c r="P32" s="28">
        <f t="shared" si="31"/>
        <v>0</v>
      </c>
      <c r="Q32" s="7"/>
      <c r="R32" s="43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6">
        <v>44803</v>
      </c>
      <c r="X32" s="157"/>
      <c r="Y32" s="162">
        <f t="shared" ref="Y32:Y33" si="49">IF((X32-X31)&lt;0,"0",(X32-X31))</f>
        <v>0</v>
      </c>
      <c r="Z32" s="157"/>
      <c r="AA32" s="162">
        <f t="shared" ref="AA32:AA33" si="50">IF((Z32-Z31)&lt;0,"0",(Z32-Z31))</f>
        <v>0</v>
      </c>
      <c r="AB32" s="157"/>
      <c r="AC32" s="162">
        <f t="shared" ref="AC32:AC33" si="51">IF((AB32-AB31)&lt;0,"0",(AB32-AB31))</f>
        <v>0</v>
      </c>
      <c r="AD32" s="157"/>
      <c r="AE32" s="162">
        <f t="shared" ref="AE32:AE33" si="52">IF((AD32-AD31)&lt;0,"0",(AD32-AD31))</f>
        <v>0</v>
      </c>
      <c r="AF32" s="157"/>
      <c r="AG32" s="162">
        <f t="shared" ref="AG32:AG33" si="53">IF((AF32-AF31)&lt;0,"0",(AF32-AF31))</f>
        <v>0</v>
      </c>
    </row>
    <row r="33" spans="1:33" s="22" customFormat="1" ht="16.5" thickBot="1" x14ac:dyDescent="0.25">
      <c r="A33" s="9">
        <v>44804</v>
      </c>
      <c r="B33" s="159"/>
      <c r="C33" s="43">
        <f t="shared" si="22"/>
        <v>0</v>
      </c>
      <c r="D33" s="28">
        <f t="shared" si="23"/>
        <v>0</v>
      </c>
      <c r="E33" s="1"/>
      <c r="F33" s="43">
        <f t="shared" si="24"/>
        <v>0</v>
      </c>
      <c r="G33" s="28">
        <f t="shared" si="25"/>
        <v>0</v>
      </c>
      <c r="H33" s="1"/>
      <c r="I33" s="43">
        <f t="shared" si="26"/>
        <v>0</v>
      </c>
      <c r="J33" s="28">
        <f t="shared" si="27"/>
        <v>0</v>
      </c>
      <c r="K33" s="7"/>
      <c r="L33" s="43">
        <f t="shared" si="28"/>
        <v>0</v>
      </c>
      <c r="M33" s="28">
        <f t="shared" si="29"/>
        <v>0</v>
      </c>
      <c r="N33" s="7"/>
      <c r="O33" s="43">
        <f t="shared" si="30"/>
        <v>0</v>
      </c>
      <c r="P33" s="28">
        <f t="shared" si="31"/>
        <v>0</v>
      </c>
      <c r="Q33" s="7"/>
      <c r="R33" s="43">
        <f t="shared" si="32"/>
        <v>0</v>
      </c>
      <c r="S33" s="28">
        <f t="shared" si="33"/>
        <v>0</v>
      </c>
      <c r="T33" s="8">
        <f t="shared" si="35"/>
        <v>0</v>
      </c>
      <c r="U33" s="30">
        <f t="shared" si="34"/>
        <v>0</v>
      </c>
      <c r="V33"/>
      <c r="W33" s="156">
        <v>44804</v>
      </c>
      <c r="X33" s="157"/>
      <c r="Y33" s="162">
        <f t="shared" si="49"/>
        <v>0</v>
      </c>
      <c r="Z33" s="157"/>
      <c r="AA33" s="162">
        <f t="shared" si="50"/>
        <v>0</v>
      </c>
      <c r="AB33" s="157"/>
      <c r="AC33" s="162">
        <f t="shared" si="51"/>
        <v>0</v>
      </c>
      <c r="AD33" s="157"/>
      <c r="AE33" s="162">
        <f t="shared" si="52"/>
        <v>0</v>
      </c>
      <c r="AF33" s="157"/>
      <c r="AG33" s="162">
        <f t="shared" si="53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226.88500000000204</v>
      </c>
      <c r="D34" s="136">
        <f>SUM(D4:D33)</f>
        <v>401133.70000000612</v>
      </c>
      <c r="E34" s="136"/>
      <c r="F34" s="136">
        <f>SUM(F3:F33)</f>
        <v>47.947999999999411</v>
      </c>
      <c r="G34" s="136">
        <f>SUM(G4:G33)</f>
        <v>83983.799999998708</v>
      </c>
      <c r="H34" s="136"/>
      <c r="I34" s="136">
        <f>SUM(I3:I33)</f>
        <v>129</v>
      </c>
      <c r="J34" s="136">
        <f>SUM(J4:J33)</f>
        <v>229900</v>
      </c>
      <c r="K34" s="136"/>
      <c r="L34" s="136">
        <f>SUM(L3:L33)</f>
        <v>41.079999999999927</v>
      </c>
      <c r="M34" s="136">
        <f>SUM(M4:M33)</f>
        <v>72769.999999998618</v>
      </c>
      <c r="N34" s="136"/>
      <c r="O34" s="136">
        <f>SUM(O3:O33)</f>
        <v>31.545000000000073</v>
      </c>
      <c r="P34" s="136">
        <f>SUM(P4:P33)</f>
        <v>56241.900000000205</v>
      </c>
      <c r="Q34" s="136"/>
      <c r="R34" s="136">
        <v>2.21</v>
      </c>
      <c r="S34" s="136">
        <f>SUM(S4:S33)</f>
        <v>42426.999999999862</v>
      </c>
      <c r="T34" s="136">
        <v>22.454999999999998</v>
      </c>
      <c r="U34" s="136">
        <f>SUM(U4:U33)</f>
        <v>886456.4000000034</v>
      </c>
      <c r="V34"/>
      <c r="W34" s="136" t="s">
        <v>141</v>
      </c>
      <c r="X34" s="136"/>
      <c r="Y34" s="136">
        <f>SUM(Y3:Y33)</f>
        <v>5242</v>
      </c>
      <c r="Z34" s="136"/>
      <c r="AA34" s="136">
        <f>SUM(AA3:AA33)</f>
        <v>113</v>
      </c>
      <c r="AB34" s="136"/>
      <c r="AC34" s="136">
        <f>SUM(AC3:AC33)</f>
        <v>0.5</v>
      </c>
      <c r="AD34" s="136"/>
      <c r="AE34" s="136">
        <f>SUM(AE3:AE33)</f>
        <v>35</v>
      </c>
      <c r="AF34" s="136">
        <v>0</v>
      </c>
      <c r="AG34" s="136">
        <f>SUM(AG3:AG33)</f>
        <v>196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6971700</v>
      </c>
      <c r="D2" s="96">
        <f>C2*1.27</f>
        <v>8854059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32445770</v>
      </c>
      <c r="J3" s="133">
        <f>ELECT.!E32</f>
        <v>0</v>
      </c>
      <c r="K3" s="166">
        <f>J3-I3</f>
        <v>-32445770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2929341</v>
      </c>
      <c r="J4" s="133">
        <f>ELECT.!G32</f>
        <v>0</v>
      </c>
      <c r="K4" s="166">
        <f>J4-I4</f>
        <v>-2929341</v>
      </c>
    </row>
    <row r="5" spans="1:13" ht="13.5" thickBot="1" x14ac:dyDescent="0.25">
      <c r="A5" s="94"/>
      <c r="B5" s="100" t="s">
        <v>27</v>
      </c>
      <c r="C5" s="104">
        <f>(K10+K12)*0.842284+K26</f>
        <v>-38230779.341559999</v>
      </c>
      <c r="D5" s="104">
        <f t="shared" ref="D5:D11" si="0">C5*1.27</f>
        <v>-48553089.763781197</v>
      </c>
      <c r="E5" s="105"/>
      <c r="F5" s="94"/>
      <c r="G5" s="94"/>
      <c r="H5" s="100" t="s">
        <v>23</v>
      </c>
      <c r="I5" s="106"/>
      <c r="J5" s="106"/>
      <c r="K5" s="126">
        <f>K3+K4</f>
        <v>-35375111</v>
      </c>
    </row>
    <row r="6" spans="1:13" ht="13.5" thickBot="1" x14ac:dyDescent="0.25">
      <c r="A6" s="94"/>
      <c r="B6" s="100" t="s">
        <v>99</v>
      </c>
      <c r="C6" s="104">
        <f>(K10+K12+K26)*0.1488</f>
        <v>-6665110.6079999991</v>
      </c>
      <c r="D6" s="104">
        <f t="shared" si="0"/>
        <v>-8464690.4721599985</v>
      </c>
      <c r="E6" s="105"/>
      <c r="F6" s="94"/>
      <c r="G6" s="94"/>
      <c r="H6" s="100" t="s">
        <v>100</v>
      </c>
      <c r="I6" s="137">
        <f>ELECT.!J2</f>
        <v>245034</v>
      </c>
      <c r="J6" s="133">
        <f>ELECT.!J32</f>
        <v>0</v>
      </c>
      <c r="K6" s="166">
        <f>J6-I6</f>
        <v>-245034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2414382</v>
      </c>
      <c r="D7" s="104">
        <f t="shared" si="0"/>
        <v>3066265.14</v>
      </c>
      <c r="E7" s="105"/>
      <c r="F7" s="94"/>
      <c r="G7" s="94"/>
      <c r="H7" s="100" t="s">
        <v>102</v>
      </c>
      <c r="I7" s="137">
        <f>ELECT.!L2</f>
        <v>497687</v>
      </c>
      <c r="J7" s="133">
        <f>ELECT.!L32</f>
        <v>0</v>
      </c>
      <c r="K7" s="166">
        <f>J7-I7</f>
        <v>-497687</v>
      </c>
    </row>
    <row r="8" spans="1:13" ht="13.5" thickBot="1" x14ac:dyDescent="0.25">
      <c r="A8" s="94"/>
      <c r="B8" s="100" t="s">
        <v>103</v>
      </c>
      <c r="C8" s="104">
        <f>K21+K22+K23+K24</f>
        <v>17914</v>
      </c>
      <c r="D8" s="104">
        <f t="shared" si="0"/>
        <v>22750.78</v>
      </c>
      <c r="E8" s="105"/>
      <c r="F8" s="94"/>
      <c r="G8" s="94"/>
      <c r="H8" s="100" t="s">
        <v>104</v>
      </c>
      <c r="I8" s="137">
        <f>ELECT.!N2</f>
        <v>7113857</v>
      </c>
      <c r="J8" s="133">
        <f>ELECT.!N32</f>
        <v>0</v>
      </c>
      <c r="K8" s="91">
        <f>(J8-I8)*2</f>
        <v>-14227714</v>
      </c>
    </row>
    <row r="9" spans="1:13" ht="13.5" thickBot="1" x14ac:dyDescent="0.25">
      <c r="A9" s="94"/>
      <c r="B9" s="100" t="s">
        <v>137</v>
      </c>
      <c r="C9" s="104">
        <f>K25+K16+K17</f>
        <v>3723</v>
      </c>
      <c r="D9" s="104">
        <f t="shared" si="0"/>
        <v>4728.21</v>
      </c>
      <c r="E9" s="105"/>
      <c r="F9" s="94"/>
      <c r="G9" s="94"/>
      <c r="H9" s="100" t="s">
        <v>105</v>
      </c>
      <c r="I9" s="137">
        <f>ELECT.!P2</f>
        <v>7467951</v>
      </c>
      <c r="J9" s="133">
        <f>ELECT.!P32</f>
        <v>0</v>
      </c>
      <c r="K9" s="91">
        <f>J9-I9</f>
        <v>-7467951</v>
      </c>
    </row>
    <row r="10" spans="1:13" ht="13.5" thickBot="1" x14ac:dyDescent="0.25">
      <c r="A10" s="94"/>
      <c r="B10" s="100" t="s">
        <v>106</v>
      </c>
      <c r="C10" s="104">
        <f>K18</f>
        <v>7840</v>
      </c>
      <c r="D10" s="104">
        <f t="shared" si="0"/>
        <v>9956.7999999999993</v>
      </c>
      <c r="E10" s="105"/>
      <c r="F10" s="94"/>
      <c r="G10" s="94"/>
      <c r="H10" s="100" t="s">
        <v>107</v>
      </c>
      <c r="I10" s="137">
        <f>ELECT.!R2</f>
        <v>21870756</v>
      </c>
      <c r="J10" s="133">
        <f>ELECT.!R32</f>
        <v>0</v>
      </c>
      <c r="K10" s="91">
        <f>J10-I10</f>
        <v>-21870756</v>
      </c>
    </row>
    <row r="11" spans="1:13" ht="13.5" thickBot="1" x14ac:dyDescent="0.25">
      <c r="A11" s="94"/>
      <c r="B11" s="100" t="s">
        <v>108</v>
      </c>
      <c r="C11" s="104">
        <f>K19+K20</f>
        <v>1740</v>
      </c>
      <c r="D11" s="104">
        <f t="shared" si="0"/>
        <v>2209.8000000000002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9866667</v>
      </c>
      <c r="J12" s="133">
        <f>ELECT.!V32</f>
        <v>0</v>
      </c>
      <c r="K12" s="91">
        <f>(J12-I12)*2</f>
        <v>-19733334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-64042476</v>
      </c>
    </row>
    <row r="14" spans="1:13" ht="13.5" thickBot="1" x14ac:dyDescent="0.25">
      <c r="A14" s="94"/>
      <c r="B14" s="100" t="s">
        <v>42</v>
      </c>
      <c r="C14" s="104">
        <f>K29</f>
        <v>-4565260</v>
      </c>
      <c r="D14" s="112">
        <f t="shared" ref="D14:D22" si="1">C14*10.03</f>
        <v>-45789557.799999997</v>
      </c>
      <c r="E14" s="113"/>
      <c r="F14" s="94"/>
      <c r="G14" s="94"/>
      <c r="H14" s="100" t="s">
        <v>114</v>
      </c>
      <c r="I14" s="109"/>
      <c r="J14" s="110"/>
      <c r="K14" s="92">
        <f>K5-K13</f>
        <v>28667365</v>
      </c>
    </row>
    <row r="15" spans="1:13" ht="13.5" thickBot="1" x14ac:dyDescent="0.25">
      <c r="A15" s="94"/>
      <c r="B15" s="100" t="s">
        <v>115</v>
      </c>
      <c r="C15" s="114">
        <f>K30</f>
        <v>-21709.727999999999</v>
      </c>
      <c r="D15" s="112">
        <f t="shared" si="1"/>
        <v>-217748.57183999999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-599607.0018496</v>
      </c>
      <c r="D16" s="112">
        <f t="shared" si="1"/>
        <v>-6014058.2285514874</v>
      </c>
      <c r="E16" s="113"/>
      <c r="F16" s="94"/>
      <c r="G16" s="94"/>
      <c r="H16" s="115" t="s">
        <v>136</v>
      </c>
      <c r="I16" s="116">
        <f>'Mall, Citadel, Rotana'!T2</f>
        <v>4029</v>
      </c>
      <c r="J16" s="116">
        <f>'Mall, Citadel, Rotana'!T32</f>
        <v>4036</v>
      </c>
      <c r="K16" s="93">
        <f>(J16-I16)*160</f>
        <v>1120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325715</v>
      </c>
      <c r="J17" s="116">
        <f>'Mall, Citadel, Rotana'!J32</f>
        <v>328266</v>
      </c>
      <c r="K17" s="93">
        <f>(J17-I17)</f>
        <v>2551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26354</v>
      </c>
      <c r="J18" s="116">
        <f>'Mall, Citadel, Rotana'!L32</f>
        <v>26403</v>
      </c>
      <c r="K18" s="93">
        <f>(J18-I18)*160</f>
        <v>7840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162611</v>
      </c>
      <c r="J19" s="116">
        <f>'Mall, Citadel, Rotana'!P32</f>
        <v>164351</v>
      </c>
      <c r="K19" s="93">
        <f>J19-I19</f>
        <v>1740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47370</v>
      </c>
      <c r="J21" s="116">
        <f>'Mall, Citadel, Rotana'!B32</f>
        <v>47442</v>
      </c>
      <c r="K21" s="93">
        <f>(J21-I21)*120</f>
        <v>8640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-3949763.2701503998</v>
      </c>
      <c r="D22" s="112">
        <f t="shared" si="1"/>
        <v>-39616125.599608511</v>
      </c>
      <c r="E22" s="113"/>
      <c r="F22" s="94"/>
      <c r="G22" s="94"/>
      <c r="H22" s="115" t="s">
        <v>15</v>
      </c>
      <c r="I22" s="116">
        <f>'Mall, Citadel, Rotana'!D2</f>
        <v>40832</v>
      </c>
      <c r="J22" s="116">
        <f>'Mall, Citadel, Rotana'!D32</f>
        <v>40879</v>
      </c>
      <c r="K22" s="93">
        <f>(J22-I22)*160</f>
        <v>7520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21902</v>
      </c>
      <c r="J23" s="116">
        <f>'Mall, Citadel, Rotana'!F32</f>
        <v>21961</v>
      </c>
      <c r="K23" s="93">
        <f>(J23-I23)*20</f>
        <v>1180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257036</v>
      </c>
      <c r="J24" s="116">
        <f>'Mall, Citadel, Rotana'!H32</f>
        <v>257610</v>
      </c>
      <c r="K24" s="93">
        <f>J24-I24</f>
        <v>574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226230</v>
      </c>
      <c r="J25" s="116">
        <f>'Mall, Citadel, Rotana'!N32</f>
        <v>226282</v>
      </c>
      <c r="K25" s="93">
        <f>J25-I25</f>
        <v>52</v>
      </c>
    </row>
    <row r="26" spans="1:11" ht="13.5" thickBot="1" x14ac:dyDescent="0.25">
      <c r="A26" s="94"/>
      <c r="B26" s="100" t="s">
        <v>42</v>
      </c>
      <c r="C26" s="118">
        <f>K35</f>
        <v>-18421000</v>
      </c>
      <c r="D26" s="104">
        <f>C26*3.65</f>
        <v>-67236650</v>
      </c>
      <c r="E26" s="105"/>
      <c r="F26" s="94"/>
      <c r="G26" s="94"/>
      <c r="H26" s="115" t="s">
        <v>123</v>
      </c>
      <c r="I26" s="125">
        <f>ELECT.!C2</f>
        <v>19927</v>
      </c>
      <c r="J26" s="125">
        <f>ELECT.!C32</f>
        <v>0</v>
      </c>
      <c r="K26" s="93">
        <f>(J26-I26)*160</f>
        <v>-3188320</v>
      </c>
    </row>
    <row r="27" spans="1:11" ht="13.5" thickBot="1" x14ac:dyDescent="0.25">
      <c r="A27" s="94"/>
      <c r="B27" s="95" t="s">
        <v>124</v>
      </c>
      <c r="C27" s="118">
        <f>C26</f>
        <v>-18421000</v>
      </c>
      <c r="D27" s="104">
        <f>C27*3.65</f>
        <v>-67236650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456526</v>
      </c>
      <c r="J29" s="116">
        <f>Water!B32</f>
        <v>0</v>
      </c>
      <c r="K29" s="93">
        <f>(J29-I29)*10</f>
        <v>-4565260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804064</v>
      </c>
      <c r="J30" s="116">
        <f>Water!H32</f>
        <v>0</v>
      </c>
      <c r="K30" s="93">
        <f>(J30-I30)*0.027</f>
        <v>-21709.727999999999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11606</v>
      </c>
      <c r="J31" s="116">
        <f>Water!D32</f>
        <v>0</v>
      </c>
      <c r="K31" s="93">
        <f>(J31-I31)*0.027</f>
        <v>-313.36200000000002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10527500</v>
      </c>
      <c r="J32" s="116">
        <f>Water!F32</f>
        <v>0</v>
      </c>
      <c r="K32" s="93">
        <f>(J32-I32)*0.027</f>
        <v>-284242.5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0</v>
      </c>
      <c r="K35" s="124">
        <f>J35-I35</f>
        <v>-18421000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2022-08-16T23:55:39Z</dcterms:modified>
</cp:coreProperties>
</file>