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7B4C5B41-9B88-4F22-803B-A80067367EB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<sst xmlns="http://schemas.openxmlformats.org/spreadsheetml/2006/main" count="66" uniqueCount="32">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</sst>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0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0</v>
      </c>
      <c r="F7" s="10">
        <v>2.9000000000000001E-2</v>
      </c>
      <c r="G7" s="1">
        <v>0</v>
      </c>
      <c r="H7" s="10">
        <v>0.112</v>
      </c>
      <c r="I7" s="1">
        <f>'June 2021'!G10*1000</f>
        <v>0</v>
      </c>
      <c r="J7" s="10">
        <v>3.61E-2</v>
      </c>
      <c r="K7" s="1">
        <f>'June 2021'!I10</f>
        <v>0</v>
      </c>
      <c r="L7" s="10">
        <v>0.75</v>
      </c>
      <c r="M7" s="10">
        <f>'June 2021'!L10</f>
        <v>0</v>
      </c>
      <c r="N7" s="10">
        <v>0.56299999999999994</v>
      </c>
      <c r="O7" s="14">
        <f>'June 2021'!D10</f>
        <v>0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0</v>
      </c>
      <c r="J8" s="10">
        <v>3.61E-2</v>
      </c>
      <c r="K8" s="1">
        <f>'June 2021'!I11</f>
        <v>0</v>
      </c>
      <c r="L8" s="10">
        <v>0.75</v>
      </c>
      <c r="M8" s="10">
        <f>'June 2021'!L11</f>
        <v>0</v>
      </c>
      <c r="N8" s="10">
        <v>0.56299999999999994</v>
      </c>
      <c r="O8" s="14">
        <f>'June 2021'!D11</f>
        <v>0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0</v>
      </c>
      <c r="F9" s="10">
        <v>2.9000000000000001E-2</v>
      </c>
      <c r="G9" s="1">
        <f>'June 2021'!J12</f>
        <v>0</v>
      </c>
      <c r="H9" s="10">
        <v>0.112</v>
      </c>
      <c r="I9" s="1">
        <f>'June 2021'!G12*1000</f>
        <v>0</v>
      </c>
      <c r="J9" s="10">
        <v>3.61E-2</v>
      </c>
      <c r="K9" s="1">
        <f>'June 2021'!I12</f>
        <v>0</v>
      </c>
      <c r="L9" s="10">
        <v>0.75</v>
      </c>
      <c r="M9" s="10">
        <f>'June 2021'!L12</f>
        <v>0</v>
      </c>
      <c r="N9" s="10">
        <v>0.56299999999999994</v>
      </c>
      <c r="O9" s="14">
        <f>'June 2021'!D12</f>
        <v>0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0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0</v>
      </c>
      <c r="J10" s="10">
        <v>3.61E-2</v>
      </c>
      <c r="K10" s="1">
        <f>'June 2021'!I13</f>
        <v>0</v>
      </c>
      <c r="L10" s="10">
        <v>0.75</v>
      </c>
      <c r="M10" s="10">
        <f>'June 2021'!L13</f>
        <v>0</v>
      </c>
      <c r="N10" s="10">
        <v>0.56299999999999994</v>
      </c>
      <c r="O10" s="14">
        <f>'June 2021'!D13</f>
        <v>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0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0</v>
      </c>
      <c r="J11" s="10">
        <v>3.61E-2</v>
      </c>
      <c r="K11" s="1">
        <f>'June 2021'!I14</f>
        <v>0</v>
      </c>
      <c r="L11" s="10">
        <v>0.75</v>
      </c>
      <c r="M11" s="10">
        <f>'June 2021'!L14</f>
        <v>0</v>
      </c>
      <c r="N11" s="10">
        <v>0.56299999999999994</v>
      </c>
      <c r="O11" s="14">
        <f>'June 2021'!D14</f>
        <v>0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0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0</v>
      </c>
      <c r="J12" s="10">
        <v>3.61E-2</v>
      </c>
      <c r="K12" s="1">
        <f>'June 2021'!I15</f>
        <v>0</v>
      </c>
      <c r="L12" s="10">
        <v>0.75</v>
      </c>
      <c r="M12" s="10">
        <f>'June 2021'!L15</f>
        <v>0</v>
      </c>
      <c r="N12" s="10">
        <v>0.56299999999999994</v>
      </c>
      <c r="O12" s="14">
        <f>'June 2021'!D15</f>
        <v>0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0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0</v>
      </c>
      <c r="J13" s="10">
        <v>3.61E-2</v>
      </c>
      <c r="K13" s="1">
        <f>'June 2021'!I16</f>
        <v>0</v>
      </c>
      <c r="L13" s="10">
        <v>0.75</v>
      </c>
      <c r="M13" s="10">
        <f>'June 2021'!L16</f>
        <v>0</v>
      </c>
      <c r="N13" s="10">
        <v>0.56299999999999994</v>
      </c>
      <c r="O13" s="14">
        <f>'June 2021'!D16</f>
        <v>0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0</v>
      </c>
      <c r="F14" s="10">
        <v>2.9000000000000001E-2</v>
      </c>
      <c r="G14" s="1">
        <f>'June 2021'!J17</f>
        <v>0</v>
      </c>
      <c r="H14" s="10">
        <v>0.112</v>
      </c>
      <c r="I14" s="1">
        <f>'June 2021'!G17*1000</f>
        <v>0</v>
      </c>
      <c r="J14" s="10">
        <v>3.61E-2</v>
      </c>
      <c r="K14" s="1">
        <f>'June 2021'!I17</f>
        <v>0</v>
      </c>
      <c r="L14" s="10">
        <v>0.75</v>
      </c>
      <c r="M14" s="10">
        <f>'June 2021'!L17</f>
        <v>0</v>
      </c>
      <c r="N14" s="10">
        <v>0.56299999999999994</v>
      </c>
      <c r="O14" s="14">
        <f>'June 2021'!D17</f>
        <v>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0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0</v>
      </c>
      <c r="J15" s="10">
        <v>3.61E-2</v>
      </c>
      <c r="K15" s="1">
        <f>'June 2021'!I18</f>
        <v>0</v>
      </c>
      <c r="L15" s="10">
        <v>0.75</v>
      </c>
      <c r="M15" s="10">
        <f>'June 2021'!L18</f>
        <v>0</v>
      </c>
      <c r="N15" s="10">
        <v>0.56299999999999994</v>
      </c>
      <c r="O15" s="14">
        <f>'June 2021'!D18</f>
        <v>0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0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0</v>
      </c>
      <c r="J16" s="10">
        <v>3.61E-2</v>
      </c>
      <c r="K16" s="1">
        <f>'June 2021'!I19</f>
        <v>0</v>
      </c>
      <c r="L16" s="10">
        <v>0.75</v>
      </c>
      <c r="M16" s="10">
        <f>'June 2021'!L19</f>
        <v>0</v>
      </c>
      <c r="N16" s="10">
        <v>0.56299999999999994</v>
      </c>
      <c r="O16" s="14">
        <f>'June 2021'!D19</f>
        <v>0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0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0</v>
      </c>
      <c r="J17" s="10">
        <v>3.61E-2</v>
      </c>
      <c r="K17" s="1">
        <f>'June 2021'!I20</f>
        <v>0</v>
      </c>
      <c r="L17" s="10">
        <v>0.75</v>
      </c>
      <c r="M17" s="10">
        <f>'June 2021'!L20</f>
        <v>0</v>
      </c>
      <c r="N17" s="10">
        <v>0.56299999999999994</v>
      </c>
      <c r="O17" s="14">
        <f>'June 2021'!D20</f>
        <v>0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0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0</v>
      </c>
      <c r="J18" s="10">
        <v>3.61E-2</v>
      </c>
      <c r="K18" s="1">
        <f>'June 2021'!I21</f>
        <v>0</v>
      </c>
      <c r="L18" s="10">
        <v>0.75</v>
      </c>
      <c r="M18" s="10">
        <f>'June 2021'!L21</f>
        <v>0</v>
      </c>
      <c r="N18" s="10">
        <v>0.56299999999999994</v>
      </c>
      <c r="O18" s="14">
        <f>'June 2021'!D21</f>
        <v>0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0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0</v>
      </c>
      <c r="J19" s="10">
        <v>3.61E-2</v>
      </c>
      <c r="K19" s="1">
        <f>'June 2021'!I22</f>
        <v>0</v>
      </c>
      <c r="L19" s="10">
        <v>0.75</v>
      </c>
      <c r="M19" s="10">
        <f>'June 2021'!L22</f>
        <v>0</v>
      </c>
      <c r="N19" s="10">
        <v>0.56299999999999994</v>
      </c>
      <c r="O19" s="14">
        <f>'June 2021'!D22</f>
        <v>0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0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0</v>
      </c>
      <c r="J20" s="10">
        <v>3.61E-2</v>
      </c>
      <c r="K20" s="1">
        <f>'June 2021'!I23</f>
        <v>0</v>
      </c>
      <c r="L20" s="10">
        <v>0.75</v>
      </c>
      <c r="M20" s="10">
        <f>'June 2021'!L23</f>
        <v>0</v>
      </c>
      <c r="N20" s="10">
        <v>0.56299999999999994</v>
      </c>
      <c r="O20" s="14">
        <f>'June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0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0</v>
      </c>
      <c r="J21" s="10">
        <v>3.61E-2</v>
      </c>
      <c r="K21" s="1">
        <f>'June 2021'!I23</f>
        <v>0</v>
      </c>
      <c r="L21" s="10">
        <v>0.75</v>
      </c>
      <c r="M21" s="10">
        <f>'June 2021'!L24</f>
        <v>0</v>
      </c>
      <c r="N21" s="10">
        <v>0.56299999999999994</v>
      </c>
      <c r="O21" s="14">
        <f>'June 2021'!D24</f>
        <v>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0</v>
      </c>
      <c r="F22" s="10">
        <v>2.9000000000000001E-2</v>
      </c>
      <c r="G22" s="1">
        <f>'June 2021'!J24</f>
        <v>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0</v>
      </c>
      <c r="L22" s="10">
        <v>0.75</v>
      </c>
      <c r="M22" s="10">
        <f>'June 2021'!L25</f>
        <v>0</v>
      </c>
      <c r="N22" s="10">
        <v>0.56299999999999994</v>
      </c>
      <c r="O22" s="14">
        <f>'June 2021'!D25</f>
        <v>0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C10" sqref="A10:XFD1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9" si="0">F7-F6</f>
        <v>56</v>
      </c>
      <c r="H6" s="5">
        <v>482422</v>
      </c>
      <c r="I6" s="3">
        <f t="shared" ref="I6:I9" si="1">H7-H6</f>
        <v>212</v>
      </c>
      <c r="J6" s="3">
        <v>0</v>
      </c>
      <c r="K6" s="4">
        <v>286215</v>
      </c>
      <c r="L6" s="9">
        <f t="shared" ref="L6:L9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0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/>
      <c r="E10" s="12"/>
      <c r="F10" s="4">
        <v>189374</v>
      </c>
      <c r="G10" s="8"/>
      <c r="H10" s="7">
        <v>482972</v>
      </c>
      <c r="I10" s="3"/>
      <c r="J10" s="3">
        <v>0</v>
      </c>
      <c r="K10" s="4">
        <v>287299</v>
      </c>
      <c r="L10" s="9"/>
      <c r="N10" s="1"/>
    </row>
    <row r="11" spans="1:14" x14ac:dyDescent="0.2">
      <c r="B11" s="2">
        <v>7</v>
      </c>
      <c r="C11" s="11">
        <v>44354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44355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44356</v>
      </c>
      <c r="D13" s="7"/>
      <c r="E13" s="12"/>
      <c r="F13" s="29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44357</v>
      </c>
      <c r="D14" s="7"/>
      <c r="E14" s="12"/>
      <c r="F14" s="29"/>
      <c r="G14" s="8"/>
      <c r="H14" s="31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44358</v>
      </c>
      <c r="D15" s="7"/>
      <c r="E15" s="12"/>
      <c r="F15" s="29"/>
      <c r="G15" s="8"/>
      <c r="H15" s="31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44359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44360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44361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44362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44363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44364</v>
      </c>
      <c r="D21" s="7"/>
      <c r="E21" s="7"/>
      <c r="F21" s="4"/>
      <c r="G21" s="8"/>
      <c r="H21" s="33"/>
      <c r="I21" s="3"/>
      <c r="J21" s="33"/>
      <c r="K21" s="29"/>
      <c r="L21" s="9"/>
      <c r="N21" s="1"/>
    </row>
    <row r="22" spans="1:14" x14ac:dyDescent="0.2">
      <c r="B22" s="2">
        <v>18</v>
      </c>
      <c r="C22" s="11">
        <v>44365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44366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44367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44368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44369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2021-06-06T05:22:55Z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