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F20" i="6"/>
  <c r="G20" i="6"/>
  <c r="AW20" i="6"/>
  <c r="F21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<sst xmlns="http://schemas.openxmlformats.org/spreadsheetml/2006/main" count="296" uniqueCount="138">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</sst>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 t="e">
        <f>Submetering!E19+Submetering!F19+Submetering!G19+Submetering!H19-Submetering!AV19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 t="str">
        <f>'FS Desroches Daily'!D21</f>
        <v>0</v>
      </c>
      <c r="F19" s="36" t="str">
        <f>'FS Desroches Daily'!F21</f>
        <v>0</v>
      </c>
      <c r="G19" s="35" t="str">
        <f>'FS Desroches Daily'!H21</f>
        <v>0</v>
      </c>
      <c r="H19" s="36" t="str">
        <f>'FS Desroches Daily'!J21</f>
        <v>0</v>
      </c>
      <c r="I19" s="35" t="str">
        <f>'FS Desroches Daily'!L21</f>
        <v>0</v>
      </c>
      <c r="J19" s="36" t="str">
        <f>'FS Desroches Daily'!N21</f>
        <v/>
      </c>
      <c r="K19" s="13" t="str">
        <f>'FS Desroches Daily'!P21</f>
        <v/>
      </c>
      <c r="L19" s="35" t="str">
        <f>'FS Desroches Daily'!R21</f>
        <v/>
      </c>
      <c r="M19" s="35" t="str">
        <f>'FS Desroches Daily'!T21</f>
        <v/>
      </c>
      <c r="N19" s="35" t="str">
        <f>'FS Desroches Daily'!V21</f>
        <v/>
      </c>
      <c r="O19" s="35" t="str">
        <f>'FS Desroches Daily'!X21</f>
        <v/>
      </c>
      <c r="P19" s="35" t="str">
        <f>'FS Desroches Daily'!Z21</f>
        <v/>
      </c>
      <c r="Q19" s="35" t="str">
        <f>'FS Desroches Daily'!AB21</f>
        <v/>
      </c>
      <c r="R19" s="35" t="str">
        <f>'FS Desroches Daily'!AD21</f>
        <v/>
      </c>
      <c r="S19" s="35" t="str">
        <f>'FS Desroches Daily'!AF21</f>
        <v/>
      </c>
      <c r="T19" s="35" t="str">
        <f>'FS Desroches Daily'!AH21</f>
        <v/>
      </c>
      <c r="U19" s="39" t="str">
        <f>'FS Desroches Daily'!AJ21</f>
        <v/>
      </c>
      <c r="V19" s="39" t="str">
        <f>'FS Desroches Daily'!AL21</f>
        <v/>
      </c>
      <c r="W19" s="39" t="str">
        <f>'FS Desroches Daily'!AN21</f>
        <v/>
      </c>
      <c r="X19" s="39" t="str">
        <f>'FS Desroches Daily'!AP21</f>
        <v/>
      </c>
      <c r="Y19" s="39" t="str">
        <f>'FS Desroches Daily'!AR21</f>
        <v/>
      </c>
      <c r="Z19" s="39" t="str">
        <f>'FS Desroches Daily'!AT21</f>
        <v/>
      </c>
      <c r="AA19" s="39" t="str">
        <f>'FS Desroches Daily'!AT21</f>
        <v/>
      </c>
      <c r="AB19" s="39" t="str">
        <f>'FS Desroches Daily'!AV21</f>
        <v/>
      </c>
      <c r="AC19" s="39" t="str">
        <f>'FS Desroches Daily'!AZ21</f>
        <v/>
      </c>
      <c r="AD19" s="39" t="str">
        <f>'FS Desroches Daily'!BB21</f>
        <v/>
      </c>
      <c r="AE19" s="39" t="str">
        <f>'FS Desroches Daily'!BD21</f>
        <v/>
      </c>
      <c r="AF19" s="35" t="str">
        <f>'FS Desroches Daily'!BF21</f>
        <v/>
      </c>
      <c r="AG19" s="36" t="str">
        <f>'FS Desroches Daily'!BH21</f>
        <v/>
      </c>
      <c r="AH19" s="36" t="str">
        <f>'FS Desroches Daily'!BJ21</f>
        <v/>
      </c>
      <c r="AI19" s="36" t="str">
        <f>'FS Desroches Daily'!BL21</f>
        <v/>
      </c>
      <c r="AJ19" s="36" t="str">
        <f>'FS Desroches Daily'!BN21</f>
        <v/>
      </c>
      <c r="AK19" s="36" t="str">
        <f>'FS Desroches Daily'!BP21</f>
        <v/>
      </c>
      <c r="AL19" s="36" t="str">
        <f>'FS Desroches Daily'!BR21</f>
        <v/>
      </c>
      <c r="AM19" s="36" t="str">
        <f>'FS Desroches Daily'!BT21</f>
        <v/>
      </c>
      <c r="AN19" s="36" t="str">
        <f>'FS Desroches Daily'!BV21</f>
        <v/>
      </c>
      <c r="AO19" s="36" t="str">
        <f>'FS Desroches Daily'!BX21</f>
        <v/>
      </c>
      <c r="AP19" s="36" t="str">
        <f>'FS Desroches Daily'!BZ21</f>
        <v/>
      </c>
      <c r="AQ19" s="35" t="str">
        <f>'FS Desroches Daily'!CB21</f>
        <v/>
      </c>
      <c r="AR19" s="35" t="str">
        <f>'FS Desroches Daily'!CD21</f>
        <v/>
      </c>
      <c r="AS19" s="35" t="str">
        <f>'FS Desroches Daily'!CF21</f>
        <v/>
      </c>
      <c r="AT19" s="35" t="str">
        <f>'FS Desroches Daily'!CH21</f>
        <v/>
      </c>
      <c r="AU19" s="35" t="str">
        <f>'FS Desroches Daily'!CJ21</f>
        <v/>
      </c>
      <c r="AV19" s="35" t="str">
        <f>'FS Desroches Daily'!CL21</f>
        <v/>
      </c>
      <c r="AW19" s="35">
        <f>'FS Desroches Daily'!CM21</f>
        <v>0</v>
      </c>
      <c r="AX19" s="35" t="str">
        <f>IF(LPG!F26-LPG!F25&lt;0,"0",(LPG!F26-LPG!F25)*1.8315)</f>
        <v>0</v>
      </c>
      <c r="AY19" s="35" t="str">
        <f>IF(LPG!H26-LPG!H25&lt;0,"0",(LPG!H26-LPG!H25)*1.8315)</f>
        <v>0</v>
      </c>
      <c r="AZ19" s="35" t="str">
        <f>IF(LPG!J26-LPG!J25&lt;0,"0",(LPG!J26-LPG!J25)*1.8315)</f>
        <v>0</v>
      </c>
      <c r="BA19" s="35" t="str">
        <f>IF(LPG!M26-LPG!M25&lt;0,"0",(LPG!M26-LPG!M25)*1.8315)</f>
        <v>0</v>
      </c>
      <c r="BB19" s="35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30599.999999999953</v>
      </c>
      <c r="F33" s="17">
        <f t="shared" ref="F33:BC33" si="1">SUM(F2:F32)</f>
        <v>50700.000000000415</v>
      </c>
      <c r="G33" s="17">
        <f t="shared" si="1"/>
        <v>51900.000000000284</v>
      </c>
      <c r="H33" s="17">
        <f t="shared" si="1"/>
        <v>23830.000000000044</v>
      </c>
      <c r="I33" s="17">
        <f t="shared" si="1"/>
        <v>39599.999999999847</v>
      </c>
      <c r="J33" s="17">
        <f t="shared" si="1"/>
        <v>25759.999999999989</v>
      </c>
      <c r="K33" s="17">
        <f t="shared" si="1"/>
        <v>307</v>
      </c>
      <c r="L33" s="17">
        <f t="shared" si="1"/>
        <v>125</v>
      </c>
      <c r="M33" s="17">
        <f t="shared" si="1"/>
        <v>17509</v>
      </c>
      <c r="N33" s="17">
        <f t="shared" si="1"/>
        <v>7381</v>
      </c>
      <c r="O33" s="17">
        <f t="shared" si="1"/>
        <v>5449.9999999999891</v>
      </c>
      <c r="P33" s="17">
        <f t="shared" si="1"/>
        <v>44700.000000000189</v>
      </c>
      <c r="Q33" s="17">
        <f t="shared" si="1"/>
        <v>6860.0000000000127</v>
      </c>
      <c r="R33" s="17">
        <f t="shared" si="1"/>
        <v>6079.9999999999836</v>
      </c>
      <c r="S33" s="17">
        <f t="shared" si="1"/>
        <v>10930.000000000007</v>
      </c>
      <c r="T33" s="17">
        <f t="shared" si="1"/>
        <v>31.700000000000045</v>
      </c>
      <c r="U33" s="39">
        <f t="shared" si="1"/>
        <v>6229.9999999999618</v>
      </c>
      <c r="V33" s="39">
        <f t="shared" si="1"/>
        <v>3.0799999999999983</v>
      </c>
      <c r="W33" s="39">
        <f t="shared" si="1"/>
        <v>3.0900000000000034</v>
      </c>
      <c r="X33" s="39">
        <f t="shared" si="1"/>
        <v>2.5600000000000023</v>
      </c>
      <c r="Y33" s="39">
        <f t="shared" si="1"/>
        <v>950.00000000001705</v>
      </c>
      <c r="Z33" s="39">
        <f t="shared" si="1"/>
        <v>1199.9999999999886</v>
      </c>
      <c r="AA33" s="39">
        <f t="shared" si="1"/>
        <v>1199.9999999999886</v>
      </c>
      <c r="AB33" s="39">
        <f t="shared" si="1"/>
        <v>2439.9999999999982</v>
      </c>
      <c r="AC33" s="39">
        <f t="shared" si="1"/>
        <v>1780.0000000000296</v>
      </c>
      <c r="AD33" s="39">
        <f t="shared" si="1"/>
        <v>1750</v>
      </c>
      <c r="AE33" s="39">
        <f t="shared" si="1"/>
        <v>479.99999999998977</v>
      </c>
      <c r="AF33" s="17">
        <f t="shared" si="1"/>
        <v>776</v>
      </c>
      <c r="AG33" s="36">
        <f t="shared" si="1"/>
        <v>450.00000000001705</v>
      </c>
      <c r="AH33" s="36">
        <f t="shared" si="1"/>
        <v>660.00000000002501</v>
      </c>
      <c r="AI33" s="36">
        <f t="shared" si="1"/>
        <v>640.00000000001478</v>
      </c>
      <c r="AJ33" s="36">
        <f t="shared" si="1"/>
        <v>599.99999999999432</v>
      </c>
      <c r="AK33" s="36">
        <f t="shared" si="1"/>
        <v>700.00000000004547</v>
      </c>
      <c r="AL33" s="36">
        <f t="shared" si="1"/>
        <v>649</v>
      </c>
      <c r="AM33" s="36">
        <f t="shared" si="1"/>
        <v>609.99999999998522</v>
      </c>
      <c r="AN33" s="36">
        <f t="shared" si="1"/>
        <v>529</v>
      </c>
      <c r="AO33" s="36">
        <f t="shared" si="1"/>
        <v>629.99999999999545</v>
      </c>
      <c r="AP33" s="36">
        <f t="shared" si="1"/>
        <v>1029</v>
      </c>
      <c r="AQ33" s="17">
        <f t="shared" si="1"/>
        <v>524.10000000000218</v>
      </c>
      <c r="AR33" s="17">
        <f t="shared" si="1"/>
        <v>191.70000000000073</v>
      </c>
      <c r="AS33" s="17">
        <f t="shared" si="1"/>
        <v>148.90000000000055</v>
      </c>
      <c r="AT33" s="17">
        <f t="shared" si="1"/>
        <v>1022.5999999999985</v>
      </c>
      <c r="AU33" s="17">
        <f t="shared" si="1"/>
        <v>5053</v>
      </c>
      <c r="AV33" s="17">
        <f t="shared" si="1"/>
        <v>11809.999999999945</v>
      </c>
      <c r="AW33" s="17">
        <f t="shared" si="1"/>
        <v>1476.3999999999999</v>
      </c>
      <c r="AX33" s="17">
        <f t="shared" si="1"/>
        <v>216.11700000000002</v>
      </c>
      <c r="AY33" s="17">
        <f t="shared" si="1"/>
        <v>54.944999999999986</v>
      </c>
      <c r="AZ33" s="17">
        <f t="shared" si="1"/>
        <v>14.651999999999999</v>
      </c>
      <c r="BA33" s="17">
        <f t="shared" si="1"/>
        <v>58.608000000000004</v>
      </c>
      <c r="BB33" s="17">
        <f t="shared" si="1"/>
        <v>95.237999999999985</v>
      </c>
      <c r="BC33" s="17">
        <f t="shared" si="1"/>
        <v>346</v>
      </c>
    </row>
    <row r="35" spans="5:55" x14ac:dyDescent="0.25">
      <c r="E35" s="42">
        <f>E33/E37</f>
        <v>0.17593486960121332</v>
      </c>
      <c r="G35" s="33">
        <f>G33-M36</f>
        <v>27010.000000000284</v>
      </c>
      <c r="AE35" s="39">
        <f>SUM(U33:AE33)</f>
        <v>16038.729999999974</v>
      </c>
      <c r="AG35" s="36">
        <f>SUM(AG33:AP33)</f>
        <v>6497.0000000000773</v>
      </c>
    </row>
    <row r="36" spans="5:55" x14ac:dyDescent="0.25">
      <c r="G36" s="33">
        <f>G35-633*14</f>
        <v>18148.000000000284</v>
      </c>
      <c r="M36" s="33">
        <f>M33+N33</f>
        <v>24890</v>
      </c>
    </row>
    <row r="37" spans="5:55" x14ac:dyDescent="0.25">
      <c r="E37" s="17">
        <f>E33+F33+G33+H33+J33-633*14</f>
        <v>173928.0000000007</v>
      </c>
      <c r="G37" s="41">
        <f>M36/E37</f>
        <v>0.14310519295340543</v>
      </c>
      <c r="M37" s="39">
        <f>AE35</f>
        <v>16038.729999999974</v>
      </c>
    </row>
    <row r="38" spans="5:55" x14ac:dyDescent="0.25">
      <c r="L38" s="31">
        <f>M38/E37</f>
        <v>3.7354537509774452E-2</v>
      </c>
      <c r="M38" s="33">
        <f>AG35</f>
        <v>6497.0000000000773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CM20" sqref="CM20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/>
      <c r="D21" s="77" t="str">
        <f t="shared" si="2"/>
        <v>0</v>
      </c>
      <c r="E21" s="65"/>
      <c r="F21" s="77" t="str">
        <f t="shared" si="3"/>
        <v>0</v>
      </c>
      <c r="G21" s="65"/>
      <c r="H21" s="77" t="str">
        <f t="shared" si="4"/>
        <v>0</v>
      </c>
      <c r="I21" s="65"/>
      <c r="J21" s="77" t="str">
        <f t="shared" si="5"/>
        <v>0</v>
      </c>
      <c r="K21" s="65"/>
      <c r="L21" s="77" t="str">
        <f t="shared" si="0"/>
        <v>0</v>
      </c>
      <c r="M21" s="65"/>
      <c r="N21" s="78" t="str">
        <f t="shared" si="23"/>
        <v/>
      </c>
      <c r="O21" s="65"/>
      <c r="P21" s="78" t="str">
        <f t="shared" si="6"/>
        <v/>
      </c>
      <c r="Q21" s="65"/>
      <c r="R21" s="78" t="str">
        <f t="shared" si="7"/>
        <v/>
      </c>
      <c r="S21" s="80"/>
      <c r="T21" s="78" t="str">
        <f t="shared" si="8"/>
        <v/>
      </c>
      <c r="U21" s="80"/>
      <c r="V21" s="78" t="str">
        <f t="shared" si="9"/>
        <v/>
      </c>
      <c r="W21" s="65"/>
      <c r="X21" s="78" t="str">
        <f t="shared" si="43"/>
        <v/>
      </c>
      <c r="Y21" s="65"/>
      <c r="Z21" s="78" t="str">
        <f t="shared" si="24"/>
        <v/>
      </c>
      <c r="AA21" s="65"/>
      <c r="AB21" s="78" t="str">
        <f t="shared" si="25"/>
        <v/>
      </c>
      <c r="AC21" s="65"/>
      <c r="AD21" s="78" t="str">
        <f t="shared" si="26"/>
        <v/>
      </c>
      <c r="AE21" s="65"/>
      <c r="AF21" s="78" t="str">
        <f t="shared" si="27"/>
        <v/>
      </c>
      <c r="AG21" s="65"/>
      <c r="AH21" s="78" t="str">
        <f t="shared" si="10"/>
        <v/>
      </c>
      <c r="AI21" s="65"/>
      <c r="AJ21" s="78" t="str">
        <f t="shared" si="28"/>
        <v/>
      </c>
      <c r="AK21" s="65"/>
      <c r="AL21" s="78" t="str">
        <f t="shared" si="11"/>
        <v/>
      </c>
      <c r="AM21" s="65"/>
      <c r="AN21" s="78" t="str">
        <f t="shared" si="12"/>
        <v/>
      </c>
      <c r="AO21" s="65"/>
      <c r="AP21" s="78" t="str">
        <f t="shared" si="13"/>
        <v/>
      </c>
      <c r="AQ21" s="65"/>
      <c r="AR21" s="78" t="str">
        <f t="shared" si="29"/>
        <v/>
      </c>
      <c r="AS21" s="65"/>
      <c r="AT21" s="78" t="str">
        <f t="shared" si="30"/>
        <v/>
      </c>
      <c r="AU21" s="65"/>
      <c r="AV21" s="78" t="str">
        <f t="shared" si="31"/>
        <v/>
      </c>
      <c r="AW21" s="65"/>
      <c r="AX21" s="78" t="str">
        <f t="shared" si="32"/>
        <v/>
      </c>
      <c r="AY21" s="65"/>
      <c r="AZ21" s="78" t="str">
        <f t="shared" si="33"/>
        <v/>
      </c>
      <c r="BA21" s="65"/>
      <c r="BB21" s="78" t="str">
        <f t="shared" si="34"/>
        <v/>
      </c>
      <c r="BC21" s="65"/>
      <c r="BD21" s="78" t="str">
        <f t="shared" si="35"/>
        <v/>
      </c>
      <c r="BE21" s="70"/>
      <c r="BF21" s="78" t="str">
        <f t="shared" si="14"/>
        <v/>
      </c>
      <c r="BG21" s="70"/>
      <c r="BH21" s="78" t="str">
        <f t="shared" si="36"/>
        <v/>
      </c>
      <c r="BI21" s="70"/>
      <c r="BJ21" s="78" t="str">
        <f t="shared" si="37"/>
        <v/>
      </c>
      <c r="BK21" s="70"/>
      <c r="BL21" s="78" t="str">
        <f t="shared" si="38"/>
        <v/>
      </c>
      <c r="BM21" s="70"/>
      <c r="BN21" s="78" t="str">
        <f t="shared" si="39"/>
        <v/>
      </c>
      <c r="BO21" s="70"/>
      <c r="BP21" s="78" t="str">
        <f t="shared" si="40"/>
        <v/>
      </c>
      <c r="BQ21" s="70"/>
      <c r="BR21" s="78" t="str">
        <f t="shared" si="15"/>
        <v/>
      </c>
      <c r="BS21" s="70"/>
      <c r="BT21" s="78" t="str">
        <f t="shared" si="41"/>
        <v/>
      </c>
      <c r="BU21" s="70"/>
      <c r="BV21" s="78" t="str">
        <f t="shared" si="16"/>
        <v/>
      </c>
      <c r="BW21" s="70"/>
      <c r="BX21" s="78" t="str">
        <f t="shared" si="42"/>
        <v/>
      </c>
      <c r="BY21" s="72"/>
      <c r="BZ21" s="78" t="str">
        <f t="shared" si="17"/>
        <v/>
      </c>
      <c r="CA21" s="65"/>
      <c r="CB21" s="78" t="str">
        <f t="shared" si="18"/>
        <v/>
      </c>
      <c r="CC21" s="65"/>
      <c r="CD21" s="78" t="str">
        <f t="shared" si="19"/>
        <v/>
      </c>
      <c r="CE21" s="65"/>
      <c r="CF21" s="78" t="str">
        <f t="shared" si="20"/>
        <v/>
      </c>
      <c r="CG21" s="65"/>
      <c r="CH21" s="78" t="str">
        <f t="shared" si="21"/>
        <v/>
      </c>
      <c r="CI21" s="65"/>
      <c r="CJ21" s="78" t="str">
        <f t="shared" si="1"/>
        <v/>
      </c>
      <c r="CK21" s="65"/>
      <c r="CL21" s="77" t="str">
        <f t="shared" si="22"/>
        <v/>
      </c>
      <c r="CM21" s="78"/>
      <c r="CN21" s="79"/>
      <c r="CO21" s="79"/>
    </row>
    <row r="22" spans="1:93" ht="25.5" customHeight="1" thickBot="1" x14ac:dyDescent="0.45">
      <c r="A22" s="76">
        <v>43818</v>
      </c>
      <c r="B22" s="49"/>
      <c r="C22" s="65"/>
      <c r="D22" s="77">
        <f t="shared" si="2"/>
        <v>0</v>
      </c>
      <c r="E22" s="65"/>
      <c r="F22" s="77">
        <f t="shared" si="3"/>
        <v>0</v>
      </c>
      <c r="G22" s="65"/>
      <c r="H22" s="77">
        <f t="shared" si="4"/>
        <v>0</v>
      </c>
      <c r="I22" s="65"/>
      <c r="J22" s="77">
        <f t="shared" si="5"/>
        <v>0</v>
      </c>
      <c r="K22" s="65"/>
      <c r="L22" s="77">
        <f t="shared" si="0"/>
        <v>0</v>
      </c>
      <c r="M22" s="65"/>
      <c r="N22" s="78">
        <f t="shared" si="23"/>
        <v>0</v>
      </c>
      <c r="O22" s="65"/>
      <c r="P22" s="78">
        <f t="shared" si="6"/>
        <v>0</v>
      </c>
      <c r="Q22" s="65"/>
      <c r="R22" s="78">
        <f t="shared" si="7"/>
        <v>0</v>
      </c>
      <c r="S22" s="80"/>
      <c r="T22" s="78">
        <f t="shared" si="8"/>
        <v>0</v>
      </c>
      <c r="U22" s="80"/>
      <c r="V22" s="78">
        <f t="shared" si="9"/>
        <v>0</v>
      </c>
      <c r="W22" s="80"/>
      <c r="X22" s="78">
        <f t="shared" si="43"/>
        <v>0</v>
      </c>
      <c r="Y22" s="80"/>
      <c r="Z22" s="78">
        <f t="shared" si="24"/>
        <v>0</v>
      </c>
      <c r="AA22" s="80"/>
      <c r="AB22" s="78">
        <f t="shared" si="25"/>
        <v>0</v>
      </c>
      <c r="AC22" s="80"/>
      <c r="AD22" s="78">
        <f t="shared" si="26"/>
        <v>0</v>
      </c>
      <c r="AE22" s="74"/>
      <c r="AF22" s="78">
        <f t="shared" si="27"/>
        <v>0</v>
      </c>
      <c r="AG22" s="74"/>
      <c r="AH22" s="78">
        <f t="shared" si="10"/>
        <v>0</v>
      </c>
      <c r="AI22" s="80"/>
      <c r="AJ22" s="78">
        <f t="shared" si="28"/>
        <v>0</v>
      </c>
      <c r="AK22" s="80"/>
      <c r="AL22" s="78">
        <f t="shared" si="11"/>
        <v>0</v>
      </c>
      <c r="AM22" s="80"/>
      <c r="AN22" s="78">
        <f t="shared" si="12"/>
        <v>0</v>
      </c>
      <c r="AO22" s="65"/>
      <c r="AP22" s="78">
        <f t="shared" si="13"/>
        <v>0</v>
      </c>
      <c r="AQ22" s="65"/>
      <c r="AR22" s="78">
        <f t="shared" si="29"/>
        <v>0</v>
      </c>
      <c r="AS22" s="65"/>
      <c r="AT22" s="78">
        <f t="shared" si="30"/>
        <v>0</v>
      </c>
      <c r="AU22" s="65"/>
      <c r="AV22" s="78">
        <f t="shared" si="31"/>
        <v>0</v>
      </c>
      <c r="AW22" s="65"/>
      <c r="AX22" s="78">
        <f t="shared" si="32"/>
        <v>0</v>
      </c>
      <c r="AY22" s="65"/>
      <c r="AZ22" s="78">
        <f t="shared" si="33"/>
        <v>0</v>
      </c>
      <c r="BA22" s="65"/>
      <c r="BB22" s="78">
        <f t="shared" si="34"/>
        <v>0</v>
      </c>
      <c r="BC22" s="65"/>
      <c r="BD22" s="78">
        <f t="shared" si="35"/>
        <v>0</v>
      </c>
      <c r="BE22" s="70"/>
      <c r="BF22" s="78">
        <f t="shared" si="14"/>
        <v>0</v>
      </c>
      <c r="BG22" s="70"/>
      <c r="BH22" s="78">
        <f t="shared" si="36"/>
        <v>0</v>
      </c>
      <c r="BI22" s="70"/>
      <c r="BJ22" s="78">
        <f t="shared" si="37"/>
        <v>0</v>
      </c>
      <c r="BK22" s="70"/>
      <c r="BL22" s="78">
        <f t="shared" si="38"/>
        <v>0</v>
      </c>
      <c r="BM22" s="70"/>
      <c r="BN22" s="78">
        <f t="shared" si="39"/>
        <v>0</v>
      </c>
      <c r="BO22" s="70"/>
      <c r="BP22" s="78">
        <f t="shared" si="40"/>
        <v>0</v>
      </c>
      <c r="BQ22" s="70"/>
      <c r="BR22" s="78">
        <f t="shared" si="15"/>
        <v>0</v>
      </c>
      <c r="BS22" s="70"/>
      <c r="BT22" s="78">
        <f t="shared" si="41"/>
        <v>0</v>
      </c>
      <c r="BU22" s="70"/>
      <c r="BV22" s="78">
        <f t="shared" si="16"/>
        <v>0</v>
      </c>
      <c r="BW22" s="70"/>
      <c r="BX22" s="78">
        <f t="shared" si="42"/>
        <v>0</v>
      </c>
      <c r="BY22" s="72"/>
      <c r="BZ22" s="78">
        <f t="shared" si="17"/>
        <v>0</v>
      </c>
      <c r="CA22" s="65"/>
      <c r="CB22" s="78">
        <f t="shared" si="18"/>
        <v>0</v>
      </c>
      <c r="CC22" s="65"/>
      <c r="CD22" s="78">
        <f t="shared" si="19"/>
        <v>0</v>
      </c>
      <c r="CE22" s="65"/>
      <c r="CF22" s="78">
        <f t="shared" si="20"/>
        <v>0</v>
      </c>
      <c r="CG22" s="65"/>
      <c r="CH22" s="78">
        <f t="shared" si="21"/>
        <v>0</v>
      </c>
      <c r="CI22" s="65"/>
      <c r="CJ22" s="78">
        <f t="shared" si="1"/>
        <v>0</v>
      </c>
      <c r="CK22" s="65"/>
      <c r="CL22" s="77">
        <f t="shared" si="22"/>
        <v>0</v>
      </c>
      <c r="CM22" s="78"/>
      <c r="CN22" s="79"/>
      <c r="CO22" s="79"/>
    </row>
    <row r="23" spans="1:93" ht="25.5" customHeight="1" thickBot="1" x14ac:dyDescent="0.45">
      <c r="A23" s="76">
        <v>43819</v>
      </c>
      <c r="B23" s="49"/>
      <c r="C23" s="65"/>
      <c r="D23" s="77">
        <f t="shared" si="2"/>
        <v>0</v>
      </c>
      <c r="E23" s="65"/>
      <c r="F23" s="77">
        <f t="shared" si="3"/>
        <v>0</v>
      </c>
      <c r="G23" s="65"/>
      <c r="H23" s="77">
        <f t="shared" si="4"/>
        <v>0</v>
      </c>
      <c r="I23" s="65"/>
      <c r="J23" s="77">
        <f t="shared" si="5"/>
        <v>0</v>
      </c>
      <c r="K23" s="65"/>
      <c r="L23" s="77">
        <f t="shared" si="0"/>
        <v>0</v>
      </c>
      <c r="M23" s="65"/>
      <c r="N23" s="78">
        <f t="shared" si="23"/>
        <v>0</v>
      </c>
      <c r="O23" s="65"/>
      <c r="P23" s="78">
        <f t="shared" si="6"/>
        <v>0</v>
      </c>
      <c r="Q23" s="65"/>
      <c r="R23" s="78">
        <f t="shared" si="7"/>
        <v>0</v>
      </c>
      <c r="S23" s="80"/>
      <c r="T23" s="78">
        <f t="shared" si="8"/>
        <v>0</v>
      </c>
      <c r="U23" s="80"/>
      <c r="V23" s="78">
        <f t="shared" si="9"/>
        <v>0</v>
      </c>
      <c r="W23" s="80"/>
      <c r="X23" s="78">
        <f t="shared" si="43"/>
        <v>0</v>
      </c>
      <c r="Y23" s="80"/>
      <c r="Z23" s="78">
        <f t="shared" si="24"/>
        <v>0</v>
      </c>
      <c r="AA23" s="80"/>
      <c r="AB23" s="78">
        <f t="shared" si="25"/>
        <v>0</v>
      </c>
      <c r="AC23" s="80"/>
      <c r="AD23" s="78">
        <f t="shared" si="26"/>
        <v>0</v>
      </c>
      <c r="AE23" s="74"/>
      <c r="AF23" s="78">
        <f t="shared" si="27"/>
        <v>0</v>
      </c>
      <c r="AG23" s="74"/>
      <c r="AH23" s="78">
        <f t="shared" si="10"/>
        <v>0</v>
      </c>
      <c r="AI23" s="80"/>
      <c r="AJ23" s="78">
        <f t="shared" si="28"/>
        <v>0</v>
      </c>
      <c r="AK23" s="80"/>
      <c r="AL23" s="78">
        <f t="shared" si="11"/>
        <v>0</v>
      </c>
      <c r="AM23" s="80"/>
      <c r="AN23" s="78">
        <f t="shared" si="12"/>
        <v>0</v>
      </c>
      <c r="AO23" s="80"/>
      <c r="AP23" s="78">
        <f t="shared" si="13"/>
        <v>0</v>
      </c>
      <c r="AQ23" s="80"/>
      <c r="AR23" s="78">
        <f t="shared" si="29"/>
        <v>0</v>
      </c>
      <c r="AS23" s="80"/>
      <c r="AT23" s="78">
        <f t="shared" si="30"/>
        <v>0</v>
      </c>
      <c r="AU23" s="80"/>
      <c r="AV23" s="78">
        <f t="shared" si="31"/>
        <v>0</v>
      </c>
      <c r="AW23" s="80"/>
      <c r="AX23" s="78">
        <f t="shared" si="32"/>
        <v>0</v>
      </c>
      <c r="AY23" s="80"/>
      <c r="AZ23" s="78">
        <f t="shared" si="33"/>
        <v>0</v>
      </c>
      <c r="BA23" s="80"/>
      <c r="BB23" s="78">
        <f t="shared" si="34"/>
        <v>0</v>
      </c>
      <c r="BC23" s="80"/>
      <c r="BD23" s="78">
        <f t="shared" si="35"/>
        <v>0</v>
      </c>
      <c r="BE23" s="80"/>
      <c r="BF23" s="78">
        <f t="shared" si="14"/>
        <v>0</v>
      </c>
      <c r="BG23" s="80"/>
      <c r="BH23" s="78">
        <f t="shared" si="36"/>
        <v>0</v>
      </c>
      <c r="BI23" s="80"/>
      <c r="BJ23" s="78">
        <f t="shared" si="37"/>
        <v>0</v>
      </c>
      <c r="BK23" s="80"/>
      <c r="BL23" s="78">
        <f t="shared" si="38"/>
        <v>0</v>
      </c>
      <c r="BM23" s="80"/>
      <c r="BN23" s="78">
        <f t="shared" si="39"/>
        <v>0</v>
      </c>
      <c r="BO23" s="80"/>
      <c r="BP23" s="78">
        <f t="shared" si="40"/>
        <v>0</v>
      </c>
      <c r="BQ23" s="80"/>
      <c r="BR23" s="78">
        <f t="shared" si="15"/>
        <v>0</v>
      </c>
      <c r="BS23" s="80"/>
      <c r="BT23" s="78">
        <f t="shared" si="41"/>
        <v>0</v>
      </c>
      <c r="BU23" s="80"/>
      <c r="BV23" s="78">
        <f t="shared" si="16"/>
        <v>0</v>
      </c>
      <c r="BW23" s="80"/>
      <c r="BX23" s="78">
        <f t="shared" si="42"/>
        <v>0</v>
      </c>
      <c r="BY23" s="80"/>
      <c r="BZ23" s="78">
        <f t="shared" si="17"/>
        <v>0</v>
      </c>
      <c r="CA23" s="80"/>
      <c r="CB23" s="78">
        <f t="shared" si="18"/>
        <v>0</v>
      </c>
      <c r="CC23" s="80"/>
      <c r="CD23" s="78">
        <f t="shared" si="19"/>
        <v>0</v>
      </c>
      <c r="CE23" s="80"/>
      <c r="CF23" s="78">
        <f t="shared" si="20"/>
        <v>0</v>
      </c>
      <c r="CG23" s="80"/>
      <c r="CH23" s="78">
        <f t="shared" si="21"/>
        <v>0</v>
      </c>
      <c r="CI23" s="80"/>
      <c r="CJ23" s="78">
        <f t="shared" si="1"/>
        <v>0</v>
      </c>
      <c r="CK23" s="80"/>
      <c r="CL23" s="77">
        <f t="shared" si="22"/>
        <v>0</v>
      </c>
      <c r="CM23" s="78"/>
      <c r="CN23" s="79"/>
      <c r="CO23" s="79"/>
    </row>
    <row r="24" spans="1:93" ht="25.5" customHeight="1" thickBot="1" x14ac:dyDescent="0.45">
      <c r="A24" s="76">
        <v>43820</v>
      </c>
      <c r="B24" s="49"/>
      <c r="C24" s="65"/>
      <c r="D24" s="77">
        <f t="shared" si="2"/>
        <v>0</v>
      </c>
      <c r="E24" s="65"/>
      <c r="F24" s="77">
        <f t="shared" si="3"/>
        <v>0</v>
      </c>
      <c r="G24" s="65"/>
      <c r="H24" s="77">
        <f t="shared" si="4"/>
        <v>0</v>
      </c>
      <c r="I24" s="65"/>
      <c r="J24" s="77">
        <f t="shared" si="5"/>
        <v>0</v>
      </c>
      <c r="K24" s="65"/>
      <c r="L24" s="77">
        <f t="shared" si="0"/>
        <v>0</v>
      </c>
      <c r="M24" s="65"/>
      <c r="N24" s="78">
        <f t="shared" si="23"/>
        <v>0</v>
      </c>
      <c r="O24" s="65"/>
      <c r="P24" s="78">
        <f t="shared" si="6"/>
        <v>0</v>
      </c>
      <c r="Q24" s="65"/>
      <c r="R24" s="78">
        <f t="shared" si="7"/>
        <v>0</v>
      </c>
      <c r="S24" s="80"/>
      <c r="T24" s="78">
        <f t="shared" si="8"/>
        <v>0</v>
      </c>
      <c r="U24" s="80"/>
      <c r="V24" s="78">
        <f t="shared" si="9"/>
        <v>0</v>
      </c>
      <c r="W24" s="80"/>
      <c r="X24" s="78">
        <f t="shared" si="43"/>
        <v>0</v>
      </c>
      <c r="Y24" s="80"/>
      <c r="Z24" s="78">
        <f t="shared" si="24"/>
        <v>0</v>
      </c>
      <c r="AA24" s="80"/>
      <c r="AB24" s="78">
        <f t="shared" si="25"/>
        <v>0</v>
      </c>
      <c r="AC24" s="80"/>
      <c r="AD24" s="78">
        <f t="shared" si="26"/>
        <v>0</v>
      </c>
      <c r="AE24" s="74"/>
      <c r="AF24" s="78">
        <f t="shared" si="27"/>
        <v>0</v>
      </c>
      <c r="AG24" s="74"/>
      <c r="AH24" s="78">
        <f t="shared" si="10"/>
        <v>0</v>
      </c>
      <c r="AI24" s="80"/>
      <c r="AJ24" s="78">
        <f t="shared" si="28"/>
        <v>0</v>
      </c>
      <c r="AK24" s="80"/>
      <c r="AL24" s="78">
        <f t="shared" si="11"/>
        <v>0</v>
      </c>
      <c r="AM24" s="80"/>
      <c r="AN24" s="78">
        <f t="shared" si="12"/>
        <v>0</v>
      </c>
      <c r="AO24" s="80"/>
      <c r="AP24" s="78">
        <f t="shared" si="13"/>
        <v>0</v>
      </c>
      <c r="AQ24" s="80"/>
      <c r="AR24" s="78">
        <f t="shared" si="29"/>
        <v>0</v>
      </c>
      <c r="AS24" s="80"/>
      <c r="AT24" s="78">
        <f t="shared" si="30"/>
        <v>0</v>
      </c>
      <c r="AU24" s="80"/>
      <c r="AV24" s="78">
        <f t="shared" si="31"/>
        <v>0</v>
      </c>
      <c r="AW24" s="80"/>
      <c r="AX24" s="78">
        <f t="shared" si="32"/>
        <v>0</v>
      </c>
      <c r="AY24" s="80"/>
      <c r="AZ24" s="78">
        <f t="shared" si="33"/>
        <v>0</v>
      </c>
      <c r="BA24" s="80"/>
      <c r="BB24" s="78">
        <f t="shared" si="34"/>
        <v>0</v>
      </c>
      <c r="BC24" s="80"/>
      <c r="BD24" s="78">
        <f t="shared" si="35"/>
        <v>0</v>
      </c>
      <c r="BE24" s="80"/>
      <c r="BF24" s="78">
        <f t="shared" si="14"/>
        <v>0</v>
      </c>
      <c r="BG24" s="80"/>
      <c r="BH24" s="78">
        <f t="shared" si="36"/>
        <v>0</v>
      </c>
      <c r="BI24" s="80"/>
      <c r="BJ24" s="78">
        <f t="shared" si="37"/>
        <v>0</v>
      </c>
      <c r="BK24" s="80"/>
      <c r="BL24" s="78">
        <f t="shared" si="38"/>
        <v>0</v>
      </c>
      <c r="BM24" s="80"/>
      <c r="BN24" s="78">
        <f t="shared" si="39"/>
        <v>0</v>
      </c>
      <c r="BO24" s="80"/>
      <c r="BP24" s="78">
        <f t="shared" si="40"/>
        <v>0</v>
      </c>
      <c r="BQ24" s="80"/>
      <c r="BR24" s="78">
        <f t="shared" si="15"/>
        <v>0</v>
      </c>
      <c r="BS24" s="80"/>
      <c r="BT24" s="78">
        <f t="shared" si="41"/>
        <v>0</v>
      </c>
      <c r="BU24" s="80"/>
      <c r="BV24" s="78">
        <f t="shared" si="16"/>
        <v>0</v>
      </c>
      <c r="BW24" s="80"/>
      <c r="BX24" s="78">
        <f t="shared" si="42"/>
        <v>0</v>
      </c>
      <c r="BY24" s="80"/>
      <c r="BZ24" s="78">
        <f t="shared" si="17"/>
        <v>0</v>
      </c>
      <c r="CA24" s="80"/>
      <c r="CB24" s="78">
        <f t="shared" si="18"/>
        <v>0</v>
      </c>
      <c r="CC24" s="80"/>
      <c r="CD24" s="78">
        <f t="shared" si="19"/>
        <v>0</v>
      </c>
      <c r="CE24" s="80"/>
      <c r="CF24" s="78">
        <f t="shared" si="20"/>
        <v>0</v>
      </c>
      <c r="CG24" s="80"/>
      <c r="CH24" s="78">
        <f t="shared" si="21"/>
        <v>0</v>
      </c>
      <c r="CI24" s="80"/>
      <c r="CJ24" s="78">
        <f t="shared" si="1"/>
        <v>0</v>
      </c>
      <c r="CK24" s="80"/>
      <c r="CL24" s="77">
        <f t="shared" si="22"/>
        <v>0</v>
      </c>
      <c r="CM24" s="78"/>
      <c r="CN24" s="79"/>
      <c r="CO24" s="79"/>
    </row>
    <row r="25" spans="1:93" ht="25.5" customHeight="1" thickBot="1" x14ac:dyDescent="0.45">
      <c r="A25" s="76">
        <v>43821</v>
      </c>
      <c r="B25" s="49"/>
      <c r="C25" s="65"/>
      <c r="D25" s="77">
        <f t="shared" si="2"/>
        <v>0</v>
      </c>
      <c r="E25" s="65"/>
      <c r="F25" s="77">
        <f t="shared" si="3"/>
        <v>0</v>
      </c>
      <c r="G25" s="65"/>
      <c r="H25" s="77">
        <f t="shared" si="4"/>
        <v>0</v>
      </c>
      <c r="I25" s="65"/>
      <c r="J25" s="77">
        <f t="shared" si="5"/>
        <v>0</v>
      </c>
      <c r="K25" s="65"/>
      <c r="L25" s="77">
        <f t="shared" si="0"/>
        <v>0</v>
      </c>
      <c r="M25" s="65"/>
      <c r="N25" s="78">
        <f t="shared" si="23"/>
        <v>0</v>
      </c>
      <c r="O25" s="65"/>
      <c r="P25" s="78">
        <f t="shared" si="6"/>
        <v>0</v>
      </c>
      <c r="Q25" s="65"/>
      <c r="R25" s="78">
        <f t="shared" si="7"/>
        <v>0</v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>
        <f t="shared" si="43"/>
        <v>0</v>
      </c>
      <c r="Y25" s="80"/>
      <c r="Z25" s="78">
        <f t="shared" si="24"/>
        <v>0</v>
      </c>
      <c r="AA25" s="80"/>
      <c r="AB25" s="78">
        <f t="shared" si="25"/>
        <v>0</v>
      </c>
      <c r="AC25" s="80"/>
      <c r="AD25" s="78">
        <f t="shared" si="26"/>
        <v>0</v>
      </c>
      <c r="AE25" s="74"/>
      <c r="AF25" s="78">
        <f t="shared" si="27"/>
        <v>0</v>
      </c>
      <c r="AG25" s="74"/>
      <c r="AH25" s="78">
        <f t="shared" si="10"/>
        <v>0</v>
      </c>
      <c r="AI25" s="80"/>
      <c r="AJ25" s="78">
        <f t="shared" si="28"/>
        <v>0</v>
      </c>
      <c r="AK25" s="80"/>
      <c r="AL25" s="78">
        <f t="shared" si="11"/>
        <v>0</v>
      </c>
      <c r="AM25" s="80"/>
      <c r="AN25" s="78">
        <f t="shared" si="12"/>
        <v>0</v>
      </c>
      <c r="AO25" s="80"/>
      <c r="AP25" s="78">
        <f t="shared" si="13"/>
        <v>0</v>
      </c>
      <c r="AQ25" s="80"/>
      <c r="AR25" s="78">
        <f t="shared" si="29"/>
        <v>0</v>
      </c>
      <c r="AS25" s="80"/>
      <c r="AT25" s="78">
        <f t="shared" si="30"/>
        <v>0</v>
      </c>
      <c r="AU25" s="80"/>
      <c r="AV25" s="78">
        <f t="shared" si="31"/>
        <v>0</v>
      </c>
      <c r="AW25" s="80"/>
      <c r="AX25" s="78">
        <f t="shared" si="32"/>
        <v>0</v>
      </c>
      <c r="AY25" s="80"/>
      <c r="AZ25" s="78">
        <f t="shared" si="33"/>
        <v>0</v>
      </c>
      <c r="BA25" s="80"/>
      <c r="BB25" s="78">
        <f t="shared" si="34"/>
        <v>0</v>
      </c>
      <c r="BC25" s="80"/>
      <c r="BD25" s="78">
        <f t="shared" si="35"/>
        <v>0</v>
      </c>
      <c r="BE25" s="80"/>
      <c r="BF25" s="78">
        <f t="shared" si="14"/>
        <v>0</v>
      </c>
      <c r="BG25" s="80"/>
      <c r="BH25" s="78">
        <f t="shared" si="36"/>
        <v>0</v>
      </c>
      <c r="BI25" s="80"/>
      <c r="BJ25" s="78">
        <f t="shared" si="37"/>
        <v>0</v>
      </c>
      <c r="BK25" s="80"/>
      <c r="BL25" s="78">
        <f t="shared" si="38"/>
        <v>0</v>
      </c>
      <c r="BM25" s="80"/>
      <c r="BN25" s="78">
        <f t="shared" si="39"/>
        <v>0</v>
      </c>
      <c r="BO25" s="80"/>
      <c r="BP25" s="78">
        <f t="shared" si="40"/>
        <v>0</v>
      </c>
      <c r="BQ25" s="80"/>
      <c r="BR25" s="78">
        <f t="shared" si="15"/>
        <v>0</v>
      </c>
      <c r="BS25" s="80"/>
      <c r="BT25" s="78">
        <f t="shared" si="41"/>
        <v>0</v>
      </c>
      <c r="BU25" s="80"/>
      <c r="BV25" s="78">
        <f t="shared" si="16"/>
        <v>0</v>
      </c>
      <c r="BW25" s="80"/>
      <c r="BX25" s="78">
        <f t="shared" si="42"/>
        <v>0</v>
      </c>
      <c r="BY25" s="80"/>
      <c r="BZ25" s="78">
        <f t="shared" si="17"/>
        <v>0</v>
      </c>
      <c r="CA25" s="80"/>
      <c r="CB25" s="78">
        <f t="shared" si="18"/>
        <v>0</v>
      </c>
      <c r="CC25" s="80"/>
      <c r="CD25" s="78">
        <f t="shared" si="19"/>
        <v>0</v>
      </c>
      <c r="CE25" s="80"/>
      <c r="CF25" s="78">
        <f t="shared" si="20"/>
        <v>0</v>
      </c>
      <c r="CG25" s="80"/>
      <c r="CH25" s="78">
        <f t="shared" si="21"/>
        <v>0</v>
      </c>
      <c r="CI25" s="80"/>
      <c r="CJ25" s="78">
        <f t="shared" si="1"/>
        <v>0</v>
      </c>
      <c r="CK25" s="80"/>
      <c r="CL25" s="77">
        <f t="shared" si="22"/>
        <v>0</v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307</v>
      </c>
      <c r="R35" s="87">
        <f>SUM(R4:R33)</f>
        <v>125</v>
      </c>
      <c r="AX35" s="78">
        <f t="shared" si="32"/>
        <v>0</v>
      </c>
      <c r="BF35" s="87">
        <f>SUM(BF4:BF33)</f>
        <v>776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B25" sqref="B25: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95" t="s">
        <v>0</v>
      </c>
      <c r="B4" s="98" t="s">
        <v>54</v>
      </c>
      <c r="C4" s="98" t="s">
        <v>55</v>
      </c>
      <c r="D4" s="101" t="s">
        <v>56</v>
      </c>
      <c r="E4" s="104" t="s">
        <v>57</v>
      </c>
      <c r="F4" s="105"/>
      <c r="G4" s="105"/>
      <c r="H4" s="105"/>
      <c r="I4" s="105"/>
      <c r="J4" s="106"/>
      <c r="K4" s="114" t="s">
        <v>58</v>
      </c>
      <c r="L4" s="115"/>
      <c r="M4" s="116"/>
      <c r="N4" s="107" t="s">
        <v>37</v>
      </c>
      <c r="O4" s="107"/>
      <c r="P4" s="107"/>
      <c r="Q4" s="107"/>
    </row>
    <row r="5" spans="1:17" ht="33.75" customHeight="1" x14ac:dyDescent="0.25">
      <c r="A5" s="96"/>
      <c r="B5" s="99"/>
      <c r="C5" s="99"/>
      <c r="D5" s="102"/>
      <c r="E5" s="104" t="s">
        <v>59</v>
      </c>
      <c r="F5" s="106"/>
      <c r="G5" s="104" t="s">
        <v>60</v>
      </c>
      <c r="H5" s="106"/>
      <c r="I5" s="104" t="s">
        <v>61</v>
      </c>
      <c r="J5" s="106"/>
      <c r="K5" s="108" t="s">
        <v>62</v>
      </c>
      <c r="L5" s="109"/>
      <c r="M5" s="110"/>
      <c r="N5" s="111" t="s">
        <v>63</v>
      </c>
      <c r="O5" s="112"/>
      <c r="P5" s="112"/>
      <c r="Q5" s="113"/>
    </row>
    <row r="6" spans="1:17" x14ac:dyDescent="0.25">
      <c r="A6" s="97"/>
      <c r="B6" s="100"/>
      <c r="C6" s="100"/>
      <c r="D6" s="103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/>
      <c r="C26" s="20"/>
      <c r="D26" s="20"/>
      <c r="E26" s="28"/>
      <c r="F26" s="28"/>
      <c r="G26" s="28"/>
      <c r="H26" s="28"/>
      <c r="I26" s="28"/>
      <c r="J26" s="28"/>
      <c r="K26" s="29"/>
      <c r="L26" s="29"/>
      <c r="M26" s="29"/>
      <c r="N26" s="30"/>
      <c r="O26" s="30"/>
      <c r="P26" s="30"/>
      <c r="Q26" s="30"/>
    </row>
    <row r="27" spans="1:17" x14ac:dyDescent="0.25">
      <c r="A27" s="47">
        <v>43818</v>
      </c>
      <c r="B27" s="20"/>
      <c r="C27" s="20"/>
      <c r="D27" s="20"/>
      <c r="E27" s="28"/>
      <c r="F27" s="28"/>
      <c r="G27" s="28"/>
      <c r="H27" s="28"/>
      <c r="I27" s="28"/>
      <c r="J27" s="28"/>
      <c r="K27" s="29"/>
      <c r="L27" s="29"/>
      <c r="M27" s="29"/>
      <c r="N27" s="30"/>
      <c r="O27" s="30"/>
      <c r="P27" s="30"/>
      <c r="Q27" s="30"/>
    </row>
    <row r="28" spans="1:17" x14ac:dyDescent="0.25">
      <c r="A28" s="47">
        <v>43819</v>
      </c>
      <c r="B28" s="20"/>
      <c r="C28" s="20"/>
      <c r="D28" s="20"/>
      <c r="E28" s="28"/>
      <c r="F28" s="28"/>
      <c r="G28" s="28"/>
      <c r="H28" s="28"/>
      <c r="I28" s="28"/>
      <c r="J28" s="28"/>
      <c r="K28" s="29"/>
      <c r="L28" s="29"/>
      <c r="M28" s="29"/>
      <c r="N28" s="30"/>
      <c r="O28" s="30"/>
      <c r="P28" s="30"/>
      <c r="Q28" s="30"/>
    </row>
    <row r="29" spans="1:17" x14ac:dyDescent="0.25">
      <c r="A29" s="47">
        <v>43820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2019-12-18T01:06:35Z</dcterms:modified>
</cp:coreProperties>
</file>