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5" i="23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<sst xmlns="http://schemas.openxmlformats.org/spreadsheetml/2006/main" count="552" uniqueCount="332">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</sst>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013952"/>
        <c:axId val="1491599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49161472"/>
        <c:axId val="149163008"/>
      </c:lineChart>
      <c:catAx>
        <c:axId val="12201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59936"/>
        <c:crosses val="autoZero"/>
        <c:auto val="1"/>
        <c:lblAlgn val="ctr"/>
        <c:lblOffset val="100"/>
      </c:catAx>
      <c:valAx>
        <c:axId val="14915993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13952"/>
        <c:crosses val="autoZero"/>
        <c:crossBetween val="between"/>
        <c:majorUnit val="200"/>
      </c:valAx>
      <c:catAx>
        <c:axId val="149161472"/>
        <c:scaling>
          <c:orientation val="minMax"/>
        </c:scaling>
        <c:delete val="1"/>
        <c:axPos val="b"/>
        <c:tickLblPos val="none"/>
        <c:crossAx val="149163008"/>
        <c:crosses val="autoZero"/>
        <c:auto val="1"/>
        <c:lblAlgn val="ctr"/>
        <c:lblOffset val="100"/>
      </c:catAx>
      <c:valAx>
        <c:axId val="149163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61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49197184"/>
        <c:axId val="1491987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49200256"/>
        <c:axId val="149206144"/>
      </c:lineChart>
      <c:catAx>
        <c:axId val="14919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8720"/>
        <c:crosses val="autoZero"/>
        <c:auto val="1"/>
        <c:lblAlgn val="ctr"/>
        <c:lblOffset val="100"/>
      </c:catAx>
      <c:valAx>
        <c:axId val="14919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7184"/>
        <c:crosses val="autoZero"/>
        <c:crossBetween val="between"/>
        <c:majorUnit val="200"/>
      </c:valAx>
      <c:catAx>
        <c:axId val="149200256"/>
        <c:scaling>
          <c:orientation val="minMax"/>
        </c:scaling>
        <c:delete val="1"/>
        <c:axPos val="b"/>
        <c:tickLblPos val="none"/>
        <c:crossAx val="149206144"/>
        <c:crosses val="autoZero"/>
        <c:auto val="1"/>
        <c:lblAlgn val="ctr"/>
        <c:lblOffset val="100"/>
      </c:catAx>
      <c:valAx>
        <c:axId val="1492061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0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9882752"/>
        <c:axId val="149884288"/>
      </c:lineChart>
      <c:catAx>
        <c:axId val="14988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84288"/>
        <c:crosses val="autoZero"/>
        <c:auto val="1"/>
        <c:lblAlgn val="ctr"/>
        <c:lblOffset val="200"/>
        <c:tickLblSkip val="1"/>
      </c:catAx>
      <c:valAx>
        <c:axId val="149884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49921152"/>
        <c:axId val="150803584"/>
      </c:lineChart>
      <c:catAx>
        <c:axId val="1499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03584"/>
        <c:crosses val="autoZero"/>
        <c:auto val="1"/>
        <c:lblAlgn val="ctr"/>
        <c:lblOffset val="100"/>
      </c:catAx>
      <c:valAx>
        <c:axId val="150803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0844544"/>
        <c:axId val="150846464"/>
      </c:lineChart>
      <c:catAx>
        <c:axId val="15084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46464"/>
        <c:crosses val="autoZero"/>
        <c:auto val="1"/>
        <c:lblAlgn val="ctr"/>
        <c:lblOffset val="100"/>
      </c:catAx>
      <c:valAx>
        <c:axId val="150846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44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0359424"/>
        <c:axId val="150377984"/>
      </c:lineChart>
      <c:catAx>
        <c:axId val="150359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77984"/>
        <c:crosses val="autoZero"/>
        <c:auto val="1"/>
        <c:lblAlgn val="ctr"/>
        <c:lblOffset val="100"/>
      </c:catAx>
      <c:valAx>
        <c:axId val="150377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594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74975</c:v>
                </c:pt>
                <c:pt idx="13">
                  <c:v>74968</c:v>
                </c:pt>
                <c:pt idx="14">
                  <c:v>74980</c:v>
                </c:pt>
                <c:pt idx="15">
                  <c:v>74998</c:v>
                </c:pt>
                <c:pt idx="16">
                  <c:v>75012</c:v>
                </c:pt>
                <c:pt idx="17">
                  <c:v>75027</c:v>
                </c:pt>
                <c:pt idx="18">
                  <c:v>75047.38</c:v>
                </c:pt>
                <c:pt idx="19">
                  <c:v>75065.86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0394752"/>
        <c:axId val="150396288"/>
      </c:lineChart>
      <c:catAx>
        <c:axId val="15039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96288"/>
        <c:crosses val="autoZero"/>
        <c:auto val="1"/>
        <c:lblAlgn val="ctr"/>
        <c:lblOffset val="100"/>
      </c:catAx>
      <c:valAx>
        <c:axId val="150396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9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888256"/>
        <c:axId val="151889792"/>
      </c:lineChart>
      <c:catAx>
        <c:axId val="15188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89792"/>
        <c:crosses val="autoZero"/>
        <c:auto val="1"/>
        <c:lblAlgn val="ctr"/>
        <c:lblOffset val="100"/>
      </c:catAx>
      <c:valAx>
        <c:axId val="15188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8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2454656"/>
        <c:axId val="152456192"/>
      </c:lineChart>
      <c:catAx>
        <c:axId val="15245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56192"/>
        <c:crosses val="autoZero"/>
        <c:auto val="1"/>
        <c:lblAlgn val="ctr"/>
        <c:lblOffset val="100"/>
      </c:catAx>
      <c:valAx>
        <c:axId val="15245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5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436"/>
          <c:y val="7.47132470511192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2480768"/>
        <c:axId val="152490752"/>
      </c:lineChart>
      <c:catAx>
        <c:axId val="15248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0752"/>
        <c:crosses val="autoZero"/>
        <c:auto val="1"/>
        <c:lblAlgn val="ctr"/>
        <c:lblOffset val="200"/>
        <c:tickLblSkip val="1"/>
      </c:catAx>
      <c:valAx>
        <c:axId val="152490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8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433984"/>
        <c:axId val="151435520"/>
      </c:lineChart>
      <c:catAx>
        <c:axId val="15143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35520"/>
        <c:crosses val="autoZero"/>
        <c:auto val="1"/>
        <c:lblAlgn val="ctr"/>
        <c:lblOffset val="100"/>
      </c:catAx>
      <c:valAx>
        <c:axId val="15143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3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451904"/>
        <c:axId val="80122240"/>
      </c:lineChart>
      <c:catAx>
        <c:axId val="151451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22240"/>
        <c:crosses val="autoZero"/>
        <c:auto val="1"/>
        <c:lblAlgn val="ctr"/>
        <c:lblOffset val="100"/>
      </c:catAx>
      <c:valAx>
        <c:axId val="80122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51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0446848"/>
        <c:axId val="150448768"/>
      </c:lineChart>
      <c:catAx>
        <c:axId val="150446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8768"/>
        <c:crosses val="autoZero"/>
        <c:auto val="1"/>
        <c:lblAlgn val="ctr"/>
        <c:lblOffset val="100"/>
      </c:catAx>
      <c:valAx>
        <c:axId val="1504487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68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0489472"/>
        <c:axId val="80499456"/>
      </c:lineChart>
      <c:catAx>
        <c:axId val="8048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99456"/>
        <c:crosses val="autoZero"/>
        <c:auto val="1"/>
        <c:lblAlgn val="ctr"/>
        <c:lblOffset val="100"/>
      </c:catAx>
      <c:valAx>
        <c:axId val="8049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8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79889920"/>
        <c:axId val="79891456"/>
      </c:lineChart>
      <c:catAx>
        <c:axId val="7988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91456"/>
        <c:crosses val="autoZero"/>
        <c:auto val="1"/>
        <c:lblAlgn val="ctr"/>
        <c:lblOffset val="100"/>
      </c:catAx>
      <c:valAx>
        <c:axId val="7989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8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'[4]Summery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79932032"/>
        <c:axId val="79937920"/>
      </c:lineChart>
      <c:catAx>
        <c:axId val="7993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37920"/>
        <c:crosses val="autoZero"/>
        <c:auto val="1"/>
        <c:lblAlgn val="ctr"/>
        <c:lblOffset val="100"/>
      </c:catAx>
      <c:valAx>
        <c:axId val="7993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3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813"/>
          <c:y val="7.471324705111957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1311232"/>
        <c:axId val="813127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1326848"/>
        <c:axId val="81328384"/>
      </c:lineChart>
      <c:catAx>
        <c:axId val="813112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12768"/>
        <c:crosses val="autoZero"/>
        <c:lblAlgn val="ctr"/>
        <c:lblOffset val="100"/>
        <c:tickMarkSkip val="1"/>
      </c:catAx>
      <c:valAx>
        <c:axId val="81312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11232"/>
        <c:crosses val="autoZero"/>
        <c:crossBetween val="between"/>
      </c:valAx>
      <c:catAx>
        <c:axId val="81326848"/>
        <c:scaling>
          <c:orientation val="minMax"/>
        </c:scaling>
        <c:delete val="1"/>
        <c:axPos val="b"/>
        <c:numFmt formatCode="[$-409]d\-mmm\-yy;@" sourceLinked="1"/>
        <c:tickLblPos val="none"/>
        <c:crossAx val="81328384"/>
        <c:crosses val="autoZero"/>
        <c:lblAlgn val="ctr"/>
        <c:lblOffset val="100"/>
      </c:catAx>
      <c:valAx>
        <c:axId val="813283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26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3693312"/>
        <c:axId val="123711488"/>
      </c:lineChart>
      <c:catAx>
        <c:axId val="12369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11488"/>
        <c:crosses val="autoZero"/>
        <c:auto val="1"/>
        <c:lblAlgn val="ctr"/>
        <c:lblOffset val="100"/>
      </c:catAx>
      <c:valAx>
        <c:axId val="1237114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9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2984960"/>
        <c:axId val="82986496"/>
      </c:lineChart>
      <c:catAx>
        <c:axId val="8298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86496"/>
        <c:crosses val="autoZero"/>
        <c:auto val="1"/>
        <c:lblAlgn val="ctr"/>
        <c:lblOffset val="100"/>
      </c:catAx>
      <c:valAx>
        <c:axId val="829864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8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'[4]Energy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1330176"/>
        <c:axId val="81331712"/>
      </c:lineChart>
      <c:lineChart>
        <c:grouping val="stacked"/>
        <c:ser>
          <c:idx val="1"/>
          <c:order val="1"/>
          <c:tx>
            <c:strRef>
              <c:f>'[4]Energy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1333248"/>
        <c:axId val="81347328"/>
      </c:lineChart>
      <c:catAx>
        <c:axId val="813301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1712"/>
        <c:crosses val="autoZero"/>
        <c:lblAlgn val="ctr"/>
        <c:lblOffset val="100"/>
        <c:tickMarkSkip val="1"/>
      </c:catAx>
      <c:valAx>
        <c:axId val="8133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0176"/>
        <c:crosses val="autoZero"/>
        <c:crossBetween val="between"/>
      </c:valAx>
      <c:catAx>
        <c:axId val="81333248"/>
        <c:scaling>
          <c:orientation val="minMax"/>
        </c:scaling>
        <c:delete val="1"/>
        <c:axPos val="b"/>
        <c:numFmt formatCode="General" sourceLinked="1"/>
        <c:tickLblPos val="none"/>
        <c:crossAx val="81347328"/>
        <c:crosses val="autoZero"/>
        <c:lblAlgn val="ctr"/>
        <c:lblOffset val="100"/>
      </c:catAx>
      <c:valAx>
        <c:axId val="813473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3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'[4]Energy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3558784"/>
        <c:axId val="83560320"/>
      </c:lineChart>
      <c:catAx>
        <c:axId val="835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0320"/>
        <c:crosses val="autoZero"/>
        <c:auto val="1"/>
        <c:lblAlgn val="ctr"/>
        <c:lblOffset val="100"/>
      </c:catAx>
      <c:valAx>
        <c:axId val="8356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'[4]Energy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3584896"/>
        <c:axId val="83586432"/>
      </c:lineChart>
      <c:catAx>
        <c:axId val="8358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86432"/>
        <c:crosses val="autoZero"/>
        <c:auto val="1"/>
        <c:lblAlgn val="ctr"/>
        <c:lblOffset val="100"/>
      </c:catAx>
      <c:valAx>
        <c:axId val="8358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8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4092416"/>
        <c:axId val="840939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4103936"/>
        <c:axId val="84105472"/>
      </c:lineChart>
      <c:catAx>
        <c:axId val="840924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3952"/>
        <c:crosses val="autoZero"/>
        <c:lblAlgn val="ctr"/>
        <c:lblOffset val="100"/>
        <c:tickMarkSkip val="1"/>
      </c:catAx>
      <c:valAx>
        <c:axId val="840939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2416"/>
        <c:crosses val="autoZero"/>
        <c:crossBetween val="between"/>
      </c:valAx>
      <c:catAx>
        <c:axId val="84103936"/>
        <c:scaling>
          <c:orientation val="minMax"/>
        </c:scaling>
        <c:delete val="1"/>
        <c:axPos val="b"/>
        <c:numFmt formatCode="[$-409]d\-mmm\-yy;@" sourceLinked="1"/>
        <c:tickLblPos val="none"/>
        <c:crossAx val="84105472"/>
        <c:crosses val="autoZero"/>
        <c:lblAlgn val="ctr"/>
        <c:lblOffset val="100"/>
      </c:catAx>
      <c:valAx>
        <c:axId val="841054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0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[4]LPG_Graph!$B$1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5200896"/>
        <c:axId val="85202432"/>
      </c:lineChart>
      <c:lineChart>
        <c:grouping val="stacked"/>
        <c:ser>
          <c:idx val="1"/>
          <c:order val="1"/>
          <c:tx>
            <c:strRef>
              <c:f>[4]LPG_Graph!$C$1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5203968"/>
        <c:axId val="85205760"/>
      </c:lineChart>
      <c:catAx>
        <c:axId val="85200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2432"/>
        <c:crosses val="autoZero"/>
        <c:lblAlgn val="ctr"/>
        <c:lblOffset val="100"/>
        <c:tickMarkSkip val="1"/>
      </c:catAx>
      <c:valAx>
        <c:axId val="8520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0896"/>
        <c:crosses val="autoZero"/>
        <c:crossBetween val="between"/>
      </c:valAx>
      <c:catAx>
        <c:axId val="85203968"/>
        <c:scaling>
          <c:orientation val="minMax"/>
        </c:scaling>
        <c:delete val="1"/>
        <c:axPos val="b"/>
        <c:numFmt formatCode="General" sourceLinked="1"/>
        <c:tickLblPos val="none"/>
        <c:crossAx val="85205760"/>
        <c:crosses val="autoZero"/>
        <c:lblAlgn val="ctr"/>
        <c:lblOffset val="100"/>
      </c:catAx>
      <c:valAx>
        <c:axId val="85205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5556224"/>
        <c:axId val="855621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5563648"/>
        <c:axId val="85581824"/>
      </c:lineChart>
      <c:catAx>
        <c:axId val="85556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62112"/>
        <c:crosses val="autoZero"/>
        <c:lblAlgn val="ctr"/>
        <c:lblOffset val="100"/>
        <c:tickMarkSkip val="1"/>
      </c:catAx>
      <c:valAx>
        <c:axId val="85562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6224"/>
        <c:crosses val="autoZero"/>
        <c:crossBetween val="between"/>
      </c:valAx>
      <c:catAx>
        <c:axId val="85563648"/>
        <c:scaling>
          <c:orientation val="minMax"/>
        </c:scaling>
        <c:delete val="1"/>
        <c:axPos val="b"/>
        <c:numFmt formatCode="[$-409]d\-mmm\-yy;@" sourceLinked="1"/>
        <c:tickLblPos val="none"/>
        <c:crossAx val="85581824"/>
        <c:crosses val="autoZero"/>
        <c:lblAlgn val="ctr"/>
        <c:lblOffset val="100"/>
      </c:catAx>
      <c:valAx>
        <c:axId val="855818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63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'[4]Water_Graph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6668800"/>
        <c:axId val="86670336"/>
      </c:lineChart>
      <c:lineChart>
        <c:grouping val="stacked"/>
        <c:ser>
          <c:idx val="1"/>
          <c:order val="1"/>
          <c:tx>
            <c:strRef>
              <c:f>'[4]Water_Graph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6672128"/>
        <c:axId val="86673664"/>
      </c:lineChart>
      <c:catAx>
        <c:axId val="86668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70336"/>
        <c:crosses val="autoZero"/>
        <c:lblAlgn val="ctr"/>
        <c:lblOffset val="100"/>
        <c:tickMarkSkip val="1"/>
      </c:catAx>
      <c:valAx>
        <c:axId val="8667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68800"/>
        <c:crosses val="autoZero"/>
        <c:crossBetween val="between"/>
      </c:valAx>
      <c:catAx>
        <c:axId val="86672128"/>
        <c:scaling>
          <c:orientation val="minMax"/>
        </c:scaling>
        <c:delete val="1"/>
        <c:axPos val="b"/>
        <c:numFmt formatCode="General" sourceLinked="1"/>
        <c:tickLblPos val="none"/>
        <c:crossAx val="86673664"/>
        <c:crosses val="autoZero"/>
        <c:lblAlgn val="ctr"/>
        <c:lblOffset val="100"/>
      </c:catAx>
      <c:valAx>
        <c:axId val="86673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72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6973056"/>
        <c:axId val="86987520"/>
      </c:lineChart>
      <c:catAx>
        <c:axId val="86973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87520"/>
        <c:crosses val="autoZero"/>
        <c:auto val="1"/>
        <c:lblAlgn val="ctr"/>
        <c:lblOffset val="100"/>
      </c:catAx>
      <c:valAx>
        <c:axId val="86987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3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6955136"/>
        <c:axId val="86957056"/>
      </c:lineChart>
      <c:catAx>
        <c:axId val="86955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57056"/>
        <c:crosses val="autoZero"/>
        <c:auto val="1"/>
        <c:lblAlgn val="ctr"/>
        <c:lblOffset val="100"/>
      </c:catAx>
      <c:valAx>
        <c:axId val="86957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55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7006592"/>
        <c:axId val="87442560"/>
      </c:lineChart>
      <c:catAx>
        <c:axId val="8700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2560"/>
        <c:crosses val="autoZero"/>
        <c:auto val="1"/>
        <c:lblAlgn val="ctr"/>
        <c:lblOffset val="200"/>
        <c:tickLblSkip val="1"/>
      </c:catAx>
      <c:valAx>
        <c:axId val="874425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7762048"/>
        <c:axId val="87763584"/>
      </c:lineChart>
      <c:catAx>
        <c:axId val="877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63584"/>
        <c:crosses val="autoZero"/>
        <c:auto val="1"/>
        <c:lblAlgn val="ctr"/>
        <c:lblOffset val="100"/>
      </c:catAx>
      <c:valAx>
        <c:axId val="87763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93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74975</c:v>
                </c:pt>
                <c:pt idx="13">
                  <c:v>74968</c:v>
                </c:pt>
                <c:pt idx="14">
                  <c:v>74980</c:v>
                </c:pt>
                <c:pt idx="15">
                  <c:v>74998</c:v>
                </c:pt>
                <c:pt idx="16">
                  <c:v>75012</c:v>
                </c:pt>
                <c:pt idx="17">
                  <c:v>75027</c:v>
                </c:pt>
                <c:pt idx="18">
                  <c:v>75047.38</c:v>
                </c:pt>
                <c:pt idx="19">
                  <c:v>75065.86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7784064"/>
        <c:axId val="87802240"/>
      </c:lineChart>
      <c:catAx>
        <c:axId val="8778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2240"/>
        <c:crosses val="autoZero"/>
        <c:auto val="1"/>
        <c:lblAlgn val="ctr"/>
        <c:lblOffset val="100"/>
      </c:catAx>
      <c:valAx>
        <c:axId val="87802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8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0311296"/>
        <c:axId val="150313216"/>
      </c:lineChart>
      <c:catAx>
        <c:axId val="150311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13216"/>
        <c:crosses val="autoZero"/>
        <c:auto val="1"/>
        <c:lblAlgn val="ctr"/>
        <c:lblOffset val="100"/>
      </c:catAx>
      <c:valAx>
        <c:axId val="1503132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11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0325888"/>
        <c:axId val="153314048"/>
      </c:lineChart>
      <c:catAx>
        <c:axId val="15032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14048"/>
        <c:crosses val="autoZero"/>
        <c:auto val="1"/>
        <c:lblAlgn val="ctr"/>
        <c:lblOffset val="100"/>
      </c:catAx>
      <c:valAx>
        <c:axId val="153314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25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3347200"/>
        <c:axId val="153348736"/>
      </c:lineChart>
      <c:catAx>
        <c:axId val="1533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8736"/>
        <c:crosses val="autoZero"/>
        <c:auto val="1"/>
        <c:lblAlgn val="ctr"/>
        <c:lblOffset val="200"/>
        <c:tickLblSkip val="1"/>
      </c:catAx>
      <c:valAx>
        <c:axId val="153348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3897600"/>
        <c:axId val="153911680"/>
      </c:lineChart>
      <c:catAx>
        <c:axId val="15389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11680"/>
        <c:crosses val="autoZero"/>
        <c:auto val="1"/>
        <c:lblAlgn val="ctr"/>
        <c:lblOffset val="100"/>
      </c:catAx>
      <c:valAx>
        <c:axId val="1539116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9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93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74975</c:v>
                </c:pt>
                <c:pt idx="13">
                  <c:v>74968</c:v>
                </c:pt>
                <c:pt idx="14">
                  <c:v>74980</c:v>
                </c:pt>
                <c:pt idx="15">
                  <c:v>74998</c:v>
                </c:pt>
                <c:pt idx="16">
                  <c:v>75012</c:v>
                </c:pt>
                <c:pt idx="17">
                  <c:v>75027</c:v>
                </c:pt>
                <c:pt idx="18">
                  <c:v>75047.38</c:v>
                </c:pt>
                <c:pt idx="19">
                  <c:v>75065.86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3940352"/>
        <c:axId val="153941888"/>
      </c:lineChart>
      <c:catAx>
        <c:axId val="15394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41888"/>
        <c:crosses val="autoZero"/>
        <c:auto val="1"/>
        <c:lblAlgn val="ctr"/>
        <c:lblOffset val="100"/>
      </c:catAx>
      <c:valAx>
        <c:axId val="153941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4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4589056"/>
        <c:axId val="155000832"/>
      </c:lineChart>
      <c:catAx>
        <c:axId val="154589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0832"/>
        <c:crosses val="autoZero"/>
        <c:auto val="1"/>
        <c:lblAlgn val="ctr"/>
        <c:lblOffset val="100"/>
      </c:catAx>
      <c:valAx>
        <c:axId val="155000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89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038080"/>
        <c:axId val="155040000"/>
      </c:lineChart>
      <c:catAx>
        <c:axId val="155038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0000"/>
        <c:crosses val="autoZero"/>
        <c:auto val="1"/>
        <c:lblAlgn val="ctr"/>
        <c:lblOffset val="100"/>
      </c:catAx>
      <c:valAx>
        <c:axId val="155040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8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4565248"/>
        <c:axId val="155271552"/>
      </c:lineChart>
      <c:catAx>
        <c:axId val="15456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71552"/>
        <c:crosses val="autoZero"/>
        <c:auto val="1"/>
        <c:lblAlgn val="ctr"/>
        <c:lblOffset val="200"/>
        <c:tickLblSkip val="1"/>
      </c:catAx>
      <c:valAx>
        <c:axId val="155271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6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300224"/>
        <c:axId val="155301760"/>
      </c:lineChart>
      <c:catAx>
        <c:axId val="1553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1760"/>
        <c:crosses val="autoZero"/>
        <c:auto val="1"/>
        <c:lblAlgn val="ctr"/>
        <c:lblOffset val="100"/>
      </c:catAx>
      <c:valAx>
        <c:axId val="1553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13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318144"/>
        <c:axId val="155319680"/>
      </c:lineChart>
      <c:catAx>
        <c:axId val="1553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19680"/>
        <c:crosses val="autoZero"/>
        <c:auto val="1"/>
        <c:lblAlgn val="ctr"/>
        <c:lblOffset val="100"/>
      </c:catAx>
      <c:valAx>
        <c:axId val="15531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626880"/>
        <c:axId val="155796992"/>
      </c:lineChart>
      <c:catAx>
        <c:axId val="155626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96992"/>
        <c:crosses val="autoZero"/>
        <c:auto val="1"/>
        <c:lblAlgn val="ctr"/>
        <c:lblOffset val="100"/>
      </c:catAx>
      <c:valAx>
        <c:axId val="155796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26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5838336"/>
        <c:axId val="156110848"/>
      </c:lineChart>
      <c:catAx>
        <c:axId val="155838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10848"/>
        <c:crosses val="autoZero"/>
        <c:auto val="1"/>
        <c:lblAlgn val="ctr"/>
        <c:lblOffset val="100"/>
      </c:catAx>
      <c:valAx>
        <c:axId val="1561108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38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144000"/>
        <c:axId val="156145536"/>
      </c:lineChart>
      <c:catAx>
        <c:axId val="1561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5536"/>
        <c:crosses val="autoZero"/>
        <c:auto val="1"/>
        <c:lblAlgn val="ctr"/>
        <c:lblOffset val="200"/>
        <c:tickLblSkip val="1"/>
      </c:catAx>
      <c:valAx>
        <c:axId val="1561455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170112"/>
        <c:axId val="156171648"/>
      </c:lineChart>
      <c:catAx>
        <c:axId val="15617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1648"/>
        <c:crosses val="autoZero"/>
        <c:auto val="1"/>
        <c:lblAlgn val="ctr"/>
        <c:lblOffset val="100"/>
      </c:catAx>
      <c:valAx>
        <c:axId val="15617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13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6327296"/>
        <c:axId val="156337280"/>
      </c:lineChart>
      <c:catAx>
        <c:axId val="15632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37280"/>
        <c:crosses val="autoZero"/>
        <c:auto val="1"/>
        <c:lblAlgn val="ctr"/>
        <c:lblOffset val="100"/>
      </c:catAx>
      <c:valAx>
        <c:axId val="15633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7.79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5.19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2653</v>
      </c>
      <c r="F10" s="417">
        <f>('UTILITY REPORT 1'!E11*'UTILITY REPORT 1'!D11)/'UTILITY REPORT 1'!F11</f>
        <v>0.42860912174896343</v>
      </c>
      <c r="G10" s="417">
        <f>IF('Utility summery'!M14&lt;0,"0",'Utility summery'!M14)</f>
        <v>74882.600000000006</v>
      </c>
      <c r="H10" s="422">
        <v>0</v>
      </c>
      <c r="I10" s="417">
        <f>IF('UTILITY REPORT 1'!G11&lt;0,"0",'UTILITY REPORT 1'!G11)</f>
        <v>60</v>
      </c>
      <c r="J10" s="422">
        <v>0</v>
      </c>
      <c r="K10" s="416">
        <f>'UTILITY REPORT 1'!C11</f>
        <v>10</v>
      </c>
      <c r="L10" s="418" t="e">
        <f>E10*F10+G10*H10+#REF!*#REF!+I10*J10</f>
        <v>#REF!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2493</v>
      </c>
      <c r="F11" s="417">
        <f>('UTILITY REPORT 1'!E12*'UTILITY REPORT 1'!D12)/'UTILITY REPORT 1'!F12</f>
        <v>0.42092659446450054</v>
      </c>
      <c r="G11" s="417">
        <f>IF('Utility summery'!M15&lt;0,"0",'Utility summery'!M15)</f>
        <v>74901.7</v>
      </c>
      <c r="H11" s="422">
        <v>0</v>
      </c>
      <c r="I11" s="417">
        <f>IF('UTILITY REPORT 1'!G12&lt;0,"0",'UTILITY REPORT 1'!G12)</f>
        <v>57</v>
      </c>
      <c r="J11" s="422">
        <v>0</v>
      </c>
      <c r="K11" s="416">
        <f>'UTILITY REPORT 1'!C12</f>
        <v>10.39</v>
      </c>
      <c r="L11" s="418" t="e">
        <f>E11*F11+G11*H11+#REF!*#REF!+I11*J11</f>
        <v>#REF!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2528</v>
      </c>
      <c r="F12" s="417">
        <f>('UTILITY REPORT 1'!E13*'UTILITY REPORT 1'!D13)/'UTILITY REPORT 1'!F13</f>
        <v>0.41895174050632905</v>
      </c>
      <c r="G12" s="417">
        <f>IF('Utility summery'!M16&lt;0,"0",'Utility summery'!M16)</f>
        <v>74919.520000000004</v>
      </c>
      <c r="H12" s="422">
        <v>0</v>
      </c>
      <c r="I12" s="417">
        <f>IF('UTILITY REPORT 1'!G13&lt;0,"0",'UTILITY REPORT 1'!G13)</f>
        <v>49</v>
      </c>
      <c r="J12" s="422">
        <v>0</v>
      </c>
      <c r="K12" s="416">
        <f>'UTILITY REPORT 1'!C13</f>
        <v>11.69</v>
      </c>
      <c r="L12" s="418" t="e">
        <f>E12*F12+G12*H12+#REF!*#REF!+I12*J12</f>
        <v>#REF!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2703</v>
      </c>
      <c r="F13" s="417">
        <f>('UTILITY REPORT 1'!E14*'UTILITY REPORT 1'!D14)/'UTILITY REPORT 1'!F14</f>
        <v>0.41330003699593049</v>
      </c>
      <c r="G13" s="417">
        <f>IF('Utility summery'!M17&lt;0,"0",'Utility summery'!M17)</f>
        <v>74960.75</v>
      </c>
      <c r="H13" s="422">
        <v>0</v>
      </c>
      <c r="I13" s="417">
        <f>IF('UTILITY REPORT 1'!G14&lt;0,"0",'UTILITY REPORT 1'!G14)</f>
        <v>52</v>
      </c>
      <c r="J13" s="422">
        <v>0</v>
      </c>
      <c r="K13" s="416">
        <f>'UTILITY REPORT 1'!C14</f>
        <v>23.38</v>
      </c>
      <c r="L13" s="418" t="e">
        <f>E13*F13+G13*H13+#REF!*#REF!+I13*J13</f>
        <v>#REF!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2690</v>
      </c>
      <c r="F14" s="417">
        <f>('UTILITY REPORT 1'!E15*'UTILITY REPORT 1'!D15)/'UTILITY REPORT 1'!F15</f>
        <v>0.42059107806691454</v>
      </c>
      <c r="G14" s="417">
        <f>IF('Utility summery'!M18&lt;0,"0",'Utility summery'!M18)</f>
        <v>74975</v>
      </c>
      <c r="H14" s="422">
        <v>0</v>
      </c>
      <c r="I14" s="417">
        <f>IF('UTILITY REPORT 1'!G15&lt;0,"0",'UTILITY REPORT 1'!G15)</f>
        <v>58</v>
      </c>
      <c r="J14" s="422">
        <v>0</v>
      </c>
      <c r="K14" s="416">
        <f>'UTILITY REPORT 1'!C15</f>
        <v>22.08</v>
      </c>
      <c r="L14" s="418" t="e">
        <f>E14*F14+G14*H14+#REF!*#REF!+I14*J14</f>
        <v>#REF!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2859</v>
      </c>
      <c r="F15" s="417">
        <f>('UTILITY REPORT 1'!E16*'UTILITY REPORT 1'!D16)/'UTILITY REPORT 1'!F16</f>
        <v>0.42069954529555786</v>
      </c>
      <c r="G15" s="417">
        <f>IF('Utility summery'!M19&lt;0,"0",'Utility summery'!M19)</f>
        <v>74968</v>
      </c>
      <c r="H15" s="422">
        <v>0</v>
      </c>
      <c r="I15" s="417">
        <f>IF('UTILITY REPORT 1'!G16&lt;0,"0",'UTILITY REPORT 1'!G16)</f>
        <v>54</v>
      </c>
      <c r="J15" s="422">
        <v>0</v>
      </c>
      <c r="K15" s="416">
        <f>'UTILITY REPORT 1'!C16</f>
        <v>19.48</v>
      </c>
      <c r="L15" s="418" t="e">
        <f>E15*F15+G15*H15+#REF!*#REF!+I15*J15</f>
        <v>#REF!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2860</v>
      </c>
      <c r="F16" s="417">
        <f>('UTILITY REPORT 1'!E17*'UTILITY REPORT 1'!D17)/'UTILITY REPORT 1'!F17</f>
        <v>0.41529020979020981</v>
      </c>
      <c r="G16" s="417">
        <f>IF('Utility summery'!M20&lt;0,"0",'Utility summery'!M20)</f>
        <v>74980</v>
      </c>
      <c r="H16" s="422">
        <v>0</v>
      </c>
      <c r="I16" s="417">
        <f>IF('UTILITY REPORT 1'!G17&lt;0,"0",'UTILITY REPORT 1'!G17)</f>
        <v>56</v>
      </c>
      <c r="J16" s="422">
        <v>0</v>
      </c>
      <c r="K16" s="416">
        <f>'UTILITY REPORT 1'!C17</f>
        <v>12.99</v>
      </c>
      <c r="L16" s="418" t="e">
        <f>E16*F16+G16*H16+#REF!*#REF!+I16*J16</f>
        <v>#REF!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2636</v>
      </c>
      <c r="F17" s="417">
        <f>('UTILITY REPORT 1'!E18*'UTILITY REPORT 1'!D18)/'UTILITY REPORT 1'!F18</f>
        <v>0.41954097116843708</v>
      </c>
      <c r="G17" s="417">
        <f>IF('Utility summery'!M21&lt;0,"0",'Utility summery'!M21)</f>
        <v>74998</v>
      </c>
      <c r="H17" s="422">
        <v>0</v>
      </c>
      <c r="I17" s="417">
        <f>IF('UTILITY REPORT 1'!G18&lt;0,"0",'UTILITY REPORT 1'!G18)</f>
        <v>45</v>
      </c>
      <c r="J17" s="422">
        <v>0</v>
      </c>
      <c r="K17" s="416">
        <f>'UTILITY REPORT 1'!C18</f>
        <v>9.09</v>
      </c>
      <c r="L17" s="418" t="e">
        <f>E17*F17+G17*H17+#REF!*#REF!+I17*J17</f>
        <v>#REF!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2643</v>
      </c>
      <c r="F18" s="417">
        <f>('UTILITY REPORT 1'!E19*'UTILITY REPORT 1'!D19)/'UTILITY REPORT 1'!F19</f>
        <v>0.40314793794930004</v>
      </c>
      <c r="G18" s="417">
        <f>IF('Utility summery'!M22&lt;0,"0",'Utility summery'!M22)</f>
        <v>75012</v>
      </c>
      <c r="H18" s="422">
        <v>0</v>
      </c>
      <c r="I18" s="417">
        <f>IF('UTILITY REPORT 1'!G19&lt;0,"0",'UTILITY REPORT 1'!G19)</f>
        <v>48</v>
      </c>
      <c r="J18" s="422">
        <v>0</v>
      </c>
      <c r="K18" s="416">
        <f>'UTILITY REPORT 1'!C19</f>
        <v>11.69</v>
      </c>
      <c r="L18" s="418" t="e">
        <f>E18*F18+G18*H18+#REF!*#REF!+I18*J18</f>
        <v>#REF!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2839</v>
      </c>
      <c r="F19" s="417">
        <f>('UTILITY REPORT 1'!E20*'UTILITY REPORT 1'!D20)/'UTILITY REPORT 1'!F20</f>
        <v>0.38842197957027125</v>
      </c>
      <c r="G19" s="417">
        <f>IF('Utility summery'!M23&lt;0,"0",'Utility summery'!M23)</f>
        <v>75027</v>
      </c>
      <c r="H19" s="422">
        <v>0</v>
      </c>
      <c r="I19" s="417">
        <f>IF('UTILITY REPORT 1'!G20&lt;0,"0",'UTILITY REPORT 1'!G20)</f>
        <v>53</v>
      </c>
      <c r="J19" s="422">
        <v>0</v>
      </c>
      <c r="K19" s="416">
        <f>'UTILITY REPORT 1'!C20</f>
        <v>11.69</v>
      </c>
      <c r="L19" s="418" t="e">
        <f>E19*F19+G19*H19+#REF!*#REF!+I19*J19</f>
        <v>#REF!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2992</v>
      </c>
      <c r="F20" s="417">
        <f>('UTILITY REPORT 1'!E21*'UTILITY REPORT 1'!D21)/'UTILITY REPORT 1'!F21</f>
        <v>0.4128609625668449</v>
      </c>
      <c r="G20" s="417">
        <f>IF('Utility summery'!M24&lt;0,"0",'Utility summery'!M24)</f>
        <v>75047.38</v>
      </c>
      <c r="H20" s="422">
        <v>0</v>
      </c>
      <c r="I20" s="417">
        <f>IF('UTILITY REPORT 1'!G21&lt;0,"0",'UTILITY REPORT 1'!G21)</f>
        <v>65</v>
      </c>
      <c r="J20" s="422">
        <v>0</v>
      </c>
      <c r="K20" s="416">
        <f>'UTILITY REPORT 1'!C21</f>
        <v>15.58</v>
      </c>
      <c r="L20" s="418" t="e">
        <f>E20*F20+G20*H20+#REF!*#REF!+I20*J20</f>
        <v>#REF!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75065.86</v>
      </c>
      <c r="H21" s="422">
        <v>0</v>
      </c>
      <c r="I21" s="417" t="str">
        <f>IF('UTILITY REPORT 1'!G22&lt;0,"0",'UTILITY REPORT 1'!G22)</f>
        <v>0</v>
      </c>
      <c r="J21" s="422">
        <v>0</v>
      </c>
      <c r="K21" s="416">
        <f>'UTILITY REPORT 1'!C22</f>
        <v>14.29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40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90</v>
      </c>
      <c r="X8" s="472">
        <f>Total!K8</f>
        <v>7.79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32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61</v>
      </c>
      <c r="X9" s="472">
        <f>Total!K9</f>
        <v>5.19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130.19</v>
      </c>
      <c r="F10" s="455">
        <f>'UTILITY REPORT 1'!E11</f>
        <v>1137.0999999999999</v>
      </c>
      <c r="G10" s="456">
        <f>'UTILITY REPORT 1'!F11</f>
        <v>2653</v>
      </c>
      <c r="H10" s="455">
        <f>IF('Kit report'!F12&lt;0,"0",'Kit report'!F12)</f>
        <v>215.99999999991269</v>
      </c>
      <c r="I10" s="455">
        <f>IF('Kit report'!X12&lt;0,"0",'Kit report'!X12)</f>
        <v>279.99999999992724</v>
      </c>
      <c r="J10" s="455">
        <f>IF('Utility summery'!H14&lt;0,"0",'Utility summery'!H14)</f>
        <v>36</v>
      </c>
      <c r="K10" s="456">
        <f>IF('UTILITY REPORT 1'!H11&lt;0,"0",'UTILITY REPORT 1'!H11)</f>
        <v>144</v>
      </c>
      <c r="L10" s="455">
        <f>'Water-Meter'!K14</f>
        <v>0</v>
      </c>
      <c r="M10" s="456">
        <f>'Water-Meter'!H14</f>
        <v>0</v>
      </c>
      <c r="N10" s="456">
        <f>'Water-Meter'!Q14</f>
        <v>3</v>
      </c>
      <c r="O10" s="455" t="e">
        <f>K10*E10+H10*I10+#REF!*#REF!+J10*L10</f>
        <v>#REF!</v>
      </c>
      <c r="P10" s="461">
        <f>'Water-Meter'!E14</f>
        <v>60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43</v>
      </c>
      <c r="T10" s="241">
        <f>IF('Water-Meter'!AD14&lt;0,"0",'Water-Meter'!AD14)</f>
        <v>15</v>
      </c>
      <c r="U10" s="241">
        <f>IF('Water-Meter'!AG14&lt;0,"0",'Water-Meter'!AG14)</f>
        <v>0</v>
      </c>
      <c r="V10" s="241">
        <f>IF('Water-Meter'!AJ14&lt;0,"0",'Water-Meter'!AJ14)</f>
        <v>24</v>
      </c>
      <c r="W10" s="30">
        <f>'Water-Meter'!AN14</f>
        <v>82</v>
      </c>
      <c r="X10" s="472">
        <f>Total!K10</f>
        <v>10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1049.3699999999999</v>
      </c>
      <c r="G11" s="456">
        <f>'UTILITY REPORT 1'!F12</f>
        <v>2493</v>
      </c>
      <c r="H11" s="455">
        <f>IF('Kit report'!F13&lt;0,"0",'Kit report'!F13)</f>
        <v>216.00000000013097</v>
      </c>
      <c r="I11" s="455">
        <f>IF('Kit report'!X13&lt;0,"0",'Kit report'!X13)</f>
        <v>220.00000000007276</v>
      </c>
      <c r="J11" s="455">
        <f>IF('Utility summery'!H15&lt;0,"0",'Utility summery'!H15)</f>
        <v>36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4</v>
      </c>
      <c r="O11" s="455" t="e">
        <f>K11*E11+H11*I11+#REF!*#REF!+J11*L11</f>
        <v>#REF!</v>
      </c>
      <c r="P11" s="461">
        <f>'Water-Meter'!E15</f>
        <v>57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37</v>
      </c>
      <c r="T11" s="241">
        <f>IF('Water-Meter'!AD15&lt;0,"0",'Water-Meter'!AD15)</f>
        <v>17</v>
      </c>
      <c r="U11" s="241">
        <f>IF('Water-Meter'!AG15&lt;0,"0",'Water-Meter'!AG15)</f>
        <v>0</v>
      </c>
      <c r="V11" s="241">
        <f>IF('Water-Meter'!AJ15&lt;0,"0",'Water-Meter'!AJ15)</f>
        <v>23</v>
      </c>
      <c r="W11" s="30">
        <f>'Water-Meter'!AN15</f>
        <v>77</v>
      </c>
      <c r="X11" s="472">
        <f>Total!K11</f>
        <v>10.39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66.430000000000007</v>
      </c>
      <c r="F12" s="455">
        <f>'UTILITY REPORT 1'!E13</f>
        <v>1059.1099999999999</v>
      </c>
      <c r="G12" s="456">
        <f>'UTILITY REPORT 1'!F13</f>
        <v>2528</v>
      </c>
      <c r="H12" s="455">
        <f>IF('Kit report'!F14&lt;0,"0",'Kit report'!F14)</f>
        <v>240</v>
      </c>
      <c r="I12" s="455">
        <f>IF('Kit report'!X14&lt;0,"0",'Kit report'!X14)</f>
        <v>260.00000000003638</v>
      </c>
      <c r="J12" s="455">
        <f>IF('Utility summery'!H16&lt;0,"0",'Utility summery'!H16)</f>
        <v>75</v>
      </c>
      <c r="K12" s="456">
        <f>IF('UTILITY REPORT 1'!H13&lt;0,"0",'UTILITY REPORT 1'!H13)</f>
        <v>100</v>
      </c>
      <c r="L12" s="455">
        <f>'Water-Meter'!K16</f>
        <v>0</v>
      </c>
      <c r="M12" s="456">
        <f>'Water-Meter'!H16</f>
        <v>0</v>
      </c>
      <c r="N12" s="456">
        <f>'Water-Meter'!Q16</f>
        <v>4</v>
      </c>
      <c r="O12" s="455" t="e">
        <f>K12*E12+H12*I12+#REF!*#REF!+J12*L12</f>
        <v>#REF!</v>
      </c>
      <c r="P12" s="461">
        <f>'Water-Meter'!E16</f>
        <v>49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9</v>
      </c>
      <c r="T12" s="241">
        <f>IF('Water-Meter'!AD16&lt;0,"0",'Water-Meter'!AD16)</f>
        <v>14</v>
      </c>
      <c r="U12" s="241">
        <f>IF('Water-Meter'!AG16&lt;0,"0",'Water-Meter'!AG16)</f>
        <v>0</v>
      </c>
      <c r="V12" s="241">
        <f>IF('Water-Meter'!AJ16&lt;0,"0",'Water-Meter'!AJ16)</f>
        <v>29</v>
      </c>
      <c r="W12" s="30">
        <f>'Water-Meter'!AN16</f>
        <v>52</v>
      </c>
      <c r="X12" s="472">
        <f>Total!K12</f>
        <v>11.69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116</v>
      </c>
      <c r="F13" s="455">
        <f>'UTILITY REPORT 1'!E14</f>
        <v>1117.1500000000001</v>
      </c>
      <c r="G13" s="456">
        <f>'UTILITY REPORT 1'!F14</f>
        <v>2703</v>
      </c>
      <c r="H13" s="455">
        <f>IF('Kit report'!F15&lt;0,"0",'Kit report'!F15)</f>
        <v>263.99999999986903</v>
      </c>
      <c r="I13" s="455">
        <f>IF('Kit report'!X15&lt;0,"0",'Kit report'!X15)</f>
        <v>259.99999999985448</v>
      </c>
      <c r="J13" s="455">
        <f>IF('Utility summery'!H17&lt;0,"0",'Utility summery'!H17)</f>
        <v>55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3</v>
      </c>
      <c r="O13" s="455" t="e">
        <f>K13*E13+H13*I13+#REF!*#REF!+J13*L13</f>
        <v>#REF!</v>
      </c>
      <c r="P13" s="461">
        <f>'Water-Meter'!E17</f>
        <v>52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16</v>
      </c>
      <c r="U13" s="241">
        <f>IF('Water-Meter'!AG17&lt;0,"0",'Water-Meter'!AG17)</f>
        <v>0</v>
      </c>
      <c r="V13" s="241">
        <f>IF('Water-Meter'!AJ17&lt;0,"0",'Water-Meter'!AJ17)</f>
        <v>23</v>
      </c>
      <c r="W13" s="30">
        <f>'Water-Meter'!AN17</f>
        <v>39</v>
      </c>
      <c r="X13" s="472">
        <f>Total!K13</f>
        <v>23.38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474.14</v>
      </c>
      <c r="F14" s="455">
        <f>'UTILITY REPORT 1'!E15</f>
        <v>1131.3900000000001</v>
      </c>
      <c r="G14" s="456">
        <f>'UTILITY REPORT 1'!F15</f>
        <v>2690</v>
      </c>
      <c r="H14" s="455">
        <f>IF('Kit report'!F16&lt;0,"0",'Kit report'!F16)</f>
        <v>252.00000000004366</v>
      </c>
      <c r="I14" s="455">
        <f>IF('Kit report'!X16&lt;0,"0",'Kit report'!X16)</f>
        <v>180.00000000010914</v>
      </c>
      <c r="J14" s="455">
        <f>IF('Utility summery'!H18&lt;0,"0",'Utility summery'!H18)</f>
        <v>46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2</v>
      </c>
      <c r="O14" s="455" t="e">
        <f>K14*E14+H14*I14+#REF!*#REF!+J14*L14</f>
        <v>#REF!</v>
      </c>
      <c r="P14" s="461">
        <f>'Water-Meter'!E18</f>
        <v>58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16</v>
      </c>
      <c r="U14" s="241">
        <f>IF('Water-Meter'!AG18&lt;0,"0",'Water-Meter'!AG18)</f>
        <v>0</v>
      </c>
      <c r="V14" s="241">
        <f>IF('Water-Meter'!AJ18&lt;0,"0",'Water-Meter'!AJ18)</f>
        <v>28</v>
      </c>
      <c r="W14" s="30">
        <f>'Water-Meter'!AN18</f>
        <v>44</v>
      </c>
      <c r="X14" s="472">
        <f>Total!K14</f>
        <v>22.08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152</v>
      </c>
      <c r="F15" s="455">
        <f>'UTILITY REPORT 1'!E16</f>
        <v>1202.78</v>
      </c>
      <c r="G15" s="456">
        <f>'UTILITY REPORT 1'!F16</f>
        <v>2859</v>
      </c>
      <c r="H15" s="455">
        <f>IF('Kit report'!F17&lt;0,"0",'Kit report'!F17)</f>
        <v>287.99999999995634</v>
      </c>
      <c r="I15" s="455">
        <f>IF('Kit report'!X17&lt;0,"0",'Kit report'!X17)</f>
        <v>360.00000000003638</v>
      </c>
      <c r="J15" s="455">
        <f>IF('Utility summery'!H19&lt;0,"0",'Utility summery'!H19)</f>
        <v>49</v>
      </c>
      <c r="K15" s="456">
        <f>IF('UTILITY REPORT 1'!H16&lt;0,"0",'UTILITY REPORT 1'!H16)</f>
        <v>88</v>
      </c>
      <c r="L15" s="455">
        <f>'Water-Meter'!K19</f>
        <v>0</v>
      </c>
      <c r="M15" s="456">
        <f>'Water-Meter'!H19</f>
        <v>0</v>
      </c>
      <c r="N15" s="456">
        <f>'Water-Meter'!Q19</f>
        <v>2</v>
      </c>
      <c r="O15" s="455" t="e">
        <f>K15*E15+H15*I15+#REF!*#REF!+J15*L15</f>
        <v>#REF!</v>
      </c>
      <c r="P15" s="461">
        <f>'Water-Meter'!E19</f>
        <v>54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42</v>
      </c>
      <c r="T15" s="241">
        <f>IF('Water-Meter'!AD19&lt;0,"0",'Water-Meter'!AD19)</f>
        <v>14</v>
      </c>
      <c r="U15" s="241">
        <f>IF('Water-Meter'!AG19&lt;0,"0",'Water-Meter'!AG19)</f>
        <v>0</v>
      </c>
      <c r="V15" s="241">
        <f>IF('Water-Meter'!AJ19&lt;0,"0",'Water-Meter'!AJ19)</f>
        <v>25</v>
      </c>
      <c r="W15" s="30">
        <f>'Water-Meter'!AN19</f>
        <v>81</v>
      </c>
      <c r="X15" s="472">
        <f>Total!K15</f>
        <v>19.48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35.090000000000003</v>
      </c>
      <c r="F16" s="455">
        <f>'UTILITY REPORT 1'!E17</f>
        <v>1187.73</v>
      </c>
      <c r="G16" s="456">
        <f>'UTILITY REPORT 1'!F17</f>
        <v>2860</v>
      </c>
      <c r="H16" s="455">
        <f>IF('Kit report'!F18&lt;0,"0",'Kit report'!F18)</f>
        <v>276.00000000013097</v>
      </c>
      <c r="I16" s="455">
        <f>IF('Kit report'!X18&lt;0,"0",'Kit report'!X18)</f>
        <v>319.99999999989086</v>
      </c>
      <c r="J16" s="455">
        <f>IF('Utility summery'!H20&lt;0,"0",'Utility summery'!H20)</f>
        <v>55</v>
      </c>
      <c r="K16" s="456">
        <f>IF('UTILITY REPORT 1'!H17&lt;0,"0",'UTILITY REPORT 1'!H17)</f>
        <v>98</v>
      </c>
      <c r="L16" s="455">
        <f>'Water-Meter'!K20</f>
        <v>0</v>
      </c>
      <c r="M16" s="456">
        <f>'Water-Meter'!H20</f>
        <v>0</v>
      </c>
      <c r="N16" s="456">
        <f>'Water-Meter'!Q20</f>
        <v>10</v>
      </c>
      <c r="O16" s="455" t="e">
        <f>K16*E16+H16*I16+#REF!*#REF!+J16*L16</f>
        <v>#REF!</v>
      </c>
      <c r="P16" s="461">
        <f>'Water-Meter'!E20</f>
        <v>56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53</v>
      </c>
      <c r="T16" s="241">
        <f>IF('Water-Meter'!AD20&lt;0,"0",'Water-Meter'!AD20)</f>
        <v>17</v>
      </c>
      <c r="U16" s="241">
        <f>IF('Water-Meter'!AG20&lt;0,"0",'Water-Meter'!AG20)</f>
        <v>0</v>
      </c>
      <c r="V16" s="241">
        <f>IF('Water-Meter'!AJ20&lt;0,"0",'Water-Meter'!AJ20)</f>
        <v>26</v>
      </c>
      <c r="W16" s="30">
        <f>'Water-Meter'!AN20</f>
        <v>96</v>
      </c>
      <c r="X16" s="472">
        <f>Total!K16</f>
        <v>12.99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189.95</v>
      </c>
      <c r="F17" s="455">
        <f>'UTILITY REPORT 1'!E18</f>
        <v>1105.9100000000001</v>
      </c>
      <c r="G17" s="456">
        <f>'UTILITY REPORT 1'!F18</f>
        <v>2636</v>
      </c>
      <c r="H17" s="455">
        <f>IF('Kit report'!F19&lt;0,"0",'Kit report'!F19)</f>
        <v>252.00000000004366</v>
      </c>
      <c r="I17" s="455">
        <f>IF('Kit report'!X19&lt;0,"0",'Kit report'!X19)</f>
        <v>360.00000000003638</v>
      </c>
      <c r="J17" s="455">
        <f>IF('Utility summery'!H21&lt;0,"0",'Utility summery'!H21)</f>
        <v>32</v>
      </c>
      <c r="K17" s="456">
        <f>IF('UTILITY REPORT 1'!H18&lt;0,"0",'UTILITY REPORT 1'!H18)</f>
        <v>34</v>
      </c>
      <c r="L17" s="455">
        <f>'Water-Meter'!K21</f>
        <v>0</v>
      </c>
      <c r="M17" s="456">
        <f>'Water-Meter'!H21</f>
        <v>0</v>
      </c>
      <c r="N17" s="456">
        <f>'Water-Meter'!Q21</f>
        <v>3</v>
      </c>
      <c r="O17" s="455" t="e">
        <f>K17*E17+H17*I17+#REF!*#REF!+J17*L17</f>
        <v>#REF!</v>
      </c>
      <c r="P17" s="461">
        <f>'Water-Meter'!E21</f>
        <v>45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7</v>
      </c>
      <c r="T17" s="241">
        <f>IF('Water-Meter'!AD21&lt;0,"0",'Water-Meter'!AD21)</f>
        <v>16</v>
      </c>
      <c r="U17" s="241">
        <f>IF('Water-Meter'!AG21&lt;0,"0",'Water-Meter'!AG21)</f>
        <v>0</v>
      </c>
      <c r="V17" s="241">
        <f>IF('Water-Meter'!AJ21&lt;0,"0",'Water-Meter'!AJ21)</f>
        <v>26</v>
      </c>
      <c r="W17" s="30">
        <f>'Water-Meter'!AN21</f>
        <v>49</v>
      </c>
      <c r="X17" s="472">
        <f>Total!K17</f>
        <v>9.09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249.3</v>
      </c>
      <c r="F18" s="455">
        <f>'UTILITY REPORT 1'!E19</f>
        <v>1065.52</v>
      </c>
      <c r="G18" s="456">
        <f>'UTILITY REPORT 1'!F19</f>
        <v>2643</v>
      </c>
      <c r="H18" s="455">
        <f>IF('Kit report'!F20&lt;0,"0",'Kit report'!F20)</f>
        <v>287.99999999995634</v>
      </c>
      <c r="I18" s="455">
        <f>IF('Kit report'!X20&lt;0,"0",'Kit report'!X20)</f>
        <v>179.99999999992724</v>
      </c>
      <c r="J18" s="455">
        <f>IF('Utility summery'!H22&lt;0,"0",'Utility summery'!H22)</f>
        <v>48</v>
      </c>
      <c r="K18" s="456">
        <f>IF('UTILITY REPORT 1'!H19&lt;0,"0",'UTILITY REPORT 1'!H19)</f>
        <v>34</v>
      </c>
      <c r="L18" s="455">
        <f>'Water-Meter'!K22</f>
        <v>0</v>
      </c>
      <c r="M18" s="456">
        <f>'Water-Meter'!H22</f>
        <v>0</v>
      </c>
      <c r="N18" s="456">
        <f>'Water-Meter'!Q22</f>
        <v>3</v>
      </c>
      <c r="O18" s="455" t="e">
        <f>K18*E18+H18*I18+#REF!*#REF!+J18*L18</f>
        <v>#REF!</v>
      </c>
      <c r="P18" s="461">
        <f>'Water-Meter'!E22</f>
        <v>48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15</v>
      </c>
      <c r="U18" s="241">
        <f>IF('Water-Meter'!AG22&lt;0,"0",'Water-Meter'!AG22)</f>
        <v>0</v>
      </c>
      <c r="V18" s="241">
        <f>IF('Water-Meter'!AJ22&lt;0,"0",'Water-Meter'!AJ22)</f>
        <v>26</v>
      </c>
      <c r="W18" s="30">
        <f>'Water-Meter'!AN22</f>
        <v>41</v>
      </c>
      <c r="X18" s="472">
        <f>Total!K18</f>
        <v>11.69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599.33000000000004</v>
      </c>
      <c r="F19" s="455">
        <f>'UTILITY REPORT 1'!E20</f>
        <v>1102.73</v>
      </c>
      <c r="G19" s="456">
        <f>'UTILITY REPORT 1'!F20</f>
        <v>2839</v>
      </c>
      <c r="H19" s="455">
        <f>IF('Kit report'!F21&lt;0,"0",'Kit report'!F21)</f>
        <v>275.99999999991269</v>
      </c>
      <c r="I19" s="455">
        <f>IF('Kit report'!X21&lt;0,"0",'Kit report'!X21)</f>
        <v>360.00000000003638</v>
      </c>
      <c r="J19" s="455">
        <f>IF('Utility summery'!H23&lt;0,"0",'Utility summery'!H23)</f>
        <v>36</v>
      </c>
      <c r="K19" s="456">
        <f>IF('UTILITY REPORT 1'!H20&lt;0,"0",'UTILITY REPORT 1'!H20)</f>
        <v>33</v>
      </c>
      <c r="L19" s="455">
        <f>'Water-Meter'!K23</f>
        <v>0</v>
      </c>
      <c r="M19" s="456">
        <f>'Water-Meter'!H23</f>
        <v>0</v>
      </c>
      <c r="N19" s="456">
        <f>'Water-Meter'!Q23</f>
        <v>6</v>
      </c>
      <c r="O19" s="455" t="e">
        <f>K19*E19+H19*I19+#REF!*#REF!+J19*L19</f>
        <v>#REF!</v>
      </c>
      <c r="P19" s="461">
        <f>'Water-Meter'!E23</f>
        <v>53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54</v>
      </c>
      <c r="T19" s="241">
        <f>IF('Water-Meter'!AD23&lt;0,"0",'Water-Meter'!AD23)</f>
        <v>16</v>
      </c>
      <c r="U19" s="241">
        <f>IF('Water-Meter'!AG23&lt;0,"0",'Water-Meter'!AG23)</f>
        <v>0</v>
      </c>
      <c r="V19" s="241">
        <f>IF('Water-Meter'!AJ23&lt;0,"0",'Water-Meter'!AJ23)</f>
        <v>25</v>
      </c>
      <c r="W19" s="30">
        <f>'Water-Meter'!AN23</f>
        <v>95</v>
      </c>
      <c r="X19" s="472">
        <f>Total!K19</f>
        <v>11.69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1235.28</v>
      </c>
      <c r="G20" s="456">
        <f>'UTILITY REPORT 1'!F21</f>
        <v>2992</v>
      </c>
      <c r="H20" s="455">
        <f>IF('Kit report'!F22&lt;0,"0",'Kit report'!F22)</f>
        <v>300</v>
      </c>
      <c r="I20" s="455">
        <f>IF('Kit report'!X22&lt;0,"0",'Kit report'!X22)</f>
        <v>400</v>
      </c>
      <c r="J20" s="455">
        <f>IF('Utility summery'!H24&lt;0,"0",'Utility summery'!H24)</f>
        <v>23</v>
      </c>
      <c r="K20" s="456">
        <f>IF('UTILITY REPORT 1'!H21&lt;0,"0",'UTILITY REPORT 1'!H21)</f>
        <v>35</v>
      </c>
      <c r="L20" s="455">
        <f>'Water-Meter'!K24</f>
        <v>0</v>
      </c>
      <c r="M20" s="456">
        <f>'Water-Meter'!H24</f>
        <v>0</v>
      </c>
      <c r="N20" s="456">
        <f>'Water-Meter'!Q24</f>
        <v>4</v>
      </c>
      <c r="O20" s="455" t="e">
        <f>K20*E20+H20*I20+#REF!*#REF!+J20*L20</f>
        <v>#REF!</v>
      </c>
      <c r="P20" s="461">
        <f>'Water-Meter'!E24</f>
        <v>65</v>
      </c>
      <c r="Q20" s="241">
        <f>IF('Water-Meter'!U24&lt;0,"0",'Water-Meter'!U24)</f>
        <v>90</v>
      </c>
      <c r="R20" s="241">
        <f>IF('Water-Meter'!X24&lt;0,"0",'Water-Meter'!X24)</f>
        <v>0</v>
      </c>
      <c r="S20" s="241">
        <f>IF('Water-Meter'!AA24&lt;0,"0",'Water-Meter'!AA24)</f>
        <v>56</v>
      </c>
      <c r="T20" s="241">
        <f>IF('Water-Meter'!AD24&lt;0,"0",'Water-Meter'!AD24)</f>
        <v>16</v>
      </c>
      <c r="U20" s="241">
        <f>IF('Water-Meter'!AG24&lt;0,"0",'Water-Meter'!AG24)</f>
        <v>0</v>
      </c>
      <c r="V20" s="241">
        <f>IF('Water-Meter'!AJ24&lt;0,"0",'Water-Meter'!AJ24)</f>
        <v>26</v>
      </c>
      <c r="W20" s="30">
        <f>'Water-Meter'!AN24</f>
        <v>188</v>
      </c>
      <c r="X20" s="472">
        <f>Total!K20</f>
        <v>15.58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 t="str">
        <f>IF('Kit report'!F23&lt;0,"0",'Kit report'!F23)</f>
        <v>0</v>
      </c>
      <c r="I21" s="455" t="str">
        <f>IF('Kit report'!X23&lt;0,"0",'Kit report'!X23)</f>
        <v>0</v>
      </c>
      <c r="J21" s="455" t="str">
        <f>IF('Utility summery'!H25&lt;0,"0",'Utility summery'!H25)</f>
        <v>0</v>
      </c>
      <c r="K21" s="456" t="str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 t="str">
        <f>'Water-Meter'!Q25</f>
        <v>0</v>
      </c>
      <c r="O21" s="455" t="e">
        <f>K21*E21+H21*I21+#REF!*#REF!+J21*L21</f>
        <v>#REF!</v>
      </c>
      <c r="P21" s="461" t="str">
        <f>'Water-Meter'!E25</f>
        <v>0</v>
      </c>
      <c r="Q21" s="241" t="str">
        <f>IF('Water-Meter'!U25&lt;0,"0",'Water-Meter'!U25)</f>
        <v>0</v>
      </c>
      <c r="R21" s="241" t="str">
        <f>IF('Water-Meter'!X25&lt;0,"0",'Water-Meter'!X25)</f>
        <v>0</v>
      </c>
      <c r="S21" s="241" t="str">
        <f>IF('Water-Meter'!AA25&lt;0,"0",'Water-Meter'!AA25)</f>
        <v>0</v>
      </c>
      <c r="T21" s="241" t="str">
        <f>IF('Water-Meter'!AD25&lt;0,"0",'Water-Meter'!AD25)</f>
        <v>0</v>
      </c>
      <c r="U21" s="241" t="str">
        <f>IF('Water-Meter'!AG25&lt;0,"0",'Water-Meter'!AG25)</f>
        <v>0</v>
      </c>
      <c r="V21" s="241" t="str">
        <f>IF('Water-Meter'!AJ25&lt;0,"0",'Water-Meter'!AJ25)</f>
        <v>0</v>
      </c>
      <c r="W21" s="30">
        <f>'Water-Meter'!AN25</f>
        <v>0</v>
      </c>
      <c r="X21" s="472">
        <f>Total!K21</f>
        <v>14.29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7.7899999999999997E-2</v>
      </c>
      <c r="C9" s="404">
        <f>'Summery Report'!E11</f>
        <v>7.79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5.1900000000000002E-2</v>
      </c>
      <c r="C10" s="404">
        <f>'Summery Report'!E12</f>
        <v>5.19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0.10390000000000001</v>
      </c>
      <c r="C11" s="404">
        <f>'Summery Report'!E13</f>
        <v>10</v>
      </c>
      <c r="D11" s="405">
        <v>1</v>
      </c>
      <c r="E11" s="404">
        <f>Gen!S19</f>
        <v>1137.0999999999999</v>
      </c>
      <c r="F11" s="404">
        <f>Gen!T19</f>
        <v>2653</v>
      </c>
      <c r="G11" s="404">
        <f>'Water-Meter'!E14</f>
        <v>60</v>
      </c>
      <c r="H11" s="404">
        <f>'Utility report '!AC14</f>
        <v>144</v>
      </c>
      <c r="I11" s="404">
        <f>Gen!AJ19</f>
        <v>130.19</v>
      </c>
    </row>
    <row r="12" spans="1:9" ht="13.5">
      <c r="A12" s="401">
        <f>Gen!A20</f>
        <v>44237</v>
      </c>
      <c r="B12" s="403">
        <f>Gen!B20</f>
        <v>0.10390000000000001</v>
      </c>
      <c r="C12" s="404">
        <f>'Summery Report'!E14</f>
        <v>10.39</v>
      </c>
      <c r="D12" s="405">
        <v>1</v>
      </c>
      <c r="E12" s="404">
        <f>Gen!S20</f>
        <v>1049.3699999999999</v>
      </c>
      <c r="F12" s="404">
        <f>Gen!T20</f>
        <v>2493</v>
      </c>
      <c r="G12" s="404">
        <f>'Water-Meter'!E15</f>
        <v>57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0.1169</v>
      </c>
      <c r="C13" s="404">
        <f>'Summery Report'!E15</f>
        <v>11.69</v>
      </c>
      <c r="D13" s="405">
        <v>1</v>
      </c>
      <c r="E13" s="404">
        <f>Gen!S21</f>
        <v>1059.1099999999999</v>
      </c>
      <c r="F13" s="404">
        <f>Gen!T21</f>
        <v>2528</v>
      </c>
      <c r="G13" s="404">
        <f>'Water-Meter'!E16</f>
        <v>49</v>
      </c>
      <c r="H13" s="404">
        <f>'Utility report '!AC16</f>
        <v>100</v>
      </c>
      <c r="I13" s="404">
        <f>Gen!AJ21</f>
        <v>66.430000000000007</v>
      </c>
    </row>
    <row r="14" spans="1:9" ht="13.5">
      <c r="A14" s="401">
        <f>Gen!A22</f>
        <v>44239</v>
      </c>
      <c r="B14" s="403">
        <f>Gen!B22</f>
        <v>0.23380000000000001</v>
      </c>
      <c r="C14" s="404">
        <f>'Summery Report'!E16</f>
        <v>23.38</v>
      </c>
      <c r="D14" s="405">
        <v>1</v>
      </c>
      <c r="E14" s="404">
        <f>Gen!S22</f>
        <v>1117.1500000000001</v>
      </c>
      <c r="F14" s="404">
        <f>Gen!T22</f>
        <v>2703</v>
      </c>
      <c r="G14" s="404">
        <f>'Water-Meter'!E17</f>
        <v>52</v>
      </c>
      <c r="H14" s="404">
        <f>'Utility report '!AC17</f>
        <v>0</v>
      </c>
      <c r="I14" s="404">
        <f>Gen!AJ22</f>
        <v>116</v>
      </c>
    </row>
    <row r="15" spans="1:9" ht="13.5">
      <c r="A15" s="401">
        <f>Gen!A23</f>
        <v>44240</v>
      </c>
      <c r="B15" s="403">
        <f>Gen!B23</f>
        <v>0.2208</v>
      </c>
      <c r="C15" s="404">
        <f>'Summery Report'!E17</f>
        <v>22.08</v>
      </c>
      <c r="D15" s="405">
        <v>1</v>
      </c>
      <c r="E15" s="404">
        <f>Gen!S23</f>
        <v>1131.3900000000001</v>
      </c>
      <c r="F15" s="404">
        <f>Gen!T23</f>
        <v>2690</v>
      </c>
      <c r="G15" s="404">
        <f>'Water-Meter'!E18</f>
        <v>58</v>
      </c>
      <c r="H15" s="404">
        <f>'Utility report '!AC18</f>
        <v>0</v>
      </c>
      <c r="I15" s="404">
        <f>Gen!AJ23</f>
        <v>474.14</v>
      </c>
    </row>
    <row r="16" spans="1:9" ht="13.5">
      <c r="A16" s="401">
        <f>Gen!A24</f>
        <v>44241</v>
      </c>
      <c r="B16" s="403">
        <f>Gen!B24</f>
        <v>0.1948</v>
      </c>
      <c r="C16" s="404">
        <f>'Summery Report'!E18</f>
        <v>19.48</v>
      </c>
      <c r="D16" s="405">
        <v>1</v>
      </c>
      <c r="E16" s="404">
        <f>Gen!S24</f>
        <v>1202.78</v>
      </c>
      <c r="F16" s="404">
        <f>Gen!T24</f>
        <v>2859</v>
      </c>
      <c r="G16" s="404">
        <f>'Water-Meter'!E19</f>
        <v>54</v>
      </c>
      <c r="H16" s="404">
        <f>'Utility report '!AC19</f>
        <v>88</v>
      </c>
      <c r="I16" s="404">
        <f>Gen!AJ24</f>
        <v>152</v>
      </c>
    </row>
    <row r="17" spans="1:9" ht="13.5">
      <c r="A17" s="401">
        <f>Gen!A25</f>
        <v>44242</v>
      </c>
      <c r="B17" s="403">
        <f>Gen!B25</f>
        <v>0.12989999999999999</v>
      </c>
      <c r="C17" s="404">
        <f>'Summery Report'!E19</f>
        <v>12.99</v>
      </c>
      <c r="D17" s="405">
        <v>1</v>
      </c>
      <c r="E17" s="404">
        <f>Gen!S25</f>
        <v>1187.73</v>
      </c>
      <c r="F17" s="404">
        <f>Gen!T25</f>
        <v>2860</v>
      </c>
      <c r="G17" s="404">
        <f>'Water-Meter'!E20</f>
        <v>56</v>
      </c>
      <c r="H17" s="404">
        <f>'Utility report '!AC20</f>
        <v>98</v>
      </c>
      <c r="I17" s="404">
        <f>Gen!AJ25</f>
        <v>35.090000000000003</v>
      </c>
    </row>
    <row r="18" spans="1:9" ht="13.5">
      <c r="A18" s="401">
        <f>Gen!A26</f>
        <v>44243</v>
      </c>
      <c r="B18" s="403">
        <f>Gen!B26</f>
        <v>9.0899999999999995E-2</v>
      </c>
      <c r="C18" s="404">
        <f>'Summery Report'!E20</f>
        <v>9.09</v>
      </c>
      <c r="D18" s="405">
        <v>1</v>
      </c>
      <c r="E18" s="404">
        <f>Gen!S26</f>
        <v>1105.9100000000001</v>
      </c>
      <c r="F18" s="404">
        <f>Gen!T26</f>
        <v>2636</v>
      </c>
      <c r="G18" s="404">
        <f>'Water-Meter'!E21</f>
        <v>45</v>
      </c>
      <c r="H18" s="404">
        <f>'Utility report '!AC21</f>
        <v>34</v>
      </c>
      <c r="I18" s="404">
        <f>Gen!AJ26</f>
        <v>189.95</v>
      </c>
    </row>
    <row r="19" spans="1:9" ht="13.5">
      <c r="A19" s="401">
        <f>Gen!A27</f>
        <v>44244</v>
      </c>
      <c r="B19" s="403">
        <f>Gen!B27</f>
        <v>0.1169</v>
      </c>
      <c r="C19" s="404">
        <f>'Summery Report'!E21</f>
        <v>11.69</v>
      </c>
      <c r="D19" s="405">
        <v>1</v>
      </c>
      <c r="E19" s="404">
        <f>Gen!S27</f>
        <v>1065.52</v>
      </c>
      <c r="F19" s="404">
        <f>Gen!T27</f>
        <v>2643</v>
      </c>
      <c r="G19" s="404">
        <f>'Water-Meter'!E22</f>
        <v>48</v>
      </c>
      <c r="H19" s="404">
        <f>'Utility report '!AC22</f>
        <v>34</v>
      </c>
      <c r="I19" s="404">
        <f>Gen!AJ27</f>
        <v>249.3</v>
      </c>
    </row>
    <row r="20" spans="1:9" ht="13.5">
      <c r="A20" s="401">
        <f>Gen!A28</f>
        <v>44245</v>
      </c>
      <c r="B20" s="403">
        <f>Gen!B28</f>
        <v>0.1169</v>
      </c>
      <c r="C20" s="404">
        <f>'Summery Report'!E22</f>
        <v>11.69</v>
      </c>
      <c r="D20" s="405">
        <v>1</v>
      </c>
      <c r="E20" s="404">
        <f>Gen!S28</f>
        <v>1102.73</v>
      </c>
      <c r="F20" s="404">
        <f>Gen!T28</f>
        <v>2839</v>
      </c>
      <c r="G20" s="404">
        <f>'Water-Meter'!E23</f>
        <v>53</v>
      </c>
      <c r="H20" s="404">
        <f>'Utility report '!AC23</f>
        <v>33</v>
      </c>
      <c r="I20" s="404">
        <f>Gen!AJ28</f>
        <v>599.33000000000004</v>
      </c>
    </row>
    <row r="21" spans="1:9" ht="13.5">
      <c r="A21" s="401">
        <f>Gen!A29</f>
        <v>44246</v>
      </c>
      <c r="B21" s="403">
        <f>Gen!B29</f>
        <v>0.15579999999999999</v>
      </c>
      <c r="C21" s="404">
        <f>'Summery Report'!E23</f>
        <v>15.58</v>
      </c>
      <c r="D21" s="405">
        <v>1</v>
      </c>
      <c r="E21" s="404">
        <f>Gen!S29</f>
        <v>1235.28</v>
      </c>
      <c r="F21" s="404">
        <f>Gen!T29</f>
        <v>2992</v>
      </c>
      <c r="G21" s="404">
        <f>'Water-Meter'!E24</f>
        <v>65</v>
      </c>
      <c r="H21" s="404">
        <f>'Utility report '!AC24</f>
        <v>35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0.1429</v>
      </c>
      <c r="C22" s="404">
        <f>'Summery Report'!E24</f>
        <v>14.29</v>
      </c>
      <c r="D22" s="405">
        <v>1</v>
      </c>
      <c r="E22" s="404">
        <f>Gen!S30</f>
        <v>0</v>
      </c>
      <c r="F22" s="404">
        <f>Gen!T30</f>
        <v>0</v>
      </c>
      <c r="G22" s="404" t="str">
        <f>'Water-Meter'!E25</f>
        <v>0</v>
      </c>
      <c r="H22" s="404">
        <f>'Utility report '!AC25</f>
        <v>-46744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7.79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>
        <f t="shared" si="0"/>
        <v>499.61489088575092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5.19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>
        <f t="shared" si="0"/>
        <v>686.51252408477842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10</v>
      </c>
      <c r="C14" s="6">
        <f>Gen!U19</f>
        <v>0.42860912174896343</v>
      </c>
      <c r="D14" s="151">
        <f>Gen!T19</f>
        <v>2653</v>
      </c>
      <c r="E14" s="151">
        <f>Gen!AK19</f>
        <v>0</v>
      </c>
      <c r="F14" s="151">
        <f>Gen!AS19</f>
        <v>0</v>
      </c>
      <c r="G14" s="152">
        <f>'Utility report '!AC14</f>
        <v>144</v>
      </c>
      <c r="H14" s="152">
        <f>'Utility report '!AE14</f>
        <v>36</v>
      </c>
      <c r="I14" s="295">
        <f>'Water-Meter'!E14</f>
        <v>60</v>
      </c>
      <c r="J14" s="153">
        <f>'Lpg (2)'!B18</f>
        <v>64</v>
      </c>
      <c r="K14" s="153">
        <f>'Lpg (2)'!C18</f>
        <v>0</v>
      </c>
      <c r="L14" s="153">
        <f>'Lpg (2)'!D18</f>
        <v>0</v>
      </c>
      <c r="M14" s="448">
        <f>'Lpg (2)'!G18</f>
        <v>74882.600000000006</v>
      </c>
      <c r="N14" s="150">
        <f t="shared" si="2"/>
        <v>3714.2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>
        <f t="shared" si="0"/>
        <v>371.41999999999996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10.39</v>
      </c>
      <c r="C15" s="6">
        <f>Gen!U20</f>
        <v>0.42092659446450054</v>
      </c>
      <c r="D15" s="151">
        <f>Gen!T20</f>
        <v>2493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36</v>
      </c>
      <c r="I15" s="295">
        <f>'Water-Meter'!E15</f>
        <v>57</v>
      </c>
      <c r="J15" s="153">
        <f>'Lpg (2)'!B19</f>
        <v>61</v>
      </c>
      <c r="K15" s="153">
        <f>'Lpg (2)'!C19</f>
        <v>0</v>
      </c>
      <c r="L15" s="153">
        <f>'Lpg (2)'!D19</f>
        <v>0</v>
      </c>
      <c r="M15" s="448">
        <f>'Lpg (2)'!G19</f>
        <v>74901.7</v>
      </c>
      <c r="N15" s="150">
        <f t="shared" si="2"/>
        <v>3490.2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>
        <f t="shared" si="0"/>
        <v>335.91915303176125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11.69</v>
      </c>
      <c r="C16" s="6">
        <f>Gen!U21</f>
        <v>0.41895174050632905</v>
      </c>
      <c r="D16" s="151">
        <f>Gen!T21</f>
        <v>2528</v>
      </c>
      <c r="E16" s="151">
        <f>Gen!AK21</f>
        <v>0</v>
      </c>
      <c r="F16" s="151">
        <f>Gen!AS21</f>
        <v>0</v>
      </c>
      <c r="G16" s="152">
        <f>'Utility report '!AC16</f>
        <v>100</v>
      </c>
      <c r="H16" s="152">
        <f>'Utility report '!AE16</f>
        <v>75</v>
      </c>
      <c r="I16" s="295">
        <f>'Water-Meter'!E16</f>
        <v>49</v>
      </c>
      <c r="J16" s="153">
        <f>'Lpg (2)'!B20</f>
        <v>60</v>
      </c>
      <c r="K16" s="153">
        <f>'Lpg (2)'!C20</f>
        <v>0</v>
      </c>
      <c r="L16" s="153">
        <f>'Lpg (2)'!D20</f>
        <v>0</v>
      </c>
      <c r="M16" s="448">
        <f>'Lpg (2)'!G20</f>
        <v>74919.520000000004</v>
      </c>
      <c r="N16" s="150">
        <f t="shared" si="2"/>
        <v>3539.2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>
        <f t="shared" si="0"/>
        <v>302.75449101796409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23.38</v>
      </c>
      <c r="C17" s="6">
        <f>Gen!U22</f>
        <v>0.41330003699593049</v>
      </c>
      <c r="D17" s="151">
        <f>Gen!T22</f>
        <v>2703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55</v>
      </c>
      <c r="I17" s="295">
        <f>'Water-Meter'!E17</f>
        <v>52</v>
      </c>
      <c r="J17" s="153">
        <f>'Lpg (2)'!B21</f>
        <v>55</v>
      </c>
      <c r="K17" s="153">
        <f>'Lpg (2)'!C22</f>
        <v>0</v>
      </c>
      <c r="L17" s="153">
        <f>'Lpg (2)'!D21</f>
        <v>0</v>
      </c>
      <c r="M17" s="448">
        <f>'Lpg (2)'!G21</f>
        <v>74960.75</v>
      </c>
      <c r="N17" s="150">
        <f t="shared" si="2"/>
        <v>3784.2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>
        <f t="shared" si="0"/>
        <v>161.8562874251497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22.08</v>
      </c>
      <c r="C18" s="6">
        <f>Gen!U23</f>
        <v>0.42059107806691454</v>
      </c>
      <c r="D18" s="151">
        <f>Gen!T23</f>
        <v>2690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46</v>
      </c>
      <c r="I18" s="295">
        <f>'Water-Meter'!E18</f>
        <v>58</v>
      </c>
      <c r="J18" s="153">
        <f>'Lpg (2)'!B22</f>
        <v>54</v>
      </c>
      <c r="K18" s="153">
        <f>'Lpg (2)'!C23</f>
        <v>0</v>
      </c>
      <c r="L18" s="153">
        <f>'Lpg (2)'!D22</f>
        <v>0</v>
      </c>
      <c r="M18" s="448">
        <f>'Lpg (2)'!G22</f>
        <v>74975</v>
      </c>
      <c r="N18" s="150">
        <f t="shared" si="2"/>
        <v>3765.9999999999995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>
        <f t="shared" si="0"/>
        <v>170.56159420289853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19.48</v>
      </c>
      <c r="C19" s="6">
        <f>Gen!U24</f>
        <v>0.42069954529555786</v>
      </c>
      <c r="D19" s="151">
        <f>Gen!T24</f>
        <v>2859</v>
      </c>
      <c r="E19" s="151">
        <f>Gen!AK24</f>
        <v>0</v>
      </c>
      <c r="F19" s="151">
        <f>Gen!AS24</f>
        <v>0</v>
      </c>
      <c r="G19" s="152">
        <f>'Utility report '!AC19</f>
        <v>88</v>
      </c>
      <c r="H19" s="152">
        <f>'Utility report '!AE19</f>
        <v>49</v>
      </c>
      <c r="I19" s="295">
        <f>'Water-Meter'!E19</f>
        <v>54</v>
      </c>
      <c r="J19" s="153">
        <f>'Lpg (2)'!B23</f>
        <v>51</v>
      </c>
      <c r="K19" s="153">
        <f>'Lpg (2)'!C24</f>
        <v>0</v>
      </c>
      <c r="L19" s="153">
        <f>'Lpg (2)'!D23</f>
        <v>0</v>
      </c>
      <c r="M19" s="448">
        <f>'Lpg (2)'!G23</f>
        <v>74968</v>
      </c>
      <c r="N19" s="150">
        <f t="shared" si="2"/>
        <v>4002.6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>
        <f t="shared" si="0"/>
        <v>205.47227926078028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12.99</v>
      </c>
      <c r="C20" s="6">
        <f>Gen!U25</f>
        <v>0.41529020979020981</v>
      </c>
      <c r="D20" s="151">
        <f>Gen!T25</f>
        <v>2860</v>
      </c>
      <c r="E20" s="151">
        <f>Gen!AK25</f>
        <v>0</v>
      </c>
      <c r="F20" s="151">
        <f>Gen!AS25</f>
        <v>0</v>
      </c>
      <c r="G20" s="152">
        <f>'Utility report '!AC20</f>
        <v>98</v>
      </c>
      <c r="H20" s="152">
        <f>'Utility report '!AE20</f>
        <v>55</v>
      </c>
      <c r="I20" s="295">
        <f>'Water-Meter'!E20</f>
        <v>56</v>
      </c>
      <c r="J20" s="153">
        <f>'Lpg (2)'!B24</f>
        <v>50</v>
      </c>
      <c r="K20" s="153">
        <f>'Lpg (2)'!C25</f>
        <v>0</v>
      </c>
      <c r="L20" s="153">
        <f>'Lpg (2)'!D24</f>
        <v>0</v>
      </c>
      <c r="M20" s="448">
        <f>'Lpg (2)'!G24</f>
        <v>74980</v>
      </c>
      <c r="N20" s="150">
        <f t="shared" si="2"/>
        <v>4003.9999999999995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>
        <f t="shared" si="0"/>
        <v>308.23710546574284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9.09</v>
      </c>
      <c r="C21" s="6">
        <f>Gen!U26</f>
        <v>0.41954097116843708</v>
      </c>
      <c r="D21" s="151">
        <f>Gen!T26</f>
        <v>2636</v>
      </c>
      <c r="E21" s="151">
        <f>Gen!AK26</f>
        <v>0</v>
      </c>
      <c r="F21" s="151">
        <f>Gen!AS26</f>
        <v>0</v>
      </c>
      <c r="G21" s="152">
        <f>'Utility report '!AC21</f>
        <v>34</v>
      </c>
      <c r="H21" s="152">
        <f>'Utility report '!AE21</f>
        <v>32</v>
      </c>
      <c r="I21" s="295">
        <f>'Water-Meter'!E21</f>
        <v>45</v>
      </c>
      <c r="J21" s="153">
        <f>'Lpg (2)'!B25</f>
        <v>50</v>
      </c>
      <c r="K21" s="153">
        <f>'Lpg (2)'!C25</f>
        <v>0</v>
      </c>
      <c r="L21" s="153">
        <f>'Lpg (2)'!D25</f>
        <v>0</v>
      </c>
      <c r="M21" s="448">
        <f>'Lpg (2)'!G25</f>
        <v>74998</v>
      </c>
      <c r="N21" s="150">
        <f t="shared" si="2"/>
        <v>3690.3999999999996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>
        <f t="shared" si="0"/>
        <v>405.98459845984593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11.69</v>
      </c>
      <c r="C22" s="6">
        <f>Gen!U27</f>
        <v>0.40314793794930004</v>
      </c>
      <c r="D22" s="151">
        <f>Gen!T27</f>
        <v>2643</v>
      </c>
      <c r="E22" s="151">
        <f>Gen!AK27</f>
        <v>0</v>
      </c>
      <c r="F22" s="151">
        <f>Gen!AS27</f>
        <v>0</v>
      </c>
      <c r="G22" s="152">
        <f>'Utility report '!AC22</f>
        <v>34</v>
      </c>
      <c r="H22" s="152">
        <f>'Utility report '!AE22</f>
        <v>48</v>
      </c>
      <c r="I22" s="295">
        <f>'Water-Meter'!E22</f>
        <v>48</v>
      </c>
      <c r="J22" s="153">
        <f>'Lpg (2)'!B26</f>
        <v>51</v>
      </c>
      <c r="K22" s="153">
        <f>'Lpg (2)'!C26</f>
        <v>85</v>
      </c>
      <c r="L22" s="153">
        <f>'Lpg (2)'!D26</f>
        <v>85</v>
      </c>
      <c r="M22" s="448">
        <f>'Lpg (2)'!G26</f>
        <v>75012</v>
      </c>
      <c r="N22" s="150">
        <f t="shared" si="2"/>
        <v>3700.2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>
        <f t="shared" si="0"/>
        <v>316.52694610778445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11.69</v>
      </c>
      <c r="C23" s="6">
        <f>Gen!U28</f>
        <v>0.38842197957027125</v>
      </c>
      <c r="D23" s="151">
        <f>Gen!T28</f>
        <v>2839</v>
      </c>
      <c r="E23" s="151">
        <f>Gen!AK28</f>
        <v>0</v>
      </c>
      <c r="F23" s="151">
        <f>Gen!AS28</f>
        <v>0</v>
      </c>
      <c r="G23" s="152">
        <f>'Utility report '!AC23</f>
        <v>33</v>
      </c>
      <c r="H23" s="152">
        <f>'Utility report '!AE23</f>
        <v>36</v>
      </c>
      <c r="I23" s="295">
        <f>'Water-Meter'!E23</f>
        <v>53</v>
      </c>
      <c r="J23" s="153">
        <f>'Lpg (2)'!B27</f>
        <v>50</v>
      </c>
      <c r="K23" s="153">
        <f>'Lpg (2)'!C27</f>
        <v>85</v>
      </c>
      <c r="L23" s="153">
        <f>'Lpg (2)'!D27</f>
        <v>85</v>
      </c>
      <c r="M23" s="448">
        <f>'Lpg (2)'!G27</f>
        <v>75027</v>
      </c>
      <c r="N23" s="150">
        <f t="shared" si="2"/>
        <v>3974.6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>
        <f t="shared" si="0"/>
        <v>340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15.58</v>
      </c>
      <c r="C24" s="6">
        <f>Gen!U29</f>
        <v>0.4128609625668449</v>
      </c>
      <c r="D24" s="151">
        <f>Gen!T29</f>
        <v>2992</v>
      </c>
      <c r="E24" s="151">
        <f>Gen!AK29</f>
        <v>0</v>
      </c>
      <c r="F24" s="151">
        <f>Gen!AS29</f>
        <v>0</v>
      </c>
      <c r="G24" s="152">
        <f>'Utility report '!AC24</f>
        <v>35</v>
      </c>
      <c r="H24" s="152">
        <f>'Utility report '!AE24</f>
        <v>23</v>
      </c>
      <c r="I24" s="295">
        <f>'Water-Meter'!E24</f>
        <v>65</v>
      </c>
      <c r="J24" s="153">
        <f>'Lpg (2)'!B28</f>
        <v>49</v>
      </c>
      <c r="K24" s="153">
        <f>'Lpg (2)'!C28</f>
        <v>85</v>
      </c>
      <c r="L24" s="153">
        <f>'Lpg (2)'!D28</f>
        <v>85</v>
      </c>
      <c r="M24" s="448">
        <f>'Lpg (2)'!G28</f>
        <v>75047.38</v>
      </c>
      <c r="N24" s="150">
        <f t="shared" si="2"/>
        <v>4188.8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>
        <f t="shared" si="0"/>
        <v>268.85750962772789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14.29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-46744</v>
      </c>
      <c r="H25" s="152">
        <f>'Utility report '!AE25</f>
        <v>-211864</v>
      </c>
      <c r="I25" s="295" t="str">
        <f>'Water-Meter'!E25</f>
        <v>0</v>
      </c>
      <c r="J25" s="153">
        <f>'Lpg (2)'!B29</f>
        <v>47</v>
      </c>
      <c r="K25" s="153">
        <f>'Lpg (2)'!C29</f>
        <v>85</v>
      </c>
      <c r="L25" s="153">
        <f>'Lpg (2)'!D29</f>
        <v>85</v>
      </c>
      <c r="M25" s="448">
        <f>'Lpg (2)'!G29</f>
        <v>75065.86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>
        <f t="shared" si="0"/>
        <v>0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211.3</v>
      </c>
      <c r="C39" s="452" t="e">
        <f>SUM(C7:C35)</f>
        <v>#DIV/0!</v>
      </c>
      <c r="D39" s="452">
        <f>SUM(D7:D35)</f>
        <v>48712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944</v>
      </c>
      <c r="J39" s="452">
        <f t="shared" si="3"/>
        <v>1149</v>
      </c>
      <c r="K39" s="452">
        <f t="shared" si="3"/>
        <v>340</v>
      </c>
      <c r="L39" s="452">
        <f t="shared" si="3"/>
        <v>340</v>
      </c>
      <c r="M39" s="452">
        <f t="shared" si="3"/>
        <v>1423419.6199999999</v>
      </c>
      <c r="N39" s="452">
        <f t="shared" si="3"/>
        <v>68196.799999999988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AD27" sqref="AD2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7.79</v>
      </c>
      <c r="C12" s="761">
        <f>Gen!B17</f>
        <v>7.7899999999999997E-2</v>
      </c>
      <c r="D12" s="723">
        <f>'Summery Report'!E11</f>
        <v>7.79</v>
      </c>
      <c r="E12" s="723">
        <f t="shared" si="13"/>
        <v>1.3262195121951219</v>
      </c>
      <c r="F12" s="437">
        <f t="shared" si="14"/>
        <v>473.28501205422839</v>
      </c>
      <c r="G12" s="437">
        <f t="shared" si="0"/>
        <v>473.28501205422839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418187.00000000006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5.19</v>
      </c>
      <c r="C13" s="761">
        <f>Gen!B18</f>
        <v>5.1900000000000002E-2</v>
      </c>
      <c r="D13" s="723">
        <f>'Summery Report'!E12</f>
        <v>5.19</v>
      </c>
      <c r="E13" s="723">
        <f t="shared" si="13"/>
        <v>1.3262195121951219</v>
      </c>
      <c r="F13" s="437">
        <f t="shared" si="14"/>
        <v>650.33307486254046</v>
      </c>
      <c r="G13" s="437">
        <f t="shared" si="0"/>
        <v>650.33307486254046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10</v>
      </c>
      <c r="C14" s="761">
        <f>Gen!B19</f>
        <v>0.10390000000000001</v>
      </c>
      <c r="D14" s="723">
        <f>'Summery Report'!E13</f>
        <v>10</v>
      </c>
      <c r="E14" s="723">
        <f t="shared" si="13"/>
        <v>1.3262195121951219</v>
      </c>
      <c r="F14" s="437">
        <f t="shared" si="14"/>
        <v>351.84603658536582</v>
      </c>
      <c r="G14" s="437">
        <f t="shared" si="0"/>
        <v>351.84603658536582</v>
      </c>
      <c r="H14" s="723">
        <f>Gen!C19</f>
        <v>40432.100000000006</v>
      </c>
      <c r="I14" s="723">
        <f>Gen!E19</f>
        <v>0</v>
      </c>
      <c r="J14" s="762">
        <f>Gen!T19</f>
        <v>2653</v>
      </c>
      <c r="K14" s="767">
        <f>Gen!AK19</f>
        <v>0</v>
      </c>
      <c r="L14" s="758">
        <f t="shared" ref="L14:L37" si="17">SUM(J14:K14)</f>
        <v>2653</v>
      </c>
      <c r="M14" s="447">
        <f>'Water-Meter'!K54</f>
        <v>577.4120452141276</v>
      </c>
      <c r="N14" s="718">
        <f>'Water-Meter'!E14</f>
        <v>60</v>
      </c>
      <c r="O14" s="708"/>
      <c r="P14" s="716">
        <v>19032</v>
      </c>
      <c r="Q14" s="728">
        <f t="shared" si="2"/>
        <v>0</v>
      </c>
      <c r="R14" s="425">
        <f t="shared" si="5"/>
        <v>0</v>
      </c>
      <c r="S14" s="697">
        <v>6.5</v>
      </c>
      <c r="T14" s="704">
        <v>17554</v>
      </c>
      <c r="U14" s="728">
        <f t="shared" si="6"/>
        <v>15</v>
      </c>
      <c r="V14" s="426">
        <f t="shared" si="16"/>
        <v>97.5</v>
      </c>
      <c r="W14" s="708">
        <v>2.2000000000000002</v>
      </c>
      <c r="X14" s="709">
        <v>27155</v>
      </c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>
        <v>46322</v>
      </c>
      <c r="AC14" s="692">
        <f t="shared" si="11"/>
        <v>144</v>
      </c>
      <c r="AD14" s="694">
        <v>211409</v>
      </c>
      <c r="AE14" s="177">
        <f t="shared" si="15"/>
        <v>36</v>
      </c>
      <c r="AF14" s="722">
        <f>'Lpg (2)'!B18*2000/85</f>
        <v>1505.8823529411766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10.39</v>
      </c>
      <c r="C15" s="761">
        <f>Gen!B20</f>
        <v>0.10390000000000001</v>
      </c>
      <c r="D15" s="723">
        <f>'Summery Report'!E14</f>
        <v>10.39</v>
      </c>
      <c r="E15" s="723">
        <f t="shared" si="13"/>
        <v>1.3262195121951219</v>
      </c>
      <c r="F15" s="437">
        <f t="shared" si="14"/>
        <v>318.21609662198642</v>
      </c>
      <c r="G15" s="437">
        <f t="shared" si="0"/>
        <v>318.21609662198642</v>
      </c>
      <c r="H15" s="723">
        <f>Gen!C20</f>
        <v>39164.810000000005</v>
      </c>
      <c r="I15" s="723">
        <f>Gen!E20</f>
        <v>0</v>
      </c>
      <c r="J15" s="762">
        <f>Gen!T20</f>
        <v>2493</v>
      </c>
      <c r="K15" s="767">
        <f>Gen!AK20</f>
        <v>0</v>
      </c>
      <c r="L15" s="758">
        <f t="shared" si="17"/>
        <v>2493</v>
      </c>
      <c r="M15" s="447">
        <f>'Water-Meter'!K55</f>
        <v>443.44952912743776</v>
      </c>
      <c r="N15" s="718">
        <f>'Water-Meter'!E15</f>
        <v>57</v>
      </c>
      <c r="O15" s="708"/>
      <c r="P15" s="716">
        <v>19032</v>
      </c>
      <c r="Q15" s="728">
        <f t="shared" si="2"/>
        <v>0</v>
      </c>
      <c r="R15" s="425">
        <f t="shared" si="5"/>
        <v>0</v>
      </c>
      <c r="S15" s="697">
        <v>6.5</v>
      </c>
      <c r="T15" s="704">
        <v>17554</v>
      </c>
      <c r="U15" s="728">
        <f t="shared" si="6"/>
        <v>0</v>
      </c>
      <c r="V15" s="426">
        <f t="shared" si="16"/>
        <v>0</v>
      </c>
      <c r="W15" s="708">
        <v>2.2000000000000002</v>
      </c>
      <c r="X15" s="709">
        <v>27155</v>
      </c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>
        <v>46322</v>
      </c>
      <c r="AC15" s="692">
        <f t="shared" si="11"/>
        <v>0</v>
      </c>
      <c r="AD15" s="694">
        <v>211445</v>
      </c>
      <c r="AE15" s="177">
        <f>AD15-AD14</f>
        <v>36</v>
      </c>
      <c r="AF15" s="722">
        <f>'Lpg (2)'!B19*2000/85</f>
        <v>1435.2941176470588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2870588.2352941176</v>
      </c>
      <c r="AJ15" s="427">
        <f t="shared" si="4"/>
        <v>188235.29411764722</v>
      </c>
      <c r="AK15" s="131"/>
    </row>
    <row r="16" spans="1:37" ht="19.5" thickBot="1">
      <c r="A16" s="756">
        <f>Gen!A21</f>
        <v>44238</v>
      </c>
      <c r="B16" s="424">
        <f>'Summery Report'!E15</f>
        <v>11.69</v>
      </c>
      <c r="C16" s="761">
        <f>Gen!B21</f>
        <v>0.1169</v>
      </c>
      <c r="D16" s="723">
        <f>'Summery Report'!E15</f>
        <v>11.69</v>
      </c>
      <c r="E16" s="723">
        <f t="shared" si="13"/>
        <v>1.3262195121951219</v>
      </c>
      <c r="F16" s="437">
        <f t="shared" si="14"/>
        <v>286.79922385194766</v>
      </c>
      <c r="G16" s="437">
        <f t="shared" si="0"/>
        <v>286.79922385194766</v>
      </c>
      <c r="H16" s="723">
        <f>Gen!C21</f>
        <v>38115.440000000002</v>
      </c>
      <c r="I16" s="723">
        <f>Gen!E21</f>
        <v>0</v>
      </c>
      <c r="J16" s="762">
        <f>Gen!T21</f>
        <v>2528</v>
      </c>
      <c r="K16" s="767">
        <f>Gen!AK21</f>
        <v>0</v>
      </c>
      <c r="L16" s="758">
        <f t="shared" si="17"/>
        <v>2528</v>
      </c>
      <c r="M16" s="447">
        <f>'Water-Meter'!K56</f>
        <v>440.60668345978661</v>
      </c>
      <c r="N16" s="718">
        <f>'Water-Meter'!E16</f>
        <v>49</v>
      </c>
      <c r="O16" s="708"/>
      <c r="P16" s="716">
        <v>19032</v>
      </c>
      <c r="Q16" s="728">
        <f t="shared" si="2"/>
        <v>0</v>
      </c>
      <c r="R16" s="425">
        <f t="shared" si="5"/>
        <v>0</v>
      </c>
      <c r="S16" s="697">
        <v>6.5</v>
      </c>
      <c r="T16" s="704">
        <v>17571</v>
      </c>
      <c r="U16" s="728">
        <f t="shared" si="6"/>
        <v>17</v>
      </c>
      <c r="V16" s="426">
        <f t="shared" si="16"/>
        <v>110.5</v>
      </c>
      <c r="W16" s="708">
        <v>2.2000000000000002</v>
      </c>
      <c r="X16" s="709">
        <v>27155</v>
      </c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>
        <v>46422</v>
      </c>
      <c r="AC16" s="692">
        <f t="shared" si="11"/>
        <v>100</v>
      </c>
      <c r="AD16" s="694">
        <v>211520</v>
      </c>
      <c r="AE16" s="177">
        <f t="shared" si="15"/>
        <v>75</v>
      </c>
      <c r="AF16" s="722">
        <f>'Lpg (2)'!B20*2000/85</f>
        <v>1411.7647058823529</v>
      </c>
      <c r="AG16" s="265">
        <f>'Lpg (2)'!C20*1000/85</f>
        <v>0</v>
      </c>
      <c r="AH16" s="735">
        <f>'Lpg (2)'!D20*1000/85</f>
        <v>0</v>
      </c>
      <c r="AI16" s="725">
        <f t="shared" si="18"/>
        <v>2823529.411764706</v>
      </c>
      <c r="AJ16" s="427">
        <f t="shared" si="4"/>
        <v>47058.823529411573</v>
      </c>
      <c r="AK16" s="131"/>
    </row>
    <row r="17" spans="1:37" ht="19.5" thickBot="1">
      <c r="A17" s="756">
        <f>Gen!A22</f>
        <v>44239</v>
      </c>
      <c r="B17" s="424">
        <f>'Summery Report'!E16</f>
        <v>23.38</v>
      </c>
      <c r="C17" s="761">
        <f>Gen!B22</f>
        <v>0.23380000000000001</v>
      </c>
      <c r="D17" s="723">
        <f>'Summery Report'!E16</f>
        <v>23.38</v>
      </c>
      <c r="E17" s="723">
        <f t="shared" si="13"/>
        <v>1.3262195121951219</v>
      </c>
      <c r="F17" s="437">
        <f t="shared" si="14"/>
        <v>153.32640468192534</v>
      </c>
      <c r="G17" s="437">
        <f t="shared" si="0"/>
        <v>153.32640468192534</v>
      </c>
      <c r="H17" s="723">
        <f>Gen!C22</f>
        <v>36989.9</v>
      </c>
      <c r="I17" s="723">
        <f>Gen!E22</f>
        <v>0</v>
      </c>
      <c r="J17" s="762">
        <f>Gen!T22</f>
        <v>2703</v>
      </c>
      <c r="K17" s="767">
        <f>Gen!AK22</f>
        <v>0</v>
      </c>
      <c r="L17" s="758">
        <f t="shared" si="17"/>
        <v>2703</v>
      </c>
      <c r="M17" s="447">
        <f>'Water-Meter'!K57</f>
        <v>488.84996628590773</v>
      </c>
      <c r="N17" s="718">
        <f>'Water-Meter'!E17</f>
        <v>52</v>
      </c>
      <c r="O17" s="708"/>
      <c r="P17" s="716">
        <v>19032</v>
      </c>
      <c r="Q17" s="728">
        <f>SUM(P18-P16)</f>
        <v>0</v>
      </c>
      <c r="R17" s="425">
        <f t="shared" si="5"/>
        <v>0</v>
      </c>
      <c r="S17" s="697">
        <v>6.5</v>
      </c>
      <c r="T17" s="704">
        <v>17571</v>
      </c>
      <c r="U17" s="728">
        <f t="shared" si="6"/>
        <v>0</v>
      </c>
      <c r="V17" s="426">
        <f t="shared" ref="V17:V36" si="19">SUM(U17*S17)</f>
        <v>0</v>
      </c>
      <c r="W17" s="708">
        <v>2.2000000000000002</v>
      </c>
      <c r="X17" s="709">
        <v>27155</v>
      </c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>
        <v>46422</v>
      </c>
      <c r="AC17" s="692">
        <f t="shared" si="11"/>
        <v>0</v>
      </c>
      <c r="AD17" s="694">
        <v>211575</v>
      </c>
      <c r="AE17" s="177">
        <f t="shared" si="15"/>
        <v>55</v>
      </c>
      <c r="AF17" s="722">
        <f>'Lpg (2)'!B21*2000/85</f>
        <v>1294.1176470588234</v>
      </c>
      <c r="AG17" s="265">
        <f>'Lpg (2)'!C21*1000/85</f>
        <v>0</v>
      </c>
      <c r="AH17" s="735">
        <f>'Lpg (2)'!D21*1000/85</f>
        <v>0</v>
      </c>
      <c r="AI17" s="725">
        <f t="shared" si="18"/>
        <v>2588235.2941176468</v>
      </c>
      <c r="AJ17" s="427">
        <f t="shared" si="4"/>
        <v>235294.11764705926</v>
      </c>
      <c r="AK17" s="131"/>
    </row>
    <row r="18" spans="1:37" ht="19.5" thickBot="1">
      <c r="A18" s="756">
        <f>Gen!A23</f>
        <v>44240</v>
      </c>
      <c r="B18" s="424">
        <f>'Summery Report'!E17</f>
        <v>22.08</v>
      </c>
      <c r="C18" s="761">
        <f>Gen!B23</f>
        <v>0.2208</v>
      </c>
      <c r="D18" s="723">
        <f>'Summery Report'!E17</f>
        <v>22.08</v>
      </c>
      <c r="E18" s="723">
        <f t="shared" si="13"/>
        <v>1.3262195121951219</v>
      </c>
      <c r="F18" s="437">
        <f t="shared" si="14"/>
        <v>161.57293875927888</v>
      </c>
      <c r="G18" s="437">
        <f t="shared" si="0"/>
        <v>161.57293875927888</v>
      </c>
      <c r="H18" s="723">
        <f>Gen!C23</f>
        <v>35756.75</v>
      </c>
      <c r="I18" s="723">
        <f>Gen!E23</f>
        <v>15000</v>
      </c>
      <c r="J18" s="762">
        <f>Gen!T23</f>
        <v>2690</v>
      </c>
      <c r="K18" s="767">
        <f>Gen!AK23</f>
        <v>0</v>
      </c>
      <c r="L18" s="758">
        <f t="shared" si="17"/>
        <v>2690</v>
      </c>
      <c r="M18" s="447">
        <f>'Water-Meter'!K58</f>
        <v>473.97030548173166</v>
      </c>
      <c r="N18" s="718">
        <f>'Water-Meter'!E18</f>
        <v>58</v>
      </c>
      <c r="O18" s="708"/>
      <c r="P18" s="716">
        <v>19032</v>
      </c>
      <c r="Q18" s="728"/>
      <c r="R18" s="425">
        <f t="shared" si="5"/>
        <v>0</v>
      </c>
      <c r="S18" s="697">
        <v>6.5</v>
      </c>
      <c r="T18" s="704">
        <v>17588</v>
      </c>
      <c r="U18" s="728">
        <f t="shared" si="6"/>
        <v>17</v>
      </c>
      <c r="V18" s="426">
        <f>SUM(U18*S19)</f>
        <v>110.5</v>
      </c>
      <c r="W18" s="708">
        <v>2.2000000000000002</v>
      </c>
      <c r="X18" s="709">
        <v>27155</v>
      </c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>
        <v>46422</v>
      </c>
      <c r="AC18" s="692">
        <f t="shared" si="11"/>
        <v>0</v>
      </c>
      <c r="AD18" s="694">
        <v>211621</v>
      </c>
      <c r="AE18" s="177">
        <f t="shared" si="15"/>
        <v>46</v>
      </c>
      <c r="AF18" s="722">
        <f>'Lpg (2)'!B22*2000/85</f>
        <v>1270.5882352941176</v>
      </c>
      <c r="AG18" s="265">
        <f>'Lpg (2)'!C22*1000/85</f>
        <v>0</v>
      </c>
      <c r="AH18" s="735">
        <f>'Lpg (2)'!D22*1000/85</f>
        <v>0</v>
      </c>
      <c r="AI18" s="725">
        <f t="shared" si="18"/>
        <v>2541176.4705882352</v>
      </c>
      <c r="AJ18" s="427">
        <f t="shared" si="4"/>
        <v>47058.823529411573</v>
      </c>
      <c r="AK18" s="131"/>
    </row>
    <row r="19" spans="1:37" ht="19.5" thickBot="1">
      <c r="A19" s="756">
        <f>Gen!A24</f>
        <v>44241</v>
      </c>
      <c r="B19" s="424">
        <f>'Summery Report'!E18</f>
        <v>19.48</v>
      </c>
      <c r="C19" s="761">
        <f>Gen!B24</f>
        <v>0.1948</v>
      </c>
      <c r="D19" s="723">
        <f>'Summery Report'!E18</f>
        <v>19.48</v>
      </c>
      <c r="E19" s="723">
        <f t="shared" si="13"/>
        <v>1.3262195121951219</v>
      </c>
      <c r="F19" s="437">
        <f t="shared" si="14"/>
        <v>194.6438185506085</v>
      </c>
      <c r="G19" s="437">
        <f t="shared" si="0"/>
        <v>194.6438185506085</v>
      </c>
      <c r="H19" s="723">
        <f>Gen!C24</f>
        <v>34151.22</v>
      </c>
      <c r="I19" s="723">
        <f>Gen!E24</f>
        <v>0</v>
      </c>
      <c r="J19" s="762">
        <f>Gen!T24</f>
        <v>2859</v>
      </c>
      <c r="K19" s="767">
        <f>Gen!AK24</f>
        <v>0</v>
      </c>
      <c r="L19" s="758">
        <f t="shared" si="17"/>
        <v>2859</v>
      </c>
      <c r="M19" s="447">
        <f>'Water-Meter'!K59</f>
        <v>419.49228336773297</v>
      </c>
      <c r="N19" s="718">
        <f>'Water-Meter'!E19</f>
        <v>54</v>
      </c>
      <c r="O19" s="708"/>
      <c r="P19" s="716">
        <v>19032</v>
      </c>
      <c r="Q19" s="728"/>
      <c r="R19" s="425">
        <f t="shared" si="5"/>
        <v>0</v>
      </c>
      <c r="S19" s="697">
        <v>6.5</v>
      </c>
      <c r="T19" s="704">
        <v>17588</v>
      </c>
      <c r="U19" s="728">
        <f t="shared" si="6"/>
        <v>0</v>
      </c>
      <c r="V19" s="426" t="e">
        <f>SUM(U19*#REF!)</f>
        <v>#REF!</v>
      </c>
      <c r="W19" s="703">
        <v>2.2999999999999998</v>
      </c>
      <c r="X19" s="709">
        <v>27170</v>
      </c>
      <c r="Y19" s="728">
        <f t="shared" si="8"/>
        <v>15</v>
      </c>
      <c r="Z19" s="707">
        <f t="shared" si="9"/>
        <v>34.5</v>
      </c>
      <c r="AA19" s="715">
        <f t="shared" si="10"/>
        <v>939021</v>
      </c>
      <c r="AB19" s="712">
        <v>46510</v>
      </c>
      <c r="AC19" s="692">
        <f t="shared" si="11"/>
        <v>88</v>
      </c>
      <c r="AD19" s="694">
        <v>211670</v>
      </c>
      <c r="AE19" s="177">
        <f t="shared" si="15"/>
        <v>49</v>
      </c>
      <c r="AF19" s="722">
        <f>'Lpg (2)'!B23*2000/85</f>
        <v>1200</v>
      </c>
      <c r="AG19" s="265">
        <f>'Lpg (2)'!C23*1000/85</f>
        <v>0</v>
      </c>
      <c r="AH19" s="735">
        <f>'Lpg (2)'!D23*1000/85</f>
        <v>0</v>
      </c>
      <c r="AI19" s="725">
        <f t="shared" si="18"/>
        <v>2400000</v>
      </c>
      <c r="AJ19" s="427">
        <f t="shared" si="4"/>
        <v>141176.47058823518</v>
      </c>
      <c r="AK19" s="131"/>
    </row>
    <row r="20" spans="1:37" ht="19.5" thickBot="1">
      <c r="A20" s="756">
        <f>Gen!A25</f>
        <v>44242</v>
      </c>
      <c r="B20" s="424">
        <f>'Summery Report'!E19</f>
        <v>12.99</v>
      </c>
      <c r="C20" s="761">
        <f>Gen!B25</f>
        <v>0.12989999999999999</v>
      </c>
      <c r="D20" s="723">
        <f>'Summery Report'!E19</f>
        <v>12.99</v>
      </c>
      <c r="E20" s="723">
        <f t="shared" si="13"/>
        <v>1.3262195121951219</v>
      </c>
      <c r="F20" s="437">
        <f t="shared" si="14"/>
        <v>291.9929026080099</v>
      </c>
      <c r="G20" s="437">
        <f t="shared" si="0"/>
        <v>291.9929026080099</v>
      </c>
      <c r="H20" s="723">
        <f>Gen!C25</f>
        <v>32796.44</v>
      </c>
      <c r="I20" s="723">
        <f>Gen!E25</f>
        <v>0</v>
      </c>
      <c r="J20" s="762">
        <f>Gen!T25</f>
        <v>2860</v>
      </c>
      <c r="K20" s="767">
        <f>Gen!AK25</f>
        <v>0</v>
      </c>
      <c r="L20" s="758">
        <f t="shared" si="17"/>
        <v>2860</v>
      </c>
      <c r="M20" s="447">
        <f>'Water-Meter'!K60</f>
        <v>373.01954491812171</v>
      </c>
      <c r="N20" s="718">
        <f>'Water-Meter'!E20</f>
        <v>56</v>
      </c>
      <c r="O20" s="708"/>
      <c r="P20" s="716">
        <v>19032</v>
      </c>
      <c r="Q20" s="728">
        <f t="shared" si="2"/>
        <v>0</v>
      </c>
      <c r="R20" s="425">
        <f t="shared" si="5"/>
        <v>0</v>
      </c>
      <c r="S20" s="697">
        <v>6.5</v>
      </c>
      <c r="T20" s="704">
        <v>17588</v>
      </c>
      <c r="U20" s="728">
        <f t="shared" si="6"/>
        <v>0</v>
      </c>
      <c r="V20" s="426">
        <f t="shared" si="19"/>
        <v>0</v>
      </c>
      <c r="W20" s="703">
        <v>2.2999999999999998</v>
      </c>
      <c r="X20" s="709">
        <v>27195</v>
      </c>
      <c r="Y20" s="728">
        <f t="shared" si="8"/>
        <v>25</v>
      </c>
      <c r="Z20" s="707">
        <f t="shared" si="9"/>
        <v>57.499999999999993</v>
      </c>
      <c r="AA20" s="715">
        <f t="shared" si="10"/>
        <v>1566414.9999999998</v>
      </c>
      <c r="AB20" s="712">
        <v>46608</v>
      </c>
      <c r="AC20" s="692">
        <f t="shared" si="11"/>
        <v>98</v>
      </c>
      <c r="AD20" s="694">
        <v>211725</v>
      </c>
      <c r="AE20" s="177">
        <f t="shared" si="15"/>
        <v>55</v>
      </c>
      <c r="AF20" s="722">
        <f>'Lpg (2)'!B24*2000/85</f>
        <v>1176.4705882352941</v>
      </c>
      <c r="AG20" s="265">
        <f>'Lpg (2)'!C24*1000/85</f>
        <v>0</v>
      </c>
      <c r="AH20" s="735">
        <f>'Lpg (2)'!D24*1000/85</f>
        <v>0</v>
      </c>
      <c r="AI20" s="725">
        <f t="shared" si="18"/>
        <v>2352941.1764705884</v>
      </c>
      <c r="AJ20" s="427">
        <f t="shared" si="4"/>
        <v>47058.823529411573</v>
      </c>
      <c r="AK20" s="131"/>
    </row>
    <row r="21" spans="1:37" ht="19.5" thickBot="1">
      <c r="A21" s="756">
        <f>Gen!A26</f>
        <v>44243</v>
      </c>
      <c r="B21" s="424">
        <f>'Summery Report'!E20</f>
        <v>9.09</v>
      </c>
      <c r="C21" s="761">
        <f>Gen!B26</f>
        <v>9.0899999999999995E-2</v>
      </c>
      <c r="D21" s="723">
        <f>'Summery Report'!E20</f>
        <v>9.09</v>
      </c>
      <c r="E21" s="723">
        <f t="shared" si="13"/>
        <v>1.3262195121951219</v>
      </c>
      <c r="F21" s="437">
        <f t="shared" si="14"/>
        <v>384.58906866296388</v>
      </c>
      <c r="G21" s="437">
        <f t="shared" si="0"/>
        <v>384.58906866296388</v>
      </c>
      <c r="H21" s="723">
        <f>Gen!C26</f>
        <v>31573.620000000003</v>
      </c>
      <c r="I21" s="723">
        <f>Gen!E26</f>
        <v>0</v>
      </c>
      <c r="J21" s="762">
        <f>Gen!T26</f>
        <v>2636</v>
      </c>
      <c r="K21" s="767">
        <f>Gen!AK26</f>
        <v>0</v>
      </c>
      <c r="L21" s="758">
        <f t="shared" si="17"/>
        <v>2636</v>
      </c>
      <c r="M21" s="447">
        <f>'Water-Meter'!K61</f>
        <v>442.2624904458209</v>
      </c>
      <c r="N21" s="718">
        <f>'Water-Meter'!E21</f>
        <v>45</v>
      </c>
      <c r="O21" s="708"/>
      <c r="P21" s="716">
        <v>19032</v>
      </c>
      <c r="Q21" s="728">
        <f t="shared" si="2"/>
        <v>0</v>
      </c>
      <c r="R21" s="425">
        <f t="shared" si="5"/>
        <v>0</v>
      </c>
      <c r="S21" s="697">
        <v>6.5</v>
      </c>
      <c r="T21" s="704">
        <v>17588</v>
      </c>
      <c r="U21" s="728">
        <f>T22-T20</f>
        <v>0</v>
      </c>
      <c r="V21" s="426">
        <f t="shared" si="19"/>
        <v>0</v>
      </c>
      <c r="W21" s="703">
        <v>2.2999999999999998</v>
      </c>
      <c r="X21" s="709">
        <v>27218</v>
      </c>
      <c r="Y21" s="728">
        <f t="shared" si="8"/>
        <v>23</v>
      </c>
      <c r="Z21" s="707">
        <f t="shared" si="9"/>
        <v>52.9</v>
      </c>
      <c r="AA21" s="715">
        <f t="shared" si="10"/>
        <v>1442371.4</v>
      </c>
      <c r="AB21" s="712">
        <v>46642</v>
      </c>
      <c r="AC21" s="692">
        <f t="shared" si="11"/>
        <v>34</v>
      </c>
      <c r="AD21" s="694">
        <v>211757</v>
      </c>
      <c r="AE21" s="177">
        <f t="shared" si="15"/>
        <v>32</v>
      </c>
      <c r="AF21" s="722">
        <f>'Lpg (2)'!B25*2000/85</f>
        <v>1176.4705882352941</v>
      </c>
      <c r="AG21" s="265">
        <f>'Lpg (2)'!C25*1000/85</f>
        <v>0</v>
      </c>
      <c r="AH21" s="735">
        <f>'Lpg (2)'!D25*1000/85</f>
        <v>0</v>
      </c>
      <c r="AI21" s="725">
        <f t="shared" si="18"/>
        <v>2352941.1764705884</v>
      </c>
      <c r="AJ21" s="427">
        <f t="shared" si="4"/>
        <v>0</v>
      </c>
      <c r="AK21" s="131"/>
    </row>
    <row r="22" spans="1:37" ht="19.5" thickBot="1">
      <c r="A22" s="756">
        <f>Gen!A27</f>
        <v>44244</v>
      </c>
      <c r="B22" s="424">
        <f>'Summery Report'!E21</f>
        <v>11.69</v>
      </c>
      <c r="C22" s="761">
        <f>Gen!B27</f>
        <v>0.1169</v>
      </c>
      <c r="D22" s="723">
        <f>'Summery Report'!E21</f>
        <v>11.69</v>
      </c>
      <c r="E22" s="723">
        <f t="shared" si="13"/>
        <v>1.3262195121951219</v>
      </c>
      <c r="F22" s="437">
        <f t="shared" si="14"/>
        <v>299.84586575976965</v>
      </c>
      <c r="G22" s="437">
        <f t="shared" si="0"/>
        <v>299.84586575976965</v>
      </c>
      <c r="H22" s="723">
        <f>Gen!C27</f>
        <v>45277.760000000002</v>
      </c>
      <c r="I22" s="723">
        <f>Gen!E27</f>
        <v>0</v>
      </c>
      <c r="J22" s="762">
        <f>Gen!T27</f>
        <v>2643</v>
      </c>
      <c r="K22" s="767">
        <f>Gen!AK27</f>
        <v>0</v>
      </c>
      <c r="L22" s="758">
        <f t="shared" si="17"/>
        <v>2643</v>
      </c>
      <c r="M22" s="447">
        <f>'Water-Meter'!K62</f>
        <v>427.39732284536933</v>
      </c>
      <c r="N22" s="718">
        <f>'Water-Meter'!E22</f>
        <v>48</v>
      </c>
      <c r="O22" s="708"/>
      <c r="P22" s="716">
        <v>19032</v>
      </c>
      <c r="Q22" s="728">
        <f t="shared" si="2"/>
        <v>0</v>
      </c>
      <c r="R22" s="425">
        <f t="shared" si="5"/>
        <v>0</v>
      </c>
      <c r="S22" s="697">
        <v>6.5</v>
      </c>
      <c r="T22" s="704">
        <v>17588</v>
      </c>
      <c r="U22" s="728">
        <f t="shared" ref="U22:U23" si="20">T23-T21</f>
        <v>0</v>
      </c>
      <c r="V22" s="426">
        <f t="shared" si="19"/>
        <v>0</v>
      </c>
      <c r="W22" s="703">
        <v>2</v>
      </c>
      <c r="X22" s="709">
        <v>27242</v>
      </c>
      <c r="Y22" s="728">
        <f t="shared" si="8"/>
        <v>24</v>
      </c>
      <c r="Z22" s="707">
        <f t="shared" si="9"/>
        <v>48</v>
      </c>
      <c r="AA22" s="715">
        <f t="shared" si="10"/>
        <v>1309968</v>
      </c>
      <c r="AB22" s="712">
        <v>46676</v>
      </c>
      <c r="AC22" s="692">
        <f t="shared" si="11"/>
        <v>34</v>
      </c>
      <c r="AD22" s="694">
        <v>211805</v>
      </c>
      <c r="AE22" s="177">
        <f t="shared" si="15"/>
        <v>48</v>
      </c>
      <c r="AF22" s="722">
        <f>'Lpg (2)'!B26*2000/85</f>
        <v>1200</v>
      </c>
      <c r="AG22" s="265">
        <f>'Lpg (2)'!C26*1000/85</f>
        <v>1000</v>
      </c>
      <c r="AH22" s="735">
        <f>'Lpg (2)'!D26*1000/85</f>
        <v>1000</v>
      </c>
      <c r="AI22" s="725">
        <f t="shared" si="18"/>
        <v>4400000</v>
      </c>
      <c r="AJ22" s="427">
        <f t="shared" si="4"/>
        <v>-2047058.8235294116</v>
      </c>
      <c r="AK22" s="131"/>
    </row>
    <row r="23" spans="1:37" ht="19.5" thickBot="1">
      <c r="A23" s="756">
        <f>Gen!A28</f>
        <v>44245</v>
      </c>
      <c r="B23" s="424">
        <f>'Summery Report'!E22</f>
        <v>11.69</v>
      </c>
      <c r="C23" s="761">
        <f>Gen!B28</f>
        <v>0.1169</v>
      </c>
      <c r="D23" s="723">
        <f>'Summery Report'!E22</f>
        <v>11.69</v>
      </c>
      <c r="E23" s="723">
        <f t="shared" si="13"/>
        <v>1.3262195121951219</v>
      </c>
      <c r="F23" s="437">
        <f t="shared" si="14"/>
        <v>322.08188153310107</v>
      </c>
      <c r="G23" s="437">
        <f t="shared" si="0"/>
        <v>322.08188153310107</v>
      </c>
      <c r="H23" s="723">
        <f>Gen!C28</f>
        <v>43962.94</v>
      </c>
      <c r="I23" s="723">
        <f>Gen!E28</f>
        <v>0</v>
      </c>
      <c r="J23" s="762">
        <f>Gen!T28</f>
        <v>2839</v>
      </c>
      <c r="K23" s="767">
        <f>Gen!AK28</f>
        <v>0</v>
      </c>
      <c r="L23" s="758">
        <f t="shared" si="17"/>
        <v>2839</v>
      </c>
      <c r="M23" s="447">
        <f>'Water-Meter'!K63</f>
        <v>402.40273205514399</v>
      </c>
      <c r="N23" s="718">
        <f>'Water-Meter'!E23</f>
        <v>53</v>
      </c>
      <c r="O23" s="708"/>
      <c r="P23" s="716">
        <v>19032</v>
      </c>
      <c r="Q23" s="728">
        <f t="shared" si="2"/>
        <v>0</v>
      </c>
      <c r="R23" s="425">
        <f t="shared" si="5"/>
        <v>0</v>
      </c>
      <c r="S23" s="697">
        <v>6.5</v>
      </c>
      <c r="T23" s="704">
        <v>17588</v>
      </c>
      <c r="U23" s="728">
        <f t="shared" si="20"/>
        <v>0</v>
      </c>
      <c r="V23" s="426">
        <f t="shared" si="19"/>
        <v>0</v>
      </c>
      <c r="W23" s="703">
        <v>2</v>
      </c>
      <c r="X23" s="709">
        <v>27266</v>
      </c>
      <c r="Y23" s="728">
        <f t="shared" si="8"/>
        <v>24</v>
      </c>
      <c r="Z23" s="707">
        <f t="shared" si="9"/>
        <v>48</v>
      </c>
      <c r="AA23" s="715">
        <f t="shared" si="10"/>
        <v>0</v>
      </c>
      <c r="AB23" s="712">
        <v>46709</v>
      </c>
      <c r="AC23" s="692">
        <f t="shared" si="11"/>
        <v>33</v>
      </c>
      <c r="AD23" s="695">
        <v>211841</v>
      </c>
      <c r="AE23" s="177">
        <f t="shared" si="15"/>
        <v>36</v>
      </c>
      <c r="AF23" s="722">
        <f>'Lpg (2)'!B27*2000/85</f>
        <v>1176.4705882352941</v>
      </c>
      <c r="AG23" s="265">
        <f>'Lpg (2)'!C27*1000/85</f>
        <v>1000</v>
      </c>
      <c r="AH23" s="735">
        <f>'Lpg (2)'!D27*1000/85</f>
        <v>1000</v>
      </c>
      <c r="AI23" s="725">
        <f t="shared" si="18"/>
        <v>4352941.1764705889</v>
      </c>
      <c r="AJ23" s="427">
        <f t="shared" si="4"/>
        <v>47058.823529411107</v>
      </c>
      <c r="AK23" s="131"/>
    </row>
    <row r="24" spans="1:37" ht="18.75">
      <c r="A24" s="756">
        <f>Gen!A29</f>
        <v>44246</v>
      </c>
      <c r="B24" s="424">
        <f>'Summery Report'!E23</f>
        <v>15.58</v>
      </c>
      <c r="C24" s="761">
        <f>Gen!B29</f>
        <v>0.15579999999999999</v>
      </c>
      <c r="D24" s="723">
        <f>'Summery Report'!E23</f>
        <v>15.58</v>
      </c>
      <c r="E24" s="723">
        <f t="shared" si="13"/>
        <v>1.3262195121951219</v>
      </c>
      <c r="F24" s="437">
        <f t="shared" si="14"/>
        <v>254.68862519177182</v>
      </c>
      <c r="G24" s="437">
        <f t="shared" si="0"/>
        <v>254.68862519177182</v>
      </c>
      <c r="H24" s="723">
        <f>Gen!C29</f>
        <v>42260.880000000005</v>
      </c>
      <c r="I24" s="723">
        <f>Gen!E29</f>
        <v>0</v>
      </c>
      <c r="J24" s="762">
        <f>Gen!T29</f>
        <v>2992</v>
      </c>
      <c r="K24" s="767">
        <f>Gen!AK29</f>
        <v>0</v>
      </c>
      <c r="L24" s="758">
        <f t="shared" si="17"/>
        <v>2992</v>
      </c>
      <c r="M24" s="447">
        <f>'Water-Meter'!K64</f>
        <v>399.55263312156171</v>
      </c>
      <c r="N24" s="718">
        <f>'Water-Meter'!E24</f>
        <v>65</v>
      </c>
      <c r="O24" s="708"/>
      <c r="P24" s="716">
        <v>19032</v>
      </c>
      <c r="Q24" s="728">
        <f t="shared" si="2"/>
        <v>0</v>
      </c>
      <c r="R24" s="425">
        <f t="shared" si="5"/>
        <v>0</v>
      </c>
      <c r="S24" s="697">
        <v>6.5</v>
      </c>
      <c r="T24" s="704">
        <v>17588</v>
      </c>
      <c r="U24" s="728">
        <f t="shared" si="6"/>
        <v>0</v>
      </c>
      <c r="V24" s="426">
        <f t="shared" si="19"/>
        <v>0</v>
      </c>
      <c r="W24" s="703">
        <v>2</v>
      </c>
      <c r="X24" s="709">
        <v>27291</v>
      </c>
      <c r="Y24" s="728">
        <f t="shared" si="8"/>
        <v>25</v>
      </c>
      <c r="Z24" s="707">
        <f t="shared" si="9"/>
        <v>50</v>
      </c>
      <c r="AA24" s="715">
        <f t="shared" si="10"/>
        <v>0</v>
      </c>
      <c r="AB24" s="712">
        <v>46744</v>
      </c>
      <c r="AC24" s="692">
        <f t="shared" si="11"/>
        <v>35</v>
      </c>
      <c r="AD24" s="695">
        <v>211864</v>
      </c>
      <c r="AE24" s="177">
        <f t="shared" si="15"/>
        <v>23</v>
      </c>
      <c r="AF24" s="722">
        <f>'Lpg (2)'!B28*2000/85</f>
        <v>1152.9411764705883</v>
      </c>
      <c r="AG24" s="265">
        <f>'Lpg (2)'!C28*1000/85</f>
        <v>1000</v>
      </c>
      <c r="AH24" s="735">
        <f>'Lpg (2)'!D28*1000/85</f>
        <v>1000</v>
      </c>
      <c r="AI24" s="725">
        <f t="shared" si="18"/>
        <v>4305882.3529411759</v>
      </c>
      <c r="AJ24" s="427">
        <f t="shared" si="4"/>
        <v>47058.82352941297</v>
      </c>
      <c r="AK24" s="131"/>
    </row>
    <row r="25" spans="1:37" ht="18.75">
      <c r="A25" s="756">
        <f>Gen!A30</f>
        <v>44247</v>
      </c>
      <c r="B25" s="424">
        <f>'Summery Report'!E24</f>
        <v>14.29</v>
      </c>
      <c r="C25" s="761">
        <f>Gen!B30</f>
        <v>0.1429</v>
      </c>
      <c r="D25" s="723">
        <f>'Summery Report'!E24</f>
        <v>14.29</v>
      </c>
      <c r="E25" s="723">
        <f t="shared" si="13"/>
        <v>1.3262195121951219</v>
      </c>
      <c r="F25" s="437">
        <f t="shared" si="14"/>
        <v>0</v>
      </c>
      <c r="G25" s="437">
        <f t="shared" si="0"/>
        <v>0</v>
      </c>
      <c r="H25" s="723">
        <f>Gen!C30</f>
        <v>41025.600000000006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501.92378391629342</v>
      </c>
      <c r="N25" s="718" t="str">
        <f>'Water-Meter'!E25</f>
        <v>0</v>
      </c>
      <c r="O25" s="708"/>
      <c r="P25" s="716"/>
      <c r="Q25" s="728">
        <f t="shared" si="2"/>
        <v>-19032</v>
      </c>
      <c r="R25" s="425">
        <f t="shared" si="5"/>
        <v>0</v>
      </c>
      <c r="S25" s="703"/>
      <c r="T25" s="704"/>
      <c r="U25" s="728">
        <f t="shared" si="6"/>
        <v>-17588</v>
      </c>
      <c r="V25" s="426">
        <f t="shared" si="19"/>
        <v>0</v>
      </c>
      <c r="W25" s="703"/>
      <c r="X25" s="709"/>
      <c r="Y25" s="728">
        <f t="shared" si="8"/>
        <v>-27291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-46744</v>
      </c>
      <c r="AD25" s="695"/>
      <c r="AE25" s="177">
        <f t="shared" si="15"/>
        <v>-211864</v>
      </c>
      <c r="AF25" s="722">
        <f>'Lpg (2)'!B29*2000/85</f>
        <v>1105.8823529411766</v>
      </c>
      <c r="AG25" s="265">
        <f>'Lpg (2)'!C29*1000/85</f>
        <v>1000</v>
      </c>
      <c r="AH25" s="735">
        <f>'Lpg (2)'!D29*1000/85</f>
        <v>1000</v>
      </c>
      <c r="AI25" s="725">
        <f t="shared" si="18"/>
        <v>4211764.7058823537</v>
      </c>
      <c r="AJ25" s="427">
        <f t="shared" si="4"/>
        <v>94117.647058822215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41025.600000000006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4211764.7058823537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41025.600000000006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41025.600000000006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41025.600000000006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41025.600000000006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41025.600000000006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41025.600000000006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41025.600000000006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41025.600000000006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41025.600000000006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41025.600000000006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51618</v>
      </c>
      <c r="K37" s="773"/>
      <c r="L37" s="759">
        <f t="shared" si="17"/>
        <v>51618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6" sqref="W26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8251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7.7899999999999997E-2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8254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5.1900000000000002E-2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8257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0.10390000000000001</v>
      </c>
      <c r="B12" s="593">
        <f>Gen!A19</f>
        <v>44236</v>
      </c>
      <c r="C12" s="577"/>
      <c r="D12" s="582">
        <f t="shared" si="1"/>
        <v>9093.5</v>
      </c>
      <c r="E12" s="578">
        <v>9095.2999999999993</v>
      </c>
      <c r="F12" s="582">
        <f t="shared" si="2"/>
        <v>215.99999999991269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8259</v>
      </c>
      <c r="Q12" s="164"/>
      <c r="R12" s="240"/>
      <c r="S12" s="627">
        <f>Gen!T19</f>
        <v>2653</v>
      </c>
      <c r="T12" s="624">
        <f t="shared" si="7"/>
        <v>44236</v>
      </c>
      <c r="U12" s="577"/>
      <c r="V12" s="582">
        <f t="shared" si="4"/>
        <v>7999.3</v>
      </c>
      <c r="W12" s="579">
        <v>8000.7</v>
      </c>
      <c r="X12" s="582">
        <f t="shared" si="0"/>
        <v>279.99999999992724</v>
      </c>
      <c r="Y12" s="624">
        <f t="shared" si="8"/>
        <v>44236</v>
      </c>
      <c r="Z12" s="577"/>
      <c r="AA12" s="577"/>
      <c r="AB12" s="581">
        <f>'Water-Meter'!P14</f>
        <v>20927</v>
      </c>
      <c r="AC12" s="632">
        <f t="shared" si="9"/>
        <v>-20924</v>
      </c>
    </row>
    <row r="13" spans="1:29" ht="19.5" thickBot="1">
      <c r="A13" s="640">
        <f>Gen!B20</f>
        <v>0.10390000000000001</v>
      </c>
      <c r="B13" s="593">
        <f>Gen!A20</f>
        <v>44237</v>
      </c>
      <c r="C13" s="577"/>
      <c r="D13" s="582">
        <f t="shared" si="1"/>
        <v>9095.2999999999993</v>
      </c>
      <c r="E13" s="578">
        <v>9097.1</v>
      </c>
      <c r="F13" s="582">
        <f t="shared" si="2"/>
        <v>216.00000000013097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8260</v>
      </c>
      <c r="Q13" s="164"/>
      <c r="R13" s="240"/>
      <c r="S13" s="627">
        <f>Gen!T20</f>
        <v>2493</v>
      </c>
      <c r="T13" s="624">
        <f t="shared" si="7"/>
        <v>44237</v>
      </c>
      <c r="U13" s="577"/>
      <c r="V13" s="582">
        <f t="shared" si="4"/>
        <v>8000.7</v>
      </c>
      <c r="W13" s="579">
        <v>8001.8</v>
      </c>
      <c r="X13" s="582">
        <f t="shared" si="0"/>
        <v>220.00000000007276</v>
      </c>
      <c r="Y13" s="624">
        <f t="shared" si="8"/>
        <v>44237</v>
      </c>
      <c r="Z13" s="577"/>
      <c r="AA13" s="577"/>
      <c r="AB13" s="581">
        <f>'Water-Meter'!P15</f>
        <v>20931</v>
      </c>
      <c r="AC13" s="632">
        <f t="shared" si="9"/>
        <v>-20927</v>
      </c>
    </row>
    <row r="14" spans="1:29" ht="19.5" thickBot="1">
      <c r="A14" s="640">
        <f>Gen!B21</f>
        <v>0.1169</v>
      </c>
      <c r="B14" s="593">
        <f>Gen!A21</f>
        <v>44238</v>
      </c>
      <c r="C14" s="577"/>
      <c r="D14" s="582">
        <f t="shared" si="1"/>
        <v>9097.1</v>
      </c>
      <c r="E14" s="578">
        <v>9099.1</v>
      </c>
      <c r="F14" s="582">
        <f t="shared" si="2"/>
        <v>240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8261</v>
      </c>
      <c r="Q14" s="164"/>
      <c r="R14" s="240"/>
      <c r="S14" s="627">
        <f>Gen!T21</f>
        <v>2528</v>
      </c>
      <c r="T14" s="624">
        <f t="shared" si="7"/>
        <v>44238</v>
      </c>
      <c r="U14" s="577"/>
      <c r="V14" s="582">
        <f t="shared" si="4"/>
        <v>8001.8</v>
      </c>
      <c r="W14" s="579">
        <v>8003.1</v>
      </c>
      <c r="X14" s="582">
        <f t="shared" si="0"/>
        <v>260.00000000003638</v>
      </c>
      <c r="Y14" s="624">
        <f t="shared" si="8"/>
        <v>44238</v>
      </c>
      <c r="Z14" s="577"/>
      <c r="AA14" s="577"/>
      <c r="AB14" s="581">
        <f>'Water-Meter'!P16</f>
        <v>20935</v>
      </c>
      <c r="AC14" s="632">
        <v>20490</v>
      </c>
    </row>
    <row r="15" spans="1:29" ht="19.5" thickBot="1">
      <c r="A15" s="640">
        <f>Gen!B22</f>
        <v>0.23380000000000001</v>
      </c>
      <c r="B15" s="593">
        <f>Gen!A22</f>
        <v>44239</v>
      </c>
      <c r="C15" s="577"/>
      <c r="D15" s="582">
        <f t="shared" si="1"/>
        <v>9099.1</v>
      </c>
      <c r="E15" s="578">
        <v>9101.2999999999993</v>
      </c>
      <c r="F15" s="582">
        <f t="shared" si="2"/>
        <v>263.99999999986903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8263</v>
      </c>
      <c r="Q15" s="164"/>
      <c r="R15" s="240"/>
      <c r="S15" s="627">
        <f>Gen!T22</f>
        <v>2703</v>
      </c>
      <c r="T15" s="624">
        <f t="shared" si="7"/>
        <v>44239</v>
      </c>
      <c r="U15" s="577"/>
      <c r="V15" s="582">
        <f t="shared" si="4"/>
        <v>8003.1</v>
      </c>
      <c r="W15" s="579">
        <v>8004.4</v>
      </c>
      <c r="X15" s="582">
        <f t="shared" si="0"/>
        <v>259.99999999985448</v>
      </c>
      <c r="Y15" s="624">
        <f t="shared" si="8"/>
        <v>44239</v>
      </c>
      <c r="Z15" s="577"/>
      <c r="AA15" s="577"/>
      <c r="AB15" s="581">
        <f>'Water-Meter'!P17</f>
        <v>20938</v>
      </c>
      <c r="AC15" s="632">
        <f t="shared" si="9"/>
        <v>-20935</v>
      </c>
    </row>
    <row r="16" spans="1:29" ht="19.5" thickBot="1">
      <c r="A16" s="640">
        <f>Gen!B23</f>
        <v>0.2208</v>
      </c>
      <c r="B16" s="593">
        <f>Gen!A23</f>
        <v>44240</v>
      </c>
      <c r="C16" s="577"/>
      <c r="D16" s="582">
        <f t="shared" si="1"/>
        <v>9101.2999999999993</v>
      </c>
      <c r="E16" s="578">
        <v>9103.4</v>
      </c>
      <c r="F16" s="582">
        <f>SUM(E16-D16)*120</f>
        <v>252.00000000004366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8264</v>
      </c>
      <c r="Q16" s="164"/>
      <c r="R16" s="240"/>
      <c r="S16" s="627">
        <f>Gen!T23</f>
        <v>2690</v>
      </c>
      <c r="T16" s="624">
        <f t="shared" si="7"/>
        <v>44240</v>
      </c>
      <c r="U16" s="577"/>
      <c r="V16" s="582">
        <f t="shared" si="4"/>
        <v>8004.4</v>
      </c>
      <c r="W16" s="579">
        <v>8005.3</v>
      </c>
      <c r="X16" s="582">
        <f t="shared" si="0"/>
        <v>180.00000000010914</v>
      </c>
      <c r="Y16" s="624">
        <f t="shared" si="8"/>
        <v>44240</v>
      </c>
      <c r="Z16" s="577"/>
      <c r="AA16" s="577"/>
      <c r="AB16" s="581">
        <f>'Water-Meter'!P18</f>
        <v>20940</v>
      </c>
      <c r="AC16" s="632">
        <f t="shared" si="9"/>
        <v>-20938</v>
      </c>
    </row>
    <row r="17" spans="1:29" ht="19.5" thickBot="1">
      <c r="A17" s="640">
        <f>Gen!B24</f>
        <v>0.1948</v>
      </c>
      <c r="B17" s="593">
        <f>Gen!A24</f>
        <v>44241</v>
      </c>
      <c r="C17" s="577"/>
      <c r="D17" s="582">
        <f t="shared" si="1"/>
        <v>9103.4</v>
      </c>
      <c r="E17" s="578">
        <v>9105.7999999999993</v>
      </c>
      <c r="F17" s="582">
        <f>SUM(E17-D17)*120</f>
        <v>287.99999999995634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8265</v>
      </c>
      <c r="Q17" s="164"/>
      <c r="R17" s="240"/>
      <c r="S17" s="627">
        <f>Gen!T24</f>
        <v>2859</v>
      </c>
      <c r="T17" s="624">
        <f t="shared" si="7"/>
        <v>44241</v>
      </c>
      <c r="U17" s="577"/>
      <c r="V17" s="582">
        <f t="shared" si="4"/>
        <v>8005.3</v>
      </c>
      <c r="W17" s="579">
        <v>8007.1</v>
      </c>
      <c r="X17" s="582">
        <f t="shared" si="0"/>
        <v>360.00000000003638</v>
      </c>
      <c r="Y17" s="624">
        <f t="shared" si="8"/>
        <v>44241</v>
      </c>
      <c r="Z17" s="577"/>
      <c r="AA17" s="577"/>
      <c r="AB17" s="581">
        <f>'Water-Meter'!P19</f>
        <v>20942</v>
      </c>
      <c r="AC17" s="632">
        <f t="shared" si="9"/>
        <v>-20940</v>
      </c>
    </row>
    <row r="18" spans="1:29" ht="19.5" thickBot="1">
      <c r="A18" s="640">
        <f>Gen!B25</f>
        <v>0.12989999999999999</v>
      </c>
      <c r="B18" s="593">
        <f>Gen!A25</f>
        <v>44242</v>
      </c>
      <c r="C18" s="577"/>
      <c r="D18" s="582">
        <f t="shared" si="1"/>
        <v>9105.7999999999993</v>
      </c>
      <c r="E18" s="578">
        <v>9108.1</v>
      </c>
      <c r="F18" s="582">
        <f t="shared" ref="F18:F22" si="10">SUM(E18-D18)*120</f>
        <v>276.00000000013097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8267</v>
      </c>
      <c r="Q18" s="164"/>
      <c r="R18" s="240"/>
      <c r="S18" s="627">
        <f>Gen!T25</f>
        <v>2860</v>
      </c>
      <c r="T18" s="624">
        <f t="shared" si="7"/>
        <v>44242</v>
      </c>
      <c r="U18" s="577"/>
      <c r="V18" s="582">
        <f t="shared" si="4"/>
        <v>8007.1</v>
      </c>
      <c r="W18" s="579">
        <v>8008.7</v>
      </c>
      <c r="X18" s="582">
        <f t="shared" si="0"/>
        <v>319.99999999989086</v>
      </c>
      <c r="Y18" s="624">
        <f t="shared" si="8"/>
        <v>44242</v>
      </c>
      <c r="Z18" s="577"/>
      <c r="AA18" s="577"/>
      <c r="AB18" s="581">
        <f>'Water-Meter'!P20</f>
        <v>20952</v>
      </c>
      <c r="AC18" s="632">
        <f t="shared" si="9"/>
        <v>-20942</v>
      </c>
    </row>
    <row r="19" spans="1:29" ht="19.5" thickBot="1">
      <c r="A19" s="640">
        <f>Gen!B26</f>
        <v>9.0899999999999995E-2</v>
      </c>
      <c r="B19" s="593">
        <f>Gen!A26</f>
        <v>44243</v>
      </c>
      <c r="C19" s="580"/>
      <c r="D19" s="582">
        <f t="shared" si="1"/>
        <v>9108.1</v>
      </c>
      <c r="E19" s="578">
        <v>9110.2000000000007</v>
      </c>
      <c r="F19" s="582">
        <f t="shared" si="10"/>
        <v>252.00000000004366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8268</v>
      </c>
      <c r="Q19" s="164"/>
      <c r="R19" s="240"/>
      <c r="S19" s="627">
        <f>Gen!T26</f>
        <v>2636</v>
      </c>
      <c r="T19" s="624">
        <f t="shared" si="7"/>
        <v>44243</v>
      </c>
      <c r="U19" s="580"/>
      <c r="V19" s="582">
        <f t="shared" si="4"/>
        <v>8008.7</v>
      </c>
      <c r="W19" s="579">
        <v>8010.5</v>
      </c>
      <c r="X19" s="582">
        <f t="shared" si="0"/>
        <v>360.00000000003638</v>
      </c>
      <c r="Y19" s="624">
        <f t="shared" si="8"/>
        <v>44243</v>
      </c>
      <c r="Z19" s="580"/>
      <c r="AA19" s="577"/>
      <c r="AB19" s="581">
        <f>'Water-Meter'!P21</f>
        <v>20955</v>
      </c>
      <c r="AC19" s="632">
        <f t="shared" si="9"/>
        <v>-20952</v>
      </c>
    </row>
    <row r="20" spans="1:29" ht="19.5" thickBot="1">
      <c r="A20" s="640">
        <f>Gen!B27</f>
        <v>0.1169</v>
      </c>
      <c r="B20" s="593">
        <f>Gen!A27</f>
        <v>44244</v>
      </c>
      <c r="C20" s="580"/>
      <c r="D20" s="582">
        <f t="shared" si="1"/>
        <v>9110.2000000000007</v>
      </c>
      <c r="E20" s="578">
        <v>9112.6</v>
      </c>
      <c r="F20" s="582">
        <f t="shared" si="10"/>
        <v>287.99999999995634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8270</v>
      </c>
      <c r="Q20" s="164"/>
      <c r="R20" s="240"/>
      <c r="S20" s="627">
        <f>Gen!T27</f>
        <v>2643</v>
      </c>
      <c r="T20" s="624">
        <f t="shared" si="7"/>
        <v>44244</v>
      </c>
      <c r="U20" s="580"/>
      <c r="V20" s="582">
        <f t="shared" si="4"/>
        <v>8010.5</v>
      </c>
      <c r="W20" s="579">
        <v>8011.4</v>
      </c>
      <c r="X20" s="582">
        <f t="shared" si="0"/>
        <v>179.99999999992724</v>
      </c>
      <c r="Y20" s="624">
        <f t="shared" si="8"/>
        <v>44244</v>
      </c>
      <c r="Z20" s="580"/>
      <c r="AA20" s="577"/>
      <c r="AB20" s="581">
        <f>'Water-Meter'!P22</f>
        <v>20958</v>
      </c>
      <c r="AC20" s="632">
        <f t="shared" si="9"/>
        <v>-20955</v>
      </c>
    </row>
    <row r="21" spans="1:29" ht="19.5" thickBot="1">
      <c r="A21" s="640">
        <f>Gen!B28</f>
        <v>0.1169</v>
      </c>
      <c r="B21" s="593">
        <f>Gen!A28</f>
        <v>44245</v>
      </c>
      <c r="C21" s="580"/>
      <c r="D21" s="582">
        <f t="shared" si="1"/>
        <v>9112.6</v>
      </c>
      <c r="E21" s="578">
        <v>9114.9</v>
      </c>
      <c r="F21" s="582">
        <f t="shared" si="10"/>
        <v>275.99999999991269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8271</v>
      </c>
      <c r="Q21" s="164"/>
      <c r="R21" s="240"/>
      <c r="S21" s="627">
        <f>Gen!T28</f>
        <v>2839</v>
      </c>
      <c r="T21" s="624">
        <f t="shared" si="7"/>
        <v>44245</v>
      </c>
      <c r="U21" s="580"/>
      <c r="V21" s="582">
        <f t="shared" si="4"/>
        <v>8011.4</v>
      </c>
      <c r="W21" s="579">
        <v>8013.2</v>
      </c>
      <c r="X21" s="582">
        <f t="shared" si="0"/>
        <v>360.00000000003638</v>
      </c>
      <c r="Y21" s="624">
        <f t="shared" si="8"/>
        <v>44245</v>
      </c>
      <c r="Z21" s="580"/>
      <c r="AA21" s="577"/>
      <c r="AB21" s="581">
        <f>'Water-Meter'!P23</f>
        <v>20964</v>
      </c>
      <c r="AC21" s="632">
        <f t="shared" si="9"/>
        <v>-20958</v>
      </c>
    </row>
    <row r="22" spans="1:29" ht="19.5" thickBot="1">
      <c r="A22" s="640">
        <f>Gen!B29</f>
        <v>0.15579999999999999</v>
      </c>
      <c r="B22" s="593">
        <f>Gen!A29</f>
        <v>44246</v>
      </c>
      <c r="C22" s="577"/>
      <c r="D22" s="582">
        <f t="shared" si="1"/>
        <v>9114.9</v>
      </c>
      <c r="E22" s="578">
        <v>9117.4</v>
      </c>
      <c r="F22" s="582">
        <f t="shared" si="10"/>
        <v>300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8273</v>
      </c>
      <c r="Q22" s="164"/>
      <c r="R22" s="240"/>
      <c r="S22" s="627">
        <f>Gen!T29</f>
        <v>2992</v>
      </c>
      <c r="T22" s="624">
        <f t="shared" si="7"/>
        <v>44246</v>
      </c>
      <c r="U22" s="577"/>
      <c r="V22" s="582">
        <f t="shared" si="4"/>
        <v>8013.2</v>
      </c>
      <c r="W22" s="579">
        <v>8015.2</v>
      </c>
      <c r="X22" s="582">
        <f t="shared" si="0"/>
        <v>400</v>
      </c>
      <c r="Y22" s="624">
        <f t="shared" si="8"/>
        <v>44246</v>
      </c>
      <c r="Z22" s="577"/>
      <c r="AA22" s="577"/>
      <c r="AB22" s="581">
        <f>'Water-Meter'!P24</f>
        <v>20968</v>
      </c>
      <c r="AC22" s="632">
        <f t="shared" si="9"/>
        <v>-20964</v>
      </c>
    </row>
    <row r="23" spans="1:29" ht="19.5" thickBot="1">
      <c r="A23" s="640">
        <f>Gen!B30</f>
        <v>0.1429</v>
      </c>
      <c r="B23" s="593">
        <f>Gen!A30</f>
        <v>44247</v>
      </c>
      <c r="C23" s="580"/>
      <c r="D23" s="582">
        <f t="shared" si="1"/>
        <v>9117.4</v>
      </c>
      <c r="E23" s="578"/>
      <c r="F23" s="582">
        <f t="shared" ref="F23:F34" si="11">SUM(E23-D23)*120</f>
        <v>-1094088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8015.2</v>
      </c>
      <c r="W23" s="579"/>
      <c r="X23" s="582">
        <f t="shared" si="0"/>
        <v>-1603040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-20968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B28" sqref="B2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7.7899999999999997E-2</v>
      </c>
      <c r="D11" s="433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25</v>
      </c>
      <c r="C12" s="86">
        <f>Gen!B18</f>
        <v>5.1900000000000002E-2</v>
      </c>
      <c r="D12" s="433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0.10390000000000001</v>
      </c>
      <c r="D13" s="433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>
        <f>'Water-Meter'!E14</f>
        <v>60</v>
      </c>
      <c r="L13" s="651">
        <f>'Lpg (2)'!G18</f>
        <v>74882.600000000006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0.10390000000000001</v>
      </c>
      <c r="D14" s="433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39164.810000000005</v>
      </c>
      <c r="K14" s="294">
        <f>'Water-Meter'!E15</f>
        <v>57</v>
      </c>
      <c r="L14" s="651">
        <f>'Lpg (2)'!G19</f>
        <v>74901.7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24</v>
      </c>
      <c r="C15" s="86">
        <f>Gen!B21</f>
        <v>0.1169</v>
      </c>
      <c r="D15" s="433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5">
        <f>Gen!C21</f>
        <v>38115.440000000002</v>
      </c>
      <c r="K15" s="294">
        <f>'Water-Meter'!E16</f>
        <v>49</v>
      </c>
      <c r="L15" s="651">
        <f>'Lpg (2)'!G20</f>
        <v>74919.520000000004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24</v>
      </c>
      <c r="C16" s="86">
        <f>Gen!B22</f>
        <v>0.23380000000000001</v>
      </c>
      <c r="D16" s="433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5">
        <f>Gen!C22</f>
        <v>36989.9</v>
      </c>
      <c r="K16" s="294">
        <f>'Water-Meter'!E17</f>
        <v>52</v>
      </c>
      <c r="L16" s="651">
        <f>'Lpg (2)'!G21</f>
        <v>74960.75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24</v>
      </c>
      <c r="C17" s="86">
        <f>Gen!B23</f>
        <v>0.2208</v>
      </c>
      <c r="D17" s="433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5">
        <f>Gen!C23</f>
        <v>35756.75</v>
      </c>
      <c r="K17" s="294">
        <f>'Water-Meter'!E18</f>
        <v>58</v>
      </c>
      <c r="L17" s="651">
        <f>'Lpg (2)'!G22</f>
        <v>74975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24</v>
      </c>
      <c r="C18" s="86">
        <f>Gen!B24</f>
        <v>0.1948</v>
      </c>
      <c r="D18" s="433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5">
        <f>Gen!C24</f>
        <v>34151.22</v>
      </c>
      <c r="K18" s="294">
        <f>'Water-Meter'!E19</f>
        <v>54</v>
      </c>
      <c r="L18" s="651">
        <f>'Lpg (2)'!G23</f>
        <v>74968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24</v>
      </c>
      <c r="C19" s="86">
        <f>Gen!B25</f>
        <v>0.12989999999999999</v>
      </c>
      <c r="D19" s="433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5">
        <f>Gen!C25</f>
        <v>32796.44</v>
      </c>
      <c r="K19" s="294">
        <f>'Water-Meter'!E20</f>
        <v>56</v>
      </c>
      <c r="L19" s="651">
        <f>'Lpg (2)'!G24</f>
        <v>74980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24</v>
      </c>
      <c r="C20" s="86">
        <f>Gen!B26</f>
        <v>9.0899999999999995E-2</v>
      </c>
      <c r="D20" s="433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5">
        <f>Gen!C26</f>
        <v>31573.620000000003</v>
      </c>
      <c r="K20" s="294">
        <f>'Water-Meter'!E21</f>
        <v>45</v>
      </c>
      <c r="L20" s="651">
        <f>'Lpg (2)'!G25</f>
        <v>74998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24</v>
      </c>
      <c r="C21" s="86">
        <f>Gen!B27</f>
        <v>0.1169</v>
      </c>
      <c r="D21" s="433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5">
        <f>Gen!C27</f>
        <v>45277.760000000002</v>
      </c>
      <c r="K21" s="294">
        <f>'Water-Meter'!E22</f>
        <v>48</v>
      </c>
      <c r="L21" s="651">
        <f>'Lpg (2)'!G26</f>
        <v>75012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24</v>
      </c>
      <c r="C22" s="86">
        <f>Gen!B28</f>
        <v>0.1169</v>
      </c>
      <c r="D22" s="433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5">
        <f>Gen!C28</f>
        <v>43962.94</v>
      </c>
      <c r="K22" s="294">
        <f>'Water-Meter'!E23</f>
        <v>53</v>
      </c>
      <c r="L22" s="651">
        <f>'Lpg (2)'!G27</f>
        <v>75027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24</v>
      </c>
      <c r="C23" s="86">
        <f>Gen!B29</f>
        <v>0.15579999999999999</v>
      </c>
      <c r="D23" s="433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5">
        <f>Gen!C29</f>
        <v>42260.880000000005</v>
      </c>
      <c r="K23" s="294">
        <f>'Water-Meter'!E24</f>
        <v>65</v>
      </c>
      <c r="L23" s="651">
        <f>'Lpg (2)'!G28</f>
        <v>75047.38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-157942</v>
      </c>
      <c r="C24" s="86">
        <f>Gen!B30</f>
        <v>0.1429</v>
      </c>
      <c r="D24" s="433">
        <f t="shared" si="0"/>
        <v>14.29</v>
      </c>
      <c r="E24" s="73">
        <v>14.29</v>
      </c>
      <c r="F24" s="69" t="e">
        <f>Gen!U30</f>
        <v>#DIV/0!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5">
        <f>Gen!C30</f>
        <v>41025.600000000006</v>
      </c>
      <c r="K24" s="294" t="str">
        <f>'Water-Meter'!E25</f>
        <v>0</v>
      </c>
      <c r="L24" s="651">
        <f>'Lpg (2)'!G29</f>
        <v>75065.86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5">
        <f>Gen!C31</f>
        <v>41025.600000000006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41025.600000000006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41025.600000000006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41025.600000000006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41025.600000000006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41025.600000000006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41025.600000000006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41025.600000000006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41025.600000000006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41025.600000000006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41025.600000000006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41025.600000000006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6" sqref="AB2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0.97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7.7899999999999997E-2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5.1900000000000002E-2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0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25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0.10390000000000001</v>
      </c>
      <c r="C14" s="792">
        <v>18159.099999999999</v>
      </c>
      <c r="D14" s="672">
        <v>22273</v>
      </c>
      <c r="E14" s="490"/>
      <c r="F14" s="304"/>
      <c r="G14" s="304">
        <v>130.19</v>
      </c>
      <c r="H14" s="304"/>
      <c r="I14" s="304">
        <v>31615.599999999999</v>
      </c>
      <c r="J14" s="675">
        <v>21049.5</v>
      </c>
      <c r="K14" s="685">
        <f t="shared" si="0"/>
        <v>35802</v>
      </c>
      <c r="L14" s="304">
        <v>35827</v>
      </c>
      <c r="M14" s="303">
        <f t="shared" si="1"/>
        <v>25</v>
      </c>
      <c r="N14" s="305">
        <f>O14</f>
        <v>30735</v>
      </c>
      <c r="O14" s="824">
        <v>30735</v>
      </c>
      <c r="P14" s="303" t="e">
        <f>#REF!-N14</f>
        <v>#REF!</v>
      </c>
      <c r="Q14" s="303">
        <f t="shared" si="4"/>
        <v>36005</v>
      </c>
      <c r="R14" s="304">
        <v>36005</v>
      </c>
      <c r="S14" s="303">
        <f t="shared" si="5"/>
        <v>0</v>
      </c>
      <c r="T14" s="303">
        <f t="shared" si="6"/>
        <v>33247</v>
      </c>
      <c r="U14" s="824">
        <v>33247</v>
      </c>
      <c r="V14" s="303">
        <f t="shared" si="7"/>
        <v>0</v>
      </c>
      <c r="W14" s="305">
        <f t="shared" si="8"/>
        <v>21887</v>
      </c>
      <c r="X14" s="672">
        <v>21887</v>
      </c>
      <c r="Y14" s="303">
        <f t="shared" si="9"/>
        <v>0</v>
      </c>
      <c r="Z14" s="306" t="e">
        <f t="shared" si="10"/>
        <v>#REF!</v>
      </c>
      <c r="AA14" s="672">
        <v>200</v>
      </c>
      <c r="AB14" s="672">
        <v>120</v>
      </c>
      <c r="AC14" s="686">
        <f>Gen!AR19</f>
        <v>1267.29</v>
      </c>
    </row>
    <row r="15" spans="1:29" ht="20.100000000000001" customHeight="1" thickBot="1">
      <c r="A15" s="679">
        <f>Gen!A20</f>
        <v>44237</v>
      </c>
      <c r="B15" s="674">
        <f>Gen!B20</f>
        <v>0.10390000000000001</v>
      </c>
      <c r="C15" s="792">
        <v>16891.810000000001</v>
      </c>
      <c r="D15" s="672">
        <v>22273</v>
      </c>
      <c r="E15" s="490"/>
      <c r="F15" s="304"/>
      <c r="G15" s="304"/>
      <c r="H15" s="304"/>
      <c r="I15" s="304">
        <v>31619.8</v>
      </c>
      <c r="J15" s="675">
        <v>21052.6</v>
      </c>
      <c r="K15" s="685">
        <f t="shared" si="0"/>
        <v>35827</v>
      </c>
      <c r="L15" s="304">
        <v>35827</v>
      </c>
      <c r="M15" s="303">
        <f t="shared" si="1"/>
        <v>0</v>
      </c>
      <c r="N15" s="305" t="e">
        <f>#REF!</f>
        <v>#REF!</v>
      </c>
      <c r="O15" s="824">
        <v>30735</v>
      </c>
      <c r="P15" s="303" t="e">
        <f t="shared" si="3"/>
        <v>#REF!</v>
      </c>
      <c r="Q15" s="303">
        <f t="shared" si="4"/>
        <v>36005</v>
      </c>
      <c r="R15" s="304">
        <v>36030</v>
      </c>
      <c r="S15" s="303">
        <f t="shared" si="5"/>
        <v>25</v>
      </c>
      <c r="T15" s="303">
        <f t="shared" si="6"/>
        <v>33247</v>
      </c>
      <c r="U15" s="824">
        <v>33247</v>
      </c>
      <c r="V15" s="303">
        <f t="shared" si="7"/>
        <v>0</v>
      </c>
      <c r="W15" s="305">
        <f t="shared" si="8"/>
        <v>21887</v>
      </c>
      <c r="X15" s="672">
        <v>21887</v>
      </c>
      <c r="Y15" s="303">
        <f t="shared" si="9"/>
        <v>0</v>
      </c>
      <c r="Z15" s="306" t="e">
        <f t="shared" si="10"/>
        <v>#REF!</v>
      </c>
      <c r="AA15" s="672">
        <v>200</v>
      </c>
      <c r="AB15" s="672">
        <v>125</v>
      </c>
      <c r="AC15" s="686">
        <f>Gen!AR20</f>
        <v>1049.3699999999999</v>
      </c>
    </row>
    <row r="16" spans="1:29" ht="20.100000000000001" customHeight="1" thickBot="1">
      <c r="A16" s="679">
        <f>Gen!A21</f>
        <v>44238</v>
      </c>
      <c r="B16" s="674">
        <f>Gen!B21</f>
        <v>0.1169</v>
      </c>
      <c r="C16" s="792">
        <v>15842.44</v>
      </c>
      <c r="D16" s="672">
        <v>22273</v>
      </c>
      <c r="E16" s="490"/>
      <c r="F16" s="304"/>
      <c r="G16" s="304">
        <v>66.430000000000007</v>
      </c>
      <c r="H16" s="304"/>
      <c r="I16" s="304">
        <v>31624</v>
      </c>
      <c r="J16" s="675">
        <v>21055.7</v>
      </c>
      <c r="K16" s="685">
        <f t="shared" si="0"/>
        <v>35827</v>
      </c>
      <c r="L16" s="304">
        <v>35827</v>
      </c>
      <c r="M16" s="303">
        <f>L16-K16</f>
        <v>0</v>
      </c>
      <c r="N16" s="305">
        <f t="shared" si="2"/>
        <v>30735</v>
      </c>
      <c r="O16" s="824">
        <v>30735</v>
      </c>
      <c r="P16" s="303">
        <f t="shared" si="3"/>
        <v>0</v>
      </c>
      <c r="Q16" s="303">
        <f t="shared" si="4"/>
        <v>36030</v>
      </c>
      <c r="R16" s="304">
        <v>36030</v>
      </c>
      <c r="S16" s="303">
        <f t="shared" si="5"/>
        <v>0</v>
      </c>
      <c r="T16" s="303">
        <f t="shared" si="6"/>
        <v>33247</v>
      </c>
      <c r="U16" s="824">
        <v>33247</v>
      </c>
      <c r="V16" s="303">
        <f t="shared" si="7"/>
        <v>0</v>
      </c>
      <c r="W16" s="305">
        <f t="shared" si="8"/>
        <v>21887</v>
      </c>
      <c r="X16" s="672">
        <v>21911</v>
      </c>
      <c r="Y16" s="303">
        <f t="shared" si="9"/>
        <v>24</v>
      </c>
      <c r="Z16" s="306">
        <f t="shared" si="10"/>
        <v>24</v>
      </c>
      <c r="AA16" s="672">
        <v>210</v>
      </c>
      <c r="AB16" s="672">
        <v>125</v>
      </c>
      <c r="AC16" s="686">
        <f>Gen!AR21</f>
        <v>1125.54</v>
      </c>
    </row>
    <row r="17" spans="1:29" ht="20.100000000000001" customHeight="1" thickBot="1">
      <c r="A17" s="679">
        <f>Gen!A22</f>
        <v>44239</v>
      </c>
      <c r="B17" s="674">
        <f>Gen!B22</f>
        <v>0.23380000000000001</v>
      </c>
      <c r="C17" s="792">
        <v>14716.9</v>
      </c>
      <c r="D17" s="672">
        <v>22273</v>
      </c>
      <c r="E17" s="490"/>
      <c r="F17" s="304"/>
      <c r="G17" s="304">
        <v>116</v>
      </c>
      <c r="H17" s="304"/>
      <c r="I17" s="304">
        <v>31628.5</v>
      </c>
      <c r="J17" s="675">
        <v>21059.1</v>
      </c>
      <c r="K17" s="685">
        <f>L16</f>
        <v>35827</v>
      </c>
      <c r="L17" s="304">
        <v>35827</v>
      </c>
      <c r="M17" s="303">
        <f>L17-K17</f>
        <v>0</v>
      </c>
      <c r="N17" s="305">
        <f t="shared" si="2"/>
        <v>30735</v>
      </c>
      <c r="O17" s="824">
        <v>30759</v>
      </c>
      <c r="P17" s="303">
        <f t="shared" si="3"/>
        <v>24</v>
      </c>
      <c r="Q17" s="303">
        <f t="shared" si="4"/>
        <v>36030</v>
      </c>
      <c r="R17" s="304">
        <v>36030</v>
      </c>
      <c r="S17" s="303">
        <f t="shared" si="5"/>
        <v>0</v>
      </c>
      <c r="T17" s="303">
        <f t="shared" si="6"/>
        <v>33247</v>
      </c>
      <c r="U17" s="824">
        <v>33247</v>
      </c>
      <c r="V17" s="303">
        <f t="shared" si="7"/>
        <v>0</v>
      </c>
      <c r="W17" s="305">
        <f t="shared" si="8"/>
        <v>21911</v>
      </c>
      <c r="X17" s="672">
        <v>21911</v>
      </c>
      <c r="Y17" s="303">
        <f t="shared" si="9"/>
        <v>0</v>
      </c>
      <c r="Z17" s="306">
        <f t="shared" si="10"/>
        <v>24</v>
      </c>
      <c r="AA17" s="672">
        <v>215</v>
      </c>
      <c r="AB17" s="672">
        <v>120</v>
      </c>
      <c r="AC17" s="686">
        <f>Gen!AR22</f>
        <v>1233.1500000000001</v>
      </c>
    </row>
    <row r="18" spans="1:29" ht="20.100000000000001" customHeight="1" thickBot="1">
      <c r="A18" s="679">
        <f>Gen!A23</f>
        <v>44240</v>
      </c>
      <c r="B18" s="674">
        <f>Gen!B23</f>
        <v>0.2208</v>
      </c>
      <c r="C18" s="792">
        <v>13483.75</v>
      </c>
      <c r="D18" s="672">
        <v>22273</v>
      </c>
      <c r="E18" s="304"/>
      <c r="F18" s="304"/>
      <c r="G18" s="304">
        <v>474.14</v>
      </c>
      <c r="H18" s="304"/>
      <c r="I18" s="304">
        <v>31632.9</v>
      </c>
      <c r="J18" s="675">
        <v>21062.6</v>
      </c>
      <c r="K18" s="685">
        <f>L17</f>
        <v>35827</v>
      </c>
      <c r="L18" s="304">
        <v>35827</v>
      </c>
      <c r="M18" s="303">
        <f t="shared" si="1"/>
        <v>0</v>
      </c>
      <c r="N18" s="305">
        <f t="shared" si="2"/>
        <v>30759</v>
      </c>
      <c r="O18" s="824">
        <v>30759</v>
      </c>
      <c r="P18" s="303">
        <f t="shared" si="3"/>
        <v>0</v>
      </c>
      <c r="Q18" s="303">
        <f t="shared" si="4"/>
        <v>36030</v>
      </c>
      <c r="R18" s="304">
        <v>36030</v>
      </c>
      <c r="S18" s="303">
        <f t="shared" si="5"/>
        <v>0</v>
      </c>
      <c r="T18" s="303">
        <f t="shared" si="6"/>
        <v>33247</v>
      </c>
      <c r="U18" s="824">
        <v>33271</v>
      </c>
      <c r="V18" s="303">
        <f t="shared" si="7"/>
        <v>24</v>
      </c>
      <c r="W18" s="305">
        <f t="shared" si="8"/>
        <v>21911</v>
      </c>
      <c r="X18" s="672">
        <v>21911</v>
      </c>
      <c r="Y18" s="303">
        <f t="shared" si="9"/>
        <v>0</v>
      </c>
      <c r="Z18" s="306">
        <f t="shared" si="10"/>
        <v>24</v>
      </c>
      <c r="AA18" s="672">
        <v>220</v>
      </c>
      <c r="AB18" s="672">
        <v>125</v>
      </c>
      <c r="AC18" s="686">
        <f>Gen!AR23</f>
        <v>1605.5300000000002</v>
      </c>
    </row>
    <row r="19" spans="1:29" ht="20.100000000000001" customHeight="1" thickBot="1">
      <c r="A19" s="679">
        <f>Gen!A24</f>
        <v>44241</v>
      </c>
      <c r="B19" s="674">
        <f>Gen!B24</f>
        <v>0.1948</v>
      </c>
      <c r="C19" s="792">
        <v>11878.22</v>
      </c>
      <c r="D19" s="672">
        <v>22273</v>
      </c>
      <c r="E19" s="304"/>
      <c r="F19" s="304"/>
      <c r="G19" s="304">
        <v>152</v>
      </c>
      <c r="H19" s="304"/>
      <c r="I19" s="304">
        <v>31638</v>
      </c>
      <c r="J19" s="675">
        <v>21066.9</v>
      </c>
      <c r="K19" s="685">
        <f t="shared" si="0"/>
        <v>35827</v>
      </c>
      <c r="L19" s="304">
        <v>35851</v>
      </c>
      <c r="M19" s="303">
        <f t="shared" si="1"/>
        <v>24</v>
      </c>
      <c r="N19" s="305">
        <f t="shared" si="2"/>
        <v>30759</v>
      </c>
      <c r="O19" s="824">
        <v>30759</v>
      </c>
      <c r="P19" s="303">
        <f t="shared" si="3"/>
        <v>0</v>
      </c>
      <c r="Q19" s="303">
        <f t="shared" si="4"/>
        <v>36030</v>
      </c>
      <c r="R19" s="304">
        <v>36030</v>
      </c>
      <c r="S19" s="303">
        <f t="shared" si="5"/>
        <v>0</v>
      </c>
      <c r="T19" s="303">
        <f t="shared" si="6"/>
        <v>33271</v>
      </c>
      <c r="U19" s="824">
        <v>33271</v>
      </c>
      <c r="V19" s="303">
        <f t="shared" si="7"/>
        <v>0</v>
      </c>
      <c r="W19" s="305">
        <f t="shared" si="8"/>
        <v>21911</v>
      </c>
      <c r="X19" s="672">
        <v>21911</v>
      </c>
      <c r="Y19" s="303">
        <f t="shared" si="9"/>
        <v>0</v>
      </c>
      <c r="Z19" s="306">
        <f t="shared" si="10"/>
        <v>24</v>
      </c>
      <c r="AA19" s="672">
        <v>230</v>
      </c>
      <c r="AB19" s="672">
        <v>125</v>
      </c>
      <c r="AC19" s="686">
        <f>Gen!AR24</f>
        <v>1354.78</v>
      </c>
    </row>
    <row r="20" spans="1:29" ht="20.100000000000001" customHeight="1" thickBot="1">
      <c r="A20" s="679">
        <f>Gen!A25</f>
        <v>44242</v>
      </c>
      <c r="B20" s="674">
        <f>Gen!B25</f>
        <v>0.12989999999999999</v>
      </c>
      <c r="C20" s="792">
        <v>10523.44</v>
      </c>
      <c r="D20" s="672">
        <v>22273</v>
      </c>
      <c r="E20" s="304"/>
      <c r="F20" s="304"/>
      <c r="G20" s="304">
        <v>35.090000000000003</v>
      </c>
      <c r="H20" s="304"/>
      <c r="I20" s="304">
        <v>31642.799999999999</v>
      </c>
      <c r="J20" s="675">
        <v>21069.5</v>
      </c>
      <c r="K20" s="685">
        <f t="shared" si="0"/>
        <v>35851</v>
      </c>
      <c r="L20" s="304">
        <v>35851</v>
      </c>
      <c r="M20" s="303">
        <f t="shared" si="1"/>
        <v>0</v>
      </c>
      <c r="N20" s="305">
        <f t="shared" si="2"/>
        <v>30759</v>
      </c>
      <c r="O20" s="824">
        <v>30759</v>
      </c>
      <c r="P20" s="303">
        <f t="shared" si="3"/>
        <v>0</v>
      </c>
      <c r="Q20" s="303">
        <f t="shared" si="4"/>
        <v>36030</v>
      </c>
      <c r="R20" s="304">
        <v>36054</v>
      </c>
      <c r="S20" s="303">
        <f t="shared" si="5"/>
        <v>24</v>
      </c>
      <c r="T20" s="303">
        <f t="shared" si="6"/>
        <v>33271</v>
      </c>
      <c r="U20" s="824">
        <v>33271</v>
      </c>
      <c r="V20" s="303">
        <f t="shared" si="7"/>
        <v>0</v>
      </c>
      <c r="W20" s="305">
        <f t="shared" si="8"/>
        <v>21911</v>
      </c>
      <c r="X20" s="672">
        <v>21911</v>
      </c>
      <c r="Y20" s="303">
        <f t="shared" si="9"/>
        <v>0</v>
      </c>
      <c r="Z20" s="306">
        <f t="shared" si="10"/>
        <v>24</v>
      </c>
      <c r="AA20" s="672">
        <v>235</v>
      </c>
      <c r="AB20" s="672">
        <v>130</v>
      </c>
      <c r="AC20" s="686">
        <f>Gen!AR25</f>
        <v>1222.82</v>
      </c>
    </row>
    <row r="21" spans="1:29" ht="20.100000000000001" customHeight="1" thickBot="1">
      <c r="A21" s="679">
        <f>Gen!A26</f>
        <v>44243</v>
      </c>
      <c r="B21" s="674">
        <f>Gen!B26</f>
        <v>9.0899999999999995E-2</v>
      </c>
      <c r="C21" s="792">
        <v>9300.6200000000008</v>
      </c>
      <c r="D21" s="672">
        <v>22273</v>
      </c>
      <c r="E21" s="304"/>
      <c r="F21" s="304"/>
      <c r="G21" s="304">
        <v>189.95</v>
      </c>
      <c r="H21" s="304"/>
      <c r="I21" s="304">
        <v>31647.5</v>
      </c>
      <c r="J21" s="675">
        <v>21072.5</v>
      </c>
      <c r="K21" s="685">
        <f t="shared" si="0"/>
        <v>35851</v>
      </c>
      <c r="L21" s="304">
        <v>35851</v>
      </c>
      <c r="M21" s="303">
        <f t="shared" si="1"/>
        <v>0</v>
      </c>
      <c r="N21" s="305">
        <f t="shared" si="2"/>
        <v>30759</v>
      </c>
      <c r="O21" s="824">
        <v>30759</v>
      </c>
      <c r="P21" s="303">
        <f t="shared" si="3"/>
        <v>0</v>
      </c>
      <c r="Q21" s="303">
        <f t="shared" si="4"/>
        <v>36054</v>
      </c>
      <c r="R21" s="304">
        <v>36054</v>
      </c>
      <c r="S21" s="303">
        <f t="shared" si="5"/>
        <v>0</v>
      </c>
      <c r="T21" s="303">
        <f t="shared" si="6"/>
        <v>33271</v>
      </c>
      <c r="U21" s="824">
        <v>33271</v>
      </c>
      <c r="V21" s="303">
        <f t="shared" si="7"/>
        <v>0</v>
      </c>
      <c r="W21" s="305">
        <f t="shared" si="8"/>
        <v>21911</v>
      </c>
      <c r="X21" s="672">
        <v>21935</v>
      </c>
      <c r="Y21" s="303">
        <f t="shared" si="9"/>
        <v>24</v>
      </c>
      <c r="Z21" s="306">
        <f t="shared" si="10"/>
        <v>24</v>
      </c>
      <c r="AA21" s="672">
        <v>220</v>
      </c>
      <c r="AB21" s="672">
        <v>120</v>
      </c>
      <c r="AC21" s="686">
        <f>Gen!AR26</f>
        <v>1295.8600000000001</v>
      </c>
    </row>
    <row r="22" spans="1:29" ht="18.75" customHeight="1" thickBot="1">
      <c r="A22" s="679">
        <f>Gen!A27</f>
        <v>44244</v>
      </c>
      <c r="B22" s="674">
        <f>Gen!B27</f>
        <v>0.1169</v>
      </c>
      <c r="C22" s="792">
        <v>23004.76</v>
      </c>
      <c r="D22" s="672">
        <v>22273</v>
      </c>
      <c r="E22" s="304"/>
      <c r="F22" s="304"/>
      <c r="G22" s="304">
        <v>249.3</v>
      </c>
      <c r="H22" s="304"/>
      <c r="I22" s="304">
        <v>31651.9</v>
      </c>
      <c r="J22" s="675">
        <v>21075.8</v>
      </c>
      <c r="K22" s="685">
        <f t="shared" si="0"/>
        <v>35851</v>
      </c>
      <c r="L22" s="304">
        <v>35851</v>
      </c>
      <c r="M22" s="303">
        <f t="shared" si="1"/>
        <v>0</v>
      </c>
      <c r="N22" s="305">
        <f t="shared" si="2"/>
        <v>30759</v>
      </c>
      <c r="O22" s="124">
        <v>30783</v>
      </c>
      <c r="P22" s="303">
        <f t="shared" si="3"/>
        <v>24</v>
      </c>
      <c r="Q22" s="303">
        <f t="shared" si="4"/>
        <v>36054</v>
      </c>
      <c r="R22" s="304">
        <v>36054</v>
      </c>
      <c r="S22" s="303">
        <f t="shared" si="5"/>
        <v>0</v>
      </c>
      <c r="T22" s="303">
        <f t="shared" si="6"/>
        <v>33271</v>
      </c>
      <c r="U22" s="824">
        <v>33271</v>
      </c>
      <c r="V22" s="303">
        <f t="shared" si="7"/>
        <v>0</v>
      </c>
      <c r="W22" s="305">
        <f t="shared" si="8"/>
        <v>21935</v>
      </c>
      <c r="X22" s="672">
        <v>21935</v>
      </c>
      <c r="Y22" s="303">
        <f t="shared" si="9"/>
        <v>0</v>
      </c>
      <c r="Z22" s="306">
        <f t="shared" si="10"/>
        <v>24</v>
      </c>
      <c r="AA22" s="124">
        <v>218</v>
      </c>
      <c r="AB22" s="672">
        <v>113</v>
      </c>
      <c r="AC22" s="686">
        <f>Gen!AR27</f>
        <v>1314.82</v>
      </c>
    </row>
    <row r="23" spans="1:29" ht="20.100000000000001" customHeight="1" thickBot="1">
      <c r="A23" s="679">
        <f>Gen!A28</f>
        <v>44245</v>
      </c>
      <c r="B23" s="674">
        <f>Gen!B28</f>
        <v>0.1169</v>
      </c>
      <c r="C23" s="792">
        <v>21689.94</v>
      </c>
      <c r="D23" s="672">
        <v>22273</v>
      </c>
      <c r="E23" s="490"/>
      <c r="F23" s="304"/>
      <c r="G23" s="304">
        <v>599.33000000000004</v>
      </c>
      <c r="H23" s="304"/>
      <c r="I23" s="304">
        <v>31656.6</v>
      </c>
      <c r="J23" s="675">
        <v>21079.3</v>
      </c>
      <c r="K23" s="685">
        <f t="shared" si="0"/>
        <v>35851</v>
      </c>
      <c r="L23" s="304">
        <v>35875</v>
      </c>
      <c r="M23" s="303">
        <f t="shared" si="1"/>
        <v>24</v>
      </c>
      <c r="N23" s="305">
        <f t="shared" si="2"/>
        <v>30783</v>
      </c>
      <c r="O23" s="124">
        <v>30783</v>
      </c>
      <c r="P23" s="303">
        <f t="shared" si="3"/>
        <v>0</v>
      </c>
      <c r="Q23" s="303">
        <f t="shared" si="4"/>
        <v>36054</v>
      </c>
      <c r="R23" s="304">
        <v>36054</v>
      </c>
      <c r="S23" s="303">
        <f t="shared" si="5"/>
        <v>0</v>
      </c>
      <c r="T23" s="303">
        <f t="shared" si="6"/>
        <v>33271</v>
      </c>
      <c r="U23" s="824">
        <v>33271</v>
      </c>
      <c r="V23" s="303">
        <f t="shared" si="7"/>
        <v>0</v>
      </c>
      <c r="W23" s="305">
        <f t="shared" si="8"/>
        <v>21935</v>
      </c>
      <c r="X23" s="672">
        <v>21935</v>
      </c>
      <c r="Y23" s="303">
        <f t="shared" si="9"/>
        <v>0</v>
      </c>
      <c r="Z23" s="306">
        <f t="shared" si="10"/>
        <v>24</v>
      </c>
      <c r="AA23" s="124">
        <v>220</v>
      </c>
      <c r="AB23" s="124">
        <v>120</v>
      </c>
      <c r="AC23" s="686">
        <f>Gen!AR28</f>
        <v>1702.06</v>
      </c>
    </row>
    <row r="24" spans="1:29" ht="20.100000000000001" customHeight="1" thickBot="1">
      <c r="A24" s="679">
        <f>Gen!A29</f>
        <v>44246</v>
      </c>
      <c r="B24" s="674">
        <f>Gen!B29</f>
        <v>0.15579999999999999</v>
      </c>
      <c r="C24" s="792">
        <v>19987.88</v>
      </c>
      <c r="D24" s="672">
        <v>22273</v>
      </c>
      <c r="E24" s="304"/>
      <c r="F24" s="304"/>
      <c r="G24" s="304"/>
      <c r="H24" s="304"/>
      <c r="I24" s="304">
        <v>31661.5</v>
      </c>
      <c r="J24" s="675">
        <v>21083.1</v>
      </c>
      <c r="K24" s="685">
        <f t="shared" si="0"/>
        <v>35875</v>
      </c>
      <c r="L24" s="304">
        <v>35875</v>
      </c>
      <c r="M24" s="303">
        <f t="shared" si="1"/>
        <v>0</v>
      </c>
      <c r="N24" s="305">
        <f t="shared" si="2"/>
        <v>30783</v>
      </c>
      <c r="O24" s="124">
        <v>30783</v>
      </c>
      <c r="P24" s="303">
        <f t="shared" si="3"/>
        <v>0</v>
      </c>
      <c r="Q24" s="303">
        <f t="shared" si="4"/>
        <v>36054</v>
      </c>
      <c r="R24" s="304">
        <v>36054</v>
      </c>
      <c r="S24" s="303">
        <f t="shared" si="5"/>
        <v>0</v>
      </c>
      <c r="T24" s="303">
        <f t="shared" si="6"/>
        <v>33271</v>
      </c>
      <c r="U24" s="304">
        <v>33295</v>
      </c>
      <c r="V24" s="303">
        <f t="shared" si="7"/>
        <v>24</v>
      </c>
      <c r="W24" s="305">
        <f t="shared" si="8"/>
        <v>21935</v>
      </c>
      <c r="X24" s="672">
        <v>21935</v>
      </c>
      <c r="Y24" s="303">
        <f t="shared" si="9"/>
        <v>0</v>
      </c>
      <c r="Z24" s="306">
        <f t="shared" si="10"/>
        <v>24</v>
      </c>
      <c r="AA24" s="124">
        <v>225</v>
      </c>
      <c r="AB24" s="124">
        <v>130</v>
      </c>
      <c r="AC24" s="686">
        <f>Gen!AR29</f>
        <v>1235.28</v>
      </c>
    </row>
    <row r="25" spans="1:29" ht="18.75" customHeight="1">
      <c r="A25" s="679">
        <f>Gen!A30</f>
        <v>44247</v>
      </c>
      <c r="B25" s="674">
        <f>Gen!B30</f>
        <v>0.1429</v>
      </c>
      <c r="C25" s="792">
        <v>18752.599999999999</v>
      </c>
      <c r="D25" s="672">
        <v>22273</v>
      </c>
      <c r="E25" s="304"/>
      <c r="F25" s="304"/>
      <c r="G25" s="304"/>
      <c r="H25" s="304"/>
      <c r="I25" s="304"/>
      <c r="J25" s="675"/>
      <c r="K25" s="685">
        <f t="shared" si="0"/>
        <v>35875</v>
      </c>
      <c r="L25" s="304"/>
      <c r="M25" s="303">
        <f t="shared" si="1"/>
        <v>-35875</v>
      </c>
      <c r="N25" s="305">
        <f t="shared" si="2"/>
        <v>30783</v>
      </c>
      <c r="O25" s="304"/>
      <c r="P25" s="303">
        <f t="shared" si="3"/>
        <v>-30783</v>
      </c>
      <c r="Q25" s="303">
        <f t="shared" si="4"/>
        <v>36054</v>
      </c>
      <c r="R25" s="304"/>
      <c r="S25" s="303">
        <f t="shared" si="5"/>
        <v>-36054</v>
      </c>
      <c r="T25" s="303">
        <f t="shared" si="6"/>
        <v>33295</v>
      </c>
      <c r="U25" s="304"/>
      <c r="V25" s="303">
        <f t="shared" si="7"/>
        <v>-33295</v>
      </c>
      <c r="W25" s="305">
        <f t="shared" si="8"/>
        <v>21935</v>
      </c>
      <c r="X25" s="304"/>
      <c r="Y25" s="303">
        <f t="shared" si="9"/>
        <v>-21935</v>
      </c>
      <c r="Z25" s="306">
        <f t="shared" si="10"/>
        <v>-157942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workbookViewId="0">
      <pane xSplit="1" topLeftCell="B1" activePane="topRight" state="frozen"/>
      <selection pane="topRight" activeCell="B34" sqref="B34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>
        <v>7.7899999999999997E-2</v>
      </c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>
        <v>5.1900000000000002E-2</v>
      </c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>
        <v>0.10390000000000001</v>
      </c>
      <c r="C19" s="806">
        <f t="shared" si="6"/>
        <v>40432.100000000006</v>
      </c>
      <c r="D19" s="807"/>
      <c r="E19" s="804"/>
      <c r="F19" s="808"/>
      <c r="G19" s="805">
        <v>1137.0999999999999</v>
      </c>
      <c r="H19" s="203"/>
      <c r="I19" s="222"/>
      <c r="J19" s="203"/>
      <c r="K19" s="203"/>
      <c r="L19" s="298"/>
      <c r="M19" s="297">
        <v>2653</v>
      </c>
      <c r="N19" s="205"/>
      <c r="O19" s="205"/>
      <c r="P19" s="205"/>
      <c r="Q19" s="205"/>
      <c r="R19" s="562"/>
      <c r="S19" s="570">
        <f t="shared" si="0"/>
        <v>1137.0999999999999</v>
      </c>
      <c r="T19" s="217">
        <f t="shared" si="1"/>
        <v>2653</v>
      </c>
      <c r="U19" s="571">
        <f t="shared" si="4"/>
        <v>0.42860912174896343</v>
      </c>
      <c r="V19" s="210"/>
      <c r="W19" s="218">
        <v>54.2</v>
      </c>
      <c r="X19" s="196"/>
      <c r="Y19" s="218"/>
      <c r="Z19" s="203">
        <v>75.989999999999995</v>
      </c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130.19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1267.29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>
        <v>0.10390000000000001</v>
      </c>
      <c r="C20" s="806">
        <f t="shared" si="6"/>
        <v>39164.810000000005</v>
      </c>
      <c r="D20" s="807"/>
      <c r="E20" s="804"/>
      <c r="F20" s="808"/>
      <c r="G20" s="805"/>
      <c r="H20" s="218"/>
      <c r="I20" s="222"/>
      <c r="J20" s="203">
        <v>1049.3699999999999</v>
      </c>
      <c r="K20" s="203"/>
      <c r="L20" s="525"/>
      <c r="M20" s="297"/>
      <c r="N20" s="205"/>
      <c r="O20" s="205"/>
      <c r="P20" s="205">
        <v>2493</v>
      </c>
      <c r="Q20" s="205"/>
      <c r="R20" s="563"/>
      <c r="S20" s="570">
        <f t="shared" si="0"/>
        <v>1049.3699999999999</v>
      </c>
      <c r="T20" s="217">
        <f t="shared" si="1"/>
        <v>2493</v>
      </c>
      <c r="U20" s="571">
        <f t="shared" si="4"/>
        <v>0.42092659446450054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1049.3699999999999</v>
      </c>
      <c r="AS20" s="220">
        <f t="shared" si="7"/>
        <v>0</v>
      </c>
      <c r="AT20" s="282">
        <f t="shared" si="5"/>
        <v>39164.810000000005</v>
      </c>
    </row>
    <row r="21" spans="1:46" ht="15.75">
      <c r="A21" s="576">
        <v>44238</v>
      </c>
      <c r="B21" s="830">
        <v>0.1169</v>
      </c>
      <c r="C21" s="806">
        <f t="shared" si="6"/>
        <v>38115.440000000002</v>
      </c>
      <c r="D21" s="807"/>
      <c r="E21" s="804"/>
      <c r="F21" s="808"/>
      <c r="G21" s="805"/>
      <c r="H21" s="218"/>
      <c r="I21" s="222"/>
      <c r="J21" s="203"/>
      <c r="K21" s="203"/>
      <c r="L21" s="494">
        <v>1059.1099999999999</v>
      </c>
      <c r="M21" s="297"/>
      <c r="N21" s="297"/>
      <c r="O21" s="205"/>
      <c r="P21" s="205"/>
      <c r="Q21" s="205"/>
      <c r="R21" s="562">
        <v>2528</v>
      </c>
      <c r="S21" s="570">
        <f t="shared" si="0"/>
        <v>1059.1099999999999</v>
      </c>
      <c r="T21" s="217">
        <f t="shared" si="1"/>
        <v>2528</v>
      </c>
      <c r="U21" s="571">
        <f t="shared" si="4"/>
        <v>0.41895174050632905</v>
      </c>
      <c r="V21" s="210"/>
      <c r="W21" s="218">
        <v>39.58</v>
      </c>
      <c r="X21" s="196"/>
      <c r="Y21" s="218"/>
      <c r="Z21" s="203">
        <v>26.85</v>
      </c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66.430000000000007</v>
      </c>
      <c r="AK21" s="212"/>
      <c r="AL21" s="213"/>
      <c r="AM21" s="219"/>
      <c r="AN21" s="224"/>
      <c r="AO21" s="224"/>
      <c r="AP21" s="224"/>
      <c r="AQ21" s="225"/>
      <c r="AR21" s="214">
        <f>SUM(AJ21+S21)</f>
        <v>1125.54</v>
      </c>
      <c r="AS21" s="220">
        <f t="shared" si="7"/>
        <v>0</v>
      </c>
      <c r="AT21" s="282">
        <f t="shared" si="5"/>
        <v>38115.440000000002</v>
      </c>
    </row>
    <row r="22" spans="1:46" ht="14.25">
      <c r="A22" s="576">
        <v>44239</v>
      </c>
      <c r="B22" s="574">
        <v>0.23380000000000001</v>
      </c>
      <c r="C22" s="806">
        <f t="shared" si="6"/>
        <v>36989.9</v>
      </c>
      <c r="D22" s="807"/>
      <c r="E22" s="804"/>
      <c r="F22" s="809"/>
      <c r="G22" s="805"/>
      <c r="H22" s="203">
        <v>1117.1500000000001</v>
      </c>
      <c r="I22" s="222"/>
      <c r="J22" s="203"/>
      <c r="K22" s="203"/>
      <c r="L22" s="525"/>
      <c r="M22" s="297"/>
      <c r="N22" s="297">
        <v>2703</v>
      </c>
      <c r="O22" s="205"/>
      <c r="P22" s="205"/>
      <c r="Q22" s="205"/>
      <c r="R22" s="562"/>
      <c r="S22" s="570">
        <f t="shared" si="0"/>
        <v>1117.1500000000001</v>
      </c>
      <c r="T22" s="217">
        <f t="shared" si="1"/>
        <v>2703</v>
      </c>
      <c r="U22" s="571">
        <f t="shared" si="4"/>
        <v>0.41330003699593049</v>
      </c>
      <c r="V22" s="210"/>
      <c r="W22" s="218"/>
      <c r="X22" s="196">
        <v>45.5</v>
      </c>
      <c r="Y22" s="218"/>
      <c r="Z22" s="203"/>
      <c r="AA22" s="272"/>
      <c r="AB22" s="218">
        <v>70.5</v>
      </c>
      <c r="AC22" s="218"/>
      <c r="AD22" s="218"/>
      <c r="AE22" s="218"/>
      <c r="AF22" s="218"/>
      <c r="AG22" s="218"/>
      <c r="AH22" s="218"/>
      <c r="AI22" s="385"/>
      <c r="AJ22" s="270">
        <f t="shared" si="3"/>
        <v>116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1233.1500000000001</v>
      </c>
      <c r="AS22" s="220">
        <f t="shared" si="7"/>
        <v>0</v>
      </c>
      <c r="AT22" s="282">
        <f t="shared" si="5"/>
        <v>36989.9</v>
      </c>
    </row>
    <row r="23" spans="1:46" ht="13.5" customHeight="1">
      <c r="A23" s="576">
        <v>44240</v>
      </c>
      <c r="B23" s="574">
        <v>0.2208</v>
      </c>
      <c r="C23" s="806">
        <f t="shared" si="6"/>
        <v>35756.75</v>
      </c>
      <c r="D23" s="807"/>
      <c r="E23" s="804">
        <v>15000</v>
      </c>
      <c r="F23" s="837" t="s">
        <v>320</v>
      </c>
      <c r="G23" s="805"/>
      <c r="H23" s="218"/>
      <c r="I23" s="222"/>
      <c r="J23" s="203"/>
      <c r="K23" s="203">
        <v>1131.3900000000001</v>
      </c>
      <c r="L23" s="525"/>
      <c r="M23" s="297"/>
      <c r="N23" s="205"/>
      <c r="O23" s="205"/>
      <c r="P23" s="205"/>
      <c r="Q23" s="205">
        <v>2690</v>
      </c>
      <c r="R23" s="562"/>
      <c r="S23" s="570">
        <f t="shared" si="0"/>
        <v>1131.3900000000001</v>
      </c>
      <c r="T23" s="217">
        <f t="shared" si="1"/>
        <v>2690</v>
      </c>
      <c r="U23" s="571">
        <f t="shared" si="4"/>
        <v>0.42059107806691454</v>
      </c>
      <c r="V23" s="210"/>
      <c r="W23" s="218"/>
      <c r="X23" s="196"/>
      <c r="Y23" s="218"/>
      <c r="Z23" s="203">
        <v>49.82</v>
      </c>
      <c r="AA23" s="272"/>
      <c r="AB23" s="218"/>
      <c r="AC23" s="218">
        <v>25.32</v>
      </c>
      <c r="AD23" s="218"/>
      <c r="AE23" s="218"/>
      <c r="AF23" s="218"/>
      <c r="AG23" s="218"/>
      <c r="AH23" s="218">
        <v>244</v>
      </c>
      <c r="AI23" s="385">
        <v>155</v>
      </c>
      <c r="AJ23" s="270">
        <f t="shared" si="3"/>
        <v>474.14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1605.5300000000002</v>
      </c>
      <c r="AS23" s="220">
        <f t="shared" si="7"/>
        <v>0</v>
      </c>
      <c r="AT23" s="282">
        <f t="shared" si="5"/>
        <v>35756.75</v>
      </c>
    </row>
    <row r="24" spans="1:46" ht="14.25">
      <c r="A24" s="576">
        <v>44241</v>
      </c>
      <c r="B24" s="574">
        <v>0.1948</v>
      </c>
      <c r="C24" s="806">
        <f t="shared" si="6"/>
        <v>34151.22</v>
      </c>
      <c r="D24" s="810"/>
      <c r="E24" s="804"/>
      <c r="F24" s="808"/>
      <c r="G24" s="805">
        <v>1202.78</v>
      </c>
      <c r="H24" s="203"/>
      <c r="I24" s="222"/>
      <c r="J24" s="203"/>
      <c r="K24" s="203"/>
      <c r="L24" s="525"/>
      <c r="M24" s="297">
        <v>2859</v>
      </c>
      <c r="N24" s="297"/>
      <c r="O24" s="205"/>
      <c r="P24" s="205"/>
      <c r="Q24" s="205"/>
      <c r="R24" s="562"/>
      <c r="S24" s="570">
        <f t="shared" si="0"/>
        <v>1202.78</v>
      </c>
      <c r="T24" s="217">
        <f t="shared" si="1"/>
        <v>2859</v>
      </c>
      <c r="U24" s="571">
        <f t="shared" si="4"/>
        <v>0.42069954529555786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>
        <v>152</v>
      </c>
      <c r="AI24" s="385"/>
      <c r="AJ24" s="270">
        <f t="shared" si="3"/>
        <v>152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1354.78</v>
      </c>
      <c r="AS24" s="220">
        <f t="shared" si="7"/>
        <v>0</v>
      </c>
      <c r="AT24" s="282">
        <f t="shared" si="5"/>
        <v>34151.22</v>
      </c>
    </row>
    <row r="25" spans="1:46" ht="14.25">
      <c r="A25" s="576">
        <v>44242</v>
      </c>
      <c r="B25" s="574">
        <v>0.12989999999999999</v>
      </c>
      <c r="C25" s="806">
        <f t="shared" si="6"/>
        <v>32796.44</v>
      </c>
      <c r="D25" s="807"/>
      <c r="E25" s="804"/>
      <c r="F25" s="808"/>
      <c r="G25" s="805"/>
      <c r="H25" s="218"/>
      <c r="I25" s="222"/>
      <c r="J25" s="203">
        <v>1187.73</v>
      </c>
      <c r="K25" s="203"/>
      <c r="L25" s="525"/>
      <c r="M25" s="297"/>
      <c r="N25" s="205"/>
      <c r="O25" s="205"/>
      <c r="P25" s="205">
        <v>2860</v>
      </c>
      <c r="Q25" s="205"/>
      <c r="R25" s="562"/>
      <c r="S25" s="570">
        <f t="shared" si="0"/>
        <v>1187.73</v>
      </c>
      <c r="T25" s="217">
        <f t="shared" si="1"/>
        <v>2860</v>
      </c>
      <c r="U25" s="571">
        <f t="shared" si="4"/>
        <v>0.41529020979020981</v>
      </c>
      <c r="V25" s="210"/>
      <c r="W25" s="218"/>
      <c r="X25" s="196">
        <v>35.090000000000003</v>
      </c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35.090000000000003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1222.82</v>
      </c>
      <c r="AS25" s="220">
        <f t="shared" si="7"/>
        <v>0</v>
      </c>
      <c r="AT25" s="282">
        <f t="shared" si="5"/>
        <v>32796.44</v>
      </c>
    </row>
    <row r="26" spans="1:46" ht="14.25">
      <c r="A26" s="576">
        <v>44243</v>
      </c>
      <c r="B26" s="574">
        <v>9.0899999999999995E-2</v>
      </c>
      <c r="C26" s="806">
        <f t="shared" si="6"/>
        <v>31573.620000000003</v>
      </c>
      <c r="D26" s="807"/>
      <c r="E26" s="804"/>
      <c r="F26" s="809"/>
      <c r="G26" s="805"/>
      <c r="H26" s="218"/>
      <c r="I26" s="222"/>
      <c r="J26" s="203"/>
      <c r="K26" s="203"/>
      <c r="L26" s="525">
        <v>1105.9100000000001</v>
      </c>
      <c r="M26" s="297"/>
      <c r="N26" s="205"/>
      <c r="O26" s="205"/>
      <c r="P26" s="205"/>
      <c r="Q26" s="205"/>
      <c r="R26" s="562">
        <v>2636</v>
      </c>
      <c r="S26" s="570">
        <f t="shared" si="0"/>
        <v>1105.9100000000001</v>
      </c>
      <c r="T26" s="217">
        <f t="shared" si="1"/>
        <v>2636</v>
      </c>
      <c r="U26" s="571">
        <f t="shared" si="4"/>
        <v>0.41954097116843708</v>
      </c>
      <c r="V26" s="210"/>
      <c r="W26" s="218"/>
      <c r="X26" s="196"/>
      <c r="Y26" s="218"/>
      <c r="Z26" s="218">
        <v>73.95</v>
      </c>
      <c r="AA26" s="272"/>
      <c r="AB26" s="218"/>
      <c r="AC26" s="218"/>
      <c r="AD26" s="218"/>
      <c r="AE26" s="218"/>
      <c r="AF26" s="218"/>
      <c r="AG26" s="218"/>
      <c r="AH26" s="218">
        <v>116</v>
      </c>
      <c r="AI26" s="385"/>
      <c r="AJ26" s="270">
        <f t="shared" si="3"/>
        <v>189.95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1295.8600000000001</v>
      </c>
      <c r="AS26" s="220">
        <f t="shared" si="7"/>
        <v>0</v>
      </c>
      <c r="AT26" s="282">
        <f t="shared" si="5"/>
        <v>31573.620000000003</v>
      </c>
    </row>
    <row r="27" spans="1:46" ht="14.25">
      <c r="A27" s="576">
        <v>44244</v>
      </c>
      <c r="B27" s="574">
        <v>0.1169</v>
      </c>
      <c r="C27" s="806">
        <f t="shared" si="6"/>
        <v>45277.760000000002</v>
      </c>
      <c r="D27" s="807">
        <v>15000</v>
      </c>
      <c r="E27" s="804"/>
      <c r="F27" s="808"/>
      <c r="G27" s="805"/>
      <c r="H27" s="218">
        <v>1065.52</v>
      </c>
      <c r="I27" s="222"/>
      <c r="J27" s="203"/>
      <c r="K27" s="203"/>
      <c r="L27" s="525"/>
      <c r="M27" s="297"/>
      <c r="N27" s="205">
        <v>2643</v>
      </c>
      <c r="O27" s="205"/>
      <c r="P27" s="205"/>
      <c r="Q27" s="205"/>
      <c r="R27" s="562"/>
      <c r="S27" s="570">
        <f t="shared" si="0"/>
        <v>1065.52</v>
      </c>
      <c r="T27" s="217">
        <f t="shared" si="1"/>
        <v>2643</v>
      </c>
      <c r="U27" s="571">
        <f t="shared" si="4"/>
        <v>0.40314793794930004</v>
      </c>
      <c r="V27" s="210"/>
      <c r="W27" s="218">
        <v>40.08</v>
      </c>
      <c r="X27" s="196"/>
      <c r="Y27" s="218"/>
      <c r="Z27" s="203"/>
      <c r="AA27" s="272"/>
      <c r="AB27" s="218"/>
      <c r="AC27" s="218"/>
      <c r="AD27" s="218">
        <v>169.22</v>
      </c>
      <c r="AE27" s="218"/>
      <c r="AF27" s="218"/>
      <c r="AG27" s="218"/>
      <c r="AH27" s="218"/>
      <c r="AI27" s="385">
        <v>40</v>
      </c>
      <c r="AJ27" s="270">
        <f t="shared" si="3"/>
        <v>249.3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1314.82</v>
      </c>
      <c r="AS27" s="220">
        <f t="shared" si="7"/>
        <v>0</v>
      </c>
      <c r="AT27" s="282">
        <f t="shared" si="5"/>
        <v>45277.760000000002</v>
      </c>
    </row>
    <row r="28" spans="1:46" ht="14.25">
      <c r="A28" s="576">
        <v>44245</v>
      </c>
      <c r="B28" s="574">
        <v>0.1169</v>
      </c>
      <c r="C28" s="806">
        <f t="shared" si="6"/>
        <v>43962.94</v>
      </c>
      <c r="D28" s="807"/>
      <c r="E28" s="804"/>
      <c r="F28" s="808"/>
      <c r="G28" s="805">
        <v>1102.73</v>
      </c>
      <c r="H28" s="218"/>
      <c r="I28" s="204"/>
      <c r="J28" s="203"/>
      <c r="K28" s="203"/>
      <c r="L28" s="525"/>
      <c r="M28" s="297">
        <v>2839</v>
      </c>
      <c r="N28" s="205"/>
      <c r="O28" s="205"/>
      <c r="P28" s="205"/>
      <c r="Q28" s="205"/>
      <c r="R28" s="562"/>
      <c r="S28" s="570">
        <f t="shared" si="0"/>
        <v>1102.73</v>
      </c>
      <c r="T28" s="217">
        <f t="shared" si="1"/>
        <v>2839</v>
      </c>
      <c r="U28" s="571">
        <f t="shared" si="4"/>
        <v>0.38842197957027125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>
        <v>599.33000000000004</v>
      </c>
      <c r="AH28" s="218"/>
      <c r="AI28" s="385"/>
      <c r="AJ28" s="270">
        <f>SUM(V28:AI28)</f>
        <v>599.33000000000004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1702.06</v>
      </c>
      <c r="AS28" s="220">
        <f t="shared" si="7"/>
        <v>0</v>
      </c>
      <c r="AT28" s="282">
        <f>C28</f>
        <v>43962.94</v>
      </c>
    </row>
    <row r="29" spans="1:46" ht="14.25">
      <c r="A29" s="576">
        <v>44246</v>
      </c>
      <c r="B29" s="574">
        <v>0.15579999999999999</v>
      </c>
      <c r="C29" s="806">
        <f t="shared" si="6"/>
        <v>42260.880000000005</v>
      </c>
      <c r="D29" s="807"/>
      <c r="E29" s="804"/>
      <c r="F29" s="808"/>
      <c r="G29" s="805"/>
      <c r="H29" s="218"/>
      <c r="I29" s="204"/>
      <c r="J29" s="203"/>
      <c r="K29" s="203">
        <v>1235.28</v>
      </c>
      <c r="L29" s="525"/>
      <c r="M29" s="297"/>
      <c r="N29" s="205"/>
      <c r="O29" s="205"/>
      <c r="P29" s="205"/>
      <c r="Q29" s="205">
        <v>2992</v>
      </c>
      <c r="R29" s="562"/>
      <c r="S29" s="570">
        <f t="shared" si="0"/>
        <v>1235.28</v>
      </c>
      <c r="T29" s="217">
        <f t="shared" si="1"/>
        <v>2992</v>
      </c>
      <c r="U29" s="571">
        <f t="shared" si="4"/>
        <v>0.4128609625668449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1235.28</v>
      </c>
      <c r="AS29" s="220">
        <f t="shared" si="7"/>
        <v>0</v>
      </c>
      <c r="AT29" s="282">
        <f t="shared" si="5"/>
        <v>42260.880000000005</v>
      </c>
    </row>
    <row r="30" spans="1:46" ht="14.25">
      <c r="A30" s="576">
        <v>44247</v>
      </c>
      <c r="B30" s="574">
        <v>0.1429</v>
      </c>
      <c r="C30" s="806">
        <f t="shared" si="6"/>
        <v>41025.600000000006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41025.600000000006</v>
      </c>
    </row>
    <row r="31" spans="1:46" ht="14.25">
      <c r="A31" s="576">
        <v>44248</v>
      </c>
      <c r="B31" s="574"/>
      <c r="C31" s="806">
        <f t="shared" si="6"/>
        <v>41025.600000000006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41025.600000000006</v>
      </c>
    </row>
    <row r="32" spans="1:46" ht="14.25">
      <c r="A32" s="576">
        <v>44249</v>
      </c>
      <c r="B32" s="574"/>
      <c r="C32" s="806">
        <f t="shared" si="6"/>
        <v>41025.600000000006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41025.600000000006</v>
      </c>
    </row>
    <row r="33" spans="1:46" ht="14.25">
      <c r="A33" s="576">
        <v>44250</v>
      </c>
      <c r="B33" s="574"/>
      <c r="C33" s="806">
        <f t="shared" si="6"/>
        <v>41025.600000000006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41025.600000000006</v>
      </c>
    </row>
    <row r="34" spans="1:46" ht="14.25">
      <c r="A34" s="576">
        <v>44251</v>
      </c>
      <c r="B34" s="574"/>
      <c r="C34" s="806">
        <f t="shared" si="6"/>
        <v>41025.600000000006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41025.600000000006</v>
      </c>
    </row>
    <row r="35" spans="1:46" ht="14.25">
      <c r="A35" s="576">
        <v>44252</v>
      </c>
      <c r="B35" s="574"/>
      <c r="C35" s="806">
        <f t="shared" si="6"/>
        <v>41025.600000000006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41025.600000000006</v>
      </c>
    </row>
    <row r="36" spans="1:46" ht="14.25">
      <c r="A36" s="576">
        <v>44253</v>
      </c>
      <c r="B36" s="574"/>
      <c r="C36" s="806">
        <f t="shared" si="6"/>
        <v>41025.600000000006</v>
      </c>
      <c r="D36" s="807"/>
      <c r="E36" s="804">
        <v>15000</v>
      </c>
      <c r="F36" s="831" t="s">
        <v>320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41025.600000000006</v>
      </c>
    </row>
    <row r="37" spans="1:46" ht="14.25">
      <c r="A37" s="576">
        <v>44254</v>
      </c>
      <c r="B37" s="574"/>
      <c r="C37" s="806">
        <f t="shared" si="6"/>
        <v>41025.600000000006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41025.600000000006</v>
      </c>
    </row>
    <row r="38" spans="1:46" ht="14.25">
      <c r="A38" s="576">
        <v>44255</v>
      </c>
      <c r="B38" s="574"/>
      <c r="C38" s="806">
        <f t="shared" si="6"/>
        <v>41025.600000000006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41025.600000000006</v>
      </c>
    </row>
    <row r="39" spans="1:46" ht="14.25">
      <c r="A39" s="576"/>
      <c r="B39" s="574"/>
      <c r="C39" s="806">
        <f t="shared" si="6"/>
        <v>41025.600000000006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41025.600000000006</v>
      </c>
    </row>
    <row r="40" spans="1:46" ht="14.25">
      <c r="A40" s="576"/>
      <c r="B40" s="574"/>
      <c r="C40" s="806">
        <f t="shared" si="6"/>
        <v>41025.600000000006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41025.600000000006</v>
      </c>
    </row>
    <row r="41" spans="1:46" ht="14.25">
      <c r="A41" s="576"/>
      <c r="B41" s="574"/>
      <c r="C41" s="806">
        <f t="shared" si="6"/>
        <v>41025.600000000006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41025.600000000006</v>
      </c>
    </row>
    <row r="42" spans="1:46" ht="14.25">
      <c r="A42" s="576"/>
      <c r="B42" s="575"/>
      <c r="C42" s="806">
        <f t="shared" si="6"/>
        <v>41025.600000000006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41025.600000000006</v>
      </c>
    </row>
    <row r="43" spans="1:46" ht="14.25">
      <c r="A43" s="495" t="s">
        <v>25</v>
      </c>
      <c r="B43" s="468">
        <f>AVERAGE(B11:B42)</f>
        <v>0.11105000000000001</v>
      </c>
      <c r="C43" s="802">
        <f t="shared" si="6"/>
        <v>41025.600000000006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41025.600000000006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29800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4616.0499999999993</v>
      </c>
      <c r="H45" s="307">
        <f t="shared" si="8"/>
        <v>4419.92</v>
      </c>
      <c r="I45" s="312">
        <f t="shared" si="8"/>
        <v>0</v>
      </c>
      <c r="J45" s="307">
        <f t="shared" si="8"/>
        <v>3638.4</v>
      </c>
      <c r="K45" s="312">
        <f t="shared" si="8"/>
        <v>4515.0199999999995</v>
      </c>
      <c r="L45" s="307">
        <f t="shared" si="8"/>
        <v>4173.71</v>
      </c>
      <c r="M45" s="312">
        <f t="shared" si="8"/>
        <v>11200</v>
      </c>
      <c r="N45" s="553">
        <f t="shared" si="8"/>
        <v>10807</v>
      </c>
      <c r="O45" s="312">
        <f t="shared" si="8"/>
        <v>0</v>
      </c>
      <c r="P45" s="307">
        <f>SUM(P11:P43)</f>
        <v>8749</v>
      </c>
      <c r="Q45" s="312">
        <f>SUM(Q11:Q44)</f>
        <v>10826</v>
      </c>
      <c r="R45" s="307">
        <f>SUM(R11:R44)</f>
        <v>10036</v>
      </c>
      <c r="S45" s="551">
        <f>SUM(G45:L45)</f>
        <v>21363.1</v>
      </c>
      <c r="T45" s="307">
        <f>SUM(M45:R45)</f>
        <v>51618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298.95999999999998</v>
      </c>
      <c r="X45" s="546">
        <f t="shared" si="9"/>
        <v>207.42000000000002</v>
      </c>
      <c r="Y45" s="233">
        <f t="shared" si="9"/>
        <v>35.39</v>
      </c>
      <c r="Z45" s="546">
        <f t="shared" si="9"/>
        <v>291.44</v>
      </c>
      <c r="AA45" s="233">
        <f t="shared" si="9"/>
        <v>0</v>
      </c>
      <c r="AB45" s="546">
        <f t="shared" si="9"/>
        <v>149.78</v>
      </c>
      <c r="AC45" s="233">
        <f>SUM(AC10:AC44)</f>
        <v>84.82</v>
      </c>
      <c r="AD45" s="546">
        <f>SUM(AD10:AD44)</f>
        <v>169.22</v>
      </c>
      <c r="AE45" s="233">
        <f>SUM(AE9:AE44)</f>
        <v>0</v>
      </c>
      <c r="AF45" s="546">
        <f>SUM(AF9:AF44)</f>
        <v>0</v>
      </c>
      <c r="AG45" s="233">
        <f>SUM(AG9:AG44)</f>
        <v>599.33000000000004</v>
      </c>
      <c r="AH45" s="546">
        <f>SUM(AH9:AH43)</f>
        <v>512</v>
      </c>
      <c r="AI45" s="233">
        <f>SUM(AI9:AI39)</f>
        <v>195</v>
      </c>
      <c r="AJ45" s="546">
        <f>SUM(AJ9:AJ44)</f>
        <v>2543.36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23906.46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689.13225806451612</v>
      </c>
      <c r="T47" s="315">
        <f>S45*2315</f>
        <v>49455576.5</v>
      </c>
      <c r="U47" s="316" t="s">
        <v>244</v>
      </c>
      <c r="AR47" s="522">
        <f>AR45*2143</f>
        <v>51231543.780000001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21605.756443861948</v>
      </c>
      <c r="U48" s="316" t="s">
        <v>245</v>
      </c>
      <c r="W48" s="190"/>
      <c r="X48" s="190"/>
      <c r="Y48" s="190"/>
      <c r="Z48" s="190"/>
      <c r="AA48" s="190"/>
      <c r="AR48" s="315">
        <f>AR47/2289</f>
        <v>22381.626815203144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44240</v>
      </c>
      <c r="C52" s="498" t="s">
        <v>321</v>
      </c>
      <c r="D52" s="500">
        <v>134</v>
      </c>
      <c r="E52" s="499" t="s">
        <v>322</v>
      </c>
      <c r="F52" s="526" t="s">
        <v>319</v>
      </c>
      <c r="H52" s="529"/>
      <c r="I52" s="506"/>
      <c r="J52" s="506"/>
      <c r="K52" s="506"/>
      <c r="L52" s="530"/>
      <c r="N52" s="347">
        <v>44240</v>
      </c>
      <c r="O52" s="506" t="s">
        <v>325</v>
      </c>
      <c r="P52" s="524">
        <v>81</v>
      </c>
      <c r="Q52" s="524" t="s">
        <v>326</v>
      </c>
      <c r="R52" s="510" t="s">
        <v>318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44240</v>
      </c>
      <c r="C53" s="498" t="s">
        <v>323</v>
      </c>
      <c r="D53" s="500">
        <v>110</v>
      </c>
      <c r="E53" s="499" t="s">
        <v>324</v>
      </c>
      <c r="F53" s="526" t="s">
        <v>319</v>
      </c>
      <c r="H53" s="820"/>
      <c r="I53" s="821"/>
      <c r="J53" s="821"/>
      <c r="K53" s="821"/>
      <c r="L53" s="526"/>
      <c r="N53" s="498">
        <v>44240</v>
      </c>
      <c r="O53" s="821" t="s">
        <v>327</v>
      </c>
      <c r="P53" s="822">
        <v>74</v>
      </c>
      <c r="Q53" s="822" t="s">
        <v>328</v>
      </c>
      <c r="R53" s="510" t="s">
        <v>318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44241</v>
      </c>
      <c r="C54" s="498" t="s">
        <v>329</v>
      </c>
      <c r="D54" s="500">
        <v>152</v>
      </c>
      <c r="E54" s="499" t="s">
        <v>330</v>
      </c>
      <c r="F54" s="526" t="s">
        <v>319</v>
      </c>
      <c r="H54" s="515"/>
      <c r="I54" s="264"/>
      <c r="J54" s="264"/>
      <c r="K54" s="264"/>
      <c r="L54" s="526"/>
      <c r="N54" s="340">
        <v>44244</v>
      </c>
      <c r="O54" s="264" t="s">
        <v>325</v>
      </c>
      <c r="P54" s="419">
        <v>40</v>
      </c>
      <c r="Q54" s="419" t="s">
        <v>326</v>
      </c>
      <c r="R54" s="511" t="s">
        <v>318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498">
        <v>44243</v>
      </c>
      <c r="C55" s="301" t="s">
        <v>331</v>
      </c>
      <c r="D55" s="381">
        <v>116</v>
      </c>
      <c r="E55" s="301" t="s">
        <v>330</v>
      </c>
      <c r="F55" s="526" t="s">
        <v>319</v>
      </c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498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D34" sqref="D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/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>
        <v>64</v>
      </c>
      <c r="C18" s="267">
        <v>0</v>
      </c>
      <c r="D18" s="267">
        <v>0</v>
      </c>
      <c r="E18" s="267"/>
      <c r="F18" s="267"/>
      <c r="G18" s="267">
        <v>74882.600000000006</v>
      </c>
      <c r="H18" s="110"/>
      <c r="I18" s="6"/>
      <c r="J18" s="115"/>
      <c r="M18" s="155"/>
      <c r="N18" s="155"/>
    </row>
    <row r="19" spans="1:14" ht="18.75">
      <c r="A19" s="93">
        <v>44237</v>
      </c>
      <c r="B19" s="267">
        <v>61</v>
      </c>
      <c r="C19" s="267">
        <v>0</v>
      </c>
      <c r="D19" s="267">
        <v>0</v>
      </c>
      <c r="E19" s="267"/>
      <c r="F19" s="267"/>
      <c r="G19" s="267">
        <v>74901.7</v>
      </c>
      <c r="H19" s="110"/>
      <c r="I19" s="6"/>
      <c r="J19" s="115"/>
      <c r="M19" s="155"/>
      <c r="N19" s="155"/>
    </row>
    <row r="20" spans="1:14" ht="18.75">
      <c r="A20" s="93">
        <v>44238</v>
      </c>
      <c r="B20" s="267">
        <v>60</v>
      </c>
      <c r="C20" s="267">
        <v>0</v>
      </c>
      <c r="D20" s="267">
        <v>0</v>
      </c>
      <c r="E20" s="267"/>
      <c r="F20" s="267"/>
      <c r="G20" s="267">
        <v>74919.520000000004</v>
      </c>
      <c r="H20" s="110"/>
      <c r="I20" s="6"/>
      <c r="J20" s="115"/>
    </row>
    <row r="21" spans="1:14" ht="18.75">
      <c r="A21" s="93">
        <v>44239</v>
      </c>
      <c r="B21" s="267">
        <v>55</v>
      </c>
      <c r="C21" s="267">
        <v>0</v>
      </c>
      <c r="D21" s="267">
        <v>0</v>
      </c>
      <c r="E21" s="267"/>
      <c r="F21" s="267"/>
      <c r="G21" s="267">
        <v>74960.75</v>
      </c>
      <c r="H21" s="110"/>
      <c r="I21" s="6"/>
      <c r="J21" s="115"/>
    </row>
    <row r="22" spans="1:14" ht="18.75">
      <c r="A22" s="93">
        <v>44240</v>
      </c>
      <c r="B22" s="267">
        <v>54</v>
      </c>
      <c r="C22" s="267">
        <v>0</v>
      </c>
      <c r="D22" s="267">
        <v>0</v>
      </c>
      <c r="E22" s="267"/>
      <c r="F22" s="267"/>
      <c r="G22" s="267">
        <v>74975</v>
      </c>
      <c r="H22" s="110"/>
      <c r="I22" s="6"/>
      <c r="J22" s="115"/>
    </row>
    <row r="23" spans="1:14" ht="18.75">
      <c r="A23" s="93">
        <v>44241</v>
      </c>
      <c r="B23" s="267">
        <v>51</v>
      </c>
      <c r="C23" s="267">
        <v>0</v>
      </c>
      <c r="D23" s="267">
        <v>0</v>
      </c>
      <c r="E23" s="267"/>
      <c r="F23" s="267"/>
      <c r="G23" s="267">
        <v>74968</v>
      </c>
      <c r="H23" s="110"/>
      <c r="I23" s="6"/>
      <c r="J23" s="115"/>
    </row>
    <row r="24" spans="1:14" ht="18.75">
      <c r="A24" s="93">
        <v>44242</v>
      </c>
      <c r="B24" s="267">
        <v>50</v>
      </c>
      <c r="C24" s="267">
        <v>0</v>
      </c>
      <c r="D24" s="267">
        <v>0</v>
      </c>
      <c r="E24" s="267"/>
      <c r="F24" s="267"/>
      <c r="G24" s="267">
        <v>74980</v>
      </c>
      <c r="H24" s="110"/>
      <c r="I24" s="6"/>
      <c r="J24" s="115"/>
    </row>
    <row r="25" spans="1:14" ht="18.75">
      <c r="A25" s="93">
        <v>44243</v>
      </c>
      <c r="B25" s="267">
        <v>50</v>
      </c>
      <c r="C25" s="267">
        <v>0</v>
      </c>
      <c r="D25" s="267">
        <v>0</v>
      </c>
      <c r="E25" s="267"/>
      <c r="F25" s="267"/>
      <c r="G25" s="267">
        <v>74998</v>
      </c>
      <c r="H25" s="110"/>
      <c r="I25" s="6"/>
      <c r="J25" s="115"/>
    </row>
    <row r="26" spans="1:14" ht="18.75">
      <c r="A26" s="93">
        <v>44244</v>
      </c>
      <c r="B26" s="267">
        <v>51</v>
      </c>
      <c r="C26" s="267">
        <v>85</v>
      </c>
      <c r="D26" s="267">
        <v>85</v>
      </c>
      <c r="E26" s="267"/>
      <c r="F26" s="267"/>
      <c r="G26" s="267">
        <v>75012</v>
      </c>
      <c r="H26" s="110"/>
      <c r="I26" s="6"/>
      <c r="J26" s="115"/>
    </row>
    <row r="27" spans="1:14" ht="18.75">
      <c r="A27" s="93">
        <v>44245</v>
      </c>
      <c r="B27" s="267">
        <v>50</v>
      </c>
      <c r="C27" s="267">
        <v>85</v>
      </c>
      <c r="D27" s="267">
        <v>85</v>
      </c>
      <c r="E27" s="267"/>
      <c r="F27" s="267"/>
      <c r="G27" s="267">
        <v>75027</v>
      </c>
      <c r="H27" s="110"/>
      <c r="I27" s="6"/>
      <c r="J27" s="115"/>
    </row>
    <row r="28" spans="1:14" ht="18.75">
      <c r="A28" s="93">
        <v>44246</v>
      </c>
      <c r="B28" s="267">
        <v>49</v>
      </c>
      <c r="C28" s="267">
        <v>85</v>
      </c>
      <c r="D28" s="267">
        <v>85</v>
      </c>
      <c r="E28" s="267"/>
      <c r="F28" s="267"/>
      <c r="G28" s="267">
        <v>75047.38</v>
      </c>
      <c r="H28" s="110"/>
      <c r="I28" s="6"/>
      <c r="J28" s="115"/>
    </row>
    <row r="29" spans="1:14" ht="18.75">
      <c r="A29" s="93">
        <v>44247</v>
      </c>
      <c r="B29" s="267">
        <v>47</v>
      </c>
      <c r="C29" s="267">
        <v>85</v>
      </c>
      <c r="D29" s="267">
        <v>85</v>
      </c>
      <c r="E29" s="267"/>
      <c r="F29" s="267"/>
      <c r="G29" s="267">
        <v>75065.86</v>
      </c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1498153.9800000002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3" zoomScale="94" zoomScaleNormal="94" workbookViewId="0">
      <pane xSplit="1" topLeftCell="B1" activePane="topRight" state="frozen"/>
      <selection pane="topRight" activeCell="I68" sqref="I6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51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3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8251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8251</v>
      </c>
      <c r="J12" s="1">
        <v>8254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89424</v>
      </c>
      <c r="AA12" s="474">
        <f t="shared" si="16"/>
        <v>40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8254</v>
      </c>
      <c r="J13" s="1">
        <v>8257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64064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89424</v>
      </c>
      <c r="Z13" s="383">
        <v>89456</v>
      </c>
      <c r="AA13" s="474">
        <f t="shared" si="16"/>
        <v>32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8257</v>
      </c>
      <c r="J14" s="1">
        <v>8259</v>
      </c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>
        <v>20927</v>
      </c>
      <c r="Q14" s="473">
        <f t="shared" si="6"/>
        <v>3</v>
      </c>
      <c r="R14" s="249"/>
      <c r="S14" s="244"/>
      <c r="T14" s="383">
        <v>64064</v>
      </c>
      <c r="U14" s="474">
        <f t="shared" si="14"/>
        <v>0</v>
      </c>
      <c r="V14" s="244">
        <f t="shared" si="7"/>
        <v>73031</v>
      </c>
      <c r="W14" s="383">
        <v>73031</v>
      </c>
      <c r="X14" s="474">
        <f t="shared" si="15"/>
        <v>0</v>
      </c>
      <c r="Y14" s="244">
        <f t="shared" si="8"/>
        <v>89456</v>
      </c>
      <c r="Z14" s="383">
        <v>89499</v>
      </c>
      <c r="AA14" s="474">
        <f t="shared" si="16"/>
        <v>43</v>
      </c>
      <c r="AB14" s="607">
        <f t="shared" si="20"/>
        <v>17963</v>
      </c>
      <c r="AC14" s="611">
        <v>17978</v>
      </c>
      <c r="AD14" s="610">
        <f t="shared" si="21"/>
        <v>15</v>
      </c>
      <c r="AE14" s="244">
        <f t="shared" si="24"/>
        <v>18300</v>
      </c>
      <c r="AF14" s="384">
        <v>18300</v>
      </c>
      <c r="AG14" s="474">
        <f t="shared" si="17"/>
        <v>0</v>
      </c>
      <c r="AH14" s="244">
        <f t="shared" si="10"/>
        <v>28972</v>
      </c>
      <c r="AI14" s="384">
        <v>28996</v>
      </c>
      <c r="AJ14" s="474">
        <f t="shared" si="18"/>
        <v>24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8259</v>
      </c>
      <c r="J15" s="1">
        <v>8260</v>
      </c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20927</v>
      </c>
      <c r="P15" s="382">
        <v>20931</v>
      </c>
      <c r="Q15" s="473">
        <f t="shared" si="6"/>
        <v>4</v>
      </c>
      <c r="R15" s="249"/>
      <c r="S15" s="244"/>
      <c r="T15" s="383">
        <v>64064</v>
      </c>
      <c r="U15" s="474">
        <f t="shared" si="14"/>
        <v>0</v>
      </c>
      <c r="V15" s="244">
        <f t="shared" si="7"/>
        <v>73031</v>
      </c>
      <c r="W15" s="383">
        <v>73031</v>
      </c>
      <c r="X15" s="474">
        <f t="shared" si="15"/>
        <v>0</v>
      </c>
      <c r="Y15" s="244">
        <f t="shared" si="8"/>
        <v>89499</v>
      </c>
      <c r="Z15" s="383">
        <v>89536</v>
      </c>
      <c r="AA15" s="474">
        <f t="shared" si="16"/>
        <v>37</v>
      </c>
      <c r="AB15" s="607">
        <f t="shared" si="20"/>
        <v>17978</v>
      </c>
      <c r="AC15" s="611">
        <v>17995</v>
      </c>
      <c r="AD15" s="610">
        <f t="shared" si="21"/>
        <v>17</v>
      </c>
      <c r="AE15" s="244">
        <f t="shared" si="24"/>
        <v>18300</v>
      </c>
      <c r="AF15" s="384">
        <v>18300</v>
      </c>
      <c r="AG15" s="474">
        <f t="shared" si="17"/>
        <v>0</v>
      </c>
      <c r="AH15" s="244">
        <f t="shared" si="10"/>
        <v>28996</v>
      </c>
      <c r="AI15" s="384">
        <v>29019</v>
      </c>
      <c r="AJ15" s="474">
        <f t="shared" si="18"/>
        <v>23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8260</v>
      </c>
      <c r="J16" s="1">
        <v>8261</v>
      </c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20931</v>
      </c>
      <c r="P16" s="382">
        <v>20935</v>
      </c>
      <c r="Q16" s="473">
        <f t="shared" si="6"/>
        <v>4</v>
      </c>
      <c r="R16" s="249"/>
      <c r="S16" s="244"/>
      <c r="T16" s="383">
        <v>64064</v>
      </c>
      <c r="U16" s="474">
        <f t="shared" si="14"/>
        <v>0</v>
      </c>
      <c r="V16" s="244">
        <f t="shared" si="7"/>
        <v>73031</v>
      </c>
      <c r="W16" s="383">
        <v>73031</v>
      </c>
      <c r="X16" s="474">
        <f t="shared" si="15"/>
        <v>0</v>
      </c>
      <c r="Y16" s="244">
        <f t="shared" si="8"/>
        <v>89536</v>
      </c>
      <c r="Z16" s="383">
        <v>89545</v>
      </c>
      <c r="AA16" s="474">
        <f t="shared" si="16"/>
        <v>9</v>
      </c>
      <c r="AB16" s="607">
        <f t="shared" si="20"/>
        <v>17995</v>
      </c>
      <c r="AC16" s="611">
        <v>18009</v>
      </c>
      <c r="AD16" s="610">
        <f t="shared" si="21"/>
        <v>14</v>
      </c>
      <c r="AE16" s="244">
        <f t="shared" si="24"/>
        <v>18300</v>
      </c>
      <c r="AF16" s="384">
        <v>18300</v>
      </c>
      <c r="AG16" s="474">
        <f t="shared" si="17"/>
        <v>0</v>
      </c>
      <c r="AH16" s="244">
        <f t="shared" si="10"/>
        <v>29019</v>
      </c>
      <c r="AI16" s="384">
        <v>29048</v>
      </c>
      <c r="AJ16" s="474">
        <f t="shared" si="18"/>
        <v>29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3">
        <f>IF((D17-D16)&lt;0,"0",(D17-D16))</f>
        <v>52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8261</v>
      </c>
      <c r="J17" s="1">
        <v>8263</v>
      </c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20935</v>
      </c>
      <c r="P17" s="382">
        <v>20938</v>
      </c>
      <c r="Q17" s="473">
        <f t="shared" si="6"/>
        <v>3</v>
      </c>
      <c r="R17" s="249"/>
      <c r="S17" s="244"/>
      <c r="T17" s="383">
        <v>64064</v>
      </c>
      <c r="U17" s="474">
        <f t="shared" si="14"/>
        <v>0</v>
      </c>
      <c r="V17" s="244">
        <f t="shared" si="7"/>
        <v>73031</v>
      </c>
      <c r="W17" s="383">
        <v>73031</v>
      </c>
      <c r="X17" s="474">
        <f>IF((W17-W16)&lt;0,"0",(W17-W16))</f>
        <v>0</v>
      </c>
      <c r="Y17" s="244">
        <f t="shared" si="8"/>
        <v>89545</v>
      </c>
      <c r="Z17" s="383">
        <v>89545</v>
      </c>
      <c r="AA17" s="474">
        <f>IF((Z17-Z16)&lt;0,"0",(Z17-Z16))</f>
        <v>0</v>
      </c>
      <c r="AB17" s="607">
        <f t="shared" si="20"/>
        <v>18009</v>
      </c>
      <c r="AC17" s="611">
        <v>18025</v>
      </c>
      <c r="AD17" s="610">
        <f t="shared" si="21"/>
        <v>16</v>
      </c>
      <c r="AE17" s="244">
        <f t="shared" si="24"/>
        <v>18300</v>
      </c>
      <c r="AF17" s="384">
        <v>18300</v>
      </c>
      <c r="AG17" s="474">
        <f t="shared" si="17"/>
        <v>0</v>
      </c>
      <c r="AH17" s="244">
        <f t="shared" si="10"/>
        <v>29048</v>
      </c>
      <c r="AI17" s="384">
        <v>29071</v>
      </c>
      <c r="AJ17" s="474">
        <f t="shared" si="18"/>
        <v>23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3">
        <f t="shared" ref="E18:E37" si="25">IF((D18-D17)&lt;0,"0",(D18-D17))</f>
        <v>58</v>
      </c>
      <c r="F18" s="94">
        <f t="shared" si="2"/>
        <v>0</v>
      </c>
      <c r="G18" s="386"/>
      <c r="H18" s="473">
        <f t="shared" si="12"/>
        <v>0</v>
      </c>
      <c r="I18" s="94">
        <f t="shared" si="3"/>
        <v>8263</v>
      </c>
      <c r="J18" s="1">
        <v>8264</v>
      </c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20938</v>
      </c>
      <c r="P18" s="382">
        <v>20940</v>
      </c>
      <c r="Q18" s="473">
        <f t="shared" si="6"/>
        <v>2</v>
      </c>
      <c r="R18" s="249"/>
      <c r="S18" s="244"/>
      <c r="T18" s="383">
        <v>64064</v>
      </c>
      <c r="U18" s="474">
        <f t="shared" si="14"/>
        <v>0</v>
      </c>
      <c r="V18" s="244">
        <f t="shared" si="7"/>
        <v>73031</v>
      </c>
      <c r="W18" s="383">
        <v>73031</v>
      </c>
      <c r="X18" s="474">
        <f t="shared" si="15"/>
        <v>0</v>
      </c>
      <c r="Y18" s="244">
        <f t="shared" si="8"/>
        <v>89545</v>
      </c>
      <c r="Z18" s="383">
        <v>89545</v>
      </c>
      <c r="AA18" s="474">
        <f t="shared" si="16"/>
        <v>0</v>
      </c>
      <c r="AB18" s="607">
        <f t="shared" si="20"/>
        <v>18025</v>
      </c>
      <c r="AC18" s="611">
        <v>18041</v>
      </c>
      <c r="AD18" s="610">
        <f t="shared" si="21"/>
        <v>16</v>
      </c>
      <c r="AE18" s="244">
        <f t="shared" si="24"/>
        <v>18300</v>
      </c>
      <c r="AF18" s="384">
        <v>18300</v>
      </c>
      <c r="AG18" s="474">
        <f t="shared" si="17"/>
        <v>0</v>
      </c>
      <c r="AH18" s="244">
        <f>AI17</f>
        <v>29071</v>
      </c>
      <c r="AI18" s="384">
        <v>29099</v>
      </c>
      <c r="AJ18" s="474">
        <f t="shared" si="18"/>
        <v>28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3">
        <f t="shared" si="25"/>
        <v>54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8264</v>
      </c>
      <c r="J19" s="1">
        <v>8265</v>
      </c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20940</v>
      </c>
      <c r="P19" s="382">
        <v>20942</v>
      </c>
      <c r="Q19" s="473">
        <f t="shared" si="6"/>
        <v>2</v>
      </c>
      <c r="R19" s="249"/>
      <c r="S19" s="244"/>
      <c r="T19" s="383">
        <v>64064</v>
      </c>
      <c r="U19" s="474">
        <f t="shared" si="14"/>
        <v>0</v>
      </c>
      <c r="V19" s="244">
        <f t="shared" si="7"/>
        <v>73031</v>
      </c>
      <c r="W19" s="383">
        <v>73031</v>
      </c>
      <c r="X19" s="474">
        <f t="shared" si="15"/>
        <v>0</v>
      </c>
      <c r="Y19" s="244">
        <f t="shared" si="8"/>
        <v>89545</v>
      </c>
      <c r="Z19" s="383">
        <v>89587</v>
      </c>
      <c r="AA19" s="474">
        <f t="shared" si="16"/>
        <v>42</v>
      </c>
      <c r="AB19" s="607">
        <f t="shared" si="20"/>
        <v>18041</v>
      </c>
      <c r="AC19" s="611">
        <v>18055</v>
      </c>
      <c r="AD19" s="610">
        <f t="shared" si="21"/>
        <v>14</v>
      </c>
      <c r="AE19" s="244">
        <f t="shared" si="24"/>
        <v>18300</v>
      </c>
      <c r="AF19" s="384">
        <v>18300</v>
      </c>
      <c r="AG19" s="474">
        <f t="shared" si="17"/>
        <v>0</v>
      </c>
      <c r="AH19" s="244">
        <f>AI18</f>
        <v>29099</v>
      </c>
      <c r="AI19" s="384">
        <v>29124</v>
      </c>
      <c r="AJ19" s="474">
        <f t="shared" si="18"/>
        <v>25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3">
        <f t="shared" si="25"/>
        <v>56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8265</v>
      </c>
      <c r="J20" s="1">
        <v>8267</v>
      </c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20942</v>
      </c>
      <c r="P20" s="382">
        <v>20952</v>
      </c>
      <c r="Q20" s="473">
        <f t="shared" si="6"/>
        <v>10</v>
      </c>
      <c r="R20" s="249"/>
      <c r="S20" s="244"/>
      <c r="T20" s="383">
        <v>64064</v>
      </c>
      <c r="U20" s="474">
        <f t="shared" si="14"/>
        <v>0</v>
      </c>
      <c r="V20" s="244">
        <f t="shared" si="7"/>
        <v>73031</v>
      </c>
      <c r="W20" s="383">
        <v>73031</v>
      </c>
      <c r="X20" s="474">
        <f t="shared" si="15"/>
        <v>0</v>
      </c>
      <c r="Y20" s="244">
        <f t="shared" si="8"/>
        <v>89587</v>
      </c>
      <c r="Z20" s="383">
        <v>89640</v>
      </c>
      <c r="AA20" s="474">
        <f t="shared" si="16"/>
        <v>53</v>
      </c>
      <c r="AB20" s="607">
        <f t="shared" si="20"/>
        <v>18055</v>
      </c>
      <c r="AC20" s="611">
        <v>18072</v>
      </c>
      <c r="AD20" s="610">
        <f t="shared" si="21"/>
        <v>17</v>
      </c>
      <c r="AE20" s="244">
        <f t="shared" si="24"/>
        <v>18300</v>
      </c>
      <c r="AF20" s="384">
        <v>18300</v>
      </c>
      <c r="AG20" s="474">
        <f t="shared" si="17"/>
        <v>0</v>
      </c>
      <c r="AH20" s="244">
        <f t="shared" si="10"/>
        <v>29124</v>
      </c>
      <c r="AI20" s="384">
        <v>29150</v>
      </c>
      <c r="AJ20" s="474">
        <f t="shared" si="18"/>
        <v>26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3">
        <f t="shared" si="25"/>
        <v>45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8267</v>
      </c>
      <c r="J21" s="1">
        <v>8268</v>
      </c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20952</v>
      </c>
      <c r="P21" s="382">
        <v>20955</v>
      </c>
      <c r="Q21" s="473">
        <f t="shared" si="6"/>
        <v>3</v>
      </c>
      <c r="R21" s="249"/>
      <c r="S21" s="244"/>
      <c r="T21" s="383">
        <v>64064</v>
      </c>
      <c r="U21" s="474">
        <f t="shared" si="14"/>
        <v>0</v>
      </c>
      <c r="V21" s="244">
        <f t="shared" ref="V21:V37" si="27">W20</f>
        <v>73031</v>
      </c>
      <c r="W21" s="383">
        <v>73031</v>
      </c>
      <c r="X21" s="474">
        <f t="shared" si="15"/>
        <v>0</v>
      </c>
      <c r="Y21" s="244">
        <f t="shared" si="8"/>
        <v>89640</v>
      </c>
      <c r="Z21" s="383">
        <v>89647</v>
      </c>
      <c r="AA21" s="474">
        <f t="shared" si="16"/>
        <v>7</v>
      </c>
      <c r="AB21" s="607">
        <f t="shared" si="20"/>
        <v>18072</v>
      </c>
      <c r="AC21" s="611">
        <v>18088</v>
      </c>
      <c r="AD21" s="610">
        <f t="shared" si="21"/>
        <v>16</v>
      </c>
      <c r="AE21" s="244">
        <f t="shared" si="9"/>
        <v>18300</v>
      </c>
      <c r="AF21" s="384">
        <v>18300</v>
      </c>
      <c r="AG21" s="474">
        <f t="shared" si="17"/>
        <v>0</v>
      </c>
      <c r="AH21" s="244">
        <f t="shared" si="10"/>
        <v>29150</v>
      </c>
      <c r="AI21" s="384">
        <v>29176</v>
      </c>
      <c r="AJ21" s="474">
        <f t="shared" si="18"/>
        <v>26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3">
        <f t="shared" si="25"/>
        <v>48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8268</v>
      </c>
      <c r="J22" s="1">
        <v>8270</v>
      </c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20955</v>
      </c>
      <c r="P22" s="382">
        <v>20958</v>
      </c>
      <c r="Q22" s="473">
        <f t="shared" si="6"/>
        <v>3</v>
      </c>
      <c r="R22" s="249"/>
      <c r="S22" s="244"/>
      <c r="T22" s="383">
        <v>64064</v>
      </c>
      <c r="U22" s="474">
        <f t="shared" si="14"/>
        <v>0</v>
      </c>
      <c r="V22" s="244">
        <f t="shared" si="27"/>
        <v>73031</v>
      </c>
      <c r="W22" s="383">
        <v>73031</v>
      </c>
      <c r="X22" s="474">
        <f t="shared" si="15"/>
        <v>0</v>
      </c>
      <c r="Y22" s="244">
        <f t="shared" si="8"/>
        <v>89647</v>
      </c>
      <c r="Z22" s="383">
        <v>89647</v>
      </c>
      <c r="AA22" s="474">
        <f t="shared" si="16"/>
        <v>0</v>
      </c>
      <c r="AB22" s="607">
        <f t="shared" si="20"/>
        <v>18088</v>
      </c>
      <c r="AC22" s="611">
        <v>18103</v>
      </c>
      <c r="AD22" s="610">
        <f t="shared" si="21"/>
        <v>15</v>
      </c>
      <c r="AE22" s="244">
        <f t="shared" si="9"/>
        <v>18300</v>
      </c>
      <c r="AF22" s="384">
        <v>18300</v>
      </c>
      <c r="AG22" s="474">
        <f t="shared" si="17"/>
        <v>0</v>
      </c>
      <c r="AH22" s="244">
        <f t="shared" si="10"/>
        <v>29176</v>
      </c>
      <c r="AI22" s="384">
        <v>29202</v>
      </c>
      <c r="AJ22" s="474">
        <f t="shared" si="18"/>
        <v>26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3">
        <f t="shared" si="25"/>
        <v>53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8270</v>
      </c>
      <c r="J23" s="1">
        <v>8271</v>
      </c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20958</v>
      </c>
      <c r="P23" s="382">
        <v>20964</v>
      </c>
      <c r="Q23" s="473">
        <f t="shared" si="6"/>
        <v>6</v>
      </c>
      <c r="R23" s="249"/>
      <c r="S23" s="244"/>
      <c r="T23" s="383">
        <v>64064</v>
      </c>
      <c r="U23" s="474">
        <f t="shared" si="14"/>
        <v>0</v>
      </c>
      <c r="V23" s="244">
        <f t="shared" si="27"/>
        <v>73031</v>
      </c>
      <c r="W23" s="383">
        <v>73031</v>
      </c>
      <c r="X23" s="474">
        <f t="shared" si="15"/>
        <v>0</v>
      </c>
      <c r="Y23" s="244">
        <f t="shared" si="8"/>
        <v>89647</v>
      </c>
      <c r="Z23" s="383">
        <v>89701</v>
      </c>
      <c r="AA23" s="474">
        <f t="shared" si="16"/>
        <v>54</v>
      </c>
      <c r="AB23" s="607">
        <f t="shared" si="20"/>
        <v>18103</v>
      </c>
      <c r="AC23" s="608">
        <v>18119</v>
      </c>
      <c r="AD23" s="610">
        <f t="shared" si="21"/>
        <v>16</v>
      </c>
      <c r="AE23" s="244">
        <f t="shared" si="9"/>
        <v>18300</v>
      </c>
      <c r="AF23" s="384">
        <v>18300</v>
      </c>
      <c r="AG23" s="474">
        <f t="shared" si="17"/>
        <v>0</v>
      </c>
      <c r="AH23" s="244">
        <f t="shared" si="10"/>
        <v>29202</v>
      </c>
      <c r="AI23" s="384">
        <v>29227</v>
      </c>
      <c r="AJ23" s="474">
        <f t="shared" si="18"/>
        <v>25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3">
        <f t="shared" si="25"/>
        <v>65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8271</v>
      </c>
      <c r="J24" s="1">
        <v>8273</v>
      </c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20964</v>
      </c>
      <c r="P24" s="382">
        <v>20968</v>
      </c>
      <c r="Q24" s="473">
        <f t="shared" si="6"/>
        <v>4</v>
      </c>
      <c r="R24" s="249"/>
      <c r="S24" s="244"/>
      <c r="T24" s="383">
        <v>64154</v>
      </c>
      <c r="U24" s="474">
        <f t="shared" si="14"/>
        <v>90</v>
      </c>
      <c r="V24" s="244">
        <f t="shared" si="27"/>
        <v>73031</v>
      </c>
      <c r="W24" s="383">
        <v>73031</v>
      </c>
      <c r="X24" s="474">
        <f t="shared" si="15"/>
        <v>0</v>
      </c>
      <c r="Y24" s="244">
        <f t="shared" si="8"/>
        <v>89701</v>
      </c>
      <c r="Z24" s="383">
        <v>89757</v>
      </c>
      <c r="AA24" s="474">
        <f t="shared" si="16"/>
        <v>56</v>
      </c>
      <c r="AB24" s="607">
        <f t="shared" si="20"/>
        <v>18119</v>
      </c>
      <c r="AC24" s="608">
        <v>18135</v>
      </c>
      <c r="AD24" s="610">
        <f t="shared" si="21"/>
        <v>16</v>
      </c>
      <c r="AE24" s="244">
        <f t="shared" si="9"/>
        <v>18300</v>
      </c>
      <c r="AF24" s="384">
        <v>18300</v>
      </c>
      <c r="AG24" s="474">
        <f t="shared" si="17"/>
        <v>0</v>
      </c>
      <c r="AH24" s="244">
        <f t="shared" si="10"/>
        <v>29227</v>
      </c>
      <c r="AI24" s="384">
        <v>29253</v>
      </c>
      <c r="AJ24" s="474">
        <f t="shared" si="18"/>
        <v>26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188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/>
      <c r="E25" s="473" t="str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8273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20968</v>
      </c>
      <c r="P25" s="382"/>
      <c r="Q25" s="473" t="str">
        <f t="shared" si="6"/>
        <v>0</v>
      </c>
      <c r="R25" s="249"/>
      <c r="S25" s="244"/>
      <c r="T25" s="383"/>
      <c r="U25" s="474" t="str">
        <f t="shared" ref="U25:U37" si="31">IF((T25-T24)&lt;0,"0",(T25-T24))</f>
        <v>0</v>
      </c>
      <c r="V25" s="244">
        <f t="shared" si="27"/>
        <v>73031</v>
      </c>
      <c r="W25" s="383"/>
      <c r="X25" s="474" t="str">
        <f t="shared" si="15"/>
        <v>0</v>
      </c>
      <c r="Y25" s="244">
        <f t="shared" si="8"/>
        <v>89757</v>
      </c>
      <c r="Z25" s="383"/>
      <c r="AA25" s="474" t="str">
        <f t="shared" si="16"/>
        <v>0</v>
      </c>
      <c r="AB25" s="607">
        <f t="shared" si="20"/>
        <v>18135</v>
      </c>
      <c r="AC25" s="608"/>
      <c r="AD25" s="610" t="str">
        <f t="shared" si="21"/>
        <v>0</v>
      </c>
      <c r="AE25" s="244">
        <f t="shared" si="9"/>
        <v>18300</v>
      </c>
      <c r="AF25" s="384"/>
      <c r="AG25" s="474" t="str">
        <f t="shared" si="17"/>
        <v>0</v>
      </c>
      <c r="AH25" s="244">
        <f t="shared" si="10"/>
        <v>29253</v>
      </c>
      <c r="AI25" s="384"/>
      <c r="AJ25" s="474" t="str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172</v>
      </c>
    </row>
    <row r="38" spans="1:41" ht="18.75">
      <c r="A38" s="56"/>
      <c r="B38" s="21"/>
      <c r="C38" s="938" t="s">
        <v>6</v>
      </c>
      <c r="D38" s="938"/>
      <c r="E38" s="22">
        <f>SUM(E6:E36)</f>
        <v>1002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1002</v>
      </c>
      <c r="S38" s="246"/>
      <c r="T38" s="246"/>
      <c r="U38" s="256">
        <f>SUM(U6:U37)</f>
        <v>172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172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6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09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>
        <v>136</v>
      </c>
      <c r="D55" s="324">
        <f t="shared" si="45"/>
        <v>98.373333333333335</v>
      </c>
      <c r="E55" s="6">
        <v>100</v>
      </c>
      <c r="F55" s="324">
        <f t="shared" si="46"/>
        <v>30.16393442622951</v>
      </c>
      <c r="G55" s="476">
        <v>300</v>
      </c>
      <c r="H55" s="324">
        <f t="shared" si="47"/>
        <v>114.36031331592689</v>
      </c>
      <c r="I55" s="6">
        <v>285</v>
      </c>
      <c r="J55" s="324">
        <f>I56*213/308</f>
        <v>200.55194805194805</v>
      </c>
      <c r="K55" s="330">
        <f t="shared" si="49"/>
        <v>443.44952912743776</v>
      </c>
    </row>
    <row r="56" spans="1:15" ht="13.5">
      <c r="A56" s="292">
        <f>Gen!A21</f>
        <v>44238</v>
      </c>
      <c r="B56" s="19"/>
      <c r="C56" s="61">
        <v>185</v>
      </c>
      <c r="D56" s="324">
        <f t="shared" si="45"/>
        <v>133.81666666666666</v>
      </c>
      <c r="E56" s="6">
        <v>150</v>
      </c>
      <c r="F56" s="324">
        <f t="shared" si="46"/>
        <v>45.245901639344261</v>
      </c>
      <c r="G56" s="476">
        <v>160</v>
      </c>
      <c r="H56" s="324">
        <f t="shared" si="47"/>
        <v>60.992167101827675</v>
      </c>
      <c r="I56" s="6">
        <v>290</v>
      </c>
      <c r="J56" s="324">
        <f>I57*213/308</f>
        <v>200.55194805194805</v>
      </c>
      <c r="K56" s="330">
        <f t="shared" si="49"/>
        <v>440.60668345978661</v>
      </c>
    </row>
    <row r="57" spans="1:15" ht="13.5">
      <c r="A57" s="292">
        <f>Gen!A22</f>
        <v>44239</v>
      </c>
      <c r="B57" s="19"/>
      <c r="C57" s="61">
        <v>180</v>
      </c>
      <c r="D57" s="324">
        <f t="shared" si="45"/>
        <v>130.19999999999999</v>
      </c>
      <c r="E57" s="6">
        <v>145</v>
      </c>
      <c r="F57" s="324">
        <f t="shared" si="46"/>
        <v>43.73770491803279</v>
      </c>
      <c r="G57" s="476">
        <v>300</v>
      </c>
      <c r="H57" s="324">
        <f t="shared" si="47"/>
        <v>114.36031331592689</v>
      </c>
      <c r="I57" s="6">
        <v>290</v>
      </c>
      <c r="J57" s="324">
        <f t="shared" si="48"/>
        <v>200.55194805194805</v>
      </c>
      <c r="K57" s="330">
        <f t="shared" si="49"/>
        <v>488.84996628590773</v>
      </c>
    </row>
    <row r="58" spans="1:15" ht="13.5">
      <c r="A58" s="292">
        <f>Gen!A23</f>
        <v>44240</v>
      </c>
      <c r="B58" s="19"/>
      <c r="C58" s="61">
        <v>215</v>
      </c>
      <c r="D58" s="324">
        <f t="shared" si="45"/>
        <v>155.51666666666668</v>
      </c>
      <c r="E58" s="6">
        <v>180</v>
      </c>
      <c r="F58" s="324">
        <f t="shared" si="46"/>
        <v>54.295081967213115</v>
      </c>
      <c r="G58" s="476">
        <v>185</v>
      </c>
      <c r="H58" s="324">
        <f t="shared" si="47"/>
        <v>70.522193211488258</v>
      </c>
      <c r="I58" s="6">
        <v>280</v>
      </c>
      <c r="J58" s="324">
        <f t="shared" si="48"/>
        <v>193.63636363636363</v>
      </c>
      <c r="K58" s="330">
        <f t="shared" si="49"/>
        <v>473.97030548173166</v>
      </c>
    </row>
    <row r="59" spans="1:15" ht="13.5">
      <c r="A59" s="292">
        <f>Gen!A24</f>
        <v>44241</v>
      </c>
      <c r="B59" s="19"/>
      <c r="C59" s="61">
        <v>116</v>
      </c>
      <c r="D59" s="324">
        <f t="shared" si="45"/>
        <v>83.906666666666666</v>
      </c>
      <c r="E59" s="6">
        <v>80</v>
      </c>
      <c r="F59" s="324">
        <f t="shared" si="46"/>
        <v>24.131147540983605</v>
      </c>
      <c r="G59" s="476">
        <v>300</v>
      </c>
      <c r="H59" s="324">
        <f t="shared" si="47"/>
        <v>114.36031331592689</v>
      </c>
      <c r="I59" s="6">
        <v>285</v>
      </c>
      <c r="J59" s="324">
        <f t="shared" si="48"/>
        <v>197.09415584415584</v>
      </c>
      <c r="K59" s="330">
        <f t="shared" si="49"/>
        <v>419.49228336773297</v>
      </c>
    </row>
    <row r="60" spans="1:15" ht="13.5">
      <c r="A60" s="292">
        <f>Gen!A25</f>
        <v>44242</v>
      </c>
      <c r="B60" s="19"/>
      <c r="C60" s="61">
        <v>165</v>
      </c>
      <c r="D60" s="324">
        <f t="shared" si="45"/>
        <v>119.35</v>
      </c>
      <c r="E60" s="6">
        <v>110</v>
      </c>
      <c r="F60" s="324">
        <f t="shared" si="46"/>
        <v>33.180327868852459</v>
      </c>
      <c r="G60" s="476">
        <v>270</v>
      </c>
      <c r="H60" s="324">
        <f t="shared" si="47"/>
        <v>102.9242819843342</v>
      </c>
      <c r="I60" s="6">
        <v>170</v>
      </c>
      <c r="J60" s="324">
        <f t="shared" si="48"/>
        <v>117.56493506493507</v>
      </c>
      <c r="K60" s="330">
        <f t="shared" si="49"/>
        <v>373.01954491812171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>
        <v>180</v>
      </c>
      <c r="D61" s="324">
        <f t="shared" si="45"/>
        <v>130.19999999999999</v>
      </c>
      <c r="E61" s="6">
        <v>145</v>
      </c>
      <c r="F61" s="324">
        <f t="shared" si="46"/>
        <v>43.73770491803279</v>
      </c>
      <c r="G61" s="476">
        <v>205</v>
      </c>
      <c r="H61" s="324">
        <f t="shared" si="47"/>
        <v>78.146214099216706</v>
      </c>
      <c r="I61" s="6">
        <v>275</v>
      </c>
      <c r="J61" s="324">
        <f t="shared" si="48"/>
        <v>190.17857142857142</v>
      </c>
      <c r="K61" s="330">
        <f t="shared" si="49"/>
        <v>442.2624904458209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>
        <v>177</v>
      </c>
      <c r="D62" s="324">
        <f t="shared" si="45"/>
        <v>128.03</v>
      </c>
      <c r="E62" s="6">
        <v>142</v>
      </c>
      <c r="F62" s="324">
        <f t="shared" si="46"/>
        <v>42.832786885245902</v>
      </c>
      <c r="G62" s="476">
        <v>165</v>
      </c>
      <c r="H62" s="324">
        <f t="shared" si="47"/>
        <v>62.898172323759788</v>
      </c>
      <c r="I62" s="6">
        <v>280</v>
      </c>
      <c r="J62" s="324">
        <f t="shared" si="48"/>
        <v>193.63636363636363</v>
      </c>
      <c r="K62" s="330">
        <f t="shared" si="49"/>
        <v>427.39732284536933</v>
      </c>
    </row>
    <row r="63" spans="1:15" ht="13.5">
      <c r="A63" s="292">
        <f>Gen!A28</f>
        <v>44245</v>
      </c>
      <c r="B63" s="19"/>
      <c r="C63" s="61">
        <v>160</v>
      </c>
      <c r="D63" s="324">
        <f t="shared" si="45"/>
        <v>115.73333333333333</v>
      </c>
      <c r="E63" s="6">
        <v>125</v>
      </c>
      <c r="F63" s="324">
        <f t="shared" si="46"/>
        <v>37.704918032786885</v>
      </c>
      <c r="G63" s="476">
        <v>127</v>
      </c>
      <c r="H63" s="324">
        <f t="shared" si="47"/>
        <v>48.412532637075721</v>
      </c>
      <c r="I63" s="6">
        <v>290</v>
      </c>
      <c r="J63" s="324">
        <f t="shared" si="48"/>
        <v>200.55194805194805</v>
      </c>
      <c r="K63" s="330">
        <f t="shared" si="49"/>
        <v>402.40273205514399</v>
      </c>
    </row>
    <row r="64" spans="1:15" ht="13.5">
      <c r="A64" s="292">
        <f>Gen!A29</f>
        <v>44246</v>
      </c>
      <c r="B64" s="19"/>
      <c r="C64" s="61">
        <v>191</v>
      </c>
      <c r="D64" s="324">
        <f t="shared" si="45"/>
        <v>138.15666666666667</v>
      </c>
      <c r="E64" s="6">
        <v>135</v>
      </c>
      <c r="F64" s="324">
        <f t="shared" si="46"/>
        <v>40.721311475409834</v>
      </c>
      <c r="G64" s="476">
        <v>80</v>
      </c>
      <c r="H64" s="324">
        <f t="shared" si="47"/>
        <v>30.496083550913838</v>
      </c>
      <c r="I64" s="6">
        <v>275</v>
      </c>
      <c r="J64" s="324">
        <f t="shared" si="48"/>
        <v>190.17857142857142</v>
      </c>
      <c r="K64" s="330">
        <f t="shared" si="49"/>
        <v>399.55263312156171</v>
      </c>
    </row>
    <row r="65" spans="1:11" ht="13.5">
      <c r="A65" s="292">
        <f>Gen!A30</f>
        <v>44247</v>
      </c>
      <c r="B65" s="19"/>
      <c r="C65" s="61">
        <v>300</v>
      </c>
      <c r="D65" s="324">
        <f t="shared" si="45"/>
        <v>217</v>
      </c>
      <c r="E65" s="6">
        <v>290</v>
      </c>
      <c r="F65" s="324">
        <f t="shared" si="46"/>
        <v>87.47540983606558</v>
      </c>
      <c r="G65" s="476">
        <v>10</v>
      </c>
      <c r="H65" s="324">
        <f t="shared" si="47"/>
        <v>3.8120104438642297</v>
      </c>
      <c r="I65" s="6">
        <v>280</v>
      </c>
      <c r="J65" s="324">
        <f t="shared" si="48"/>
        <v>193.63636363636363</v>
      </c>
      <c r="K65" s="330">
        <f t="shared" si="49"/>
        <v>501.92378391629342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3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3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3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6">
        <f>'Lpg (2)'!G18</f>
        <v>74882.600000000006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3.8636363636363638</v>
      </c>
      <c r="U13" s="121">
        <f t="shared" si="6"/>
        <v>92799.585732323234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3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6">
        <f>'Lpg (2)'!G19</f>
        <v>74901.7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3.6704545454545454</v>
      </c>
      <c r="U14" s="121">
        <f t="shared" si="6"/>
        <v>92823.255744949493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3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6">
        <f>'Lpg (2)'!G20</f>
        <v>74919.520000000004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3.1553030303030303</v>
      </c>
      <c r="U15" s="121">
        <f t="shared" si="6"/>
        <v>92845.339494949512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3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6">
        <f>'Lpg (2)'!G21</f>
        <v>74960.75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3.3484848484848486</v>
      </c>
      <c r="U16" s="121">
        <f t="shared" si="6"/>
        <v>92896.434501262629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3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6">
        <f>'Lpg (2)'!G22</f>
        <v>74975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3.7348484848484849</v>
      </c>
      <c r="U17" s="121">
        <f t="shared" si="6"/>
        <v>92914.094065656565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3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6">
        <f>'Lpg (2)'!G23</f>
        <v>74968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7" t="e">
        <f t="shared" si="4"/>
        <v>#DIV/0!</v>
      </c>
      <c r="T18" s="75">
        <f t="shared" si="5"/>
        <v>3.4772727272727271</v>
      </c>
      <c r="U18" s="121">
        <f t="shared" si="6"/>
        <v>92905.419191919194</v>
      </c>
      <c r="V18" s="17">
        <f t="shared" si="7"/>
        <v>7732139.3614646466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3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6">
        <f>'Lpg (2)'!G24</f>
        <v>74980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7" t="e">
        <f t="shared" si="4"/>
        <v>#DIV/0!</v>
      </c>
      <c r="T19" s="75">
        <f t="shared" si="5"/>
        <v>3.606060606060606</v>
      </c>
      <c r="U19" s="121">
        <f t="shared" si="6"/>
        <v>92920.29040404041</v>
      </c>
      <c r="V19" s="17">
        <f t="shared" si="7"/>
        <v>6916344.0369646465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3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6">
        <f>'Lpg (2)'!G25</f>
        <v>74998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7" t="e">
        <f t="shared" si="4"/>
        <v>#DIV/0!</v>
      </c>
      <c r="T20" s="75">
        <f t="shared" si="5"/>
        <v>2.8977272727272729</v>
      </c>
      <c r="U20" s="121">
        <f t="shared" si="6"/>
        <v>92942.597222222219</v>
      </c>
      <c r="V20" s="17">
        <f t="shared" si="7"/>
        <v>6113217.7514494946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3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6">
        <f>'Lpg (2)'!G26</f>
        <v>75012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7" t="e">
        <f t="shared" si="4"/>
        <v>#DIV/0!</v>
      </c>
      <c r="T21" s="75">
        <f t="shared" si="5"/>
        <v>3.0909090909090908</v>
      </c>
      <c r="U21" s="121">
        <f t="shared" si="6"/>
        <v>92959.946969696975</v>
      </c>
      <c r="V21" s="17">
        <f t="shared" si="7"/>
        <v>7665942.1998787876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3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6">
        <f>'Lpg (2)'!G27</f>
        <v>75027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3.4128787878787881</v>
      </c>
      <c r="U22" s="121">
        <f t="shared" si="6"/>
        <v>92978.53598484848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3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6">
        <f>'Lpg (2)'!G28</f>
        <v>75047.38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4.1856060606060606</v>
      </c>
      <c r="U23" s="121">
        <f t="shared" si="6"/>
        <v>93003.792260101007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3">
        <f t="shared" si="2"/>
        <v>11.003299999999999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 t="str">
        <f>'Water-Meter'!E25</f>
        <v>0</v>
      </c>
      <c r="L24" s="446">
        <f>'Lpg (2)'!G29</f>
        <v>75065.86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93026.693926767679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1002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7.7899999999999997E-2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90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5.1900000000000002E-2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61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0.10390000000000001</v>
      </c>
      <c r="C13" s="442">
        <f>Gen!AJ19</f>
        <v>130.19</v>
      </c>
      <c r="D13" s="443">
        <f>Gen!S19</f>
        <v>1137.0999999999999</v>
      </c>
      <c r="E13" s="394">
        <f>Gen!C19</f>
        <v>40432.100000000006</v>
      </c>
      <c r="F13" s="395">
        <f>'Water-Meter'!E14</f>
        <v>60</v>
      </c>
      <c r="G13" s="396">
        <f>'Water-Meter'!AN14</f>
        <v>82</v>
      </c>
      <c r="H13" s="394">
        <f>'Utility report '!AC14</f>
        <v>144</v>
      </c>
      <c r="I13" s="393">
        <f>'Kit report'!F12</f>
        <v>215.99999999991269</v>
      </c>
      <c r="J13" s="394">
        <f>'Kit report'!X12</f>
        <v>279.99999999992724</v>
      </c>
    </row>
    <row r="14" spans="1:10" ht="17.100000000000001" customHeight="1" thickBot="1">
      <c r="A14" s="216">
        <f>Gen!A20</f>
        <v>44237</v>
      </c>
      <c r="B14" s="398">
        <f>Gen!B20</f>
        <v>0.10390000000000001</v>
      </c>
      <c r="C14" s="442">
        <f>Gen!AJ20</f>
        <v>0</v>
      </c>
      <c r="D14" s="443">
        <f>Gen!S20</f>
        <v>1049.3699999999999</v>
      </c>
      <c r="E14" s="394">
        <f>Gen!C20</f>
        <v>39164.810000000005</v>
      </c>
      <c r="F14" s="395">
        <f>'Water-Meter'!E15</f>
        <v>57</v>
      </c>
      <c r="G14" s="396">
        <f>'Water-Meter'!AN15</f>
        <v>77</v>
      </c>
      <c r="H14" s="394">
        <f>'Utility report '!AC15</f>
        <v>0</v>
      </c>
      <c r="I14" s="393">
        <f>'Kit report'!F13</f>
        <v>216.00000000013097</v>
      </c>
      <c r="J14" s="394">
        <f>'Kit report'!X13</f>
        <v>220.00000000007276</v>
      </c>
    </row>
    <row r="15" spans="1:10" ht="17.100000000000001" customHeight="1" thickBot="1">
      <c r="A15" s="216">
        <f>Gen!A21</f>
        <v>44238</v>
      </c>
      <c r="B15" s="398">
        <f>Gen!B21</f>
        <v>0.1169</v>
      </c>
      <c r="C15" s="442">
        <f>Gen!AJ21</f>
        <v>66.430000000000007</v>
      </c>
      <c r="D15" s="443">
        <f>Gen!S21</f>
        <v>1059.1099999999999</v>
      </c>
      <c r="E15" s="394">
        <f>Gen!C21</f>
        <v>38115.440000000002</v>
      </c>
      <c r="F15" s="395">
        <f>'Water-Meter'!E16</f>
        <v>49</v>
      </c>
      <c r="G15" s="396">
        <f>'Water-Meter'!AN16</f>
        <v>52</v>
      </c>
      <c r="H15" s="394">
        <f>'Utility report '!AC16</f>
        <v>100</v>
      </c>
      <c r="I15" s="393">
        <f>'Kit report'!F14</f>
        <v>240</v>
      </c>
      <c r="J15" s="394">
        <f>'Kit report'!X14</f>
        <v>260.00000000003638</v>
      </c>
    </row>
    <row r="16" spans="1:10" ht="17.100000000000001" customHeight="1" thickBot="1">
      <c r="A16" s="216">
        <f>Gen!A22</f>
        <v>44239</v>
      </c>
      <c r="B16" s="398">
        <f>Gen!B22</f>
        <v>0.23380000000000001</v>
      </c>
      <c r="C16" s="442">
        <f>Gen!AJ22</f>
        <v>116</v>
      </c>
      <c r="D16" s="443">
        <f>Gen!S22</f>
        <v>1117.1500000000001</v>
      </c>
      <c r="E16" s="394">
        <f>Gen!C22</f>
        <v>36989.9</v>
      </c>
      <c r="F16" s="395">
        <f>'Water-Meter'!E17</f>
        <v>52</v>
      </c>
      <c r="G16" s="396">
        <f>'Water-Meter'!AN17</f>
        <v>39</v>
      </c>
      <c r="H16" s="394">
        <f>'Utility report '!AC17</f>
        <v>0</v>
      </c>
      <c r="I16" s="393">
        <f>'Kit report'!F15</f>
        <v>263.99999999986903</v>
      </c>
      <c r="J16" s="394">
        <f>'Kit report'!X15</f>
        <v>259.99999999985448</v>
      </c>
    </row>
    <row r="17" spans="1:10" ht="17.100000000000001" customHeight="1" thickBot="1">
      <c r="A17" s="216">
        <f>Gen!A23</f>
        <v>44240</v>
      </c>
      <c r="B17" s="398">
        <f>Gen!B23</f>
        <v>0.2208</v>
      </c>
      <c r="C17" s="442">
        <f>Gen!AJ23</f>
        <v>474.14</v>
      </c>
      <c r="D17" s="443">
        <f>Gen!S23</f>
        <v>1131.3900000000001</v>
      </c>
      <c r="E17" s="394">
        <f>Gen!C23</f>
        <v>35756.75</v>
      </c>
      <c r="F17" s="395">
        <f>'Water-Meter'!E18</f>
        <v>58</v>
      </c>
      <c r="G17" s="396">
        <f>'Water-Meter'!AN18</f>
        <v>44</v>
      </c>
      <c r="H17" s="394">
        <f>'Utility report '!AC18</f>
        <v>0</v>
      </c>
      <c r="I17" s="393">
        <f>'Kit report'!F16</f>
        <v>252.00000000004366</v>
      </c>
      <c r="J17" s="394">
        <f>'Kit report'!X16</f>
        <v>180.00000000010914</v>
      </c>
    </row>
    <row r="18" spans="1:10" ht="17.100000000000001" customHeight="1" thickBot="1">
      <c r="A18" s="216">
        <f>Gen!A24</f>
        <v>44241</v>
      </c>
      <c r="B18" s="398">
        <f>Gen!B24</f>
        <v>0.1948</v>
      </c>
      <c r="C18" s="442">
        <f>Gen!AJ24</f>
        <v>152</v>
      </c>
      <c r="D18" s="443">
        <f>Gen!S24</f>
        <v>1202.78</v>
      </c>
      <c r="E18" s="394">
        <f>Gen!C24</f>
        <v>34151.22</v>
      </c>
      <c r="F18" s="395">
        <f>'Water-Meter'!E19</f>
        <v>54</v>
      </c>
      <c r="G18" s="396">
        <f>'Water-Meter'!AN19</f>
        <v>81</v>
      </c>
      <c r="H18" s="394">
        <f>'Utility report '!AC19</f>
        <v>88</v>
      </c>
      <c r="I18" s="393">
        <f>'Kit report'!F17</f>
        <v>287.99999999995634</v>
      </c>
      <c r="J18" s="394">
        <f>'Kit report'!X17</f>
        <v>360.00000000003638</v>
      </c>
    </row>
    <row r="19" spans="1:10" ht="17.100000000000001" customHeight="1" thickBot="1">
      <c r="A19" s="216">
        <f>Gen!A25</f>
        <v>44242</v>
      </c>
      <c r="B19" s="398">
        <f>Gen!B25</f>
        <v>0.12989999999999999</v>
      </c>
      <c r="C19" s="442">
        <f>Gen!AJ25</f>
        <v>35.090000000000003</v>
      </c>
      <c r="D19" s="443">
        <f>Gen!S25</f>
        <v>1187.73</v>
      </c>
      <c r="E19" s="394">
        <f>Gen!C25</f>
        <v>32796.44</v>
      </c>
      <c r="F19" s="395">
        <f>'Water-Meter'!E20</f>
        <v>56</v>
      </c>
      <c r="G19" s="396">
        <f>'Water-Meter'!AN20</f>
        <v>96</v>
      </c>
      <c r="H19" s="394">
        <f>'Utility report '!AC20</f>
        <v>98</v>
      </c>
      <c r="I19" s="393">
        <f>'Kit report'!F18</f>
        <v>276.00000000013097</v>
      </c>
      <c r="J19" s="394">
        <f>'Kit report'!X18</f>
        <v>319.99999999989086</v>
      </c>
    </row>
    <row r="20" spans="1:10" ht="17.100000000000001" customHeight="1" thickBot="1">
      <c r="A20" s="216">
        <f>Gen!A26</f>
        <v>44243</v>
      </c>
      <c r="B20" s="398">
        <f>Gen!B26</f>
        <v>9.0899999999999995E-2</v>
      </c>
      <c r="C20" s="442">
        <f>Gen!AJ26</f>
        <v>189.95</v>
      </c>
      <c r="D20" s="443">
        <f>Gen!S26</f>
        <v>1105.9100000000001</v>
      </c>
      <c r="E20" s="394">
        <f>Gen!C26</f>
        <v>31573.620000000003</v>
      </c>
      <c r="F20" s="395">
        <f>'Water-Meter'!E21</f>
        <v>45</v>
      </c>
      <c r="G20" s="396">
        <f>'Water-Meter'!AN21</f>
        <v>49</v>
      </c>
      <c r="H20" s="394">
        <f>'Utility report '!AC21</f>
        <v>34</v>
      </c>
      <c r="I20" s="393">
        <f>'Kit report'!F19</f>
        <v>252.00000000004366</v>
      </c>
      <c r="J20" s="394">
        <f>'Kit report'!X19</f>
        <v>360.00000000003638</v>
      </c>
    </row>
    <row r="21" spans="1:10" ht="15.75" thickBot="1">
      <c r="A21" s="216">
        <f>Gen!A27</f>
        <v>44244</v>
      </c>
      <c r="B21" s="398">
        <f>Gen!B27</f>
        <v>0.1169</v>
      </c>
      <c r="C21" s="442">
        <f>Gen!AJ27</f>
        <v>249.3</v>
      </c>
      <c r="D21" s="443">
        <f>Gen!S27</f>
        <v>1065.52</v>
      </c>
      <c r="E21" s="394">
        <f>Gen!C27</f>
        <v>45277.760000000002</v>
      </c>
      <c r="F21" s="395">
        <f>'Water-Meter'!E22</f>
        <v>48</v>
      </c>
      <c r="G21" s="396">
        <f>'Water-Meter'!AN22</f>
        <v>41</v>
      </c>
      <c r="H21" s="394">
        <f>'Utility report '!AC22</f>
        <v>34</v>
      </c>
      <c r="I21" s="393">
        <f>'Kit report'!F20</f>
        <v>287.99999999995634</v>
      </c>
      <c r="J21" s="394">
        <f>'Kit report'!X20</f>
        <v>179.99999999992724</v>
      </c>
    </row>
    <row r="22" spans="1:10" ht="15" customHeight="1" thickBot="1">
      <c r="A22" s="216">
        <f>Gen!A28</f>
        <v>44245</v>
      </c>
      <c r="B22" s="398">
        <f>Gen!B28</f>
        <v>0.1169</v>
      </c>
      <c r="C22" s="442">
        <f>Gen!AJ28</f>
        <v>599.33000000000004</v>
      </c>
      <c r="D22" s="443">
        <f>Gen!S28</f>
        <v>1102.73</v>
      </c>
      <c r="E22" s="394">
        <f>Gen!C28</f>
        <v>43962.94</v>
      </c>
      <c r="F22" s="395">
        <f>'Water-Meter'!E23</f>
        <v>53</v>
      </c>
      <c r="G22" s="396">
        <f>'Water-Meter'!AN23</f>
        <v>95</v>
      </c>
      <c r="H22" s="394">
        <f>'Utility report '!AC23</f>
        <v>33</v>
      </c>
      <c r="I22" s="393">
        <f>'Kit report'!F21</f>
        <v>275.99999999991269</v>
      </c>
      <c r="J22" s="394">
        <f>'Kit report'!X21</f>
        <v>360.00000000003638</v>
      </c>
    </row>
    <row r="23" spans="1:10" ht="15" customHeight="1" thickBot="1">
      <c r="A23" s="216">
        <f>Gen!A29</f>
        <v>44246</v>
      </c>
      <c r="B23" s="398">
        <f>Gen!B29</f>
        <v>0.15579999999999999</v>
      </c>
      <c r="C23" s="442">
        <f>Gen!AJ29</f>
        <v>0</v>
      </c>
      <c r="D23" s="443">
        <f>Gen!S29</f>
        <v>1235.28</v>
      </c>
      <c r="E23" s="394">
        <f>Gen!C29</f>
        <v>42260.880000000005</v>
      </c>
      <c r="F23" s="395">
        <f>'Water-Meter'!E24</f>
        <v>65</v>
      </c>
      <c r="G23" s="396">
        <f>'Water-Meter'!AN24</f>
        <v>188</v>
      </c>
      <c r="H23" s="394">
        <f>'Utility report '!AC24</f>
        <v>35</v>
      </c>
      <c r="I23" s="393">
        <f>'Kit report'!F22</f>
        <v>300</v>
      </c>
      <c r="J23" s="394">
        <f>'Kit report'!X22</f>
        <v>400</v>
      </c>
    </row>
    <row r="24" spans="1:10" ht="15" customHeight="1" thickBot="1">
      <c r="A24" s="216">
        <f>Gen!A30</f>
        <v>44247</v>
      </c>
      <c r="B24" s="398">
        <f>Gen!B30</f>
        <v>0.1429</v>
      </c>
      <c r="C24" s="442">
        <f>Gen!AJ30</f>
        <v>0</v>
      </c>
      <c r="D24" s="443">
        <f>Gen!S30</f>
        <v>0</v>
      </c>
      <c r="E24" s="394">
        <f>Gen!C30</f>
        <v>41025.600000000006</v>
      </c>
      <c r="F24" s="395" t="str">
        <f>'Water-Meter'!E25</f>
        <v>0</v>
      </c>
      <c r="G24" s="396">
        <f>'Water-Meter'!AN25</f>
        <v>0</v>
      </c>
      <c r="H24" s="394">
        <f>'Utility report '!AC25</f>
        <v>-46744</v>
      </c>
      <c r="I24" s="393">
        <f>'Kit report'!F23</f>
        <v>-1094088</v>
      </c>
      <c r="J24" s="394">
        <f>'Kit report'!X23</f>
        <v>-1603040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41025.600000000006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41025.600000000006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41025.600000000006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41025.600000000006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41025.600000000006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41025.600000000006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41025.600000000006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41025.600000000006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41025.600000000006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41025.600000000006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41025.600000000006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41025.600000000006</v>
      </c>
      <c r="F36" s="395">
        <f>'Water-Meter'!E37</f>
        <v>0</v>
      </c>
      <c r="G36" s="396">
        <f>'Water-Meter'!AN37</f>
        <v>172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2021-02-20T05:37:29Z</dcterms:modified>
</cp:coreProperties>
</file>