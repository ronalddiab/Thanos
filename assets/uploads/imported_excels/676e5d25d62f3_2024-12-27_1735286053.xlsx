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C3BF706-3C0F-4848-AC62-22C42F18EF30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2" l="1"/>
  <c r="Y13" i="2"/>
  <c r="Y12" i="2"/>
  <c r="O32" i="3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H20" i="2" l="1"/>
  <c r="F2" i="3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<sst xmlns="http://schemas.openxmlformats.org/spreadsheetml/2006/main" count="77" uniqueCount="40">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</sst>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1"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0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4904</v>
      </c>
      <c r="F7" s="113">
        <f>(December!C7*0.27)/(December!C7+December!E7)</f>
        <v>0.23944331158238175</v>
      </c>
      <c r="G7" s="100">
        <f>December!U7</f>
        <v>50</v>
      </c>
      <c r="H7" s="116">
        <v>0.62</v>
      </c>
      <c r="I7" s="101">
        <f>December!W7</f>
        <v>2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97</v>
      </c>
      <c r="P7" s="103">
        <f>December!AD7</f>
        <v>149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4583</v>
      </c>
      <c r="F8" s="113">
        <f>(December!C8*0.27)/(December!C8+December!E8)</f>
        <v>0.2427231071350644</v>
      </c>
      <c r="G8" s="100">
        <f>December!U8</f>
        <v>25</v>
      </c>
      <c r="H8" s="116">
        <v>0.62</v>
      </c>
      <c r="I8" s="101">
        <f>December!W8</f>
        <v>5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71</v>
      </c>
      <c r="P8" s="103">
        <f>December!AD8</f>
        <v>113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4361</v>
      </c>
      <c r="F9" s="113">
        <f>(December!C9*0.27)/(December!C9+December!E9)</f>
        <v>0.23080944737445541</v>
      </c>
      <c r="G9" s="100">
        <f>December!U9</f>
        <v>25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51</v>
      </c>
      <c r="P9" s="103">
        <f>December!AD9</f>
        <v>76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4008</v>
      </c>
      <c r="F10" s="113">
        <f>(December!C10*0.27)/(December!C10+December!E10)</f>
        <v>0.23564371257485031</v>
      </c>
      <c r="G10" s="100">
        <f>December!U10</f>
        <v>83</v>
      </c>
      <c r="H10" s="116">
        <v>0.62</v>
      </c>
      <c r="I10" s="101">
        <f>December!W10</f>
        <v>5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35</v>
      </c>
      <c r="P10" s="103">
        <f>December!AD10</f>
        <v>48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3855</v>
      </c>
      <c r="F11" s="113">
        <f>(December!C11*0.27)/(December!C11+December!E11)</f>
        <v>0.2293774319066148</v>
      </c>
      <c r="G11" s="100">
        <f>December!U11</f>
        <v>25</v>
      </c>
      <c r="H11" s="116">
        <v>0.62</v>
      </c>
      <c r="I11" s="101">
        <f>December!W11</f>
        <v>3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33</v>
      </c>
      <c r="P11" s="103">
        <f>December!AD11</f>
        <v>45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4034</v>
      </c>
      <c r="F12" s="113">
        <f>(December!C12*0.27)/(December!C12+December!E12)</f>
        <v>0.24644025780862669</v>
      </c>
      <c r="G12" s="100">
        <f>December!U12</f>
        <v>25</v>
      </c>
      <c r="H12" s="116">
        <v>0.62</v>
      </c>
      <c r="I12" s="101">
        <f>December!W12</f>
        <v>5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36</v>
      </c>
      <c r="P12" s="103">
        <f>December!AD12</f>
        <v>49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4080</v>
      </c>
      <c r="F13" s="113">
        <f>(December!C13*0.27)/(December!C13+December!E13)</f>
        <v>0.23168382352941178</v>
      </c>
      <c r="G13" s="100">
        <f>December!U13</f>
        <v>50</v>
      </c>
      <c r="H13" s="116">
        <v>0.62</v>
      </c>
      <c r="I13" s="101" t="str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34</v>
      </c>
      <c r="P13" s="103">
        <f>December!AD13</f>
        <v>46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4185</v>
      </c>
      <c r="F14" s="113">
        <f>(December!C14*0.27)/(December!C14+December!E14)</f>
        <v>0.22580645161290325</v>
      </c>
      <c r="G14" s="100">
        <f>December!U14</f>
        <v>125</v>
      </c>
      <c r="H14" s="116">
        <v>0.62</v>
      </c>
      <c r="I14" s="101">
        <f>December!W14</f>
        <v>58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39</v>
      </c>
      <c r="P14" s="103">
        <f>December!AD14</f>
        <v>60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4514</v>
      </c>
      <c r="F15" s="113">
        <f>(December!C15*0.27)/(December!C15+December!E15)</f>
        <v>0.228907842268498</v>
      </c>
      <c r="G15" s="100">
        <f>December!U15</f>
        <v>125</v>
      </c>
      <c r="H15" s="116">
        <v>0.62</v>
      </c>
      <c r="I15" s="101">
        <f>December!W15</f>
        <v>59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87</v>
      </c>
      <c r="P15" s="103">
        <f>December!AD15</f>
        <v>148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4184</v>
      </c>
      <c r="F16" s="113">
        <f>(December!C16*0.27)/(December!C16+December!E16)</f>
        <v>0.2288934034416826</v>
      </c>
      <c r="G16" s="100">
        <f>December!U16</f>
        <v>25</v>
      </c>
      <c r="H16" s="116">
        <v>0.62</v>
      </c>
      <c r="I16" s="101">
        <f>December!W16</f>
        <v>59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35</v>
      </c>
      <c r="P16" s="103">
        <f>December!AD16</f>
        <v>47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4145</v>
      </c>
      <c r="F17" s="113">
        <f>(December!C17*0.27)/(December!C17+December!E17)</f>
        <v>0.25150060313630879</v>
      </c>
      <c r="G17" s="100">
        <f>December!U17</f>
        <v>50</v>
      </c>
      <c r="H17" s="116">
        <v>0.62</v>
      </c>
      <c r="I17" s="101">
        <f>December!W17</f>
        <v>50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28</v>
      </c>
      <c r="P17" s="103">
        <f>December!AD17</f>
        <v>38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4045</v>
      </c>
      <c r="F18" s="113">
        <f>(December!C18*0.27)/(December!C18+December!E18)</f>
        <v>0.22487762669962919</v>
      </c>
      <c r="G18" s="100">
        <f>December!U18</f>
        <v>75</v>
      </c>
      <c r="H18" s="116">
        <v>0.62</v>
      </c>
      <c r="I18" s="101">
        <f>December!W18</f>
        <v>37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29</v>
      </c>
      <c r="P18" s="103">
        <f>December!AD18</f>
        <v>39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4624</v>
      </c>
      <c r="F19" s="113">
        <f>(December!C19*0.27)/(December!C19+December!E19)</f>
        <v>0.23023572664359865</v>
      </c>
      <c r="G19" s="100">
        <f>December!U19</f>
        <v>100</v>
      </c>
      <c r="H19" s="116">
        <v>0.62</v>
      </c>
      <c r="I19" s="101">
        <f>December!W19</f>
        <v>50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8000</v>
      </c>
      <c r="N19" s="122">
        <v>0.88</v>
      </c>
      <c r="O19" s="103">
        <f>December!AC19</f>
        <v>34</v>
      </c>
      <c r="P19" s="103">
        <f>December!AD19</f>
        <v>50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4335</v>
      </c>
      <c r="F20" s="113">
        <f>(December!C20*0.27)/(December!C20+December!E20)</f>
        <v>0.22777162629757788</v>
      </c>
      <c r="G20" s="100">
        <f>December!U20</f>
        <v>50</v>
      </c>
      <c r="H20" s="116">
        <v>0.62</v>
      </c>
      <c r="I20" s="101">
        <f>December!W20</f>
        <v>44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36</v>
      </c>
      <c r="P20" s="103">
        <f>December!AD20</f>
        <v>55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4448</v>
      </c>
      <c r="F21" s="113">
        <f>(December!C21*0.27)/(December!C21+December!E21)</f>
        <v>0.23048336330935254</v>
      </c>
      <c r="G21" s="100">
        <f>December!U21</f>
        <v>50</v>
      </c>
      <c r="H21" s="116">
        <v>0.62</v>
      </c>
      <c r="I21" s="101">
        <f>December!W21</f>
        <v>59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36</v>
      </c>
      <c r="P21" s="103">
        <f>December!AD21</f>
        <v>55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4367</v>
      </c>
      <c r="F22" s="113">
        <f>(December!C22*0.27)/(December!C22+December!E22)</f>
        <v>0.25040073276849095</v>
      </c>
      <c r="G22" s="100">
        <f>December!U22</f>
        <v>0</v>
      </c>
      <c r="H22" s="116">
        <v>0.62</v>
      </c>
      <c r="I22" s="101">
        <f>December!W22</f>
        <v>41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53</v>
      </c>
      <c r="P22" s="103">
        <f>December!AD22</f>
        <v>87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4579</v>
      </c>
      <c r="F23" s="113">
        <f>(December!C23*0.27)/(December!C23+December!E23)</f>
        <v>0.23273422144573053</v>
      </c>
      <c r="G23" s="100">
        <f>December!U23</f>
        <v>105</v>
      </c>
      <c r="H23" s="116">
        <v>0.62</v>
      </c>
      <c r="I23" s="101">
        <f>December!W23</f>
        <v>54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57</v>
      </c>
      <c r="P23" s="103">
        <f>December!AD23</f>
        <v>94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4528</v>
      </c>
      <c r="F24" s="113">
        <f>(December!C24*0.27)/(December!C24+December!E24)</f>
        <v>0.25646422261484098</v>
      </c>
      <c r="G24" s="100">
        <f>December!U24</f>
        <v>100</v>
      </c>
      <c r="H24" s="116">
        <v>0.62</v>
      </c>
      <c r="I24" s="101">
        <f>December!W24</f>
        <v>65</v>
      </c>
      <c r="J24" s="102">
        <v>2.42</v>
      </c>
      <c r="K24" s="109">
        <f>December!AB24*5.04</f>
        <v>-730.8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69</v>
      </c>
      <c r="P24" s="103">
        <f>December!AD24</f>
        <v>113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4474</v>
      </c>
      <c r="F25" s="113">
        <f>(December!C25*0.27)/(December!C25+December!E25)</f>
        <v>0.24175681716584715</v>
      </c>
      <c r="G25" s="100">
        <f>December!U25</f>
        <v>25</v>
      </c>
      <c r="H25" s="116">
        <v>0.62</v>
      </c>
      <c r="I25" s="101">
        <f>December!W25</f>
        <v>63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94</v>
      </c>
      <c r="P25" s="103">
        <f>December!AD25</f>
        <v>166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4868</v>
      </c>
      <c r="F26" s="113">
        <f>(December!C26*0.27)/(December!C26+December!E26)</f>
        <v>0.24970008216926873</v>
      </c>
      <c r="G26" s="100">
        <f>December!U26</f>
        <v>35</v>
      </c>
      <c r="H26" s="116">
        <v>0.62</v>
      </c>
      <c r="I26" s="101">
        <f>December!W26</f>
        <v>68</v>
      </c>
      <c r="J26" s="102">
        <v>2.42</v>
      </c>
      <c r="K26" s="109">
        <f>December!AB26*5.04</f>
        <v>-151.19999999999999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93</v>
      </c>
      <c r="P26" s="103">
        <f>December!AD26</f>
        <v>166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4807</v>
      </c>
      <c r="F27" s="113">
        <f>(December!C27*0.27)/(December!C27+December!E27)</f>
        <v>0.25236322030372377</v>
      </c>
      <c r="G27" s="100">
        <f>December!U27</f>
        <v>80</v>
      </c>
      <c r="H27" s="116">
        <v>0.62</v>
      </c>
      <c r="I27" s="101">
        <f>December!W27</f>
        <v>72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114</v>
      </c>
      <c r="P27" s="103">
        <f>December!AD27</f>
        <v>201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 t="str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9" zoomScale="85" zoomScaleNormal="85" workbookViewId="0">
      <selection activeCell="K10" sqref="K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-831.97000000000844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-41224.26</v>
      </c>
      <c r="J3" s="32">
        <f t="shared" si="0"/>
        <v>7.7399999999979627</v>
      </c>
      <c r="K3" s="20">
        <f t="shared" si="1"/>
        <v>45628</v>
      </c>
      <c r="L3" s="33">
        <v>6296</v>
      </c>
      <c r="M3" s="31">
        <v>0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1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1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476.02000000000407</v>
      </c>
      <c r="K6" s="20">
        <f t="shared" si="1"/>
        <v>45631</v>
      </c>
      <c r="L6" s="33">
        <v>5254</v>
      </c>
      <c r="M6" s="31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>
        <f t="shared" si="2"/>
        <v>4349</v>
      </c>
      <c r="D7" s="11">
        <v>609777</v>
      </c>
      <c r="E7" s="14">
        <f t="shared" si="3"/>
        <v>555</v>
      </c>
      <c r="F7" s="27">
        <v>1704</v>
      </c>
      <c r="G7" s="70">
        <f t="shared" si="4"/>
        <v>0</v>
      </c>
      <c r="H7" s="72">
        <f t="shared" si="5"/>
        <v>4904</v>
      </c>
      <c r="I7" s="76">
        <f t="shared" si="6"/>
        <v>-40729.49</v>
      </c>
      <c r="J7" s="32">
        <f t="shared" si="0"/>
        <v>-321.99000000000524</v>
      </c>
      <c r="K7" s="20">
        <f t="shared" si="1"/>
        <v>45632</v>
      </c>
      <c r="L7" s="33">
        <v>4926</v>
      </c>
      <c r="M7" s="31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>
        <f t="shared" si="8"/>
        <v>50</v>
      </c>
      <c r="V7" s="44">
        <v>121787</v>
      </c>
      <c r="W7" s="32">
        <f t="shared" si="9"/>
        <v>2</v>
      </c>
      <c r="X7" s="47">
        <v>61224</v>
      </c>
      <c r="Y7" s="14">
        <f t="shared" si="10"/>
        <v>1</v>
      </c>
      <c r="Z7" s="50">
        <v>2400</v>
      </c>
      <c r="AA7" s="55">
        <v>0</v>
      </c>
      <c r="AB7" s="32">
        <f t="shared" si="11"/>
        <v>0</v>
      </c>
      <c r="AC7" s="13">
        <v>97</v>
      </c>
      <c r="AD7" s="18">
        <v>149</v>
      </c>
    </row>
    <row r="8" spans="1:30" ht="20.7" customHeight="1" x14ac:dyDescent="0.2">
      <c r="A8" s="19">
        <v>45633</v>
      </c>
      <c r="B8" s="10">
        <v>13312538</v>
      </c>
      <c r="C8" s="14">
        <f t="shared" si="2"/>
        <v>4120</v>
      </c>
      <c r="D8" s="11">
        <v>610332</v>
      </c>
      <c r="E8" s="14">
        <f t="shared" si="3"/>
        <v>463</v>
      </c>
      <c r="F8" s="27">
        <v>1704</v>
      </c>
      <c r="G8" s="70">
        <f t="shared" si="4"/>
        <v>0</v>
      </c>
      <c r="H8" s="72">
        <f t="shared" si="5"/>
        <v>4583</v>
      </c>
      <c r="I8" s="76">
        <f t="shared" si="6"/>
        <v>-41051.480000000003</v>
      </c>
      <c r="J8" s="32">
        <f t="shared" si="0"/>
        <v>-223</v>
      </c>
      <c r="K8" s="20">
        <f t="shared" si="1"/>
        <v>45633</v>
      </c>
      <c r="L8" s="33">
        <v>4582</v>
      </c>
      <c r="M8" s="31">
        <v>0</v>
      </c>
      <c r="N8" s="35">
        <v>0</v>
      </c>
      <c r="O8" s="88">
        <v>0.76</v>
      </c>
      <c r="P8" s="89">
        <v>0.74</v>
      </c>
      <c r="Q8" s="88">
        <v>0.72</v>
      </c>
      <c r="R8" s="89">
        <v>0.7</v>
      </c>
      <c r="S8" s="39">
        <f t="shared" si="7"/>
        <v>4460</v>
      </c>
      <c r="T8" s="126"/>
      <c r="U8" s="32">
        <f t="shared" si="8"/>
        <v>25</v>
      </c>
      <c r="V8" s="44">
        <v>121789</v>
      </c>
      <c r="W8" s="32">
        <f t="shared" si="9"/>
        <v>5</v>
      </c>
      <c r="X8" s="47">
        <v>61225</v>
      </c>
      <c r="Y8" s="14">
        <f t="shared" si="10"/>
        <v>0</v>
      </c>
      <c r="Z8" s="50">
        <v>2400</v>
      </c>
      <c r="AA8" s="55">
        <v>0</v>
      </c>
      <c r="AB8" s="32">
        <f t="shared" si="11"/>
        <v>0</v>
      </c>
      <c r="AC8" s="13">
        <v>71</v>
      </c>
      <c r="AD8" s="18">
        <v>113</v>
      </c>
    </row>
    <row r="9" spans="1:30" ht="20.7" customHeight="1" x14ac:dyDescent="0.2">
      <c r="A9" s="20">
        <v>45634</v>
      </c>
      <c r="B9" s="10">
        <v>13316658</v>
      </c>
      <c r="C9" s="14">
        <f t="shared" si="2"/>
        <v>3728</v>
      </c>
      <c r="D9" s="11">
        <v>610795</v>
      </c>
      <c r="E9" s="14">
        <f t="shared" si="3"/>
        <v>633</v>
      </c>
      <c r="F9" s="27">
        <v>1704</v>
      </c>
      <c r="G9" s="70">
        <f t="shared" si="4"/>
        <v>0</v>
      </c>
      <c r="H9" s="72">
        <f t="shared" si="5"/>
        <v>4361</v>
      </c>
      <c r="I9" s="76">
        <f t="shared" si="6"/>
        <v>-41274.480000000003</v>
      </c>
      <c r="J9" s="32">
        <f t="shared" si="0"/>
        <v>-353.98999999999796</v>
      </c>
      <c r="K9" s="20">
        <f t="shared" si="1"/>
        <v>45634</v>
      </c>
      <c r="L9" s="33">
        <v>4228</v>
      </c>
      <c r="M9" s="31">
        <v>0</v>
      </c>
      <c r="N9" s="35">
        <v>0</v>
      </c>
      <c r="O9" s="88">
        <v>0.76</v>
      </c>
      <c r="P9" s="89">
        <v>0.73</v>
      </c>
      <c r="Q9" s="88">
        <v>0.72</v>
      </c>
      <c r="R9" s="89">
        <v>0.7</v>
      </c>
      <c r="S9" s="39">
        <f t="shared" si="7"/>
        <v>4435</v>
      </c>
      <c r="T9" s="126"/>
      <c r="U9" s="32">
        <f t="shared" si="8"/>
        <v>25</v>
      </c>
      <c r="V9" s="44">
        <v>121794</v>
      </c>
      <c r="W9" s="32">
        <f t="shared" si="9"/>
        <v>0</v>
      </c>
      <c r="X9" s="47">
        <v>61225</v>
      </c>
      <c r="Y9" s="14">
        <f t="shared" si="10"/>
        <v>12</v>
      </c>
      <c r="Z9" s="50">
        <v>2400</v>
      </c>
      <c r="AA9" s="55">
        <v>0</v>
      </c>
      <c r="AB9" s="32">
        <f t="shared" si="11"/>
        <v>0</v>
      </c>
      <c r="AC9" s="13">
        <v>51</v>
      </c>
      <c r="AD9" s="18">
        <v>76</v>
      </c>
    </row>
    <row r="10" spans="1:30" ht="20.7" customHeight="1" x14ac:dyDescent="0.2">
      <c r="A10" s="19">
        <v>45635</v>
      </c>
      <c r="B10" s="10">
        <v>13320386</v>
      </c>
      <c r="C10" s="14">
        <f t="shared" si="2"/>
        <v>3498</v>
      </c>
      <c r="D10" s="11">
        <v>611428</v>
      </c>
      <c r="E10" s="14">
        <f t="shared" si="3"/>
        <v>510</v>
      </c>
      <c r="F10" s="27">
        <v>1704</v>
      </c>
      <c r="G10" s="70">
        <f t="shared" si="4"/>
        <v>0</v>
      </c>
      <c r="H10" s="72">
        <f t="shared" si="5"/>
        <v>4008</v>
      </c>
      <c r="I10" s="76">
        <f t="shared" si="6"/>
        <v>-41628.47</v>
      </c>
      <c r="J10" s="32">
        <f t="shared" si="0"/>
        <v>-154.04999999999563</v>
      </c>
      <c r="K10" s="20">
        <f t="shared" si="1"/>
        <v>45635</v>
      </c>
      <c r="L10" s="33">
        <v>3885</v>
      </c>
      <c r="M10" s="31">
        <v>0</v>
      </c>
      <c r="N10" s="35">
        <v>0</v>
      </c>
      <c r="O10" s="88">
        <v>0.75</v>
      </c>
      <c r="P10" s="89">
        <v>0.73</v>
      </c>
      <c r="Q10" s="88">
        <v>0.72</v>
      </c>
      <c r="R10" s="89">
        <v>0.7</v>
      </c>
      <c r="S10" s="39">
        <f t="shared" si="7"/>
        <v>4410</v>
      </c>
      <c r="T10" s="126">
        <v>378</v>
      </c>
      <c r="U10" s="32">
        <f t="shared" si="8"/>
        <v>83</v>
      </c>
      <c r="V10" s="44">
        <v>121794</v>
      </c>
      <c r="W10" s="32">
        <f t="shared" si="9"/>
        <v>5</v>
      </c>
      <c r="X10" s="47">
        <v>61237</v>
      </c>
      <c r="Y10" s="14">
        <f t="shared" si="10"/>
        <v>0</v>
      </c>
      <c r="Z10" s="50">
        <v>2400</v>
      </c>
      <c r="AA10" s="55">
        <v>0</v>
      </c>
      <c r="AB10" s="32">
        <f t="shared" si="11"/>
        <v>0</v>
      </c>
      <c r="AC10" s="13">
        <v>35</v>
      </c>
      <c r="AD10" s="18">
        <v>48</v>
      </c>
    </row>
    <row r="11" spans="1:30" ht="20.7" customHeight="1" x14ac:dyDescent="0.2">
      <c r="A11" s="20">
        <v>45636</v>
      </c>
      <c r="B11" s="10">
        <v>13323884</v>
      </c>
      <c r="C11" s="14">
        <f t="shared" si="2"/>
        <v>3275</v>
      </c>
      <c r="D11" s="11">
        <v>611938</v>
      </c>
      <c r="E11" s="14">
        <f t="shared" si="3"/>
        <v>580</v>
      </c>
      <c r="F11" s="27">
        <v>1704</v>
      </c>
      <c r="G11" s="70">
        <f t="shared" si="4"/>
        <v>0</v>
      </c>
      <c r="H11" s="72">
        <f t="shared" si="5"/>
        <v>3855</v>
      </c>
      <c r="I11" s="76">
        <f t="shared" si="6"/>
        <v>-41782.519999999997</v>
      </c>
      <c r="J11" s="32">
        <f t="shared" si="0"/>
        <v>178</v>
      </c>
      <c r="K11" s="20">
        <f t="shared" si="1"/>
        <v>45636</v>
      </c>
      <c r="L11" s="33">
        <v>3580</v>
      </c>
      <c r="M11" s="31">
        <v>0</v>
      </c>
      <c r="N11" s="35">
        <v>0</v>
      </c>
      <c r="O11" s="88">
        <v>0.81</v>
      </c>
      <c r="P11" s="89">
        <v>0.79</v>
      </c>
      <c r="Q11" s="88">
        <v>0.71</v>
      </c>
      <c r="R11" s="89">
        <v>0.7</v>
      </c>
      <c r="S11" s="39">
        <f t="shared" si="7"/>
        <v>4705</v>
      </c>
      <c r="T11" s="126"/>
      <c r="U11" s="32">
        <f t="shared" si="8"/>
        <v>25</v>
      </c>
      <c r="V11" s="44">
        <v>121799</v>
      </c>
      <c r="W11" s="32">
        <f t="shared" si="9"/>
        <v>3</v>
      </c>
      <c r="X11" s="47">
        <v>61237</v>
      </c>
      <c r="Y11" s="14">
        <f t="shared" si="10"/>
        <v>0</v>
      </c>
      <c r="Z11" s="50">
        <v>2400</v>
      </c>
      <c r="AA11" s="55">
        <v>0</v>
      </c>
      <c r="AB11" s="32">
        <f t="shared" si="11"/>
        <v>0</v>
      </c>
      <c r="AC11" s="13">
        <v>33</v>
      </c>
      <c r="AD11" s="18">
        <v>45</v>
      </c>
    </row>
    <row r="12" spans="1:30" ht="20.7" customHeight="1" x14ac:dyDescent="0.2">
      <c r="A12" s="19">
        <v>45637</v>
      </c>
      <c r="B12" s="10">
        <v>13327159</v>
      </c>
      <c r="C12" s="14">
        <f t="shared" si="2"/>
        <v>3682</v>
      </c>
      <c r="D12" s="11">
        <v>612518</v>
      </c>
      <c r="E12" s="14">
        <f t="shared" si="3"/>
        <v>352</v>
      </c>
      <c r="F12" s="27">
        <v>1704</v>
      </c>
      <c r="G12" s="70">
        <f t="shared" si="4"/>
        <v>0</v>
      </c>
      <c r="H12" s="72">
        <f t="shared" si="5"/>
        <v>4034</v>
      </c>
      <c r="I12" s="76">
        <f t="shared" si="6"/>
        <v>-41604.519999999997</v>
      </c>
      <c r="J12" s="32">
        <f t="shared" si="0"/>
        <v>45</v>
      </c>
      <c r="K12" s="20">
        <f t="shared" si="1"/>
        <v>45637</v>
      </c>
      <c r="L12" s="33">
        <v>3276</v>
      </c>
      <c r="M12" s="34">
        <v>0</v>
      </c>
      <c r="N12" s="35">
        <v>0</v>
      </c>
      <c r="O12" s="88">
        <v>0.81</v>
      </c>
      <c r="P12" s="89">
        <v>0.78</v>
      </c>
      <c r="Q12" s="88">
        <v>0.71</v>
      </c>
      <c r="R12" s="89">
        <v>0.7</v>
      </c>
      <c r="S12" s="39">
        <f t="shared" si="7"/>
        <v>4680</v>
      </c>
      <c r="T12" s="126"/>
      <c r="U12" s="32">
        <f t="shared" si="8"/>
        <v>25</v>
      </c>
      <c r="V12" s="44">
        <v>121802</v>
      </c>
      <c r="W12" s="32">
        <f t="shared" si="9"/>
        <v>5</v>
      </c>
      <c r="X12" s="47">
        <v>61237</v>
      </c>
      <c r="Y12" s="14">
        <f t="shared" si="10"/>
        <v>0</v>
      </c>
      <c r="Z12" s="50">
        <v>2400</v>
      </c>
      <c r="AA12" s="55">
        <v>0</v>
      </c>
      <c r="AB12" s="32">
        <f t="shared" si="11"/>
        <v>0</v>
      </c>
      <c r="AC12" s="13">
        <v>36</v>
      </c>
      <c r="AD12" s="18">
        <v>49</v>
      </c>
    </row>
    <row r="13" spans="1:30" ht="20.7" customHeight="1" x14ac:dyDescent="0.2">
      <c r="A13" s="20">
        <v>45638</v>
      </c>
      <c r="B13" s="10">
        <v>13330841</v>
      </c>
      <c r="C13" s="14">
        <f t="shared" si="2"/>
        <v>3501</v>
      </c>
      <c r="D13" s="11">
        <v>612870</v>
      </c>
      <c r="E13" s="14">
        <f t="shared" si="3"/>
        <v>579</v>
      </c>
      <c r="F13" s="27">
        <v>1704</v>
      </c>
      <c r="G13" s="70">
        <f t="shared" si="4"/>
        <v>0</v>
      </c>
      <c r="H13" s="72">
        <f t="shared" si="5"/>
        <v>4080</v>
      </c>
      <c r="I13" s="76">
        <f t="shared" si="6"/>
        <v>-41559.519999999997</v>
      </c>
      <c r="J13" s="32">
        <f t="shared" si="0"/>
        <v>104.0199999999968</v>
      </c>
      <c r="K13" s="20">
        <f t="shared" si="1"/>
        <v>45638</v>
      </c>
      <c r="L13" s="33">
        <v>2987</v>
      </c>
      <c r="M13" s="34">
        <v>0</v>
      </c>
      <c r="N13" s="35">
        <v>0</v>
      </c>
      <c r="O13" s="88">
        <v>0.81</v>
      </c>
      <c r="P13" s="89">
        <v>0.77</v>
      </c>
      <c r="Q13" s="88">
        <v>0.71</v>
      </c>
      <c r="R13" s="89">
        <v>0.7</v>
      </c>
      <c r="S13" s="39">
        <f t="shared" si="7"/>
        <v>4655</v>
      </c>
      <c r="T13" s="126"/>
      <c r="U13" s="32">
        <f t="shared" si="8"/>
        <v>50</v>
      </c>
      <c r="V13" s="44">
        <v>121807</v>
      </c>
      <c r="W13" s="32" t="str">
        <f t="shared" si="9"/>
        <v>0</v>
      </c>
      <c r="X13" s="47">
        <v>61237</v>
      </c>
      <c r="Y13" s="14">
        <f t="shared" si="10"/>
        <v>1</v>
      </c>
      <c r="Z13" s="50">
        <v>2400</v>
      </c>
      <c r="AA13" s="55">
        <v>0</v>
      </c>
      <c r="AB13" s="32">
        <f t="shared" si="11"/>
        <v>0</v>
      </c>
      <c r="AC13" s="13">
        <v>34</v>
      </c>
      <c r="AD13" s="18">
        <v>46</v>
      </c>
    </row>
    <row r="14" spans="1:30" ht="20.7" customHeight="1" x14ac:dyDescent="0.2">
      <c r="A14" s="19">
        <v>45639</v>
      </c>
      <c r="B14" s="10">
        <v>13334342</v>
      </c>
      <c r="C14" s="14">
        <f t="shared" si="2"/>
        <v>3500</v>
      </c>
      <c r="D14" s="11">
        <v>613449</v>
      </c>
      <c r="E14" s="14">
        <f t="shared" si="3"/>
        <v>685</v>
      </c>
      <c r="F14" s="27">
        <v>1704</v>
      </c>
      <c r="G14" s="70">
        <f t="shared" si="4"/>
        <v>0</v>
      </c>
      <c r="H14" s="72">
        <f t="shared" si="5"/>
        <v>4185</v>
      </c>
      <c r="I14" s="76">
        <f t="shared" si="6"/>
        <v>-41455.5</v>
      </c>
      <c r="J14" s="32">
        <f t="shared" si="0"/>
        <v>328.02999999999884</v>
      </c>
      <c r="K14" s="20">
        <f t="shared" si="1"/>
        <v>45639</v>
      </c>
      <c r="L14" s="33">
        <v>2703</v>
      </c>
      <c r="M14" s="34">
        <v>0</v>
      </c>
      <c r="N14" s="35">
        <v>0</v>
      </c>
      <c r="O14" s="88">
        <v>0.79</v>
      </c>
      <c r="P14" s="89">
        <v>0.77</v>
      </c>
      <c r="Q14" s="88">
        <v>0.71</v>
      </c>
      <c r="R14" s="89">
        <v>0.7</v>
      </c>
      <c r="S14" s="39">
        <f t="shared" si="7"/>
        <v>4605</v>
      </c>
      <c r="T14" s="126"/>
      <c r="U14" s="32">
        <f t="shared" si="8"/>
        <v>125</v>
      </c>
      <c r="V14" s="44">
        <v>27</v>
      </c>
      <c r="W14" s="32">
        <f t="shared" si="9"/>
        <v>58</v>
      </c>
      <c r="X14" s="47">
        <v>61238</v>
      </c>
      <c r="Y14" s="14">
        <f t="shared" si="10"/>
        <v>3</v>
      </c>
      <c r="Z14" s="50">
        <v>2400</v>
      </c>
      <c r="AA14" s="55">
        <v>0</v>
      </c>
      <c r="AB14" s="32">
        <f t="shared" si="11"/>
        <v>0</v>
      </c>
      <c r="AC14" s="13">
        <v>39</v>
      </c>
      <c r="AD14" s="18">
        <v>60</v>
      </c>
    </row>
    <row r="15" spans="1:30" ht="20.7" customHeight="1" x14ac:dyDescent="0.2">
      <c r="A15" s="20">
        <v>45640</v>
      </c>
      <c r="B15" s="10">
        <v>13337842</v>
      </c>
      <c r="C15" s="14">
        <f t="shared" si="2"/>
        <v>3827</v>
      </c>
      <c r="D15" s="11">
        <v>614134</v>
      </c>
      <c r="E15" s="14">
        <f t="shared" si="3"/>
        <v>687</v>
      </c>
      <c r="F15" s="27">
        <v>1704</v>
      </c>
      <c r="G15" s="70">
        <f t="shared" si="4"/>
        <v>0</v>
      </c>
      <c r="H15" s="72">
        <f t="shared" si="5"/>
        <v>4514</v>
      </c>
      <c r="I15" s="76">
        <f t="shared" si="6"/>
        <v>-41127.47</v>
      </c>
      <c r="J15" s="32">
        <f t="shared" si="0"/>
        <v>-330.97999999999593</v>
      </c>
      <c r="K15" s="20">
        <f t="shared" si="1"/>
        <v>45640</v>
      </c>
      <c r="L15" s="33">
        <v>2423</v>
      </c>
      <c r="M15" s="34">
        <v>0</v>
      </c>
      <c r="N15" s="35">
        <v>0</v>
      </c>
      <c r="O15" s="88">
        <v>0.76</v>
      </c>
      <c r="P15" s="89">
        <v>0.75</v>
      </c>
      <c r="Q15" s="88">
        <v>0.71</v>
      </c>
      <c r="R15" s="89">
        <v>0.7</v>
      </c>
      <c r="S15" s="39">
        <f t="shared" si="7"/>
        <v>4480</v>
      </c>
      <c r="T15" s="126"/>
      <c r="U15" s="32">
        <f t="shared" si="8"/>
        <v>125</v>
      </c>
      <c r="V15" s="44">
        <v>85</v>
      </c>
      <c r="W15" s="32">
        <f t="shared" si="9"/>
        <v>59</v>
      </c>
      <c r="X15" s="47">
        <v>61241</v>
      </c>
      <c r="Y15" s="14">
        <f t="shared" si="10"/>
        <v>0</v>
      </c>
      <c r="Z15" s="50">
        <v>2400</v>
      </c>
      <c r="AA15" s="55">
        <v>0</v>
      </c>
      <c r="AB15" s="32">
        <f t="shared" si="11"/>
        <v>0</v>
      </c>
      <c r="AC15" s="13">
        <v>87</v>
      </c>
      <c r="AD15" s="18">
        <v>148</v>
      </c>
    </row>
    <row r="16" spans="1:30" ht="20.7" customHeight="1" x14ac:dyDescent="0.2">
      <c r="A16" s="19">
        <v>45641</v>
      </c>
      <c r="B16" s="10">
        <v>13341669</v>
      </c>
      <c r="C16" s="14">
        <f t="shared" si="2"/>
        <v>3547</v>
      </c>
      <c r="D16" s="11">
        <v>614821</v>
      </c>
      <c r="E16" s="14">
        <f t="shared" si="3"/>
        <v>637</v>
      </c>
      <c r="F16" s="27">
        <v>1704</v>
      </c>
      <c r="G16" s="70">
        <f t="shared" si="4"/>
        <v>0</v>
      </c>
      <c r="H16" s="72">
        <f t="shared" si="5"/>
        <v>4184</v>
      </c>
      <c r="I16" s="76">
        <f t="shared" si="6"/>
        <v>-41458.449999999997</v>
      </c>
      <c r="J16" s="32">
        <f t="shared" si="0"/>
        <v>-39.990000000005239</v>
      </c>
      <c r="K16" s="20">
        <f t="shared" si="1"/>
        <v>45641</v>
      </c>
      <c r="L16" s="33">
        <v>2098</v>
      </c>
      <c r="M16" s="34">
        <v>0</v>
      </c>
      <c r="N16" s="35">
        <v>0</v>
      </c>
      <c r="O16" s="88">
        <v>0.74</v>
      </c>
      <c r="P16" s="89">
        <v>0.72</v>
      </c>
      <c r="Q16" s="88">
        <v>0.71</v>
      </c>
      <c r="R16" s="89">
        <v>0.7</v>
      </c>
      <c r="S16" s="39">
        <f t="shared" si="7"/>
        <v>4355</v>
      </c>
      <c r="T16" s="126"/>
      <c r="U16" s="32">
        <f t="shared" si="8"/>
        <v>25</v>
      </c>
      <c r="V16" s="44">
        <v>144</v>
      </c>
      <c r="W16" s="32">
        <f t="shared" si="9"/>
        <v>59</v>
      </c>
      <c r="X16" s="47">
        <v>61241</v>
      </c>
      <c r="Y16" s="14">
        <f t="shared" si="10"/>
        <v>0</v>
      </c>
      <c r="Z16" s="50">
        <v>2400</v>
      </c>
      <c r="AA16" s="55">
        <v>0</v>
      </c>
      <c r="AB16" s="32">
        <f t="shared" si="11"/>
        <v>0</v>
      </c>
      <c r="AC16" s="13">
        <v>35</v>
      </c>
      <c r="AD16" s="18">
        <v>47</v>
      </c>
    </row>
    <row r="17" spans="1:30" ht="20.7" customHeight="1" x14ac:dyDescent="0.2">
      <c r="A17" s="20">
        <v>45642</v>
      </c>
      <c r="B17" s="10">
        <v>13345216</v>
      </c>
      <c r="C17" s="14">
        <f t="shared" si="2"/>
        <v>3861</v>
      </c>
      <c r="D17" s="11">
        <v>615458</v>
      </c>
      <c r="E17" s="14">
        <f t="shared" si="3"/>
        <v>284</v>
      </c>
      <c r="F17" s="27">
        <v>1704</v>
      </c>
      <c r="G17" s="70">
        <f t="shared" si="4"/>
        <v>0</v>
      </c>
      <c r="H17" s="72">
        <f t="shared" si="5"/>
        <v>4145</v>
      </c>
      <c r="I17" s="76">
        <f t="shared" si="6"/>
        <v>-41498.44</v>
      </c>
      <c r="J17" s="32">
        <f t="shared" si="0"/>
        <v>-100.98999999999796</v>
      </c>
      <c r="K17" s="20">
        <f t="shared" si="1"/>
        <v>45642</v>
      </c>
      <c r="L17" s="33">
        <v>1782</v>
      </c>
      <c r="M17" s="34">
        <v>0</v>
      </c>
      <c r="N17" s="35">
        <v>0</v>
      </c>
      <c r="O17" s="88">
        <v>0.73</v>
      </c>
      <c r="P17" s="89">
        <v>0.72</v>
      </c>
      <c r="Q17" s="88">
        <v>0.71</v>
      </c>
      <c r="R17" s="89">
        <v>0.7</v>
      </c>
      <c r="S17" s="39">
        <f t="shared" si="7"/>
        <v>4330</v>
      </c>
      <c r="T17" s="126"/>
      <c r="U17" s="32">
        <f t="shared" si="8"/>
        <v>50</v>
      </c>
      <c r="V17" s="44">
        <v>203</v>
      </c>
      <c r="W17" s="32">
        <f t="shared" si="9"/>
        <v>50</v>
      </c>
      <c r="X17" s="47">
        <v>61241</v>
      </c>
      <c r="Y17" s="14">
        <f t="shared" si="10"/>
        <v>3</v>
      </c>
      <c r="Z17" s="50">
        <v>2400</v>
      </c>
      <c r="AA17" s="55">
        <v>0</v>
      </c>
      <c r="AB17" s="32">
        <f t="shared" si="11"/>
        <v>0</v>
      </c>
      <c r="AC17" s="13">
        <v>28</v>
      </c>
      <c r="AD17" s="18">
        <v>38</v>
      </c>
    </row>
    <row r="18" spans="1:30" ht="20.7" customHeight="1" x14ac:dyDescent="0.2">
      <c r="A18" s="19">
        <v>45643</v>
      </c>
      <c r="B18" s="10">
        <v>13349077</v>
      </c>
      <c r="C18" s="14">
        <f t="shared" si="2"/>
        <v>3369</v>
      </c>
      <c r="D18" s="11">
        <v>615742</v>
      </c>
      <c r="E18" s="14">
        <f t="shared" si="3"/>
        <v>676</v>
      </c>
      <c r="F18" s="27">
        <v>1704</v>
      </c>
      <c r="G18" s="70">
        <f t="shared" si="4"/>
        <v>0</v>
      </c>
      <c r="H18" s="72">
        <f t="shared" si="5"/>
        <v>4045</v>
      </c>
      <c r="I18" s="76">
        <f t="shared" si="6"/>
        <v>-41599.43</v>
      </c>
      <c r="J18" s="32">
        <f t="shared" si="0"/>
        <v>-7421.9799999999959</v>
      </c>
      <c r="K18" s="20">
        <f t="shared" si="1"/>
        <v>45643</v>
      </c>
      <c r="L18" s="33">
        <v>2400</v>
      </c>
      <c r="M18" s="34">
        <v>0</v>
      </c>
      <c r="N18" s="35">
        <v>0</v>
      </c>
      <c r="O18" s="88">
        <v>0.72</v>
      </c>
      <c r="P18" s="89">
        <v>0.71</v>
      </c>
      <c r="Q18" s="88">
        <v>0.71</v>
      </c>
      <c r="R18" s="89">
        <v>0.7</v>
      </c>
      <c r="S18" s="39">
        <f t="shared" si="7"/>
        <v>4280</v>
      </c>
      <c r="T18" s="126"/>
      <c r="U18" s="32">
        <f t="shared" si="8"/>
        <v>75</v>
      </c>
      <c r="V18" s="44">
        <v>253</v>
      </c>
      <c r="W18" s="32">
        <f t="shared" si="9"/>
        <v>37</v>
      </c>
      <c r="X18" s="47">
        <v>61244</v>
      </c>
      <c r="Y18" s="14">
        <f t="shared" si="10"/>
        <v>0</v>
      </c>
      <c r="Z18" s="50">
        <v>2400</v>
      </c>
      <c r="AA18" s="55">
        <v>0</v>
      </c>
      <c r="AB18" s="32">
        <f t="shared" si="11"/>
        <v>0</v>
      </c>
      <c r="AC18" s="13">
        <v>29</v>
      </c>
      <c r="AD18" s="18">
        <v>39</v>
      </c>
    </row>
    <row r="19" spans="1:30" ht="20.7" customHeight="1" x14ac:dyDescent="0.2">
      <c r="A19" s="20">
        <v>45644</v>
      </c>
      <c r="B19" s="10">
        <v>13352446</v>
      </c>
      <c r="C19" s="14">
        <f t="shared" si="2"/>
        <v>3943</v>
      </c>
      <c r="D19" s="11">
        <v>616418</v>
      </c>
      <c r="E19" s="14">
        <f t="shared" si="3"/>
        <v>681</v>
      </c>
      <c r="F19" s="27">
        <v>1704</v>
      </c>
      <c r="G19" s="70">
        <f t="shared" si="4"/>
        <v>0</v>
      </c>
      <c r="H19" s="72">
        <f t="shared" si="5"/>
        <v>4624</v>
      </c>
      <c r="I19" s="76">
        <f t="shared" si="6"/>
        <v>-49021.409999999996</v>
      </c>
      <c r="J19" s="32">
        <f t="shared" si="0"/>
        <v>7710.0299999999988</v>
      </c>
      <c r="K19" s="20">
        <f t="shared" si="1"/>
        <v>45644</v>
      </c>
      <c r="L19" s="33">
        <v>1151</v>
      </c>
      <c r="M19" s="34">
        <v>8000</v>
      </c>
      <c r="N19" s="35">
        <v>0</v>
      </c>
      <c r="O19" s="88">
        <v>0.7</v>
      </c>
      <c r="P19" s="89">
        <v>0.7</v>
      </c>
      <c r="Q19" s="88">
        <v>0.71</v>
      </c>
      <c r="R19" s="89">
        <v>0.7</v>
      </c>
      <c r="S19" s="39">
        <f t="shared" si="7"/>
        <v>4205</v>
      </c>
      <c r="T19" s="126"/>
      <c r="U19" s="32">
        <f t="shared" si="8"/>
        <v>100</v>
      </c>
      <c r="V19" s="44">
        <v>290</v>
      </c>
      <c r="W19" s="32">
        <f t="shared" si="9"/>
        <v>50</v>
      </c>
      <c r="X19" s="47">
        <v>61244</v>
      </c>
      <c r="Y19" s="14">
        <f t="shared" si="10"/>
        <v>0</v>
      </c>
      <c r="Z19" s="50">
        <v>2400</v>
      </c>
      <c r="AA19" s="55">
        <v>0</v>
      </c>
      <c r="AB19" s="32">
        <f t="shared" si="11"/>
        <v>0</v>
      </c>
      <c r="AC19" s="13">
        <v>34</v>
      </c>
      <c r="AD19" s="18">
        <v>50</v>
      </c>
    </row>
    <row r="20" spans="1:30" ht="20.7" customHeight="1" x14ac:dyDescent="0.2">
      <c r="A20" s="19">
        <v>45645</v>
      </c>
      <c r="B20" s="10">
        <v>13356389</v>
      </c>
      <c r="C20" s="14">
        <f t="shared" si="2"/>
        <v>3657</v>
      </c>
      <c r="D20" s="11">
        <v>617099</v>
      </c>
      <c r="E20" s="14">
        <f t="shared" si="3"/>
        <v>678</v>
      </c>
      <c r="F20" s="27">
        <v>1704</v>
      </c>
      <c r="G20" s="70">
        <f t="shared" si="4"/>
        <v>0</v>
      </c>
      <c r="H20" s="72">
        <f t="shared" si="5"/>
        <v>4335</v>
      </c>
      <c r="I20" s="76">
        <f t="shared" si="6"/>
        <v>-41311.379999999997</v>
      </c>
      <c r="J20" s="32">
        <f t="shared" si="0"/>
        <v>112</v>
      </c>
      <c r="K20" s="20">
        <f t="shared" si="1"/>
        <v>45645</v>
      </c>
      <c r="L20" s="33">
        <v>8823</v>
      </c>
      <c r="M20" s="34">
        <v>0</v>
      </c>
      <c r="N20" s="35">
        <v>0</v>
      </c>
      <c r="O20" s="88">
        <v>0.67</v>
      </c>
      <c r="P20" s="89">
        <v>0.69</v>
      </c>
      <c r="Q20" s="88">
        <v>0.71</v>
      </c>
      <c r="R20" s="89">
        <v>0.7</v>
      </c>
      <c r="S20" s="39">
        <f t="shared" si="7"/>
        <v>4105</v>
      </c>
      <c r="T20" s="126"/>
      <c r="U20" s="32">
        <f t="shared" si="8"/>
        <v>50</v>
      </c>
      <c r="V20" s="44">
        <v>340</v>
      </c>
      <c r="W20" s="32">
        <f t="shared" si="9"/>
        <v>44</v>
      </c>
      <c r="X20" s="47">
        <v>61244</v>
      </c>
      <c r="Y20" s="14">
        <f t="shared" si="10"/>
        <v>0</v>
      </c>
      <c r="Z20" s="50">
        <v>2400</v>
      </c>
      <c r="AA20" s="55">
        <v>0</v>
      </c>
      <c r="AB20" s="32">
        <f t="shared" si="11"/>
        <v>0</v>
      </c>
      <c r="AC20" s="13">
        <v>36</v>
      </c>
      <c r="AD20" s="18">
        <v>55</v>
      </c>
    </row>
    <row r="21" spans="1:30" ht="20.7" customHeight="1" x14ac:dyDescent="0.2">
      <c r="A21" s="20">
        <v>45646</v>
      </c>
      <c r="B21" s="10">
        <v>13360046</v>
      </c>
      <c r="C21" s="14">
        <f t="shared" si="2"/>
        <v>3797</v>
      </c>
      <c r="D21" s="11">
        <v>617777</v>
      </c>
      <c r="E21" s="14">
        <f t="shared" si="3"/>
        <v>651</v>
      </c>
      <c r="F21" s="27">
        <v>1704</v>
      </c>
      <c r="G21" s="70">
        <f t="shared" si="4"/>
        <v>0</v>
      </c>
      <c r="H21" s="72">
        <f t="shared" si="5"/>
        <v>4448</v>
      </c>
      <c r="I21" s="76">
        <f t="shared" si="6"/>
        <v>-41199.379999999997</v>
      </c>
      <c r="J21" s="32">
        <f t="shared" si="0"/>
        <v>-81.990000000005239</v>
      </c>
      <c r="K21" s="20">
        <f t="shared" si="1"/>
        <v>45646</v>
      </c>
      <c r="L21" s="33">
        <v>8432</v>
      </c>
      <c r="M21" s="34">
        <v>0</v>
      </c>
      <c r="N21" s="35">
        <v>0</v>
      </c>
      <c r="O21" s="88">
        <v>0.67</v>
      </c>
      <c r="P21" s="89">
        <v>0.67</v>
      </c>
      <c r="Q21" s="88">
        <v>0.71</v>
      </c>
      <c r="R21" s="89">
        <v>0.7</v>
      </c>
      <c r="S21" s="40">
        <f t="shared" si="7"/>
        <v>4055</v>
      </c>
      <c r="T21" s="126"/>
      <c r="U21" s="32">
        <f t="shared" si="8"/>
        <v>50</v>
      </c>
      <c r="V21" s="44">
        <v>384</v>
      </c>
      <c r="W21" s="32">
        <f t="shared" si="9"/>
        <v>59</v>
      </c>
      <c r="X21" s="47">
        <v>61244</v>
      </c>
      <c r="Y21" s="14">
        <f t="shared" si="10"/>
        <v>0</v>
      </c>
      <c r="Z21" s="50">
        <v>2400</v>
      </c>
      <c r="AA21" s="55">
        <v>0</v>
      </c>
      <c r="AB21" s="32">
        <f t="shared" si="11"/>
        <v>0</v>
      </c>
      <c r="AC21" s="13">
        <v>36</v>
      </c>
      <c r="AD21" s="18">
        <v>55</v>
      </c>
    </row>
    <row r="22" spans="1:30" ht="20.7" customHeight="1" x14ac:dyDescent="0.2">
      <c r="A22" s="19">
        <v>45647</v>
      </c>
      <c r="B22" s="10">
        <v>13363843</v>
      </c>
      <c r="C22" s="14">
        <f t="shared" si="2"/>
        <v>4050</v>
      </c>
      <c r="D22" s="11">
        <v>618428</v>
      </c>
      <c r="E22" s="14">
        <f t="shared" si="3"/>
        <v>317</v>
      </c>
      <c r="F22" s="27">
        <v>1704</v>
      </c>
      <c r="G22" s="70">
        <f t="shared" si="4"/>
        <v>0</v>
      </c>
      <c r="H22" s="72">
        <f t="shared" si="5"/>
        <v>4367</v>
      </c>
      <c r="I22" s="76">
        <f t="shared" si="6"/>
        <v>-41281.370000000003</v>
      </c>
      <c r="J22" s="32">
        <f t="shared" si="0"/>
        <v>211</v>
      </c>
      <c r="K22" s="20">
        <f t="shared" si="1"/>
        <v>45647</v>
      </c>
      <c r="L22" s="33">
        <v>8216</v>
      </c>
      <c r="M22" s="34">
        <v>0</v>
      </c>
      <c r="N22" s="35">
        <v>0</v>
      </c>
      <c r="O22" s="88">
        <v>0.66</v>
      </c>
      <c r="P22" s="89">
        <v>0.66</v>
      </c>
      <c r="Q22" s="88">
        <v>0.71</v>
      </c>
      <c r="R22" s="89">
        <v>0.7</v>
      </c>
      <c r="S22" s="40">
        <f t="shared" si="7"/>
        <v>4005</v>
      </c>
      <c r="T22" s="126"/>
      <c r="U22" s="32">
        <f t="shared" si="8"/>
        <v>0</v>
      </c>
      <c r="V22" s="44">
        <v>443</v>
      </c>
      <c r="W22" s="32">
        <f t="shared" si="9"/>
        <v>41</v>
      </c>
      <c r="X22" s="47">
        <v>61244</v>
      </c>
      <c r="Y22" s="14">
        <f t="shared" si="10"/>
        <v>4</v>
      </c>
      <c r="Z22" s="50">
        <v>2400</v>
      </c>
      <c r="AA22" s="55">
        <v>0</v>
      </c>
      <c r="AB22" s="32">
        <f t="shared" si="11"/>
        <v>0</v>
      </c>
      <c r="AC22" s="13">
        <v>53</v>
      </c>
      <c r="AD22" s="18">
        <v>87</v>
      </c>
    </row>
    <row r="23" spans="1:30" ht="20.7" customHeight="1" x14ac:dyDescent="0.2">
      <c r="A23" s="20">
        <v>45648</v>
      </c>
      <c r="B23" s="10">
        <v>13367893</v>
      </c>
      <c r="C23" s="14">
        <f t="shared" si="2"/>
        <v>3947</v>
      </c>
      <c r="D23" s="11">
        <v>618745</v>
      </c>
      <c r="E23" s="14">
        <f t="shared" si="3"/>
        <v>632</v>
      </c>
      <c r="F23" s="27">
        <v>1704</v>
      </c>
      <c r="G23" s="70">
        <f t="shared" si="4"/>
        <v>0</v>
      </c>
      <c r="H23" s="72">
        <f t="shared" si="5"/>
        <v>4579</v>
      </c>
      <c r="I23" s="76">
        <f t="shared" si="6"/>
        <v>-41070.370000000003</v>
      </c>
      <c r="J23" s="32">
        <f t="shared" si="0"/>
        <v>-51.919999999998254</v>
      </c>
      <c r="K23" s="20">
        <f t="shared" si="1"/>
        <v>45648</v>
      </c>
      <c r="L23" s="33">
        <v>7896</v>
      </c>
      <c r="M23" s="34">
        <v>0</v>
      </c>
      <c r="N23" s="35">
        <v>0</v>
      </c>
      <c r="O23" s="88">
        <v>0.66</v>
      </c>
      <c r="P23" s="89">
        <v>0.66</v>
      </c>
      <c r="Q23" s="88">
        <v>0.71</v>
      </c>
      <c r="R23" s="89">
        <v>0.7</v>
      </c>
      <c r="S23" s="40">
        <f t="shared" si="7"/>
        <v>4005</v>
      </c>
      <c r="T23" s="38"/>
      <c r="U23" s="32">
        <f t="shared" si="8"/>
        <v>105</v>
      </c>
      <c r="V23" s="44">
        <v>484</v>
      </c>
      <c r="W23" s="32">
        <f t="shared" si="9"/>
        <v>54</v>
      </c>
      <c r="X23" s="47">
        <v>61248</v>
      </c>
      <c r="Y23" s="14">
        <f t="shared" si="10"/>
        <v>4</v>
      </c>
      <c r="Z23" s="50">
        <v>2400</v>
      </c>
      <c r="AA23" s="55">
        <v>0</v>
      </c>
      <c r="AB23" s="32">
        <f t="shared" si="11"/>
        <v>0</v>
      </c>
      <c r="AC23" s="13">
        <v>57</v>
      </c>
      <c r="AD23" s="18">
        <v>94</v>
      </c>
    </row>
    <row r="24" spans="1:30" ht="20.7" customHeight="1" x14ac:dyDescent="0.2">
      <c r="A24" s="19">
        <v>45649</v>
      </c>
      <c r="B24" s="10">
        <v>13371840</v>
      </c>
      <c r="C24" s="14">
        <f t="shared" si="2"/>
        <v>4301</v>
      </c>
      <c r="D24" s="11">
        <v>619377</v>
      </c>
      <c r="E24" s="14">
        <f t="shared" si="3"/>
        <v>227</v>
      </c>
      <c r="F24" s="27">
        <v>1704</v>
      </c>
      <c r="G24" s="70">
        <f t="shared" si="4"/>
        <v>0</v>
      </c>
      <c r="H24" s="72">
        <f t="shared" si="5"/>
        <v>4528</v>
      </c>
      <c r="I24" s="76">
        <f t="shared" si="6"/>
        <v>-41122.29</v>
      </c>
      <c r="J24" s="32">
        <f t="shared" si="0"/>
        <v>-54.979999999995925</v>
      </c>
      <c r="K24" s="20">
        <f t="shared" si="1"/>
        <v>45649</v>
      </c>
      <c r="L24" s="33">
        <v>7464</v>
      </c>
      <c r="M24" s="34">
        <v>0</v>
      </c>
      <c r="N24" s="35">
        <v>0</v>
      </c>
      <c r="O24" s="88">
        <v>0.65</v>
      </c>
      <c r="P24" s="89">
        <v>0.65</v>
      </c>
      <c r="Q24" s="88">
        <v>0.64</v>
      </c>
      <c r="R24" s="89">
        <v>0.66</v>
      </c>
      <c r="S24" s="40">
        <f t="shared" si="7"/>
        <v>3900</v>
      </c>
      <c r="T24" s="38"/>
      <c r="U24" s="32">
        <f t="shared" si="8"/>
        <v>100</v>
      </c>
      <c r="V24" s="44">
        <v>538</v>
      </c>
      <c r="W24" s="32">
        <f t="shared" si="9"/>
        <v>65</v>
      </c>
      <c r="X24" s="47">
        <v>61252</v>
      </c>
      <c r="Y24" s="14">
        <f t="shared" si="10"/>
        <v>1</v>
      </c>
      <c r="Z24" s="50">
        <v>2400</v>
      </c>
      <c r="AA24" s="55">
        <v>8555</v>
      </c>
      <c r="AB24" s="32">
        <f t="shared" si="11"/>
        <v>-145</v>
      </c>
      <c r="AC24" s="13">
        <v>69</v>
      </c>
      <c r="AD24" s="18">
        <v>113</v>
      </c>
    </row>
    <row r="25" spans="1:30" ht="20.7" customHeight="1" x14ac:dyDescent="0.2">
      <c r="A25" s="20">
        <v>45650</v>
      </c>
      <c r="B25" s="10">
        <v>13376141</v>
      </c>
      <c r="C25" s="14">
        <f t="shared" si="2"/>
        <v>4006</v>
      </c>
      <c r="D25" s="11">
        <v>619604</v>
      </c>
      <c r="E25" s="14">
        <f t="shared" si="3"/>
        <v>468</v>
      </c>
      <c r="F25" s="27">
        <v>1704</v>
      </c>
      <c r="G25" s="70">
        <f t="shared" si="4"/>
        <v>0</v>
      </c>
      <c r="H25" s="72">
        <f t="shared" si="5"/>
        <v>4474</v>
      </c>
      <c r="I25" s="76">
        <f t="shared" si="6"/>
        <v>-41177.269999999997</v>
      </c>
      <c r="J25" s="32">
        <f t="shared" si="0"/>
        <v>393.01000000000204</v>
      </c>
      <c r="K25" s="20">
        <f t="shared" si="1"/>
        <v>45650</v>
      </c>
      <c r="L25" s="33">
        <v>7031</v>
      </c>
      <c r="M25" s="34">
        <v>0</v>
      </c>
      <c r="N25" s="35">
        <v>0</v>
      </c>
      <c r="O25" s="88">
        <v>0.64</v>
      </c>
      <c r="P25" s="89">
        <v>0.63</v>
      </c>
      <c r="Q25" s="88">
        <v>0.63</v>
      </c>
      <c r="R25" s="89">
        <v>0.62</v>
      </c>
      <c r="S25" s="40">
        <f t="shared" si="7"/>
        <v>3800</v>
      </c>
      <c r="T25" s="38"/>
      <c r="U25" s="32">
        <f t="shared" si="8"/>
        <v>25</v>
      </c>
      <c r="V25" s="44">
        <v>603</v>
      </c>
      <c r="W25" s="32">
        <f t="shared" si="9"/>
        <v>63</v>
      </c>
      <c r="X25" s="47">
        <v>61253</v>
      </c>
      <c r="Y25" s="14">
        <f t="shared" si="10"/>
        <v>2</v>
      </c>
      <c r="Z25" s="50">
        <v>11100</v>
      </c>
      <c r="AA25" s="55">
        <v>0</v>
      </c>
      <c r="AB25" s="32">
        <f t="shared" si="11"/>
        <v>0</v>
      </c>
      <c r="AC25" s="13">
        <v>94</v>
      </c>
      <c r="AD25" s="18">
        <v>166</v>
      </c>
    </row>
    <row r="26" spans="1:30" ht="20.7" customHeight="1" x14ac:dyDescent="0.2">
      <c r="A26" s="19">
        <v>45651</v>
      </c>
      <c r="B26" s="10">
        <v>13380147</v>
      </c>
      <c r="C26" s="14">
        <f t="shared" si="2"/>
        <v>4502</v>
      </c>
      <c r="D26" s="11">
        <v>620072</v>
      </c>
      <c r="E26" s="14">
        <f t="shared" si="3"/>
        <v>366</v>
      </c>
      <c r="F26" s="27">
        <v>1704</v>
      </c>
      <c r="G26" s="70">
        <f t="shared" si="4"/>
        <v>0</v>
      </c>
      <c r="H26" s="72">
        <f t="shared" si="5"/>
        <v>4868</v>
      </c>
      <c r="I26" s="76">
        <f t="shared" si="6"/>
        <v>-40784.259999999995</v>
      </c>
      <c r="J26" s="32">
        <f t="shared" si="0"/>
        <v>-61.980000000010477</v>
      </c>
      <c r="K26" s="20">
        <f t="shared" si="1"/>
        <v>45651</v>
      </c>
      <c r="L26" s="33">
        <v>6628</v>
      </c>
      <c r="M26" s="34">
        <v>0</v>
      </c>
      <c r="N26" s="35">
        <v>0</v>
      </c>
      <c r="O26" s="88">
        <v>0.63</v>
      </c>
      <c r="P26" s="89">
        <v>0.63</v>
      </c>
      <c r="Q26" s="88">
        <v>0.63</v>
      </c>
      <c r="R26" s="89">
        <v>0.62</v>
      </c>
      <c r="S26" s="40">
        <f t="shared" si="7"/>
        <v>3775</v>
      </c>
      <c r="T26" s="38"/>
      <c r="U26" s="32">
        <f t="shared" si="8"/>
        <v>35</v>
      </c>
      <c r="V26" s="44">
        <v>666</v>
      </c>
      <c r="W26" s="32">
        <f t="shared" si="9"/>
        <v>68</v>
      </c>
      <c r="X26" s="47">
        <v>61255</v>
      </c>
      <c r="Y26" s="14">
        <f t="shared" si="10"/>
        <v>0</v>
      </c>
      <c r="Z26" s="50">
        <v>11100</v>
      </c>
      <c r="AA26" s="55">
        <v>0</v>
      </c>
      <c r="AB26" s="32">
        <f t="shared" si="11"/>
        <v>-30</v>
      </c>
      <c r="AC26" s="13">
        <v>93</v>
      </c>
      <c r="AD26" s="18">
        <v>166</v>
      </c>
    </row>
    <row r="27" spans="1:30" ht="20.7" customHeight="1" x14ac:dyDescent="0.2">
      <c r="A27" s="20">
        <v>45652</v>
      </c>
      <c r="B27" s="10">
        <v>13384649</v>
      </c>
      <c r="C27" s="14">
        <f t="shared" si="2"/>
        <v>4493</v>
      </c>
      <c r="D27" s="11">
        <v>620438</v>
      </c>
      <c r="E27" s="14">
        <f t="shared" si="3"/>
        <v>314</v>
      </c>
      <c r="F27" s="27">
        <v>1704</v>
      </c>
      <c r="G27" s="70">
        <f t="shared" si="4"/>
        <v>0</v>
      </c>
      <c r="H27" s="72">
        <f t="shared" si="5"/>
        <v>4807</v>
      </c>
      <c r="I27" s="76">
        <f t="shared" si="6"/>
        <v>-40846.240000000005</v>
      </c>
      <c r="J27" s="32">
        <f t="shared" si="0"/>
        <v>-4808</v>
      </c>
      <c r="K27" s="20">
        <f t="shared" si="1"/>
        <v>45652</v>
      </c>
      <c r="L27" s="33">
        <v>6170</v>
      </c>
      <c r="M27" s="34">
        <v>0</v>
      </c>
      <c r="N27" s="35">
        <v>0</v>
      </c>
      <c r="O27" s="88">
        <v>0.62</v>
      </c>
      <c r="P27" s="89">
        <v>0.63</v>
      </c>
      <c r="Q27" s="88">
        <v>0.62</v>
      </c>
      <c r="R27" s="89">
        <v>0.61</v>
      </c>
      <c r="S27" s="40">
        <f t="shared" si="7"/>
        <v>3740</v>
      </c>
      <c r="T27" s="38"/>
      <c r="U27" s="32">
        <f t="shared" si="8"/>
        <v>80</v>
      </c>
      <c r="V27" s="44">
        <v>734</v>
      </c>
      <c r="W27" s="32">
        <f t="shared" si="9"/>
        <v>72</v>
      </c>
      <c r="X27" s="47">
        <v>61255</v>
      </c>
      <c r="Y27" s="14">
        <f t="shared" si="10"/>
        <v>0</v>
      </c>
      <c r="Z27" s="50">
        <v>11130</v>
      </c>
      <c r="AA27" s="55">
        <v>0</v>
      </c>
      <c r="AB27" s="32">
        <f t="shared" si="11"/>
        <v>0</v>
      </c>
      <c r="AC27" s="13">
        <v>114</v>
      </c>
      <c r="AD27" s="18">
        <v>201</v>
      </c>
    </row>
    <row r="28" spans="1:30" ht="20.7" customHeight="1" x14ac:dyDescent="0.2">
      <c r="A28" s="19">
        <v>45653</v>
      </c>
      <c r="B28" s="10">
        <v>13389142</v>
      </c>
      <c r="C28" s="14" t="str">
        <f t="shared" si="2"/>
        <v>0</v>
      </c>
      <c r="D28" s="11">
        <v>620752</v>
      </c>
      <c r="E28" s="14" t="str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-45654.240000000005</v>
      </c>
      <c r="J28" s="32">
        <f t="shared" si="0"/>
        <v>0.24000000000523869</v>
      </c>
      <c r="K28" s="20">
        <f t="shared" si="1"/>
        <v>45653</v>
      </c>
      <c r="L28" s="33">
        <v>5678</v>
      </c>
      <c r="M28" s="34">
        <v>0</v>
      </c>
      <c r="N28" s="35">
        <v>0</v>
      </c>
      <c r="O28" s="88">
        <v>0.62</v>
      </c>
      <c r="P28" s="89">
        <v>0.6</v>
      </c>
      <c r="Q28" s="88">
        <v>0.62</v>
      </c>
      <c r="R28" s="89">
        <v>0.6</v>
      </c>
      <c r="S28" s="40">
        <f t="shared" si="7"/>
        <v>3660</v>
      </c>
      <c r="T28" s="38"/>
      <c r="U28" s="32" t="str">
        <f t="shared" si="8"/>
        <v>0</v>
      </c>
      <c r="V28" s="44">
        <v>806</v>
      </c>
      <c r="W28" s="32" t="str">
        <f t="shared" si="9"/>
        <v>0</v>
      </c>
      <c r="X28" s="47">
        <v>61255</v>
      </c>
      <c r="Y28" s="14" t="str">
        <f t="shared" si="10"/>
        <v>0</v>
      </c>
      <c r="Z28" s="50">
        <v>11130</v>
      </c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100569</v>
      </c>
      <c r="D33" s="80"/>
      <c r="E33" s="79">
        <f>SUM(E2:E32)</f>
        <v>14128</v>
      </c>
      <c r="F33" s="81"/>
      <c r="G33" s="79">
        <f>SUM(G2:G32)</f>
        <v>0</v>
      </c>
      <c r="H33" s="80">
        <f>SUM(H2:H32)</f>
        <v>114697</v>
      </c>
      <c r="I33" s="79">
        <f>SUM(I2:I31)</f>
        <v>-1262586.08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1855</v>
      </c>
      <c r="U33" s="79">
        <f>SUM(U2:U32)</f>
        <v>1590</v>
      </c>
      <c r="V33" s="78"/>
      <c r="W33" s="79">
        <f>SUM(W2:W32)</f>
        <v>809</v>
      </c>
      <c r="X33" s="78"/>
      <c r="Y33" s="79">
        <f>SUM(Y2:Y32)</f>
        <v>36</v>
      </c>
      <c r="Z33" s="78"/>
      <c r="AA33" s="78">
        <f>SUM(AA2:AA32)</f>
        <v>8555</v>
      </c>
      <c r="AB33" s="79">
        <f>SUM(AB2:AB32)</f>
        <v>-175</v>
      </c>
      <c r="AC33" s="82">
        <f>SUM(AC2:AC32)</f>
        <v>1594</v>
      </c>
      <c r="AD33" s="83">
        <f>SUM(AD2:AD32)</f>
        <v>2633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2024-12-27T06:59:07Z</dcterms:modified>
  <cp:category/>
  <cp:contentStatus/>
</cp:coreProperties>
</file>