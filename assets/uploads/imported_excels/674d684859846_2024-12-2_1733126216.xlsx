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759" documentId="13_ncr:1_{A150F12E-A5F3-4ABD-A7D4-FF6BD82385D6}" xr6:coauthVersionLast="47" xr6:coauthVersionMax="47" xr10:uidLastSave="{12E5DF88-3F6C-4570-BF5B-E8A07B7C73BE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6" i="1" l="1"/>
  <c r="AF27" i="1"/>
  <c r="AF28" i="1"/>
  <c r="AF29" i="1"/>
  <c r="AF30" i="1"/>
  <c r="AF31" i="1"/>
  <c r="AD26" i="1"/>
  <c r="AD27" i="1"/>
  <c r="AD28" i="1"/>
  <c r="AD29" i="1"/>
  <c r="AD30" i="1"/>
  <c r="AD31" i="1"/>
  <c r="AB26" i="1"/>
  <c r="AB27" i="1"/>
  <c r="AB28" i="1"/>
  <c r="AB29" i="1"/>
  <c r="AB30" i="1"/>
  <c r="AB31" i="1"/>
  <c r="U26" i="1"/>
  <c r="U27" i="1"/>
  <c r="U28" i="1"/>
  <c r="U29" i="1"/>
  <c r="U30" i="1"/>
  <c r="U31" i="1"/>
  <c r="Q26" i="1"/>
  <c r="Q27" i="1"/>
  <c r="Q28" i="1"/>
  <c r="Q29" i="1"/>
  <c r="Q30" i="1"/>
  <c r="Q31" i="1"/>
  <c r="O26" i="1"/>
  <c r="O27" i="1"/>
  <c r="O28" i="1"/>
  <c r="O29" i="1"/>
  <c r="O30" i="1"/>
  <c r="O31" i="1"/>
  <c r="M26" i="1"/>
  <c r="M27" i="1"/>
  <c r="M28" i="1"/>
  <c r="M29" i="1"/>
  <c r="M30" i="1"/>
  <c r="M31" i="1"/>
  <c r="K26" i="1"/>
  <c r="K27" i="1"/>
  <c r="K28" i="1"/>
  <c r="K29" i="1"/>
  <c r="K30" i="1"/>
  <c r="K31" i="1"/>
  <c r="G26" i="1"/>
  <c r="G27" i="1"/>
  <c r="G28" i="1"/>
  <c r="G29" i="1"/>
  <c r="G30" i="1"/>
  <c r="G31" i="1"/>
  <c r="E26" i="1"/>
  <c r="E27" i="1"/>
  <c r="E28" i="1"/>
  <c r="E29" i="1"/>
  <c r="E30" i="1"/>
  <c r="E31" i="1"/>
  <c r="C26" i="1"/>
  <c r="C27" i="1"/>
  <c r="C28" i="1"/>
  <c r="C29" i="1"/>
  <c r="C30" i="1"/>
  <c r="C31" i="1"/>
  <c r="AF19" i="1"/>
  <c r="AF20" i="1"/>
  <c r="AF21" i="1"/>
  <c r="AF22" i="1"/>
  <c r="AF23" i="1"/>
  <c r="AF24" i="1"/>
  <c r="AF25" i="1"/>
  <c r="AD19" i="1"/>
  <c r="AD20" i="1"/>
  <c r="AD21" i="1"/>
  <c r="AD22" i="1"/>
  <c r="AD23" i="1"/>
  <c r="AD24" i="1"/>
  <c r="AD25" i="1"/>
  <c r="AB19" i="1"/>
  <c r="AB20" i="1"/>
  <c r="AB21" i="1"/>
  <c r="AB22" i="1"/>
  <c r="AB23" i="1"/>
  <c r="AB24" i="1"/>
  <c r="AB25" i="1"/>
  <c r="U19" i="1"/>
  <c r="U20" i="1"/>
  <c r="U21" i="1"/>
  <c r="U22" i="1"/>
  <c r="U23" i="1"/>
  <c r="U24" i="1"/>
  <c r="U25" i="1"/>
  <c r="Q19" i="1"/>
  <c r="Q20" i="1"/>
  <c r="Q21" i="1"/>
  <c r="Q22" i="1"/>
  <c r="Q23" i="1"/>
  <c r="Q24" i="1"/>
  <c r="Q25" i="1"/>
  <c r="O19" i="1"/>
  <c r="O20" i="1"/>
  <c r="O21" i="1"/>
  <c r="O22" i="1"/>
  <c r="O23" i="1"/>
  <c r="O24" i="1"/>
  <c r="O25" i="1"/>
  <c r="M19" i="1"/>
  <c r="M20" i="1"/>
  <c r="M21" i="1"/>
  <c r="M22" i="1"/>
  <c r="M23" i="1"/>
  <c r="M24" i="1"/>
  <c r="M25" i="1"/>
  <c r="K19" i="1"/>
  <c r="K20" i="1"/>
  <c r="K21" i="1"/>
  <c r="K22" i="1"/>
  <c r="K23" i="1"/>
  <c r="K24" i="1"/>
  <c r="K25" i="1"/>
  <c r="G19" i="1"/>
  <c r="G20" i="1"/>
  <c r="G21" i="1"/>
  <c r="G22" i="1"/>
  <c r="G23" i="1"/>
  <c r="G24" i="1"/>
  <c r="G25" i="1"/>
  <c r="E19" i="1"/>
  <c r="E20" i="1"/>
  <c r="E21" i="1"/>
  <c r="E22" i="1"/>
  <c r="E23" i="1"/>
  <c r="E24" i="1"/>
  <c r="E25" i="1"/>
  <c r="C19" i="1"/>
  <c r="C20" i="1"/>
  <c r="C21" i="1"/>
  <c r="C22" i="1"/>
  <c r="C23" i="1"/>
  <c r="C24" i="1"/>
  <c r="C25" i="1"/>
  <c r="AF12" i="1"/>
  <c r="AF13" i="1"/>
  <c r="AF14" i="1"/>
  <c r="AF15" i="1"/>
  <c r="AF16" i="1"/>
  <c r="AF17" i="1"/>
  <c r="AF18" i="1"/>
  <c r="AD12" i="1"/>
  <c r="AD13" i="1"/>
  <c r="AD14" i="1"/>
  <c r="AD15" i="1"/>
  <c r="AD16" i="1"/>
  <c r="AD17" i="1"/>
  <c r="AD18" i="1"/>
  <c r="AB12" i="1"/>
  <c r="AB13" i="1"/>
  <c r="AB14" i="1"/>
  <c r="AB15" i="1"/>
  <c r="AB16" i="1"/>
  <c r="AB17" i="1"/>
  <c r="AB18" i="1"/>
  <c r="U12" i="1"/>
  <c r="U13" i="1"/>
  <c r="U14" i="1"/>
  <c r="U15" i="1"/>
  <c r="U16" i="1"/>
  <c r="U17" i="1"/>
  <c r="U18" i="1"/>
  <c r="Q12" i="1"/>
  <c r="Q13" i="1"/>
  <c r="Q14" i="1"/>
  <c r="Q15" i="1"/>
  <c r="Q16" i="1"/>
  <c r="Q17" i="1"/>
  <c r="Q18" i="1"/>
  <c r="O12" i="1"/>
  <c r="O13" i="1"/>
  <c r="O14" i="1"/>
  <c r="O15" i="1"/>
  <c r="O16" i="1"/>
  <c r="O17" i="1"/>
  <c r="O18" i="1"/>
  <c r="M12" i="1"/>
  <c r="M13" i="1"/>
  <c r="M14" i="1"/>
  <c r="M15" i="1"/>
  <c r="M16" i="1"/>
  <c r="M17" i="1"/>
  <c r="M18" i="1"/>
  <c r="K12" i="1"/>
  <c r="K13" i="1"/>
  <c r="K14" i="1"/>
  <c r="K15" i="1"/>
  <c r="K16" i="1"/>
  <c r="K17" i="1"/>
  <c r="K18" i="1"/>
  <c r="G12" i="1"/>
  <c r="G13" i="1"/>
  <c r="G14" i="1"/>
  <c r="G15" i="1"/>
  <c r="G16" i="1"/>
  <c r="G17" i="1"/>
  <c r="G18" i="1"/>
  <c r="E12" i="1"/>
  <c r="E13" i="1"/>
  <c r="E14" i="1"/>
  <c r="E15" i="1"/>
  <c r="E16" i="1"/>
  <c r="E17" i="1"/>
  <c r="E18" i="1"/>
  <c r="C12" i="1"/>
  <c r="C13" i="1"/>
  <c r="C14" i="1"/>
  <c r="C15" i="1"/>
  <c r="C16" i="1"/>
  <c r="C17" i="1"/>
  <c r="C18" i="1"/>
  <c r="AF5" i="1"/>
  <c r="AF6" i="1"/>
  <c r="AF7" i="1"/>
  <c r="AF8" i="1"/>
  <c r="AF9" i="1"/>
  <c r="AF10" i="1"/>
  <c r="AF11" i="1"/>
  <c r="AD5" i="1"/>
  <c r="AD6" i="1"/>
  <c r="AD7" i="1"/>
  <c r="AD8" i="1"/>
  <c r="AD9" i="1"/>
  <c r="AD10" i="1"/>
  <c r="AD11" i="1"/>
  <c r="AB5" i="1"/>
  <c r="AB6" i="1"/>
  <c r="AB7" i="1"/>
  <c r="AB8" i="1"/>
  <c r="AB9" i="1"/>
  <c r="AB10" i="1"/>
  <c r="AB11" i="1"/>
  <c r="U5" i="1"/>
  <c r="U6" i="1"/>
  <c r="U7" i="1"/>
  <c r="U8" i="1"/>
  <c r="U9" i="1"/>
  <c r="U10" i="1"/>
  <c r="U11" i="1"/>
  <c r="Q5" i="1"/>
  <c r="Q6" i="1"/>
  <c r="Q7" i="1"/>
  <c r="Q8" i="1"/>
  <c r="Q9" i="1"/>
  <c r="Q10" i="1"/>
  <c r="Q11" i="1"/>
  <c r="O5" i="1"/>
  <c r="O6" i="1"/>
  <c r="O7" i="1"/>
  <c r="O8" i="1"/>
  <c r="O9" i="1"/>
  <c r="O10" i="1"/>
  <c r="O11" i="1"/>
  <c r="M5" i="1"/>
  <c r="M6" i="1"/>
  <c r="M7" i="1"/>
  <c r="M8" i="1"/>
  <c r="M9" i="1"/>
  <c r="M10" i="1"/>
  <c r="M11" i="1"/>
  <c r="K5" i="1"/>
  <c r="K6" i="1"/>
  <c r="K7" i="1"/>
  <c r="K8" i="1"/>
  <c r="K9" i="1"/>
  <c r="K10" i="1"/>
  <c r="K11" i="1"/>
  <c r="G5" i="1"/>
  <c r="G6" i="1"/>
  <c r="G7" i="1"/>
  <c r="G8" i="1"/>
  <c r="G9" i="1"/>
  <c r="G10" i="1"/>
  <c r="G11" i="1"/>
  <c r="E5" i="1"/>
  <c r="E6" i="1"/>
  <c r="E7" i="1"/>
  <c r="E8" i="1"/>
  <c r="E9" i="1"/>
  <c r="E10" i="1"/>
  <c r="E11" i="1"/>
  <c r="C5" i="1"/>
  <c r="C6" i="1"/>
  <c r="C7" i="1"/>
  <c r="C8" i="1"/>
  <c r="C9" i="1"/>
  <c r="C10" i="1"/>
  <c r="C11" i="1"/>
  <c r="AF4" i="1"/>
  <c r="AD4" i="1"/>
  <c r="AB4" i="1"/>
  <c r="U4" i="1"/>
  <c r="Q4" i="1"/>
  <c r="O4" i="1"/>
  <c r="M4" i="1"/>
  <c r="K4" i="1"/>
  <c r="G4" i="1"/>
  <c r="E4" i="1"/>
  <c r="C4" i="1"/>
  <c r="M2" i="1"/>
  <c r="C2" i="1" l="1"/>
  <c r="E2" i="1"/>
  <c r="G2" i="1"/>
  <c r="K2" i="1"/>
  <c r="H2" i="1" l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AH34" i="1" l="1"/>
  <c r="Y34" i="1"/>
  <c r="AK34" i="1"/>
  <c r="AJ34" i="1"/>
  <c r="O2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I2" i="1" l="1"/>
  <c r="X3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31" i="1" l="1"/>
  <c r="Z30" i="1"/>
  <c r="Z29" i="1"/>
  <c r="Z28" i="1"/>
  <c r="Z27" i="1"/>
  <c r="Z26" i="1"/>
  <c r="Z25" i="1"/>
  <c r="Z24" i="1"/>
  <c r="Z23" i="1"/>
  <c r="Z22" i="1"/>
  <c r="Z21" i="1"/>
  <c r="Z19" i="1"/>
  <c r="Z20" i="1"/>
  <c r="G20" i="2" s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G31" i="2"/>
  <c r="G29" i="2"/>
  <c r="G25" i="2"/>
  <c r="G23" i="2"/>
  <c r="G21" i="2"/>
  <c r="G19" i="2"/>
  <c r="G18" i="2"/>
  <c r="G17" i="2"/>
  <c r="G16" i="2"/>
  <c r="G12" i="2"/>
  <c r="G8" i="2"/>
  <c r="G11" i="2"/>
  <c r="G14" i="2"/>
  <c r="G13" i="2"/>
  <c r="G9" i="2"/>
  <c r="G7" i="2"/>
  <c r="G6" i="2"/>
  <c r="G5" i="2"/>
  <c r="G4" i="2"/>
  <c r="G30" i="2"/>
  <c r="G28" i="2"/>
  <c r="G27" i="2"/>
  <c r="G26" i="2"/>
  <c r="G24" i="2"/>
  <c r="G22" i="2"/>
  <c r="G15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O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I3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O34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I4" i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<sst xmlns="http://schemas.openxmlformats.org/spreadsheetml/2006/main" count="81" uniqueCount="41">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</sst>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2" xfId="0" applyNumberFormat="1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6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5" xfId="0" applyNumberFormat="1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37" xfId="0" applyFont="1" applyFill="1" applyBorder="1" applyAlignment="1">
      <alignment horizontal="center" vertical="center" wrapText="1"/>
    </xf>
    <xf numFmtId="1" fontId="13" fillId="3" borderId="38" xfId="0" applyNumberFormat="1" applyFont="1" applyFill="1" applyBorder="1" applyAlignment="1">
      <alignment horizontal="center" vertical="center"/>
    </xf>
    <xf numFmtId="1" fontId="13" fillId="3" borderId="39" xfId="0" applyNumberFormat="1" applyFont="1" applyFill="1" applyBorder="1" applyAlignment="1">
      <alignment horizontal="center" vertical="center"/>
    </xf>
    <xf numFmtId="1" fontId="13" fillId="3" borderId="4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5" borderId="37" xfId="0" applyFont="1" applyFill="1" applyBorder="1" applyAlignment="1">
      <alignment horizontal="center" vertical="center" wrapText="1"/>
    </xf>
    <xf numFmtId="1" fontId="13" fillId="5" borderId="38" xfId="0" applyNumberFormat="1" applyFont="1" applyFill="1" applyBorder="1" applyAlignment="1">
      <alignment horizontal="center" vertical="center"/>
    </xf>
    <xf numFmtId="1" fontId="13" fillId="5" borderId="39" xfId="0" applyNumberFormat="1" applyFont="1" applyFill="1" applyBorder="1" applyAlignment="1">
      <alignment horizontal="center" vertical="center"/>
    </xf>
    <xf numFmtId="1" fontId="13" fillId="5" borderId="40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1" xfId="0" applyFont="1" applyBorder="1" applyAlignment="1">
      <alignment horizontal="center" vertical="center"/>
    </xf>
    <xf numFmtId="1" fontId="31" fillId="5" borderId="41" xfId="0" applyNumberFormat="1" applyFont="1" applyFill="1" applyBorder="1" applyAlignment="1">
      <alignment horizontal="center" vertical="center" wrapText="1"/>
    </xf>
    <xf numFmtId="0" fontId="31" fillId="5" borderId="41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1" xfId="0" applyNumberFormat="1" applyFont="1" applyFill="1" applyBorder="1" applyAlignment="1">
      <alignment horizontal="center" vertical="center" wrapText="1"/>
    </xf>
    <xf numFmtId="165" fontId="31" fillId="6" borderId="41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1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1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1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35" fillId="9" borderId="42" xfId="0" applyNumberFormat="1" applyFont="1" applyFill="1" applyBorder="1" applyAlignment="1">
      <alignment horizontal="center"/>
    </xf>
    <xf numFmtId="3" fontId="29" fillId="9" borderId="42" xfId="0" applyNumberFormat="1" applyFont="1" applyFill="1" applyBorder="1" applyAlignment="1">
      <alignment horizontal="center"/>
    </xf>
    <xf numFmtId="1" fontId="35" fillId="9" borderId="42" xfId="0" applyNumberFormat="1" applyFont="1" applyFill="1" applyBorder="1" applyAlignment="1">
      <alignment horizontal="center"/>
    </xf>
    <xf numFmtId="0" fontId="35" fillId="9" borderId="42" xfId="0" applyFont="1" applyFill="1" applyBorder="1" applyAlignment="1">
      <alignment horizontal="center"/>
    </xf>
    <xf numFmtId="1" fontId="35" fillId="9" borderId="43" xfId="0" applyNumberFormat="1" applyFont="1" applyFill="1" applyBorder="1" applyAlignment="1">
      <alignment horizontal="center"/>
    </xf>
    <xf numFmtId="3" fontId="3" fillId="0" borderId="44" xfId="0" applyNumberFormat="1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13" fillId="0" borderId="46" xfId="0" applyFont="1" applyBorder="1" applyAlignment="1">
      <alignment horizontal="center"/>
    </xf>
    <xf numFmtId="0" fontId="0" fillId="0" borderId="4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6"/>
  <sheetViews>
    <sheetView workbookViewId="0">
      <selection activeCell="C35" sqref="C35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19" customWidth="1"/>
    <col min="6" max="6" width="12.5703125" style="121" customWidth="1"/>
    <col min="7" max="7" width="8.85546875" style="124"/>
    <col min="8" max="8" width="8.85546875" style="126"/>
    <col min="9" max="10" width="8.85546875" style="130"/>
    <col min="11" max="12" width="12.28515625" style="134" bestFit="1" customWidth="1"/>
    <col min="13" max="13" width="8.85546875" style="137"/>
    <col min="14" max="14" width="11.5703125" style="137" customWidth="1"/>
    <col min="15" max="16384" width="8.85546875" style="5"/>
  </cols>
  <sheetData>
    <row r="1" spans="1:14" ht="75.75" thickBot="1" x14ac:dyDescent="0.25">
      <c r="A1" s="116" t="s">
        <v>0</v>
      </c>
      <c r="B1" s="116" t="s">
        <v>1</v>
      </c>
      <c r="C1" s="138" t="s">
        <v>2</v>
      </c>
      <c r="D1" s="138" t="s">
        <v>3</v>
      </c>
      <c r="E1" s="117" t="s">
        <v>4</v>
      </c>
      <c r="F1" s="118" t="s">
        <v>5</v>
      </c>
      <c r="G1" s="122" t="s">
        <v>6</v>
      </c>
      <c r="H1" s="123" t="s">
        <v>40</v>
      </c>
      <c r="I1" s="127" t="s">
        <v>7</v>
      </c>
      <c r="J1" s="127" t="s">
        <v>8</v>
      </c>
      <c r="K1" s="131" t="s">
        <v>9</v>
      </c>
      <c r="L1" s="131" t="s">
        <v>10</v>
      </c>
      <c r="M1" s="135" t="s">
        <v>11</v>
      </c>
      <c r="N1" s="135" t="s">
        <v>12</v>
      </c>
    </row>
    <row r="2" spans="1:14" ht="15.75" thickTop="1" x14ac:dyDescent="0.25">
      <c r="A2" s="115" t="s">
        <v>13</v>
      </c>
      <c r="B2" s="5">
        <v>1</v>
      </c>
      <c r="C2" s="139">
        <v>11</v>
      </c>
      <c r="D2" s="140">
        <v>2024</v>
      </c>
      <c r="E2" s="119">
        <f>IF(ALMYRA!H2&lt;0,"0",ALMYRA!H2)</f>
        <v>5758</v>
      </c>
      <c r="F2" s="120">
        <f>(ALMYRA!C2*0.24)/E2</f>
        <v>0.18389718652309828</v>
      </c>
      <c r="G2" s="124">
        <f>ALMYRA!Z2</f>
        <v>200</v>
      </c>
      <c r="H2" s="125">
        <v>0.65800000000000003</v>
      </c>
      <c r="I2" s="128">
        <f>IF(ALMYRA!AB2&lt;0,"0",ALMYRA!AB2)</f>
        <v>79</v>
      </c>
      <c r="J2" s="129">
        <v>2.4</v>
      </c>
      <c r="K2" s="132">
        <f>ALMYRA!U2</f>
        <v>151</v>
      </c>
      <c r="L2" s="133">
        <v>0.88</v>
      </c>
      <c r="M2" s="136">
        <f>ALMYRA!AJ2</f>
        <v>132</v>
      </c>
      <c r="N2" s="136">
        <f>ALMYRA!AK2</f>
        <v>255</v>
      </c>
    </row>
    <row r="3" spans="1:14" ht="15" x14ac:dyDescent="0.25">
      <c r="A3" s="115" t="s">
        <v>13</v>
      </c>
      <c r="B3" s="5">
        <f>B2+1</f>
        <v>2</v>
      </c>
      <c r="C3" s="139">
        <v>11</v>
      </c>
      <c r="D3" s="140">
        <v>2024</v>
      </c>
      <c r="E3" s="119">
        <f>IF(ALMYRA!H3&lt;0,"0",ALMYRA!H3)</f>
        <v>5303</v>
      </c>
      <c r="F3" s="120">
        <f>(ALMYRA!C3*0.24)/E3</f>
        <v>0.21108052046011688</v>
      </c>
      <c r="G3" s="124">
        <f>ALMYRA!Z3</f>
        <v>50</v>
      </c>
      <c r="H3" s="125">
        <v>0.65800000000000003</v>
      </c>
      <c r="I3" s="128">
        <f>IF(ALMYRA!AB3&lt;0,"0",ALMYRA!AB3)</f>
        <v>79</v>
      </c>
      <c r="J3" s="129">
        <v>2.4</v>
      </c>
      <c r="K3" s="132">
        <f>ALMYRA!U3</f>
        <v>199</v>
      </c>
      <c r="L3" s="133">
        <v>0.88</v>
      </c>
      <c r="M3" s="136">
        <f>ALMYRA!AJ3</f>
        <v>163</v>
      </c>
      <c r="N3" s="136">
        <f>ALMYRA!AK3</f>
        <v>316</v>
      </c>
    </row>
    <row r="4" spans="1:14" ht="15" x14ac:dyDescent="0.25">
      <c r="A4" s="115" t="s">
        <v>13</v>
      </c>
      <c r="B4" s="5">
        <f t="shared" ref="B4:B31" si="0">B3+1</f>
        <v>3</v>
      </c>
      <c r="C4" s="139">
        <v>11</v>
      </c>
      <c r="D4" s="140">
        <v>2024</v>
      </c>
      <c r="E4" s="119">
        <f>IF(ALMYRA!H4&lt;0,"0",ALMYRA!H4)</f>
        <v>5249</v>
      </c>
      <c r="F4" s="120">
        <f>(ALMYRA!C4*0.24)/E4</f>
        <v>0.2147151838445418</v>
      </c>
      <c r="G4" s="124">
        <f>ALMYRA!Z4</f>
        <v>500</v>
      </c>
      <c r="H4" s="125">
        <v>0.65800000000000003</v>
      </c>
      <c r="I4" s="128">
        <f>IF(ALMYRA!AB4&lt;0,"0",ALMYRA!AB4)</f>
        <v>74</v>
      </c>
      <c r="J4" s="129">
        <v>2.4</v>
      </c>
      <c r="K4" s="132">
        <f>ALMYRA!U4</f>
        <v>170</v>
      </c>
      <c r="L4" s="133">
        <v>0.88</v>
      </c>
      <c r="M4" s="136">
        <f>ALMYRA!AJ4</f>
        <v>101</v>
      </c>
      <c r="N4" s="136">
        <f>ALMYRA!AK4</f>
        <v>185</v>
      </c>
    </row>
    <row r="5" spans="1:14" ht="15" x14ac:dyDescent="0.25">
      <c r="A5" s="115" t="s">
        <v>13</v>
      </c>
      <c r="B5" s="5">
        <f t="shared" si="0"/>
        <v>4</v>
      </c>
      <c r="C5" s="139">
        <v>11</v>
      </c>
      <c r="D5" s="140">
        <v>2024</v>
      </c>
      <c r="E5" s="119">
        <f>IF(ALMYRA!H5&lt;0,"0",ALMYRA!H5)</f>
        <v>5327</v>
      </c>
      <c r="F5" s="120">
        <f>(ALMYRA!C5*0.24)/E5</f>
        <v>0.17737563356485828</v>
      </c>
      <c r="G5" s="124">
        <f>ALMYRA!Z5</f>
        <v>562.21999999999935</v>
      </c>
      <c r="H5" s="125">
        <v>0.65800000000000003</v>
      </c>
      <c r="I5" s="128">
        <f>IF(ALMYRA!AB5&lt;0,"0",ALMYRA!AB5)</f>
        <v>67</v>
      </c>
      <c r="J5" s="129">
        <v>2.4</v>
      </c>
      <c r="K5" s="132">
        <f>ALMYRA!U5</f>
        <v>127</v>
      </c>
      <c r="L5" s="133">
        <v>0.88</v>
      </c>
      <c r="M5" s="136">
        <f>ALMYRA!AJ5</f>
        <v>122</v>
      </c>
      <c r="N5" s="136">
        <f>ALMYRA!AK5</f>
        <v>212</v>
      </c>
    </row>
    <row r="6" spans="1:14" ht="15" x14ac:dyDescent="0.25">
      <c r="A6" s="115" t="s">
        <v>13</v>
      </c>
      <c r="B6" s="5">
        <f t="shared" si="0"/>
        <v>5</v>
      </c>
      <c r="C6" s="139">
        <v>11</v>
      </c>
      <c r="D6" s="140">
        <v>2024</v>
      </c>
      <c r="E6" s="119">
        <f>IF(ALMYRA!H6&lt;0,"0",ALMYRA!H6)</f>
        <v>5177</v>
      </c>
      <c r="F6" s="120">
        <f>(ALMYRA!C6*0.24)/E6</f>
        <v>0.17407765114931426</v>
      </c>
      <c r="G6" s="124">
        <f>ALMYRA!Z6</f>
        <v>175</v>
      </c>
      <c r="H6" s="125">
        <v>0.65800000000000003</v>
      </c>
      <c r="I6" s="128">
        <f>IF(ALMYRA!AB6&lt;0,"0",ALMYRA!AB6)</f>
        <v>69</v>
      </c>
      <c r="J6" s="129">
        <v>2.4</v>
      </c>
      <c r="K6" s="132">
        <f>ALMYRA!U6</f>
        <v>196</v>
      </c>
      <c r="L6" s="133">
        <v>0.88</v>
      </c>
      <c r="M6" s="136">
        <f>ALMYRA!AJ6</f>
        <v>114</v>
      </c>
      <c r="N6" s="136">
        <f>ALMYRA!AK6</f>
        <v>198</v>
      </c>
    </row>
    <row r="7" spans="1:14" ht="15" x14ac:dyDescent="0.25">
      <c r="A7" s="115" t="s">
        <v>13</v>
      </c>
      <c r="B7" s="5">
        <f t="shared" si="0"/>
        <v>6</v>
      </c>
      <c r="C7" s="139">
        <v>11</v>
      </c>
      <c r="D7" s="140">
        <v>2024</v>
      </c>
      <c r="E7" s="119">
        <f>IF(ALMYRA!H7&lt;0,"0",ALMYRA!H7)</f>
        <v>5334</v>
      </c>
      <c r="F7" s="120">
        <f>(ALMYRA!C7*0.24)/E7</f>
        <v>0.17570303712035995</v>
      </c>
      <c r="G7" s="124">
        <f>ALMYRA!Z7</f>
        <v>175</v>
      </c>
      <c r="H7" s="125">
        <v>0.65800000000000003</v>
      </c>
      <c r="I7" s="128">
        <f>IF(ALMYRA!AB7&lt;0,"0",ALMYRA!AB7)</f>
        <v>61</v>
      </c>
      <c r="J7" s="129">
        <v>2.4</v>
      </c>
      <c r="K7" s="132">
        <f>ALMYRA!U7</f>
        <v>196</v>
      </c>
      <c r="L7" s="133">
        <v>0.88</v>
      </c>
      <c r="M7" s="136">
        <f>ALMYRA!AJ7</f>
        <v>129</v>
      </c>
      <c r="N7" s="136">
        <f>ALMYRA!AK7</f>
        <v>236</v>
      </c>
    </row>
    <row r="8" spans="1:14" ht="15" x14ac:dyDescent="0.25">
      <c r="A8" s="115" t="s">
        <v>13</v>
      </c>
      <c r="B8" s="5">
        <f t="shared" si="0"/>
        <v>7</v>
      </c>
      <c r="C8" s="139">
        <v>11</v>
      </c>
      <c r="D8" s="140">
        <v>2024</v>
      </c>
      <c r="E8" s="119">
        <f>IF(ALMYRA!H8&lt;0,"0",ALMYRA!H8)</f>
        <v>4984</v>
      </c>
      <c r="F8" s="120">
        <f>(ALMYRA!C8*0.24)/E8</f>
        <v>0.17060995184590688</v>
      </c>
      <c r="G8" s="124">
        <f>ALMYRA!Z8</f>
        <v>350</v>
      </c>
      <c r="H8" s="125">
        <v>0.65800000000000003</v>
      </c>
      <c r="I8" s="128">
        <f>IF(ALMYRA!AB8&lt;0,"0",ALMYRA!AB8)</f>
        <v>69</v>
      </c>
      <c r="J8" s="129">
        <v>2.4</v>
      </c>
      <c r="K8" s="132">
        <f>ALMYRA!U8</f>
        <v>47</v>
      </c>
      <c r="L8" s="133">
        <v>0.88</v>
      </c>
      <c r="M8" s="136">
        <f>ALMYRA!AJ8</f>
        <v>140</v>
      </c>
      <c r="N8" s="136">
        <f>ALMYRA!AK8</f>
        <v>255</v>
      </c>
    </row>
    <row r="9" spans="1:14" ht="15" x14ac:dyDescent="0.25">
      <c r="A9" s="115" t="s">
        <v>13</v>
      </c>
      <c r="B9" s="5">
        <f t="shared" si="0"/>
        <v>8</v>
      </c>
      <c r="C9" s="139">
        <v>11</v>
      </c>
      <c r="D9" s="140">
        <v>2024</v>
      </c>
      <c r="E9" s="119">
        <f>IF(ALMYRA!H9&lt;0,"0",ALMYRA!H9)</f>
        <v>5401</v>
      </c>
      <c r="F9" s="120">
        <f>(ALMYRA!C9*0.24)/E9</f>
        <v>0.17894463988150344</v>
      </c>
      <c r="G9" s="124">
        <f>ALMYRA!Z9</f>
        <v>425</v>
      </c>
      <c r="H9" s="125">
        <v>0.65800000000000003</v>
      </c>
      <c r="I9" s="128">
        <f>IF(ALMYRA!AB9&lt;0,"0",ALMYRA!AB9)</f>
        <v>77</v>
      </c>
      <c r="J9" s="129">
        <v>2.4</v>
      </c>
      <c r="K9" s="132">
        <f>ALMYRA!U9</f>
        <v>244</v>
      </c>
      <c r="L9" s="133">
        <v>0.88</v>
      </c>
      <c r="M9" s="136">
        <f>ALMYRA!AJ9</f>
        <v>156</v>
      </c>
      <c r="N9" s="136">
        <f>ALMYRA!AK9</f>
        <v>285</v>
      </c>
    </row>
    <row r="10" spans="1:14" ht="15" x14ac:dyDescent="0.25">
      <c r="A10" s="115" t="s">
        <v>13</v>
      </c>
      <c r="B10" s="5">
        <f t="shared" si="0"/>
        <v>9</v>
      </c>
      <c r="C10" s="139">
        <v>11</v>
      </c>
      <c r="D10" s="140">
        <v>2024</v>
      </c>
      <c r="E10" s="119">
        <f>IF(ALMYRA!H10&lt;0,"0",ALMYRA!H10)</f>
        <v>5339</v>
      </c>
      <c r="F10" s="120">
        <f>(ALMYRA!C10*0.24)/E10</f>
        <v>0.18965349316351376</v>
      </c>
      <c r="G10" s="124">
        <f>ALMYRA!Z10</f>
        <v>275</v>
      </c>
      <c r="H10" s="125">
        <v>0.65800000000000003</v>
      </c>
      <c r="I10" s="128">
        <f>IF(ALMYRA!AB10&lt;0,"0",ALMYRA!AB10)</f>
        <v>82</v>
      </c>
      <c r="J10" s="129">
        <v>2.4</v>
      </c>
      <c r="K10" s="132">
        <f>ALMYRA!U10</f>
        <v>96</v>
      </c>
      <c r="L10" s="133">
        <v>0.88</v>
      </c>
      <c r="M10" s="136">
        <f>ALMYRA!AJ10</f>
        <v>162</v>
      </c>
      <c r="N10" s="136">
        <f>ALMYRA!AK10</f>
        <v>302</v>
      </c>
    </row>
    <row r="11" spans="1:14" ht="15" x14ac:dyDescent="0.25">
      <c r="A11" s="115" t="s">
        <v>13</v>
      </c>
      <c r="B11" s="5">
        <f t="shared" si="0"/>
        <v>10</v>
      </c>
      <c r="C11" s="139">
        <v>11</v>
      </c>
      <c r="D11" s="140">
        <v>2024</v>
      </c>
      <c r="E11" s="119">
        <f>IF(ALMYRA!H11&lt;0,"0",ALMYRA!H11)</f>
        <v>4936</v>
      </c>
      <c r="F11" s="120">
        <f>(ALMYRA!C11*0.24)/E11</f>
        <v>0.20547811993517018</v>
      </c>
      <c r="G11" s="124">
        <f>ALMYRA!Z11</f>
        <v>375</v>
      </c>
      <c r="H11" s="125">
        <v>0.65800000000000003</v>
      </c>
      <c r="I11" s="128">
        <f>IF(ALMYRA!AB11&lt;0,"0",ALMYRA!AB11)</f>
        <v>65</v>
      </c>
      <c r="J11" s="129">
        <v>2.4</v>
      </c>
      <c r="K11" s="132">
        <f>ALMYRA!U11</f>
        <v>192</v>
      </c>
      <c r="L11" s="133">
        <v>0.88</v>
      </c>
      <c r="M11" s="136">
        <f>ALMYRA!AJ11</f>
        <v>124</v>
      </c>
      <c r="N11" s="136">
        <f>ALMYRA!AK11</f>
        <v>217</v>
      </c>
    </row>
    <row r="12" spans="1:14" ht="15" x14ac:dyDescent="0.25">
      <c r="A12" s="115" t="s">
        <v>13</v>
      </c>
      <c r="B12" s="5">
        <f t="shared" si="0"/>
        <v>11</v>
      </c>
      <c r="C12" s="139">
        <v>11</v>
      </c>
      <c r="D12" s="140">
        <v>2024</v>
      </c>
      <c r="E12" s="119">
        <f>IF(ALMYRA!H12&lt;0,"0",ALMYRA!H12)</f>
        <v>5172</v>
      </c>
      <c r="F12" s="120">
        <f>(ALMYRA!C12*0.24)/E12</f>
        <v>0.1757308584686775</v>
      </c>
      <c r="G12" s="124">
        <f>ALMYRA!Z12</f>
        <v>947.63999999999942</v>
      </c>
      <c r="H12" s="125">
        <v>0.65800000000000003</v>
      </c>
      <c r="I12" s="128">
        <f>IF(ALMYRA!AB12&lt;0,"0",ALMYRA!AB12)</f>
        <v>67</v>
      </c>
      <c r="J12" s="129">
        <v>2.4</v>
      </c>
      <c r="K12" s="132">
        <f>ALMYRA!U12</f>
        <v>96</v>
      </c>
      <c r="L12" s="133">
        <v>0.88</v>
      </c>
      <c r="M12" s="136">
        <f>ALMYRA!AJ12</f>
        <v>120</v>
      </c>
      <c r="N12" s="136">
        <f>ALMYRA!AK12</f>
        <v>213</v>
      </c>
    </row>
    <row r="13" spans="1:14" ht="15" x14ac:dyDescent="0.25">
      <c r="A13" s="115" t="s">
        <v>13</v>
      </c>
      <c r="B13" s="5">
        <f t="shared" si="0"/>
        <v>12</v>
      </c>
      <c r="C13" s="139">
        <v>11</v>
      </c>
      <c r="D13" s="140">
        <v>2024</v>
      </c>
      <c r="E13" s="119">
        <f>IF(ALMYRA!H13&lt;0,"0",ALMYRA!H13)</f>
        <v>4997</v>
      </c>
      <c r="F13" s="120">
        <f>(ALMYRA!C13*0.24)/E13</f>
        <v>0.17410446267760657</v>
      </c>
      <c r="G13" s="124">
        <f>ALMYRA!Z13</f>
        <v>200</v>
      </c>
      <c r="H13" s="125">
        <v>0.65800000000000003</v>
      </c>
      <c r="I13" s="128">
        <f>IF(ALMYRA!AB13&lt;0,"0",ALMYRA!AB13)</f>
        <v>75</v>
      </c>
      <c r="J13" s="129">
        <v>2.4</v>
      </c>
      <c r="K13" s="132">
        <f>ALMYRA!U13</f>
        <v>283</v>
      </c>
      <c r="L13" s="133">
        <v>0.88</v>
      </c>
      <c r="M13" s="136">
        <f>ALMYRA!AJ13</f>
        <v>119</v>
      </c>
      <c r="N13" s="136">
        <f>ALMYRA!AK13</f>
        <v>206</v>
      </c>
    </row>
    <row r="14" spans="1:14" ht="15" x14ac:dyDescent="0.25">
      <c r="A14" s="115" t="s">
        <v>13</v>
      </c>
      <c r="B14" s="5">
        <f t="shared" si="0"/>
        <v>13</v>
      </c>
      <c r="C14" s="139">
        <v>11</v>
      </c>
      <c r="D14" s="140">
        <v>2024</v>
      </c>
      <c r="E14" s="119">
        <f>IF(ALMYRA!H14&lt;0,"0",ALMYRA!H14)</f>
        <v>4725</v>
      </c>
      <c r="F14" s="120">
        <f>(ALMYRA!C14*0.24)/E14</f>
        <v>0.17092063492063492</v>
      </c>
      <c r="G14" s="124">
        <f>ALMYRA!Z14</f>
        <v>150</v>
      </c>
      <c r="H14" s="125">
        <v>0.65800000000000003</v>
      </c>
      <c r="I14" s="128">
        <f>IF(ALMYRA!AB14&lt;0,"0",ALMYRA!AB14)</f>
        <v>67</v>
      </c>
      <c r="J14" s="129">
        <v>2.4</v>
      </c>
      <c r="K14" s="132">
        <f>ALMYRA!U14</f>
        <v>94</v>
      </c>
      <c r="L14" s="133">
        <v>0.88</v>
      </c>
      <c r="M14" s="136">
        <f>ALMYRA!AJ14</f>
        <v>116</v>
      </c>
      <c r="N14" s="136">
        <f>ALMYRA!AK14</f>
        <v>208</v>
      </c>
    </row>
    <row r="15" spans="1:14" ht="15" x14ac:dyDescent="0.25">
      <c r="A15" s="115" t="s">
        <v>13</v>
      </c>
      <c r="B15" s="5">
        <f t="shared" si="0"/>
        <v>14</v>
      </c>
      <c r="C15" s="139">
        <v>11</v>
      </c>
      <c r="D15" s="140">
        <v>2024</v>
      </c>
      <c r="E15" s="119">
        <f>IF(ALMYRA!H15&lt;0,"0",ALMYRA!H15)</f>
        <v>4837</v>
      </c>
      <c r="F15" s="120">
        <f>(ALMYRA!C15*0.24)/E15</f>
        <v>0.17475294604093447</v>
      </c>
      <c r="G15" s="124">
        <f>ALMYRA!Z15</f>
        <v>300</v>
      </c>
      <c r="H15" s="125">
        <v>0.65800000000000003</v>
      </c>
      <c r="I15" s="128">
        <f>IF(ALMYRA!AB15&lt;0,"0",ALMYRA!AB15)</f>
        <v>65</v>
      </c>
      <c r="J15" s="129">
        <v>2.4</v>
      </c>
      <c r="K15" s="132">
        <f>ALMYRA!U15</f>
        <v>94</v>
      </c>
      <c r="L15" s="133">
        <v>0.88</v>
      </c>
      <c r="M15" s="136">
        <f>ALMYRA!AJ15</f>
        <v>113</v>
      </c>
      <c r="N15" s="136">
        <f>ALMYRA!AK15</f>
        <v>205</v>
      </c>
    </row>
    <row r="16" spans="1:14" ht="15" x14ac:dyDescent="0.25">
      <c r="A16" s="115" t="s">
        <v>13</v>
      </c>
      <c r="B16" s="5">
        <f t="shared" si="0"/>
        <v>15</v>
      </c>
      <c r="C16" s="139">
        <v>11</v>
      </c>
      <c r="D16" s="140">
        <v>2024</v>
      </c>
      <c r="E16" s="119">
        <f>IF(ALMYRA!H16&lt;0,"0",ALMYRA!H16)</f>
        <v>4725</v>
      </c>
      <c r="F16" s="120">
        <f>(ALMYRA!C16*0.24)/E16</f>
        <v>0.17295238095238094</v>
      </c>
      <c r="G16" s="124">
        <f>ALMYRA!Z16</f>
        <v>225</v>
      </c>
      <c r="H16" s="125">
        <v>0.65800000000000003</v>
      </c>
      <c r="I16" s="128">
        <f>IF(ALMYRA!AB16&lt;0,"0",ALMYRA!AB16)</f>
        <v>76</v>
      </c>
      <c r="J16" s="129">
        <v>2.4</v>
      </c>
      <c r="K16" s="132">
        <f>ALMYRA!U16</f>
        <v>185</v>
      </c>
      <c r="L16" s="133">
        <v>0.88</v>
      </c>
      <c r="M16" s="136">
        <f>ALMYRA!AJ16</f>
        <v>137</v>
      </c>
      <c r="N16" s="136">
        <f>ALMYRA!AK16</f>
        <v>248</v>
      </c>
    </row>
    <row r="17" spans="1:14" ht="15" x14ac:dyDescent="0.25">
      <c r="A17" s="115" t="s">
        <v>13</v>
      </c>
      <c r="B17" s="5">
        <f t="shared" si="0"/>
        <v>16</v>
      </c>
      <c r="C17" s="139">
        <v>11</v>
      </c>
      <c r="D17" s="140">
        <v>2024</v>
      </c>
      <c r="E17" s="119">
        <f>IF(ALMYRA!H17&lt;0,"0",ALMYRA!H17)</f>
        <v>4174</v>
      </c>
      <c r="F17" s="120">
        <f>(ALMYRA!C17*0.24)/E17</f>
        <v>0.18077623382846189</v>
      </c>
      <c r="G17" s="124">
        <f>ALMYRA!Z17</f>
        <v>300</v>
      </c>
      <c r="H17" s="125">
        <v>0.65800000000000003</v>
      </c>
      <c r="I17" s="128">
        <f>IF(ALMYRA!AB17&lt;0,"0",ALMYRA!AB17)</f>
        <v>67</v>
      </c>
      <c r="J17" s="129">
        <v>2.4</v>
      </c>
      <c r="K17" s="132">
        <f>ALMYRA!U17</f>
        <v>92</v>
      </c>
      <c r="L17" s="133">
        <v>0.88</v>
      </c>
      <c r="M17" s="136">
        <f>ALMYRA!AJ17</f>
        <v>137</v>
      </c>
      <c r="N17" s="136">
        <f>ALMYRA!AK17</f>
        <v>245</v>
      </c>
    </row>
    <row r="18" spans="1:14" ht="15" x14ac:dyDescent="0.25">
      <c r="A18" s="115" t="s">
        <v>13</v>
      </c>
      <c r="B18" s="5">
        <f t="shared" si="0"/>
        <v>17</v>
      </c>
      <c r="C18" s="139">
        <v>11</v>
      </c>
      <c r="D18" s="140">
        <v>2024</v>
      </c>
      <c r="E18" s="119">
        <f>IF(ALMYRA!H18&lt;0,"0",ALMYRA!H18)</f>
        <v>4061</v>
      </c>
      <c r="F18" s="120">
        <f>(ALMYRA!C18*0.24)/E18</f>
        <v>0.1746367889682344</v>
      </c>
      <c r="G18" s="124">
        <f>ALMYRA!Z18</f>
        <v>375</v>
      </c>
      <c r="H18" s="125">
        <v>0.65800000000000003</v>
      </c>
      <c r="I18" s="128">
        <f>IF(ALMYRA!AB18&lt;0,"0",ALMYRA!AB18)</f>
        <v>47</v>
      </c>
      <c r="J18" s="129">
        <v>2.4</v>
      </c>
      <c r="K18" s="132">
        <f>ALMYRA!U18</f>
        <v>182</v>
      </c>
      <c r="L18" s="133">
        <v>0.88</v>
      </c>
      <c r="M18" s="136">
        <f>ALMYRA!AJ18</f>
        <v>102</v>
      </c>
      <c r="N18" s="136">
        <f>ALMYRA!AK18</f>
        <v>181</v>
      </c>
    </row>
    <row r="19" spans="1:14" ht="15" x14ac:dyDescent="0.25">
      <c r="A19" s="115" t="s">
        <v>13</v>
      </c>
      <c r="B19" s="5">
        <f t="shared" si="0"/>
        <v>18</v>
      </c>
      <c r="C19" s="139">
        <v>11</v>
      </c>
      <c r="D19" s="140">
        <v>2024</v>
      </c>
      <c r="E19" s="119">
        <f>IF(ALMYRA!H19&lt;0,"0",ALMYRA!H19)</f>
        <v>4241</v>
      </c>
      <c r="F19" s="120">
        <f>(ALMYRA!C19*0.24)/E19</f>
        <v>0.18680499882103277</v>
      </c>
      <c r="G19" s="124">
        <f>ALMYRA!Z19</f>
        <v>893.19000000000051</v>
      </c>
      <c r="H19" s="125">
        <v>0.65800000000000003</v>
      </c>
      <c r="I19" s="128">
        <f>IF(ALMYRA!AB19&lt;0,"0",ALMYRA!AB19)</f>
        <v>64</v>
      </c>
      <c r="J19" s="129">
        <v>2.4</v>
      </c>
      <c r="K19" s="132">
        <f>ALMYRA!U19</f>
        <v>180</v>
      </c>
      <c r="L19" s="133">
        <v>0.88</v>
      </c>
      <c r="M19" s="136">
        <f>ALMYRA!AJ19</f>
        <v>103</v>
      </c>
      <c r="N19" s="136">
        <f>ALMYRA!AK19</f>
        <v>186</v>
      </c>
    </row>
    <row r="20" spans="1:14" ht="15" x14ac:dyDescent="0.25">
      <c r="A20" s="115" t="s">
        <v>13</v>
      </c>
      <c r="B20" s="5">
        <f t="shared" si="0"/>
        <v>19</v>
      </c>
      <c r="C20" s="139">
        <v>11</v>
      </c>
      <c r="D20" s="140">
        <v>2024</v>
      </c>
      <c r="E20" s="119">
        <f>IF(ALMYRA!H20&lt;0,"0",ALMYRA!H20)</f>
        <v>4103</v>
      </c>
      <c r="F20" s="120">
        <f>(ALMYRA!C20*0.24)/E20</f>
        <v>0.16933950767730926</v>
      </c>
      <c r="G20" s="124">
        <f>ALMYRA!Z20</f>
        <v>275</v>
      </c>
      <c r="H20" s="125">
        <v>0.65800000000000003</v>
      </c>
      <c r="I20" s="128">
        <f>IF(ALMYRA!AB20&lt;0,"0",ALMYRA!AB20)</f>
        <v>66</v>
      </c>
      <c r="J20" s="129">
        <v>2.4</v>
      </c>
      <c r="K20" s="132">
        <f>ALMYRA!U20</f>
        <v>90</v>
      </c>
      <c r="L20" s="133">
        <v>0.88</v>
      </c>
      <c r="M20" s="136">
        <f>ALMYRA!AJ20</f>
        <v>102</v>
      </c>
      <c r="N20" s="136">
        <f>ALMYRA!AK20</f>
        <v>186</v>
      </c>
    </row>
    <row r="21" spans="1:14" ht="15" x14ac:dyDescent="0.25">
      <c r="A21" s="115" t="s">
        <v>13</v>
      </c>
      <c r="B21" s="5">
        <f t="shared" si="0"/>
        <v>20</v>
      </c>
      <c r="C21" s="139">
        <v>11</v>
      </c>
      <c r="D21" s="140">
        <v>2024</v>
      </c>
      <c r="E21" s="119">
        <f>IF(ALMYRA!H21&lt;0,"0",ALMYRA!H21)</f>
        <v>4243</v>
      </c>
      <c r="F21" s="120">
        <f>(ALMYRA!C21*0.24)/E21</f>
        <v>0.18490690549139757</v>
      </c>
      <c r="G21" s="124">
        <f>ALMYRA!Z21</f>
        <v>375</v>
      </c>
      <c r="H21" s="125">
        <v>0.65800000000000003</v>
      </c>
      <c r="I21" s="128">
        <f>IF(ALMYRA!AB21&lt;0,"0",ALMYRA!AB21)</f>
        <v>62</v>
      </c>
      <c r="J21" s="129">
        <v>2.4</v>
      </c>
      <c r="K21" s="132">
        <f>ALMYRA!U21</f>
        <v>176</v>
      </c>
      <c r="L21" s="133">
        <v>0.88</v>
      </c>
      <c r="M21" s="136">
        <f>ALMYRA!AJ21</f>
        <v>71</v>
      </c>
      <c r="N21" s="136">
        <f>ALMYRA!AK21</f>
        <v>122</v>
      </c>
    </row>
    <row r="22" spans="1:14" ht="15" x14ac:dyDescent="0.25">
      <c r="A22" s="115" t="s">
        <v>13</v>
      </c>
      <c r="B22" s="5">
        <f t="shared" si="0"/>
        <v>21</v>
      </c>
      <c r="C22" s="139">
        <v>11</v>
      </c>
      <c r="D22" s="140">
        <v>2024</v>
      </c>
      <c r="E22" s="119">
        <f>IF(ALMYRA!H22&lt;0,"0",ALMYRA!H22)</f>
        <v>3882</v>
      </c>
      <c r="F22" s="120">
        <f>(ALMYRA!C22*0.24)/E22</f>
        <v>0.17601236476043275</v>
      </c>
      <c r="G22" s="124">
        <f>ALMYRA!Z22</f>
        <v>275</v>
      </c>
      <c r="H22" s="125">
        <v>0.65800000000000003</v>
      </c>
      <c r="I22" s="128">
        <f>IF(ALMYRA!AB22&lt;0,"0",ALMYRA!AB22)</f>
        <v>61</v>
      </c>
      <c r="J22" s="129">
        <v>2.4</v>
      </c>
      <c r="K22" s="132">
        <f>ALMYRA!U22</f>
        <v>88</v>
      </c>
      <c r="L22" s="133">
        <v>0.88</v>
      </c>
      <c r="M22" s="136">
        <f>ALMYRA!AJ22</f>
        <v>74</v>
      </c>
      <c r="N22" s="136">
        <f>ALMYRA!AK22</f>
        <v>122</v>
      </c>
    </row>
    <row r="23" spans="1:14" ht="15" x14ac:dyDescent="0.25">
      <c r="A23" s="115" t="s">
        <v>13</v>
      </c>
      <c r="B23" s="5">
        <f t="shared" si="0"/>
        <v>22</v>
      </c>
      <c r="C23" s="139">
        <v>11</v>
      </c>
      <c r="D23" s="140">
        <v>2024</v>
      </c>
      <c r="E23" s="119">
        <f>IF(ALMYRA!H23&lt;0,"0",ALMYRA!H23)</f>
        <v>4148</v>
      </c>
      <c r="F23" s="120">
        <f>(ALMYRA!C23*0.24)/E23</f>
        <v>0.19880424300867888</v>
      </c>
      <c r="G23" s="124">
        <f>ALMYRA!Z23</f>
        <v>325</v>
      </c>
      <c r="H23" s="125">
        <v>0.65800000000000003</v>
      </c>
      <c r="I23" s="128">
        <f>IF(ALMYRA!AB23&lt;0,"0",ALMYRA!AB23)</f>
        <v>54</v>
      </c>
      <c r="J23" s="129">
        <v>2.4</v>
      </c>
      <c r="K23" s="132">
        <f>ALMYRA!U23</f>
        <v>87</v>
      </c>
      <c r="L23" s="133">
        <v>0.88</v>
      </c>
      <c r="M23" s="136">
        <f>ALMYRA!AJ23</f>
        <v>121</v>
      </c>
      <c r="N23" s="136">
        <f>ALMYRA!AK23</f>
        <v>214</v>
      </c>
    </row>
    <row r="24" spans="1:14" ht="15" x14ac:dyDescent="0.25">
      <c r="A24" s="115" t="s">
        <v>13</v>
      </c>
      <c r="B24" s="5">
        <f t="shared" si="0"/>
        <v>23</v>
      </c>
      <c r="C24" s="139">
        <v>11</v>
      </c>
      <c r="D24" s="140">
        <v>2024</v>
      </c>
      <c r="E24" s="119">
        <f>IF(ALMYRA!H24&lt;0,"0",ALMYRA!H24)</f>
        <v>4244</v>
      </c>
      <c r="F24" s="120">
        <f>(ALMYRA!C24*0.24)/E24</f>
        <v>0.17372290292177189</v>
      </c>
      <c r="G24" s="124">
        <f>ALMYRA!Z24</f>
        <v>300</v>
      </c>
      <c r="H24" s="125">
        <v>0.65800000000000003</v>
      </c>
      <c r="I24" s="128">
        <f>IF(ALMYRA!AB24&lt;0,"0",ALMYRA!AB24)</f>
        <v>66</v>
      </c>
      <c r="J24" s="129">
        <v>2.4</v>
      </c>
      <c r="K24" s="132">
        <f>ALMYRA!U24</f>
        <v>171</v>
      </c>
      <c r="L24" s="133">
        <v>0.88</v>
      </c>
      <c r="M24" s="136">
        <f>ALMYRA!AJ24</f>
        <v>129</v>
      </c>
      <c r="N24" s="136">
        <f>ALMYRA!AK24</f>
        <v>238</v>
      </c>
    </row>
    <row r="25" spans="1:14" ht="15" x14ac:dyDescent="0.25">
      <c r="A25" s="115" t="s">
        <v>13</v>
      </c>
      <c r="B25" s="5">
        <f t="shared" si="0"/>
        <v>24</v>
      </c>
      <c r="C25" s="139">
        <v>11</v>
      </c>
      <c r="D25" s="140">
        <v>2024</v>
      </c>
      <c r="E25" s="119">
        <f>IF(ALMYRA!H25&lt;0,"0",ALMYRA!H25)</f>
        <v>3661</v>
      </c>
      <c r="F25" s="120">
        <f>(ALMYRA!C25*0.24)/E25</f>
        <v>0.166315214422289</v>
      </c>
      <c r="G25" s="124">
        <f>ALMYRA!Z25</f>
        <v>300</v>
      </c>
      <c r="H25" s="125">
        <v>0.65800000000000003</v>
      </c>
      <c r="I25" s="128">
        <f>IF(ALMYRA!AB25&lt;0,"0",ALMYRA!AB25)</f>
        <v>49</v>
      </c>
      <c r="J25" s="129">
        <v>2.4</v>
      </c>
      <c r="K25" s="132">
        <f>ALMYRA!U25</f>
        <v>384</v>
      </c>
      <c r="L25" s="133">
        <v>0.88</v>
      </c>
      <c r="M25" s="136">
        <f>ALMYRA!AJ25</f>
        <v>71</v>
      </c>
      <c r="N25" s="136">
        <f>ALMYRA!AK25</f>
        <v>124</v>
      </c>
    </row>
    <row r="26" spans="1:14" ht="15" x14ac:dyDescent="0.25">
      <c r="A26" s="115" t="s">
        <v>13</v>
      </c>
      <c r="B26" s="5">
        <f>B25+1</f>
        <v>25</v>
      </c>
      <c r="C26" s="139">
        <v>11</v>
      </c>
      <c r="D26" s="140">
        <v>2024</v>
      </c>
      <c r="E26" s="119">
        <f>IF(ALMYRA!H26&lt;0,"0",ALMYRA!H26)</f>
        <v>4035</v>
      </c>
      <c r="F26" s="120">
        <f>(ALMYRA!C26*0.24)/E26</f>
        <v>0.17784386617100373</v>
      </c>
      <c r="G26" s="124">
        <f>ALMYRA!Z26</f>
        <v>662.57999999999993</v>
      </c>
      <c r="H26" s="125">
        <v>0.65800000000000003</v>
      </c>
      <c r="I26" s="128">
        <f>IF(ALMYRA!AB26&lt;0,"0",ALMYRA!AB26)</f>
        <v>43</v>
      </c>
      <c r="J26" s="129">
        <v>2.4</v>
      </c>
      <c r="K26" s="132">
        <f>ALMYRA!U26</f>
        <v>194</v>
      </c>
      <c r="L26" s="133">
        <v>0.88</v>
      </c>
      <c r="M26" s="136">
        <f>ALMYRA!AJ26</f>
        <v>61</v>
      </c>
      <c r="N26" s="136">
        <f>ALMYRA!AK26</f>
        <v>101</v>
      </c>
    </row>
    <row r="27" spans="1:14" ht="15" x14ac:dyDescent="0.25">
      <c r="A27" s="115" t="s">
        <v>13</v>
      </c>
      <c r="B27" s="5">
        <f t="shared" si="0"/>
        <v>26</v>
      </c>
      <c r="C27" s="139">
        <v>11</v>
      </c>
      <c r="D27" s="140">
        <v>2024</v>
      </c>
      <c r="E27" s="119">
        <f>IF(ALMYRA!H27&lt;0,"0",ALMYRA!H27)</f>
        <v>3764</v>
      </c>
      <c r="F27" s="120">
        <f>(ALMYRA!C27*0.24)/E27</f>
        <v>0.16170031880977684</v>
      </c>
      <c r="G27" s="124">
        <f>ALMYRA!Z27</f>
        <v>75</v>
      </c>
      <c r="H27" s="125">
        <v>0.65800000000000003</v>
      </c>
      <c r="I27" s="128">
        <f>IF(ALMYRA!AB27&lt;0,"0",ALMYRA!AB27)</f>
        <v>33</v>
      </c>
      <c r="J27" s="129">
        <v>2.4</v>
      </c>
      <c r="K27" s="132">
        <f>ALMYRA!U27</f>
        <v>337</v>
      </c>
      <c r="L27" s="133">
        <v>0.88</v>
      </c>
      <c r="M27" s="136">
        <f>ALMYRA!AJ27</f>
        <v>51</v>
      </c>
      <c r="N27" s="136">
        <f>ALMYRA!AK27</f>
        <v>84</v>
      </c>
    </row>
    <row r="28" spans="1:14" ht="15" x14ac:dyDescent="0.25">
      <c r="A28" s="115" t="s">
        <v>13</v>
      </c>
      <c r="B28" s="5">
        <f t="shared" si="0"/>
        <v>27</v>
      </c>
      <c r="C28" s="139">
        <v>11</v>
      </c>
      <c r="D28" s="140">
        <v>2024</v>
      </c>
      <c r="E28" s="119">
        <f>IF(ALMYRA!H28&lt;0,"0",ALMYRA!H28)</f>
        <v>3936</v>
      </c>
      <c r="F28" s="120">
        <f>(ALMYRA!C28*0.24)/E28</f>
        <v>0.17451219512195121</v>
      </c>
      <c r="G28" s="124">
        <f>ALMYRA!Z28</f>
        <v>150</v>
      </c>
      <c r="H28" s="125">
        <v>0.65800000000000003</v>
      </c>
      <c r="I28" s="128">
        <f>IF(ALMYRA!AB28&lt;0,"0",ALMYRA!AB28)</f>
        <v>32</v>
      </c>
      <c r="J28" s="129">
        <v>2.4</v>
      </c>
      <c r="K28" s="132">
        <f>ALMYRA!U28</f>
        <v>196</v>
      </c>
      <c r="L28" s="133">
        <v>0.88</v>
      </c>
      <c r="M28" s="136">
        <f>ALMYRA!AJ28</f>
        <v>51</v>
      </c>
      <c r="N28" s="136">
        <f>ALMYRA!AK28</f>
        <v>79</v>
      </c>
    </row>
    <row r="29" spans="1:14" ht="15" x14ac:dyDescent="0.25">
      <c r="A29" s="115" t="s">
        <v>13</v>
      </c>
      <c r="B29" s="5">
        <f t="shared" si="0"/>
        <v>28</v>
      </c>
      <c r="C29" s="139">
        <v>11</v>
      </c>
      <c r="D29" s="140">
        <v>2024</v>
      </c>
      <c r="E29" s="119">
        <f>IF(ALMYRA!H29&lt;0,"0",ALMYRA!H29)</f>
        <v>3615</v>
      </c>
      <c r="F29" s="120">
        <f>(ALMYRA!C29*0.24)/E29</f>
        <v>0.16497925311203318</v>
      </c>
      <c r="G29" s="124">
        <f>ALMYRA!Z29</f>
        <v>75</v>
      </c>
      <c r="H29" s="125">
        <v>0.65800000000000003</v>
      </c>
      <c r="I29" s="128">
        <f>IF(ALMYRA!AB29&lt;0,"0",ALMYRA!AB29)</f>
        <v>32</v>
      </c>
      <c r="J29" s="129">
        <v>2.4</v>
      </c>
      <c r="K29" s="132">
        <f>ALMYRA!U29</f>
        <v>295</v>
      </c>
      <c r="L29" s="133">
        <v>0.88</v>
      </c>
      <c r="M29" s="136">
        <f>ALMYRA!AJ29</f>
        <v>50</v>
      </c>
      <c r="N29" s="136">
        <f>ALMYRA!AK29</f>
        <v>78</v>
      </c>
    </row>
    <row r="30" spans="1:14" ht="15" x14ac:dyDescent="0.25">
      <c r="A30" s="115" t="s">
        <v>13</v>
      </c>
      <c r="B30" s="5">
        <f t="shared" si="0"/>
        <v>29</v>
      </c>
      <c r="C30" s="139">
        <v>11</v>
      </c>
      <c r="D30" s="140">
        <v>2024</v>
      </c>
      <c r="E30" s="119">
        <f>IF(ALMYRA!H30&lt;0,"0",ALMYRA!H30)</f>
        <v>3791</v>
      </c>
      <c r="F30" s="120">
        <f>(ALMYRA!C30*0.24)/E30</f>
        <v>0.16896860986547083</v>
      </c>
      <c r="G30" s="124">
        <f>ALMYRA!Z30</f>
        <v>125</v>
      </c>
      <c r="H30" s="125">
        <v>0.65800000000000003</v>
      </c>
      <c r="I30" s="128">
        <f>IF(ALMYRA!AB30&lt;0,"0",ALMYRA!AB30)</f>
        <v>50</v>
      </c>
      <c r="J30" s="129">
        <v>2.4</v>
      </c>
      <c r="K30" s="132">
        <f>ALMYRA!U30</f>
        <v>278</v>
      </c>
      <c r="L30" s="133">
        <v>0.88</v>
      </c>
      <c r="M30" s="136">
        <f>ALMYRA!AJ30</f>
        <v>61</v>
      </c>
      <c r="N30" s="136">
        <f>ALMYRA!AK30</f>
        <v>97</v>
      </c>
    </row>
    <row r="31" spans="1:14" ht="15" x14ac:dyDescent="0.25">
      <c r="A31" s="115" t="s">
        <v>13</v>
      </c>
      <c r="B31" s="5">
        <f t="shared" si="0"/>
        <v>30</v>
      </c>
      <c r="C31" s="139">
        <v>11</v>
      </c>
      <c r="D31" s="140">
        <v>2024</v>
      </c>
      <c r="E31" s="119">
        <f>IF(ALMYRA!H31&lt;0,"0",ALMYRA!H31)</f>
        <v>3719</v>
      </c>
      <c r="F31" s="120">
        <f>(ALMYRA!C31*0.24)/E31</f>
        <v>0.17056197902662004</v>
      </c>
      <c r="G31" s="124">
        <f>ALMYRA!Z31</f>
        <v>50</v>
      </c>
      <c r="H31" s="125">
        <v>0.65800000000000003</v>
      </c>
      <c r="I31" s="128">
        <f>IF(ALMYRA!AB31&lt;0,"0",ALMYRA!AB31)</f>
        <v>31</v>
      </c>
      <c r="J31" s="129">
        <v>2.4</v>
      </c>
      <c r="K31" s="132">
        <f>ALMYRA!U31</f>
        <v>319</v>
      </c>
      <c r="L31" s="133">
        <v>0.88</v>
      </c>
      <c r="M31" s="136">
        <f>ALMYRA!AJ31</f>
        <v>71</v>
      </c>
      <c r="N31" s="136">
        <f>ALMYRA!AK31</f>
        <v>125</v>
      </c>
    </row>
    <row r="32" spans="1:14" x14ac:dyDescent="0.2">
      <c r="D32" s="141"/>
      <c r="E32" s="4"/>
      <c r="F32" s="141"/>
      <c r="G32" s="4"/>
      <c r="H32" s="142"/>
      <c r="I32" s="141"/>
      <c r="J32" s="141"/>
      <c r="K32"/>
      <c r="L32"/>
      <c r="M32" s="141"/>
      <c r="N32" s="141"/>
    </row>
    <row r="33" spans="4:14" x14ac:dyDescent="0.2">
      <c r="D33" s="141"/>
      <c r="E33" s="4"/>
      <c r="F33" s="141"/>
      <c r="G33" s="4"/>
      <c r="H33" s="142"/>
      <c r="I33" s="141"/>
      <c r="J33" s="141"/>
      <c r="K33"/>
      <c r="L33"/>
      <c r="M33" s="141"/>
      <c r="N33" s="141"/>
    </row>
    <row r="34" spans="4:14" x14ac:dyDescent="0.2">
      <c r="D34" s="141"/>
      <c r="E34" s="4"/>
      <c r="F34" s="141"/>
      <c r="G34" s="4"/>
      <c r="H34" s="142"/>
      <c r="I34" s="141"/>
      <c r="J34" s="141"/>
      <c r="K34"/>
      <c r="L34"/>
      <c r="M34" s="141"/>
      <c r="N34" s="141"/>
    </row>
    <row r="35" spans="4:14" x14ac:dyDescent="0.2">
      <c r="D35" s="141"/>
      <c r="E35" s="4"/>
      <c r="F35" s="141"/>
      <c r="G35" s="4"/>
      <c r="H35" s="142"/>
      <c r="I35" s="141"/>
      <c r="J35" s="141"/>
      <c r="K35"/>
      <c r="L35"/>
      <c r="M35" s="141"/>
      <c r="N35" s="141"/>
    </row>
    <row r="36" spans="4:14" x14ac:dyDescent="0.2">
      <c r="D36" s="141"/>
      <c r="E36" s="4"/>
      <c r="F36" s="141"/>
      <c r="G36" s="4"/>
      <c r="H36" s="142"/>
      <c r="I36" s="141"/>
      <c r="J36" s="141"/>
      <c r="K36"/>
      <c r="L36"/>
      <c r="M36" s="141"/>
      <c r="N36" s="141"/>
    </row>
    <row r="37" spans="4:14" x14ac:dyDescent="0.2">
      <c r="D37" s="141"/>
      <c r="E37" s="4"/>
      <c r="F37" s="141"/>
      <c r="G37" s="4"/>
      <c r="H37" s="142"/>
      <c r="I37" s="141"/>
      <c r="J37" s="141"/>
      <c r="K37"/>
      <c r="L37"/>
      <c r="M37" s="141"/>
      <c r="N37" s="141"/>
    </row>
    <row r="38" spans="4:14" x14ac:dyDescent="0.2">
      <c r="D38" s="141"/>
      <c r="E38" s="4"/>
      <c r="F38" s="141"/>
      <c r="G38" s="4"/>
      <c r="H38" s="142"/>
      <c r="I38" s="141"/>
      <c r="J38" s="141"/>
      <c r="K38"/>
      <c r="L38"/>
      <c r="M38" s="141"/>
      <c r="N38" s="141"/>
    </row>
    <row r="39" spans="4:14" x14ac:dyDescent="0.2">
      <c r="E39" s="4"/>
      <c r="F39" s="141"/>
      <c r="G39" s="4"/>
      <c r="H39" s="142"/>
      <c r="I39" s="5"/>
      <c r="J39" s="5"/>
      <c r="K39"/>
      <c r="L39"/>
      <c r="M39" s="5"/>
      <c r="N39" s="5"/>
    </row>
    <row r="40" spans="4:14" x14ac:dyDescent="0.2">
      <c r="E40" s="4"/>
      <c r="F40" s="141"/>
      <c r="G40" s="4"/>
      <c r="H40" s="142"/>
      <c r="I40" s="5"/>
      <c r="J40" s="5"/>
      <c r="K40"/>
      <c r="L40"/>
      <c r="M40" s="5"/>
      <c r="N40" s="5"/>
    </row>
    <row r="41" spans="4:14" x14ac:dyDescent="0.2">
      <c r="E41" s="4"/>
      <c r="F41" s="141"/>
      <c r="G41" s="4"/>
      <c r="H41" s="142"/>
      <c r="I41" s="5"/>
      <c r="J41" s="5"/>
      <c r="K41"/>
      <c r="L41"/>
      <c r="M41" s="5"/>
      <c r="N41" s="5"/>
    </row>
    <row r="42" spans="4:14" x14ac:dyDescent="0.2">
      <c r="E42" s="4"/>
      <c r="F42" s="141"/>
      <c r="G42" s="4"/>
      <c r="H42" s="14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14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4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4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4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4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4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4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4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4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4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4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4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4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4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4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4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4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4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4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4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4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4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4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4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4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4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4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4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4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4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4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4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4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4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4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4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4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4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4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4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4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4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4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4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4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4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4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4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4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4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4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4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4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4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4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4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4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4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4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4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4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4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4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4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4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4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4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4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4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4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4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4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4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4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4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4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4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4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4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4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4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4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4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4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4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4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4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4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4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4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4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4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4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4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4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4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4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4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4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4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4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4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4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4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4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4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4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4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4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4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4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4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4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4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4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4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4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4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4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4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4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4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4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4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4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4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4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4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4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4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4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4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4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4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4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4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4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4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4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4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4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4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4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4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4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4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4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4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4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4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4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4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4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4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4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4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4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4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4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4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4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4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4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4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4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4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4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4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4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4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4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4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4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4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4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4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4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4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4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4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4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4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4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4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4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4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4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4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4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4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4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4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4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4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4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4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4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4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4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4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4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4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4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4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4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4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4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4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4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4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4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4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4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4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4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4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4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4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4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4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4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4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4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4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4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4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4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4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4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4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4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4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4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4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4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4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4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4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4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4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4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4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4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4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4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4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4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4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4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4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4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4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4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4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4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4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4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4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4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4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4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4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4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4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4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4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4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4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4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4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4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4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4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4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4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4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4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4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4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4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4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4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4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4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4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4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4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4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4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4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4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4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4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4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4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4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4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4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4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4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4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4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4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4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4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4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4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4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4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4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4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4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4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4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4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4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4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4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4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4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4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4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4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4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4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4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4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4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4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4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4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4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4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4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4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4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4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4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4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4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4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4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4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4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4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4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4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4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4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4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4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4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4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4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4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4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4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4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4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4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4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4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4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4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4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4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4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4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4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4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4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4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4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4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4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4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4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4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4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4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4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4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4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4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4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4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4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4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4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4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4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4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4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4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4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4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4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4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4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4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4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4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4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4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4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4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4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4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4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4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4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4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4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4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4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4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4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4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4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4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4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4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4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4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4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4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4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4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4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4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4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4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4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4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4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4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4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4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4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4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4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4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4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4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4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4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4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4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4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4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4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4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4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4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4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4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4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4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4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4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4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4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4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4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4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4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4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4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4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4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4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4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4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4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4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4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4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4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4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4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4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4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4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4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4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4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4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4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4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4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4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4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4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4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4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4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4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4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4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4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4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4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4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4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4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4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4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4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4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4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4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4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4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4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4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4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4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4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4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4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4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4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4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4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4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4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4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4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4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4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4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4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4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4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4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4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4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4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4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4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4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4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4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4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4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4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4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4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4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4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4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4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4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4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4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4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4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4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4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4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4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4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4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4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4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4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4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4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4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4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4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4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4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4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4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4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4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4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4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4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4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4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4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4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4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4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4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4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4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4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4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4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4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4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4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4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4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4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4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4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4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4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4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4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4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4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4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4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4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4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4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4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4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4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4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4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4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4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4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4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4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4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4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4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4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4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4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4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4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4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4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4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4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4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4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4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4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4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4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4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4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4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4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4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4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4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4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4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4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4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4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4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4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4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4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4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4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4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4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4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4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4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4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4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4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4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4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4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4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4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4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4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4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4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4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4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4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4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4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4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4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4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4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4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4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4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4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4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4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4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4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4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4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4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4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4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4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4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4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4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4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4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4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4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4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4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4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4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4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4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4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4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4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4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4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4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4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4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4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4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4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4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4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4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4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4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4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4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4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4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4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4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4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4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4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4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4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4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4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4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4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4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4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4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4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4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4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4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4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4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4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4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4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4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4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4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4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4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4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4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4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4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4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4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4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4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4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4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4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4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4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4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4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4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4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4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4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4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4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4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4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4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4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4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4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4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4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4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4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4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4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4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4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4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4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4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4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4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4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4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4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4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4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4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4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4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4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4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4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4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4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4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4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4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4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4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4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4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4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4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4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4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4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4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4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4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4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4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4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4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4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4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4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4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4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4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4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4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4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4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4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4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4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4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4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4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4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4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4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4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4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4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4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4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4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4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4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4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4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4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4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4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4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4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4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4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4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4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4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4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4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4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4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4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4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4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4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4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4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4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4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4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4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4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4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4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4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4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4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4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4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4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4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4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4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4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4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4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4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4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4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4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4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4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4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4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4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4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4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4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4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4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4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4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4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4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4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4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4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4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4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4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4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4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4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4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4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4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4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4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4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4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4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4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4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4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4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4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4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4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4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4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4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4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4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4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4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4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4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4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4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4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4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4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4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4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4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4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4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4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4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4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4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4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4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4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4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4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4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4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4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4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4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4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4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4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4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4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4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4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4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4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4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4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4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4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4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4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4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4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4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4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4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4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4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4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4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4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4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4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4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4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4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4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4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4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4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4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4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4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4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4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4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4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4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4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4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4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4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4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4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4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4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4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4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4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4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4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4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4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4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4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4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4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4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4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4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4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4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4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4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4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4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4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4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4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4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4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4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4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4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4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4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4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4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4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4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4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4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4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4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4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4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4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4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4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4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4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4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4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4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4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4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4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4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4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4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4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4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4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4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4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4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4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4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4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4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4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4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4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4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4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4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4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4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4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4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4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4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4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4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4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4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4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4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4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4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4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4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4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4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4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4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4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4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4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4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4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4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4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4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4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4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4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4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4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4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4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4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4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4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4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4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4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4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4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4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4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4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4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4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4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4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4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4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4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4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4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4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4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4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4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4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4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4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4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4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4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4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4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4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4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4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4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4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4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4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4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4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4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4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4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4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4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4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4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4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4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4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4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4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4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4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4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4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4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4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4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4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4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4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4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4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4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4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4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4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4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4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4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4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4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4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4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4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4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4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4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4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4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4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4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4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4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4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4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4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4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4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4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4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4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4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4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4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4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4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4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4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4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4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4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4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4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4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4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4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4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4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4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4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4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4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4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4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4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4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4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4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4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4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4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4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4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4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4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4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4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4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4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4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4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4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4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4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4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4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4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4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4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4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4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4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4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4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4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4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4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4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4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4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4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4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4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4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4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4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4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4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4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4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4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4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4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4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4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4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4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4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4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4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4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4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4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4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4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4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4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4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4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4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4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4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4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4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4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4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4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4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4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4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4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4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4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4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4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4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4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4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4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4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4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4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4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4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4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4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4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4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4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4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4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4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4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4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4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4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4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4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4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4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4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4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4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4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4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4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4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4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4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4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4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4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4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4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4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4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4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4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4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4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4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4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4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4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4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4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4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4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4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4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4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4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4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4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4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4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4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4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4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4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4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4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4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4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4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4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4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4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4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4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4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4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4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4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4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4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4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4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4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4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4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4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4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4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4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4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4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4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4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4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4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4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4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4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4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4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4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4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4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4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4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4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4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4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4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4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4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4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4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4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4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4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4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4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4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4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4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4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4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4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4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4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4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4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4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4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4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4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4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4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4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4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4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4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4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4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4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4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4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4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4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4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4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4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4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4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4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4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4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4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4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4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4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4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4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4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4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4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4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4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4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4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4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4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4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4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4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4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4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4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4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4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4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4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4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4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4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4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4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4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4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4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4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4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4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4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4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4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4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4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4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4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4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4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4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4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4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4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4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4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4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4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4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4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4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4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4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4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4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4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4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4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4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4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4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4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4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4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4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4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4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4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4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4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4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4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4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4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4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4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4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4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4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4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4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4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4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4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4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4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4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4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4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4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4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4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4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4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4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4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4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4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4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4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4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4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4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4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4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4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4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4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4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4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4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4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4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4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4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4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4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4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4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4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4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4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4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4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4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4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4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4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4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4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4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4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4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4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4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4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4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4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4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4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4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4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4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4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4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4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4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4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4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4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4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4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4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4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4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4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4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4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4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4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4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4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4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4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4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4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4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4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4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4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4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4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4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4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4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4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4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4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4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4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4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4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4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4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4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4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4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4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4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4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4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42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42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42"/>
      <c r="I1726" s="5"/>
      <c r="J1726" s="5"/>
      <c r="K1726"/>
      <c r="L1726"/>
      <c r="M1726" s="5"/>
      <c r="N17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A34" sqref="A34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14</v>
      </c>
      <c r="B1" s="32" t="s">
        <v>15</v>
      </c>
      <c r="C1" s="28" t="s">
        <v>16</v>
      </c>
      <c r="D1" s="27" t="s">
        <v>17</v>
      </c>
      <c r="E1" s="21" t="s">
        <v>18</v>
      </c>
      <c r="F1" s="27" t="s">
        <v>19</v>
      </c>
      <c r="G1" s="95" t="s">
        <v>20</v>
      </c>
      <c r="H1" s="99" t="s">
        <v>21</v>
      </c>
      <c r="I1" s="104" t="s">
        <v>22</v>
      </c>
      <c r="J1" s="109" t="s">
        <v>23</v>
      </c>
      <c r="K1" s="38" t="s">
        <v>24</v>
      </c>
      <c r="L1" s="110" t="s">
        <v>25</v>
      </c>
      <c r="M1" s="38" t="s">
        <v>24</v>
      </c>
      <c r="N1" s="110" t="s">
        <v>26</v>
      </c>
      <c r="O1" s="38" t="s">
        <v>24</v>
      </c>
      <c r="P1" s="109" t="s">
        <v>27</v>
      </c>
      <c r="Q1" s="64" t="s">
        <v>24</v>
      </c>
      <c r="R1" s="31" t="s">
        <v>14</v>
      </c>
      <c r="S1" s="37" t="s">
        <v>28</v>
      </c>
      <c r="T1" s="108" t="s">
        <v>29</v>
      </c>
      <c r="U1" s="38" t="s">
        <v>24</v>
      </c>
      <c r="V1" s="33" t="s">
        <v>30</v>
      </c>
      <c r="W1" s="45" t="s">
        <v>31</v>
      </c>
      <c r="X1" s="47" t="s">
        <v>32</v>
      </c>
      <c r="Y1" s="46" t="s">
        <v>33</v>
      </c>
      <c r="Z1" s="38" t="s">
        <v>24</v>
      </c>
      <c r="AA1" s="55" t="s">
        <v>34</v>
      </c>
      <c r="AB1" s="38" t="s">
        <v>24</v>
      </c>
      <c r="AC1" s="55" t="s">
        <v>35</v>
      </c>
      <c r="AD1" s="38" t="s">
        <v>24</v>
      </c>
      <c r="AE1" s="58" t="s">
        <v>36</v>
      </c>
      <c r="AF1" s="38" t="s">
        <v>24</v>
      </c>
      <c r="AG1" s="61" t="s">
        <v>37</v>
      </c>
      <c r="AH1" s="72" t="s">
        <v>38</v>
      </c>
      <c r="AI1" s="38" t="s">
        <v>24</v>
      </c>
      <c r="AJ1" s="29" t="s">
        <v>11</v>
      </c>
      <c r="AK1" s="30" t="s">
        <v>39</v>
      </c>
    </row>
    <row r="2" spans="1:37" x14ac:dyDescent="0.2">
      <c r="A2" s="25">
        <v>45597</v>
      </c>
      <c r="B2" s="8">
        <v>32267644</v>
      </c>
      <c r="C2" s="16">
        <f>B3-B2</f>
        <v>4412</v>
      </c>
      <c r="D2" s="9">
        <v>988243</v>
      </c>
      <c r="E2" s="16">
        <f>D3-D2</f>
        <v>1346</v>
      </c>
      <c r="F2" s="34">
        <v>110609</v>
      </c>
      <c r="G2" s="96">
        <f>F3-F2</f>
        <v>0</v>
      </c>
      <c r="H2" s="100">
        <f>C2+E2-G2</f>
        <v>5758</v>
      </c>
      <c r="I2" s="105">
        <f>H2-K2-M2-O2-Q2</f>
        <v>4910.0100000001694</v>
      </c>
      <c r="J2" s="93">
        <v>4704264.4000000004</v>
      </c>
      <c r="K2" s="41">
        <f>J3-J2</f>
        <v>664.79999999981374</v>
      </c>
      <c r="L2" s="14">
        <v>467167</v>
      </c>
      <c r="M2" s="41">
        <f>L3-L2</f>
        <v>14.700000000011642</v>
      </c>
      <c r="N2" s="14">
        <v>126005.5</v>
      </c>
      <c r="O2" s="41">
        <f>N3-N2</f>
        <v>67.889999999999418</v>
      </c>
      <c r="P2" s="93">
        <v>179396</v>
      </c>
      <c r="Q2" s="65">
        <f>P3-P2</f>
        <v>100.60000000000582</v>
      </c>
      <c r="R2" s="24">
        <f>A2</f>
        <v>45597</v>
      </c>
      <c r="S2" s="39">
        <v>6020</v>
      </c>
      <c r="T2" s="40">
        <v>0</v>
      </c>
      <c r="U2" s="41">
        <f>S2+T2-S3</f>
        <v>151</v>
      </c>
      <c r="V2" s="19">
        <v>0.6</v>
      </c>
      <c r="W2" s="48">
        <v>0.65</v>
      </c>
      <c r="X2" s="50">
        <f t="shared" ref="X2:X33" si="0">(V2*2500)+(W2*2500)</f>
        <v>3125</v>
      </c>
      <c r="Y2" s="49"/>
      <c r="Z2" s="41">
        <f>X2+Y2-X3</f>
        <v>200</v>
      </c>
      <c r="AA2" s="56">
        <v>107796</v>
      </c>
      <c r="AB2" s="41">
        <f>AA3-AA2</f>
        <v>79</v>
      </c>
      <c r="AC2" s="56">
        <v>833.5</v>
      </c>
      <c r="AD2" s="41">
        <f>AC3-AC2</f>
        <v>7.5</v>
      </c>
      <c r="AE2" s="59">
        <v>72300</v>
      </c>
      <c r="AF2" s="41">
        <f>AE3-AE2</f>
        <v>38</v>
      </c>
      <c r="AG2" s="62">
        <v>3100</v>
      </c>
      <c r="AH2" s="73">
        <v>0</v>
      </c>
      <c r="AI2" s="41">
        <f>AG3+AH2-AG2</f>
        <v>0</v>
      </c>
      <c r="AJ2" s="12">
        <v>132</v>
      </c>
      <c r="AK2" s="22">
        <v>255</v>
      </c>
    </row>
    <row r="3" spans="1:37" x14ac:dyDescent="0.2">
      <c r="A3" s="25">
        <v>45598</v>
      </c>
      <c r="B3" s="10">
        <v>32272056</v>
      </c>
      <c r="C3" s="67">
        <f>B4-B3</f>
        <v>4664</v>
      </c>
      <c r="D3" s="11">
        <v>989589</v>
      </c>
      <c r="E3" s="17">
        <f>D4-D3</f>
        <v>641</v>
      </c>
      <c r="F3" s="35">
        <v>110609</v>
      </c>
      <c r="G3" s="97">
        <f>F4-F3</f>
        <v>2</v>
      </c>
      <c r="H3" s="101">
        <f t="shared" ref="H3:H32" si="1">C3+E3-G3</f>
        <v>5303</v>
      </c>
      <c r="I3" s="106">
        <f t="shared" ref="I3:I32" si="2">H3-K3-M3-O3-Q3</f>
        <v>4191.8099999999831</v>
      </c>
      <c r="J3" s="94">
        <v>4704929.2</v>
      </c>
      <c r="K3" s="44">
        <f>J4-J3</f>
        <v>928</v>
      </c>
      <c r="L3" s="15">
        <v>467181.7</v>
      </c>
      <c r="M3" s="44">
        <f>L4-L3</f>
        <v>14.700000000011642</v>
      </c>
      <c r="N3" s="15">
        <v>126073.39</v>
      </c>
      <c r="O3" s="44">
        <f>N4-N3</f>
        <v>67.889999999999418</v>
      </c>
      <c r="P3" s="94">
        <v>179496.6</v>
      </c>
      <c r="Q3" s="66">
        <f>P4-P3</f>
        <v>100.60000000000582</v>
      </c>
      <c r="R3" s="25">
        <f>A3</f>
        <v>45598</v>
      </c>
      <c r="S3" s="42">
        <v>5869</v>
      </c>
      <c r="T3" s="43">
        <v>0</v>
      </c>
      <c r="U3" s="44">
        <f>S3+T3-S4</f>
        <v>199</v>
      </c>
      <c r="V3" s="20">
        <v>0.59</v>
      </c>
      <c r="W3" s="51">
        <v>0.57999999999999996</v>
      </c>
      <c r="X3" s="52">
        <f t="shared" si="0"/>
        <v>2925</v>
      </c>
      <c r="Y3" s="49"/>
      <c r="Z3" s="53">
        <f t="shared" ref="Z3:Z31" si="3">X3+Y3-X4</f>
        <v>50</v>
      </c>
      <c r="AA3" s="57">
        <v>107875</v>
      </c>
      <c r="AB3" s="44">
        <f>AA4-AA3</f>
        <v>79</v>
      </c>
      <c r="AC3" s="57">
        <v>841</v>
      </c>
      <c r="AD3" s="44">
        <f>AC4-AC3</f>
        <v>4.7999999999999545</v>
      </c>
      <c r="AE3" s="60">
        <v>72338</v>
      </c>
      <c r="AF3" s="44">
        <f>AE4-AE3</f>
        <v>0</v>
      </c>
      <c r="AG3" s="63">
        <v>3100</v>
      </c>
      <c r="AH3" s="74">
        <v>0</v>
      </c>
      <c r="AI3" s="53">
        <f t="shared" ref="AI3:AI32" si="4">AG4+AH3-AG3</f>
        <v>0</v>
      </c>
      <c r="AJ3" s="13">
        <v>163</v>
      </c>
      <c r="AK3" s="23">
        <v>316</v>
      </c>
    </row>
    <row r="4" spans="1:37" x14ac:dyDescent="0.2">
      <c r="A4" s="25">
        <v>45599</v>
      </c>
      <c r="B4" s="10">
        <v>32276720</v>
      </c>
      <c r="C4" s="67">
        <f>B5-B4</f>
        <v>4696</v>
      </c>
      <c r="D4" s="11">
        <v>990230</v>
      </c>
      <c r="E4" s="17">
        <f>D5-D4</f>
        <v>553</v>
      </c>
      <c r="F4" s="35">
        <v>110611</v>
      </c>
      <c r="G4" s="97">
        <f>F5-F4</f>
        <v>0</v>
      </c>
      <c r="H4" s="101">
        <f t="shared" si="1"/>
        <v>5249</v>
      </c>
      <c r="I4" s="106">
        <f t="shared" si="2"/>
        <v>4326.6099999998842</v>
      </c>
      <c r="J4" s="94">
        <v>4705857.2</v>
      </c>
      <c r="K4" s="44">
        <f>J5-J4</f>
        <v>739.20000000018626</v>
      </c>
      <c r="L4" s="15">
        <v>467196.4</v>
      </c>
      <c r="M4" s="44">
        <f>L5-L4</f>
        <v>14.699999999953434</v>
      </c>
      <c r="N4" s="15">
        <v>126141.28</v>
      </c>
      <c r="O4" s="44">
        <f>N5-N4</f>
        <v>67.889999999999418</v>
      </c>
      <c r="P4" s="94">
        <v>179597.2</v>
      </c>
      <c r="Q4" s="66">
        <f>P5-P4</f>
        <v>100.59999999997672</v>
      </c>
      <c r="R4" s="25">
        <f t="shared" ref="R4:R32" si="5">A4</f>
        <v>45599</v>
      </c>
      <c r="S4" s="42">
        <v>5670</v>
      </c>
      <c r="T4" s="43">
        <v>0</v>
      </c>
      <c r="U4" s="44">
        <f>S4+T4-S5</f>
        <v>170</v>
      </c>
      <c r="V4" s="20">
        <v>0.57999999999999996</v>
      </c>
      <c r="W4" s="51">
        <v>0.56999999999999995</v>
      </c>
      <c r="X4" s="52">
        <f t="shared" si="0"/>
        <v>2875</v>
      </c>
      <c r="Y4" s="49"/>
      <c r="Z4" s="53">
        <f t="shared" si="3"/>
        <v>500</v>
      </c>
      <c r="AA4" s="57">
        <v>107954</v>
      </c>
      <c r="AB4" s="44">
        <f>AA5-AA4</f>
        <v>74</v>
      </c>
      <c r="AC4" s="57">
        <v>845.8</v>
      </c>
      <c r="AD4" s="44">
        <f>AC5-AC4</f>
        <v>4.6000000000000227</v>
      </c>
      <c r="AE4" s="60">
        <v>72338</v>
      </c>
      <c r="AF4" s="44">
        <f>AE5-AE4</f>
        <v>0</v>
      </c>
      <c r="AG4" s="63">
        <v>3100</v>
      </c>
      <c r="AH4" s="74">
        <v>0</v>
      </c>
      <c r="AI4" s="53">
        <f t="shared" si="4"/>
        <v>0</v>
      </c>
      <c r="AJ4" s="13">
        <v>101</v>
      </c>
      <c r="AK4" s="23">
        <v>185</v>
      </c>
    </row>
    <row r="5" spans="1:37" x14ac:dyDescent="0.2">
      <c r="A5" s="25">
        <v>45600</v>
      </c>
      <c r="B5" s="10">
        <v>32281416</v>
      </c>
      <c r="C5" s="67">
        <f t="shared" ref="C5:C31" si="6">B6-B5</f>
        <v>3937</v>
      </c>
      <c r="D5" s="11">
        <v>990783</v>
      </c>
      <c r="E5" s="17">
        <f t="shared" ref="E5:E31" si="7">D6-D5</f>
        <v>1404</v>
      </c>
      <c r="F5" s="35">
        <v>110611</v>
      </c>
      <c r="G5" s="97">
        <f t="shared" ref="G5:G31" si="8">F6-F5</f>
        <v>14</v>
      </c>
      <c r="H5" s="101">
        <f t="shared" si="1"/>
        <v>5327</v>
      </c>
      <c r="I5" s="106">
        <f t="shared" si="2"/>
        <v>4239.8099999999831</v>
      </c>
      <c r="J5" s="94">
        <v>4706596.4000000004</v>
      </c>
      <c r="K5" s="44">
        <f t="shared" ref="K5:K31" si="9">J6-J5</f>
        <v>904</v>
      </c>
      <c r="L5" s="15">
        <v>467211.1</v>
      </c>
      <c r="M5" s="44">
        <f t="shared" ref="M5:M31" si="10">L6-L5</f>
        <v>14.700000000011642</v>
      </c>
      <c r="N5" s="15">
        <v>126209.17</v>
      </c>
      <c r="O5" s="44">
        <f t="shared" ref="O5:O31" si="11">N6-N5</f>
        <v>67.889999999999418</v>
      </c>
      <c r="P5" s="94">
        <v>179697.8</v>
      </c>
      <c r="Q5" s="66">
        <f t="shared" ref="Q5:Q31" si="12">P6-P5</f>
        <v>100.60000000000582</v>
      </c>
      <c r="R5" s="25">
        <f t="shared" si="5"/>
        <v>45600</v>
      </c>
      <c r="S5" s="42">
        <v>5500</v>
      </c>
      <c r="T5" s="43">
        <v>0</v>
      </c>
      <c r="U5" s="44">
        <f t="shared" ref="U5:U31" si="13">S5+T5-S6</f>
        <v>127</v>
      </c>
      <c r="V5" s="20">
        <v>0.5</v>
      </c>
      <c r="W5" s="51">
        <v>0.45</v>
      </c>
      <c r="X5" s="52">
        <f t="shared" si="0"/>
        <v>2375</v>
      </c>
      <c r="Y5" s="49">
        <v>2062.2199999999998</v>
      </c>
      <c r="Z5" s="53">
        <f t="shared" si="3"/>
        <v>562.21999999999935</v>
      </c>
      <c r="AA5" s="57">
        <v>108028</v>
      </c>
      <c r="AB5" s="44">
        <f t="shared" ref="AB5:AB31" si="14">AA6-AA5</f>
        <v>67</v>
      </c>
      <c r="AC5" s="57">
        <v>850.4</v>
      </c>
      <c r="AD5" s="44">
        <f t="shared" ref="AD5:AD31" si="15">AC6-AC5</f>
        <v>14.600000000000023</v>
      </c>
      <c r="AE5" s="60">
        <v>72338</v>
      </c>
      <c r="AF5" s="44">
        <f t="shared" ref="AF5:AF31" si="16">AE6-AE5</f>
        <v>0</v>
      </c>
      <c r="AG5" s="63">
        <v>3100</v>
      </c>
      <c r="AH5" s="74">
        <v>0</v>
      </c>
      <c r="AI5" s="53">
        <f t="shared" si="4"/>
        <v>0</v>
      </c>
      <c r="AJ5" s="13">
        <v>122</v>
      </c>
      <c r="AK5" s="23">
        <v>212</v>
      </c>
    </row>
    <row r="6" spans="1:37" x14ac:dyDescent="0.2">
      <c r="A6" s="25">
        <v>45601</v>
      </c>
      <c r="B6" s="10">
        <v>32285353</v>
      </c>
      <c r="C6" s="67">
        <f t="shared" si="6"/>
        <v>3755</v>
      </c>
      <c r="D6" s="11">
        <v>992187</v>
      </c>
      <c r="E6" s="17">
        <f t="shared" si="7"/>
        <v>1440</v>
      </c>
      <c r="F6" s="35">
        <v>110625</v>
      </c>
      <c r="G6" s="97">
        <f t="shared" si="8"/>
        <v>18</v>
      </c>
      <c r="H6" s="101">
        <f t="shared" si="1"/>
        <v>5177</v>
      </c>
      <c r="I6" s="106">
        <f t="shared" si="2"/>
        <v>4217.0100000001694</v>
      </c>
      <c r="J6" s="94">
        <v>4707500.4000000004</v>
      </c>
      <c r="K6" s="44">
        <f t="shared" si="9"/>
        <v>776.79999999981374</v>
      </c>
      <c r="L6" s="15">
        <v>467225.8</v>
      </c>
      <c r="M6" s="44">
        <f t="shared" si="10"/>
        <v>14.700000000011642</v>
      </c>
      <c r="N6" s="15">
        <v>126277.06</v>
      </c>
      <c r="O6" s="44">
        <f t="shared" si="11"/>
        <v>67.889999999999418</v>
      </c>
      <c r="P6" s="94">
        <v>179798.39999999999</v>
      </c>
      <c r="Q6" s="66">
        <f t="shared" si="12"/>
        <v>100.60000000000582</v>
      </c>
      <c r="R6" s="25">
        <f t="shared" si="5"/>
        <v>45601</v>
      </c>
      <c r="S6" s="42">
        <v>5373</v>
      </c>
      <c r="T6" s="43">
        <v>0</v>
      </c>
      <c r="U6" s="44">
        <f t="shared" si="13"/>
        <v>196</v>
      </c>
      <c r="V6" s="20">
        <v>0.76</v>
      </c>
      <c r="W6" s="51">
        <v>0.79</v>
      </c>
      <c r="X6" s="52">
        <f t="shared" si="0"/>
        <v>3875</v>
      </c>
      <c r="Y6" s="49"/>
      <c r="Z6" s="53">
        <f t="shared" si="3"/>
        <v>175</v>
      </c>
      <c r="AA6" s="57">
        <v>108095</v>
      </c>
      <c r="AB6" s="44">
        <f t="shared" si="14"/>
        <v>69</v>
      </c>
      <c r="AC6" s="57">
        <v>865</v>
      </c>
      <c r="AD6" s="44">
        <f t="shared" si="15"/>
        <v>0.89999999999997726</v>
      </c>
      <c r="AE6" s="60">
        <v>72338</v>
      </c>
      <c r="AF6" s="44">
        <f t="shared" si="16"/>
        <v>35</v>
      </c>
      <c r="AG6" s="63">
        <v>3100</v>
      </c>
      <c r="AH6" s="74">
        <v>0</v>
      </c>
      <c r="AI6" s="53">
        <f t="shared" si="4"/>
        <v>0</v>
      </c>
      <c r="AJ6" s="13">
        <v>114</v>
      </c>
      <c r="AK6" s="23">
        <v>198</v>
      </c>
    </row>
    <row r="7" spans="1:37" x14ac:dyDescent="0.2">
      <c r="A7" s="25">
        <v>45602</v>
      </c>
      <c r="B7" s="10">
        <v>32289108</v>
      </c>
      <c r="C7" s="67">
        <f t="shared" si="6"/>
        <v>3905</v>
      </c>
      <c r="D7" s="11">
        <v>993627</v>
      </c>
      <c r="E7" s="17">
        <f t="shared" si="7"/>
        <v>1450</v>
      </c>
      <c r="F7" s="35">
        <v>110643</v>
      </c>
      <c r="G7" s="97">
        <f t="shared" si="8"/>
        <v>21</v>
      </c>
      <c r="H7" s="101">
        <f t="shared" si="1"/>
        <v>5334</v>
      </c>
      <c r="I7" s="106">
        <f t="shared" si="2"/>
        <v>4311.6099999997969</v>
      </c>
      <c r="J7" s="94">
        <v>4708277.2</v>
      </c>
      <c r="K7" s="44">
        <f t="shared" si="9"/>
        <v>839.20000000018626</v>
      </c>
      <c r="L7" s="15">
        <v>467240.5</v>
      </c>
      <c r="M7" s="44">
        <f t="shared" si="10"/>
        <v>14.700000000011642</v>
      </c>
      <c r="N7" s="15">
        <v>126344.95</v>
      </c>
      <c r="O7" s="44">
        <f t="shared" si="11"/>
        <v>67.889999999999418</v>
      </c>
      <c r="P7" s="94">
        <v>179899</v>
      </c>
      <c r="Q7" s="66">
        <f t="shared" si="12"/>
        <v>100.60000000000582</v>
      </c>
      <c r="R7" s="25">
        <f t="shared" si="5"/>
        <v>45602</v>
      </c>
      <c r="S7" s="42">
        <v>5177</v>
      </c>
      <c r="T7" s="43">
        <v>0</v>
      </c>
      <c r="U7" s="44">
        <f t="shared" si="13"/>
        <v>196</v>
      </c>
      <c r="V7" s="20">
        <v>0.72</v>
      </c>
      <c r="W7" s="51">
        <v>0.76</v>
      </c>
      <c r="X7" s="52">
        <f t="shared" si="0"/>
        <v>3700</v>
      </c>
      <c r="Y7" s="49"/>
      <c r="Z7" s="53">
        <f t="shared" si="3"/>
        <v>175</v>
      </c>
      <c r="AA7" s="57">
        <v>108164</v>
      </c>
      <c r="AB7" s="44">
        <f t="shared" si="14"/>
        <v>61</v>
      </c>
      <c r="AC7" s="57">
        <v>865.9</v>
      </c>
      <c r="AD7" s="44">
        <f t="shared" si="15"/>
        <v>9.1000000000000227</v>
      </c>
      <c r="AE7" s="60">
        <v>72373</v>
      </c>
      <c r="AF7" s="44">
        <f t="shared" si="16"/>
        <v>27</v>
      </c>
      <c r="AG7" s="63">
        <v>3100</v>
      </c>
      <c r="AH7" s="74">
        <v>0</v>
      </c>
      <c r="AI7" s="53">
        <f t="shared" si="4"/>
        <v>0</v>
      </c>
      <c r="AJ7" s="13">
        <v>129</v>
      </c>
      <c r="AK7" s="23">
        <v>236</v>
      </c>
    </row>
    <row r="8" spans="1:37" x14ac:dyDescent="0.2">
      <c r="A8" s="25">
        <v>45603</v>
      </c>
      <c r="B8" s="10">
        <v>32293013</v>
      </c>
      <c r="C8" s="67">
        <f t="shared" si="6"/>
        <v>3543</v>
      </c>
      <c r="D8" s="11">
        <v>995077</v>
      </c>
      <c r="E8" s="17">
        <f t="shared" si="7"/>
        <v>1477</v>
      </c>
      <c r="F8" s="35">
        <v>110664</v>
      </c>
      <c r="G8" s="97">
        <f t="shared" si="8"/>
        <v>36</v>
      </c>
      <c r="H8" s="101">
        <f t="shared" si="1"/>
        <v>4984</v>
      </c>
      <c r="I8" s="106">
        <f t="shared" si="2"/>
        <v>3970.8099999999831</v>
      </c>
      <c r="J8" s="94">
        <v>4709116.4000000004</v>
      </c>
      <c r="K8" s="44">
        <f t="shared" si="9"/>
        <v>830</v>
      </c>
      <c r="L8" s="15">
        <v>467255.2</v>
      </c>
      <c r="M8" s="44">
        <f t="shared" si="10"/>
        <v>14.700000000011642</v>
      </c>
      <c r="N8" s="15">
        <v>126412.84</v>
      </c>
      <c r="O8" s="44">
        <f t="shared" si="11"/>
        <v>67.889999999999418</v>
      </c>
      <c r="P8" s="94">
        <v>179999.6</v>
      </c>
      <c r="Q8" s="66">
        <f t="shared" si="12"/>
        <v>100.60000000000582</v>
      </c>
      <c r="R8" s="25">
        <f t="shared" si="5"/>
        <v>45603</v>
      </c>
      <c r="S8" s="42">
        <v>4981</v>
      </c>
      <c r="T8" s="43">
        <v>0</v>
      </c>
      <c r="U8" s="44">
        <f t="shared" si="13"/>
        <v>47</v>
      </c>
      <c r="V8" s="20">
        <v>0.69</v>
      </c>
      <c r="W8" s="51">
        <v>0.72</v>
      </c>
      <c r="X8" s="52">
        <f t="shared" si="0"/>
        <v>3525</v>
      </c>
      <c r="Y8" s="49"/>
      <c r="Z8" s="53">
        <f t="shared" si="3"/>
        <v>350</v>
      </c>
      <c r="AA8" s="57">
        <v>108225</v>
      </c>
      <c r="AB8" s="44">
        <f t="shared" si="14"/>
        <v>69</v>
      </c>
      <c r="AC8" s="57">
        <v>875</v>
      </c>
      <c r="AD8" s="44">
        <f t="shared" si="15"/>
        <v>4.8999999999999773</v>
      </c>
      <c r="AE8" s="60">
        <v>72400</v>
      </c>
      <c r="AF8" s="44">
        <f t="shared" si="16"/>
        <v>27</v>
      </c>
      <c r="AG8" s="63">
        <v>3100</v>
      </c>
      <c r="AH8" s="74">
        <v>0</v>
      </c>
      <c r="AI8" s="53">
        <f t="shared" si="4"/>
        <v>0</v>
      </c>
      <c r="AJ8" s="13">
        <v>140</v>
      </c>
      <c r="AK8" s="23">
        <v>255</v>
      </c>
    </row>
    <row r="9" spans="1:37" x14ac:dyDescent="0.2">
      <c r="A9" s="25">
        <v>45604</v>
      </c>
      <c r="B9" s="10">
        <v>32296556</v>
      </c>
      <c r="C9" s="67">
        <f t="shared" si="6"/>
        <v>4027</v>
      </c>
      <c r="D9" s="11">
        <v>996554</v>
      </c>
      <c r="E9" s="17">
        <f t="shared" si="7"/>
        <v>1387</v>
      </c>
      <c r="F9" s="35">
        <v>110700</v>
      </c>
      <c r="G9" s="97">
        <f t="shared" si="8"/>
        <v>13</v>
      </c>
      <c r="H9" s="101">
        <f t="shared" si="1"/>
        <v>5401</v>
      </c>
      <c r="I9" s="106">
        <f t="shared" si="2"/>
        <v>4331.0100000002567</v>
      </c>
      <c r="J9" s="94">
        <v>4709946.4000000004</v>
      </c>
      <c r="K9" s="44">
        <f t="shared" si="9"/>
        <v>886.79999999981374</v>
      </c>
      <c r="L9" s="15">
        <v>467269.9</v>
      </c>
      <c r="M9" s="44">
        <f t="shared" si="10"/>
        <v>14.699999999953434</v>
      </c>
      <c r="N9" s="15">
        <v>126480.73</v>
      </c>
      <c r="O9" s="44">
        <f t="shared" si="11"/>
        <v>67.889999999999418</v>
      </c>
      <c r="P9" s="94">
        <v>180100.2</v>
      </c>
      <c r="Q9" s="66">
        <f t="shared" si="12"/>
        <v>100.59999999997672</v>
      </c>
      <c r="R9" s="25">
        <f t="shared" si="5"/>
        <v>45604</v>
      </c>
      <c r="S9" s="42">
        <v>4934</v>
      </c>
      <c r="T9" s="43">
        <v>0</v>
      </c>
      <c r="U9" s="44">
        <f t="shared" si="13"/>
        <v>244</v>
      </c>
      <c r="V9" s="20">
        <v>0.67</v>
      </c>
      <c r="W9" s="51">
        <v>0.6</v>
      </c>
      <c r="X9" s="52">
        <f t="shared" si="0"/>
        <v>3175</v>
      </c>
      <c r="Y9" s="49"/>
      <c r="Z9" s="53">
        <f t="shared" si="3"/>
        <v>425</v>
      </c>
      <c r="AA9" s="57">
        <v>108294</v>
      </c>
      <c r="AB9" s="44">
        <f t="shared" si="14"/>
        <v>77</v>
      </c>
      <c r="AC9" s="57">
        <v>879.9</v>
      </c>
      <c r="AD9" s="44">
        <f t="shared" si="15"/>
        <v>11.899999999999977</v>
      </c>
      <c r="AE9" s="60">
        <v>72427</v>
      </c>
      <c r="AF9" s="44">
        <f t="shared" si="16"/>
        <v>13</v>
      </c>
      <c r="AG9" s="63">
        <v>3100</v>
      </c>
      <c r="AH9" s="74">
        <v>0</v>
      </c>
      <c r="AI9" s="53">
        <f t="shared" si="4"/>
        <v>0</v>
      </c>
      <c r="AJ9" s="13">
        <v>156</v>
      </c>
      <c r="AK9" s="23">
        <v>285</v>
      </c>
    </row>
    <row r="10" spans="1:37" x14ac:dyDescent="0.2">
      <c r="A10" s="25">
        <v>45605</v>
      </c>
      <c r="B10" s="10">
        <v>32300583</v>
      </c>
      <c r="C10" s="67">
        <f t="shared" si="6"/>
        <v>4219</v>
      </c>
      <c r="D10" s="11">
        <v>997941</v>
      </c>
      <c r="E10" s="17">
        <f t="shared" si="7"/>
        <v>1141</v>
      </c>
      <c r="F10" s="35">
        <v>110713</v>
      </c>
      <c r="G10" s="97">
        <f t="shared" si="8"/>
        <v>21</v>
      </c>
      <c r="H10" s="101">
        <f t="shared" si="1"/>
        <v>5339</v>
      </c>
      <c r="I10" s="106">
        <f t="shared" si="2"/>
        <v>4311.8099999999831</v>
      </c>
      <c r="J10" s="94">
        <v>4710833.2</v>
      </c>
      <c r="K10" s="44">
        <f t="shared" si="9"/>
        <v>844</v>
      </c>
      <c r="L10" s="15">
        <v>467284.6</v>
      </c>
      <c r="M10" s="44">
        <f t="shared" si="10"/>
        <v>14.700000000011642</v>
      </c>
      <c r="N10" s="15">
        <v>126548.62</v>
      </c>
      <c r="O10" s="44">
        <f t="shared" si="11"/>
        <v>67.889999999999418</v>
      </c>
      <c r="P10" s="94">
        <v>180200.8</v>
      </c>
      <c r="Q10" s="66">
        <f t="shared" si="12"/>
        <v>100.60000000000582</v>
      </c>
      <c r="R10" s="25">
        <f t="shared" si="5"/>
        <v>45605</v>
      </c>
      <c r="S10" s="42">
        <v>4690</v>
      </c>
      <c r="T10" s="43">
        <v>0</v>
      </c>
      <c r="U10" s="44">
        <f t="shared" si="13"/>
        <v>96</v>
      </c>
      <c r="V10" s="20">
        <v>0.56000000000000005</v>
      </c>
      <c r="W10" s="51">
        <v>0.54</v>
      </c>
      <c r="X10" s="52">
        <f t="shared" si="0"/>
        <v>2750</v>
      </c>
      <c r="Y10" s="49"/>
      <c r="Z10" s="53">
        <f t="shared" si="3"/>
        <v>275</v>
      </c>
      <c r="AA10" s="57">
        <v>108371</v>
      </c>
      <c r="AB10" s="44">
        <f t="shared" si="14"/>
        <v>82</v>
      </c>
      <c r="AC10" s="57">
        <v>891.8</v>
      </c>
      <c r="AD10" s="44">
        <f t="shared" si="15"/>
        <v>12.600000000000023</v>
      </c>
      <c r="AE10" s="60">
        <v>72440</v>
      </c>
      <c r="AF10" s="44">
        <f t="shared" si="16"/>
        <v>0</v>
      </c>
      <c r="AG10" s="63">
        <v>3100</v>
      </c>
      <c r="AH10" s="74">
        <v>0</v>
      </c>
      <c r="AI10" s="53">
        <f t="shared" si="4"/>
        <v>0</v>
      </c>
      <c r="AJ10" s="13">
        <v>162</v>
      </c>
      <c r="AK10" s="23">
        <v>302</v>
      </c>
    </row>
    <row r="11" spans="1:37" x14ac:dyDescent="0.2">
      <c r="A11" s="25">
        <v>45606</v>
      </c>
      <c r="B11" s="10">
        <v>32304802</v>
      </c>
      <c r="C11" s="67">
        <f t="shared" si="6"/>
        <v>4226</v>
      </c>
      <c r="D11" s="11">
        <v>999082</v>
      </c>
      <c r="E11" s="17">
        <f t="shared" si="7"/>
        <v>744</v>
      </c>
      <c r="F11" s="35">
        <v>110734</v>
      </c>
      <c r="G11" s="97">
        <f t="shared" si="8"/>
        <v>34</v>
      </c>
      <c r="H11" s="101">
        <f t="shared" si="1"/>
        <v>4936</v>
      </c>
      <c r="I11" s="106">
        <f t="shared" si="2"/>
        <v>3945.6099999997969</v>
      </c>
      <c r="J11" s="94">
        <v>4711677.2</v>
      </c>
      <c r="K11" s="44">
        <f t="shared" si="9"/>
        <v>807.20000000018626</v>
      </c>
      <c r="L11" s="15">
        <v>467299.3</v>
      </c>
      <c r="M11" s="44">
        <f t="shared" si="10"/>
        <v>14.700000000011642</v>
      </c>
      <c r="N11" s="15">
        <v>126616.51</v>
      </c>
      <c r="O11" s="44">
        <f t="shared" si="11"/>
        <v>67.889999999999418</v>
      </c>
      <c r="P11" s="94">
        <v>180301.4</v>
      </c>
      <c r="Q11" s="66">
        <f t="shared" si="12"/>
        <v>100.60000000000582</v>
      </c>
      <c r="R11" s="25">
        <f t="shared" si="5"/>
        <v>45606</v>
      </c>
      <c r="S11" s="42">
        <v>4594</v>
      </c>
      <c r="T11" s="43">
        <v>0</v>
      </c>
      <c r="U11" s="44">
        <f t="shared" si="13"/>
        <v>192</v>
      </c>
      <c r="V11" s="20">
        <v>0.5</v>
      </c>
      <c r="W11" s="51">
        <v>0.49</v>
      </c>
      <c r="X11" s="52">
        <f t="shared" si="0"/>
        <v>2475</v>
      </c>
      <c r="Y11" s="49"/>
      <c r="Z11" s="53">
        <f t="shared" si="3"/>
        <v>375</v>
      </c>
      <c r="AA11" s="57">
        <v>108453</v>
      </c>
      <c r="AB11" s="44">
        <f t="shared" si="14"/>
        <v>65</v>
      </c>
      <c r="AC11" s="57">
        <v>904.4</v>
      </c>
      <c r="AD11" s="44">
        <f t="shared" si="15"/>
        <v>8</v>
      </c>
      <c r="AE11" s="60">
        <v>72440</v>
      </c>
      <c r="AF11" s="44">
        <f t="shared" si="16"/>
        <v>0</v>
      </c>
      <c r="AG11" s="63">
        <v>3100</v>
      </c>
      <c r="AH11" s="74">
        <v>0</v>
      </c>
      <c r="AI11" s="53">
        <f t="shared" si="4"/>
        <v>0</v>
      </c>
      <c r="AJ11" s="13">
        <v>124</v>
      </c>
      <c r="AK11" s="23">
        <v>217</v>
      </c>
    </row>
    <row r="12" spans="1:37" x14ac:dyDescent="0.2">
      <c r="A12" s="25">
        <v>45607</v>
      </c>
      <c r="B12" s="10">
        <v>32309028</v>
      </c>
      <c r="C12" s="67">
        <f t="shared" si="6"/>
        <v>3787</v>
      </c>
      <c r="D12" s="11">
        <v>999826</v>
      </c>
      <c r="E12" s="17">
        <f t="shared" si="7"/>
        <v>1408</v>
      </c>
      <c r="F12" s="35">
        <v>110768</v>
      </c>
      <c r="G12" s="97">
        <f t="shared" si="8"/>
        <v>23</v>
      </c>
      <c r="H12" s="101">
        <f t="shared" si="1"/>
        <v>5172</v>
      </c>
      <c r="I12" s="106">
        <f t="shared" si="2"/>
        <v>4042.8099999999831</v>
      </c>
      <c r="J12" s="94">
        <v>4712484.4000000004</v>
      </c>
      <c r="K12" s="44">
        <f t="shared" si="9"/>
        <v>946</v>
      </c>
      <c r="L12" s="15">
        <v>467314</v>
      </c>
      <c r="M12" s="44">
        <f t="shared" si="10"/>
        <v>14.700000000011642</v>
      </c>
      <c r="N12" s="15">
        <v>126684.4</v>
      </c>
      <c r="O12" s="44">
        <f t="shared" si="11"/>
        <v>67.889999999999418</v>
      </c>
      <c r="P12" s="94">
        <v>180402</v>
      </c>
      <c r="Q12" s="66">
        <f t="shared" si="12"/>
        <v>100.60000000000582</v>
      </c>
      <c r="R12" s="25">
        <f t="shared" si="5"/>
        <v>45607</v>
      </c>
      <c r="S12" s="42">
        <v>4402</v>
      </c>
      <c r="T12" s="43">
        <v>0</v>
      </c>
      <c r="U12" s="44">
        <f t="shared" si="13"/>
        <v>96</v>
      </c>
      <c r="V12" s="20">
        <v>0.4</v>
      </c>
      <c r="W12" s="51">
        <v>0.44</v>
      </c>
      <c r="X12" s="52">
        <f t="shared" si="0"/>
        <v>2100</v>
      </c>
      <c r="Y12" s="49">
        <v>2472.64</v>
      </c>
      <c r="Z12" s="53">
        <f t="shared" si="3"/>
        <v>947.63999999999942</v>
      </c>
      <c r="AA12" s="57">
        <v>108518</v>
      </c>
      <c r="AB12" s="44">
        <f t="shared" si="14"/>
        <v>67</v>
      </c>
      <c r="AC12" s="57">
        <v>912.4</v>
      </c>
      <c r="AD12" s="44">
        <f t="shared" si="15"/>
        <v>10.399999999999977</v>
      </c>
      <c r="AE12" s="60">
        <v>72440</v>
      </c>
      <c r="AF12" s="44">
        <f t="shared" si="16"/>
        <v>0</v>
      </c>
      <c r="AG12" s="63">
        <v>3100</v>
      </c>
      <c r="AH12" s="74">
        <v>0</v>
      </c>
      <c r="AI12" s="53">
        <f t="shared" si="4"/>
        <v>0</v>
      </c>
      <c r="AJ12" s="13">
        <v>120</v>
      </c>
      <c r="AK12" s="23">
        <v>213</v>
      </c>
    </row>
    <row r="13" spans="1:37" x14ac:dyDescent="0.2">
      <c r="A13" s="25">
        <v>45608</v>
      </c>
      <c r="B13" s="10">
        <v>32312815</v>
      </c>
      <c r="C13" s="67">
        <f t="shared" si="6"/>
        <v>3625</v>
      </c>
      <c r="D13" s="11">
        <v>1001234</v>
      </c>
      <c r="E13" s="17">
        <f t="shared" si="7"/>
        <v>1409</v>
      </c>
      <c r="F13" s="35">
        <v>110791</v>
      </c>
      <c r="G13" s="97">
        <f t="shared" si="8"/>
        <v>37</v>
      </c>
      <c r="H13" s="101">
        <f t="shared" si="1"/>
        <v>4997</v>
      </c>
      <c r="I13" s="106">
        <f t="shared" si="2"/>
        <v>3913.8099999999831</v>
      </c>
      <c r="J13" s="94">
        <v>4713430.4000000004</v>
      </c>
      <c r="K13" s="44">
        <f t="shared" si="9"/>
        <v>900</v>
      </c>
      <c r="L13" s="15">
        <v>467328.7</v>
      </c>
      <c r="M13" s="44">
        <f t="shared" si="10"/>
        <v>14.700000000011642</v>
      </c>
      <c r="N13" s="15">
        <v>126752.29</v>
      </c>
      <c r="O13" s="44">
        <f t="shared" si="11"/>
        <v>67.889999999999418</v>
      </c>
      <c r="P13" s="94">
        <v>180502.6</v>
      </c>
      <c r="Q13" s="66">
        <f t="shared" si="12"/>
        <v>100.60000000000582</v>
      </c>
      <c r="R13" s="25">
        <f t="shared" si="5"/>
        <v>45608</v>
      </c>
      <c r="S13" s="42">
        <v>4306</v>
      </c>
      <c r="T13" s="43">
        <v>0</v>
      </c>
      <c r="U13" s="44">
        <f t="shared" si="13"/>
        <v>283</v>
      </c>
      <c r="V13" s="20">
        <v>0.71</v>
      </c>
      <c r="W13" s="51">
        <v>0.74</v>
      </c>
      <c r="X13" s="52">
        <f t="shared" si="0"/>
        <v>3625</v>
      </c>
      <c r="Y13" s="49"/>
      <c r="Z13" s="53">
        <f t="shared" si="3"/>
        <v>200</v>
      </c>
      <c r="AA13" s="57">
        <v>108585</v>
      </c>
      <c r="AB13" s="44">
        <f t="shared" si="14"/>
        <v>75</v>
      </c>
      <c r="AC13" s="57">
        <v>922.8</v>
      </c>
      <c r="AD13" s="44">
        <f t="shared" si="15"/>
        <v>7.7000000000000455</v>
      </c>
      <c r="AE13" s="60">
        <v>72440</v>
      </c>
      <c r="AF13" s="44">
        <f t="shared" si="16"/>
        <v>36</v>
      </c>
      <c r="AG13" s="63">
        <v>3100</v>
      </c>
      <c r="AH13" s="74">
        <v>0</v>
      </c>
      <c r="AI13" s="53">
        <f t="shared" si="4"/>
        <v>0</v>
      </c>
      <c r="AJ13" s="13">
        <v>119</v>
      </c>
      <c r="AK13" s="23">
        <v>206</v>
      </c>
    </row>
    <row r="14" spans="1:37" x14ac:dyDescent="0.2">
      <c r="A14" s="25">
        <v>45609</v>
      </c>
      <c r="B14" s="10">
        <v>32316440</v>
      </c>
      <c r="C14" s="67">
        <f t="shared" si="6"/>
        <v>3365</v>
      </c>
      <c r="D14" s="11">
        <v>1002643</v>
      </c>
      <c r="E14" s="17">
        <f t="shared" si="7"/>
        <v>1405</v>
      </c>
      <c r="F14" s="35">
        <v>110828</v>
      </c>
      <c r="G14" s="97">
        <f t="shared" si="8"/>
        <v>45</v>
      </c>
      <c r="H14" s="101">
        <f t="shared" si="1"/>
        <v>4725</v>
      </c>
      <c r="I14" s="106">
        <f t="shared" si="2"/>
        <v>3699.8100000000559</v>
      </c>
      <c r="J14" s="94">
        <v>4714330.4000000004</v>
      </c>
      <c r="K14" s="44">
        <f t="shared" si="9"/>
        <v>842</v>
      </c>
      <c r="L14" s="15">
        <v>467343.4</v>
      </c>
      <c r="M14" s="44">
        <f t="shared" si="10"/>
        <v>14.699999999953434</v>
      </c>
      <c r="N14" s="15">
        <v>126820.18</v>
      </c>
      <c r="O14" s="44">
        <f t="shared" si="11"/>
        <v>67.89000000001397</v>
      </c>
      <c r="P14" s="94">
        <v>180603.2</v>
      </c>
      <c r="Q14" s="66">
        <f t="shared" si="12"/>
        <v>100.59999999997672</v>
      </c>
      <c r="R14" s="25">
        <f t="shared" si="5"/>
        <v>45609</v>
      </c>
      <c r="S14" s="42">
        <v>4023</v>
      </c>
      <c r="T14" s="43">
        <v>0</v>
      </c>
      <c r="U14" s="44">
        <f t="shared" si="13"/>
        <v>94</v>
      </c>
      <c r="V14" s="20">
        <v>0.7</v>
      </c>
      <c r="W14" s="51">
        <v>0.67</v>
      </c>
      <c r="X14" s="52">
        <f t="shared" si="0"/>
        <v>3425</v>
      </c>
      <c r="Y14" s="49"/>
      <c r="Z14" s="53">
        <f t="shared" si="3"/>
        <v>150</v>
      </c>
      <c r="AA14" s="57">
        <v>108660</v>
      </c>
      <c r="AB14" s="44">
        <f t="shared" si="14"/>
        <v>67</v>
      </c>
      <c r="AC14" s="57">
        <v>930.5</v>
      </c>
      <c r="AD14" s="44">
        <f t="shared" si="15"/>
        <v>7.6000000000000227</v>
      </c>
      <c r="AE14" s="60">
        <v>72476</v>
      </c>
      <c r="AF14" s="44">
        <f t="shared" si="16"/>
        <v>14</v>
      </c>
      <c r="AG14" s="63">
        <v>3100</v>
      </c>
      <c r="AH14" s="74">
        <v>0</v>
      </c>
      <c r="AI14" s="53">
        <f t="shared" si="4"/>
        <v>0</v>
      </c>
      <c r="AJ14" s="13">
        <v>116</v>
      </c>
      <c r="AK14" s="23">
        <v>208</v>
      </c>
    </row>
    <row r="15" spans="1:37" x14ac:dyDescent="0.2">
      <c r="A15" s="25">
        <v>45610</v>
      </c>
      <c r="B15" s="10">
        <v>32319805</v>
      </c>
      <c r="C15" s="67">
        <f t="shared" si="6"/>
        <v>3522</v>
      </c>
      <c r="D15" s="11">
        <v>1004048</v>
      </c>
      <c r="E15" s="17">
        <f t="shared" si="7"/>
        <v>1352</v>
      </c>
      <c r="F15" s="35">
        <v>110873</v>
      </c>
      <c r="G15" s="97">
        <f t="shared" si="8"/>
        <v>37</v>
      </c>
      <c r="H15" s="101">
        <f t="shared" si="1"/>
        <v>4837</v>
      </c>
      <c r="I15" s="106">
        <f t="shared" si="2"/>
        <v>3797.0100000001694</v>
      </c>
      <c r="J15" s="94">
        <v>4715172.4000000004</v>
      </c>
      <c r="K15" s="44">
        <f t="shared" si="9"/>
        <v>856.79999999981374</v>
      </c>
      <c r="L15" s="15">
        <v>467358.1</v>
      </c>
      <c r="M15" s="44">
        <f t="shared" si="10"/>
        <v>14.700000000011642</v>
      </c>
      <c r="N15" s="15">
        <v>126888.07</v>
      </c>
      <c r="O15" s="44">
        <f t="shared" si="11"/>
        <v>67.889999999999418</v>
      </c>
      <c r="P15" s="94">
        <v>180703.8</v>
      </c>
      <c r="Q15" s="66">
        <f t="shared" si="12"/>
        <v>100.60000000000582</v>
      </c>
      <c r="R15" s="25">
        <f t="shared" si="5"/>
        <v>45610</v>
      </c>
      <c r="S15" s="42">
        <v>3929</v>
      </c>
      <c r="T15" s="43">
        <v>0</v>
      </c>
      <c r="U15" s="44">
        <f t="shared" si="13"/>
        <v>94</v>
      </c>
      <c r="V15" s="20">
        <v>0.67</v>
      </c>
      <c r="W15" s="51">
        <v>0.64</v>
      </c>
      <c r="X15" s="52">
        <f t="shared" si="0"/>
        <v>3275</v>
      </c>
      <c r="Y15" s="49"/>
      <c r="Z15" s="53">
        <f t="shared" si="3"/>
        <v>300</v>
      </c>
      <c r="AA15" s="57">
        <v>108727</v>
      </c>
      <c r="AB15" s="44">
        <f t="shared" si="14"/>
        <v>65</v>
      </c>
      <c r="AC15" s="57">
        <v>938.1</v>
      </c>
      <c r="AD15" s="44">
        <f t="shared" si="15"/>
        <v>8</v>
      </c>
      <c r="AE15" s="60">
        <v>72490</v>
      </c>
      <c r="AF15" s="44">
        <f t="shared" si="16"/>
        <v>16</v>
      </c>
      <c r="AG15" s="63">
        <v>3100</v>
      </c>
      <c r="AH15" s="74">
        <v>0</v>
      </c>
      <c r="AI15" s="53">
        <f t="shared" si="4"/>
        <v>0</v>
      </c>
      <c r="AJ15" s="13">
        <v>113</v>
      </c>
      <c r="AK15" s="23">
        <v>205</v>
      </c>
    </row>
    <row r="16" spans="1:37" x14ac:dyDescent="0.2">
      <c r="A16" s="25">
        <v>45611</v>
      </c>
      <c r="B16" s="10">
        <v>32323327</v>
      </c>
      <c r="C16" s="67">
        <f t="shared" si="6"/>
        <v>3405</v>
      </c>
      <c r="D16" s="11">
        <v>1005400</v>
      </c>
      <c r="E16" s="17">
        <f t="shared" si="7"/>
        <v>1342</v>
      </c>
      <c r="F16" s="35">
        <v>110910</v>
      </c>
      <c r="G16" s="97">
        <f t="shared" si="8"/>
        <v>22</v>
      </c>
      <c r="H16" s="101">
        <f t="shared" si="1"/>
        <v>4725</v>
      </c>
      <c r="I16" s="106">
        <f t="shared" si="2"/>
        <v>3648.6099999997969</v>
      </c>
      <c r="J16" s="94">
        <v>4716029.2</v>
      </c>
      <c r="K16" s="44">
        <f t="shared" si="9"/>
        <v>893.20000000018626</v>
      </c>
      <c r="L16" s="15">
        <v>467372.79999999999</v>
      </c>
      <c r="M16" s="44">
        <f t="shared" si="10"/>
        <v>14.700000000011642</v>
      </c>
      <c r="N16" s="15">
        <v>126955.96</v>
      </c>
      <c r="O16" s="44">
        <f t="shared" si="11"/>
        <v>67.889999999999418</v>
      </c>
      <c r="P16" s="94">
        <v>180804.4</v>
      </c>
      <c r="Q16" s="66">
        <f t="shared" si="12"/>
        <v>100.60000000000582</v>
      </c>
      <c r="R16" s="25">
        <f t="shared" si="5"/>
        <v>45611</v>
      </c>
      <c r="S16" s="42">
        <v>3835</v>
      </c>
      <c r="T16" s="43">
        <v>0</v>
      </c>
      <c r="U16" s="44">
        <f t="shared" si="13"/>
        <v>185</v>
      </c>
      <c r="V16" s="20">
        <v>0.61</v>
      </c>
      <c r="W16" s="51">
        <v>0.57999999999999996</v>
      </c>
      <c r="X16" s="52">
        <f t="shared" si="0"/>
        <v>2975</v>
      </c>
      <c r="Y16" s="49"/>
      <c r="Z16" s="53">
        <f t="shared" si="3"/>
        <v>225</v>
      </c>
      <c r="AA16" s="57">
        <v>108792</v>
      </c>
      <c r="AB16" s="44">
        <f t="shared" si="14"/>
        <v>76</v>
      </c>
      <c r="AC16" s="57">
        <v>946.1</v>
      </c>
      <c r="AD16" s="44">
        <f t="shared" si="15"/>
        <v>9.3999999999999773</v>
      </c>
      <c r="AE16" s="60">
        <v>72506</v>
      </c>
      <c r="AF16" s="44">
        <f t="shared" si="16"/>
        <v>0</v>
      </c>
      <c r="AG16" s="63">
        <v>3100</v>
      </c>
      <c r="AH16" s="74">
        <v>0</v>
      </c>
      <c r="AI16" s="53">
        <f t="shared" si="4"/>
        <v>0</v>
      </c>
      <c r="AJ16" s="13">
        <v>137</v>
      </c>
      <c r="AK16" s="23">
        <v>248</v>
      </c>
    </row>
    <row r="17" spans="1:37" x14ac:dyDescent="0.2">
      <c r="A17" s="25">
        <v>45612</v>
      </c>
      <c r="B17" s="10">
        <v>32326732</v>
      </c>
      <c r="C17" s="67">
        <f t="shared" si="6"/>
        <v>3144</v>
      </c>
      <c r="D17" s="11">
        <v>1006742</v>
      </c>
      <c r="E17" s="17">
        <f t="shared" si="7"/>
        <v>1066</v>
      </c>
      <c r="F17" s="35">
        <v>110932</v>
      </c>
      <c r="G17" s="97">
        <f t="shared" si="8"/>
        <v>36</v>
      </c>
      <c r="H17" s="101">
        <f t="shared" si="1"/>
        <v>4174</v>
      </c>
      <c r="I17" s="106">
        <f t="shared" si="2"/>
        <v>3189.6100000007282</v>
      </c>
      <c r="J17" s="94">
        <v>4716922.4000000004</v>
      </c>
      <c r="K17" s="44">
        <f t="shared" si="9"/>
        <v>801.19999999925494</v>
      </c>
      <c r="L17" s="15">
        <v>467387.5</v>
      </c>
      <c r="M17" s="44">
        <f t="shared" si="10"/>
        <v>14.700000000011642</v>
      </c>
      <c r="N17" s="15">
        <v>127023.85</v>
      </c>
      <c r="O17" s="44">
        <f t="shared" si="11"/>
        <v>67.889999999999418</v>
      </c>
      <c r="P17" s="94">
        <v>180905</v>
      </c>
      <c r="Q17" s="66">
        <f t="shared" si="12"/>
        <v>100.60000000000582</v>
      </c>
      <c r="R17" s="25">
        <f t="shared" si="5"/>
        <v>45612</v>
      </c>
      <c r="S17" s="42">
        <v>3650</v>
      </c>
      <c r="T17" s="43">
        <v>0</v>
      </c>
      <c r="U17" s="44">
        <f t="shared" si="13"/>
        <v>92</v>
      </c>
      <c r="V17" s="20">
        <v>0.56000000000000005</v>
      </c>
      <c r="W17" s="51">
        <v>0.54</v>
      </c>
      <c r="X17" s="52">
        <f t="shared" si="0"/>
        <v>2750</v>
      </c>
      <c r="Y17" s="49"/>
      <c r="Z17" s="53">
        <f t="shared" si="3"/>
        <v>300</v>
      </c>
      <c r="AA17" s="57">
        <v>108868</v>
      </c>
      <c r="AB17" s="44">
        <f t="shared" si="14"/>
        <v>67</v>
      </c>
      <c r="AC17" s="57">
        <v>955.5</v>
      </c>
      <c r="AD17" s="44">
        <f t="shared" si="15"/>
        <v>7.7999999999999545</v>
      </c>
      <c r="AE17" s="60">
        <v>72506</v>
      </c>
      <c r="AF17" s="44">
        <f t="shared" si="16"/>
        <v>56</v>
      </c>
      <c r="AG17" s="63">
        <v>3100</v>
      </c>
      <c r="AH17" s="74">
        <v>0</v>
      </c>
      <c r="AI17" s="53">
        <f t="shared" si="4"/>
        <v>0</v>
      </c>
      <c r="AJ17" s="13">
        <v>137</v>
      </c>
      <c r="AK17" s="23">
        <v>245</v>
      </c>
    </row>
    <row r="18" spans="1:37" x14ac:dyDescent="0.2">
      <c r="A18" s="25">
        <v>45613</v>
      </c>
      <c r="B18" s="10">
        <v>32329876</v>
      </c>
      <c r="C18" s="67">
        <f t="shared" si="6"/>
        <v>2955</v>
      </c>
      <c r="D18" s="11">
        <v>1007808</v>
      </c>
      <c r="E18" s="17">
        <f t="shared" si="7"/>
        <v>1202</v>
      </c>
      <c r="F18" s="35">
        <v>110968</v>
      </c>
      <c r="G18" s="97">
        <f t="shared" si="8"/>
        <v>96</v>
      </c>
      <c r="H18" s="101">
        <f t="shared" si="1"/>
        <v>4061</v>
      </c>
      <c r="I18" s="106">
        <f t="shared" si="2"/>
        <v>3025.8099999999831</v>
      </c>
      <c r="J18" s="94">
        <v>4717723.5999999996</v>
      </c>
      <c r="K18" s="44">
        <f t="shared" si="9"/>
        <v>852</v>
      </c>
      <c r="L18" s="15">
        <v>467402.2</v>
      </c>
      <c r="M18" s="44">
        <f t="shared" si="10"/>
        <v>14.700000000011642</v>
      </c>
      <c r="N18" s="15">
        <v>127091.74</v>
      </c>
      <c r="O18" s="44">
        <f t="shared" si="11"/>
        <v>67.889999999999418</v>
      </c>
      <c r="P18" s="94">
        <v>181005.6</v>
      </c>
      <c r="Q18" s="66">
        <f t="shared" si="12"/>
        <v>100.60000000000582</v>
      </c>
      <c r="R18" s="25">
        <f t="shared" si="5"/>
        <v>45613</v>
      </c>
      <c r="S18" s="42">
        <v>3558</v>
      </c>
      <c r="T18" s="43">
        <v>0</v>
      </c>
      <c r="U18" s="44">
        <f t="shared" si="13"/>
        <v>182</v>
      </c>
      <c r="V18" s="20">
        <v>0.5</v>
      </c>
      <c r="W18" s="51">
        <v>0.48</v>
      </c>
      <c r="X18" s="52">
        <f t="shared" si="0"/>
        <v>2450</v>
      </c>
      <c r="Y18" s="49"/>
      <c r="Z18" s="53">
        <f t="shared" si="3"/>
        <v>375</v>
      </c>
      <c r="AA18" s="57">
        <v>108935</v>
      </c>
      <c r="AB18" s="44">
        <f t="shared" si="14"/>
        <v>47</v>
      </c>
      <c r="AC18" s="57">
        <v>963.3</v>
      </c>
      <c r="AD18" s="44">
        <f t="shared" si="15"/>
        <v>4.8000000000000682</v>
      </c>
      <c r="AE18" s="60">
        <v>72562</v>
      </c>
      <c r="AF18" s="44">
        <f t="shared" si="16"/>
        <v>0</v>
      </c>
      <c r="AG18" s="63">
        <v>3100</v>
      </c>
      <c r="AH18" s="74">
        <v>0</v>
      </c>
      <c r="AI18" s="53">
        <f t="shared" si="4"/>
        <v>0</v>
      </c>
      <c r="AJ18" s="13">
        <v>102</v>
      </c>
      <c r="AK18" s="23">
        <v>181</v>
      </c>
    </row>
    <row r="19" spans="1:37" x14ac:dyDescent="0.2">
      <c r="A19" s="25">
        <v>45614</v>
      </c>
      <c r="B19" s="10">
        <v>32332831</v>
      </c>
      <c r="C19" s="67">
        <f t="shared" si="6"/>
        <v>3301</v>
      </c>
      <c r="D19" s="11">
        <v>1009010</v>
      </c>
      <c r="E19" s="17">
        <f t="shared" si="7"/>
        <v>1040</v>
      </c>
      <c r="F19" s="35">
        <v>111064</v>
      </c>
      <c r="G19" s="97">
        <f t="shared" si="8"/>
        <v>100</v>
      </c>
      <c r="H19" s="101">
        <f t="shared" si="1"/>
        <v>4241</v>
      </c>
      <c r="I19" s="106">
        <f t="shared" si="2"/>
        <v>3179.0099999993254</v>
      </c>
      <c r="J19" s="94">
        <v>4718575.5999999996</v>
      </c>
      <c r="K19" s="44">
        <f t="shared" si="9"/>
        <v>878.80000000074506</v>
      </c>
      <c r="L19" s="15">
        <v>467416.9</v>
      </c>
      <c r="M19" s="44">
        <f t="shared" si="10"/>
        <v>14.699999999953434</v>
      </c>
      <c r="N19" s="15">
        <v>127159.63</v>
      </c>
      <c r="O19" s="44">
        <f t="shared" si="11"/>
        <v>67.889999999999418</v>
      </c>
      <c r="P19" s="94">
        <v>181106.2</v>
      </c>
      <c r="Q19" s="66">
        <f t="shared" si="12"/>
        <v>100.59999999997672</v>
      </c>
      <c r="R19" s="25">
        <f t="shared" si="5"/>
        <v>45614</v>
      </c>
      <c r="S19" s="42">
        <v>3376</v>
      </c>
      <c r="T19" s="43">
        <v>0</v>
      </c>
      <c r="U19" s="44">
        <f t="shared" si="13"/>
        <v>180</v>
      </c>
      <c r="V19" s="20">
        <v>0.4</v>
      </c>
      <c r="W19" s="51">
        <v>0.43</v>
      </c>
      <c r="X19" s="52">
        <f t="shared" si="0"/>
        <v>2075</v>
      </c>
      <c r="Y19" s="49">
        <v>2568.19</v>
      </c>
      <c r="Z19" s="53">
        <f t="shared" si="3"/>
        <v>893.19000000000051</v>
      </c>
      <c r="AA19" s="57">
        <v>108982</v>
      </c>
      <c r="AB19" s="44">
        <f t="shared" si="14"/>
        <v>64</v>
      </c>
      <c r="AC19" s="57">
        <v>968.1</v>
      </c>
      <c r="AD19" s="44">
        <f t="shared" si="15"/>
        <v>7.6999999999999318</v>
      </c>
      <c r="AE19" s="60">
        <v>72562</v>
      </c>
      <c r="AF19" s="44">
        <f t="shared" si="16"/>
        <v>0</v>
      </c>
      <c r="AG19" s="63">
        <v>3100</v>
      </c>
      <c r="AH19" s="74">
        <v>0</v>
      </c>
      <c r="AI19" s="53">
        <f t="shared" si="4"/>
        <v>0</v>
      </c>
      <c r="AJ19" s="13">
        <v>103</v>
      </c>
      <c r="AK19" s="23">
        <v>186</v>
      </c>
    </row>
    <row r="20" spans="1:37" x14ac:dyDescent="0.2">
      <c r="A20" s="25">
        <v>45615</v>
      </c>
      <c r="B20" s="10">
        <v>32336132</v>
      </c>
      <c r="C20" s="67">
        <f t="shared" si="6"/>
        <v>2895</v>
      </c>
      <c r="D20" s="11">
        <v>1010050</v>
      </c>
      <c r="E20" s="17">
        <f t="shared" si="7"/>
        <v>1308</v>
      </c>
      <c r="F20" s="35">
        <v>111164</v>
      </c>
      <c r="G20" s="97">
        <f t="shared" si="8"/>
        <v>100</v>
      </c>
      <c r="H20" s="101">
        <f t="shared" si="1"/>
        <v>4103</v>
      </c>
      <c r="I20" s="106">
        <f t="shared" si="2"/>
        <v>3065.0100000001694</v>
      </c>
      <c r="J20" s="94">
        <v>4719454.4000000004</v>
      </c>
      <c r="K20" s="44">
        <f t="shared" si="9"/>
        <v>854.79999999981374</v>
      </c>
      <c r="L20" s="15">
        <v>467431.6</v>
      </c>
      <c r="M20" s="44">
        <f t="shared" si="10"/>
        <v>14.700000000011642</v>
      </c>
      <c r="N20" s="15">
        <v>127227.52</v>
      </c>
      <c r="O20" s="44">
        <f t="shared" si="11"/>
        <v>67.889999999999418</v>
      </c>
      <c r="P20" s="94">
        <v>181206.8</v>
      </c>
      <c r="Q20" s="66">
        <f t="shared" si="12"/>
        <v>100.60000000000582</v>
      </c>
      <c r="R20" s="25">
        <f t="shared" si="5"/>
        <v>45615</v>
      </c>
      <c r="S20" s="42">
        <v>3196</v>
      </c>
      <c r="T20" s="43">
        <v>0</v>
      </c>
      <c r="U20" s="44">
        <f t="shared" si="13"/>
        <v>90</v>
      </c>
      <c r="V20" s="20">
        <v>0.76</v>
      </c>
      <c r="W20" s="51">
        <v>0.74</v>
      </c>
      <c r="X20" s="52">
        <f t="shared" si="0"/>
        <v>3750</v>
      </c>
      <c r="Y20" s="49"/>
      <c r="Z20" s="53">
        <f t="shared" si="3"/>
        <v>275</v>
      </c>
      <c r="AA20" s="57">
        <v>109046</v>
      </c>
      <c r="AB20" s="44">
        <f t="shared" si="14"/>
        <v>66</v>
      </c>
      <c r="AC20" s="57">
        <v>975.8</v>
      </c>
      <c r="AD20" s="44">
        <f t="shared" si="15"/>
        <v>8</v>
      </c>
      <c r="AE20" s="60">
        <v>72562</v>
      </c>
      <c r="AF20" s="44">
        <f t="shared" si="16"/>
        <v>0</v>
      </c>
      <c r="AG20" s="63">
        <v>3100</v>
      </c>
      <c r="AH20" s="74">
        <v>0</v>
      </c>
      <c r="AI20" s="53">
        <f t="shared" si="4"/>
        <v>0</v>
      </c>
      <c r="AJ20" s="13">
        <v>102</v>
      </c>
      <c r="AK20" s="23">
        <v>186</v>
      </c>
    </row>
    <row r="21" spans="1:37" x14ac:dyDescent="0.2">
      <c r="A21" s="25">
        <v>45616</v>
      </c>
      <c r="B21" s="10">
        <v>32339027</v>
      </c>
      <c r="C21" s="67">
        <f t="shared" si="6"/>
        <v>3269</v>
      </c>
      <c r="D21" s="11">
        <v>1011358</v>
      </c>
      <c r="E21" s="17">
        <f t="shared" si="7"/>
        <v>1074</v>
      </c>
      <c r="F21" s="35">
        <v>111264</v>
      </c>
      <c r="G21" s="97">
        <f t="shared" si="8"/>
        <v>100</v>
      </c>
      <c r="H21" s="101">
        <f t="shared" si="1"/>
        <v>4243</v>
      </c>
      <c r="I21" s="106">
        <f t="shared" si="2"/>
        <v>3153.4100000005419</v>
      </c>
      <c r="J21" s="94">
        <v>4720309.2</v>
      </c>
      <c r="K21" s="44">
        <f t="shared" si="9"/>
        <v>906.39999999944121</v>
      </c>
      <c r="L21" s="15">
        <v>467446.3</v>
      </c>
      <c r="M21" s="44">
        <f t="shared" si="10"/>
        <v>14.700000000011642</v>
      </c>
      <c r="N21" s="15">
        <v>127295.41</v>
      </c>
      <c r="O21" s="44">
        <f t="shared" si="11"/>
        <v>67.889999999999418</v>
      </c>
      <c r="P21" s="94">
        <v>181307.4</v>
      </c>
      <c r="Q21" s="66">
        <f t="shared" si="12"/>
        <v>100.60000000000582</v>
      </c>
      <c r="R21" s="25">
        <f t="shared" si="5"/>
        <v>45616</v>
      </c>
      <c r="S21" s="42">
        <v>3106</v>
      </c>
      <c r="T21" s="43">
        <v>0</v>
      </c>
      <c r="U21" s="44">
        <f t="shared" si="13"/>
        <v>176</v>
      </c>
      <c r="V21" s="20">
        <v>0.71</v>
      </c>
      <c r="W21" s="51">
        <v>0.68</v>
      </c>
      <c r="X21" s="52">
        <f t="shared" si="0"/>
        <v>3475</v>
      </c>
      <c r="Y21" s="49"/>
      <c r="Z21" s="53">
        <f t="shared" si="3"/>
        <v>375</v>
      </c>
      <c r="AA21" s="57">
        <v>109112</v>
      </c>
      <c r="AB21" s="44">
        <f t="shared" si="14"/>
        <v>62</v>
      </c>
      <c r="AC21" s="57">
        <v>983.8</v>
      </c>
      <c r="AD21" s="44">
        <f t="shared" si="15"/>
        <v>7.2000000000000455</v>
      </c>
      <c r="AE21" s="60">
        <v>72562</v>
      </c>
      <c r="AF21" s="44">
        <f t="shared" si="16"/>
        <v>16</v>
      </c>
      <c r="AG21" s="63">
        <v>3100</v>
      </c>
      <c r="AH21" s="74">
        <v>0</v>
      </c>
      <c r="AI21" s="53">
        <f t="shared" si="4"/>
        <v>0</v>
      </c>
      <c r="AJ21" s="13">
        <v>71</v>
      </c>
      <c r="AK21" s="23">
        <v>122</v>
      </c>
    </row>
    <row r="22" spans="1:37" x14ac:dyDescent="0.2">
      <c r="A22" s="25">
        <v>45617</v>
      </c>
      <c r="B22" s="10">
        <v>32342296</v>
      </c>
      <c r="C22" s="67">
        <f t="shared" si="6"/>
        <v>2847</v>
      </c>
      <c r="D22" s="11">
        <v>1012432</v>
      </c>
      <c r="E22" s="17">
        <f t="shared" si="7"/>
        <v>1143</v>
      </c>
      <c r="F22" s="35">
        <v>111364</v>
      </c>
      <c r="G22" s="97">
        <f t="shared" si="8"/>
        <v>108</v>
      </c>
      <c r="H22" s="101">
        <f t="shared" si="1"/>
        <v>3882</v>
      </c>
      <c r="I22" s="106">
        <f t="shared" si="2"/>
        <v>2938.8099999999831</v>
      </c>
      <c r="J22" s="94">
        <v>4721215.5999999996</v>
      </c>
      <c r="K22" s="44">
        <f t="shared" si="9"/>
        <v>760</v>
      </c>
      <c r="L22" s="15">
        <v>467461</v>
      </c>
      <c r="M22" s="44">
        <f t="shared" si="10"/>
        <v>14.700000000011642</v>
      </c>
      <c r="N22" s="15">
        <v>127363.3</v>
      </c>
      <c r="O22" s="44">
        <f t="shared" si="11"/>
        <v>67.889999999999418</v>
      </c>
      <c r="P22" s="94">
        <v>181408</v>
      </c>
      <c r="Q22" s="66">
        <f t="shared" si="12"/>
        <v>100.60000000000582</v>
      </c>
      <c r="R22" s="25">
        <f t="shared" si="5"/>
        <v>45617</v>
      </c>
      <c r="S22" s="42">
        <v>2930</v>
      </c>
      <c r="T22" s="43">
        <v>0</v>
      </c>
      <c r="U22" s="44">
        <f t="shared" si="13"/>
        <v>88</v>
      </c>
      <c r="V22" s="20">
        <v>0.64</v>
      </c>
      <c r="W22" s="51">
        <v>0.6</v>
      </c>
      <c r="X22" s="52">
        <f t="shared" si="0"/>
        <v>3100</v>
      </c>
      <c r="Y22" s="49"/>
      <c r="Z22" s="53">
        <f t="shared" si="3"/>
        <v>275</v>
      </c>
      <c r="AA22" s="57">
        <v>109174</v>
      </c>
      <c r="AB22" s="44">
        <f t="shared" si="14"/>
        <v>61</v>
      </c>
      <c r="AC22" s="57">
        <v>991</v>
      </c>
      <c r="AD22" s="44">
        <f t="shared" si="15"/>
        <v>9.5</v>
      </c>
      <c r="AE22" s="60">
        <v>72578</v>
      </c>
      <c r="AF22" s="44">
        <f t="shared" si="16"/>
        <v>4</v>
      </c>
      <c r="AG22" s="63">
        <v>3100</v>
      </c>
      <c r="AH22" s="74">
        <v>0</v>
      </c>
      <c r="AI22" s="53">
        <f t="shared" si="4"/>
        <v>0</v>
      </c>
      <c r="AJ22" s="13">
        <v>74</v>
      </c>
      <c r="AK22" s="23">
        <v>122</v>
      </c>
    </row>
    <row r="23" spans="1:37" x14ac:dyDescent="0.2">
      <c r="A23" s="25">
        <v>45618</v>
      </c>
      <c r="B23" s="10">
        <v>32345143</v>
      </c>
      <c r="C23" s="67">
        <f t="shared" si="6"/>
        <v>3436</v>
      </c>
      <c r="D23" s="11">
        <v>1013575</v>
      </c>
      <c r="E23" s="17">
        <f t="shared" si="7"/>
        <v>724</v>
      </c>
      <c r="F23" s="35">
        <v>111472</v>
      </c>
      <c r="G23" s="97">
        <f t="shared" si="8"/>
        <v>12</v>
      </c>
      <c r="H23" s="101">
        <f t="shared" si="1"/>
        <v>4148</v>
      </c>
      <c r="I23" s="106">
        <f t="shared" si="2"/>
        <v>3280.0099999992381</v>
      </c>
      <c r="J23" s="94">
        <v>4721975.5999999996</v>
      </c>
      <c r="K23" s="44">
        <f t="shared" si="9"/>
        <v>684.80000000074506</v>
      </c>
      <c r="L23" s="15">
        <v>467475.7</v>
      </c>
      <c r="M23" s="44">
        <f t="shared" si="10"/>
        <v>14.700000000011642</v>
      </c>
      <c r="N23" s="15">
        <v>127431.19</v>
      </c>
      <c r="O23" s="44">
        <f t="shared" si="11"/>
        <v>67.889999999999418</v>
      </c>
      <c r="P23" s="94">
        <v>181508.6</v>
      </c>
      <c r="Q23" s="66">
        <f t="shared" si="12"/>
        <v>100.60000000000582</v>
      </c>
      <c r="R23" s="25">
        <f t="shared" si="5"/>
        <v>45618</v>
      </c>
      <c r="S23" s="42">
        <v>2842</v>
      </c>
      <c r="T23" s="43">
        <v>0</v>
      </c>
      <c r="U23" s="44">
        <f t="shared" si="13"/>
        <v>87</v>
      </c>
      <c r="V23" s="20">
        <v>0.57999999999999996</v>
      </c>
      <c r="W23" s="51">
        <v>0.55000000000000004</v>
      </c>
      <c r="X23" s="52">
        <f t="shared" si="0"/>
        <v>2825</v>
      </c>
      <c r="Y23" s="49"/>
      <c r="Z23" s="53">
        <f t="shared" si="3"/>
        <v>325</v>
      </c>
      <c r="AA23" s="57">
        <v>109235</v>
      </c>
      <c r="AB23" s="44">
        <f t="shared" si="14"/>
        <v>54</v>
      </c>
      <c r="AC23" s="57">
        <v>1000.5</v>
      </c>
      <c r="AD23" s="44">
        <f t="shared" si="15"/>
        <v>7.2999999999999545</v>
      </c>
      <c r="AE23" s="60">
        <v>72582</v>
      </c>
      <c r="AF23" s="44">
        <f t="shared" si="16"/>
        <v>7</v>
      </c>
      <c r="AG23" s="63">
        <v>3100</v>
      </c>
      <c r="AH23" s="74">
        <v>0</v>
      </c>
      <c r="AI23" s="53">
        <f t="shared" si="4"/>
        <v>0</v>
      </c>
      <c r="AJ23" s="13">
        <v>121</v>
      </c>
      <c r="AK23" s="23">
        <v>214</v>
      </c>
    </row>
    <row r="24" spans="1:37" x14ac:dyDescent="0.2">
      <c r="A24" s="25">
        <v>45619</v>
      </c>
      <c r="B24" s="10">
        <v>32348579</v>
      </c>
      <c r="C24" s="67">
        <f t="shared" si="6"/>
        <v>3072</v>
      </c>
      <c r="D24" s="11">
        <v>1014299</v>
      </c>
      <c r="E24" s="17">
        <f t="shared" si="7"/>
        <v>1233</v>
      </c>
      <c r="F24" s="35">
        <v>111484</v>
      </c>
      <c r="G24" s="97">
        <f t="shared" si="8"/>
        <v>61</v>
      </c>
      <c r="H24" s="101">
        <f t="shared" si="1"/>
        <v>4244</v>
      </c>
      <c r="I24" s="106">
        <f t="shared" si="2"/>
        <v>3280.8100000000704</v>
      </c>
      <c r="J24" s="94">
        <v>4722660.4000000004</v>
      </c>
      <c r="K24" s="44">
        <f t="shared" si="9"/>
        <v>780</v>
      </c>
      <c r="L24" s="15">
        <v>467490.4</v>
      </c>
      <c r="M24" s="44">
        <f t="shared" si="10"/>
        <v>14.699999999953434</v>
      </c>
      <c r="N24" s="15">
        <v>127499.08</v>
      </c>
      <c r="O24" s="44">
        <f t="shared" si="11"/>
        <v>67.889999999999418</v>
      </c>
      <c r="P24" s="94">
        <v>181609.2</v>
      </c>
      <c r="Q24" s="66">
        <f t="shared" si="12"/>
        <v>100.59999999997672</v>
      </c>
      <c r="R24" s="25">
        <f t="shared" si="5"/>
        <v>45619</v>
      </c>
      <c r="S24" s="42">
        <v>2755</v>
      </c>
      <c r="T24" s="43">
        <v>0</v>
      </c>
      <c r="U24" s="44">
        <f t="shared" si="13"/>
        <v>171</v>
      </c>
      <c r="V24" s="20">
        <v>0.5</v>
      </c>
      <c r="W24" s="51">
        <v>0.5</v>
      </c>
      <c r="X24" s="52">
        <f t="shared" si="0"/>
        <v>2500</v>
      </c>
      <c r="Y24" s="49"/>
      <c r="Z24" s="53">
        <f t="shared" si="3"/>
        <v>300</v>
      </c>
      <c r="AA24" s="57">
        <v>109289</v>
      </c>
      <c r="AB24" s="44">
        <f t="shared" si="14"/>
        <v>66</v>
      </c>
      <c r="AC24" s="57">
        <v>1007.8</v>
      </c>
      <c r="AD24" s="44">
        <f t="shared" si="15"/>
        <v>6.6000000000000227</v>
      </c>
      <c r="AE24" s="60">
        <v>72589</v>
      </c>
      <c r="AF24" s="44">
        <f t="shared" si="16"/>
        <v>9</v>
      </c>
      <c r="AG24" s="63">
        <v>3100</v>
      </c>
      <c r="AH24" s="74">
        <v>0</v>
      </c>
      <c r="AI24" s="53">
        <f t="shared" si="4"/>
        <v>0</v>
      </c>
      <c r="AJ24" s="13">
        <v>129</v>
      </c>
      <c r="AK24" s="23">
        <v>238</v>
      </c>
    </row>
    <row r="25" spans="1:37" x14ac:dyDescent="0.2">
      <c r="A25" s="25">
        <v>45620</v>
      </c>
      <c r="B25" s="10">
        <v>32351651</v>
      </c>
      <c r="C25" s="67">
        <f t="shared" si="6"/>
        <v>2537</v>
      </c>
      <c r="D25" s="11">
        <v>1015532</v>
      </c>
      <c r="E25" s="17">
        <f t="shared" si="7"/>
        <v>1300</v>
      </c>
      <c r="F25" s="35">
        <v>111545</v>
      </c>
      <c r="G25" s="97">
        <f t="shared" si="8"/>
        <v>176</v>
      </c>
      <c r="H25" s="101">
        <f t="shared" si="1"/>
        <v>3661</v>
      </c>
      <c r="I25" s="106">
        <f t="shared" si="2"/>
        <v>2751.8099999999831</v>
      </c>
      <c r="J25" s="94">
        <v>4723440.4000000004</v>
      </c>
      <c r="K25" s="44">
        <f t="shared" si="9"/>
        <v>726</v>
      </c>
      <c r="L25" s="15">
        <v>467505.1</v>
      </c>
      <c r="M25" s="44">
        <f t="shared" si="10"/>
        <v>14.700000000011642</v>
      </c>
      <c r="N25" s="15">
        <v>127566.97</v>
      </c>
      <c r="O25" s="44">
        <f t="shared" si="11"/>
        <v>67.889999999999418</v>
      </c>
      <c r="P25" s="94">
        <v>181709.8</v>
      </c>
      <c r="Q25" s="66">
        <f t="shared" si="12"/>
        <v>100.60000000000582</v>
      </c>
      <c r="R25" s="25">
        <f t="shared" si="5"/>
        <v>45620</v>
      </c>
      <c r="S25" s="42">
        <v>2584</v>
      </c>
      <c r="T25" s="43">
        <v>0</v>
      </c>
      <c r="U25" s="44">
        <f t="shared" si="13"/>
        <v>384</v>
      </c>
      <c r="V25" s="20">
        <v>0.43</v>
      </c>
      <c r="W25" s="51">
        <v>0.45</v>
      </c>
      <c r="X25" s="52">
        <f t="shared" si="0"/>
        <v>2200</v>
      </c>
      <c r="Y25" s="49"/>
      <c r="Z25" s="53">
        <f t="shared" si="3"/>
        <v>300</v>
      </c>
      <c r="AA25" s="57">
        <v>109355</v>
      </c>
      <c r="AB25" s="44">
        <f t="shared" si="14"/>
        <v>49</v>
      </c>
      <c r="AC25" s="57">
        <v>1014.4</v>
      </c>
      <c r="AD25" s="44">
        <f t="shared" si="15"/>
        <v>8.3000000000000682</v>
      </c>
      <c r="AE25" s="60">
        <v>72598</v>
      </c>
      <c r="AF25" s="44">
        <f t="shared" si="16"/>
        <v>9</v>
      </c>
      <c r="AG25" s="63">
        <v>3100</v>
      </c>
      <c r="AH25" s="74">
        <v>0</v>
      </c>
      <c r="AI25" s="53">
        <f t="shared" si="4"/>
        <v>0</v>
      </c>
      <c r="AJ25" s="13">
        <v>71</v>
      </c>
      <c r="AK25" s="23">
        <v>124</v>
      </c>
    </row>
    <row r="26" spans="1:37" x14ac:dyDescent="0.2">
      <c r="A26" s="25">
        <v>45621</v>
      </c>
      <c r="B26" s="10">
        <v>32354188</v>
      </c>
      <c r="C26" s="67">
        <f t="shared" si="6"/>
        <v>2990</v>
      </c>
      <c r="D26" s="11">
        <v>1016832</v>
      </c>
      <c r="E26" s="17">
        <f t="shared" si="7"/>
        <v>1149</v>
      </c>
      <c r="F26" s="35">
        <v>111721</v>
      </c>
      <c r="G26" s="97">
        <f t="shared" si="8"/>
        <v>104</v>
      </c>
      <c r="H26" s="101">
        <f t="shared" si="1"/>
        <v>4035</v>
      </c>
      <c r="I26" s="106">
        <f t="shared" si="2"/>
        <v>2857.0100000001694</v>
      </c>
      <c r="J26" s="94">
        <v>4724166.4000000004</v>
      </c>
      <c r="K26" s="44">
        <f t="shared" si="9"/>
        <v>994.79999999981374</v>
      </c>
      <c r="L26" s="15">
        <v>467519.8</v>
      </c>
      <c r="M26" s="44">
        <f t="shared" si="10"/>
        <v>14.700000000011642</v>
      </c>
      <c r="N26" s="15">
        <v>127634.86</v>
      </c>
      <c r="O26" s="44">
        <f t="shared" si="11"/>
        <v>67.889999999999418</v>
      </c>
      <c r="P26" s="94">
        <v>181810.4</v>
      </c>
      <c r="Q26" s="66">
        <f t="shared" si="12"/>
        <v>100.60000000000582</v>
      </c>
      <c r="R26" s="25">
        <f t="shared" si="5"/>
        <v>45621</v>
      </c>
      <c r="S26" s="42">
        <v>2200</v>
      </c>
      <c r="T26" s="43">
        <v>0</v>
      </c>
      <c r="U26" s="44">
        <f t="shared" si="13"/>
        <v>194</v>
      </c>
      <c r="V26" s="20">
        <v>0.4</v>
      </c>
      <c r="W26" s="51">
        <v>0.36</v>
      </c>
      <c r="X26" s="52">
        <f t="shared" si="0"/>
        <v>1900</v>
      </c>
      <c r="Y26" s="49">
        <v>2762.58</v>
      </c>
      <c r="Z26" s="53">
        <f t="shared" si="3"/>
        <v>662.57999999999993</v>
      </c>
      <c r="AA26" s="57">
        <v>109404</v>
      </c>
      <c r="AB26" s="44">
        <f t="shared" si="14"/>
        <v>43</v>
      </c>
      <c r="AC26" s="57">
        <v>1022.7</v>
      </c>
      <c r="AD26" s="44">
        <f t="shared" si="15"/>
        <v>3.0999999999999091</v>
      </c>
      <c r="AE26" s="60">
        <v>72607</v>
      </c>
      <c r="AF26" s="44">
        <f t="shared" si="16"/>
        <v>27</v>
      </c>
      <c r="AG26" s="63">
        <v>3100</v>
      </c>
      <c r="AH26" s="74">
        <v>0</v>
      </c>
      <c r="AI26" s="53">
        <f t="shared" si="4"/>
        <v>0</v>
      </c>
      <c r="AJ26" s="13">
        <v>61</v>
      </c>
      <c r="AK26" s="23">
        <v>101</v>
      </c>
    </row>
    <row r="27" spans="1:37" x14ac:dyDescent="0.2">
      <c r="A27" s="25">
        <v>45622</v>
      </c>
      <c r="B27" s="10">
        <v>32357178</v>
      </c>
      <c r="C27" s="67">
        <f t="shared" si="6"/>
        <v>2536</v>
      </c>
      <c r="D27" s="11">
        <v>1017981</v>
      </c>
      <c r="E27" s="17">
        <f t="shared" si="7"/>
        <v>1317</v>
      </c>
      <c r="F27" s="35">
        <v>111825</v>
      </c>
      <c r="G27" s="97">
        <f t="shared" si="8"/>
        <v>89</v>
      </c>
      <c r="H27" s="101">
        <f t="shared" si="1"/>
        <v>3764</v>
      </c>
      <c r="I27" s="106">
        <f t="shared" si="2"/>
        <v>2532.8099999999831</v>
      </c>
      <c r="J27" s="94">
        <v>4725161.2</v>
      </c>
      <c r="K27" s="44">
        <f t="shared" si="9"/>
        <v>1048</v>
      </c>
      <c r="L27" s="15">
        <v>467534.5</v>
      </c>
      <c r="M27" s="44">
        <f t="shared" si="10"/>
        <v>14.700000000011642</v>
      </c>
      <c r="N27" s="15">
        <v>127702.75</v>
      </c>
      <c r="O27" s="44">
        <f t="shared" si="11"/>
        <v>67.889999999999418</v>
      </c>
      <c r="P27" s="94">
        <v>181911</v>
      </c>
      <c r="Q27" s="66">
        <f t="shared" si="12"/>
        <v>100.60000000000582</v>
      </c>
      <c r="R27" s="25">
        <f t="shared" si="5"/>
        <v>45622</v>
      </c>
      <c r="S27" s="42">
        <v>2006</v>
      </c>
      <c r="T27" s="43">
        <v>8000</v>
      </c>
      <c r="U27" s="44">
        <f t="shared" si="13"/>
        <v>337</v>
      </c>
      <c r="V27" s="20">
        <v>0.8</v>
      </c>
      <c r="W27" s="51">
        <v>0.8</v>
      </c>
      <c r="X27" s="52">
        <f t="shared" si="0"/>
        <v>4000</v>
      </c>
      <c r="Y27" s="49"/>
      <c r="Z27" s="53">
        <f t="shared" si="3"/>
        <v>75</v>
      </c>
      <c r="AA27" s="57">
        <v>109447</v>
      </c>
      <c r="AB27" s="44">
        <f t="shared" si="14"/>
        <v>33</v>
      </c>
      <c r="AC27" s="57">
        <v>1025.8</v>
      </c>
      <c r="AD27" s="44">
        <f t="shared" si="15"/>
        <v>2.7000000000000455</v>
      </c>
      <c r="AE27" s="60">
        <v>72634</v>
      </c>
      <c r="AF27" s="44">
        <f t="shared" si="16"/>
        <v>5</v>
      </c>
      <c r="AG27" s="63">
        <v>3100</v>
      </c>
      <c r="AH27" s="74">
        <v>0</v>
      </c>
      <c r="AI27" s="53">
        <f t="shared" si="4"/>
        <v>0</v>
      </c>
      <c r="AJ27" s="13">
        <v>51</v>
      </c>
      <c r="AK27" s="23">
        <v>84</v>
      </c>
    </row>
    <row r="28" spans="1:37" x14ac:dyDescent="0.2">
      <c r="A28" s="25">
        <v>45623</v>
      </c>
      <c r="B28" s="10">
        <v>32359714</v>
      </c>
      <c r="C28" s="67">
        <f t="shared" si="6"/>
        <v>2862</v>
      </c>
      <c r="D28" s="11">
        <v>1019298</v>
      </c>
      <c r="E28" s="17">
        <f t="shared" si="7"/>
        <v>1212</v>
      </c>
      <c r="F28" s="35">
        <v>111914</v>
      </c>
      <c r="G28" s="97">
        <f t="shared" si="8"/>
        <v>138</v>
      </c>
      <c r="H28" s="101">
        <f t="shared" si="1"/>
        <v>3936</v>
      </c>
      <c r="I28" s="106">
        <f t="shared" si="2"/>
        <v>2698.4100000005419</v>
      </c>
      <c r="J28" s="94">
        <v>4726209.2</v>
      </c>
      <c r="K28" s="44">
        <f t="shared" si="9"/>
        <v>1054.3999999994412</v>
      </c>
      <c r="L28" s="15">
        <v>467549.2</v>
      </c>
      <c r="M28" s="44">
        <f t="shared" si="10"/>
        <v>14.700000000011642</v>
      </c>
      <c r="N28" s="15">
        <v>127770.64</v>
      </c>
      <c r="O28" s="44">
        <f t="shared" si="11"/>
        <v>67.889999999999418</v>
      </c>
      <c r="P28" s="94">
        <v>182011.6</v>
      </c>
      <c r="Q28" s="66">
        <f t="shared" si="12"/>
        <v>100.60000000000582</v>
      </c>
      <c r="R28" s="25">
        <f t="shared" si="5"/>
        <v>45623</v>
      </c>
      <c r="S28" s="42">
        <v>9669</v>
      </c>
      <c r="T28" s="43">
        <v>0</v>
      </c>
      <c r="U28" s="44">
        <f t="shared" si="13"/>
        <v>196</v>
      </c>
      <c r="V28" s="20">
        <v>0.78</v>
      </c>
      <c r="W28" s="51">
        <v>0.79</v>
      </c>
      <c r="X28" s="52">
        <f t="shared" si="0"/>
        <v>3925</v>
      </c>
      <c r="Y28" s="49"/>
      <c r="Z28" s="53">
        <f t="shared" si="3"/>
        <v>150</v>
      </c>
      <c r="AA28" s="57">
        <v>109480</v>
      </c>
      <c r="AB28" s="44">
        <f t="shared" si="14"/>
        <v>32</v>
      </c>
      <c r="AC28" s="57">
        <v>1028.5</v>
      </c>
      <c r="AD28" s="44">
        <f t="shared" si="15"/>
        <v>2.5</v>
      </c>
      <c r="AE28" s="60">
        <v>72639</v>
      </c>
      <c r="AF28" s="44">
        <f t="shared" si="16"/>
        <v>37</v>
      </c>
      <c r="AG28" s="63">
        <v>3100</v>
      </c>
      <c r="AH28" s="74">
        <v>0</v>
      </c>
      <c r="AI28" s="53">
        <f t="shared" si="4"/>
        <v>0</v>
      </c>
      <c r="AJ28" s="13">
        <v>51</v>
      </c>
      <c r="AK28" s="23">
        <v>79</v>
      </c>
    </row>
    <row r="29" spans="1:37" x14ac:dyDescent="0.2">
      <c r="A29" s="25">
        <v>45624</v>
      </c>
      <c r="B29" s="10">
        <v>32362576</v>
      </c>
      <c r="C29" s="67">
        <f t="shared" si="6"/>
        <v>2485</v>
      </c>
      <c r="D29" s="11">
        <v>1020510</v>
      </c>
      <c r="E29" s="17">
        <f t="shared" si="7"/>
        <v>1238</v>
      </c>
      <c r="F29" s="35">
        <v>112052</v>
      </c>
      <c r="G29" s="97">
        <f t="shared" si="8"/>
        <v>108</v>
      </c>
      <c r="H29" s="101">
        <f t="shared" si="1"/>
        <v>3615</v>
      </c>
      <c r="I29" s="106">
        <f t="shared" si="2"/>
        <v>2510.2099999995116</v>
      </c>
      <c r="J29" s="94">
        <v>4727263.5999999996</v>
      </c>
      <c r="K29" s="44">
        <f t="shared" si="9"/>
        <v>921.60000000055879</v>
      </c>
      <c r="L29" s="15">
        <v>467563.9</v>
      </c>
      <c r="M29" s="44">
        <f t="shared" si="10"/>
        <v>14.699999999953434</v>
      </c>
      <c r="N29" s="15">
        <v>127838.53</v>
      </c>
      <c r="O29" s="44">
        <f t="shared" si="11"/>
        <v>67.889999999999418</v>
      </c>
      <c r="P29" s="94">
        <v>182112.2</v>
      </c>
      <c r="Q29" s="66">
        <f t="shared" si="12"/>
        <v>100.59999999997672</v>
      </c>
      <c r="R29" s="25">
        <f t="shared" si="5"/>
        <v>45624</v>
      </c>
      <c r="S29" s="42">
        <v>9473</v>
      </c>
      <c r="T29" s="43">
        <v>0</v>
      </c>
      <c r="U29" s="44">
        <f t="shared" si="13"/>
        <v>295</v>
      </c>
      <c r="V29" s="20">
        <v>0.77</v>
      </c>
      <c r="W29" s="51">
        <v>0.74</v>
      </c>
      <c r="X29" s="52">
        <f t="shared" si="0"/>
        <v>3775</v>
      </c>
      <c r="Y29" s="49"/>
      <c r="Z29" s="53">
        <f t="shared" si="3"/>
        <v>75</v>
      </c>
      <c r="AA29" s="57">
        <v>109512</v>
      </c>
      <c r="AB29" s="44">
        <f t="shared" si="14"/>
        <v>32</v>
      </c>
      <c r="AC29" s="57">
        <v>1031</v>
      </c>
      <c r="AD29" s="44">
        <f t="shared" si="15"/>
        <v>3.7000000000000455</v>
      </c>
      <c r="AE29" s="60">
        <v>72676</v>
      </c>
      <c r="AF29" s="44">
        <f t="shared" si="16"/>
        <v>22</v>
      </c>
      <c r="AG29" s="63">
        <v>3100</v>
      </c>
      <c r="AH29" s="74">
        <v>0</v>
      </c>
      <c r="AI29" s="53">
        <f t="shared" si="4"/>
        <v>0</v>
      </c>
      <c r="AJ29" s="13">
        <v>50</v>
      </c>
      <c r="AK29" s="23">
        <v>78</v>
      </c>
    </row>
    <row r="30" spans="1:37" x14ac:dyDescent="0.2">
      <c r="A30" s="25">
        <v>45625</v>
      </c>
      <c r="B30" s="10">
        <v>32365061</v>
      </c>
      <c r="C30" s="67">
        <f t="shared" si="6"/>
        <v>2669</v>
      </c>
      <c r="D30" s="11">
        <v>1021748</v>
      </c>
      <c r="E30" s="17">
        <f t="shared" si="7"/>
        <v>1207</v>
      </c>
      <c r="F30" s="35">
        <v>112160</v>
      </c>
      <c r="G30" s="97">
        <f t="shared" si="8"/>
        <v>85</v>
      </c>
      <c r="H30" s="101">
        <f t="shared" si="1"/>
        <v>3791</v>
      </c>
      <c r="I30" s="106">
        <f t="shared" si="2"/>
        <v>2609.4100000005419</v>
      </c>
      <c r="J30" s="94">
        <v>4728185.2</v>
      </c>
      <c r="K30" s="44">
        <f t="shared" si="9"/>
        <v>998.39999999944121</v>
      </c>
      <c r="L30" s="15">
        <v>467578.6</v>
      </c>
      <c r="M30" s="44">
        <f t="shared" si="10"/>
        <v>14.700000000011642</v>
      </c>
      <c r="N30" s="15">
        <v>127906.42</v>
      </c>
      <c r="O30" s="44">
        <f t="shared" si="11"/>
        <v>67.889999999999418</v>
      </c>
      <c r="P30" s="94">
        <v>182212.8</v>
      </c>
      <c r="Q30" s="66">
        <f t="shared" si="12"/>
        <v>100.60000000000582</v>
      </c>
      <c r="R30" s="25">
        <f t="shared" si="5"/>
        <v>45625</v>
      </c>
      <c r="S30" s="42">
        <v>9178</v>
      </c>
      <c r="T30" s="43">
        <v>0</v>
      </c>
      <c r="U30" s="44">
        <f t="shared" si="13"/>
        <v>278</v>
      </c>
      <c r="V30" s="20">
        <v>0.73</v>
      </c>
      <c r="W30" s="51">
        <v>0.75</v>
      </c>
      <c r="X30" s="52">
        <f t="shared" si="0"/>
        <v>3700</v>
      </c>
      <c r="Y30" s="49"/>
      <c r="Z30" s="53">
        <f t="shared" si="3"/>
        <v>125</v>
      </c>
      <c r="AA30" s="57">
        <v>109544</v>
      </c>
      <c r="AB30" s="44">
        <f t="shared" si="14"/>
        <v>50</v>
      </c>
      <c r="AC30" s="57">
        <v>1034.7</v>
      </c>
      <c r="AD30" s="44">
        <f t="shared" si="15"/>
        <v>14.099999999999909</v>
      </c>
      <c r="AE30" s="60">
        <v>72698</v>
      </c>
      <c r="AF30" s="44">
        <f t="shared" si="16"/>
        <v>22</v>
      </c>
      <c r="AG30" s="63">
        <v>3100</v>
      </c>
      <c r="AH30" s="74">
        <v>0</v>
      </c>
      <c r="AI30" s="53">
        <f t="shared" si="4"/>
        <v>0</v>
      </c>
      <c r="AJ30" s="13">
        <v>61</v>
      </c>
      <c r="AK30" s="23">
        <v>97</v>
      </c>
    </row>
    <row r="31" spans="1:37" x14ac:dyDescent="0.2">
      <c r="A31" s="25">
        <v>45626</v>
      </c>
      <c r="B31" s="10">
        <v>32367730</v>
      </c>
      <c r="C31" s="67">
        <f t="shared" si="6"/>
        <v>2643</v>
      </c>
      <c r="D31" s="11">
        <v>1022955</v>
      </c>
      <c r="E31" s="17">
        <f t="shared" si="7"/>
        <v>1181</v>
      </c>
      <c r="F31" s="36">
        <v>112245</v>
      </c>
      <c r="G31" s="97">
        <f t="shared" si="8"/>
        <v>105</v>
      </c>
      <c r="H31" s="101">
        <f t="shared" si="1"/>
        <v>3719</v>
      </c>
      <c r="I31" s="106">
        <f t="shared" si="2"/>
        <v>2565.0099999992381</v>
      </c>
      <c r="J31" s="98">
        <v>4729183.5999999996</v>
      </c>
      <c r="K31" s="44">
        <f t="shared" si="9"/>
        <v>970.80000000074506</v>
      </c>
      <c r="L31" s="15">
        <v>467593.3</v>
      </c>
      <c r="M31" s="44">
        <f t="shared" si="10"/>
        <v>14.700000000011642</v>
      </c>
      <c r="N31" s="15">
        <v>127974.31</v>
      </c>
      <c r="O31" s="44">
        <f t="shared" si="11"/>
        <v>67.889999999999418</v>
      </c>
      <c r="P31" s="94">
        <v>182313.4</v>
      </c>
      <c r="Q31" s="66">
        <f t="shared" si="12"/>
        <v>100.60000000000582</v>
      </c>
      <c r="R31" s="25">
        <f t="shared" si="5"/>
        <v>45626</v>
      </c>
      <c r="S31" s="42">
        <v>8900</v>
      </c>
      <c r="T31" s="43">
        <v>0</v>
      </c>
      <c r="U31" s="44">
        <f t="shared" si="13"/>
        <v>319</v>
      </c>
      <c r="V31" s="20">
        <v>0.7</v>
      </c>
      <c r="W31" s="51">
        <v>0.73</v>
      </c>
      <c r="X31" s="52">
        <f t="shared" si="0"/>
        <v>3575</v>
      </c>
      <c r="Y31" s="49"/>
      <c r="Z31" s="53">
        <f t="shared" si="3"/>
        <v>50</v>
      </c>
      <c r="AA31" s="57">
        <v>109594</v>
      </c>
      <c r="AB31" s="44">
        <f t="shared" si="14"/>
        <v>31</v>
      </c>
      <c r="AC31" s="68">
        <v>1048.8</v>
      </c>
      <c r="AD31" s="44">
        <f t="shared" si="15"/>
        <v>3.2000000000000455</v>
      </c>
      <c r="AE31" s="60">
        <v>72720</v>
      </c>
      <c r="AF31" s="44">
        <f t="shared" si="16"/>
        <v>1</v>
      </c>
      <c r="AG31" s="63">
        <v>3100</v>
      </c>
      <c r="AH31" s="74">
        <v>0</v>
      </c>
      <c r="AI31" s="53">
        <f t="shared" si="4"/>
        <v>0</v>
      </c>
      <c r="AJ31" s="13">
        <v>71</v>
      </c>
      <c r="AK31" s="23">
        <v>125</v>
      </c>
    </row>
    <row r="32" spans="1:37" ht="13.5" thickBot="1" x14ac:dyDescent="0.25">
      <c r="A32" s="25">
        <v>45627</v>
      </c>
      <c r="B32" s="10">
        <v>32370373</v>
      </c>
      <c r="C32" s="67"/>
      <c r="D32" s="11">
        <v>1024136</v>
      </c>
      <c r="E32" s="17"/>
      <c r="F32" s="36">
        <v>112350</v>
      </c>
      <c r="G32" s="97"/>
      <c r="H32" s="102">
        <f t="shared" si="1"/>
        <v>0</v>
      </c>
      <c r="I32" s="107">
        <f t="shared" si="2"/>
        <v>0</v>
      </c>
      <c r="J32" s="98">
        <v>4730154.4000000004</v>
      </c>
      <c r="K32" s="44"/>
      <c r="L32" s="15">
        <v>467608</v>
      </c>
      <c r="M32" s="44"/>
      <c r="N32" s="15">
        <v>128042.2</v>
      </c>
      <c r="O32" s="44"/>
      <c r="P32" s="94">
        <v>182414</v>
      </c>
      <c r="Q32" s="66"/>
      <c r="R32" s="25">
        <f t="shared" si="5"/>
        <v>45627</v>
      </c>
      <c r="S32" s="42">
        <v>8581</v>
      </c>
      <c r="T32" s="43">
        <v>0</v>
      </c>
      <c r="U32" s="44"/>
      <c r="V32" s="20">
        <v>0.69</v>
      </c>
      <c r="W32" s="51">
        <v>0.72</v>
      </c>
      <c r="X32" s="52">
        <f t="shared" si="0"/>
        <v>3525</v>
      </c>
      <c r="Y32" s="49"/>
      <c r="Z32" s="53"/>
      <c r="AA32" s="57">
        <v>109625</v>
      </c>
      <c r="AB32" s="44"/>
      <c r="AC32" s="68">
        <v>1052</v>
      </c>
      <c r="AD32" s="44"/>
      <c r="AE32" s="60">
        <v>72721</v>
      </c>
      <c r="AF32" s="44"/>
      <c r="AG32" s="63">
        <v>3100</v>
      </c>
      <c r="AH32" s="74">
        <v>0</v>
      </c>
      <c r="AI32" s="78">
        <f t="shared" si="4"/>
        <v>0</v>
      </c>
      <c r="AJ32" s="79"/>
      <c r="AK32" s="80"/>
    </row>
    <row r="33" spans="1:37" ht="14.25" thickTop="1" thickBot="1" x14ac:dyDescent="0.25">
      <c r="A33" s="26">
        <v>45628</v>
      </c>
      <c r="B33" s="75"/>
      <c r="C33" s="91"/>
      <c r="D33" s="88"/>
      <c r="E33" s="91"/>
      <c r="F33" s="89"/>
      <c r="G33" s="148"/>
      <c r="H33" s="149"/>
      <c r="I33" s="150"/>
      <c r="J33" s="90"/>
      <c r="K33" s="91"/>
      <c r="L33" s="87"/>
      <c r="M33" s="91"/>
      <c r="N33" s="87"/>
      <c r="O33" s="91"/>
      <c r="P33" s="87"/>
      <c r="Q33" s="91"/>
      <c r="R33" s="86">
        <f>A33</f>
        <v>45628</v>
      </c>
      <c r="S33" s="69"/>
      <c r="T33" s="92">
        <v>0</v>
      </c>
      <c r="U33" s="91"/>
      <c r="V33" s="85"/>
      <c r="W33" s="70"/>
      <c r="X33" s="54">
        <f t="shared" si="0"/>
        <v>0</v>
      </c>
      <c r="Y33" s="76"/>
      <c r="Z33" s="91"/>
      <c r="AA33" s="84"/>
      <c r="AB33" s="91"/>
      <c r="AC33" s="83"/>
      <c r="AD33" s="91"/>
      <c r="AE33" s="82"/>
      <c r="AF33" s="91"/>
      <c r="AG33" s="81">
        <v>3100</v>
      </c>
      <c r="AH33" s="77">
        <v>0</v>
      </c>
      <c r="AI33" s="148"/>
      <c r="AJ33" s="151"/>
      <c r="AK33" s="151"/>
    </row>
    <row r="34" spans="1:37" s="114" customFormat="1" ht="12" thickTop="1" x14ac:dyDescent="0.2">
      <c r="A34" s="111"/>
      <c r="B34" s="111"/>
      <c r="C34" s="143">
        <f>SUM(C2:C33)</f>
        <v>102729</v>
      </c>
      <c r="D34" s="112"/>
      <c r="E34" s="143">
        <f>SUM(E2:E33)</f>
        <v>35893</v>
      </c>
      <c r="F34" s="113"/>
      <c r="G34" s="143">
        <f>SUM(G2:G33)</f>
        <v>1741</v>
      </c>
      <c r="H34" s="143">
        <f>SUM(H2:H33)</f>
        <v>136881</v>
      </c>
      <c r="I34" s="143">
        <f>SUM(I2:I32)</f>
        <v>105495.3</v>
      </c>
      <c r="J34" s="113"/>
      <c r="K34" s="143">
        <f>SUM(K2:K33)</f>
        <v>25890</v>
      </c>
      <c r="L34" s="113"/>
      <c r="M34" s="143">
        <f>SUM(M2:M33)</f>
        <v>441</v>
      </c>
      <c r="N34" s="113"/>
      <c r="O34" s="143">
        <f>SUM(O2:O33)</f>
        <v>2036.6999999999971</v>
      </c>
      <c r="P34" s="113"/>
      <c r="Q34" s="143">
        <f>SUM(Q2:Q33)</f>
        <v>3018</v>
      </c>
      <c r="R34" s="111"/>
      <c r="S34" s="112"/>
      <c r="T34" s="112"/>
      <c r="U34" s="144">
        <f>SUM(U2:U33)</f>
        <v>5439</v>
      </c>
      <c r="V34" s="111"/>
      <c r="W34" s="111"/>
      <c r="X34" s="111"/>
      <c r="Y34" s="145">
        <f>SUM(Y2:Y33)</f>
        <v>9865.6299999999992</v>
      </c>
      <c r="Z34" s="143">
        <f>SUM(Z2:Z33)</f>
        <v>9465.6299999999992</v>
      </c>
      <c r="AA34" s="111"/>
      <c r="AB34" s="143">
        <f>SUM(AB2:AB33)</f>
        <v>1829</v>
      </c>
      <c r="AC34" s="113"/>
      <c r="AD34" s="143">
        <f>SUM(AD2:AD33)</f>
        <v>218.5</v>
      </c>
      <c r="AE34" s="111"/>
      <c r="AF34" s="144">
        <f>SUM(AF2:AF33)</f>
        <v>421</v>
      </c>
      <c r="AG34" s="111"/>
      <c r="AH34" s="147">
        <f>SUM(AH2:AH33)</f>
        <v>0</v>
      </c>
      <c r="AI34" s="143">
        <f>SUM(AI2:AI33)</f>
        <v>0</v>
      </c>
      <c r="AJ34" s="146">
        <f>SUM(AJ2:AJ33)</f>
        <v>3203</v>
      </c>
      <c r="AK34" s="143">
        <f>SUM(AK2:AK32)</f>
        <v>5723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L36" s="4"/>
      <c r="N36" s="4"/>
      <c r="P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3"/>
      <c r="I37" s="103"/>
      <c r="L37" s="4"/>
      <c r="N37" s="4"/>
      <c r="O37" s="71"/>
      <c r="P37" s="4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L38" s="4"/>
      <c r="N38" s="4"/>
      <c r="P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L39" s="4"/>
      <c r="N39" s="4"/>
      <c r="P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2024-12-02T07:35:20Z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