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950" documentId="8_{5B502D95-7A37-4D5A-8B6B-374537CC2F26}" xr6:coauthVersionLast="47" xr6:coauthVersionMax="47" xr10:uidLastSave="{EF132573-D008-45BE-BA79-7B6B93BC1D28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2" l="1"/>
  <c r="V22" i="2"/>
  <c r="V23" i="2"/>
  <c r="N22" i="2"/>
  <c r="N23" i="2"/>
  <c r="N24" i="2"/>
  <c r="M22" i="2"/>
  <c r="M23" i="2"/>
  <c r="M24" i="2"/>
  <c r="L22" i="2"/>
  <c r="L23" i="2"/>
  <c r="L24" i="2"/>
  <c r="F22" i="2"/>
  <c r="F23" i="2"/>
  <c r="F24" i="2"/>
  <c r="K21" i="6"/>
  <c r="I21" i="6"/>
  <c r="G21" i="6"/>
  <c r="E21" i="6"/>
  <c r="E22" i="6"/>
  <c r="E23" i="6"/>
  <c r="V20" i="2"/>
  <c r="N21" i="2"/>
  <c r="M21" i="2"/>
  <c r="L21" i="2"/>
  <c r="F21" i="2"/>
  <c r="K20" i="6"/>
  <c r="I20" i="6"/>
  <c r="G20" i="6"/>
  <c r="E20" i="6"/>
  <c r="V19" i="2"/>
  <c r="N20" i="2"/>
  <c r="M20" i="2"/>
  <c r="L20" i="2"/>
  <c r="F20" i="2"/>
  <c r="K19" i="6"/>
  <c r="I19" i="6"/>
  <c r="G19" i="6"/>
  <c r="E19" i="6"/>
  <c r="V18" i="2"/>
  <c r="N19" i="2"/>
  <c r="L19" i="2"/>
  <c r="F19" i="2"/>
  <c r="K18" i="6"/>
  <c r="I18" i="6"/>
  <c r="G18" i="6"/>
  <c r="E18" i="6"/>
  <c r="V17" i="2"/>
  <c r="N18" i="2"/>
  <c r="M18" i="2"/>
  <c r="M19" i="2"/>
  <c r="L18" i="2"/>
  <c r="F18" i="2"/>
  <c r="K17" i="6"/>
  <c r="I17" i="6"/>
  <c r="G17" i="6"/>
  <c r="E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Q39" i="2"/>
  <c r="O39" i="2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34" i="6"/>
  <c r="I34" i="6"/>
  <c r="G34" i="6"/>
  <c r="E34" i="6"/>
  <c r="K31" i="6"/>
  <c r="K32" i="6"/>
  <c r="K33" i="6"/>
  <c r="I31" i="6"/>
  <c r="I32" i="6"/>
  <c r="I33" i="6"/>
  <c r="G31" i="6"/>
  <c r="G32" i="6"/>
  <c r="G33" i="6"/>
  <c r="E31" i="6"/>
  <c r="E32" i="6"/>
  <c r="E33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K23" i="6"/>
  <c r="I23" i="6"/>
  <c r="G23" i="6"/>
  <c r="G17" i="4"/>
  <c r="K22" i="6"/>
  <c r="I22" i="6"/>
  <c r="G22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K39" i="6"/>
  <c r="I39" i="6"/>
  <c r="G39" i="6"/>
  <c r="E39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0" i="4"/>
  <c r="G22" i="4"/>
  <c r="G24" i="4"/>
  <c r="G26" i="4"/>
  <c r="G27" i="4"/>
  <c r="E8" i="4"/>
  <c r="E12" i="4"/>
  <c r="E13" i="4"/>
  <c r="E14" i="4"/>
  <c r="E15" i="4"/>
  <c r="E16" i="4"/>
  <c r="E17" i="4"/>
  <c r="E18" i="4"/>
  <c r="E20" i="4"/>
  <c r="E22" i="4"/>
  <c r="E24" i="4"/>
  <c r="E26" i="4"/>
  <c r="E27" i="4"/>
  <c r="C8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1" i="4" l="1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<sst xmlns="http://schemas.openxmlformats.org/spreadsheetml/2006/main" count="476" uniqueCount="186">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</sst>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énergie'!V19</f>
        <v>735.98183000000006</v>
      </c>
      <c r="H10" s="134">
        <v>9.9649999999999999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énergie'!V20</f>
        <v>575.98577999999998</v>
      </c>
      <c r="H11" s="134">
        <v>9.9649999999999999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énergie'!V22</f>
        <v>415.98973000000001</v>
      </c>
      <c r="H13" s="134">
        <v>9.9649999999999999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94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7260.3464900000008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0" activePane="bottomRight" state="frozen"/>
      <selection pane="bottomRight" activeCell="E24" sqref="E2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V10*11.2513</f>
        <v>5832.8989460000012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V11*11.2513</f>
        <v>5416.2633070000011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3749.7207510000007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5843.9252200000001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8280.7523638790008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7200.6542294600004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7560.6869409330011</v>
      </c>
    </row>
    <row r="17" spans="1:24" s="5" customFormat="1" ht="32.25" customHeight="1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1"/>
        <v>5400.4906720950003</v>
      </c>
    </row>
    <row r="18" spans="1:24" ht="32.25" customHeight="1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6">
        <f t="shared" si="0"/>
        <v>939.65099999994879</v>
      </c>
      <c r="I18" s="167"/>
      <c r="J18" s="167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2"/>
        <v>11791</v>
      </c>
      <c r="P18" s="12"/>
      <c r="Q18" s="34">
        <f t="shared" si="3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3960.359826203</v>
      </c>
    </row>
    <row r="19" spans="1:24" ht="32.25" customHeight="1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6">
        <f t="shared" si="0"/>
        <v>860.54100000007668</v>
      </c>
      <c r="I19" s="167"/>
      <c r="J19" s="167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2"/>
        <v>10942</v>
      </c>
      <c r="P19" s="12"/>
      <c r="Q19" s="34">
        <f t="shared" si="3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1"/>
        <v>8280.7523638790008</v>
      </c>
    </row>
    <row r="20" spans="1:24" ht="32.25" customHeight="1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6">
        <f t="shared" si="0"/>
        <v>806.92200000002549</v>
      </c>
      <c r="I20" s="167"/>
      <c r="J20" s="167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2"/>
        <v>10681</v>
      </c>
      <c r="P20" s="12"/>
      <c r="Q20" s="34">
        <f t="shared" si="3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1"/>
        <v>6480.5888065139998</v>
      </c>
    </row>
    <row r="21" spans="1:24" ht="32.25" customHeight="1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6">
        <f t="shared" si="0"/>
        <v>767.36699999989764</v>
      </c>
      <c r="I21" s="167"/>
      <c r="J21" s="167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>L21+M21+N21</f>
        <v>11552</v>
      </c>
      <c r="P21" s="12"/>
      <c r="Q21" s="34">
        <f t="shared" si="3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4320.3925376759998</v>
      </c>
    </row>
    <row r="22" spans="1:24" ht="32.25" customHeight="1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6">
        <f t="shared" ref="H22:H35" si="4">F22*8.79</f>
        <v>1023.1560000000767</v>
      </c>
      <c r="I22" s="167"/>
      <c r="J22" s="167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2"/>
        <v>11515</v>
      </c>
      <c r="P22" s="12"/>
      <c r="Q22" s="34">
        <f t="shared" si="3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4680.4252491490006</v>
      </c>
    </row>
    <row r="23" spans="1:24" ht="32.25" customHeight="1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6">
        <f t="shared" si="4"/>
        <v>999.42299999997431</v>
      </c>
      <c r="I23" s="167"/>
      <c r="J23" s="167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>L23+M23+N23</f>
        <v>11657</v>
      </c>
      <c r="P23" s="12"/>
      <c r="Q23" s="34">
        <f>L23*0.6985+M23*0.9514+N23*1.3304</f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4680.4252491490006</v>
      </c>
    </row>
    <row r="24" spans="1:24" ht="32.25" customHeight="1">
      <c r="A24" s="2"/>
      <c r="B24" s="6">
        <v>44515</v>
      </c>
      <c r="C24" s="7"/>
      <c r="D24" s="143"/>
      <c r="E24" s="143"/>
      <c r="F24" s="13">
        <f>'Suivi EAU-ELEC'!E23</f>
        <v>94</v>
      </c>
      <c r="G24" s="14"/>
      <c r="H24" s="166">
        <f t="shared" si="4"/>
        <v>826.25999999999988</v>
      </c>
      <c r="I24" s="167"/>
      <c r="J24" s="167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>L24+M24+N24</f>
        <v>10923</v>
      </c>
      <c r="P24" s="12"/>
      <c r="Q24" s="34">
        <f>L24*0.6985+M24*0.9514+N24*1.3304</f>
        <v>10456.411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44516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44517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44518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44519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44520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44521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44522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44523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44524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44525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44526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44527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44528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44529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44530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1306</v>
      </c>
      <c r="E40" s="8">
        <f>SUM(E10:E39)</f>
        <v>1934</v>
      </c>
      <c r="F40" s="152">
        <f>SUM(F10:F39)</f>
        <v>1572.6000000000058</v>
      </c>
      <c r="G40" s="1"/>
      <c r="H40" s="247">
        <f>SUM(H10:H39)</f>
        <v>13823.154000000051</v>
      </c>
      <c r="I40" s="248"/>
      <c r="J40" s="249"/>
      <c r="K40" s="1"/>
      <c r="L40" s="53">
        <f>SUM(L10:L39)</f>
        <v>57339</v>
      </c>
      <c r="M40" s="53">
        <f>SUM(M10:M39)</f>
        <v>89747</v>
      </c>
      <c r="N40" s="54">
        <f>SUM(N10:N39)</f>
        <v>39778</v>
      </c>
      <c r="O40" s="55">
        <f>SUM(O10:O39)</f>
        <v>186864</v>
      </c>
      <c r="P40" s="31"/>
      <c r="Q40" s="32">
        <f>SUM(Q10:Q39)</f>
        <v>178385.17689999999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7260.3464900000008</v>
      </c>
      <c r="W40" s="31"/>
      <c r="X40" s="32">
        <f>SUM(X10:X39)</f>
        <v>81688.336462937019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2" t="s">
        <v>33</v>
      </c>
      <c r="B42" s="203"/>
      <c r="C42" s="203"/>
      <c r="D42" s="203"/>
      <c r="E42" s="203"/>
      <c r="F42" s="204"/>
      <c r="G42" s="26"/>
      <c r="H42" s="27" t="s">
        <v>34</v>
      </c>
      <c r="I42" s="241" t="s">
        <v>35</v>
      </c>
      <c r="J42" s="242"/>
      <c r="K42" s="243"/>
      <c r="L42" s="216" t="s">
        <v>36</v>
      </c>
      <c r="M42" s="217"/>
      <c r="N42" s="202" t="s">
        <v>37</v>
      </c>
      <c r="O42" s="203"/>
      <c r="P42" s="203"/>
      <c r="Q42" s="203"/>
      <c r="R42" s="203"/>
      <c r="S42" s="203"/>
      <c r="T42" s="203"/>
      <c r="U42" s="203"/>
      <c r="V42" s="203"/>
      <c r="W42" s="203"/>
      <c r="X42" s="204"/>
    </row>
    <row r="43" spans="1:24" s="18" customFormat="1" ht="29.25" customHeight="1" thickBot="1">
      <c r="A43" s="210" t="s">
        <v>38</v>
      </c>
      <c r="B43" s="211"/>
      <c r="C43" s="212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7">
        <f>L40</f>
        <v>57339</v>
      </c>
      <c r="J43" s="208"/>
      <c r="K43" s="209"/>
      <c r="L43" s="168">
        <f>I43*H43</f>
        <v>40051.291499999999</v>
      </c>
      <c r="M43" s="169"/>
      <c r="N43" s="225">
        <f>L43+L44+L45</f>
        <v>178357.23850000001</v>
      </c>
      <c r="O43" s="226"/>
      <c r="P43" s="226"/>
      <c r="Q43" s="226"/>
      <c r="R43" s="226"/>
      <c r="S43" s="226"/>
      <c r="T43" s="226"/>
      <c r="U43" s="226"/>
      <c r="V43" s="226"/>
      <c r="W43" s="226"/>
      <c r="X43" s="227"/>
    </row>
    <row r="44" spans="1:24" s="18" customFormat="1" ht="29.25" customHeight="1" thickBot="1">
      <c r="A44" s="213"/>
      <c r="B44" s="214"/>
      <c r="C44" s="215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7">
        <f>M40</f>
        <v>89747</v>
      </c>
      <c r="J44" s="208"/>
      <c r="K44" s="209"/>
      <c r="L44" s="168">
        <f>I44*H44</f>
        <v>85385.295800000007</v>
      </c>
      <c r="M44" s="169"/>
      <c r="N44" s="228"/>
      <c r="O44" s="229"/>
      <c r="P44" s="229"/>
      <c r="Q44" s="229"/>
      <c r="R44" s="229"/>
      <c r="S44" s="229"/>
      <c r="T44" s="229"/>
      <c r="U44" s="229"/>
      <c r="V44" s="229"/>
      <c r="W44" s="229"/>
      <c r="X44" s="230"/>
    </row>
    <row r="45" spans="1:24" s="18" customFormat="1" ht="24.75" customHeight="1" thickBot="1">
      <c r="A45" s="213"/>
      <c r="B45" s="214"/>
      <c r="C45" s="215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38">
        <f>N40</f>
        <v>39778</v>
      </c>
      <c r="J45" s="239"/>
      <c r="K45" s="240"/>
      <c r="L45" s="168">
        <f>I45*H45</f>
        <v>52920.6512</v>
      </c>
      <c r="M45" s="169"/>
      <c r="N45" s="231"/>
      <c r="O45" s="232"/>
      <c r="P45" s="232"/>
      <c r="Q45" s="232"/>
      <c r="R45" s="232"/>
      <c r="S45" s="232"/>
      <c r="T45" s="232"/>
      <c r="U45" s="232"/>
      <c r="V45" s="232"/>
      <c r="W45" s="232"/>
      <c r="X45" s="23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4">
        <f>N43*1.3</f>
        <v>231864.41005000001</v>
      </c>
      <c r="O46" s="245"/>
      <c r="P46" s="245"/>
      <c r="Q46" s="245"/>
      <c r="R46" s="245"/>
      <c r="S46" s="245"/>
      <c r="T46" s="245"/>
      <c r="U46" s="245"/>
      <c r="V46" s="245"/>
      <c r="W46" s="245"/>
      <c r="X46" s="246"/>
    </row>
    <row r="47" spans="1:24" s="23" customFormat="1" ht="32.25" customHeight="1" thickBot="1">
      <c r="A47" s="199" t="s">
        <v>39</v>
      </c>
      <c r="B47" s="200"/>
      <c r="C47" s="200"/>
      <c r="D47" s="200"/>
      <c r="E47" s="200"/>
      <c r="F47" s="201"/>
      <c r="G47" s="21"/>
      <c r="H47" s="22">
        <v>8.7899999999999991</v>
      </c>
      <c r="I47" s="199">
        <f>F40</f>
        <v>1572.6000000000058</v>
      </c>
      <c r="J47" s="200"/>
      <c r="K47" s="201"/>
      <c r="L47" s="205">
        <f>I47*H47</f>
        <v>13823.15400000005</v>
      </c>
      <c r="M47" s="206"/>
      <c r="N47" s="222">
        <f>L47</f>
        <v>13823.15400000005</v>
      </c>
      <c r="O47" s="223"/>
      <c r="P47" s="223"/>
      <c r="Q47" s="223"/>
      <c r="R47" s="223"/>
      <c r="S47" s="223"/>
      <c r="T47" s="223"/>
      <c r="U47" s="223"/>
      <c r="V47" s="223"/>
      <c r="W47" s="223"/>
      <c r="X47" s="224"/>
    </row>
    <row r="48" spans="1:24" s="23" customFormat="1" ht="36.75" customHeight="1">
      <c r="A48" s="234" t="s">
        <v>40</v>
      </c>
      <c r="B48" s="235"/>
      <c r="C48" s="235"/>
      <c r="D48" s="235"/>
      <c r="E48" s="235"/>
      <c r="F48" s="236"/>
      <c r="G48" s="24"/>
      <c r="H48" s="25">
        <v>11.251300000000001</v>
      </c>
      <c r="I48" s="197">
        <f>V40</f>
        <v>7260.3464900000008</v>
      </c>
      <c r="J48" s="237"/>
      <c r="K48" s="198"/>
      <c r="L48" s="197">
        <f>I48*H48</f>
        <v>81688.336462937019</v>
      </c>
      <c r="M48" s="198"/>
      <c r="N48" s="219">
        <f>L48</f>
        <v>81688.336462937019</v>
      </c>
      <c r="O48" s="220"/>
      <c r="P48" s="220"/>
      <c r="Q48" s="220"/>
      <c r="R48" s="220"/>
      <c r="S48" s="220"/>
      <c r="T48" s="220"/>
      <c r="U48" s="220"/>
      <c r="V48" s="220"/>
      <c r="W48" s="220"/>
      <c r="X48" s="22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9" activePane="bottomRight" state="frozen"/>
      <selection pane="bottomRight" activeCell="K20" sqref="K20:K2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>
        <v>2560</v>
      </c>
      <c r="C17" s="115">
        <v>0</v>
      </c>
      <c r="D17" s="57">
        <v>128535.9</v>
      </c>
      <c r="E17" s="50">
        <f>D17-D16</f>
        <v>106.89999999999418</v>
      </c>
      <c r="F17" s="51">
        <v>11202576</v>
      </c>
      <c r="G17" s="50">
        <f t="shared" si="0"/>
        <v>3343</v>
      </c>
      <c r="H17" s="51">
        <v>19090410</v>
      </c>
      <c r="I17" s="50">
        <f t="shared" si="1"/>
        <v>5773</v>
      </c>
      <c r="J17" s="51">
        <v>8373748</v>
      </c>
      <c r="K17" s="50">
        <f t="shared" si="2"/>
        <v>2675</v>
      </c>
    </row>
    <row r="18" spans="1:29" ht="19.5">
      <c r="A18" s="59">
        <v>44510</v>
      </c>
      <c r="B18" s="116">
        <v>2560</v>
      </c>
      <c r="C18" s="115">
        <v>0</v>
      </c>
      <c r="D18" s="57">
        <v>128633.8</v>
      </c>
      <c r="E18" s="50">
        <f>D18-D17</f>
        <v>97.900000000008731</v>
      </c>
      <c r="F18" s="51">
        <v>11205852</v>
      </c>
      <c r="G18" s="50">
        <f t="shared" si="0"/>
        <v>3276</v>
      </c>
      <c r="H18" s="51">
        <v>19095656</v>
      </c>
      <c r="I18" s="50">
        <f t="shared" si="1"/>
        <v>5246</v>
      </c>
      <c r="J18" s="51">
        <v>8376168</v>
      </c>
      <c r="K18" s="50">
        <f t="shared" si="2"/>
        <v>2420</v>
      </c>
    </row>
    <row r="19" spans="1:29" ht="19.5">
      <c r="A19" s="59">
        <v>44511</v>
      </c>
      <c r="B19" s="116">
        <v>2560</v>
      </c>
      <c r="C19" s="115">
        <v>0</v>
      </c>
      <c r="D19" s="57">
        <v>128725.6</v>
      </c>
      <c r="E19" s="50">
        <f>D19-D18</f>
        <v>91.80000000000291</v>
      </c>
      <c r="F19" s="51">
        <v>11209176</v>
      </c>
      <c r="G19" s="50">
        <f t="shared" si="0"/>
        <v>3324</v>
      </c>
      <c r="H19" s="51">
        <v>19100652</v>
      </c>
      <c r="I19" s="50">
        <f t="shared" si="1"/>
        <v>4996</v>
      </c>
      <c r="J19" s="51">
        <v>8378529</v>
      </c>
      <c r="K19" s="50">
        <f t="shared" si="2"/>
        <v>2361</v>
      </c>
    </row>
    <row r="20" spans="1:29" ht="25.5">
      <c r="A20" s="59">
        <v>44512</v>
      </c>
      <c r="B20" s="116">
        <v>2560</v>
      </c>
      <c r="C20" s="115">
        <v>0</v>
      </c>
      <c r="D20" s="57">
        <v>128812.9</v>
      </c>
      <c r="E20" s="50">
        <f>D20-D19</f>
        <v>87.299999999988358</v>
      </c>
      <c r="F20" s="51">
        <v>11212785</v>
      </c>
      <c r="G20" s="50">
        <f t="shared" si="0"/>
        <v>3609</v>
      </c>
      <c r="H20" s="51">
        <v>19106135</v>
      </c>
      <c r="I20" s="50">
        <f t="shared" si="1"/>
        <v>5483</v>
      </c>
      <c r="J20" s="51">
        <v>8380989</v>
      </c>
      <c r="K20" s="50">
        <f t="shared" si="2"/>
        <v>2460</v>
      </c>
      <c r="L20" s="117" t="s">
        <v>18</v>
      </c>
      <c r="AC20" t="s">
        <v>56</v>
      </c>
    </row>
    <row r="21" spans="1:29" ht="19.5">
      <c r="A21" s="59">
        <v>44513</v>
      </c>
      <c r="B21" s="116">
        <v>2560</v>
      </c>
      <c r="C21" s="115">
        <v>0</v>
      </c>
      <c r="D21" s="57">
        <v>128929.3</v>
      </c>
      <c r="E21" s="50">
        <f t="shared" ref="E21:E23" si="3">D21-D20</f>
        <v>116.40000000000873</v>
      </c>
      <c r="F21" s="51">
        <v>11216380</v>
      </c>
      <c r="G21" s="50">
        <f t="shared" si="0"/>
        <v>3595</v>
      </c>
      <c r="H21" s="51">
        <v>19111376</v>
      </c>
      <c r="I21" s="50">
        <f t="shared" si="1"/>
        <v>5241</v>
      </c>
      <c r="J21" s="51">
        <v>8383668</v>
      </c>
      <c r="K21" s="50">
        <f t="shared" si="2"/>
        <v>2679</v>
      </c>
    </row>
    <row r="22" spans="1:29" ht="19.5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3"/>
        <v>113.69999999999709</v>
      </c>
      <c r="F22" s="51">
        <v>11220604</v>
      </c>
      <c r="G22" s="50">
        <f t="shared" si="0"/>
        <v>4224</v>
      </c>
      <c r="H22" s="51">
        <v>19116422</v>
      </c>
      <c r="I22" s="50">
        <f t="shared" si="1"/>
        <v>5046</v>
      </c>
      <c r="J22" s="51">
        <v>8386055</v>
      </c>
      <c r="K22" s="50">
        <f t="shared" si="2"/>
        <v>2387</v>
      </c>
    </row>
    <row r="23" spans="1:29" ht="19.5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3"/>
        <v>94</v>
      </c>
      <c r="F23" s="51">
        <v>11224002</v>
      </c>
      <c r="G23" s="50">
        <f t="shared" si="0"/>
        <v>3398</v>
      </c>
      <c r="H23" s="51">
        <v>19121510</v>
      </c>
      <c r="I23" s="50">
        <f t="shared" si="1"/>
        <v>5088</v>
      </c>
      <c r="J23" s="51">
        <v>8388492</v>
      </c>
      <c r="K23" s="50">
        <f t="shared" si="2"/>
        <v>2437</v>
      </c>
    </row>
    <row r="24" spans="1:29" ht="19.5">
      <c r="A24" s="59">
        <v>44516</v>
      </c>
      <c r="B24" s="116"/>
      <c r="C24" s="115">
        <v>0</v>
      </c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44517</v>
      </c>
      <c r="B25" s="116"/>
      <c r="C25" s="115">
        <v>0</v>
      </c>
      <c r="D25" s="57"/>
      <c r="E25" s="50">
        <f>D25-D24</f>
        <v>0</v>
      </c>
      <c r="F25" s="51"/>
      <c r="G25" s="50">
        <f t="shared" si="0"/>
        <v>0</v>
      </c>
      <c r="H25" s="51"/>
      <c r="I25" s="50">
        <f t="shared" si="1"/>
        <v>0</v>
      </c>
      <c r="J25" s="51"/>
      <c r="K25" s="50">
        <f t="shared" si="2"/>
        <v>0</v>
      </c>
    </row>
    <row r="26" spans="1:29" ht="19.5">
      <c r="A26" s="59">
        <v>44518</v>
      </c>
      <c r="B26" s="116"/>
      <c r="C26" s="115">
        <v>0</v>
      </c>
      <c r="D26" s="57"/>
      <c r="E26" s="50">
        <f>D26-D25</f>
        <v>0</v>
      </c>
      <c r="F26" s="51"/>
      <c r="G26" s="50">
        <f t="shared" si="0"/>
        <v>0</v>
      </c>
      <c r="H26" s="51"/>
      <c r="I26" s="50">
        <f t="shared" si="1"/>
        <v>0</v>
      </c>
      <c r="J26" s="51"/>
      <c r="K26" s="50">
        <f t="shared" si="2"/>
        <v>0</v>
      </c>
    </row>
    <row r="27" spans="1:29" ht="19.5">
      <c r="A27" s="59">
        <v>44519</v>
      </c>
      <c r="B27" s="116"/>
      <c r="C27" s="115"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 t="shared" si="1"/>
        <v>0</v>
      </c>
      <c r="J27" s="51"/>
      <c r="K27" s="50">
        <f t="shared" si="2"/>
        <v>0</v>
      </c>
    </row>
    <row r="28" spans="1:29" ht="19.5">
      <c r="A28" s="59">
        <v>44520</v>
      </c>
      <c r="B28" s="116"/>
      <c r="C28" s="115"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 t="shared" si="1"/>
        <v>0</v>
      </c>
      <c r="J28" s="51"/>
      <c r="K28" s="50">
        <f t="shared" si="2"/>
        <v>0</v>
      </c>
    </row>
    <row r="29" spans="1:29" ht="19.5">
      <c r="A29" s="59">
        <v>44521</v>
      </c>
      <c r="B29" s="116"/>
      <c r="C29" s="115"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 t="shared" si="1"/>
        <v>0</v>
      </c>
      <c r="J29" s="51"/>
      <c r="K29" s="50">
        <f t="shared" si="2"/>
        <v>0</v>
      </c>
    </row>
    <row r="30" spans="1:29" ht="19.5">
      <c r="A30" s="59">
        <v>44522</v>
      </c>
      <c r="B30" s="116"/>
      <c r="C30" s="115"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 t="shared" si="1"/>
        <v>0</v>
      </c>
      <c r="J30" s="51"/>
      <c r="K30" s="50">
        <f t="shared" si="2"/>
        <v>0</v>
      </c>
    </row>
    <row r="31" spans="1:29" ht="19.5">
      <c r="A31" s="59">
        <v>44523</v>
      </c>
      <c r="B31" s="116"/>
      <c r="C31" s="115">
        <v>0</v>
      </c>
      <c r="D31" s="57"/>
      <c r="E31" s="50">
        <f t="shared" ref="E31:E38" si="4">D31-D30</f>
        <v>0</v>
      </c>
      <c r="F31" s="51"/>
      <c r="G31" s="50">
        <f t="shared" si="0"/>
        <v>0</v>
      </c>
      <c r="H31" s="51"/>
      <c r="I31" s="50">
        <f t="shared" si="1"/>
        <v>0</v>
      </c>
      <c r="J31" s="51"/>
      <c r="K31" s="50">
        <f t="shared" si="2"/>
        <v>0</v>
      </c>
    </row>
    <row r="32" spans="1:29" ht="19.5">
      <c r="A32" s="59">
        <v>44524</v>
      </c>
      <c r="B32" s="116"/>
      <c r="C32" s="115">
        <v>0</v>
      </c>
      <c r="D32" s="57"/>
      <c r="E32" s="50">
        <f t="shared" si="4"/>
        <v>0</v>
      </c>
      <c r="F32" s="51"/>
      <c r="G32" s="50">
        <f t="shared" si="0"/>
        <v>0</v>
      </c>
      <c r="H32" s="51"/>
      <c r="I32" s="50">
        <f t="shared" si="1"/>
        <v>0</v>
      </c>
      <c r="J32" s="51"/>
      <c r="K32" s="50">
        <f t="shared" si="2"/>
        <v>0</v>
      </c>
    </row>
    <row r="33" spans="1:11" ht="19.5">
      <c r="A33" s="59">
        <v>44525</v>
      </c>
      <c r="B33" s="116"/>
      <c r="C33" s="115">
        <v>0</v>
      </c>
      <c r="D33" s="57"/>
      <c r="E33" s="50">
        <f t="shared" si="4"/>
        <v>0</v>
      </c>
      <c r="F33" s="51"/>
      <c r="G33" s="50">
        <f t="shared" si="0"/>
        <v>0</v>
      </c>
      <c r="H33" s="51"/>
      <c r="I33" s="50">
        <f t="shared" si="1"/>
        <v>0</v>
      </c>
      <c r="J33" s="51"/>
      <c r="K33" s="50">
        <f t="shared" si="2"/>
        <v>0</v>
      </c>
    </row>
    <row r="34" spans="1:11" ht="19.5">
      <c r="A34" s="59">
        <v>44526</v>
      </c>
      <c r="B34" s="116"/>
      <c r="C34" s="115">
        <v>0</v>
      </c>
      <c r="D34" s="57"/>
      <c r="E34" s="50">
        <f t="shared" si="4"/>
        <v>0</v>
      </c>
      <c r="F34" s="51"/>
      <c r="G34" s="50">
        <f t="shared" si="0"/>
        <v>0</v>
      </c>
      <c r="H34" s="51"/>
      <c r="I34" s="50">
        <f t="shared" si="1"/>
        <v>0</v>
      </c>
      <c r="J34" s="51"/>
      <c r="K34" s="50">
        <f t="shared" si="2"/>
        <v>0</v>
      </c>
    </row>
    <row r="35" spans="1:11" ht="19.5">
      <c r="A35" s="59">
        <v>44527</v>
      </c>
      <c r="B35" s="116"/>
      <c r="C35" s="115">
        <v>0</v>
      </c>
      <c r="D35" s="57"/>
      <c r="E35" s="50">
        <f t="shared" si="4"/>
        <v>0</v>
      </c>
      <c r="F35" s="51"/>
      <c r="G35" s="50">
        <f t="shared" si="0"/>
        <v>0</v>
      </c>
      <c r="H35" s="51"/>
      <c r="I35" s="50">
        <f t="shared" si="1"/>
        <v>0</v>
      </c>
      <c r="J35" s="51"/>
      <c r="K35" s="50">
        <f t="shared" si="2"/>
        <v>0</v>
      </c>
    </row>
    <row r="36" spans="1:11" ht="19.5">
      <c r="A36" s="59">
        <v>44528</v>
      </c>
      <c r="B36" s="116"/>
      <c r="C36" s="115">
        <v>0</v>
      </c>
      <c r="D36" s="57"/>
      <c r="E36" s="50">
        <f t="shared" si="4"/>
        <v>0</v>
      </c>
      <c r="F36" s="51"/>
      <c r="G36" s="50">
        <f t="shared" si="0"/>
        <v>0</v>
      </c>
      <c r="H36" s="51"/>
      <c r="I36" s="50">
        <f t="shared" si="1"/>
        <v>0</v>
      </c>
      <c r="J36" s="51"/>
      <c r="K36" s="50">
        <f t="shared" si="2"/>
        <v>0</v>
      </c>
    </row>
    <row r="37" spans="1:11" ht="19.5">
      <c r="A37" s="59">
        <v>44529</v>
      </c>
      <c r="B37" s="116"/>
      <c r="C37" s="115">
        <v>0</v>
      </c>
      <c r="D37" s="57"/>
      <c r="E37" s="50">
        <f t="shared" si="4"/>
        <v>0</v>
      </c>
      <c r="F37" s="51"/>
      <c r="G37" s="50">
        <f t="shared" si="0"/>
        <v>0</v>
      </c>
      <c r="H37" s="51"/>
      <c r="I37" s="50">
        <f t="shared" si="1"/>
        <v>0</v>
      </c>
      <c r="J37" s="51"/>
      <c r="K37" s="50">
        <f t="shared" si="2"/>
        <v>0</v>
      </c>
    </row>
    <row r="38" spans="1:11" ht="19.5">
      <c r="A38" s="59">
        <v>44530</v>
      </c>
      <c r="B38" s="116"/>
      <c r="C38" s="115">
        <v>0</v>
      </c>
      <c r="D38" s="57"/>
      <c r="E38" s="50">
        <f t="shared" si="4"/>
        <v>0</v>
      </c>
      <c r="F38" s="51"/>
      <c r="G38" s="50">
        <f t="shared" si="0"/>
        <v>0</v>
      </c>
      <c r="H38" s="51"/>
      <c r="I38" s="50">
        <f t="shared" si="1"/>
        <v>0</v>
      </c>
      <c r="J38" s="51"/>
      <c r="K38" s="50">
        <f t="shared" si="2"/>
        <v>0</v>
      </c>
    </row>
    <row r="39" spans="1:11" ht="19.5">
      <c r="A39" s="59">
        <v>44531</v>
      </c>
      <c r="B39" s="116"/>
      <c r="C39" s="115">
        <f t="shared" ref="C39" si="5">B39-B38</f>
        <v>0</v>
      </c>
      <c r="D39" s="57"/>
      <c r="E39" s="50">
        <f t="shared" ref="E39" si="6">D39-D38</f>
        <v>0</v>
      </c>
      <c r="F39" s="51"/>
      <c r="G39" s="50">
        <f t="shared" ref="G39" si="7">F39-F38</f>
        <v>0</v>
      </c>
      <c r="H39" s="51"/>
      <c r="I39" s="50">
        <f t="shared" ref="I39" si="8">H39-H38</f>
        <v>0</v>
      </c>
      <c r="J39" s="51"/>
      <c r="K39" s="50">
        <f t="shared" ref="K39" si="9">J39-J38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H19" sqref="H1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O4*11.2513</f>
        <v>5832.8989460000012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10">O5*11.2513</f>
        <v>5416.2633070000011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3749.7207510000007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5843.9252200000001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8280.7523638790008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7200.6542294600004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7560.6869409330011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1"/>
        <v>1</v>
      </c>
      <c r="J11" s="39">
        <f t="shared" si="12"/>
        <v>213</v>
      </c>
      <c r="K11" s="39">
        <f t="shared" si="13"/>
        <v>53.25</v>
      </c>
      <c r="L11" s="39">
        <f t="shared" si="14"/>
        <v>3.75</v>
      </c>
      <c r="M11" s="149">
        <f t="shared" si="17"/>
        <v>24196</v>
      </c>
      <c r="N11" s="39">
        <f t="shared" si="15"/>
        <v>907.35</v>
      </c>
      <c r="O11" s="39">
        <f t="shared" si="16"/>
        <v>479.98815000000002</v>
      </c>
      <c r="P11" s="42">
        <f t="shared" si="10"/>
        <v>5400.4906720950003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1"/>
        <v>5</v>
      </c>
      <c r="J12" s="39">
        <f t="shared" si="12"/>
        <v>334</v>
      </c>
      <c r="K12" s="39">
        <f t="shared" si="13"/>
        <v>83.5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3960.359826203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1"/>
        <v>5</v>
      </c>
      <c r="J13" s="39">
        <f t="shared" si="12"/>
        <v>323</v>
      </c>
      <c r="K13" s="39">
        <f t="shared" si="13"/>
        <v>80.75</v>
      </c>
      <c r="L13" s="39">
        <f t="shared" si="14"/>
        <v>5.75</v>
      </c>
      <c r="M13" s="149">
        <f t="shared" si="17"/>
        <v>24196</v>
      </c>
      <c r="N13" s="39">
        <f t="shared" si="15"/>
        <v>1391.27</v>
      </c>
      <c r="O13" s="39">
        <f t="shared" si="16"/>
        <v>735.98183000000006</v>
      </c>
      <c r="P13" s="42">
        <f t="shared" si="10"/>
        <v>8280.7523638790008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2"/>
        <v>300</v>
      </c>
      <c r="K14" s="39">
        <f t="shared" si="13"/>
        <v>75</v>
      </c>
      <c r="L14" s="39">
        <f t="shared" si="14"/>
        <v>4.5</v>
      </c>
      <c r="M14" s="149">
        <f t="shared" si="17"/>
        <v>24196</v>
      </c>
      <c r="N14" s="39">
        <f t="shared" si="15"/>
        <v>1088.82</v>
      </c>
      <c r="O14" s="39">
        <f t="shared" si="16"/>
        <v>575.98577999999998</v>
      </c>
      <c r="P14" s="42">
        <f t="shared" si="10"/>
        <v>6480.5888065139998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2"/>
        <v>282</v>
      </c>
      <c r="K15" s="39">
        <f t="shared" si="13"/>
        <v>70.5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4320.3925376759998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1"/>
        <v>3</v>
      </c>
      <c r="J16" s="39">
        <f t="shared" si="12"/>
        <v>270</v>
      </c>
      <c r="K16" s="39">
        <f t="shared" si="13"/>
        <v>67.5</v>
      </c>
      <c r="L16" s="39">
        <f t="shared" si="14"/>
        <v>3.25</v>
      </c>
      <c r="M16" s="149">
        <f t="shared" si="17"/>
        <v>24196</v>
      </c>
      <c r="N16" s="39">
        <f t="shared" si="15"/>
        <v>786.37</v>
      </c>
      <c r="O16" s="39">
        <f t="shared" si="16"/>
        <v>415.98973000000001</v>
      </c>
      <c r="P16" s="42">
        <f t="shared" si="10"/>
        <v>4680.4252491490006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1"/>
        <v>3</v>
      </c>
      <c r="J17" s="39">
        <f t="shared" si="12"/>
        <v>257</v>
      </c>
      <c r="K17" s="39">
        <f t="shared" si="13"/>
        <v>64.25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4680.4252491490006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>
        <v>61</v>
      </c>
      <c r="C18" s="39">
        <f t="shared" si="6"/>
        <v>0</v>
      </c>
      <c r="D18" s="41">
        <v>58</v>
      </c>
      <c r="E18" s="39">
        <f t="shared" si="7"/>
        <v>0</v>
      </c>
      <c r="F18" s="41">
        <v>62</v>
      </c>
      <c r="G18" s="39">
        <f t="shared" si="8"/>
        <v>0</v>
      </c>
      <c r="H18" s="41">
        <v>63</v>
      </c>
      <c r="I18" s="39">
        <f t="shared" si="11"/>
        <v>0</v>
      </c>
      <c r="J18" s="39">
        <f t="shared" si="12"/>
        <v>244</v>
      </c>
      <c r="K18" s="39">
        <f t="shared" si="13"/>
        <v>61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44518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44525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7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13722.810000000001</v>
      </c>
      <c r="O43" s="39">
        <f>N43*0.529</f>
        <v>7259.3664900000012</v>
      </c>
      <c r="P43" s="42">
        <f>O43*11.2513</f>
        <v>81677.310188937015</v>
      </c>
      <c r="Q43" s="284">
        <f>SUM(Q4:Q42)</f>
        <v>5076</v>
      </c>
      <c r="R43" s="285"/>
      <c r="S43" s="286"/>
      <c r="T43" s="287">
        <f>SUM(T4:T42)</f>
        <v>4793</v>
      </c>
      <c r="U43" s="285"/>
      <c r="V43" s="286"/>
      <c r="W43" s="287">
        <f>SUM(W4:W42)</f>
        <v>4374</v>
      </c>
      <c r="X43" s="285"/>
      <c r="Y43" s="286"/>
      <c r="Z43" s="287">
        <f>SUM(Z4:Z42)</f>
        <v>4529</v>
      </c>
      <c r="AA43" s="285"/>
      <c r="AB43" s="286"/>
      <c r="AC43" s="39">
        <f t="shared" si="20"/>
        <v>18772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18772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18772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13722.810000000001</v>
      </c>
      <c r="L47" s="46">
        <f>O43</f>
        <v>7259.3664900000012</v>
      </c>
      <c r="M47" s="46">
        <f>P43</f>
        <v>81677.310188937015</v>
      </c>
    </row>
    <row r="48" spans="1:31" ht="54.75" customHeight="1" thickBot="1">
      <c r="H48" s="280" t="s">
        <v>86</v>
      </c>
      <c r="I48" s="281"/>
      <c r="J48" s="282"/>
      <c r="K48" s="43">
        <f>AC44</f>
        <v>18772</v>
      </c>
      <c r="L48" s="44">
        <f>K48*0.529</f>
        <v>9930.3880000000008</v>
      </c>
      <c r="M48" s="44">
        <f>L48*11.2513</f>
        <v>111729.77450440002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I19" sqref="I19:J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44467</v>
      </c>
      <c r="D8" s="324"/>
      <c r="E8" s="113">
        <v>44497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971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9"/>
      <c r="H17" s="340"/>
      <c r="I17" s="339">
        <f>+E17</f>
        <v>223158</v>
      </c>
      <c r="J17" s="340"/>
    </row>
    <row r="18" spans="1:10">
      <c r="A18" s="337" t="s">
        <v>111</v>
      </c>
      <c r="B18" s="338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9"/>
      <c r="H18" s="340"/>
      <c r="I18" s="339">
        <f>+E18</f>
        <v>125172</v>
      </c>
      <c r="J18" s="340"/>
    </row>
    <row r="19" spans="1:10">
      <c r="A19" s="337" t="s">
        <v>112</v>
      </c>
      <c r="B19" s="338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9"/>
      <c r="H19" s="340"/>
      <c r="I19" s="339">
        <f>+E19</f>
        <v>95869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444199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61">
        <f>SUM(H25,F25)</f>
        <v>242036.27416800003</v>
      </c>
      <c r="J25" s="362"/>
    </row>
    <row r="26" spans="1:10" ht="15">
      <c r="A26" s="363" t="s">
        <v>124</v>
      </c>
      <c r="B26" s="364"/>
      <c r="C26" s="365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61">
        <f t="shared" ref="I26:I31" si="0">SUM(H26,F26)</f>
        <v>99673.211880000017</v>
      </c>
      <c r="J26" s="362"/>
    </row>
    <row r="27" spans="1:10" ht="15">
      <c r="A27" s="363" t="s">
        <v>125</v>
      </c>
      <c r="B27" s="364"/>
      <c r="C27" s="365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61">
        <f>SUM(H27,F27)</f>
        <v>145400.29406399999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473503.95079999999</v>
      </c>
      <c r="G32" s="85"/>
      <c r="H32" s="86"/>
      <c r="I32" s="373">
        <f>SUM(I25:J31)</f>
        <v>539740.523912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44297</v>
      </c>
      <c r="D8" s="324"/>
      <c r="E8" s="113">
        <v>44327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1">
        <f>SUM(H25,F25)</f>
        <v>7469.6126519999998</v>
      </c>
      <c r="J25" s="362"/>
    </row>
    <row r="26" spans="1:10" ht="15">
      <c r="A26" s="363" t="s">
        <v>124</v>
      </c>
      <c r="B26" s="364"/>
      <c r="C26" s="36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1">
        <f t="shared" ref="I26:I31" si="0">SUM(H26,F26)</f>
        <v>3025.1057100000003</v>
      </c>
      <c r="J26" s="362"/>
    </row>
    <row r="27" spans="1:10" ht="15">
      <c r="A27" s="363" t="s">
        <v>125</v>
      </c>
      <c r="B27" s="364"/>
      <c r="C27" s="36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1">
        <f>SUM(H27,F27)</f>
        <v>4660.6838879999996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59508.8825</v>
      </c>
      <c r="G32" s="85"/>
      <c r="H32" s="86"/>
      <c r="I32" s="373">
        <f>SUM(I25:J31)</f>
        <v>67786.146049999996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3330.5</v>
      </c>
      <c r="C13" s="395"/>
      <c r="D13" s="395">
        <v>8.7899999999999991</v>
      </c>
      <c r="E13" s="395"/>
      <c r="F13" s="397">
        <f>PRODUCT(D13,B13)</f>
        <v>29275.094999999998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3330.5</v>
      </c>
      <c r="C19" s="395"/>
      <c r="D19" s="395">
        <v>2.61</v>
      </c>
      <c r="E19" s="395"/>
      <c r="F19" s="395">
        <f>PRODUCT(D19,B19)</f>
        <v>8692.6049999999996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37990.699999999997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2659.3490000000002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2867.6090000000004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40858.308999999994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7">
        <f>PRODUCT(D13,B13)</f>
        <v>1018.3000000000247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1345.5920000000322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94.19144000000226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302.45144000000226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1648.0434400000345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7">
        <f>PRODUCT(D13,B13)</f>
        <v>0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15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81.06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7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2021-11-15T08:27:29Z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