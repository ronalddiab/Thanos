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E72F1714-CEDD-4AE8-BE88-9023243CE6EA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<sst xmlns="http://schemas.openxmlformats.org/spreadsheetml/2006/main" count="201" uniqueCount="128">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</sst>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-2380799.9999999995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/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/>
      <c r="L24" s="76"/>
      <c r="M24" s="72">
        <v>39</v>
      </c>
      <c r="N24" s="72">
        <v>107</v>
      </c>
      <c r="O24" s="72">
        <v>287</v>
      </c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>
        <v>22500.000000000684</v>
      </c>
      <c r="F25" s="48">
        <v>0.14000000000000001</v>
      </c>
      <c r="G25" s="107">
        <v>6230</v>
      </c>
      <c r="H25" s="48">
        <v>0.45</v>
      </c>
      <c r="I25" s="65">
        <v>243</v>
      </c>
      <c r="J25" s="76">
        <v>0.4</v>
      </c>
      <c r="K25" s="108"/>
      <c r="L25" s="76"/>
      <c r="M25" s="72">
        <v>41</v>
      </c>
      <c r="N25" s="72">
        <v>113</v>
      </c>
      <c r="O25" s="72">
        <v>262</v>
      </c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>
        <v>22320.000000000393</v>
      </c>
      <c r="F26" s="48">
        <v>0.14000000000000001</v>
      </c>
      <c r="G26" s="107">
        <v>6108</v>
      </c>
      <c r="H26" s="48">
        <v>0.45</v>
      </c>
      <c r="I26" s="65">
        <v>256</v>
      </c>
      <c r="J26" s="76">
        <v>0.4</v>
      </c>
      <c r="K26" s="108"/>
      <c r="L26" s="76"/>
      <c r="M26" s="72">
        <v>31</v>
      </c>
      <c r="N26" s="72">
        <v>87</v>
      </c>
      <c r="O26" s="72">
        <v>236</v>
      </c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>
        <v>21090.000000000146</v>
      </c>
      <c r="F27" s="48">
        <v>0.14000000000000001</v>
      </c>
      <c r="G27" s="107">
        <v>5881</v>
      </c>
      <c r="H27" s="48">
        <v>0.45</v>
      </c>
      <c r="I27" s="65">
        <v>280</v>
      </c>
      <c r="J27" s="76">
        <v>0.4</v>
      </c>
      <c r="K27" s="108"/>
      <c r="L27" s="76"/>
      <c r="M27" s="72">
        <v>27</v>
      </c>
      <c r="N27" s="72">
        <v>79</v>
      </c>
      <c r="O27" s="72">
        <v>198</v>
      </c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>
        <v>21809.999999998807</v>
      </c>
      <c r="F28" s="48">
        <v>0.14000000000000001</v>
      </c>
      <c r="G28" s="107">
        <v>5805</v>
      </c>
      <c r="H28" s="48">
        <v>0.45</v>
      </c>
      <c r="I28" s="65">
        <v>322</v>
      </c>
      <c r="J28" s="76">
        <v>0.4</v>
      </c>
      <c r="K28" s="108"/>
      <c r="L28" s="76"/>
      <c r="M28" s="72">
        <v>33</v>
      </c>
      <c r="N28" s="72">
        <v>86</v>
      </c>
      <c r="O28" s="72">
        <v>217</v>
      </c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617939.99999999988</v>
      </c>
      <c r="F33" s="104">
        <v>0</v>
      </c>
      <c r="G33" s="101">
        <f>SUM(G2:G32)</f>
        <v>168028</v>
      </c>
      <c r="H33" s="102">
        <v>0</v>
      </c>
      <c r="I33" s="103">
        <f>SUM(I2:I32)</f>
        <v>7388</v>
      </c>
      <c r="J33" s="104">
        <v>0</v>
      </c>
      <c r="K33" s="105">
        <v>0</v>
      </c>
      <c r="L33" s="102">
        <v>0</v>
      </c>
      <c r="M33" s="106">
        <f t="shared" ref="M33:O33" si="1">SUM(M2:M32)</f>
        <v>729</v>
      </c>
      <c r="N33" s="106">
        <f t="shared" si="1"/>
        <v>1809</v>
      </c>
      <c r="O33" s="106">
        <f t="shared" si="1"/>
        <v>4635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>
        <v>39</v>
      </c>
      <c r="W26" s="71">
        <v>107</v>
      </c>
      <c r="X26" s="71">
        <v>287</v>
      </c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>
        <v>41</v>
      </c>
      <c r="W27" s="71">
        <v>113</v>
      </c>
      <c r="X27" s="71">
        <v>262</v>
      </c>
      <c r="Y27" s="17"/>
    </row>
    <row r="28" spans="1:25" ht="21" customHeight="1" x14ac:dyDescent="0.25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2.4392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71">
        <v>31</v>
      </c>
      <c r="W28" s="71">
        <v>87</v>
      </c>
      <c r="X28" s="71">
        <v>236</v>
      </c>
      <c r="Y28" s="17"/>
    </row>
    <row r="29" spans="1:25" ht="21" customHeight="1" x14ac:dyDescent="0.25">
      <c r="A29" s="8">
        <v>44403</v>
      </c>
      <c r="B29" s="1">
        <v>1015.2</v>
      </c>
      <c r="C29" s="1">
        <v>235.56</v>
      </c>
      <c r="D29" s="1">
        <v>7542169.7400000002</v>
      </c>
      <c r="E29" s="1">
        <v>8267487.0199999996</v>
      </c>
      <c r="F29" s="1">
        <v>2.4417</v>
      </c>
      <c r="G29" s="1">
        <v>767.54</v>
      </c>
      <c r="H29" s="1">
        <v>633.66</v>
      </c>
      <c r="I29" s="1">
        <v>244.34</v>
      </c>
      <c r="J29" s="1">
        <v>322.37</v>
      </c>
      <c r="K29" s="1">
        <v>347.76</v>
      </c>
      <c r="L29" s="1">
        <v>238.84</v>
      </c>
      <c r="M29" s="1">
        <v>538.16999999999996</v>
      </c>
      <c r="N29" s="1">
        <v>491.34</v>
      </c>
      <c r="O29" s="1">
        <v>157.21</v>
      </c>
      <c r="P29" s="1">
        <v>644.41999999999996</v>
      </c>
      <c r="Q29" s="1">
        <v>479.06</v>
      </c>
      <c r="R29" s="1">
        <v>165.07</v>
      </c>
      <c r="S29" s="1">
        <v>118.25</v>
      </c>
      <c r="T29" s="1">
        <v>432.21</v>
      </c>
      <c r="V29" s="71">
        <v>27</v>
      </c>
      <c r="W29" s="71">
        <v>79</v>
      </c>
      <c r="X29" s="71">
        <v>198</v>
      </c>
      <c r="Y29" s="17"/>
    </row>
    <row r="30" spans="1:25" ht="21" customHeight="1" x14ac:dyDescent="0.25">
      <c r="A30" s="8">
        <v>44404</v>
      </c>
      <c r="B30" s="1">
        <v>1016.5</v>
      </c>
      <c r="C30" s="1">
        <v>235.8</v>
      </c>
      <c r="D30" s="1">
        <v>7544235.1200000001</v>
      </c>
      <c r="E30" s="1">
        <v>8270514.25</v>
      </c>
      <c r="F30" s="1">
        <v>2.4441999999999999</v>
      </c>
      <c r="G30" s="1">
        <v>768.19</v>
      </c>
      <c r="H30" s="1">
        <v>634.04999999999995</v>
      </c>
      <c r="I30" s="1">
        <v>244.63</v>
      </c>
      <c r="J30" s="1">
        <v>322.64</v>
      </c>
      <c r="K30" s="1">
        <v>348.07</v>
      </c>
      <c r="L30" s="1">
        <v>239.07</v>
      </c>
      <c r="M30" s="1">
        <v>538.84</v>
      </c>
      <c r="N30" s="1">
        <v>491.99</v>
      </c>
      <c r="O30" s="1">
        <v>157.44999999999999</v>
      </c>
      <c r="P30" s="1">
        <v>646.35</v>
      </c>
      <c r="Q30" s="1">
        <v>479.69</v>
      </c>
      <c r="R30" s="1">
        <v>165.35</v>
      </c>
      <c r="S30" s="1">
        <v>118.38</v>
      </c>
      <c r="T30" s="1">
        <v>432.79</v>
      </c>
      <c r="V30" s="71">
        <v>33</v>
      </c>
      <c r="W30" s="71">
        <v>86</v>
      </c>
      <c r="X30" s="71">
        <v>217</v>
      </c>
      <c r="Y30" s="17"/>
    </row>
    <row r="31" spans="1:25" ht="21" customHeight="1" x14ac:dyDescent="0.25">
      <c r="A31" s="8">
        <v>44405</v>
      </c>
      <c r="B31" s="1">
        <v>1017.7</v>
      </c>
      <c r="C31" s="1">
        <v>236.06</v>
      </c>
      <c r="D31" s="1">
        <v>7546344.7999999998</v>
      </c>
      <c r="E31" s="1">
        <v>8273608.54</v>
      </c>
      <c r="F31" s="1">
        <v>2.4464000000000001</v>
      </c>
      <c r="G31" s="1">
        <v>768.81</v>
      </c>
      <c r="H31" s="1">
        <v>634.44000000000005</v>
      </c>
      <c r="I31" s="1">
        <v>244.91</v>
      </c>
      <c r="J31" s="1">
        <v>322.92</v>
      </c>
      <c r="K31" s="1">
        <v>348.39</v>
      </c>
      <c r="L31" s="1">
        <v>239.27</v>
      </c>
      <c r="M31" s="1">
        <v>539.51</v>
      </c>
      <c r="N31" s="1">
        <v>492.67</v>
      </c>
      <c r="O31" s="1">
        <v>157.68</v>
      </c>
      <c r="P31" s="1">
        <v>647.37</v>
      </c>
      <c r="Q31" s="1">
        <v>480.37</v>
      </c>
      <c r="R31" s="1">
        <v>165.65</v>
      </c>
      <c r="S31" s="1">
        <v>118.51</v>
      </c>
      <c r="T31" s="1">
        <v>433.2</v>
      </c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729</v>
      </c>
      <c r="W35" s="78">
        <f>SUM(W4:W34)</f>
        <v>1809</v>
      </c>
      <c r="X35" s="78">
        <f>SUM(X4:X34)</f>
        <v>4635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2600.0000000001578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7">
        <f>('Kwh Reading'!O28-'Kwh Reading'!O27)*1000</f>
        <v>259.99999999999091</v>
      </c>
      <c r="V27" s="16">
        <f t="shared" si="1"/>
        <v>5736.7899999996735</v>
      </c>
    </row>
    <row r="28" spans="1:22" x14ac:dyDescent="0.25">
      <c r="A28" s="3">
        <f>'Kwh Reading'!A28</f>
        <v>44402</v>
      </c>
      <c r="B28" s="26">
        <f>TOTAL!E26</f>
        <v>22320.000000000393</v>
      </c>
      <c r="C28" s="4">
        <f>('Kwh Reading'!T29-'Kwh Reading'!T28)*1000</f>
        <v>449.99999999998863</v>
      </c>
      <c r="D28" s="2">
        <f>('Kwh Reading'!F29-'Kwh Reading'!F28)*1000000</f>
        <v>2499.9999999999468</v>
      </c>
      <c r="E28" s="2">
        <f>('Kwh Reading'!C29-'Kwh Reading'!C28)*1000</f>
        <v>259.99999999999091</v>
      </c>
      <c r="F28" s="2">
        <f>('Kwh Reading'!J29-'Kwh Reading'!J28)*1000</f>
        <v>410.00000000002501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289.99999999999204</v>
      </c>
      <c r="J28" s="2">
        <f>('Kwh Reading'!S29-'Kwh Reading'!S28)*1000</f>
        <v>129.99999999999545</v>
      </c>
      <c r="K28" s="2">
        <f>('Kwh Reading'!I29-'Kwh Reading'!I28)*1000</f>
        <v>310.00000000000227</v>
      </c>
      <c r="L28" s="2">
        <f>('Kwh Reading'!B29-'Kwh Reading'!B28)*1000</f>
        <v>1200.0000000000455</v>
      </c>
      <c r="M28" s="2">
        <f>('Kwh Reading'!M29-'Kwh Reading'!M28)*1000</f>
        <v>689.99999999994088</v>
      </c>
      <c r="N28" s="2">
        <f>('Kwh Reading'!H29-'Kwh Reading'!H28)*1000</f>
        <v>459.99999999992269</v>
      </c>
      <c r="O28" s="2">
        <f>('Kwh Reading'!P29-'Kwh Reading'!P28)*1000</f>
        <v>79.99999999992724</v>
      </c>
      <c r="P28" s="2">
        <f>('Kwh Reading'!G29-'Kwh Reading'!G28)*1000</f>
        <v>750</v>
      </c>
      <c r="Q28" s="2">
        <f>('Kwh Reading'!Q29-'Kwh Reading'!Q28)*1000</f>
        <v>689.99999999999773</v>
      </c>
      <c r="R28" s="2">
        <f>('Kwh Reading'!N29-'Kwh Reading'!N28)*1000</f>
        <v>729.99999999996135</v>
      </c>
      <c r="S28" s="2">
        <f>'Kwh Reading'!E29-'Kwh Reading'!E28</f>
        <v>3585.9499999992549</v>
      </c>
      <c r="T28" s="2">
        <f>'Kwh Reading'!D29-'Kwh Reading'!D28</f>
        <v>2328.3700000001118</v>
      </c>
      <c r="U28" s="27">
        <f>('Kwh Reading'!O29-'Kwh Reading'!O28)*1000</f>
        <v>260.00000000001933</v>
      </c>
      <c r="V28" s="16">
        <f t="shared" si="1"/>
        <v>6545.6800000012627</v>
      </c>
    </row>
    <row r="29" spans="1:22" x14ac:dyDescent="0.25">
      <c r="A29" s="3">
        <f>'Kwh Reading'!A29</f>
        <v>44403</v>
      </c>
      <c r="B29" s="26">
        <f>TOTAL!E27</f>
        <v>21090.000000000146</v>
      </c>
      <c r="C29" s="4">
        <f>('Kwh Reading'!T30-'Kwh Reading'!T29)*1000</f>
        <v>580.00000000004093</v>
      </c>
      <c r="D29" s="2">
        <f>('Kwh Reading'!F30-'Kwh Reading'!F29)*1000000</f>
        <v>2499.9999999999468</v>
      </c>
      <c r="E29" s="2">
        <f>('Kwh Reading'!C30-'Kwh Reading'!C29)*1000</f>
        <v>240.00000000000909</v>
      </c>
      <c r="F29" s="2">
        <f>('Kwh Reading'!J30-'Kwh Reading'!J29)*1000</f>
        <v>269.99999999998181</v>
      </c>
      <c r="G29" s="2">
        <f>('Kwh Reading'!K30-'Kwh Reading'!K29)*1000</f>
        <v>310.00000000000227</v>
      </c>
      <c r="H29" s="2">
        <f>('Kwh Reading'!L30-'Kwh Reading'!L29)*1000</f>
        <v>229.99999999998977</v>
      </c>
      <c r="I29" s="2">
        <f>('Kwh Reading'!R30-'Kwh Reading'!R29)*1000</f>
        <v>280.00000000000114</v>
      </c>
      <c r="J29" s="2">
        <f>('Kwh Reading'!S30-'Kwh Reading'!S29)*1000</f>
        <v>129.99999999999545</v>
      </c>
      <c r="K29" s="2">
        <f>('Kwh Reading'!I30-'Kwh Reading'!I29)*1000</f>
        <v>289.99999999999204</v>
      </c>
      <c r="L29" s="2">
        <f>('Kwh Reading'!B30-'Kwh Reading'!B29)*1000</f>
        <v>1299.9999999999545</v>
      </c>
      <c r="M29" s="2">
        <f>('Kwh Reading'!M30-'Kwh Reading'!M29)*1000</f>
        <v>670.00000000007276</v>
      </c>
      <c r="N29" s="2">
        <f>('Kwh Reading'!H30-'Kwh Reading'!H29)*1000</f>
        <v>389.99999999998636</v>
      </c>
      <c r="O29" s="2">
        <f>('Kwh Reading'!P30-'Kwh Reading'!P29)*1000</f>
        <v>1930.0000000000637</v>
      </c>
      <c r="P29" s="2">
        <f>('Kwh Reading'!G30-'Kwh Reading'!G29)*1000</f>
        <v>650.00000000009095</v>
      </c>
      <c r="Q29" s="2">
        <f>('Kwh Reading'!Q30-'Kwh Reading'!Q29)*1000</f>
        <v>629.99999999999545</v>
      </c>
      <c r="R29" s="2">
        <f>('Kwh Reading'!N30-'Kwh Reading'!N29)*1000</f>
        <v>650.00000000003411</v>
      </c>
      <c r="S29" s="2">
        <f>'Kwh Reading'!E30-'Kwh Reading'!E29</f>
        <v>3027.230000000447</v>
      </c>
      <c r="T29" s="2">
        <f>'Kwh Reading'!D30-'Kwh Reading'!D29</f>
        <v>2065.3799999998882</v>
      </c>
      <c r="U29" s="27">
        <f>('Kwh Reading'!O30-'Kwh Reading'!O29)*1000</f>
        <v>239.99999999998067</v>
      </c>
      <c r="V29" s="16">
        <f t="shared" si="1"/>
        <v>4707.389999999672</v>
      </c>
    </row>
    <row r="30" spans="1:22" x14ac:dyDescent="0.25">
      <c r="A30" s="3">
        <f>'Kwh Reading'!A30</f>
        <v>44404</v>
      </c>
      <c r="B30" s="26">
        <f>TOTAL!E28</f>
        <v>21809.999999998807</v>
      </c>
      <c r="C30" s="4">
        <f>('Kwh Reading'!T31-'Kwh Reading'!T30)*1000</f>
        <v>409.99999999996817</v>
      </c>
      <c r="D30" s="2">
        <f>('Kwh Reading'!F31-'Kwh Reading'!F30)*1000000</f>
        <v>2200.0000000002019</v>
      </c>
      <c r="E30" s="2">
        <f>('Kwh Reading'!C31-'Kwh Reading'!C30)*1000</f>
        <v>259.99999999999091</v>
      </c>
      <c r="F30" s="2">
        <f>('Kwh Reading'!J31-'Kwh Reading'!J30)*1000</f>
        <v>280.00000000002956</v>
      </c>
      <c r="G30" s="2">
        <f>('Kwh Reading'!K31-'Kwh Reading'!K30)*1000</f>
        <v>319.99999999999318</v>
      </c>
      <c r="H30" s="2">
        <f>('Kwh Reading'!L31-'Kwh Reading'!L30)*1000</f>
        <v>200.00000000001705</v>
      </c>
      <c r="I30" s="2">
        <f>('Kwh Reading'!R31-'Kwh Reading'!R30)*1000</f>
        <v>300.00000000001137</v>
      </c>
      <c r="J30" s="2">
        <f>('Kwh Reading'!S31-'Kwh Reading'!S30)*1000</f>
        <v>130.00000000000966</v>
      </c>
      <c r="K30" s="2">
        <f>('Kwh Reading'!I31-'Kwh Reading'!I30)*1000</f>
        <v>280.00000000000114</v>
      </c>
      <c r="L30" s="2">
        <f>('Kwh Reading'!B31-'Kwh Reading'!B30)*1000</f>
        <v>1200.0000000000455</v>
      </c>
      <c r="M30" s="2">
        <f>('Kwh Reading'!M31-'Kwh Reading'!M30)*1000</f>
        <v>669.99999999995907</v>
      </c>
      <c r="N30" s="2">
        <f>('Kwh Reading'!H31-'Kwh Reading'!H30)*1000</f>
        <v>390.00000000010004</v>
      </c>
      <c r="O30" s="2">
        <f>('Kwh Reading'!P31-'Kwh Reading'!P30)*1000</f>
        <v>1019.9999999999818</v>
      </c>
      <c r="P30" s="2">
        <f>('Kwh Reading'!G31-'Kwh Reading'!G30)*1000</f>
        <v>619.99999999989086</v>
      </c>
      <c r="Q30" s="2">
        <f>('Kwh Reading'!Q31-'Kwh Reading'!Q30)*1000</f>
        <v>680.00000000000682</v>
      </c>
      <c r="R30" s="2">
        <f>('Kwh Reading'!N31-'Kwh Reading'!N30)*1000</f>
        <v>680.00000000000682</v>
      </c>
      <c r="S30" s="2">
        <f>'Kwh Reading'!E31-'Kwh Reading'!E30</f>
        <v>3094.2900000000373</v>
      </c>
      <c r="T30" s="2">
        <f>'Kwh Reading'!D31-'Kwh Reading'!D30</f>
        <v>2109.679999999702</v>
      </c>
      <c r="U30" s="27">
        <f>('Kwh Reading'!O31-'Kwh Reading'!O30)*1000</f>
        <v>230.00000000001819</v>
      </c>
      <c r="V30" s="16">
        <f t="shared" si="1"/>
        <v>6736.0299999988347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-433200</v>
      </c>
      <c r="D31" s="2">
        <f>('Kwh Reading'!F32-'Kwh Reading'!F31)*1000000</f>
        <v>-2446400</v>
      </c>
      <c r="E31" s="2">
        <f>('Kwh Reading'!C32-'Kwh Reading'!C31)*1000</f>
        <v>-236060</v>
      </c>
      <c r="F31" s="2">
        <f>('Kwh Reading'!J32-'Kwh Reading'!J31)*1000</f>
        <v>-322920</v>
      </c>
      <c r="G31" s="2">
        <f>('Kwh Reading'!K32-'Kwh Reading'!K31)*1000</f>
        <v>-348390</v>
      </c>
      <c r="H31" s="2">
        <f>('Kwh Reading'!L32-'Kwh Reading'!L31)*1000</f>
        <v>-239270</v>
      </c>
      <c r="I31" s="2">
        <f>('Kwh Reading'!R32-'Kwh Reading'!R31)*1000</f>
        <v>-165650</v>
      </c>
      <c r="J31" s="2">
        <f>('Kwh Reading'!S32-'Kwh Reading'!S31)*1000</f>
        <v>-118510</v>
      </c>
      <c r="K31" s="2">
        <f>('Kwh Reading'!I32-'Kwh Reading'!I31)*1000</f>
        <v>-244910</v>
      </c>
      <c r="L31" s="2">
        <f>('Kwh Reading'!B32-'Kwh Reading'!B31)*1000</f>
        <v>-1017700</v>
      </c>
      <c r="M31" s="2">
        <f>('Kwh Reading'!M32-'Kwh Reading'!M31)*1000</f>
        <v>-539510</v>
      </c>
      <c r="N31" s="2">
        <f>('Kwh Reading'!H32-'Kwh Reading'!H31)*1000</f>
        <v>-634440</v>
      </c>
      <c r="O31" s="2">
        <f>('Kwh Reading'!P32-'Kwh Reading'!P31)*1000</f>
        <v>-647370</v>
      </c>
      <c r="P31" s="2">
        <f>('Kwh Reading'!G32-'Kwh Reading'!G31)*1000</f>
        <v>-768810</v>
      </c>
      <c r="Q31" s="2">
        <f>('Kwh Reading'!Q32-'Kwh Reading'!Q31)*1000</f>
        <v>-480370</v>
      </c>
      <c r="R31" s="2">
        <f>('Kwh Reading'!N32-'Kwh Reading'!N31)*1000</f>
        <v>-492670</v>
      </c>
      <c r="S31" s="2">
        <f>'Kwh Reading'!E32-'Kwh Reading'!E31</f>
        <v>-8273608.54</v>
      </c>
      <c r="T31" s="2">
        <f>'Kwh Reading'!D32-'Kwh Reading'!D31</f>
        <v>-7546344.7999999998</v>
      </c>
      <c r="U31" s="27">
        <f>('Kwh Reading'!O32-'Kwh Reading'!O31)*1000</f>
        <v>-157680</v>
      </c>
      <c r="V31" s="16">
        <f t="shared" si="1"/>
        <v>25113813.34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621139.99999999977</v>
      </c>
      <c r="C35" s="75">
        <f t="shared" ref="C35" si="2">SUM(C4:C34)</f>
        <v>-420700</v>
      </c>
      <c r="D35" s="75">
        <f t="shared" ref="D35" si="3">SUM(D4:D34)</f>
        <v>-2380799.9999999995</v>
      </c>
      <c r="E35" s="75">
        <f t="shared" ref="E35" si="4">SUM(E4:E34)</f>
        <v>-229580</v>
      </c>
      <c r="F35" s="75">
        <f t="shared" ref="F35" si="5">SUM(F4:F34)</f>
        <v>-316459.99999999994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-115159.99999999999</v>
      </c>
      <c r="K35" s="75">
        <f t="shared" si="6"/>
        <v>-236040</v>
      </c>
      <c r="L35" s="75">
        <f t="shared" si="6"/>
        <v>-981179.99999999988</v>
      </c>
      <c r="M35" s="75">
        <f t="shared" si="6"/>
        <v>-518450.00000000006</v>
      </c>
      <c r="N35" s="75">
        <f t="shared" si="6"/>
        <v>-622149.99999999988</v>
      </c>
      <c r="O35" s="75">
        <f t="shared" si="6"/>
        <v>-618580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25289121.439999998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22500.000000000684</v>
      </c>
      <c r="C26" s="1">
        <f>'Kwh Consumption'!C27</f>
        <v>759.99999999999091</v>
      </c>
      <c r="D26" s="1">
        <f>'Kwh Consumption'!D27</f>
        <v>2600.0000000001578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6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2">
        <f t="shared" si="0"/>
        <v>5736.7899999996716</v>
      </c>
    </row>
    <row r="27" spans="1:12" x14ac:dyDescent="0.25">
      <c r="A27" s="14">
        <f>'Kwh Reading'!A28</f>
        <v>44402</v>
      </c>
      <c r="B27" s="83">
        <f>TOTAL!E26</f>
        <v>22320.000000000393</v>
      </c>
      <c r="C27" s="1">
        <f>'Kwh Consumption'!C28</f>
        <v>449.99999999998863</v>
      </c>
      <c r="D27" s="1">
        <f>'Kwh Consumption'!D28</f>
        <v>2499.9999999999468</v>
      </c>
      <c r="E27" s="1">
        <f>'Kwh Consumption'!E28</f>
        <v>259.99999999999091</v>
      </c>
      <c r="F27" s="1">
        <f>('Kwh Consumption'!F28+'Kwh Consumption'!G28+'Kwh Consumption'!H28)</f>
        <v>1060.0000000000307</v>
      </c>
      <c r="G27" s="16">
        <f>('Kwh Consumption'!I28+'Kwh Consumption'!J28)</f>
        <v>419.99999999998749</v>
      </c>
      <c r="H27" s="1">
        <f>('Kwh Consumption'!K28+'Kwh Consumption'!L28)</f>
        <v>1510.0000000000477</v>
      </c>
      <c r="I27" s="1">
        <f>('Kwh Consumption'!M28+'Kwh Consumption'!N28+'Kwh Consumption'!O28+'Kwh Consumption'!P28+'Kwh Consumption'!Q28+'Kwh Consumption'!R28)</f>
        <v>3399.9999999997499</v>
      </c>
      <c r="J27" s="1">
        <f>('Kwh Consumption'!S28+'Kwh Consumption'!T28)</f>
        <v>5914.3199999993667</v>
      </c>
      <c r="K27" s="1">
        <f>'Kwh Consumption'!U28</f>
        <v>260.00000000001933</v>
      </c>
      <c r="L27" s="32">
        <f t="shared" si="0"/>
        <v>6545.6800000012654</v>
      </c>
    </row>
    <row r="28" spans="1:12" x14ac:dyDescent="0.25">
      <c r="A28" s="14">
        <f>'Kwh Reading'!A29</f>
        <v>44403</v>
      </c>
      <c r="B28" s="83">
        <f>TOTAL!E27</f>
        <v>21090.000000000146</v>
      </c>
      <c r="C28" s="1">
        <f>'Kwh Consumption'!C29</f>
        <v>580.00000000004093</v>
      </c>
      <c r="D28" s="1">
        <f>'Kwh Consumption'!D29</f>
        <v>2499.9999999999468</v>
      </c>
      <c r="E28" s="1">
        <f>'Kwh Consumption'!E29</f>
        <v>240.00000000000909</v>
      </c>
      <c r="F28" s="1">
        <f>('Kwh Consumption'!F29+'Kwh Consumption'!G29+'Kwh Consumption'!H29)</f>
        <v>809.99999999997385</v>
      </c>
      <c r="G28" s="16">
        <f>('Kwh Consumption'!I29+'Kwh Consumption'!J29)</f>
        <v>409.99999999999659</v>
      </c>
      <c r="H28" s="1">
        <f>('Kwh Consumption'!K29+'Kwh Consumption'!L29)</f>
        <v>1589.9999999999466</v>
      </c>
      <c r="I28" s="1">
        <f>('Kwh Consumption'!M29+'Kwh Consumption'!N29+'Kwh Consumption'!O29+'Kwh Consumption'!P29+'Kwh Consumption'!Q29+'Kwh Consumption'!R29)</f>
        <v>4920.0000000002437</v>
      </c>
      <c r="J28" s="1">
        <f>('Kwh Consumption'!S29+'Kwh Consumption'!T29)</f>
        <v>5092.6100000003353</v>
      </c>
      <c r="K28" s="1">
        <f>'Kwh Consumption'!U29</f>
        <v>239.99999999998067</v>
      </c>
      <c r="L28" s="32">
        <f t="shared" si="0"/>
        <v>4707.3899999996747</v>
      </c>
    </row>
    <row r="29" spans="1:12" x14ac:dyDescent="0.25">
      <c r="A29" s="14">
        <f>'Kwh Reading'!A30</f>
        <v>44404</v>
      </c>
      <c r="B29" s="83">
        <f>TOTAL!E28</f>
        <v>21809.999999998807</v>
      </c>
      <c r="C29" s="1">
        <f>'Kwh Consumption'!C30</f>
        <v>409.99999999996817</v>
      </c>
      <c r="D29" s="1">
        <f>'Kwh Consumption'!D30</f>
        <v>2200.0000000002019</v>
      </c>
      <c r="E29" s="1">
        <f>'Kwh Consumption'!E30</f>
        <v>259.99999999999091</v>
      </c>
      <c r="F29" s="1">
        <f>('Kwh Consumption'!F30+'Kwh Consumption'!G30+'Kwh Consumption'!H30)</f>
        <v>800.00000000003979</v>
      </c>
      <c r="G29" s="16">
        <f>('Kwh Consumption'!I30+'Kwh Consumption'!J30)</f>
        <v>430.00000000002103</v>
      </c>
      <c r="H29" s="1">
        <f>('Kwh Consumption'!K30+'Kwh Consumption'!L30)</f>
        <v>1480.0000000000466</v>
      </c>
      <c r="I29" s="1">
        <f>('Kwh Consumption'!M30+'Kwh Consumption'!N30+'Kwh Consumption'!O30+'Kwh Consumption'!P30+'Kwh Consumption'!Q30+'Kwh Consumption'!R30)</f>
        <v>4059.9999999999454</v>
      </c>
      <c r="J29" s="1">
        <f>('Kwh Consumption'!S30+'Kwh Consumption'!T30)</f>
        <v>5203.9699999997392</v>
      </c>
      <c r="K29" s="1">
        <f>'Kwh Consumption'!U30</f>
        <v>230.00000000001819</v>
      </c>
      <c r="L29" s="32">
        <f t="shared" si="0"/>
        <v>6736.0299999988347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-433200</v>
      </c>
      <c r="D30" s="1">
        <f>'Kwh Consumption'!D31</f>
        <v>-2446400</v>
      </c>
      <c r="E30" s="1">
        <f>'Kwh Consumption'!E31</f>
        <v>-236060</v>
      </c>
      <c r="F30" s="1">
        <f>('Kwh Consumption'!F31+'Kwh Consumption'!G31+'Kwh Consumption'!H31)</f>
        <v>-910580</v>
      </c>
      <c r="G30" s="16">
        <f>('Kwh Consumption'!I31+'Kwh Consumption'!J31)</f>
        <v>-284160</v>
      </c>
      <c r="H30" s="1">
        <f>('Kwh Consumption'!K31+'Kwh Consumption'!L31)</f>
        <v>-1262610</v>
      </c>
      <c r="I30" s="1">
        <f>('Kwh Consumption'!M31+'Kwh Consumption'!N31+'Kwh Consumption'!O31+'Kwh Consumption'!P31+'Kwh Consumption'!Q31+'Kwh Consumption'!R31)</f>
        <v>-3563170</v>
      </c>
      <c r="J30" s="1">
        <f>('Kwh Consumption'!S31+'Kwh Consumption'!T31)</f>
        <v>-15819953.34</v>
      </c>
      <c r="K30" s="1">
        <f>'Kwh Consumption'!U31</f>
        <v>-157680</v>
      </c>
      <c r="L30" s="32">
        <f t="shared" si="0"/>
        <v>25113813.34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617939.99999999988</v>
      </c>
      <c r="C34" s="75">
        <f>SUM(C3:C33)</f>
        <v>-420700</v>
      </c>
      <c r="D34" s="75">
        <f t="shared" ref="D34:L34" si="1">SUM(D3:D33)</f>
        <v>-2380799.9999999995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25285921.439999998</v>
      </c>
      <c r="M34" s="84">
        <f>C34+D34+E34+F34+G34+H34+I34+J34+K34+L34</f>
        <v>617940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-333311.99999999994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3540029.0016000001</v>
      </c>
      <c r="M36" s="84">
        <f>C36+D36+E36+F36+G36+H36+I36+J36+K36+L36</f>
        <v>86511.599999999627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3150.000000000096</v>
      </c>
      <c r="D26" s="1">
        <f>'Kwh Consumption'!C27*' Kwh area wise $ '!B26</f>
        <v>106.39999999999874</v>
      </c>
      <c r="E26" s="1">
        <f>'Kwh Consumption'!D27*' Kwh area wise $ '!B26</f>
        <v>364.00000000002211</v>
      </c>
      <c r="F26" s="1">
        <f>'Kwh Consumption'!E27*' Kwh area wise $ '!B26</f>
        <v>35</v>
      </c>
      <c r="G26" s="1">
        <f>('Kwh Consumption'!F27+'Kwh Consumption'!G27+'Kwh Consumption'!H27)*' Kwh area wise $ '!B26</f>
        <v>118.99999999999524</v>
      </c>
      <c r="H26" s="16">
        <f>('Kwh Consumption'!I27+'Kwh Consumption'!J27)*' Kwh area wise $ '!B26</f>
        <v>33.599999999999284</v>
      </c>
      <c r="I26" s="1">
        <f>('Kwh Consumption'!K27+'Kwh Consumption'!L27)*' Kwh area wise $ '!B26</f>
        <v>240.79999999999589</v>
      </c>
      <c r="J26" s="1">
        <f>('Kwh Consumption'!M27+'Kwh Consumption'!N27+'Kwh Consumption'!O27+'Kwh Consumption'!P27+'Kwh Consumption'!Q27+'Kwh Consumption'!R27)*' Kwh area wise $ '!B26</f>
        <v>614.60000000000616</v>
      </c>
      <c r="K26" s="1">
        <f>('Kwh Consumption'!S27+'Kwh Consumption'!T27)*' Kwh area wise $ '!B26</f>
        <v>797.04940000012527</v>
      </c>
      <c r="L26" s="1">
        <f>'Kwh Consumption'!U27*' Kwh area wise $ '!B26</f>
        <v>36.399999999998727</v>
      </c>
      <c r="M26" s="1">
        <f>'Kwh Consumption'!V27*' Kwh area wise $ '!B26</f>
        <v>803.15059999995435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3124.8000000000552</v>
      </c>
      <c r="D27" s="1">
        <f>'Kwh Consumption'!C28*' Kwh area wise $ '!B27</f>
        <v>62.999999999998415</v>
      </c>
      <c r="E27" s="1">
        <f>'Kwh Consumption'!D28*' Kwh area wise $ '!B27</f>
        <v>349.99999999999261</v>
      </c>
      <c r="F27" s="1">
        <f>'Kwh Consumption'!E28*' Kwh area wise $ '!B27</f>
        <v>36.399999999998727</v>
      </c>
      <c r="G27" s="1">
        <f>('Kwh Consumption'!F28+'Kwh Consumption'!G28+'Kwh Consumption'!H28)*' Kwh area wise $ '!B27</f>
        <v>148.4000000000043</v>
      </c>
      <c r="H27" s="16">
        <f>('Kwh Consumption'!I28+'Kwh Consumption'!J28)*' Kwh area wise $ '!B27</f>
        <v>58.799999999998256</v>
      </c>
      <c r="I27" s="1">
        <f>('Kwh Consumption'!K28+'Kwh Consumption'!L28)*' Kwh area wise $ '!B27</f>
        <v>211.40000000000671</v>
      </c>
      <c r="J27" s="1">
        <f>('Kwh Consumption'!M28+'Kwh Consumption'!N28+'Kwh Consumption'!O28+'Kwh Consumption'!P28+'Kwh Consumption'!Q28+'Kwh Consumption'!R28)*' Kwh area wise $ '!B27</f>
        <v>475.99999999996504</v>
      </c>
      <c r="K27" s="1">
        <f>('Kwh Consumption'!S28+'Kwh Consumption'!T28)*' Kwh area wise $ '!B27</f>
        <v>828.00479999991137</v>
      </c>
      <c r="L27" s="1">
        <f>'Kwh Consumption'!U28*' Kwh area wise $ '!B27</f>
        <v>36.400000000002706</v>
      </c>
      <c r="M27" s="1">
        <f>'Kwh Consumption'!V28*' Kwh area wise $ '!B27</f>
        <v>916.39520000017683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2952.6000000000208</v>
      </c>
      <c r="D28" s="1">
        <f>'Kwh Consumption'!C29*' Kwh area wise $ '!B28</f>
        <v>81.200000000005744</v>
      </c>
      <c r="E28" s="1">
        <f>'Kwh Consumption'!D29*' Kwh area wise $ '!B28</f>
        <v>349.99999999999261</v>
      </c>
      <c r="F28" s="1">
        <f>'Kwh Consumption'!E29*' Kwh area wise $ '!B28</f>
        <v>33.600000000001273</v>
      </c>
      <c r="G28" s="1">
        <f>('Kwh Consumption'!F29+'Kwh Consumption'!G29+'Kwh Consumption'!H29)*' Kwh area wise $ '!B28</f>
        <v>113.39999999999635</v>
      </c>
      <c r="H28" s="16">
        <f>('Kwh Consumption'!I29+'Kwh Consumption'!J29)*' Kwh area wise $ '!B28</f>
        <v>57.39999999999953</v>
      </c>
      <c r="I28" s="1">
        <f>('Kwh Consumption'!K29+'Kwh Consumption'!L29)*' Kwh area wise $ '!B28</f>
        <v>222.59999999999255</v>
      </c>
      <c r="J28" s="1">
        <f>('Kwh Consumption'!M29+'Kwh Consumption'!N29+'Kwh Consumption'!O29+'Kwh Consumption'!P29+'Kwh Consumption'!Q29+'Kwh Consumption'!R29)*' Kwh area wise $ '!B28</f>
        <v>688.80000000003417</v>
      </c>
      <c r="K28" s="1">
        <f>('Kwh Consumption'!S29+'Kwh Consumption'!T29)*' Kwh area wise $ '!B28</f>
        <v>712.965400000047</v>
      </c>
      <c r="L28" s="1">
        <f>'Kwh Consumption'!U29*' Kwh area wise $ '!B28</f>
        <v>33.599999999997294</v>
      </c>
      <c r="M28" s="1">
        <f>'Kwh Consumption'!V29*' Kwh area wise $ '!B28</f>
        <v>659.03459999995414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3053.3999999998332</v>
      </c>
      <c r="D29" s="1">
        <f>'Kwh Consumption'!C30*' Kwh area wise $ '!B29</f>
        <v>57.399999999995551</v>
      </c>
      <c r="E29" s="1">
        <f>'Kwh Consumption'!D30*' Kwh area wise $ '!B29</f>
        <v>308.00000000002831</v>
      </c>
      <c r="F29" s="1">
        <f>'Kwh Consumption'!E30*' Kwh area wise $ '!B29</f>
        <v>36.399999999998727</v>
      </c>
      <c r="G29" s="1">
        <f>('Kwh Consumption'!F30+'Kwh Consumption'!G30+'Kwh Consumption'!H30)*' Kwh area wise $ '!B29</f>
        <v>112.00000000000558</v>
      </c>
      <c r="H29" s="16">
        <f>('Kwh Consumption'!I30+'Kwh Consumption'!J30)*' Kwh area wise $ '!B29</f>
        <v>60.200000000002952</v>
      </c>
      <c r="I29" s="1">
        <f>('Kwh Consumption'!K30+'Kwh Consumption'!L30)*' Kwh area wise $ '!B29</f>
        <v>207.20000000000655</v>
      </c>
      <c r="J29" s="1">
        <f>('Kwh Consumption'!M30+'Kwh Consumption'!N30+'Kwh Consumption'!O30+'Kwh Consumption'!P30+'Kwh Consumption'!Q30+'Kwh Consumption'!R30)*' Kwh area wise $ '!B29</f>
        <v>568.39999999999236</v>
      </c>
      <c r="K29" s="1">
        <f>('Kwh Consumption'!S30+'Kwh Consumption'!T30)*' Kwh area wise $ '!B29</f>
        <v>728.5557999999636</v>
      </c>
      <c r="L29" s="1">
        <f>'Kwh Consumption'!U30*' Kwh area wise $ '!B29</f>
        <v>32.200000000002547</v>
      </c>
      <c r="M29" s="1">
        <f>'Kwh Consumption'!V30*' Kwh area wise $ '!B29</f>
        <v>943.04419999983691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-60648.000000000007</v>
      </c>
      <c r="E30" s="1">
        <f>'Kwh Consumption'!D31*' Kwh area wise $ '!B30</f>
        <v>-342496.00000000006</v>
      </c>
      <c r="F30" s="1">
        <f>'Kwh Consumption'!E31*' Kwh area wise $ '!B30</f>
        <v>-33048.400000000001</v>
      </c>
      <c r="G30" s="1">
        <f>('Kwh Consumption'!F31+'Kwh Consumption'!G31+'Kwh Consumption'!H31)*' Kwh area wise $ '!B30</f>
        <v>-127481.20000000001</v>
      </c>
      <c r="H30" s="16">
        <f>('Kwh Consumption'!I31+'Kwh Consumption'!J31)*' Kwh area wise $ '!B30</f>
        <v>-39782.400000000001</v>
      </c>
      <c r="I30" s="1">
        <f>('Kwh Consumption'!K31+'Kwh Consumption'!L31)*' Kwh area wise $ '!B30</f>
        <v>-176765.40000000002</v>
      </c>
      <c r="J30" s="1">
        <f>('Kwh Consumption'!M31+'Kwh Consumption'!N31+'Kwh Consumption'!O31+'Kwh Consumption'!P31+'Kwh Consumption'!Q31+'Kwh Consumption'!R31)*' Kwh area wise $ '!B30</f>
        <v>-498843.80000000005</v>
      </c>
      <c r="K30" s="1">
        <f>('Kwh Consumption'!S31+'Kwh Consumption'!T31)*' Kwh area wise $ '!B30</f>
        <v>-2214793.4676000001</v>
      </c>
      <c r="L30" s="1">
        <f>'Kwh Consumption'!U31*' Kwh area wise $ '!B30</f>
        <v>-22075.200000000001</v>
      </c>
      <c r="M30" s="1">
        <f>'Kwh Consumption'!V31*' Kwh area wise $ '!B30</f>
        <v>3515933.8676000005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86959.6</v>
      </c>
      <c r="D34" s="75">
        <f t="shared" si="0"/>
        <v>-58898.000000000007</v>
      </c>
      <c r="E34" s="75">
        <f t="shared" si="0"/>
        <v>-333312</v>
      </c>
      <c r="F34" s="75">
        <f t="shared" si="0"/>
        <v>-32141.200000000004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3540477.0016000005</v>
      </c>
      <c r="N34" s="84">
        <f>D34+E34+F34+G34+H34+I34+J34+K34+L34+M34</f>
        <v>86959.600000000093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30" sqref="S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133122</v>
      </c>
      <c r="D25" s="55">
        <v>212161</v>
      </c>
      <c r="E25" s="55">
        <v>249175</v>
      </c>
      <c r="F25" s="55">
        <v>66949</v>
      </c>
      <c r="G25" s="55">
        <v>112011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133122</v>
      </c>
      <c r="D26" s="55">
        <v>212272</v>
      </c>
      <c r="E26" s="55">
        <v>249232</v>
      </c>
      <c r="F26" s="55">
        <v>66950</v>
      </c>
      <c r="G26" s="55">
        <v>112028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>
        <v>171570</v>
      </c>
      <c r="C27" s="33">
        <v>133128</v>
      </c>
      <c r="D27" s="55">
        <v>212403</v>
      </c>
      <c r="E27" s="55">
        <v>249292</v>
      </c>
      <c r="F27" s="55">
        <v>66951</v>
      </c>
      <c r="G27" s="55">
        <v>112048</v>
      </c>
      <c r="H27" s="33">
        <v>54082</v>
      </c>
      <c r="I27" s="55">
        <v>64274</v>
      </c>
      <c r="J27" s="55">
        <v>20587</v>
      </c>
      <c r="K27" s="55">
        <v>1024</v>
      </c>
      <c r="L27" s="55">
        <v>17417</v>
      </c>
      <c r="M27" s="55">
        <v>24537</v>
      </c>
      <c r="N27" s="55">
        <v>7407</v>
      </c>
      <c r="O27" s="55">
        <v>1695</v>
      </c>
      <c r="P27" s="55">
        <v>27243</v>
      </c>
      <c r="Q27" s="33">
        <v>758</v>
      </c>
      <c r="R27" s="55">
        <v>6388</v>
      </c>
    </row>
    <row r="28" spans="1:22" x14ac:dyDescent="0.25">
      <c r="A28" s="54">
        <v>44403</v>
      </c>
      <c r="B28" s="33">
        <v>171725</v>
      </c>
      <c r="C28" s="56">
        <v>133447</v>
      </c>
      <c r="D28" s="55">
        <v>212503</v>
      </c>
      <c r="E28" s="55">
        <v>249357</v>
      </c>
      <c r="F28" s="55">
        <v>66952</v>
      </c>
      <c r="G28" s="55">
        <v>112076</v>
      </c>
      <c r="H28" s="33">
        <v>54150</v>
      </c>
      <c r="I28" s="55">
        <v>64294</v>
      </c>
      <c r="J28" s="55">
        <v>20598</v>
      </c>
      <c r="K28" s="55">
        <v>1024</v>
      </c>
      <c r="L28" s="55">
        <v>17424</v>
      </c>
      <c r="M28" s="55">
        <v>24558</v>
      </c>
      <c r="N28" s="55">
        <v>7412</v>
      </c>
      <c r="O28" s="55">
        <v>1696</v>
      </c>
      <c r="P28" s="55">
        <v>27243</v>
      </c>
      <c r="Q28" s="33">
        <v>759</v>
      </c>
      <c r="R28" s="55">
        <v>6363</v>
      </c>
    </row>
    <row r="29" spans="1:22" x14ac:dyDescent="0.25">
      <c r="A29" s="54">
        <v>44404</v>
      </c>
      <c r="B29" s="33">
        <v>171925</v>
      </c>
      <c r="C29" s="33">
        <v>134166</v>
      </c>
      <c r="D29" s="55">
        <v>212693</v>
      </c>
      <c r="E29" s="55">
        <v>249407</v>
      </c>
      <c r="F29" s="55">
        <v>66952</v>
      </c>
      <c r="G29" s="55">
        <v>112092</v>
      </c>
      <c r="H29" s="33">
        <v>54181</v>
      </c>
      <c r="I29" s="10">
        <v>64325</v>
      </c>
      <c r="J29" s="55">
        <v>20610</v>
      </c>
      <c r="K29" s="55">
        <v>1024</v>
      </c>
      <c r="L29" s="55">
        <v>17431</v>
      </c>
      <c r="M29" s="55">
        <v>24569</v>
      </c>
      <c r="N29" s="55">
        <v>7415</v>
      </c>
      <c r="O29" s="55">
        <v>1697</v>
      </c>
      <c r="P29" s="55">
        <v>27254</v>
      </c>
      <c r="Q29" s="55">
        <v>761</v>
      </c>
      <c r="R29" s="55">
        <v>6369</v>
      </c>
    </row>
    <row r="30" spans="1:22" x14ac:dyDescent="0.25">
      <c r="A30" s="54">
        <v>44405</v>
      </c>
      <c r="B30" s="33">
        <v>172102</v>
      </c>
      <c r="C30" s="56">
        <v>134484</v>
      </c>
      <c r="D30" s="55">
        <v>212997</v>
      </c>
      <c r="E30" s="55">
        <v>249464</v>
      </c>
      <c r="F30" s="55">
        <v>66953</v>
      </c>
      <c r="G30" s="55">
        <v>112112</v>
      </c>
      <c r="H30" s="33">
        <v>54207</v>
      </c>
      <c r="I30" s="55">
        <v>64360</v>
      </c>
      <c r="J30" s="55">
        <v>20622</v>
      </c>
      <c r="K30" s="55">
        <v>1024</v>
      </c>
      <c r="L30" s="55">
        <v>17438</v>
      </c>
      <c r="M30" s="55">
        <v>24585</v>
      </c>
      <c r="N30" s="55">
        <v>7416</v>
      </c>
      <c r="O30" s="55">
        <v>1698</v>
      </c>
      <c r="P30" s="55">
        <v>27269</v>
      </c>
      <c r="Q30" s="55">
        <v>762</v>
      </c>
      <c r="R30" s="55">
        <v>6374</v>
      </c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U27" sqref="U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132</v>
      </c>
      <c r="D25" s="67">
        <f t="shared" si="2"/>
        <v>0.51764705882352946</v>
      </c>
      <c r="E25" s="87">
        <f>'Water Reading'!H25-'Water Reading'!H24</f>
        <v>60</v>
      </c>
      <c r="F25" s="89">
        <f t="shared" si="3"/>
        <v>0.45454545454545453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0.78030303030303028</v>
      </c>
      <c r="I25" s="90">
        <f>'Water Reading'!P25-'Water Reading'!P24</f>
        <v>12</v>
      </c>
      <c r="J25" s="68">
        <f t="shared" si="5"/>
        <v>9.0909090909090912E-2</v>
      </c>
      <c r="K25" s="91">
        <f>('Water Reading'!I25-'Water Reading'!I24)-('Water Reading'!P25-'Water Reading'!P24)</f>
        <v>24</v>
      </c>
      <c r="L25" s="68">
        <f t="shared" si="6"/>
        <v>0.18181818181818182</v>
      </c>
      <c r="M25" s="90">
        <f>'Water Reading'!R25-'Water Reading'!R24</f>
        <v>5</v>
      </c>
      <c r="N25" s="92">
        <f t="shared" si="7"/>
        <v>3.787878787878788E-2</v>
      </c>
      <c r="O25" s="90">
        <f>'Water Reading'!Q25-'Water Reading'!Q24</f>
        <v>4</v>
      </c>
      <c r="P25" s="99">
        <f t="shared" si="8"/>
        <v>3.0303030303030304E-2</v>
      </c>
      <c r="Q25" s="91">
        <f>'Water Reading'!F25-'Water Reading'!F24</f>
        <v>1</v>
      </c>
      <c r="R25" s="100">
        <f t="shared" si="9"/>
        <v>7.575757575757576E-3</v>
      </c>
      <c r="S25" s="94">
        <f>'Water Reading'!E25-'Water Reading'!E24</f>
        <v>62</v>
      </c>
      <c r="T25" s="100">
        <f t="shared" si="10"/>
        <v>0.46969696969696972</v>
      </c>
      <c r="U25" s="90">
        <f>'Water Reading'!G25-'Water Reading'!G24</f>
        <v>23</v>
      </c>
      <c r="V25" s="100">
        <f t="shared" si="11"/>
        <v>0.17424242424242425</v>
      </c>
      <c r="W25" s="90">
        <f>'Water Reading'!J25-'Water Reading'!J24</f>
        <v>12</v>
      </c>
      <c r="X25" s="100">
        <f t="shared" si="12"/>
        <v>9.0909090909090912E-2</v>
      </c>
      <c r="Y25" s="66">
        <f t="shared" si="0"/>
        <v>306</v>
      </c>
      <c r="Z25" s="67">
        <f t="shared" si="1"/>
        <v>1.2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77</v>
      </c>
      <c r="D26" s="67">
        <f t="shared" si="2"/>
        <v>0.27402135231316727</v>
      </c>
      <c r="E26" s="87">
        <f>'Water Reading'!H26-'Water Reading'!H25</f>
        <v>57</v>
      </c>
      <c r="F26" s="89">
        <f t="shared" si="3"/>
        <v>0.74025974025974028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1.4025974025974026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0.29870129870129869</v>
      </c>
      <c r="M26" s="90">
        <f>'Water Reading'!R26-'Water Reading'!R25</f>
        <v>3</v>
      </c>
      <c r="N26" s="92">
        <f t="shared" si="7"/>
        <v>3.896103896103896E-2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1.2987012987012988E-2</v>
      </c>
      <c r="S26" s="94">
        <f>'Water Reading'!E26-'Water Reading'!E25</f>
        <v>57</v>
      </c>
      <c r="T26" s="100">
        <f t="shared" si="10"/>
        <v>0.74025974025974028</v>
      </c>
      <c r="U26" s="90">
        <f>'Water Reading'!G26-'Water Reading'!G25</f>
        <v>17</v>
      </c>
      <c r="V26" s="100">
        <f t="shared" si="11"/>
        <v>0.22077922077922077</v>
      </c>
      <c r="W26" s="90">
        <f>'Water Reading'!J26-'Water Reading'!J25</f>
        <v>11</v>
      </c>
      <c r="X26" s="100">
        <f t="shared" si="12"/>
        <v>0.14285714285714285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243</v>
      </c>
      <c r="C27" s="66">
        <f>('Water Reading'!B27-'Water Reading'!B26)+('Water Reading'!C27-'Water Reading'!C26)</f>
        <v>137</v>
      </c>
      <c r="D27" s="67">
        <f t="shared" si="2"/>
        <v>0.56378600823045266</v>
      </c>
      <c r="E27" s="87">
        <f>'Water Reading'!H27-'Water Reading'!H26</f>
        <v>38</v>
      </c>
      <c r="F27" s="89">
        <f t="shared" si="3"/>
        <v>0.27737226277372262</v>
      </c>
      <c r="G27" s="93">
        <f>('Water Reading'!D27-'Water Reading'!D26)-('Water Reading'!R27-'Water Reading'!R26)-('Water Reading'!Q27-'Water Reading'!Q26)</f>
        <v>83</v>
      </c>
      <c r="H27" s="89">
        <f t="shared" si="4"/>
        <v>0.6058394160583942</v>
      </c>
      <c r="I27" s="90">
        <f>'Water Reading'!P27-'Water Reading'!P26</f>
        <v>18</v>
      </c>
      <c r="J27" s="68">
        <f t="shared" si="5"/>
        <v>0.13138686131386862</v>
      </c>
      <c r="K27" s="91">
        <f>('Water Reading'!I27-'Water Reading'!I26)-('Water Reading'!P27-'Water Reading'!P26)</f>
        <v>16</v>
      </c>
      <c r="L27" s="68">
        <f t="shared" si="6"/>
        <v>0.11678832116788321</v>
      </c>
      <c r="M27" s="90">
        <f>'Water Reading'!R27-'Water Reading'!R26</f>
        <v>38</v>
      </c>
      <c r="N27" s="92">
        <f t="shared" si="7"/>
        <v>0.27737226277372262</v>
      </c>
      <c r="O27" s="90">
        <f>'Water Reading'!Q27-'Water Reading'!Q26</f>
        <v>10</v>
      </c>
      <c r="P27" s="99">
        <f t="shared" si="8"/>
        <v>7.2992700729927001E-2</v>
      </c>
      <c r="Q27" s="91">
        <f>'Water Reading'!F27-'Water Reading'!F26</f>
        <v>1</v>
      </c>
      <c r="R27" s="100">
        <f t="shared" si="9"/>
        <v>7.2992700729927005E-3</v>
      </c>
      <c r="S27" s="94">
        <f>'Water Reading'!E27-'Water Reading'!E26</f>
        <v>60</v>
      </c>
      <c r="T27" s="100">
        <f t="shared" si="10"/>
        <v>0.43795620437956206</v>
      </c>
      <c r="U27" s="90">
        <f>'Water Reading'!G27-'Water Reading'!G26</f>
        <v>20</v>
      </c>
      <c r="V27" s="100">
        <f t="shared" si="11"/>
        <v>0.145985401459854</v>
      </c>
      <c r="W27" s="90">
        <f>'Water Reading'!J27-'Water Reading'!J26</f>
        <v>12</v>
      </c>
      <c r="X27" s="100">
        <f t="shared" si="12"/>
        <v>8.7591240875912413E-2</v>
      </c>
      <c r="Y27" s="66">
        <f t="shared" si="0"/>
        <v>296</v>
      </c>
      <c r="Z27" s="67">
        <f t="shared" si="1"/>
        <v>1.2181069958847737</v>
      </c>
    </row>
    <row r="28" spans="1:26" x14ac:dyDescent="0.25">
      <c r="A28" s="8">
        <f>'Water Reading'!A27</f>
        <v>44402</v>
      </c>
      <c r="B28" s="65">
        <f>TOTAL!I26</f>
        <v>256</v>
      </c>
      <c r="C28" s="66">
        <f>('Water Reading'!B28-'Water Reading'!B27)+('Water Reading'!C28-'Water Reading'!C27)</f>
        <v>474</v>
      </c>
      <c r="D28" s="67">
        <f t="shared" si="2"/>
        <v>1.8515625</v>
      </c>
      <c r="E28" s="87">
        <f>'Water Reading'!H28-'Water Reading'!H27</f>
        <v>68</v>
      </c>
      <c r="F28" s="89">
        <f t="shared" si="3"/>
        <v>0.14345991561181434</v>
      </c>
      <c r="G28" s="93">
        <f>('Water Reading'!D28-'Water Reading'!D27)-('Water Reading'!R28-'Water Reading'!R27)-('Water Reading'!Q28-'Water Reading'!Q27)</f>
        <v>124</v>
      </c>
      <c r="H28" s="89">
        <f t="shared" si="4"/>
        <v>0.26160337552742619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20</v>
      </c>
      <c r="L28" s="68">
        <f t="shared" si="6"/>
        <v>4.2194092827004218E-2</v>
      </c>
      <c r="M28" s="90">
        <f>'Water Reading'!R28-'Water Reading'!R27</f>
        <v>-25</v>
      </c>
      <c r="N28" s="92">
        <f t="shared" si="7"/>
        <v>-5.2742616033755275E-2</v>
      </c>
      <c r="O28" s="90">
        <f>'Water Reading'!Q28-'Water Reading'!Q27</f>
        <v>1</v>
      </c>
      <c r="P28" s="99">
        <f t="shared" si="8"/>
        <v>2.1097046413502108E-3</v>
      </c>
      <c r="Q28" s="91">
        <f>'Water Reading'!F28-'Water Reading'!F27</f>
        <v>1</v>
      </c>
      <c r="R28" s="100">
        <f t="shared" si="9"/>
        <v>2.1097046413502108E-3</v>
      </c>
      <c r="S28" s="94">
        <f>'Water Reading'!E28-'Water Reading'!E27</f>
        <v>65</v>
      </c>
      <c r="T28" s="100">
        <f t="shared" si="10"/>
        <v>0.1371308016877637</v>
      </c>
      <c r="U28" s="90">
        <f>'Water Reading'!G28-'Water Reading'!G27</f>
        <v>28</v>
      </c>
      <c r="V28" s="100">
        <f t="shared" si="11"/>
        <v>5.9071729957805907E-2</v>
      </c>
      <c r="W28" s="90">
        <f>'Water Reading'!J28-'Water Reading'!J27</f>
        <v>11</v>
      </c>
      <c r="X28" s="100">
        <f t="shared" si="12"/>
        <v>2.3206751054852322E-2</v>
      </c>
      <c r="Y28" s="66">
        <f t="shared" si="0"/>
        <v>293</v>
      </c>
      <c r="Z28" s="67">
        <f t="shared" si="1"/>
        <v>1.14453125</v>
      </c>
    </row>
    <row r="29" spans="1:26" x14ac:dyDescent="0.25">
      <c r="A29" s="8">
        <f>'Water Reading'!A28</f>
        <v>44403</v>
      </c>
      <c r="B29" s="65">
        <f>TOTAL!I27</f>
        <v>280</v>
      </c>
      <c r="C29" s="66">
        <f>('Water Reading'!B29-'Water Reading'!B28)+('Water Reading'!C29-'Water Reading'!C28)</f>
        <v>919</v>
      </c>
      <c r="D29" s="67">
        <f t="shared" si="2"/>
        <v>3.282142857142857</v>
      </c>
      <c r="E29" s="87">
        <f>'Water Reading'!H29-'Water Reading'!H28</f>
        <v>31</v>
      </c>
      <c r="F29" s="89">
        <f t="shared" si="3"/>
        <v>3.3732317736670292E-2</v>
      </c>
      <c r="G29" s="93">
        <f>('Water Reading'!D29-'Water Reading'!D28)-('Water Reading'!R29-'Water Reading'!R28)-('Water Reading'!Q29-'Water Reading'!Q28)</f>
        <v>182</v>
      </c>
      <c r="H29" s="89">
        <f t="shared" si="4"/>
        <v>0.19804134929270947</v>
      </c>
      <c r="I29" s="90">
        <f>'Water Reading'!P29-'Water Reading'!P28</f>
        <v>11</v>
      </c>
      <c r="J29" s="68">
        <f t="shared" si="5"/>
        <v>1.1969532100108813E-2</v>
      </c>
      <c r="K29" s="91">
        <f>('Water Reading'!I29-'Water Reading'!I28)-('Water Reading'!P29-'Water Reading'!P28)</f>
        <v>20</v>
      </c>
      <c r="L29" s="68">
        <f t="shared" si="6"/>
        <v>2.176278563656148E-2</v>
      </c>
      <c r="M29" s="90">
        <f>'Water Reading'!R29-'Water Reading'!R28</f>
        <v>6</v>
      </c>
      <c r="N29" s="92">
        <f t="shared" si="7"/>
        <v>6.5288356909684441E-3</v>
      </c>
      <c r="O29" s="90">
        <f>'Water Reading'!Q29-'Water Reading'!Q28</f>
        <v>2</v>
      </c>
      <c r="P29" s="99">
        <f t="shared" si="8"/>
        <v>2.176278563656148E-3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50</v>
      </c>
      <c r="T29" s="100">
        <f t="shared" si="10"/>
        <v>5.4406964091403699E-2</v>
      </c>
      <c r="U29" s="90">
        <f>'Water Reading'!G29-'Water Reading'!G28</f>
        <v>16</v>
      </c>
      <c r="V29" s="100">
        <f t="shared" si="11"/>
        <v>1.7410228509249184E-2</v>
      </c>
      <c r="W29" s="90">
        <f>'Water Reading'!J29-'Water Reading'!J28</f>
        <v>12</v>
      </c>
      <c r="X29" s="100">
        <f t="shared" si="12"/>
        <v>1.3057671381936888E-2</v>
      </c>
      <c r="Y29" s="66">
        <f t="shared" si="0"/>
        <v>330</v>
      </c>
      <c r="Z29" s="67">
        <f t="shared" si="1"/>
        <v>1.1785714285714286</v>
      </c>
    </row>
    <row r="30" spans="1:26" x14ac:dyDescent="0.25">
      <c r="A30" s="8">
        <f>'Water Reading'!A29</f>
        <v>44404</v>
      </c>
      <c r="B30" s="65">
        <f>TOTAL!I28</f>
        <v>322</v>
      </c>
      <c r="C30" s="66">
        <f>('Water Reading'!B30-'Water Reading'!B29)+('Water Reading'!C30-'Water Reading'!C29)</f>
        <v>495</v>
      </c>
      <c r="D30" s="67">
        <f t="shared" si="2"/>
        <v>1.5372670807453417</v>
      </c>
      <c r="E30" s="87">
        <f>'Water Reading'!H30-'Water Reading'!H29</f>
        <v>26</v>
      </c>
      <c r="F30" s="89">
        <f t="shared" si="3"/>
        <v>5.2525252525252523E-2</v>
      </c>
      <c r="G30" s="93">
        <f>('Water Reading'!D30-'Water Reading'!D29)-('Water Reading'!R30-'Water Reading'!R29)-('Water Reading'!Q30-'Water Reading'!Q29)</f>
        <v>298</v>
      </c>
      <c r="H30" s="89">
        <f t="shared" si="4"/>
        <v>0.60202020202020201</v>
      </c>
      <c r="I30" s="90">
        <f>'Water Reading'!P30-'Water Reading'!P29</f>
        <v>15</v>
      </c>
      <c r="J30" s="68">
        <f t="shared" si="5"/>
        <v>3.0303030303030304E-2</v>
      </c>
      <c r="K30" s="91">
        <f>('Water Reading'!I30-'Water Reading'!I29)-('Water Reading'!P30-'Water Reading'!P29)</f>
        <v>20</v>
      </c>
      <c r="L30" s="68">
        <f t="shared" si="6"/>
        <v>4.0404040404040407E-2</v>
      </c>
      <c r="M30" s="90">
        <f>'Water Reading'!R30-'Water Reading'!R29</f>
        <v>5</v>
      </c>
      <c r="N30" s="92">
        <f t="shared" si="7"/>
        <v>1.0101010101010102E-2</v>
      </c>
      <c r="O30" s="90">
        <f>'Water Reading'!Q30-'Water Reading'!Q29</f>
        <v>1</v>
      </c>
      <c r="P30" s="99">
        <f t="shared" si="8"/>
        <v>2.0202020202020202E-3</v>
      </c>
      <c r="Q30" s="91">
        <f>'Water Reading'!F30-'Water Reading'!F29</f>
        <v>1</v>
      </c>
      <c r="R30" s="100">
        <f t="shared" si="9"/>
        <v>2.0202020202020202E-3</v>
      </c>
      <c r="S30" s="94">
        <f>'Water Reading'!E30-'Water Reading'!E29</f>
        <v>57</v>
      </c>
      <c r="T30" s="100">
        <f t="shared" si="10"/>
        <v>0.11515151515151516</v>
      </c>
      <c r="U30" s="90">
        <f>'Water Reading'!G30-'Water Reading'!G29</f>
        <v>20</v>
      </c>
      <c r="V30" s="100">
        <f t="shared" si="11"/>
        <v>4.0404040404040407E-2</v>
      </c>
      <c r="W30" s="90">
        <f>'Water Reading'!J30-'Water Reading'!J29</f>
        <v>12</v>
      </c>
      <c r="X30" s="100">
        <f t="shared" si="12"/>
        <v>2.4242424242424242E-2</v>
      </c>
      <c r="Y30" s="66">
        <f t="shared" si="0"/>
        <v>455</v>
      </c>
      <c r="Z30" s="67">
        <f t="shared" si="1"/>
        <v>1.4130434782608696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-306586</v>
      </c>
      <c r="D31" s="67" t="e">
        <f t="shared" si="2"/>
        <v>#DIV/0!</v>
      </c>
      <c r="E31" s="87">
        <f>'Water Reading'!H31-'Water Reading'!H30</f>
        <v>-54207</v>
      </c>
      <c r="F31" s="89">
        <f t="shared" si="3"/>
        <v>0.17680846483531537</v>
      </c>
      <c r="G31" s="93">
        <f>('Water Reading'!D31-'Water Reading'!D30)-('Water Reading'!R31-'Water Reading'!R30)-('Water Reading'!Q31-'Water Reading'!Q30)</f>
        <v>-205861</v>
      </c>
      <c r="H31" s="89">
        <f t="shared" si="4"/>
        <v>0.67146249339500175</v>
      </c>
      <c r="I31" s="90">
        <f>'Water Reading'!P31-'Water Reading'!P30</f>
        <v>-27269</v>
      </c>
      <c r="J31" s="68">
        <f t="shared" si="5"/>
        <v>8.8944048325755254E-2</v>
      </c>
      <c r="K31" s="91">
        <f>('Water Reading'!I31-'Water Reading'!I30)-('Water Reading'!P31-'Water Reading'!P30)</f>
        <v>-37091</v>
      </c>
      <c r="L31" s="68">
        <f t="shared" si="6"/>
        <v>0.12098073623714065</v>
      </c>
      <c r="M31" s="90">
        <f>'Water Reading'!R31-'Water Reading'!R30</f>
        <v>-6374</v>
      </c>
      <c r="N31" s="92">
        <f t="shared" si="7"/>
        <v>2.0790251348724337E-2</v>
      </c>
      <c r="O31" s="90">
        <f>'Water Reading'!Q31-'Water Reading'!Q30</f>
        <v>-762</v>
      </c>
      <c r="P31" s="99">
        <f t="shared" si="8"/>
        <v>2.4854363865277605E-3</v>
      </c>
      <c r="Q31" s="91">
        <f>'Water Reading'!F31-'Water Reading'!F30</f>
        <v>-66953</v>
      </c>
      <c r="R31" s="100">
        <f t="shared" si="9"/>
        <v>0.21838244407768131</v>
      </c>
      <c r="S31" s="94">
        <f>'Water Reading'!E31-'Water Reading'!E30</f>
        <v>-249464</v>
      </c>
      <c r="T31" s="100">
        <f t="shared" si="10"/>
        <v>0.81368359938157642</v>
      </c>
      <c r="U31" s="90">
        <f>'Water Reading'!G31-'Water Reading'!G30</f>
        <v>-112112</v>
      </c>
      <c r="V31" s="100">
        <f t="shared" si="11"/>
        <v>0.36567879811863557</v>
      </c>
      <c r="W31" s="90">
        <f>'Water Reading'!J31-'Water Reading'!J30</f>
        <v>-20622</v>
      </c>
      <c r="X31" s="100">
        <f t="shared" si="12"/>
        <v>6.7263345358235541E-2</v>
      </c>
      <c r="Y31" s="66">
        <f t="shared" si="0"/>
        <v>-780715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7630</v>
      </c>
      <c r="C35" s="75">
        <f>SUM(C4:C34)</f>
        <v>-297465</v>
      </c>
      <c r="D35" s="96">
        <f>C35/B35</f>
        <v>-38.986238532110093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-101.25412844036697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2021-07-28T07:08:53Z</dcterms:modified>
  <cp:category/>
  <cp:contentStatus/>
</cp:coreProperties>
</file>