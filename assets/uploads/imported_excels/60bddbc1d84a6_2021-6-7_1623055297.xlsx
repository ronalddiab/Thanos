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75" yWindow="90" windowWidth="13605" windowHeight="12345" tabRatio="581" firstSheet="2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10" l="1"/>
  <c r="AK11" l="1"/>
  <c r="AK12" l="1"/>
  <c r="AK13" l="1"/>
  <c r="AK14" l="1"/>
  <c r="AK15" l="1"/>
  <c r="AK16" l="1"/>
  <c r="AK17" l="1"/>
  <c r="AK18" l="1"/>
  <c r="AK19" l="1"/>
  <c r="AK20" l="1"/>
  <c r="AK21" l="1"/>
  <c r="AK22" l="1"/>
  <c r="AK23" l="1"/>
  <c r="AK24" l="1"/>
  <c r="AK25" l="1"/>
  <c r="AK26" l="1"/>
  <c r="AK27" l="1"/>
  <c r="AK28" l="1"/>
  <c r="AK29" l="1"/>
  <c r="AK30" l="1"/>
  <c r="AK31" l="1"/>
  <c r="AK32" l="1"/>
  <c r="AK33" l="1"/>
  <c r="F37" i="73" l="1"/>
  <c r="AS36" i="7"/>
  <c r="AU36" s="1"/>
  <c r="P33" i="3"/>
  <c r="F37" i="5"/>
  <c r="F38"/>
  <c r="AX12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2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8"/>
  <c r="AT9" s="1"/>
  <c r="AT10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K37"/>
  <c r="Y36"/>
  <c r="Z37" s="1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L10" i="2" l="1"/>
  <c r="AM9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7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B6" s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S2"/>
  <c r="T2"/>
  <c r="T7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U2"/>
  <c r="V2"/>
  <c r="W2"/>
  <c r="X2"/>
  <c r="X3" s="1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D4"/>
  <c r="E4"/>
  <c r="F4"/>
  <c r="F5" s="1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4"/>
  <c r="H4"/>
  <c r="H8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9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9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7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7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L11" i="2" l="1"/>
  <c r="AM10"/>
  <c r="AN10" s="1"/>
  <c r="E10" s="1"/>
  <c r="H8" i="82" s="1"/>
  <c r="B7" i="7"/>
  <c r="AS5"/>
  <c r="AL12" i="2" l="1"/>
  <c r="AM11"/>
  <c r="AN11" s="1"/>
  <c r="E11" s="1"/>
  <c r="H9" i="82" s="1"/>
  <c r="B8" i="7"/>
  <c r="AY5"/>
  <c r="AX5"/>
  <c r="AL13" i="2" l="1"/>
  <c r="AM12"/>
  <c r="AN12" s="1"/>
  <c r="E12" s="1"/>
  <c r="H10" i="82" s="1"/>
  <c r="B9" i="7"/>
  <c r="H10" i="2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J10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L10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P10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0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Y10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L14" l="1"/>
  <c r="AM13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L15" i="2" l="1"/>
  <c r="AM14"/>
  <c r="AN14" s="1"/>
  <c r="E14" s="1"/>
  <c r="H12" i="82" s="1"/>
  <c r="B11" i="1"/>
  <c r="B11" i="7"/>
  <c r="V32" i="1"/>
  <c r="U32"/>
  <c r="AL16" i="2" l="1"/>
  <c r="AM15"/>
  <c r="AN15" s="1"/>
  <c r="E15" s="1"/>
  <c r="H13" i="82" s="1"/>
  <c r="B12" i="1"/>
  <c r="B12" i="7"/>
  <c r="AL17" i="2" l="1"/>
  <c r="AM16"/>
  <c r="AN16" s="1"/>
  <c r="E16" s="1"/>
  <c r="H14" i="82" s="1"/>
  <c r="B13" i="1"/>
  <c r="B13" i="7"/>
  <c r="A14" i="5"/>
  <c r="AL18" i="2" l="1"/>
  <c r="AM17"/>
  <c r="AN17" s="1"/>
  <c r="E17" s="1"/>
  <c r="H15" i="82" s="1"/>
  <c r="B14" i="1"/>
  <c r="B14" i="7"/>
  <c r="AL19" i="2" l="1"/>
  <c r="AM18"/>
  <c r="AN18" s="1"/>
  <c r="E18" s="1"/>
  <c r="H16" i="82" s="1"/>
  <c r="B15" i="1"/>
  <c r="B15" i="7"/>
  <c r="AL20" i="2" l="1"/>
  <c r="AM19"/>
  <c r="AN19" s="1"/>
  <c r="E19" s="1"/>
  <c r="H17" i="82" s="1"/>
  <c r="B16" i="1"/>
  <c r="B16" i="7"/>
  <c r="AT36"/>
  <c r="AT37" s="1"/>
  <c r="W16" i="76"/>
  <c r="W15"/>
  <c r="AL21" i="2" l="1"/>
  <c r="AM20"/>
  <c r="AN20" s="1"/>
  <c r="E20" s="1"/>
  <c r="H18" i="82" s="1"/>
  <c r="B17" i="1"/>
  <c r="B17" i="7"/>
  <c r="E6" i="3"/>
  <c r="AL22" i="2" l="1"/>
  <c r="AM21"/>
  <c r="AN21" s="1"/>
  <c r="E21" s="1"/>
  <c r="H19" i="82" s="1"/>
  <c r="B18" i="1"/>
  <c r="B18" i="7"/>
  <c r="AL23" i="2" l="1"/>
  <c r="AM22"/>
  <c r="AN22" s="1"/>
  <c r="E22" s="1"/>
  <c r="H20" i="82" s="1"/>
  <c r="B19" i="1"/>
  <c r="B19" i="7"/>
  <c r="K5" i="73"/>
  <c r="G5"/>
  <c r="D5"/>
  <c r="AL24" i="2" l="1"/>
  <c r="AM23"/>
  <c r="AN23" s="1"/>
  <c r="E23" s="1"/>
  <c r="H21" i="82" s="1"/>
  <c r="B20" i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L25" i="2" l="1"/>
  <c r="AM24"/>
  <c r="AN24" s="1"/>
  <c r="E24" s="1"/>
  <c r="H22" i="82" s="1"/>
  <c r="B21" i="1"/>
  <c r="B21" i="7"/>
  <c r="AC34" i="76"/>
  <c r="AB34" s="1"/>
  <c r="AL26" i="2" l="1"/>
  <c r="AM25"/>
  <c r="AN25" s="1"/>
  <c r="E25" s="1"/>
  <c r="H23" i="82" s="1"/>
  <c r="B22" i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L27" l="1"/>
  <c r="AM26"/>
  <c r="AN26" s="1"/>
  <c r="E26" s="1"/>
  <c r="H24" i="82" s="1"/>
  <c r="B23" i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L28" i="2" l="1"/>
  <c r="AM27"/>
  <c r="AN27" s="1"/>
  <c r="E27" s="1"/>
  <c r="H25" i="82" s="1"/>
  <c r="B24" i="1"/>
  <c r="B24" i="7"/>
  <c r="I35" i="79"/>
  <c r="K35" i="5"/>
  <c r="Q16" i="2"/>
  <c r="AL29" l="1"/>
  <c r="AM28"/>
  <c r="AN28" s="1"/>
  <c r="E28" s="1"/>
  <c r="H26" i="82" s="1"/>
  <c r="B25" i="1"/>
  <c r="B25" i="7"/>
  <c r="Q21" i="2"/>
  <c r="AL30" l="1"/>
  <c r="AM29"/>
  <c r="AN29" s="1"/>
  <c r="E29" s="1"/>
  <c r="H27" i="82" s="1"/>
  <c r="B26" i="1"/>
  <c r="B26" i="7"/>
  <c r="G15" i="73"/>
  <c r="AL31" i="2" l="1"/>
  <c r="AM30"/>
  <c r="AN30" s="1"/>
  <c r="E30" s="1"/>
  <c r="H28" i="82" s="1"/>
  <c r="B27" i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1"/>
  <c r="B28" i="7"/>
  <c r="K43" i="74"/>
  <c r="J43"/>
  <c r="G43"/>
  <c r="F43"/>
  <c r="AL33" i="2" l="1"/>
  <c r="AM33" s="1"/>
  <c r="AM32"/>
  <c r="AN32" s="1"/>
  <c r="E32" s="1"/>
  <c r="H30" i="82" s="1"/>
  <c r="B29" i="1"/>
  <c r="B29" i="7"/>
  <c r="W13" i="76"/>
  <c r="S3" i="3"/>
  <c r="AN33" i="2" l="1"/>
  <c r="E33" s="1"/>
  <c r="H31" i="82" s="1"/>
  <c r="B30" i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R43"/>
  <c r="AA14" s="1"/>
  <c r="W43"/>
  <c r="B14" i="77" s="1"/>
  <c r="V43" i="74"/>
  <c r="B15" i="77" s="1"/>
  <c r="AB14" i="74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D7" i="75" l="1"/>
  <c r="E7" s="1"/>
  <c r="J6" i="65"/>
  <c r="J5"/>
  <c r="J10"/>
  <c r="J8"/>
  <c r="I36" i="76"/>
  <c r="K36"/>
  <c r="AR35" i="7"/>
  <c r="X34"/>
  <c r="AR34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W7" l="1"/>
  <c r="AJ6" i="1" s="1"/>
  <c r="AK6" s="1"/>
  <c r="AS35" i="7"/>
  <c r="AX35" s="1"/>
  <c r="D14" i="65"/>
  <c r="AQ34" i="7"/>
  <c r="AG13" i="2"/>
  <c r="AG6"/>
  <c r="H14" i="65"/>
  <c r="B4" i="63"/>
  <c r="AF14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AY35" i="7"/>
  <c r="Q33" i="76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D33" i="75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39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4" s="1"/>
  <c r="U33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6" i="5" l="1"/>
  <c r="C37" s="1"/>
  <c r="AJ38" s="1"/>
  <c r="AM38" s="1"/>
  <c r="E35"/>
  <c r="I35"/>
  <c r="I36" s="1"/>
  <c r="D35"/>
  <c r="K30" i="81"/>
  <c r="J34" i="5"/>
  <c r="L30" i="81" s="1"/>
  <c r="Q35" i="5"/>
  <c r="D36" l="1"/>
  <c r="D38"/>
  <c r="M31" i="81"/>
  <c r="Q36" i="5"/>
  <c r="O37" s="1"/>
  <c r="H38"/>
  <c r="B6" i="77"/>
  <c r="G38" i="5"/>
  <c r="K38" s="1"/>
  <c r="I37"/>
  <c r="K31" i="81"/>
  <c r="J35" i="5"/>
  <c r="L31" i="81" s="1"/>
  <c r="D6" i="77" l="1"/>
  <c r="E6" s="1"/>
  <c r="F6" s="1"/>
  <c r="G6"/>
  <c r="AC28" i="76"/>
  <c r="AC27"/>
  <c r="AC29" l="1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35" s="1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This record was taken in 1/6/2021 at 10:00am since the EDL was off all the night.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EDL was OFF all the night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<sst xmlns="http://schemas.openxmlformats.org/spreadsheetml/2006/main" count="661" uniqueCount="422">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</sst>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5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223751168"/>
        <c:axId val="245249536"/>
      </c:lineChart>
      <c:catAx>
        <c:axId val="22375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5249536"/>
        <c:crosses val="autoZero"/>
        <c:auto val="1"/>
        <c:lblAlgn val="ctr"/>
        <c:lblOffset val="100"/>
      </c:catAx>
      <c:valAx>
        <c:axId val="245249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75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69461248"/>
        <c:axId val="169462784"/>
      </c:lineChart>
      <c:catAx>
        <c:axId val="16946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62784"/>
        <c:crosses val="autoZero"/>
        <c:auto val="1"/>
        <c:lblAlgn val="ctr"/>
        <c:lblOffset val="100"/>
      </c:catAx>
      <c:valAx>
        <c:axId val="16946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6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57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206093312"/>
        <c:axId val="206390016"/>
      </c:lineChart>
      <c:catAx>
        <c:axId val="20609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390016"/>
        <c:crosses val="autoZero"/>
        <c:auto val="1"/>
        <c:lblAlgn val="ctr"/>
        <c:lblOffset val="100"/>
      </c:catAx>
      <c:valAx>
        <c:axId val="2063900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9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488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206422784"/>
        <c:axId val="206424320"/>
      </c:lineChart>
      <c:catAx>
        <c:axId val="20642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424320"/>
        <c:crosses val="autoZero"/>
        <c:auto val="1"/>
        <c:lblAlgn val="ctr"/>
        <c:lblOffset val="100"/>
      </c:catAx>
      <c:valAx>
        <c:axId val="206424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42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208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206526720"/>
        <c:axId val="206540800"/>
      </c:lineChart>
      <c:catAx>
        <c:axId val="20652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540800"/>
        <c:crosses val="autoZero"/>
        <c:auto val="1"/>
        <c:lblAlgn val="ctr"/>
        <c:lblOffset val="100"/>
      </c:catAx>
      <c:valAx>
        <c:axId val="206540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52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53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207200640"/>
        <c:axId val="207202176"/>
      </c:lineChart>
      <c:catAx>
        <c:axId val="20720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02176"/>
        <c:crosses val="autoZero"/>
        <c:auto val="1"/>
        <c:lblAlgn val="ctr"/>
        <c:lblOffset val="100"/>
      </c:catAx>
      <c:valAx>
        <c:axId val="20720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0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207300480"/>
        <c:axId val="207302016"/>
      </c:lineChart>
      <c:catAx>
        <c:axId val="20730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02016"/>
        <c:crosses val="autoZero"/>
        <c:auto val="1"/>
        <c:lblAlgn val="ctr"/>
        <c:lblOffset val="100"/>
      </c:catAx>
      <c:valAx>
        <c:axId val="20730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0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207338880"/>
        <c:axId val="207389824"/>
      </c:lineChart>
      <c:catAx>
        <c:axId val="20733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89824"/>
        <c:crosses val="autoZero"/>
        <c:auto val="1"/>
        <c:lblAlgn val="ctr"/>
        <c:lblOffset val="100"/>
      </c:catAx>
      <c:valAx>
        <c:axId val="207389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3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207418496"/>
        <c:axId val="207420032"/>
      </c:lineChart>
      <c:catAx>
        <c:axId val="20741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420032"/>
        <c:crosses val="autoZero"/>
        <c:auto val="1"/>
        <c:lblAlgn val="ctr"/>
        <c:lblOffset val="100"/>
      </c:catAx>
      <c:valAx>
        <c:axId val="207420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41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9169"/>
          <c:w val="0.1272403315177469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207448704"/>
        <c:axId val="207470976"/>
      </c:lineChart>
      <c:catAx>
        <c:axId val="20744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470976"/>
        <c:crosses val="autoZero"/>
        <c:auto val="1"/>
        <c:lblAlgn val="ctr"/>
        <c:lblOffset val="100"/>
      </c:catAx>
      <c:valAx>
        <c:axId val="207470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44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208015744"/>
        <c:axId val="208017280"/>
      </c:lineChart>
      <c:catAx>
        <c:axId val="20801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017280"/>
        <c:crosses val="autoZero"/>
        <c:auto val="1"/>
        <c:lblAlgn val="ctr"/>
        <c:lblOffset val="100"/>
      </c:catAx>
      <c:valAx>
        <c:axId val="208017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01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208349440"/>
        <c:axId val="208359424"/>
      </c:lineChart>
      <c:catAx>
        <c:axId val="20834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359424"/>
        <c:crosses val="autoZero"/>
        <c:auto val="1"/>
        <c:lblAlgn val="ctr"/>
        <c:lblOffset val="100"/>
      </c:catAx>
      <c:valAx>
        <c:axId val="20835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34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21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208474496"/>
        <c:axId val="208476032"/>
      </c:lineChart>
      <c:catAx>
        <c:axId val="20847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476032"/>
        <c:crosses val="autoZero"/>
        <c:auto val="1"/>
        <c:lblAlgn val="ctr"/>
        <c:lblOffset val="100"/>
      </c:catAx>
      <c:valAx>
        <c:axId val="20847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47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9169"/>
          <c:w val="0.1354168853893612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208508800"/>
        <c:axId val="208510336"/>
      </c:lineChart>
      <c:catAx>
        <c:axId val="20850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510336"/>
        <c:crosses val="autoZero"/>
        <c:auto val="1"/>
        <c:lblAlgn val="ctr"/>
        <c:lblOffset val="100"/>
      </c:catAx>
      <c:valAx>
        <c:axId val="208510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50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916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208670720"/>
        <c:axId val="208672256"/>
      </c:lineChart>
      <c:catAx>
        <c:axId val="20867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672256"/>
        <c:crosses val="autoZero"/>
        <c:auto val="1"/>
        <c:lblAlgn val="ctr"/>
        <c:lblOffset val="100"/>
      </c:catAx>
      <c:valAx>
        <c:axId val="208672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67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208692736"/>
        <c:axId val="208694272"/>
      </c:lineChart>
      <c:catAx>
        <c:axId val="20869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694272"/>
        <c:crosses val="autoZero"/>
        <c:auto val="1"/>
        <c:lblAlgn val="ctr"/>
        <c:lblOffset val="100"/>
      </c:catAx>
      <c:valAx>
        <c:axId val="208694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69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9169"/>
          <c:w val="0.1354168853893612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208714752"/>
        <c:axId val="208728832"/>
      </c:lineChart>
      <c:catAx>
        <c:axId val="20871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728832"/>
        <c:crosses val="autoZero"/>
        <c:auto val="1"/>
        <c:lblAlgn val="ctr"/>
        <c:lblOffset val="100"/>
      </c:catAx>
      <c:valAx>
        <c:axId val="208728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71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348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-700</c:v>
                </c:pt>
                <c:pt idx="1">
                  <c:v>-6046.9032258064472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208777984"/>
        <c:axId val="208779520"/>
      </c:lineChart>
      <c:catAx>
        <c:axId val="20877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779520"/>
        <c:crosses val="autoZero"/>
        <c:auto val="1"/>
        <c:lblAlgn val="ctr"/>
        <c:lblOffset val="100"/>
      </c:catAx>
      <c:valAx>
        <c:axId val="208779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77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209087104"/>
        <c:axId val="209088896"/>
      </c:lineChart>
      <c:catAx>
        <c:axId val="20908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088896"/>
        <c:crosses val="autoZero"/>
        <c:auto val="1"/>
        <c:lblAlgn val="ctr"/>
        <c:lblOffset val="100"/>
      </c:catAx>
      <c:valAx>
        <c:axId val="20908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08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1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209113472"/>
        <c:axId val="209115008"/>
      </c:lineChart>
      <c:catAx>
        <c:axId val="20911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115008"/>
        <c:crosses val="autoZero"/>
        <c:auto val="1"/>
        <c:lblAlgn val="ctr"/>
        <c:lblOffset val="100"/>
      </c:catAx>
      <c:valAx>
        <c:axId val="2091150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11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42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209160064"/>
        <c:axId val="209161600"/>
      </c:lineChart>
      <c:catAx>
        <c:axId val="20916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161600"/>
        <c:crosses val="autoZero"/>
        <c:auto val="1"/>
        <c:lblAlgn val="ctr"/>
        <c:lblOffset val="100"/>
      </c:catAx>
      <c:valAx>
        <c:axId val="209161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16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209173888"/>
        <c:axId val="209183872"/>
      </c:lineChart>
      <c:catAx>
        <c:axId val="20917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183872"/>
        <c:crosses val="autoZero"/>
        <c:auto val="1"/>
        <c:lblAlgn val="ctr"/>
        <c:lblOffset val="100"/>
      </c:catAx>
      <c:valAx>
        <c:axId val="20918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17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4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209212544"/>
        <c:axId val="209214080"/>
      </c:lineChart>
      <c:catAx>
        <c:axId val="20921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14080"/>
        <c:crosses val="autoZero"/>
        <c:auto val="1"/>
        <c:lblAlgn val="ctr"/>
        <c:lblOffset val="100"/>
      </c:catAx>
      <c:valAx>
        <c:axId val="20921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1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916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209259136"/>
        <c:axId val="209265024"/>
      </c:lineChart>
      <c:catAx>
        <c:axId val="20925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65024"/>
        <c:crosses val="autoZero"/>
        <c:auto val="1"/>
        <c:lblAlgn val="ctr"/>
        <c:lblOffset val="100"/>
      </c:catAx>
      <c:valAx>
        <c:axId val="20926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5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2082"/>
          <c:w val="0.1234311819809354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209294848"/>
        <c:axId val="209296384"/>
      </c:lineChart>
      <c:catAx>
        <c:axId val="2092948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96384"/>
        <c:crosses val="autoZero"/>
        <c:auto val="1"/>
        <c:lblAlgn val="ctr"/>
        <c:lblOffset val="100"/>
      </c:catAx>
      <c:valAx>
        <c:axId val="2092963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9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047"/>
          <c:w val="0.1569039853282279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209341056"/>
        <c:axId val="209359232"/>
      </c:lineChart>
      <c:catAx>
        <c:axId val="20934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359232"/>
        <c:crosses val="autoZero"/>
        <c:auto val="1"/>
        <c:lblAlgn val="ctr"/>
        <c:lblOffset val="100"/>
      </c:catAx>
      <c:valAx>
        <c:axId val="2093592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34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83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223478528"/>
        <c:axId val="223480064"/>
      </c:lineChart>
      <c:catAx>
        <c:axId val="22347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480064"/>
        <c:crosses val="autoZero"/>
        <c:auto val="1"/>
        <c:lblAlgn val="ctr"/>
        <c:lblOffset val="100"/>
      </c:catAx>
      <c:valAx>
        <c:axId val="22348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47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493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243646464"/>
        <c:axId val="243648000"/>
      </c:lineChart>
      <c:catAx>
        <c:axId val="243646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3648000"/>
        <c:crosses val="autoZero"/>
        <c:auto val="1"/>
        <c:lblAlgn val="ctr"/>
        <c:lblOffset val="100"/>
      </c:catAx>
      <c:valAx>
        <c:axId val="243648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364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04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</row>
      </sheetData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12342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>
        <row r="35">
          <cell r="V35">
            <v>10834</v>
          </cell>
        </row>
      </sheetData>
      <sheetData sheetId="4" refreshError="1"/>
      <sheetData sheetId="5" refreshError="1"/>
      <sheetData sheetId="6" refreshError="1"/>
      <sheetData sheetId="7">
        <row r="36">
          <cell r="AX36">
            <v>-37789.819354838735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55">
          <cell r="AA55">
            <v>112189</v>
          </cell>
        </row>
      </sheetData>
      <sheetData sheetId="13" refreshError="1"/>
      <sheetData sheetId="14" refreshError="1"/>
      <sheetData sheetId="15">
        <row r="6">
          <cell r="B6">
            <v>62</v>
          </cell>
        </row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2" bestFit="1" customWidth="1"/>
    <col min="13" max="13" width="12.140625" style="292" customWidth="1"/>
    <col min="14" max="14" width="12.140625" style="492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7.4545994517316846E-2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0.50118320254711402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0.14350153855826869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0.19521650894462023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0.43790092465695163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0.34260594258993993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0</v>
      </c>
      <c r="F8" s="328">
        <f>SUM('EDl log'!T10)</f>
        <v>0</v>
      </c>
      <c r="G8" s="203">
        <f>-tanks!AW12</f>
        <v>0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0</v>
      </c>
      <c r="F9" s="328">
        <f>SUM('EDl log'!T11)</f>
        <v>0</v>
      </c>
      <c r="G9" s="203">
        <f>-tanks!AW13</f>
        <v>0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0</v>
      </c>
      <c r="F10" s="328">
        <f>SUM('EDl log'!T12)</f>
        <v>0</v>
      </c>
      <c r="G10" s="203">
        <f>-tanks!AW14</f>
        <v>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0</v>
      </c>
      <c r="F11" s="328">
        <f>SUM('EDl log'!T13)</f>
        <v>0</v>
      </c>
      <c r="G11" s="203">
        <f>-tanks!AW15</f>
        <v>0</v>
      </c>
      <c r="H11" s="328">
        <f>SUM(tanks!AV15)</f>
        <v>1.0029999999999999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0</v>
      </c>
      <c r="F12" s="328">
        <f>SUM('EDl log'!T14)</f>
        <v>0</v>
      </c>
      <c r="G12" s="203">
        <f>-tanks!AW16</f>
        <v>0</v>
      </c>
      <c r="H12" s="328">
        <f>SUM(tanks!AV16)</f>
        <v>1.0029999999999999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0</v>
      </c>
      <c r="F13" s="328">
        <f>SUM('EDl log'!T15)</f>
        <v>0</v>
      </c>
      <c r="G13" s="203">
        <f>-tanks!AW17</f>
        <v>0</v>
      </c>
      <c r="H13" s="328">
        <f>SUM(tanks!AV17)</f>
        <v>1.0029999999999999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0</v>
      </c>
      <c r="F14" s="328">
        <f>SUM('EDl log'!T16)</f>
        <v>0</v>
      </c>
      <c r="G14" s="203">
        <f>-tanks!AW18</f>
        <v>0</v>
      </c>
      <c r="H14" s="328">
        <f>SUM(tanks!AV18)</f>
        <v>1.0029999999999999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0</v>
      </c>
      <c r="F15" s="328">
        <f>SUM('EDl log'!T17)</f>
        <v>0</v>
      </c>
      <c r="G15" s="203">
        <f>-tanks!AW19</f>
        <v>0</v>
      </c>
      <c r="H15" s="328">
        <f>SUM(tanks!AV19)</f>
        <v>1.0029999999999999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0</v>
      </c>
      <c r="F16" s="328">
        <f>SUM('EDl log'!T18)</f>
        <v>0</v>
      </c>
      <c r="G16" s="203">
        <f>-tanks!AW20</f>
        <v>0</v>
      </c>
      <c r="H16" s="328">
        <f>SUM(tanks!AV20)</f>
        <v>1.0029999999999999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0</v>
      </c>
      <c r="F17" s="328">
        <f>SUM('EDl log'!T19)</f>
        <v>0</v>
      </c>
      <c r="G17" s="203">
        <f>-tanks!AW21</f>
        <v>0</v>
      </c>
      <c r="H17" s="328">
        <f>SUM(tanks!AV21)</f>
        <v>1.0029999999999999</v>
      </c>
      <c r="I17" s="10">
        <f>('B5'!AU20)*0.51</f>
        <v>0</v>
      </c>
      <c r="J17" s="308">
        <f>'B5'!AX20/0.51</f>
        <v>1.5686274509803921</v>
      </c>
      <c r="K17" s="203">
        <f>WATER!I21</f>
        <v>0</v>
      </c>
      <c r="L17" s="329">
        <f>SUM(WATER!J21)</f>
        <v>0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0</v>
      </c>
      <c r="F18" s="328">
        <f>SUM('EDl log'!T20)</f>
        <v>0</v>
      </c>
      <c r="G18" s="203">
        <f>-tanks!AW22</f>
        <v>0</v>
      </c>
      <c r="H18" s="328">
        <f>SUM(tanks!AV22)</f>
        <v>1.0029999999999999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0</v>
      </c>
      <c r="F19" s="328">
        <f>SUM('EDl log'!T21)</f>
        <v>0</v>
      </c>
      <c r="G19" s="203">
        <f>-tanks!AW23</f>
        <v>0</v>
      </c>
      <c r="H19" s="328">
        <f>SUM(tanks!AV23)</f>
        <v>1.0029999999999999</v>
      </c>
      <c r="I19" s="10">
        <f>('B5'!AU22)*0.51</f>
        <v>0</v>
      </c>
      <c r="J19" s="308">
        <f>'B5'!AX22/0.51</f>
        <v>1.5686274509803921</v>
      </c>
      <c r="K19" s="203">
        <f>WATER!I23</f>
        <v>0</v>
      </c>
      <c r="L19" s="329">
        <f>SUM(WATER!J23)</f>
        <v>0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0</v>
      </c>
      <c r="F20" s="328">
        <f>SUM('EDl log'!T22)</f>
        <v>0</v>
      </c>
      <c r="G20" s="203">
        <f>-tanks!AW24</f>
        <v>0</v>
      </c>
      <c r="H20" s="328">
        <f>SUM(tanks!AV24)</f>
        <v>1.0029999999999999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0</v>
      </c>
      <c r="F21" s="328">
        <f>SUM('EDl log'!T23)</f>
        <v>0</v>
      </c>
      <c r="G21" s="203">
        <f>-tanks!AW25</f>
        <v>0</v>
      </c>
      <c r="H21" s="328">
        <f>SUM(tanks!AV25)</f>
        <v>1.0029999999999999</v>
      </c>
      <c r="I21" s="10">
        <f>('B5'!AU24)*0.51</f>
        <v>0</v>
      </c>
      <c r="J21" s="308">
        <f>'B5'!AX24/0.51</f>
        <v>1.5686274509803921</v>
      </c>
      <c r="K21" s="203">
        <f>WATER!I25</f>
        <v>0</v>
      </c>
      <c r="L21" s="329">
        <f>SUM(WATER!J25)</f>
        <v>0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0</v>
      </c>
      <c r="F22" s="328">
        <f>SUM('EDl log'!T24)</f>
        <v>0</v>
      </c>
      <c r="G22" s="203">
        <f>-tanks!AW26</f>
        <v>0</v>
      </c>
      <c r="H22" s="328">
        <f>SUM(tanks!AV26)</f>
        <v>1.0029999999999999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8">
        <f>SUM('EDl log'!T25)</f>
        <v>0</v>
      </c>
      <c r="G23" s="203">
        <f>-tanks!AW27</f>
        <v>0</v>
      </c>
      <c r="H23" s="328">
        <f>SUM(tanks!AV27)</f>
        <v>1.0029999999999999</v>
      </c>
      <c r="I23" s="10">
        <f>('B5'!AU26)*0.51</f>
        <v>0</v>
      </c>
      <c r="J23" s="308">
        <f>'B5'!AX26/0.51</f>
        <v>1.5686274509803921</v>
      </c>
      <c r="K23" s="203">
        <f>WATER!I27</f>
        <v>0</v>
      </c>
      <c r="L23" s="329">
        <f>SUM(WATER!J27)</f>
        <v>0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8">
        <f>SUM('EDl log'!T26)</f>
        <v>0</v>
      </c>
      <c r="G24" s="203">
        <f>-tanks!AW28</f>
        <v>0</v>
      </c>
      <c r="H24" s="328">
        <f>SUM(tanks!AV28)</f>
        <v>1.0029999999999999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8">
        <f>SUM('EDl log'!T27)</f>
        <v>0</v>
      </c>
      <c r="G25" s="203">
        <f>-tanks!AW29</f>
        <v>0</v>
      </c>
      <c r="H25" s="328">
        <f>SUM(tanks!AV29)</f>
        <v>1.0029999999999999</v>
      </c>
      <c r="I25" s="10">
        <f>('B5'!AU28)*0.51</f>
        <v>0</v>
      </c>
      <c r="J25" s="308">
        <f>'B5'!AX28/0.51</f>
        <v>1.5686274509803921</v>
      </c>
      <c r="K25" s="203">
        <f>WATER!I29</f>
        <v>0</v>
      </c>
      <c r="L25" s="329">
        <f>SUM(WATER!J29)</f>
        <v>0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8">
        <f>SUM('EDl log'!T28)</f>
        <v>0</v>
      </c>
      <c r="G26" s="203">
        <f>-tanks!AW30</f>
        <v>0</v>
      </c>
      <c r="H26" s="328">
        <f>SUM(tanks!AV30)</f>
        <v>1.0029999999999999</v>
      </c>
      <c r="I26" s="10">
        <f>('B5'!AU29)*0.51</f>
        <v>0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8">
        <f>SUM('EDl log'!T29)</f>
        <v>0</v>
      </c>
      <c r="G27" s="203">
        <f>-tanks!AW31</f>
        <v>0</v>
      </c>
      <c r="H27" s="328">
        <f>SUM(tanks!AV31)</f>
        <v>1.0029999999999999</v>
      </c>
      <c r="I27" s="10">
        <f>('B5'!AU30)*0.51</f>
        <v>0</v>
      </c>
      <c r="J27" s="308">
        <f>'B5'!AX30/0.51</f>
        <v>1.5686274509803921</v>
      </c>
      <c r="K27" s="203">
        <f>WATER!I31</f>
        <v>0</v>
      </c>
      <c r="L27" s="329">
        <f>SUM(WATER!J31)</f>
        <v>0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8">
        <f>SUM('EDl log'!T30)</f>
        <v>0</v>
      </c>
      <c r="G28" s="203">
        <f>-tanks!AW32</f>
        <v>0</v>
      </c>
      <c r="H28" s="328">
        <f>SUM(tanks!AV32)</f>
        <v>1.0029999999999999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8">
        <f>SUM('EDl log'!T31)</f>
        <v>0</v>
      </c>
      <c r="G29" s="203">
        <f>-tanks!AW33</f>
        <v>0</v>
      </c>
      <c r="H29" s="328">
        <f>SUM(tanks!AV33)</f>
        <v>1.0029999999999999</v>
      </c>
      <c r="I29" s="10">
        <f>('B5'!AU32)*0.51</f>
        <v>0</v>
      </c>
      <c r="J29" s="308">
        <f>'B5'!AX32/0.51</f>
        <v>1.5686274509803921</v>
      </c>
      <c r="K29" s="203">
        <f>WATER!I33</f>
        <v>0</v>
      </c>
      <c r="L29" s="329">
        <f>SUM(WATER!J33)</f>
        <v>0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1.0029999999999999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1.0029999999999999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topLeftCell="K1" zoomScale="90" zoomScaleNormal="90" zoomScaleSheetLayoutView="100" workbookViewId="0">
      <pane ySplit="2" topLeftCell="A3" activePane="bottomLeft" state="frozen"/>
      <selection activeCell="C1" sqref="C1"/>
      <selection pane="bottomLeft" activeCell="K9" sqref="K9"/>
    </sheetView>
  </sheetViews>
  <sheetFormatPr defaultColWidth="9.140625" defaultRowHeight="15"/>
  <cols>
    <col min="1" max="1" width="7.7109375" style="462" bestFit="1" customWidth="1"/>
    <col min="2" max="2" width="10.28515625" style="470" bestFit="1" customWidth="1"/>
    <col min="3" max="3" width="11.5703125" style="462" customWidth="1"/>
    <col min="4" max="4" width="18" style="471" bestFit="1" customWidth="1"/>
    <col min="5" max="5" width="14.42578125" style="471" bestFit="1" customWidth="1"/>
    <col min="6" max="6" width="15.28515625" style="471" bestFit="1" customWidth="1"/>
    <col min="7" max="7" width="12.570312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109375" style="471" customWidth="1"/>
    <col min="12" max="12" width="18" style="471" bestFit="1" customWidth="1"/>
    <col min="13" max="13" width="12.5703125" style="471" bestFit="1" customWidth="1"/>
    <col min="14" max="14" width="15.42578125" style="462" bestFit="1" customWidth="1"/>
    <col min="15" max="15" width="13.140625" style="472" bestFit="1" customWidth="1"/>
    <col min="16" max="16" width="14.28515625" style="462" bestFit="1" customWidth="1"/>
    <col min="17" max="17" width="13.7109375" style="462" bestFit="1" customWidth="1"/>
    <col min="18" max="18" width="12.42578125" style="462" bestFit="1" customWidth="1"/>
    <col min="19" max="21" width="11.5703125" style="462" bestFit="1" customWidth="1"/>
    <col min="22" max="22" width="13.140625" style="462" bestFit="1" customWidth="1"/>
    <col min="23" max="25" width="11.5703125" style="462" bestFit="1" customWidth="1"/>
    <col min="26" max="26" width="13.140625" style="462" bestFit="1" customWidth="1"/>
    <col min="27" max="29" width="11.5703125" style="462" bestFit="1" customWidth="1"/>
    <col min="30" max="30" width="13.140625" style="462" bestFit="1" customWidth="1"/>
    <col min="31" max="32" width="11.5703125" style="462" bestFit="1" customWidth="1"/>
    <col min="33" max="33" width="15.7109375" style="462" customWidth="1"/>
    <col min="34" max="34" width="9.140625" style="462"/>
    <col min="35" max="35" width="9.7109375" style="462" bestFit="1" customWidth="1"/>
    <col min="36" max="36" width="10.42578125" style="462" bestFit="1" customWidth="1"/>
    <col min="37" max="37" width="12.42578125" style="462" customWidth="1"/>
    <col min="38" max="38" width="11.42578125" style="462" customWidth="1"/>
    <col min="39" max="39" width="9.140625" style="462"/>
    <col min="40" max="40" width="10.85546875" style="462" bestFit="1" customWidth="1"/>
    <col min="41" max="16384" width="9.140625" style="462"/>
  </cols>
  <sheetData>
    <row r="1" spans="1:40">
      <c r="AK1" s="646" t="s">
        <v>418</v>
      </c>
      <c r="AL1" s="646"/>
      <c r="AM1" s="646"/>
      <c r="AN1" s="647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10" t="s">
        <v>417</v>
      </c>
      <c r="AL2" s="611" t="s">
        <v>416</v>
      </c>
      <c r="AM2" s="611" t="s">
        <v>391</v>
      </c>
      <c r="AN2" s="628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2">
        <v>44347</v>
      </c>
      <c r="AK3" s="634">
        <v>333631</v>
      </c>
      <c r="AL3" s="634">
        <v>431020</v>
      </c>
      <c r="AM3" s="635">
        <f>AK3+AL3</f>
        <v>764651</v>
      </c>
      <c r="AN3" s="635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8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4">
        <v>17216.967000000001</v>
      </c>
      <c r="Q4" s="464">
        <f t="shared" ref="Q4:Q13" si="1">(P4-P3)*1000</f>
        <v>9514.9999999994179</v>
      </c>
      <c r="R4" s="637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2">
        <v>44348</v>
      </c>
      <c r="AK4" s="462">
        <v>335894</v>
      </c>
      <c r="AL4" s="635">
        <v>431712</v>
      </c>
      <c r="AM4" s="635">
        <f>AK4+AL4</f>
        <v>767606</v>
      </c>
      <c r="AN4" s="635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8">
        <v>4032752.4</v>
      </c>
      <c r="G5" s="310">
        <f>F5-F4</f>
        <v>826.79999999981374</v>
      </c>
      <c r="H5" s="639">
        <v>17886168</v>
      </c>
      <c r="I5" s="310">
        <f>H5-H4</f>
        <v>1106</v>
      </c>
      <c r="J5" s="640">
        <v>29134362</v>
      </c>
      <c r="K5" s="310">
        <f>J5-J4</f>
        <v>5676</v>
      </c>
      <c r="L5" s="639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41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9">
        <v>32576</v>
      </c>
      <c r="X5" s="446">
        <f t="shared" si="3"/>
        <v>14</v>
      </c>
      <c r="Y5" s="640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2">
        <v>44349</v>
      </c>
      <c r="AK5" s="462">
        <v>338482</v>
      </c>
      <c r="AL5" s="635">
        <v>431719</v>
      </c>
      <c r="AM5" s="635">
        <f t="shared" ref="AM5:AM33" si="13">AK5+AL5</f>
        <v>770201</v>
      </c>
      <c r="AN5" s="635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4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2">
        <v>44350</v>
      </c>
      <c r="AK6" s="462">
        <v>342095</v>
      </c>
      <c r="AL6" s="636">
        <v>431919</v>
      </c>
      <c r="AM6" s="635">
        <f t="shared" si="13"/>
        <v>774014</v>
      </c>
      <c r="AN6" s="635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4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2">
        <v>44351</v>
      </c>
      <c r="AK7" s="462">
        <v>345431</v>
      </c>
      <c r="AL7" s="636">
        <v>432394</v>
      </c>
      <c r="AM7" s="635">
        <f t="shared" si="13"/>
        <v>777825</v>
      </c>
      <c r="AN7" s="635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4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2">
        <v>44352</v>
      </c>
      <c r="AK8" s="462">
        <v>348088</v>
      </c>
      <c r="AL8" s="636">
        <v>432341</v>
      </c>
      <c r="AM8" s="635">
        <f t="shared" si="13"/>
        <v>780429</v>
      </c>
      <c r="AN8" s="635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4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2">
        <v>44353</v>
      </c>
      <c r="AK9" s="462">
        <v>350597</v>
      </c>
      <c r="AL9" s="636">
        <v>432717</v>
      </c>
      <c r="AM9" s="635">
        <f t="shared" si="13"/>
        <v>783314</v>
      </c>
      <c r="AN9" s="635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0</v>
      </c>
      <c r="F10" s="442">
        <f t="shared" ref="F9:F33" si="26">F9</f>
        <v>4035652</v>
      </c>
      <c r="G10" s="310">
        <f t="shared" si="15"/>
        <v>0</v>
      </c>
      <c r="H10" s="442">
        <f t="shared" ref="H9:H33" si="27">H9</f>
        <v>17890080</v>
      </c>
      <c r="I10" s="310">
        <f t="shared" si="16"/>
        <v>0</v>
      </c>
      <c r="J10" s="442">
        <f t="shared" ref="J9:J33" si="28">J9</f>
        <v>29160366</v>
      </c>
      <c r="K10" s="310">
        <f t="shared" si="17"/>
        <v>0</v>
      </c>
      <c r="L10" s="442">
        <f t="shared" ref="L9:L33" si="29">L9</f>
        <v>24248968</v>
      </c>
      <c r="M10" s="310">
        <f t="shared" si="18"/>
        <v>0</v>
      </c>
      <c r="N10" s="309">
        <f t="shared" si="19"/>
        <v>0</v>
      </c>
      <c r="O10" s="463">
        <f t="shared" si="0"/>
        <v>0</v>
      </c>
      <c r="P10" s="584">
        <f t="shared" ref="P9:P33" si="30">P9</f>
        <v>17279.310000000001</v>
      </c>
      <c r="Q10" s="446">
        <f t="shared" si="1"/>
        <v>0</v>
      </c>
      <c r="R10" s="446">
        <f t="shared" si="24"/>
        <v>0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f t="shared" ref="W9:W33" si="31">W9</f>
        <v>32636</v>
      </c>
      <c r="X10" s="446">
        <f t="shared" ref="X10:X31" si="32">W10-W9</f>
        <v>0</v>
      </c>
      <c r="Y10" s="442">
        <f t="shared" ref="Y9:Y33" si="33">Y9</f>
        <v>789812</v>
      </c>
      <c r="Z10" s="446">
        <f t="shared" si="25"/>
        <v>0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0</v>
      </c>
      <c r="AF10" s="469">
        <f t="shared" si="4"/>
        <v>0</v>
      </c>
      <c r="AG10" s="461">
        <f t="shared" si="5"/>
        <v>0</v>
      </c>
      <c r="AI10" s="462">
        <f>R10-'EDl log'!B10</f>
        <v>-1061964</v>
      </c>
      <c r="AJ10" s="612">
        <v>44354</v>
      </c>
      <c r="AK10" s="462">
        <f t="shared" ref="AK9:AK33" si="34">AK9</f>
        <v>350597</v>
      </c>
      <c r="AL10" s="636">
        <f t="shared" ref="AL9:AL33" si="35">AL9</f>
        <v>432717</v>
      </c>
      <c r="AM10" s="635">
        <f t="shared" si="13"/>
        <v>783314</v>
      </c>
      <c r="AN10" s="635">
        <f t="shared" si="23"/>
        <v>0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0</v>
      </c>
      <c r="F11" s="442">
        <f t="shared" si="26"/>
        <v>4035652</v>
      </c>
      <c r="G11" s="310">
        <f t="shared" si="15"/>
        <v>0</v>
      </c>
      <c r="H11" s="442">
        <f t="shared" si="27"/>
        <v>17890080</v>
      </c>
      <c r="I11" s="310">
        <f t="shared" si="16"/>
        <v>0</v>
      </c>
      <c r="J11" s="442">
        <f t="shared" si="28"/>
        <v>29160366</v>
      </c>
      <c r="K11" s="310">
        <f t="shared" si="17"/>
        <v>0</v>
      </c>
      <c r="L11" s="442">
        <f t="shared" si="29"/>
        <v>24248968</v>
      </c>
      <c r="M11" s="310">
        <f t="shared" si="18"/>
        <v>0</v>
      </c>
      <c r="N11" s="309">
        <f t="shared" si="19"/>
        <v>0</v>
      </c>
      <c r="O11" s="463">
        <f t="shared" ref="O11:O31" si="36">IF(B11&gt;0,N11/B11,0)</f>
        <v>0</v>
      </c>
      <c r="P11" s="584">
        <f t="shared" si="30"/>
        <v>17279.310000000001</v>
      </c>
      <c r="Q11" s="446">
        <f t="shared" si="1"/>
        <v>0</v>
      </c>
      <c r="R11" s="446">
        <f t="shared" si="24"/>
        <v>0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f t="shared" si="31"/>
        <v>32636</v>
      </c>
      <c r="X11" s="446">
        <f t="shared" si="32"/>
        <v>0</v>
      </c>
      <c r="Y11" s="442">
        <f t="shared" si="33"/>
        <v>789812</v>
      </c>
      <c r="Z11" s="446">
        <f t="shared" si="25"/>
        <v>0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0</v>
      </c>
      <c r="AF11" s="469">
        <f t="shared" si="4"/>
        <v>0</v>
      </c>
      <c r="AG11" s="461">
        <f t="shared" ref="AG11:AG31" si="37">IF(AE11&gt;0,AF11/AE11,0)</f>
        <v>0</v>
      </c>
      <c r="AI11" s="462">
        <f>R11-'EDl log'!B11</f>
        <v>-1061964</v>
      </c>
      <c r="AJ11" s="612">
        <v>44355</v>
      </c>
      <c r="AK11" s="462">
        <f t="shared" si="34"/>
        <v>350597</v>
      </c>
      <c r="AL11" s="636">
        <f t="shared" si="35"/>
        <v>432717</v>
      </c>
      <c r="AM11" s="635">
        <f t="shared" si="13"/>
        <v>783314</v>
      </c>
      <c r="AN11" s="635">
        <f t="shared" si="23"/>
        <v>0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0</v>
      </c>
      <c r="F12" s="442">
        <f t="shared" si="26"/>
        <v>4035652</v>
      </c>
      <c r="G12" s="310">
        <f t="shared" si="15"/>
        <v>0</v>
      </c>
      <c r="H12" s="442">
        <f t="shared" si="27"/>
        <v>17890080</v>
      </c>
      <c r="I12" s="310">
        <f t="shared" si="16"/>
        <v>0</v>
      </c>
      <c r="J12" s="442">
        <f t="shared" si="28"/>
        <v>29160366</v>
      </c>
      <c r="K12" s="310">
        <f t="shared" si="17"/>
        <v>0</v>
      </c>
      <c r="L12" s="442">
        <f t="shared" si="29"/>
        <v>24248968</v>
      </c>
      <c r="M12" s="310">
        <f t="shared" si="18"/>
        <v>0</v>
      </c>
      <c r="N12" s="309">
        <f>M12+K12+I12+G12+E12</f>
        <v>0</v>
      </c>
      <c r="O12" s="463">
        <f t="shared" si="36"/>
        <v>0</v>
      </c>
      <c r="P12" s="584">
        <f t="shared" si="30"/>
        <v>17279.310000000001</v>
      </c>
      <c r="Q12" s="446">
        <f t="shared" si="1"/>
        <v>0</v>
      </c>
      <c r="R12" s="446">
        <f t="shared" si="24"/>
        <v>0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f t="shared" si="31"/>
        <v>32636</v>
      </c>
      <c r="X12" s="446">
        <f t="shared" si="32"/>
        <v>0</v>
      </c>
      <c r="Y12" s="442">
        <f t="shared" si="33"/>
        <v>789812</v>
      </c>
      <c r="Z12" s="446">
        <f t="shared" si="25"/>
        <v>0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0</v>
      </c>
      <c r="AF12" s="469">
        <f t="shared" si="4"/>
        <v>0</v>
      </c>
      <c r="AG12" s="461">
        <f t="shared" si="37"/>
        <v>0</v>
      </c>
      <c r="AI12" s="462">
        <f>R12-'EDl log'!B12</f>
        <v>-1061964</v>
      </c>
      <c r="AJ12" s="612">
        <v>44356</v>
      </c>
      <c r="AK12" s="462">
        <f t="shared" si="34"/>
        <v>350597</v>
      </c>
      <c r="AL12" s="636">
        <f t="shared" si="35"/>
        <v>432717</v>
      </c>
      <c r="AM12" s="635">
        <f t="shared" si="13"/>
        <v>783314</v>
      </c>
      <c r="AN12" s="635">
        <f t="shared" si="23"/>
        <v>0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0</v>
      </c>
      <c r="F13" s="442">
        <f t="shared" si="26"/>
        <v>4035652</v>
      </c>
      <c r="G13" s="310">
        <f t="shared" si="15"/>
        <v>0</v>
      </c>
      <c r="H13" s="442">
        <f t="shared" si="27"/>
        <v>17890080</v>
      </c>
      <c r="I13" s="310">
        <f t="shared" si="16"/>
        <v>0</v>
      </c>
      <c r="J13" s="442">
        <f t="shared" si="28"/>
        <v>29160366</v>
      </c>
      <c r="K13" s="310">
        <f t="shared" si="17"/>
        <v>0</v>
      </c>
      <c r="L13" s="442">
        <f t="shared" si="29"/>
        <v>24248968</v>
      </c>
      <c r="M13" s="310">
        <f t="shared" si="18"/>
        <v>0</v>
      </c>
      <c r="N13" s="309">
        <f>M13+K13+I13+G13+E13</f>
        <v>0</v>
      </c>
      <c r="O13" s="463">
        <f t="shared" si="36"/>
        <v>0</v>
      </c>
      <c r="P13" s="584">
        <f t="shared" si="30"/>
        <v>17279.310000000001</v>
      </c>
      <c r="Q13" s="446">
        <f t="shared" si="1"/>
        <v>0</v>
      </c>
      <c r="R13" s="446">
        <f t="shared" si="24"/>
        <v>0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f t="shared" si="31"/>
        <v>32636</v>
      </c>
      <c r="X13" s="446">
        <f t="shared" si="32"/>
        <v>0</v>
      </c>
      <c r="Y13" s="442">
        <f t="shared" si="33"/>
        <v>789812</v>
      </c>
      <c r="Z13" s="446">
        <f t="shared" si="25"/>
        <v>0</v>
      </c>
      <c r="AA13" s="442">
        <f t="shared" si="10"/>
        <v>35939</v>
      </c>
      <c r="AB13" s="446">
        <f t="shared" si="21"/>
        <v>0</v>
      </c>
      <c r="AC13" s="442">
        <f t="shared" si="11"/>
        <v>961645</v>
      </c>
      <c r="AD13" s="446">
        <f t="shared" si="22"/>
        <v>0</v>
      </c>
      <c r="AE13" s="468">
        <f t="shared" si="12"/>
        <v>0</v>
      </c>
      <c r="AF13" s="469">
        <f t="shared" si="4"/>
        <v>0</v>
      </c>
      <c r="AG13" s="461">
        <f t="shared" si="37"/>
        <v>0</v>
      </c>
      <c r="AI13" s="462">
        <f>R13-'EDl log'!B13</f>
        <v>-1061964</v>
      </c>
      <c r="AJ13" s="612">
        <v>44357</v>
      </c>
      <c r="AK13" s="462">
        <f t="shared" si="34"/>
        <v>350597</v>
      </c>
      <c r="AL13" s="636">
        <f t="shared" si="35"/>
        <v>432717</v>
      </c>
      <c r="AM13" s="635">
        <f t="shared" si="13"/>
        <v>783314</v>
      </c>
      <c r="AN13" s="635">
        <f t="shared" si="23"/>
        <v>0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0</v>
      </c>
      <c r="F14" s="442">
        <f t="shared" si="26"/>
        <v>4035652</v>
      </c>
      <c r="G14" s="310">
        <f t="shared" si="15"/>
        <v>0</v>
      </c>
      <c r="H14" s="442">
        <f t="shared" si="27"/>
        <v>17890080</v>
      </c>
      <c r="I14" s="310">
        <f t="shared" si="16"/>
        <v>0</v>
      </c>
      <c r="J14" s="442">
        <f t="shared" si="28"/>
        <v>29160366</v>
      </c>
      <c r="K14" s="310">
        <f t="shared" si="17"/>
        <v>0</v>
      </c>
      <c r="L14" s="442">
        <f t="shared" si="29"/>
        <v>24248968</v>
      </c>
      <c r="M14" s="310">
        <f t="shared" si="18"/>
        <v>0</v>
      </c>
      <c r="N14" s="309">
        <f t="shared" si="19"/>
        <v>0</v>
      </c>
      <c r="O14" s="463">
        <f t="shared" si="36"/>
        <v>0</v>
      </c>
      <c r="P14" s="584">
        <f t="shared" si="30"/>
        <v>17279.310000000001</v>
      </c>
      <c r="Q14" s="446">
        <f>(P14-P13)*1000</f>
        <v>0</v>
      </c>
      <c r="R14" s="446">
        <f>N14-Q14</f>
        <v>0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si="31"/>
        <v>32636</v>
      </c>
      <c r="X14" s="446">
        <f t="shared" si="32"/>
        <v>0</v>
      </c>
      <c r="Y14" s="442">
        <f t="shared" si="33"/>
        <v>789812</v>
      </c>
      <c r="Z14" s="446">
        <f t="shared" si="25"/>
        <v>0</v>
      </c>
      <c r="AA14" s="442">
        <f t="shared" si="10"/>
        <v>35939</v>
      </c>
      <c r="AB14" s="446">
        <f t="shared" si="21"/>
        <v>0</v>
      </c>
      <c r="AC14" s="442">
        <f t="shared" si="11"/>
        <v>961645</v>
      </c>
      <c r="AD14" s="446">
        <f t="shared" si="22"/>
        <v>0</v>
      </c>
      <c r="AE14" s="468">
        <f t="shared" si="12"/>
        <v>0</v>
      </c>
      <c r="AF14" s="469">
        <f t="shared" si="4"/>
        <v>0</v>
      </c>
      <c r="AG14" s="461">
        <f t="shared" si="37"/>
        <v>0</v>
      </c>
      <c r="AI14" s="462">
        <f>R14-'EDl log'!B14</f>
        <v>-1061964</v>
      </c>
      <c r="AJ14" s="612">
        <v>44358</v>
      </c>
      <c r="AK14" s="462">
        <f t="shared" si="34"/>
        <v>350597</v>
      </c>
      <c r="AL14" s="636">
        <f t="shared" si="35"/>
        <v>432717</v>
      </c>
      <c r="AM14" s="635">
        <f t="shared" si="13"/>
        <v>783314</v>
      </c>
      <c r="AN14" s="635">
        <f t="shared" si="23"/>
        <v>0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0</v>
      </c>
      <c r="F15" s="442">
        <f t="shared" si="26"/>
        <v>4035652</v>
      </c>
      <c r="G15" s="310">
        <f t="shared" si="15"/>
        <v>0</v>
      </c>
      <c r="H15" s="442">
        <f t="shared" si="27"/>
        <v>17890080</v>
      </c>
      <c r="I15" s="310">
        <f t="shared" si="16"/>
        <v>0</v>
      </c>
      <c r="J15" s="442">
        <f t="shared" si="28"/>
        <v>29160366</v>
      </c>
      <c r="K15" s="310">
        <f t="shared" si="17"/>
        <v>0</v>
      </c>
      <c r="L15" s="442">
        <f t="shared" si="29"/>
        <v>24248968</v>
      </c>
      <c r="M15" s="310">
        <f t="shared" si="18"/>
        <v>0</v>
      </c>
      <c r="N15" s="309">
        <f t="shared" si="19"/>
        <v>0</v>
      </c>
      <c r="O15" s="463">
        <f t="shared" si="36"/>
        <v>0</v>
      </c>
      <c r="P15" s="584">
        <f t="shared" si="30"/>
        <v>17279.310000000001</v>
      </c>
      <c r="Q15" s="446">
        <f t="shared" ref="Q15:Q31" si="38">(P15-P14)*1000</f>
        <v>0</v>
      </c>
      <c r="R15" s="446">
        <f t="shared" ref="R15:R31" si="39">N15-Q15</f>
        <v>0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31"/>
        <v>32636</v>
      </c>
      <c r="X15" s="446">
        <f t="shared" si="32"/>
        <v>0</v>
      </c>
      <c r="Y15" s="442">
        <f t="shared" si="33"/>
        <v>789812</v>
      </c>
      <c r="Z15" s="446">
        <f t="shared" si="25"/>
        <v>0</v>
      </c>
      <c r="AA15" s="442">
        <f t="shared" si="10"/>
        <v>35939</v>
      </c>
      <c r="AB15" s="446">
        <f t="shared" si="21"/>
        <v>0</v>
      </c>
      <c r="AC15" s="442">
        <f t="shared" si="11"/>
        <v>961645</v>
      </c>
      <c r="AD15" s="446">
        <f t="shared" si="22"/>
        <v>0</v>
      </c>
      <c r="AE15" s="468">
        <f t="shared" si="12"/>
        <v>0</v>
      </c>
      <c r="AF15" s="469">
        <f t="shared" si="4"/>
        <v>0</v>
      </c>
      <c r="AG15" s="461">
        <f t="shared" si="37"/>
        <v>0</v>
      </c>
      <c r="AI15" s="462">
        <f>R15-'EDl log'!B15</f>
        <v>-1061964</v>
      </c>
      <c r="AJ15" s="612">
        <v>44359</v>
      </c>
      <c r="AK15" s="462">
        <f t="shared" si="34"/>
        <v>350597</v>
      </c>
      <c r="AL15" s="636">
        <f t="shared" si="35"/>
        <v>432717</v>
      </c>
      <c r="AM15" s="635">
        <f t="shared" si="13"/>
        <v>783314</v>
      </c>
      <c r="AN15" s="635">
        <f t="shared" si="23"/>
        <v>0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0</v>
      </c>
      <c r="F16" s="442">
        <f t="shared" si="26"/>
        <v>4035652</v>
      </c>
      <c r="G16" s="310">
        <f t="shared" si="15"/>
        <v>0</v>
      </c>
      <c r="H16" s="442">
        <f t="shared" si="27"/>
        <v>17890080</v>
      </c>
      <c r="I16" s="310">
        <f t="shared" si="16"/>
        <v>0</v>
      </c>
      <c r="J16" s="442">
        <f t="shared" si="28"/>
        <v>29160366</v>
      </c>
      <c r="K16" s="310">
        <f t="shared" si="17"/>
        <v>0</v>
      </c>
      <c r="L16" s="442">
        <f t="shared" si="29"/>
        <v>24248968</v>
      </c>
      <c r="M16" s="310">
        <f t="shared" si="18"/>
        <v>0</v>
      </c>
      <c r="N16" s="309">
        <f t="shared" si="19"/>
        <v>0</v>
      </c>
      <c r="O16" s="463">
        <f t="shared" si="36"/>
        <v>0</v>
      </c>
      <c r="P16" s="584">
        <f t="shared" si="30"/>
        <v>17279.310000000001</v>
      </c>
      <c r="Q16" s="446">
        <f>(P16-P15)*1000</f>
        <v>0</v>
      </c>
      <c r="R16" s="446">
        <f t="shared" si="39"/>
        <v>0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f t="shared" si="31"/>
        <v>32636</v>
      </c>
      <c r="X16" s="446">
        <f t="shared" si="32"/>
        <v>0</v>
      </c>
      <c r="Y16" s="442">
        <f t="shared" si="33"/>
        <v>789812</v>
      </c>
      <c r="Z16" s="446">
        <f t="shared" si="25"/>
        <v>0</v>
      </c>
      <c r="AA16" s="442">
        <f t="shared" si="10"/>
        <v>35939</v>
      </c>
      <c r="AB16" s="446">
        <f t="shared" si="21"/>
        <v>0</v>
      </c>
      <c r="AC16" s="442">
        <f t="shared" si="11"/>
        <v>961645</v>
      </c>
      <c r="AD16" s="446">
        <f t="shared" si="22"/>
        <v>0</v>
      </c>
      <c r="AE16" s="468">
        <f t="shared" si="12"/>
        <v>0</v>
      </c>
      <c r="AF16" s="469">
        <f t="shared" si="4"/>
        <v>0</v>
      </c>
      <c r="AG16" s="461">
        <f t="shared" si="37"/>
        <v>0</v>
      </c>
      <c r="AI16" s="462">
        <f>R16-'EDl log'!B16</f>
        <v>-1061964</v>
      </c>
      <c r="AJ16" s="612">
        <v>44360</v>
      </c>
      <c r="AK16" s="462">
        <f t="shared" si="34"/>
        <v>350597</v>
      </c>
      <c r="AL16" s="636">
        <f t="shared" si="35"/>
        <v>432717</v>
      </c>
      <c r="AM16" s="635">
        <f t="shared" si="13"/>
        <v>783314</v>
      </c>
      <c r="AN16" s="635">
        <f t="shared" si="23"/>
        <v>0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0</v>
      </c>
      <c r="F17" s="442">
        <f t="shared" si="26"/>
        <v>4035652</v>
      </c>
      <c r="G17" s="310">
        <f t="shared" si="15"/>
        <v>0</v>
      </c>
      <c r="H17" s="442">
        <f t="shared" si="27"/>
        <v>17890080</v>
      </c>
      <c r="I17" s="310">
        <f t="shared" si="16"/>
        <v>0</v>
      </c>
      <c r="J17" s="442">
        <f t="shared" si="28"/>
        <v>29160366</v>
      </c>
      <c r="K17" s="310">
        <f t="shared" si="17"/>
        <v>0</v>
      </c>
      <c r="L17" s="442">
        <f t="shared" si="29"/>
        <v>24248968</v>
      </c>
      <c r="M17" s="310">
        <f t="shared" si="18"/>
        <v>0</v>
      </c>
      <c r="N17" s="309">
        <f t="shared" si="19"/>
        <v>0</v>
      </c>
      <c r="O17" s="463">
        <f t="shared" si="36"/>
        <v>0</v>
      </c>
      <c r="P17" s="584">
        <f t="shared" si="30"/>
        <v>17279.310000000001</v>
      </c>
      <c r="Q17" s="446">
        <f t="shared" si="38"/>
        <v>0</v>
      </c>
      <c r="R17" s="446">
        <f t="shared" si="39"/>
        <v>0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f t="shared" si="31"/>
        <v>32636</v>
      </c>
      <c r="X17" s="446">
        <f>W17-W16</f>
        <v>0</v>
      </c>
      <c r="Y17" s="442">
        <f t="shared" si="33"/>
        <v>789812</v>
      </c>
      <c r="Z17" s="446">
        <f>Y17-Y16</f>
        <v>0</v>
      </c>
      <c r="AA17" s="442">
        <f t="shared" si="10"/>
        <v>35939</v>
      </c>
      <c r="AB17" s="446">
        <f>AA17-AA16</f>
        <v>0</v>
      </c>
      <c r="AC17" s="442">
        <f t="shared" si="11"/>
        <v>961645</v>
      </c>
      <c r="AD17" s="446">
        <f t="shared" si="22"/>
        <v>0</v>
      </c>
      <c r="AE17" s="468">
        <f t="shared" si="12"/>
        <v>0</v>
      </c>
      <c r="AF17" s="469">
        <f t="shared" si="4"/>
        <v>0</v>
      </c>
      <c r="AG17" s="461">
        <f t="shared" si="37"/>
        <v>0</v>
      </c>
      <c r="AI17" s="462">
        <f>R17-'EDl log'!B17</f>
        <v>-1061964</v>
      </c>
      <c r="AJ17" s="612">
        <v>44361</v>
      </c>
      <c r="AK17" s="462">
        <f t="shared" si="34"/>
        <v>350597</v>
      </c>
      <c r="AL17" s="636">
        <f t="shared" si="35"/>
        <v>432717</v>
      </c>
      <c r="AM17" s="635">
        <f t="shared" si="13"/>
        <v>783314</v>
      </c>
      <c r="AN17" s="635">
        <f t="shared" si="23"/>
        <v>0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0</v>
      </c>
      <c r="F18" s="442">
        <f t="shared" si="26"/>
        <v>4035652</v>
      </c>
      <c r="G18" s="310">
        <f t="shared" si="15"/>
        <v>0</v>
      </c>
      <c r="H18" s="442">
        <f t="shared" si="27"/>
        <v>17890080</v>
      </c>
      <c r="I18" s="310">
        <f t="shared" si="16"/>
        <v>0</v>
      </c>
      <c r="J18" s="442">
        <f t="shared" si="28"/>
        <v>29160366</v>
      </c>
      <c r="K18" s="310">
        <f t="shared" si="17"/>
        <v>0</v>
      </c>
      <c r="L18" s="442">
        <f t="shared" si="29"/>
        <v>24248968</v>
      </c>
      <c r="M18" s="310">
        <f t="shared" si="18"/>
        <v>0</v>
      </c>
      <c r="N18" s="309">
        <f t="shared" si="19"/>
        <v>0</v>
      </c>
      <c r="O18" s="463">
        <f t="shared" si="36"/>
        <v>0</v>
      </c>
      <c r="P18" s="584">
        <f t="shared" si="30"/>
        <v>17279.310000000001</v>
      </c>
      <c r="Q18" s="446">
        <f t="shared" si="38"/>
        <v>0</v>
      </c>
      <c r="R18" s="446">
        <f t="shared" si="39"/>
        <v>0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442">
        <f t="shared" si="31"/>
        <v>32636</v>
      </c>
      <c r="X18" s="446">
        <f t="shared" si="32"/>
        <v>0</v>
      </c>
      <c r="Y18" s="442">
        <f t="shared" si="33"/>
        <v>789812</v>
      </c>
      <c r="Z18" s="446">
        <f t="shared" si="25"/>
        <v>0</v>
      </c>
      <c r="AA18" s="442">
        <f t="shared" si="10"/>
        <v>35939</v>
      </c>
      <c r="AB18" s="446">
        <f t="shared" si="21"/>
        <v>0</v>
      </c>
      <c r="AC18" s="442">
        <f t="shared" si="11"/>
        <v>961645</v>
      </c>
      <c r="AD18" s="446">
        <f t="shared" ref="AD18:AD31" si="40">AC18-AC17</f>
        <v>0</v>
      </c>
      <c r="AE18" s="468">
        <f t="shared" si="12"/>
        <v>0</v>
      </c>
      <c r="AF18" s="469">
        <f t="shared" si="4"/>
        <v>0</v>
      </c>
      <c r="AG18" s="461">
        <f t="shared" si="37"/>
        <v>0</v>
      </c>
      <c r="AI18" s="462">
        <f>R18-'EDl log'!B18</f>
        <v>-1061964</v>
      </c>
      <c r="AJ18" s="612">
        <v>44362</v>
      </c>
      <c r="AK18" s="462">
        <f t="shared" si="34"/>
        <v>350597</v>
      </c>
      <c r="AL18" s="636">
        <f t="shared" si="35"/>
        <v>432717</v>
      </c>
      <c r="AM18" s="635">
        <f t="shared" si="13"/>
        <v>783314</v>
      </c>
      <c r="AN18" s="635">
        <f t="shared" si="23"/>
        <v>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0</v>
      </c>
      <c r="F19" s="442">
        <f t="shared" si="26"/>
        <v>4035652</v>
      </c>
      <c r="G19" s="310">
        <f t="shared" si="15"/>
        <v>0</v>
      </c>
      <c r="H19" s="442">
        <f t="shared" si="27"/>
        <v>17890080</v>
      </c>
      <c r="I19" s="310">
        <f t="shared" si="16"/>
        <v>0</v>
      </c>
      <c r="J19" s="442">
        <f t="shared" si="28"/>
        <v>29160366</v>
      </c>
      <c r="K19" s="310">
        <f t="shared" si="17"/>
        <v>0</v>
      </c>
      <c r="L19" s="442">
        <f t="shared" si="29"/>
        <v>24248968</v>
      </c>
      <c r="M19" s="310">
        <f t="shared" si="18"/>
        <v>0</v>
      </c>
      <c r="N19" s="309">
        <f t="shared" si="19"/>
        <v>0</v>
      </c>
      <c r="O19" s="463">
        <f t="shared" si="36"/>
        <v>0</v>
      </c>
      <c r="P19" s="584">
        <f t="shared" si="30"/>
        <v>17279.310000000001</v>
      </c>
      <c r="Q19" s="446">
        <f t="shared" si="38"/>
        <v>0</v>
      </c>
      <c r="R19" s="446">
        <f t="shared" si="39"/>
        <v>0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f t="shared" si="31"/>
        <v>32636</v>
      </c>
      <c r="X19" s="446">
        <f t="shared" si="32"/>
        <v>0</v>
      </c>
      <c r="Y19" s="442">
        <f t="shared" si="33"/>
        <v>789812</v>
      </c>
      <c r="Z19" s="446">
        <f t="shared" si="25"/>
        <v>0</v>
      </c>
      <c r="AA19" s="442">
        <f t="shared" si="10"/>
        <v>35939</v>
      </c>
      <c r="AB19" s="446">
        <f t="shared" si="21"/>
        <v>0</v>
      </c>
      <c r="AC19" s="442">
        <f t="shared" si="11"/>
        <v>961645</v>
      </c>
      <c r="AD19" s="446">
        <f t="shared" si="40"/>
        <v>0</v>
      </c>
      <c r="AE19" s="468">
        <f t="shared" si="12"/>
        <v>0</v>
      </c>
      <c r="AF19" s="469">
        <f t="shared" si="4"/>
        <v>0</v>
      </c>
      <c r="AG19" s="461">
        <f t="shared" si="37"/>
        <v>0</v>
      </c>
      <c r="AI19" s="462">
        <f>R19-'EDl log'!B19</f>
        <v>-1061964</v>
      </c>
      <c r="AJ19" s="612">
        <v>44363</v>
      </c>
      <c r="AK19" s="462">
        <f t="shared" si="34"/>
        <v>350597</v>
      </c>
      <c r="AL19" s="636">
        <f t="shared" si="35"/>
        <v>432717</v>
      </c>
      <c r="AM19" s="635">
        <f t="shared" si="13"/>
        <v>783314</v>
      </c>
      <c r="AN19" s="635">
        <f t="shared" si="23"/>
        <v>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0</v>
      </c>
      <c r="F20" s="442">
        <f t="shared" si="26"/>
        <v>4035652</v>
      </c>
      <c r="G20" s="310">
        <f t="shared" si="15"/>
        <v>0</v>
      </c>
      <c r="H20" s="442">
        <f t="shared" si="27"/>
        <v>17890080</v>
      </c>
      <c r="I20" s="310">
        <f t="shared" si="16"/>
        <v>0</v>
      </c>
      <c r="J20" s="442">
        <f t="shared" si="28"/>
        <v>29160366</v>
      </c>
      <c r="K20" s="310">
        <f t="shared" si="17"/>
        <v>0</v>
      </c>
      <c r="L20" s="442">
        <f t="shared" si="29"/>
        <v>24248968</v>
      </c>
      <c r="M20" s="310">
        <f t="shared" si="18"/>
        <v>0</v>
      </c>
      <c r="N20" s="309">
        <f t="shared" si="19"/>
        <v>0</v>
      </c>
      <c r="O20" s="463">
        <f t="shared" si="36"/>
        <v>0</v>
      </c>
      <c r="P20" s="584">
        <f t="shared" si="30"/>
        <v>17279.310000000001</v>
      </c>
      <c r="Q20" s="446">
        <f t="shared" si="38"/>
        <v>0</v>
      </c>
      <c r="R20" s="446">
        <f t="shared" si="39"/>
        <v>0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f t="shared" si="31"/>
        <v>32636</v>
      </c>
      <c r="X20" s="446">
        <f t="shared" si="32"/>
        <v>0</v>
      </c>
      <c r="Y20" s="442">
        <f t="shared" si="33"/>
        <v>789812</v>
      </c>
      <c r="Z20" s="446">
        <f t="shared" si="25"/>
        <v>0</v>
      </c>
      <c r="AA20" s="442">
        <f t="shared" si="10"/>
        <v>35939</v>
      </c>
      <c r="AB20" s="446">
        <f t="shared" si="21"/>
        <v>0</v>
      </c>
      <c r="AC20" s="442">
        <f t="shared" si="11"/>
        <v>961645</v>
      </c>
      <c r="AD20" s="446">
        <f t="shared" si="40"/>
        <v>0</v>
      </c>
      <c r="AE20" s="468">
        <f t="shared" si="12"/>
        <v>0</v>
      </c>
      <c r="AF20" s="469">
        <f t="shared" si="4"/>
        <v>0</v>
      </c>
      <c r="AG20" s="461">
        <f t="shared" si="37"/>
        <v>0</v>
      </c>
      <c r="AI20" s="462">
        <f>R20-'EDl log'!B20</f>
        <v>-1061964</v>
      </c>
      <c r="AJ20" s="612">
        <v>44364</v>
      </c>
      <c r="AK20" s="462">
        <f t="shared" si="34"/>
        <v>350597</v>
      </c>
      <c r="AL20" s="636">
        <f t="shared" si="35"/>
        <v>432717</v>
      </c>
      <c r="AM20" s="635">
        <f t="shared" si="13"/>
        <v>783314</v>
      </c>
      <c r="AN20" s="635">
        <f t="shared" si="23"/>
        <v>0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0</v>
      </c>
      <c r="F21" s="442">
        <f t="shared" si="26"/>
        <v>4035652</v>
      </c>
      <c r="G21" s="310">
        <f t="shared" si="15"/>
        <v>0</v>
      </c>
      <c r="H21" s="442">
        <f t="shared" si="27"/>
        <v>17890080</v>
      </c>
      <c r="I21" s="310">
        <f t="shared" si="16"/>
        <v>0</v>
      </c>
      <c r="J21" s="442">
        <f t="shared" si="28"/>
        <v>29160366</v>
      </c>
      <c r="K21" s="310">
        <f t="shared" si="17"/>
        <v>0</v>
      </c>
      <c r="L21" s="442">
        <f t="shared" si="29"/>
        <v>24248968</v>
      </c>
      <c r="M21" s="310">
        <f t="shared" si="18"/>
        <v>0</v>
      </c>
      <c r="N21" s="309">
        <f t="shared" si="19"/>
        <v>0</v>
      </c>
      <c r="O21" s="463">
        <f t="shared" si="36"/>
        <v>0</v>
      </c>
      <c r="P21" s="584">
        <f t="shared" si="30"/>
        <v>17279.310000000001</v>
      </c>
      <c r="Q21" s="446">
        <f>(P21-P20)*1000</f>
        <v>0</v>
      </c>
      <c r="R21" s="446">
        <f t="shared" si="39"/>
        <v>0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f t="shared" si="31"/>
        <v>32636</v>
      </c>
      <c r="X21" s="446">
        <f t="shared" si="32"/>
        <v>0</v>
      </c>
      <c r="Y21" s="442">
        <f t="shared" si="33"/>
        <v>789812</v>
      </c>
      <c r="Z21" s="446">
        <f t="shared" si="25"/>
        <v>0</v>
      </c>
      <c r="AA21" s="442">
        <f t="shared" si="10"/>
        <v>35939</v>
      </c>
      <c r="AB21" s="446">
        <f t="shared" si="21"/>
        <v>0</v>
      </c>
      <c r="AC21" s="442">
        <f t="shared" si="11"/>
        <v>961645</v>
      </c>
      <c r="AD21" s="446">
        <f t="shared" si="40"/>
        <v>0</v>
      </c>
      <c r="AE21" s="468">
        <f t="shared" si="12"/>
        <v>0</v>
      </c>
      <c r="AF21" s="469">
        <f t="shared" si="4"/>
        <v>0</v>
      </c>
      <c r="AG21" s="461">
        <f t="shared" si="37"/>
        <v>0</v>
      </c>
      <c r="AI21" s="462">
        <f>R21-'EDl log'!B21</f>
        <v>-1061964</v>
      </c>
      <c r="AJ21" s="612">
        <v>44365</v>
      </c>
      <c r="AK21" s="462">
        <f t="shared" si="34"/>
        <v>350597</v>
      </c>
      <c r="AL21" s="636">
        <f t="shared" si="35"/>
        <v>432717</v>
      </c>
      <c r="AM21" s="635">
        <f t="shared" si="13"/>
        <v>783314</v>
      </c>
      <c r="AN21" s="635">
        <f t="shared" si="23"/>
        <v>0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0</v>
      </c>
      <c r="F22" s="442">
        <f t="shared" si="26"/>
        <v>4035652</v>
      </c>
      <c r="G22" s="310">
        <f t="shared" si="15"/>
        <v>0</v>
      </c>
      <c r="H22" s="442">
        <f t="shared" si="27"/>
        <v>17890080</v>
      </c>
      <c r="I22" s="310">
        <f t="shared" si="16"/>
        <v>0</v>
      </c>
      <c r="J22" s="442">
        <f t="shared" si="28"/>
        <v>29160366</v>
      </c>
      <c r="K22" s="310">
        <f t="shared" si="17"/>
        <v>0</v>
      </c>
      <c r="L22" s="442">
        <f t="shared" si="29"/>
        <v>24248968</v>
      </c>
      <c r="M22" s="310">
        <f t="shared" si="18"/>
        <v>0</v>
      </c>
      <c r="N22" s="309">
        <f t="shared" si="19"/>
        <v>0</v>
      </c>
      <c r="O22" s="463">
        <f t="shared" si="36"/>
        <v>0</v>
      </c>
      <c r="P22" s="584">
        <f t="shared" si="30"/>
        <v>17279.310000000001</v>
      </c>
      <c r="Q22" s="446">
        <f t="shared" si="38"/>
        <v>0</v>
      </c>
      <c r="R22" s="446">
        <f t="shared" si="39"/>
        <v>0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f t="shared" si="31"/>
        <v>32636</v>
      </c>
      <c r="X22" s="446">
        <f t="shared" si="32"/>
        <v>0</v>
      </c>
      <c r="Y22" s="442">
        <f t="shared" si="33"/>
        <v>789812</v>
      </c>
      <c r="Z22" s="446">
        <f t="shared" si="25"/>
        <v>0</v>
      </c>
      <c r="AA22" s="442">
        <f t="shared" si="10"/>
        <v>35939</v>
      </c>
      <c r="AB22" s="446">
        <f t="shared" si="21"/>
        <v>0</v>
      </c>
      <c r="AC22" s="442">
        <f t="shared" si="11"/>
        <v>961645</v>
      </c>
      <c r="AD22" s="446">
        <f t="shared" si="40"/>
        <v>0</v>
      </c>
      <c r="AE22" s="468">
        <f t="shared" si="12"/>
        <v>0</v>
      </c>
      <c r="AF22" s="469">
        <f t="shared" si="4"/>
        <v>0</v>
      </c>
      <c r="AG22" s="461">
        <f t="shared" si="37"/>
        <v>0</v>
      </c>
      <c r="AI22" s="462">
        <f>R22-'EDl log'!B22</f>
        <v>-1061964</v>
      </c>
      <c r="AJ22" s="612">
        <v>44366</v>
      </c>
      <c r="AK22" s="462">
        <f t="shared" si="34"/>
        <v>350597</v>
      </c>
      <c r="AL22" s="636">
        <f t="shared" si="35"/>
        <v>432717</v>
      </c>
      <c r="AM22" s="635">
        <f t="shared" si="13"/>
        <v>783314</v>
      </c>
      <c r="AN22" s="635">
        <f t="shared" si="23"/>
        <v>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0</v>
      </c>
      <c r="F23" s="442">
        <f t="shared" si="26"/>
        <v>4035652</v>
      </c>
      <c r="G23" s="310">
        <f t="shared" si="15"/>
        <v>0</v>
      </c>
      <c r="H23" s="442">
        <f t="shared" si="27"/>
        <v>17890080</v>
      </c>
      <c r="I23" s="310">
        <f t="shared" si="16"/>
        <v>0</v>
      </c>
      <c r="J23" s="442">
        <f t="shared" si="28"/>
        <v>29160366</v>
      </c>
      <c r="K23" s="310">
        <f t="shared" si="17"/>
        <v>0</v>
      </c>
      <c r="L23" s="442">
        <f t="shared" si="29"/>
        <v>24248968</v>
      </c>
      <c r="M23" s="310">
        <f t="shared" si="18"/>
        <v>0</v>
      </c>
      <c r="N23" s="309">
        <f t="shared" si="19"/>
        <v>0</v>
      </c>
      <c r="O23" s="463">
        <f t="shared" si="36"/>
        <v>0</v>
      </c>
      <c r="P23" s="584">
        <f t="shared" si="30"/>
        <v>17279.310000000001</v>
      </c>
      <c r="Q23" s="446">
        <f t="shared" si="38"/>
        <v>0</v>
      </c>
      <c r="R23" s="446">
        <f t="shared" si="39"/>
        <v>0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f t="shared" si="31"/>
        <v>32636</v>
      </c>
      <c r="X23" s="446">
        <f t="shared" si="32"/>
        <v>0</v>
      </c>
      <c r="Y23" s="442">
        <f t="shared" si="33"/>
        <v>789812</v>
      </c>
      <c r="Z23" s="446">
        <f t="shared" si="25"/>
        <v>0</v>
      </c>
      <c r="AA23" s="442">
        <f t="shared" si="10"/>
        <v>35939</v>
      </c>
      <c r="AB23" s="446">
        <f t="shared" si="21"/>
        <v>0</v>
      </c>
      <c r="AC23" s="442">
        <f t="shared" si="11"/>
        <v>961645</v>
      </c>
      <c r="AD23" s="446">
        <f t="shared" si="40"/>
        <v>0</v>
      </c>
      <c r="AE23" s="468">
        <f t="shared" si="12"/>
        <v>0</v>
      </c>
      <c r="AF23" s="469">
        <f t="shared" si="4"/>
        <v>0</v>
      </c>
      <c r="AG23" s="461">
        <f t="shared" si="37"/>
        <v>0</v>
      </c>
      <c r="AI23" s="462">
        <f>R23-'EDl log'!B23</f>
        <v>-1061964</v>
      </c>
      <c r="AJ23" s="612">
        <v>44367</v>
      </c>
      <c r="AK23" s="462">
        <f t="shared" si="34"/>
        <v>350597</v>
      </c>
      <c r="AL23" s="636">
        <f t="shared" si="35"/>
        <v>432717</v>
      </c>
      <c r="AM23" s="635">
        <f t="shared" si="13"/>
        <v>783314</v>
      </c>
      <c r="AN23" s="635">
        <f t="shared" si="23"/>
        <v>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0</v>
      </c>
      <c r="F24" s="442">
        <f t="shared" si="26"/>
        <v>4035652</v>
      </c>
      <c r="G24" s="310">
        <f t="shared" si="15"/>
        <v>0</v>
      </c>
      <c r="H24" s="442">
        <f t="shared" si="27"/>
        <v>17890080</v>
      </c>
      <c r="I24" s="435">
        <f t="shared" si="16"/>
        <v>0</v>
      </c>
      <c r="J24" s="442">
        <f t="shared" si="28"/>
        <v>29160366</v>
      </c>
      <c r="K24" s="310">
        <f t="shared" si="17"/>
        <v>0</v>
      </c>
      <c r="L24" s="442">
        <f t="shared" si="29"/>
        <v>24248968</v>
      </c>
      <c r="M24" s="310">
        <f t="shared" si="18"/>
        <v>0</v>
      </c>
      <c r="N24" s="309">
        <f t="shared" si="19"/>
        <v>0</v>
      </c>
      <c r="O24" s="463">
        <f t="shared" si="36"/>
        <v>0</v>
      </c>
      <c r="P24" s="584">
        <f t="shared" si="30"/>
        <v>17279.310000000001</v>
      </c>
      <c r="Q24" s="446">
        <f t="shared" si="38"/>
        <v>0</v>
      </c>
      <c r="R24" s="446">
        <f t="shared" si="39"/>
        <v>0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31"/>
        <v>32636</v>
      </c>
      <c r="X24" s="446">
        <f t="shared" si="32"/>
        <v>0</v>
      </c>
      <c r="Y24" s="442">
        <f t="shared" si="33"/>
        <v>789812</v>
      </c>
      <c r="Z24" s="446">
        <f t="shared" si="25"/>
        <v>0</v>
      </c>
      <c r="AA24" s="442">
        <f t="shared" si="10"/>
        <v>35939</v>
      </c>
      <c r="AB24" s="446">
        <f t="shared" si="21"/>
        <v>0</v>
      </c>
      <c r="AC24" s="442">
        <f t="shared" si="11"/>
        <v>961645</v>
      </c>
      <c r="AD24" s="446">
        <f t="shared" si="40"/>
        <v>0</v>
      </c>
      <c r="AE24" s="468">
        <f t="shared" si="12"/>
        <v>0</v>
      </c>
      <c r="AF24" s="469">
        <f t="shared" si="4"/>
        <v>0</v>
      </c>
      <c r="AG24" s="461">
        <f t="shared" si="37"/>
        <v>0</v>
      </c>
      <c r="AI24" s="462">
        <f>R24-'EDl log'!B24</f>
        <v>-1061964</v>
      </c>
      <c r="AJ24" s="612">
        <v>44368</v>
      </c>
      <c r="AK24" s="462">
        <f t="shared" si="34"/>
        <v>350597</v>
      </c>
      <c r="AL24" s="636">
        <f t="shared" si="35"/>
        <v>432717</v>
      </c>
      <c r="AM24" s="635">
        <f t="shared" si="13"/>
        <v>783314</v>
      </c>
      <c r="AN24" s="635">
        <f t="shared" si="23"/>
        <v>0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0</v>
      </c>
      <c r="F25" s="442">
        <f t="shared" si="26"/>
        <v>4035652</v>
      </c>
      <c r="G25" s="310">
        <f t="shared" si="15"/>
        <v>0</v>
      </c>
      <c r="H25" s="442">
        <f t="shared" si="27"/>
        <v>17890080</v>
      </c>
      <c r="I25" s="310">
        <f t="shared" si="16"/>
        <v>0</v>
      </c>
      <c r="J25" s="442">
        <f t="shared" si="28"/>
        <v>29160366</v>
      </c>
      <c r="K25" s="310">
        <f t="shared" si="17"/>
        <v>0</v>
      </c>
      <c r="L25" s="442">
        <f t="shared" si="29"/>
        <v>24248968</v>
      </c>
      <c r="M25" s="310">
        <f t="shared" si="18"/>
        <v>0</v>
      </c>
      <c r="N25" s="309">
        <f t="shared" si="19"/>
        <v>0</v>
      </c>
      <c r="O25" s="463">
        <f t="shared" si="36"/>
        <v>0</v>
      </c>
      <c r="P25" s="584">
        <f t="shared" si="30"/>
        <v>17279.310000000001</v>
      </c>
      <c r="Q25" s="446">
        <f t="shared" si="38"/>
        <v>0</v>
      </c>
      <c r="R25" s="446">
        <f t="shared" si="39"/>
        <v>0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f t="shared" si="31"/>
        <v>32636</v>
      </c>
      <c r="X25" s="446">
        <f t="shared" si="32"/>
        <v>0</v>
      </c>
      <c r="Y25" s="442">
        <f t="shared" si="33"/>
        <v>789812</v>
      </c>
      <c r="Z25" s="446">
        <f t="shared" si="25"/>
        <v>0</v>
      </c>
      <c r="AA25" s="442">
        <f t="shared" si="10"/>
        <v>35939</v>
      </c>
      <c r="AB25" s="446">
        <f t="shared" si="21"/>
        <v>0</v>
      </c>
      <c r="AC25" s="442">
        <f t="shared" si="11"/>
        <v>961645</v>
      </c>
      <c r="AD25" s="446">
        <f t="shared" si="40"/>
        <v>0</v>
      </c>
      <c r="AE25" s="468">
        <f t="shared" si="12"/>
        <v>0</v>
      </c>
      <c r="AF25" s="469">
        <f t="shared" si="4"/>
        <v>0</v>
      </c>
      <c r="AG25" s="461">
        <f t="shared" si="37"/>
        <v>0</v>
      </c>
      <c r="AI25" s="462">
        <f>R25-'EDl log'!B25</f>
        <v>-1061964</v>
      </c>
      <c r="AJ25" s="612">
        <v>44369</v>
      </c>
      <c r="AK25" s="462">
        <f t="shared" si="34"/>
        <v>350597</v>
      </c>
      <c r="AL25" s="636">
        <f t="shared" si="35"/>
        <v>432717</v>
      </c>
      <c r="AM25" s="635">
        <f t="shared" si="13"/>
        <v>783314</v>
      </c>
      <c r="AN25" s="635">
        <f t="shared" si="23"/>
        <v>0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0</v>
      </c>
      <c r="F26" s="442">
        <f t="shared" si="26"/>
        <v>4035652</v>
      </c>
      <c r="G26" s="310">
        <f t="shared" si="15"/>
        <v>0</v>
      </c>
      <c r="H26" s="442">
        <f t="shared" si="27"/>
        <v>17890080</v>
      </c>
      <c r="I26" s="310">
        <f t="shared" si="16"/>
        <v>0</v>
      </c>
      <c r="J26" s="442">
        <f t="shared" si="28"/>
        <v>29160366</v>
      </c>
      <c r="K26" s="310">
        <f t="shared" si="17"/>
        <v>0</v>
      </c>
      <c r="L26" s="442">
        <f t="shared" si="29"/>
        <v>24248968</v>
      </c>
      <c r="M26" s="310">
        <f t="shared" si="18"/>
        <v>0</v>
      </c>
      <c r="N26" s="309">
        <f t="shared" si="19"/>
        <v>0</v>
      </c>
      <c r="O26" s="463">
        <f t="shared" si="36"/>
        <v>0</v>
      </c>
      <c r="P26" s="584">
        <f t="shared" si="30"/>
        <v>17279.310000000001</v>
      </c>
      <c r="Q26" s="446">
        <f t="shared" si="38"/>
        <v>0</v>
      </c>
      <c r="R26" s="446">
        <f t="shared" si="39"/>
        <v>0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f t="shared" si="31"/>
        <v>32636</v>
      </c>
      <c r="X26" s="446">
        <f t="shared" si="32"/>
        <v>0</v>
      </c>
      <c r="Y26" s="442">
        <f t="shared" si="33"/>
        <v>789812</v>
      </c>
      <c r="Z26" s="446">
        <f t="shared" si="25"/>
        <v>0</v>
      </c>
      <c r="AA26" s="442">
        <f t="shared" si="10"/>
        <v>35939</v>
      </c>
      <c r="AB26" s="446">
        <f t="shared" si="21"/>
        <v>0</v>
      </c>
      <c r="AC26" s="442">
        <f t="shared" si="11"/>
        <v>961645</v>
      </c>
      <c r="AD26" s="446">
        <f t="shared" si="40"/>
        <v>0</v>
      </c>
      <c r="AE26" s="468">
        <f t="shared" si="12"/>
        <v>0</v>
      </c>
      <c r="AF26" s="469">
        <f t="shared" si="4"/>
        <v>0</v>
      </c>
      <c r="AG26" s="461">
        <f t="shared" si="37"/>
        <v>0</v>
      </c>
      <c r="AI26" s="462">
        <f>R26-'EDl log'!B26</f>
        <v>-1061964</v>
      </c>
      <c r="AJ26" s="612">
        <v>44370</v>
      </c>
      <c r="AK26" s="462">
        <f t="shared" si="34"/>
        <v>350597</v>
      </c>
      <c r="AL26" s="636">
        <f t="shared" si="35"/>
        <v>432717</v>
      </c>
      <c r="AM26" s="635">
        <f t="shared" si="13"/>
        <v>783314</v>
      </c>
      <c r="AN26" s="635">
        <f t="shared" si="23"/>
        <v>0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0</v>
      </c>
      <c r="F27" s="442">
        <f t="shared" si="26"/>
        <v>4035652</v>
      </c>
      <c r="G27" s="310">
        <f t="shared" si="15"/>
        <v>0</v>
      </c>
      <c r="H27" s="442">
        <f t="shared" si="27"/>
        <v>17890080</v>
      </c>
      <c r="I27" s="310">
        <f t="shared" si="16"/>
        <v>0</v>
      </c>
      <c r="J27" s="442">
        <f t="shared" si="28"/>
        <v>29160366</v>
      </c>
      <c r="K27" s="310">
        <f t="shared" si="17"/>
        <v>0</v>
      </c>
      <c r="L27" s="442">
        <f t="shared" si="29"/>
        <v>24248968</v>
      </c>
      <c r="M27" s="310">
        <f t="shared" si="18"/>
        <v>0</v>
      </c>
      <c r="N27" s="309">
        <f t="shared" si="19"/>
        <v>0</v>
      </c>
      <c r="O27" s="463">
        <f t="shared" si="36"/>
        <v>0</v>
      </c>
      <c r="P27" s="584">
        <f t="shared" si="30"/>
        <v>17279.310000000001</v>
      </c>
      <c r="Q27" s="446">
        <f t="shared" si="38"/>
        <v>0</v>
      </c>
      <c r="R27" s="446">
        <f t="shared" si="39"/>
        <v>0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f t="shared" si="31"/>
        <v>32636</v>
      </c>
      <c r="X27" s="446">
        <f t="shared" si="32"/>
        <v>0</v>
      </c>
      <c r="Y27" s="442">
        <f t="shared" si="33"/>
        <v>789812</v>
      </c>
      <c r="Z27" s="446">
        <f t="shared" si="25"/>
        <v>0</v>
      </c>
      <c r="AA27" s="442">
        <f t="shared" si="10"/>
        <v>35939</v>
      </c>
      <c r="AB27" s="446">
        <f t="shared" si="21"/>
        <v>0</v>
      </c>
      <c r="AC27" s="442">
        <f t="shared" si="11"/>
        <v>961645</v>
      </c>
      <c r="AD27" s="446">
        <f t="shared" si="40"/>
        <v>0</v>
      </c>
      <c r="AE27" s="468">
        <f t="shared" si="12"/>
        <v>0</v>
      </c>
      <c r="AF27" s="469">
        <f t="shared" si="4"/>
        <v>0</v>
      </c>
      <c r="AG27" s="461">
        <f t="shared" si="37"/>
        <v>0</v>
      </c>
      <c r="AI27" s="462">
        <f>R27-'EDl log'!B27</f>
        <v>-1061964</v>
      </c>
      <c r="AJ27" s="612">
        <v>44371</v>
      </c>
      <c r="AK27" s="462">
        <f t="shared" si="34"/>
        <v>350597</v>
      </c>
      <c r="AL27" s="636">
        <f t="shared" si="35"/>
        <v>432717</v>
      </c>
      <c r="AM27" s="635">
        <f t="shared" si="13"/>
        <v>783314</v>
      </c>
      <c r="AN27" s="635">
        <f t="shared" si="23"/>
        <v>0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0</v>
      </c>
      <c r="F28" s="442">
        <f t="shared" si="26"/>
        <v>4035652</v>
      </c>
      <c r="G28" s="310">
        <f>F28-F27</f>
        <v>0</v>
      </c>
      <c r="H28" s="442">
        <f t="shared" si="27"/>
        <v>17890080</v>
      </c>
      <c r="I28" s="310">
        <f t="shared" si="16"/>
        <v>0</v>
      </c>
      <c r="J28" s="442">
        <f t="shared" si="28"/>
        <v>29160366</v>
      </c>
      <c r="K28" s="310">
        <f t="shared" si="17"/>
        <v>0</v>
      </c>
      <c r="L28" s="442">
        <f t="shared" si="29"/>
        <v>24248968</v>
      </c>
      <c r="M28" s="310">
        <f t="shared" si="18"/>
        <v>0</v>
      </c>
      <c r="N28" s="309">
        <f t="shared" si="19"/>
        <v>0</v>
      </c>
      <c r="O28" s="463">
        <f t="shared" si="36"/>
        <v>0</v>
      </c>
      <c r="P28" s="584">
        <f t="shared" si="30"/>
        <v>17279.310000000001</v>
      </c>
      <c r="Q28" s="446">
        <f t="shared" si="38"/>
        <v>0</v>
      </c>
      <c r="R28" s="446">
        <f t="shared" si="39"/>
        <v>0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f t="shared" si="31"/>
        <v>32636</v>
      </c>
      <c r="X28" s="446">
        <f t="shared" si="32"/>
        <v>0</v>
      </c>
      <c r="Y28" s="442">
        <f t="shared" si="33"/>
        <v>789812</v>
      </c>
      <c r="Z28" s="446">
        <f t="shared" si="25"/>
        <v>0</v>
      </c>
      <c r="AA28" s="442">
        <f t="shared" si="10"/>
        <v>35939</v>
      </c>
      <c r="AB28" s="446">
        <f t="shared" si="21"/>
        <v>0</v>
      </c>
      <c r="AC28" s="442">
        <f t="shared" si="11"/>
        <v>961645</v>
      </c>
      <c r="AD28" s="446">
        <f t="shared" si="40"/>
        <v>0</v>
      </c>
      <c r="AE28" s="468">
        <f t="shared" si="12"/>
        <v>0</v>
      </c>
      <c r="AF28" s="469">
        <f t="shared" si="4"/>
        <v>0</v>
      </c>
      <c r="AG28" s="461">
        <f t="shared" si="37"/>
        <v>0</v>
      </c>
      <c r="AI28" s="462">
        <f>R28-'EDl log'!B28</f>
        <v>-1061964</v>
      </c>
      <c r="AJ28" s="612">
        <v>44372</v>
      </c>
      <c r="AK28" s="462">
        <f t="shared" si="34"/>
        <v>350597</v>
      </c>
      <c r="AL28" s="636">
        <f t="shared" si="35"/>
        <v>432717</v>
      </c>
      <c r="AM28" s="635">
        <f t="shared" si="13"/>
        <v>783314</v>
      </c>
      <c r="AN28" s="635">
        <f t="shared" si="23"/>
        <v>0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0</v>
      </c>
      <c r="F29" s="442">
        <f t="shared" si="26"/>
        <v>4035652</v>
      </c>
      <c r="G29" s="310">
        <f t="shared" si="15"/>
        <v>0</v>
      </c>
      <c r="H29" s="442">
        <f t="shared" si="27"/>
        <v>17890080</v>
      </c>
      <c r="I29" s="310">
        <f t="shared" si="16"/>
        <v>0</v>
      </c>
      <c r="J29" s="442">
        <f t="shared" si="28"/>
        <v>29160366</v>
      </c>
      <c r="K29" s="310">
        <f t="shared" si="17"/>
        <v>0</v>
      </c>
      <c r="L29" s="442">
        <f t="shared" si="29"/>
        <v>24248968</v>
      </c>
      <c r="M29" s="310">
        <f t="shared" si="18"/>
        <v>0</v>
      </c>
      <c r="N29" s="309">
        <f t="shared" si="19"/>
        <v>0</v>
      </c>
      <c r="O29" s="463">
        <f t="shared" si="36"/>
        <v>0</v>
      </c>
      <c r="P29" s="584">
        <f t="shared" si="30"/>
        <v>17279.310000000001</v>
      </c>
      <c r="Q29" s="446">
        <f t="shared" si="38"/>
        <v>0</v>
      </c>
      <c r="R29" s="446">
        <f t="shared" si="39"/>
        <v>0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f t="shared" si="31"/>
        <v>32636</v>
      </c>
      <c r="X29" s="446">
        <f t="shared" si="32"/>
        <v>0</v>
      </c>
      <c r="Y29" s="442">
        <f t="shared" si="33"/>
        <v>789812</v>
      </c>
      <c r="Z29" s="446">
        <f t="shared" si="25"/>
        <v>0</v>
      </c>
      <c r="AA29" s="442">
        <f t="shared" si="10"/>
        <v>35939</v>
      </c>
      <c r="AB29" s="446">
        <f t="shared" si="21"/>
        <v>0</v>
      </c>
      <c r="AC29" s="442">
        <f t="shared" si="11"/>
        <v>961645</v>
      </c>
      <c r="AD29" s="446">
        <f t="shared" si="40"/>
        <v>0</v>
      </c>
      <c r="AE29" s="468">
        <f t="shared" si="12"/>
        <v>0</v>
      </c>
      <c r="AF29" s="469">
        <f t="shared" si="4"/>
        <v>0</v>
      </c>
      <c r="AG29" s="461">
        <f t="shared" si="37"/>
        <v>0</v>
      </c>
      <c r="AI29" s="462">
        <f>R29-'EDl log'!B29</f>
        <v>-1061964</v>
      </c>
      <c r="AJ29" s="612">
        <v>44373</v>
      </c>
      <c r="AK29" s="462">
        <f t="shared" si="34"/>
        <v>350597</v>
      </c>
      <c r="AL29" s="636">
        <f t="shared" si="35"/>
        <v>432717</v>
      </c>
      <c r="AM29" s="635">
        <f t="shared" si="13"/>
        <v>783314</v>
      </c>
      <c r="AN29" s="635">
        <f t="shared" si="23"/>
        <v>0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0</v>
      </c>
      <c r="F30" s="442">
        <f t="shared" si="26"/>
        <v>4035652</v>
      </c>
      <c r="G30" s="310">
        <f t="shared" si="15"/>
        <v>0</v>
      </c>
      <c r="H30" s="442">
        <f t="shared" si="27"/>
        <v>17890080</v>
      </c>
      <c r="I30" s="310">
        <f t="shared" si="16"/>
        <v>0</v>
      </c>
      <c r="J30" s="442">
        <f t="shared" si="28"/>
        <v>29160366</v>
      </c>
      <c r="K30" s="310">
        <f t="shared" si="17"/>
        <v>0</v>
      </c>
      <c r="L30" s="442">
        <f t="shared" si="29"/>
        <v>24248968</v>
      </c>
      <c r="M30" s="310">
        <f t="shared" si="18"/>
        <v>0</v>
      </c>
      <c r="N30" s="309">
        <f t="shared" si="19"/>
        <v>0</v>
      </c>
      <c r="O30" s="463">
        <f t="shared" si="36"/>
        <v>0</v>
      </c>
      <c r="P30" s="584">
        <f t="shared" si="30"/>
        <v>17279.310000000001</v>
      </c>
      <c r="Q30" s="446">
        <f t="shared" si="38"/>
        <v>0</v>
      </c>
      <c r="R30" s="446">
        <f t="shared" si="39"/>
        <v>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31"/>
        <v>32636</v>
      </c>
      <c r="X30" s="446">
        <f t="shared" si="32"/>
        <v>0</v>
      </c>
      <c r="Y30" s="442">
        <f t="shared" si="33"/>
        <v>789812</v>
      </c>
      <c r="Z30" s="446">
        <f t="shared" si="25"/>
        <v>0</v>
      </c>
      <c r="AA30" s="442">
        <f t="shared" si="10"/>
        <v>35939</v>
      </c>
      <c r="AB30" s="446">
        <f t="shared" si="21"/>
        <v>0</v>
      </c>
      <c r="AC30" s="442">
        <f t="shared" si="11"/>
        <v>961645</v>
      </c>
      <c r="AD30" s="446">
        <f t="shared" si="40"/>
        <v>0</v>
      </c>
      <c r="AE30" s="468">
        <f t="shared" si="12"/>
        <v>0</v>
      </c>
      <c r="AF30" s="469">
        <f t="shared" si="4"/>
        <v>0</v>
      </c>
      <c r="AG30" s="461">
        <f t="shared" si="37"/>
        <v>0</v>
      </c>
      <c r="AI30" s="462">
        <f>R30-'EDl log'!B30</f>
        <v>-1061964</v>
      </c>
      <c r="AJ30" s="612">
        <v>44374</v>
      </c>
      <c r="AK30" s="462">
        <f t="shared" si="34"/>
        <v>350597</v>
      </c>
      <c r="AL30" s="636">
        <f t="shared" si="35"/>
        <v>432717</v>
      </c>
      <c r="AM30" s="635">
        <f t="shared" si="13"/>
        <v>783314</v>
      </c>
      <c r="AN30" s="635">
        <f t="shared" si="23"/>
        <v>0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0</v>
      </c>
      <c r="F31" s="442">
        <f t="shared" si="26"/>
        <v>4035652</v>
      </c>
      <c r="G31" s="310">
        <f t="shared" si="15"/>
        <v>0</v>
      </c>
      <c r="H31" s="442">
        <f t="shared" si="27"/>
        <v>17890080</v>
      </c>
      <c r="I31" s="310">
        <f t="shared" si="16"/>
        <v>0</v>
      </c>
      <c r="J31" s="442">
        <f t="shared" si="28"/>
        <v>29160366</v>
      </c>
      <c r="K31" s="310">
        <f t="shared" si="17"/>
        <v>0</v>
      </c>
      <c r="L31" s="442">
        <f t="shared" si="29"/>
        <v>24248968</v>
      </c>
      <c r="M31" s="310">
        <f t="shared" si="18"/>
        <v>0</v>
      </c>
      <c r="N31" s="309">
        <f t="shared" si="19"/>
        <v>0</v>
      </c>
      <c r="O31" s="463">
        <f t="shared" si="36"/>
        <v>0</v>
      </c>
      <c r="P31" s="584">
        <f t="shared" si="30"/>
        <v>17279.310000000001</v>
      </c>
      <c r="Q31" s="446">
        <f t="shared" si="38"/>
        <v>0</v>
      </c>
      <c r="R31" s="446">
        <f t="shared" si="39"/>
        <v>0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f t="shared" si="31"/>
        <v>32636</v>
      </c>
      <c r="X31" s="466">
        <f t="shared" si="32"/>
        <v>0</v>
      </c>
      <c r="Y31" s="442">
        <f t="shared" si="33"/>
        <v>789812</v>
      </c>
      <c r="Z31" s="446">
        <f t="shared" si="25"/>
        <v>0</v>
      </c>
      <c r="AA31" s="442">
        <f t="shared" si="10"/>
        <v>35939</v>
      </c>
      <c r="AB31" s="446">
        <f t="shared" si="21"/>
        <v>0</v>
      </c>
      <c r="AC31" s="442">
        <f t="shared" si="11"/>
        <v>961645</v>
      </c>
      <c r="AD31" s="446">
        <f t="shared" si="40"/>
        <v>0</v>
      </c>
      <c r="AE31" s="468">
        <f t="shared" si="12"/>
        <v>0</v>
      </c>
      <c r="AF31" s="469">
        <f t="shared" si="4"/>
        <v>0</v>
      </c>
      <c r="AG31" s="461">
        <f t="shared" si="37"/>
        <v>0</v>
      </c>
      <c r="AI31" s="462">
        <f>R31-'EDl log'!B31</f>
        <v>-1061964</v>
      </c>
      <c r="AJ31" s="612">
        <v>44375</v>
      </c>
      <c r="AK31" s="462">
        <f t="shared" si="34"/>
        <v>350597</v>
      </c>
      <c r="AL31" s="636">
        <f t="shared" si="35"/>
        <v>432717</v>
      </c>
      <c r="AM31" s="635">
        <f t="shared" si="13"/>
        <v>783314</v>
      </c>
      <c r="AN31" s="635">
        <f t="shared" si="23"/>
        <v>0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si="26"/>
        <v>4035652</v>
      </c>
      <c r="G32" s="310">
        <f t="shared" si="15"/>
        <v>0</v>
      </c>
      <c r="H32" s="442">
        <f t="shared" si="27"/>
        <v>17890080</v>
      </c>
      <c r="I32" s="310">
        <f t="shared" si="16"/>
        <v>0</v>
      </c>
      <c r="J32" s="442">
        <f t="shared" si="28"/>
        <v>29160366</v>
      </c>
      <c r="K32" s="310">
        <f t="shared" si="17"/>
        <v>0</v>
      </c>
      <c r="L32" s="442">
        <f t="shared" si="29"/>
        <v>24248968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4">
        <f t="shared" si="30"/>
        <v>17279.310000000001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31"/>
        <v>32636</v>
      </c>
      <c r="X32" s="466">
        <f>W32-W31</f>
        <v>0</v>
      </c>
      <c r="Y32" s="442">
        <f t="shared" si="33"/>
        <v>789812</v>
      </c>
      <c r="Z32" s="446">
        <f>Y32-Y31</f>
        <v>0</v>
      </c>
      <c r="AA32" s="442">
        <f t="shared" si="10"/>
        <v>35939</v>
      </c>
      <c r="AB32" s="446">
        <f>AA32-AA31</f>
        <v>0</v>
      </c>
      <c r="AC32" s="442">
        <f t="shared" si="11"/>
        <v>961645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-1061964</v>
      </c>
      <c r="AJ32" s="612">
        <v>44376</v>
      </c>
      <c r="AK32" s="462">
        <f t="shared" si="34"/>
        <v>350597</v>
      </c>
      <c r="AL32" s="636">
        <f t="shared" si="35"/>
        <v>432717</v>
      </c>
      <c r="AM32" s="635">
        <f t="shared" si="13"/>
        <v>783314</v>
      </c>
      <c r="AN32" s="635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26"/>
        <v>4035652</v>
      </c>
      <c r="G33" s="310">
        <f t="shared" si="15"/>
        <v>0</v>
      </c>
      <c r="H33" s="442">
        <f t="shared" si="27"/>
        <v>17890080</v>
      </c>
      <c r="I33" s="310">
        <f t="shared" si="16"/>
        <v>0</v>
      </c>
      <c r="J33" s="442">
        <f t="shared" si="28"/>
        <v>29160366</v>
      </c>
      <c r="K33" s="310">
        <f t="shared" si="17"/>
        <v>0</v>
      </c>
      <c r="L33" s="442">
        <f t="shared" si="29"/>
        <v>24248968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4">
        <f t="shared" si="30"/>
        <v>17279.310000000001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31"/>
        <v>32636</v>
      </c>
      <c r="X33" s="466">
        <f>W33-W32</f>
        <v>0</v>
      </c>
      <c r="Y33" s="442">
        <f t="shared" si="33"/>
        <v>789812</v>
      </c>
      <c r="Z33" s="446">
        <f>Y33-Y32</f>
        <v>0</v>
      </c>
      <c r="AA33" s="442">
        <f t="shared" si="10"/>
        <v>35939</v>
      </c>
      <c r="AB33" s="446">
        <f>AA33-AA32</f>
        <v>0</v>
      </c>
      <c r="AC33" s="442">
        <f t="shared" si="11"/>
        <v>961645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-1061964</v>
      </c>
      <c r="AJ33" s="612">
        <v>44377</v>
      </c>
      <c r="AK33" s="462">
        <f t="shared" si="34"/>
        <v>350597</v>
      </c>
      <c r="AL33" s="636">
        <f t="shared" si="35"/>
        <v>432717</v>
      </c>
      <c r="AM33" s="635">
        <f t="shared" si="13"/>
        <v>783314</v>
      </c>
      <c r="AN33" s="635">
        <f t="shared" si="23"/>
        <v>0</v>
      </c>
    </row>
    <row r="34" spans="1:40">
      <c r="AK34" s="613"/>
      <c r="AL34" s="614"/>
      <c r="AM34" s="614"/>
      <c r="AN34" s="614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topLeftCell="F1" zoomScale="90" zoomScaleNormal="90" workbookViewId="0">
      <pane ySplit="1" topLeftCell="A2" activePane="bottomLeft" state="frozen"/>
      <selection activeCell="K1" sqref="K1"/>
      <selection pane="bottomLeft" activeCell="AE10" sqref="AE10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9" customWidth="1"/>
    <col min="38" max="38" width="11.140625" style="319" bestFit="1" customWidth="1"/>
    <col min="39" max="39" width="11.42578125" style="31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1"/>
    <col min="51" max="16384" width="9.140625" style="42"/>
  </cols>
  <sheetData>
    <row r="1" spans="1:52" ht="30.75" thickBot="1">
      <c r="F1" s="656" t="s">
        <v>2</v>
      </c>
      <c r="G1" s="657"/>
      <c r="H1" s="657"/>
      <c r="I1" s="658"/>
      <c r="J1" s="281">
        <f>J35</f>
        <v>52.75</v>
      </c>
      <c r="K1" s="659" t="s">
        <v>4</v>
      </c>
      <c r="L1" s="660"/>
      <c r="M1" s="660"/>
      <c r="N1" s="660"/>
      <c r="O1" s="661"/>
      <c r="P1" s="650" t="s">
        <v>6</v>
      </c>
      <c r="Q1" s="651"/>
      <c r="R1" s="651"/>
      <c r="S1" s="651"/>
      <c r="T1" s="652"/>
      <c r="U1" s="395"/>
      <c r="V1" s="27" t="s">
        <v>104</v>
      </c>
      <c r="W1" s="396"/>
      <c r="X1" s="650" t="s">
        <v>8</v>
      </c>
      <c r="Y1" s="651"/>
      <c r="Z1" s="651"/>
      <c r="AA1" s="651"/>
      <c r="AB1" s="651"/>
      <c r="AC1" s="653" t="s">
        <v>10</v>
      </c>
      <c r="AD1" s="654"/>
      <c r="AE1" s="654"/>
      <c r="AF1" s="655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48"/>
      <c r="R2" s="649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f t="shared" ref="B10:B34" si="44">B10</f>
        <v>188</v>
      </c>
      <c r="C11" s="577">
        <f t="shared" ref="C10:C34" si="45">C10</f>
        <v>194</v>
      </c>
      <c r="D11" s="45">
        <f t="shared" si="32"/>
        <v>0</v>
      </c>
      <c r="E11" s="45">
        <f t="shared" si="13"/>
        <v>0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f t="shared" si="33"/>
        <v>2099</v>
      </c>
      <c r="Q11" s="577">
        <f t="shared" si="34"/>
        <v>176481</v>
      </c>
      <c r="R11" s="393">
        <f t="shared" ref="R11:R32" si="46">Q11-Q10</f>
        <v>0</v>
      </c>
      <c r="S11" s="52">
        <f t="shared" si="5"/>
        <v>0</v>
      </c>
      <c r="T11" s="67">
        <f t="shared" si="35"/>
        <v>0</v>
      </c>
      <c r="U11" s="400">
        <f t="shared" si="18"/>
        <v>0</v>
      </c>
      <c r="V11" s="62">
        <f t="shared" si="19"/>
        <v>0</v>
      </c>
      <c r="W11" s="398" t="e">
        <f t="shared" si="20"/>
        <v>#DIV/0!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0</v>
      </c>
      <c r="AJ11" s="316">
        <f>-tanks!AW12</f>
        <v>0</v>
      </c>
      <c r="AK11" s="316">
        <f t="shared" si="27"/>
        <v>0</v>
      </c>
      <c r="AL11" s="316">
        <f t="shared" si="9"/>
        <v>0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f t="shared" si="44"/>
        <v>188</v>
      </c>
      <c r="C12" s="577">
        <f t="shared" si="45"/>
        <v>194</v>
      </c>
      <c r="D12" s="45">
        <f t="shared" si="32"/>
        <v>0</v>
      </c>
      <c r="E12" s="45">
        <f t="shared" si="13"/>
        <v>0</v>
      </c>
      <c r="F12" s="577">
        <f t="shared" si="42"/>
        <v>1844</v>
      </c>
      <c r="G12" s="52">
        <f t="shared" si="0"/>
        <v>0</v>
      </c>
      <c r="H12" s="577">
        <f t="shared" si="43"/>
        <v>13664</v>
      </c>
      <c r="I12" s="394">
        <f t="shared" si="1"/>
        <v>0</v>
      </c>
      <c r="J12" s="66">
        <f t="shared" si="14"/>
        <v>0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f t="shared" si="33"/>
        <v>2099</v>
      </c>
      <c r="Q12" s="577">
        <f t="shared" si="34"/>
        <v>176481</v>
      </c>
      <c r="R12" s="393">
        <f t="shared" si="46"/>
        <v>0</v>
      </c>
      <c r="S12" s="52">
        <f t="shared" si="5"/>
        <v>0</v>
      </c>
      <c r="T12" s="67">
        <f t="shared" si="35"/>
        <v>0</v>
      </c>
      <c r="U12" s="400">
        <f t="shared" si="18"/>
        <v>0</v>
      </c>
      <c r="V12" s="62">
        <f t="shared" si="19"/>
        <v>0</v>
      </c>
      <c r="W12" s="398" t="e">
        <f t="shared" si="20"/>
        <v>#DIV/0!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0</v>
      </c>
      <c r="AJ12" s="316">
        <f>-tanks!AW13</f>
        <v>0</v>
      </c>
      <c r="AK12" s="316">
        <f t="shared" si="27"/>
        <v>0</v>
      </c>
      <c r="AL12" s="316">
        <f t="shared" si="9"/>
        <v>0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f t="shared" si="44"/>
        <v>188</v>
      </c>
      <c r="C13" s="577">
        <f t="shared" si="45"/>
        <v>194</v>
      </c>
      <c r="D13" s="45">
        <f t="shared" si="32"/>
        <v>0</v>
      </c>
      <c r="E13" s="45">
        <f t="shared" si="13"/>
        <v>0</v>
      </c>
      <c r="F13" s="577">
        <f t="shared" si="42"/>
        <v>1844</v>
      </c>
      <c r="G13" s="52">
        <f t="shared" si="0"/>
        <v>0</v>
      </c>
      <c r="H13" s="577">
        <f t="shared" si="43"/>
        <v>13664</v>
      </c>
      <c r="I13" s="394">
        <f t="shared" si="1"/>
        <v>0</v>
      </c>
      <c r="J13" s="66">
        <f t="shared" si="14"/>
        <v>0</v>
      </c>
      <c r="K13" s="577">
        <f t="shared" si="15"/>
        <v>2333</v>
      </c>
      <c r="L13" s="52">
        <f t="shared" si="16"/>
        <v>0</v>
      </c>
      <c r="M13" s="577">
        <f t="shared" si="17"/>
        <v>172051</v>
      </c>
      <c r="N13" s="394">
        <f t="shared" si="2"/>
        <v>0</v>
      </c>
      <c r="O13" s="64">
        <f t="shared" si="3"/>
        <v>1869</v>
      </c>
      <c r="P13" s="577">
        <f t="shared" si="33"/>
        <v>2099</v>
      </c>
      <c r="Q13" s="577">
        <f t="shared" si="34"/>
        <v>176481</v>
      </c>
      <c r="R13" s="393">
        <f t="shared" si="46"/>
        <v>0</v>
      </c>
      <c r="S13" s="52">
        <f t="shared" si="5"/>
        <v>0</v>
      </c>
      <c r="T13" s="67">
        <f t="shared" si="35"/>
        <v>0</v>
      </c>
      <c r="U13" s="400">
        <f t="shared" si="18"/>
        <v>0</v>
      </c>
      <c r="V13" s="62">
        <f>R13+N13+I13:I13</f>
        <v>0</v>
      </c>
      <c r="W13" s="398" t="e">
        <f t="shared" si="20"/>
        <v>#DIV/0!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0</v>
      </c>
      <c r="AJ13" s="316">
        <f>-tanks!AW14</f>
        <v>0</v>
      </c>
      <c r="AK13" s="316">
        <f t="shared" si="27"/>
        <v>0</v>
      </c>
      <c r="AL13" s="316">
        <f t="shared" si="9"/>
        <v>0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f t="shared" si="44"/>
        <v>188</v>
      </c>
      <c r="C14" s="577">
        <f t="shared" si="45"/>
        <v>194</v>
      </c>
      <c r="D14" s="45">
        <f t="shared" si="32"/>
        <v>0</v>
      </c>
      <c r="E14" s="45">
        <f t="shared" si="13"/>
        <v>0</v>
      </c>
      <c r="F14" s="577">
        <f t="shared" si="42"/>
        <v>1844</v>
      </c>
      <c r="G14" s="52">
        <f t="shared" si="0"/>
        <v>0</v>
      </c>
      <c r="H14" s="577">
        <f t="shared" si="43"/>
        <v>13664</v>
      </c>
      <c r="I14" s="394">
        <f t="shared" si="1"/>
        <v>0</v>
      </c>
      <c r="J14" s="66">
        <f t="shared" si="14"/>
        <v>0</v>
      </c>
      <c r="K14" s="577">
        <f t="shared" si="15"/>
        <v>2333</v>
      </c>
      <c r="L14" s="52">
        <f t="shared" si="16"/>
        <v>0</v>
      </c>
      <c r="M14" s="577">
        <f t="shared" si="17"/>
        <v>172051</v>
      </c>
      <c r="N14" s="394">
        <f t="shared" si="2"/>
        <v>0</v>
      </c>
      <c r="O14" s="64">
        <f t="shared" si="3"/>
        <v>1869</v>
      </c>
      <c r="P14" s="577">
        <f t="shared" si="33"/>
        <v>2099</v>
      </c>
      <c r="Q14" s="577">
        <f t="shared" si="34"/>
        <v>176481</v>
      </c>
      <c r="R14" s="393">
        <f t="shared" si="46"/>
        <v>0</v>
      </c>
      <c r="S14" s="52">
        <f t="shared" si="5"/>
        <v>0</v>
      </c>
      <c r="T14" s="67">
        <f t="shared" si="35"/>
        <v>0</v>
      </c>
      <c r="U14" s="400">
        <f t="shared" si="18"/>
        <v>0</v>
      </c>
      <c r="V14" s="62">
        <f t="shared" si="19"/>
        <v>0</v>
      </c>
      <c r="W14" s="398" t="e">
        <f t="shared" si="20"/>
        <v>#DIV/0!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0</v>
      </c>
      <c r="AJ14" s="316">
        <f>-tanks!AW15</f>
        <v>0</v>
      </c>
      <c r="AK14" s="316">
        <f t="shared" si="27"/>
        <v>0</v>
      </c>
      <c r="AL14" s="316">
        <f t="shared" si="9"/>
        <v>0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f t="shared" si="44"/>
        <v>188</v>
      </c>
      <c r="C15" s="577">
        <f t="shared" si="45"/>
        <v>194</v>
      </c>
      <c r="D15" s="45">
        <f t="shared" si="32"/>
        <v>0</v>
      </c>
      <c r="E15" s="45">
        <f t="shared" si="13"/>
        <v>0</v>
      </c>
      <c r="F15" s="577">
        <f t="shared" si="42"/>
        <v>1844</v>
      </c>
      <c r="G15" s="52">
        <f t="shared" si="0"/>
        <v>0</v>
      </c>
      <c r="H15" s="577">
        <f t="shared" si="43"/>
        <v>13664</v>
      </c>
      <c r="I15" s="394">
        <f t="shared" si="1"/>
        <v>0</v>
      </c>
      <c r="J15" s="66">
        <f t="shared" si="14"/>
        <v>0</v>
      </c>
      <c r="K15" s="577">
        <f t="shared" si="15"/>
        <v>2333</v>
      </c>
      <c r="L15" s="52">
        <f t="shared" si="16"/>
        <v>0</v>
      </c>
      <c r="M15" s="577">
        <f t="shared" si="17"/>
        <v>172051</v>
      </c>
      <c r="N15" s="394">
        <f t="shared" si="2"/>
        <v>0</v>
      </c>
      <c r="O15" s="64">
        <f t="shared" si="3"/>
        <v>1869</v>
      </c>
      <c r="P15" s="577">
        <f t="shared" si="33"/>
        <v>2099</v>
      </c>
      <c r="Q15" s="577">
        <f t="shared" si="34"/>
        <v>176481</v>
      </c>
      <c r="R15" s="393">
        <f t="shared" si="46"/>
        <v>0</v>
      </c>
      <c r="S15" s="52">
        <f t="shared" si="5"/>
        <v>0</v>
      </c>
      <c r="T15" s="67">
        <f t="shared" si="35"/>
        <v>0</v>
      </c>
      <c r="U15" s="400">
        <f t="shared" si="18"/>
        <v>0</v>
      </c>
      <c r="V15" s="62">
        <f t="shared" si="19"/>
        <v>0</v>
      </c>
      <c r="W15" s="398" t="e">
        <f t="shared" si="20"/>
        <v>#DIV/0!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0</v>
      </c>
      <c r="AJ15" s="316">
        <f>-tanks!AW16</f>
        <v>0</v>
      </c>
      <c r="AK15" s="316">
        <f t="shared" si="27"/>
        <v>0</v>
      </c>
      <c r="AL15" s="316">
        <f t="shared" si="9"/>
        <v>0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f t="shared" si="44"/>
        <v>188</v>
      </c>
      <c r="C16" s="577">
        <f t="shared" si="45"/>
        <v>194</v>
      </c>
      <c r="D16" s="45">
        <f t="shared" si="32"/>
        <v>0</v>
      </c>
      <c r="E16" s="45">
        <f t="shared" si="13"/>
        <v>0</v>
      </c>
      <c r="F16" s="577">
        <f t="shared" si="42"/>
        <v>1844</v>
      </c>
      <c r="G16" s="52">
        <f t="shared" si="0"/>
        <v>0</v>
      </c>
      <c r="H16" s="577">
        <f t="shared" si="43"/>
        <v>13664</v>
      </c>
      <c r="I16" s="394">
        <f t="shared" si="1"/>
        <v>0</v>
      </c>
      <c r="J16" s="66">
        <f t="shared" si="14"/>
        <v>0</v>
      </c>
      <c r="K16" s="577">
        <f t="shared" si="15"/>
        <v>2333</v>
      </c>
      <c r="L16" s="52">
        <f t="shared" si="16"/>
        <v>0</v>
      </c>
      <c r="M16" s="577">
        <f t="shared" si="17"/>
        <v>172051</v>
      </c>
      <c r="N16" s="394">
        <f t="shared" si="2"/>
        <v>0</v>
      </c>
      <c r="O16" s="64">
        <f t="shared" si="3"/>
        <v>1869</v>
      </c>
      <c r="P16" s="577">
        <f t="shared" si="33"/>
        <v>2099</v>
      </c>
      <c r="Q16" s="577">
        <f t="shared" si="34"/>
        <v>176481</v>
      </c>
      <c r="R16" s="393">
        <f t="shared" si="46"/>
        <v>0</v>
      </c>
      <c r="S16" s="52">
        <f t="shared" si="5"/>
        <v>0</v>
      </c>
      <c r="T16" s="67">
        <f t="shared" si="35"/>
        <v>0</v>
      </c>
      <c r="U16" s="400">
        <f t="shared" si="18"/>
        <v>0</v>
      </c>
      <c r="V16" s="62">
        <f t="shared" si="19"/>
        <v>0</v>
      </c>
      <c r="W16" s="398" t="e">
        <f t="shared" si="20"/>
        <v>#DIV/0!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f t="shared" si="24"/>
        <v>365701</v>
      </c>
      <c r="AF16" s="305">
        <f t="shared" si="25"/>
        <v>0</v>
      </c>
      <c r="AG16" s="209">
        <f t="shared" si="37"/>
        <v>0</v>
      </c>
      <c r="AH16" s="62">
        <f t="shared" si="38"/>
        <v>0</v>
      </c>
      <c r="AI16" s="316">
        <f t="shared" si="26"/>
        <v>0</v>
      </c>
      <c r="AJ16" s="316">
        <f>-tanks!AW17</f>
        <v>0</v>
      </c>
      <c r="AK16" s="316">
        <f t="shared" si="27"/>
        <v>0</v>
      </c>
      <c r="AL16" s="316">
        <f t="shared" si="9"/>
        <v>0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f t="shared" si="44"/>
        <v>188</v>
      </c>
      <c r="C17" s="577">
        <f t="shared" si="45"/>
        <v>194</v>
      </c>
      <c r="D17" s="45">
        <f t="shared" si="32"/>
        <v>0</v>
      </c>
      <c r="E17" s="45">
        <f t="shared" si="13"/>
        <v>0</v>
      </c>
      <c r="F17" s="577">
        <f t="shared" si="42"/>
        <v>1844</v>
      </c>
      <c r="G17" s="52">
        <f t="shared" si="0"/>
        <v>0</v>
      </c>
      <c r="H17" s="577">
        <f t="shared" si="43"/>
        <v>13664</v>
      </c>
      <c r="I17" s="394">
        <f t="shared" si="1"/>
        <v>0</v>
      </c>
      <c r="J17" s="66">
        <f t="shared" si="14"/>
        <v>0</v>
      </c>
      <c r="K17" s="577">
        <f t="shared" si="15"/>
        <v>2333</v>
      </c>
      <c r="L17" s="52">
        <f t="shared" si="16"/>
        <v>0</v>
      </c>
      <c r="M17" s="577">
        <f t="shared" si="17"/>
        <v>172051</v>
      </c>
      <c r="N17" s="394">
        <f t="shared" si="2"/>
        <v>0</v>
      </c>
      <c r="O17" s="64">
        <f t="shared" si="3"/>
        <v>1869</v>
      </c>
      <c r="P17" s="577">
        <f t="shared" si="33"/>
        <v>2099</v>
      </c>
      <c r="Q17" s="577">
        <f t="shared" si="34"/>
        <v>176481</v>
      </c>
      <c r="R17" s="393">
        <f t="shared" si="46"/>
        <v>0</v>
      </c>
      <c r="S17" s="52">
        <f t="shared" si="5"/>
        <v>0</v>
      </c>
      <c r="T17" s="67">
        <f t="shared" si="35"/>
        <v>0</v>
      </c>
      <c r="U17" s="400">
        <f t="shared" si="18"/>
        <v>0</v>
      </c>
      <c r="V17" s="62">
        <f t="shared" si="19"/>
        <v>0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365701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0</v>
      </c>
      <c r="AJ17" s="316">
        <f>-tanks!AW18</f>
        <v>0</v>
      </c>
      <c r="AK17" s="316">
        <f t="shared" si="27"/>
        <v>0</v>
      </c>
      <c r="AL17" s="316">
        <f t="shared" si="9"/>
        <v>0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f t="shared" si="44"/>
        <v>188</v>
      </c>
      <c r="C18" s="577">
        <f t="shared" si="45"/>
        <v>194</v>
      </c>
      <c r="D18" s="45">
        <f t="shared" si="32"/>
        <v>0</v>
      </c>
      <c r="E18" s="45">
        <f t="shared" si="13"/>
        <v>0</v>
      </c>
      <c r="F18" s="577">
        <f t="shared" si="42"/>
        <v>1844</v>
      </c>
      <c r="G18" s="52">
        <f t="shared" si="0"/>
        <v>0</v>
      </c>
      <c r="H18" s="577">
        <f t="shared" si="43"/>
        <v>13664</v>
      </c>
      <c r="I18" s="394">
        <f t="shared" si="1"/>
        <v>0</v>
      </c>
      <c r="J18" s="66">
        <f t="shared" si="14"/>
        <v>0</v>
      </c>
      <c r="K18" s="577">
        <f t="shared" si="15"/>
        <v>2333</v>
      </c>
      <c r="L18" s="52">
        <f t="shared" si="16"/>
        <v>0</v>
      </c>
      <c r="M18" s="577">
        <f t="shared" si="17"/>
        <v>172051</v>
      </c>
      <c r="N18" s="394">
        <f t="shared" si="2"/>
        <v>0</v>
      </c>
      <c r="O18" s="64">
        <v>1869</v>
      </c>
      <c r="P18" s="577">
        <f t="shared" si="33"/>
        <v>2099</v>
      </c>
      <c r="Q18" s="577">
        <f t="shared" si="34"/>
        <v>176481</v>
      </c>
      <c r="R18" s="393">
        <f t="shared" si="46"/>
        <v>0</v>
      </c>
      <c r="S18" s="52">
        <f t="shared" si="5"/>
        <v>0</v>
      </c>
      <c r="T18" s="67">
        <f t="shared" si="35"/>
        <v>0</v>
      </c>
      <c r="U18" s="400">
        <f t="shared" si="18"/>
        <v>0</v>
      </c>
      <c r="V18" s="62">
        <f t="shared" si="19"/>
        <v>0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7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365701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0</v>
      </c>
      <c r="AJ18" s="316">
        <f>-tanks!AW19</f>
        <v>0</v>
      </c>
      <c r="AK18" s="316">
        <f t="shared" si="27"/>
        <v>0</v>
      </c>
      <c r="AL18" s="316">
        <f t="shared" si="9"/>
        <v>0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f t="shared" si="44"/>
        <v>188</v>
      </c>
      <c r="C19" s="577">
        <f t="shared" si="45"/>
        <v>194</v>
      </c>
      <c r="D19" s="45">
        <f t="shared" si="32"/>
        <v>0</v>
      </c>
      <c r="E19" s="45">
        <f t="shared" si="13"/>
        <v>0</v>
      </c>
      <c r="F19" s="577">
        <f t="shared" si="42"/>
        <v>1844</v>
      </c>
      <c r="G19" s="52">
        <f t="shared" si="0"/>
        <v>0</v>
      </c>
      <c r="H19" s="577">
        <f t="shared" si="43"/>
        <v>13664</v>
      </c>
      <c r="I19" s="394">
        <f t="shared" si="1"/>
        <v>0</v>
      </c>
      <c r="J19" s="66">
        <f t="shared" si="14"/>
        <v>0</v>
      </c>
      <c r="K19" s="577">
        <f t="shared" si="15"/>
        <v>2333</v>
      </c>
      <c r="L19" s="52">
        <f t="shared" si="16"/>
        <v>0</v>
      </c>
      <c r="M19" s="577">
        <f t="shared" si="17"/>
        <v>172051</v>
      </c>
      <c r="N19" s="394">
        <f t="shared" si="2"/>
        <v>0</v>
      </c>
      <c r="O19" s="64">
        <f t="shared" ref="O19:O34" si="48">O18</f>
        <v>1869</v>
      </c>
      <c r="P19" s="577">
        <f t="shared" si="33"/>
        <v>2099</v>
      </c>
      <c r="Q19" s="577">
        <f t="shared" si="34"/>
        <v>176481</v>
      </c>
      <c r="R19" s="393">
        <f t="shared" si="46"/>
        <v>0</v>
      </c>
      <c r="S19" s="52">
        <f t="shared" si="5"/>
        <v>0</v>
      </c>
      <c r="T19" s="67">
        <f t="shared" si="35"/>
        <v>0</v>
      </c>
      <c r="U19" s="400">
        <f t="shared" si="18"/>
        <v>0</v>
      </c>
      <c r="V19" s="62">
        <f t="shared" si="19"/>
        <v>0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7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365701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0</v>
      </c>
      <c r="AJ19" s="316">
        <f>-tanks!AW20</f>
        <v>0</v>
      </c>
      <c r="AK19" s="316">
        <f t="shared" si="27"/>
        <v>0</v>
      </c>
      <c r="AL19" s="316">
        <f t="shared" si="9"/>
        <v>0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f t="shared" si="44"/>
        <v>188</v>
      </c>
      <c r="C20" s="577">
        <f t="shared" si="45"/>
        <v>194</v>
      </c>
      <c r="D20" s="45">
        <f>C19-C20</f>
        <v>0</v>
      </c>
      <c r="E20" s="45">
        <f t="shared" si="13"/>
        <v>0</v>
      </c>
      <c r="F20" s="577">
        <f t="shared" si="42"/>
        <v>1844</v>
      </c>
      <c r="G20" s="52">
        <f t="shared" si="0"/>
        <v>0</v>
      </c>
      <c r="H20" s="577">
        <f t="shared" si="43"/>
        <v>13664</v>
      </c>
      <c r="I20" s="394">
        <f t="shared" si="1"/>
        <v>0</v>
      </c>
      <c r="J20" s="66">
        <f t="shared" si="14"/>
        <v>0</v>
      </c>
      <c r="K20" s="577">
        <f t="shared" si="15"/>
        <v>2333</v>
      </c>
      <c r="L20" s="52">
        <f t="shared" si="16"/>
        <v>0</v>
      </c>
      <c r="M20" s="577">
        <f t="shared" si="17"/>
        <v>172051</v>
      </c>
      <c r="N20" s="394">
        <f t="shared" si="2"/>
        <v>0</v>
      </c>
      <c r="O20" s="64">
        <f t="shared" si="48"/>
        <v>1869</v>
      </c>
      <c r="P20" s="577">
        <f t="shared" si="33"/>
        <v>2099</v>
      </c>
      <c r="Q20" s="577">
        <f t="shared" si="34"/>
        <v>176481</v>
      </c>
      <c r="R20" s="393">
        <f t="shared" si="46"/>
        <v>0</v>
      </c>
      <c r="S20" s="52">
        <f t="shared" si="5"/>
        <v>0</v>
      </c>
      <c r="T20" s="67">
        <f t="shared" si="35"/>
        <v>0</v>
      </c>
      <c r="U20" s="400">
        <f t="shared" si="18"/>
        <v>0</v>
      </c>
      <c r="V20" s="62">
        <f t="shared" si="19"/>
        <v>0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7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365701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0</v>
      </c>
      <c r="AJ20" s="316">
        <f>-tanks!AW21</f>
        <v>0</v>
      </c>
      <c r="AK20" s="316">
        <f t="shared" si="27"/>
        <v>0</v>
      </c>
      <c r="AL20" s="316">
        <f t="shared" si="9"/>
        <v>0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f t="shared" si="44"/>
        <v>188</v>
      </c>
      <c r="C21" s="577">
        <f t="shared" si="45"/>
        <v>194</v>
      </c>
      <c r="D21" s="45">
        <f t="shared" ref="D21:D32" si="49">C20-C21</f>
        <v>0</v>
      </c>
      <c r="E21" s="45">
        <f t="shared" si="13"/>
        <v>0</v>
      </c>
      <c r="F21" s="577">
        <f t="shared" si="42"/>
        <v>1844</v>
      </c>
      <c r="G21" s="52">
        <f t="shared" si="0"/>
        <v>0</v>
      </c>
      <c r="H21" s="577">
        <f t="shared" si="43"/>
        <v>13664</v>
      </c>
      <c r="I21" s="394">
        <f t="shared" si="1"/>
        <v>0</v>
      </c>
      <c r="J21" s="66">
        <f t="shared" si="14"/>
        <v>0</v>
      </c>
      <c r="K21" s="577">
        <f t="shared" si="15"/>
        <v>2333</v>
      </c>
      <c r="L21" s="52">
        <f t="shared" si="16"/>
        <v>0</v>
      </c>
      <c r="M21" s="577">
        <f t="shared" si="17"/>
        <v>172051</v>
      </c>
      <c r="N21" s="394">
        <f t="shared" si="2"/>
        <v>0</v>
      </c>
      <c r="O21" s="64">
        <f t="shared" si="48"/>
        <v>1869</v>
      </c>
      <c r="P21" s="577">
        <f t="shared" si="33"/>
        <v>2099</v>
      </c>
      <c r="Q21" s="577">
        <f t="shared" si="34"/>
        <v>176481</v>
      </c>
      <c r="R21" s="393">
        <f t="shared" si="46"/>
        <v>0</v>
      </c>
      <c r="S21" s="52">
        <f t="shared" si="5"/>
        <v>0</v>
      </c>
      <c r="T21" s="67">
        <f t="shared" si="35"/>
        <v>0</v>
      </c>
      <c r="U21" s="400">
        <f t="shared" si="18"/>
        <v>0</v>
      </c>
      <c r="V21" s="62">
        <f t="shared" si="19"/>
        <v>0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7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365701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0</v>
      </c>
      <c r="AJ21" s="316">
        <f>-tanks!AW22</f>
        <v>0</v>
      </c>
      <c r="AK21" s="316">
        <f t="shared" si="27"/>
        <v>0</v>
      </c>
      <c r="AL21" s="316">
        <f t="shared" si="9"/>
        <v>0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f t="shared" si="44"/>
        <v>188</v>
      </c>
      <c r="C22" s="577">
        <f t="shared" si="45"/>
        <v>194</v>
      </c>
      <c r="D22" s="45">
        <f t="shared" si="49"/>
        <v>0</v>
      </c>
      <c r="E22" s="45">
        <f t="shared" si="13"/>
        <v>0</v>
      </c>
      <c r="F22" s="577">
        <f t="shared" si="42"/>
        <v>1844</v>
      </c>
      <c r="G22" s="52">
        <f t="shared" si="0"/>
        <v>0</v>
      </c>
      <c r="H22" s="577">
        <f t="shared" si="43"/>
        <v>13664</v>
      </c>
      <c r="I22" s="394">
        <f t="shared" si="1"/>
        <v>0</v>
      </c>
      <c r="J22" s="66">
        <f t="shared" si="14"/>
        <v>0</v>
      </c>
      <c r="K22" s="577">
        <f t="shared" si="15"/>
        <v>2333</v>
      </c>
      <c r="L22" s="52">
        <f t="shared" si="16"/>
        <v>0</v>
      </c>
      <c r="M22" s="577">
        <f t="shared" si="17"/>
        <v>172051</v>
      </c>
      <c r="N22" s="394">
        <f t="shared" si="2"/>
        <v>0</v>
      </c>
      <c r="O22" s="64">
        <f t="shared" si="48"/>
        <v>1869</v>
      </c>
      <c r="P22" s="577">
        <f t="shared" si="33"/>
        <v>2099</v>
      </c>
      <c r="Q22" s="577">
        <f t="shared" si="34"/>
        <v>176481</v>
      </c>
      <c r="R22" s="393">
        <f t="shared" si="46"/>
        <v>0</v>
      </c>
      <c r="S22" s="52">
        <f t="shared" si="5"/>
        <v>0</v>
      </c>
      <c r="T22" s="67">
        <f t="shared" si="35"/>
        <v>0</v>
      </c>
      <c r="U22" s="400">
        <f t="shared" si="18"/>
        <v>0</v>
      </c>
      <c r="V22" s="62">
        <f t="shared" si="19"/>
        <v>0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7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365701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0</v>
      </c>
      <c r="AJ22" s="316">
        <f>-tanks!AW23</f>
        <v>0</v>
      </c>
      <c r="AK22" s="316">
        <f t="shared" si="27"/>
        <v>0</v>
      </c>
      <c r="AL22" s="316">
        <f t="shared" si="9"/>
        <v>0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f t="shared" si="44"/>
        <v>188</v>
      </c>
      <c r="C23" s="577">
        <f t="shared" si="45"/>
        <v>194</v>
      </c>
      <c r="D23" s="45">
        <f t="shared" si="49"/>
        <v>0</v>
      </c>
      <c r="E23" s="45">
        <f t="shared" si="13"/>
        <v>0</v>
      </c>
      <c r="F23" s="577">
        <f t="shared" si="42"/>
        <v>1844</v>
      </c>
      <c r="G23" s="52">
        <f t="shared" si="0"/>
        <v>0</v>
      </c>
      <c r="H23" s="577">
        <f t="shared" si="43"/>
        <v>13664</v>
      </c>
      <c r="I23" s="394">
        <f t="shared" si="1"/>
        <v>0</v>
      </c>
      <c r="J23" s="66">
        <f t="shared" si="14"/>
        <v>0</v>
      </c>
      <c r="K23" s="577">
        <f t="shared" si="15"/>
        <v>2333</v>
      </c>
      <c r="L23" s="52">
        <f t="shared" si="16"/>
        <v>0</v>
      </c>
      <c r="M23" s="577">
        <f t="shared" si="17"/>
        <v>172051</v>
      </c>
      <c r="N23" s="394">
        <f t="shared" si="2"/>
        <v>0</v>
      </c>
      <c r="O23" s="64">
        <f t="shared" si="48"/>
        <v>1869</v>
      </c>
      <c r="P23" s="577">
        <f t="shared" si="33"/>
        <v>2099</v>
      </c>
      <c r="Q23" s="577">
        <f t="shared" si="34"/>
        <v>176481</v>
      </c>
      <c r="R23" s="393">
        <f t="shared" si="46"/>
        <v>0</v>
      </c>
      <c r="S23" s="52">
        <f t="shared" si="5"/>
        <v>0</v>
      </c>
      <c r="T23" s="67">
        <f t="shared" si="35"/>
        <v>0</v>
      </c>
      <c r="U23" s="400">
        <f t="shared" si="18"/>
        <v>0</v>
      </c>
      <c r="V23" s="62">
        <f t="shared" si="19"/>
        <v>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7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365701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0</v>
      </c>
      <c r="AJ23" s="316">
        <f>-tanks!AW24</f>
        <v>0</v>
      </c>
      <c r="AK23" s="316">
        <f>SUM(AJ23-AI23)</f>
        <v>0</v>
      </c>
      <c r="AL23" s="316">
        <f>S23+L23+G23</f>
        <v>0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f t="shared" si="44"/>
        <v>188</v>
      </c>
      <c r="C24" s="577">
        <f t="shared" si="45"/>
        <v>194</v>
      </c>
      <c r="D24" s="45">
        <f t="shared" si="49"/>
        <v>0</v>
      </c>
      <c r="E24" s="45">
        <f t="shared" si="13"/>
        <v>0</v>
      </c>
      <c r="F24" s="577">
        <f t="shared" si="42"/>
        <v>1844</v>
      </c>
      <c r="G24" s="52">
        <f t="shared" si="0"/>
        <v>0</v>
      </c>
      <c r="H24" s="577">
        <f t="shared" si="43"/>
        <v>13664</v>
      </c>
      <c r="I24" s="394">
        <f t="shared" si="1"/>
        <v>0</v>
      </c>
      <c r="J24" s="66">
        <f t="shared" si="14"/>
        <v>0</v>
      </c>
      <c r="K24" s="577">
        <f t="shared" si="15"/>
        <v>2333</v>
      </c>
      <c r="L24" s="52">
        <f t="shared" si="16"/>
        <v>0</v>
      </c>
      <c r="M24" s="577">
        <f t="shared" si="17"/>
        <v>172051</v>
      </c>
      <c r="N24" s="394">
        <f t="shared" si="2"/>
        <v>0</v>
      </c>
      <c r="O24" s="64">
        <f t="shared" si="48"/>
        <v>1869</v>
      </c>
      <c r="P24" s="577">
        <f t="shared" si="33"/>
        <v>2099</v>
      </c>
      <c r="Q24" s="577">
        <f t="shared" si="34"/>
        <v>176481</v>
      </c>
      <c r="R24" s="393">
        <f t="shared" si="46"/>
        <v>0</v>
      </c>
      <c r="S24" s="52">
        <f t="shared" si="5"/>
        <v>0</v>
      </c>
      <c r="T24" s="67">
        <f t="shared" si="35"/>
        <v>0</v>
      </c>
      <c r="U24" s="400">
        <f t="shared" si="18"/>
        <v>0</v>
      </c>
      <c r="V24" s="62">
        <f t="shared" si="19"/>
        <v>0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50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365701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0</v>
      </c>
      <c r="AJ24" s="316">
        <f>-tanks!AW25</f>
        <v>0</v>
      </c>
      <c r="AK24" s="316">
        <f t="shared" si="27"/>
        <v>0</v>
      </c>
      <c r="AL24" s="316">
        <f t="shared" si="9"/>
        <v>0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51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f t="shared" si="44"/>
        <v>188</v>
      </c>
      <c r="C25" s="577">
        <f t="shared" si="45"/>
        <v>194</v>
      </c>
      <c r="D25" s="45">
        <f t="shared" si="49"/>
        <v>0</v>
      </c>
      <c r="E25" s="45">
        <f t="shared" si="13"/>
        <v>0</v>
      </c>
      <c r="F25" s="577">
        <f t="shared" si="42"/>
        <v>1844</v>
      </c>
      <c r="G25" s="52">
        <f t="shared" si="0"/>
        <v>0</v>
      </c>
      <c r="H25" s="577">
        <f t="shared" si="43"/>
        <v>13664</v>
      </c>
      <c r="I25" s="394">
        <f t="shared" si="1"/>
        <v>0</v>
      </c>
      <c r="J25" s="66">
        <f t="shared" si="14"/>
        <v>0</v>
      </c>
      <c r="K25" s="577">
        <f t="shared" si="15"/>
        <v>2333</v>
      </c>
      <c r="L25" s="52">
        <f t="shared" si="16"/>
        <v>0</v>
      </c>
      <c r="M25" s="577">
        <f t="shared" si="17"/>
        <v>172051</v>
      </c>
      <c r="N25" s="394">
        <f t="shared" si="2"/>
        <v>0</v>
      </c>
      <c r="O25" s="64">
        <f t="shared" si="48"/>
        <v>1869</v>
      </c>
      <c r="P25" s="577">
        <f t="shared" si="33"/>
        <v>2099</v>
      </c>
      <c r="Q25" s="577">
        <f t="shared" si="34"/>
        <v>176481</v>
      </c>
      <c r="R25" s="393">
        <f t="shared" si="46"/>
        <v>0</v>
      </c>
      <c r="S25" s="52">
        <f t="shared" si="5"/>
        <v>0</v>
      </c>
      <c r="T25" s="67">
        <f t="shared" si="35"/>
        <v>0</v>
      </c>
      <c r="U25" s="400">
        <f t="shared" si="18"/>
        <v>0</v>
      </c>
      <c r="V25" s="62">
        <f t="shared" si="19"/>
        <v>0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50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365701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0</v>
      </c>
      <c r="AJ25" s="316">
        <f>-tanks!AW26</f>
        <v>0</v>
      </c>
      <c r="AK25" s="316">
        <f t="shared" si="27"/>
        <v>0</v>
      </c>
      <c r="AL25" s="316">
        <f t="shared" si="9"/>
        <v>0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2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51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f t="shared" si="44"/>
        <v>188</v>
      </c>
      <c r="C26" s="577">
        <f t="shared" si="45"/>
        <v>194</v>
      </c>
      <c r="D26" s="45">
        <f t="shared" si="49"/>
        <v>0</v>
      </c>
      <c r="E26" s="45">
        <f t="shared" si="13"/>
        <v>0</v>
      </c>
      <c r="F26" s="577">
        <f t="shared" si="42"/>
        <v>1844</v>
      </c>
      <c r="G26" s="52">
        <f t="shared" si="0"/>
        <v>0</v>
      </c>
      <c r="H26" s="577">
        <f t="shared" si="43"/>
        <v>13664</v>
      </c>
      <c r="I26" s="394">
        <f t="shared" si="1"/>
        <v>0</v>
      </c>
      <c r="J26" s="66">
        <f t="shared" si="14"/>
        <v>0</v>
      </c>
      <c r="K26" s="577">
        <f t="shared" si="15"/>
        <v>2333</v>
      </c>
      <c r="L26" s="52">
        <f t="shared" si="16"/>
        <v>0</v>
      </c>
      <c r="M26" s="577">
        <f t="shared" si="17"/>
        <v>172051</v>
      </c>
      <c r="N26" s="394">
        <f t="shared" si="2"/>
        <v>0</v>
      </c>
      <c r="O26" s="64">
        <f t="shared" si="48"/>
        <v>1869</v>
      </c>
      <c r="P26" s="577">
        <f t="shared" si="33"/>
        <v>2099</v>
      </c>
      <c r="Q26" s="577">
        <f t="shared" si="34"/>
        <v>176481</v>
      </c>
      <c r="R26" s="393">
        <f t="shared" si="46"/>
        <v>0</v>
      </c>
      <c r="S26" s="52">
        <f t="shared" si="5"/>
        <v>0</v>
      </c>
      <c r="T26" s="67">
        <f t="shared" si="35"/>
        <v>0</v>
      </c>
      <c r="U26" s="400">
        <f t="shared" si="18"/>
        <v>0</v>
      </c>
      <c r="V26" s="62">
        <f t="shared" si="19"/>
        <v>0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50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365701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0</v>
      </c>
      <c r="AJ26" s="316">
        <f>-tanks!AW27</f>
        <v>0</v>
      </c>
      <c r="AK26" s="316">
        <f t="shared" si="27"/>
        <v>0</v>
      </c>
      <c r="AL26" s="316">
        <f t="shared" si="9"/>
        <v>0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2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51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f t="shared" si="44"/>
        <v>188</v>
      </c>
      <c r="C27" s="577">
        <f t="shared" si="45"/>
        <v>194</v>
      </c>
      <c r="D27" s="45">
        <f t="shared" si="49"/>
        <v>0</v>
      </c>
      <c r="E27" s="45">
        <f t="shared" si="13"/>
        <v>0</v>
      </c>
      <c r="F27" s="577">
        <f t="shared" si="42"/>
        <v>1844</v>
      </c>
      <c r="G27" s="52">
        <f t="shared" si="0"/>
        <v>0</v>
      </c>
      <c r="H27" s="577">
        <f t="shared" si="43"/>
        <v>13664</v>
      </c>
      <c r="I27" s="394">
        <f t="shared" si="1"/>
        <v>0</v>
      </c>
      <c r="J27" s="66">
        <f t="shared" si="14"/>
        <v>0</v>
      </c>
      <c r="K27" s="577">
        <f t="shared" si="15"/>
        <v>2333</v>
      </c>
      <c r="L27" s="52">
        <f t="shared" si="16"/>
        <v>0</v>
      </c>
      <c r="M27" s="577">
        <f t="shared" si="17"/>
        <v>172051</v>
      </c>
      <c r="N27" s="394">
        <f t="shared" si="2"/>
        <v>0</v>
      </c>
      <c r="O27" s="64">
        <f t="shared" si="48"/>
        <v>1869</v>
      </c>
      <c r="P27" s="577">
        <f t="shared" si="33"/>
        <v>2099</v>
      </c>
      <c r="Q27" s="577">
        <f t="shared" si="34"/>
        <v>176481</v>
      </c>
      <c r="R27" s="393">
        <f t="shared" si="46"/>
        <v>0</v>
      </c>
      <c r="S27" s="52">
        <f t="shared" si="5"/>
        <v>0</v>
      </c>
      <c r="T27" s="67">
        <f t="shared" si="35"/>
        <v>0</v>
      </c>
      <c r="U27" s="400">
        <f t="shared" si="18"/>
        <v>0</v>
      </c>
      <c r="V27" s="62">
        <f t="shared" si="19"/>
        <v>0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50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365701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0</v>
      </c>
      <c r="AJ27" s="316">
        <f>-tanks!AW28</f>
        <v>0</v>
      </c>
      <c r="AK27" s="316">
        <f t="shared" si="27"/>
        <v>0</v>
      </c>
      <c r="AL27" s="316">
        <f t="shared" si="9"/>
        <v>0</v>
      </c>
      <c r="AM27" s="316">
        <f t="shared" si="28"/>
        <v>0</v>
      </c>
      <c r="AN27" s="577">
        <f t="shared" si="10"/>
        <v>67</v>
      </c>
      <c r="AO27" s="318">
        <f t="shared" ref="AO27:AO34" si="53">(AN27/100)*3000</f>
        <v>2010.0000000000002</v>
      </c>
      <c r="AP27" s="577">
        <f t="shared" si="11"/>
        <v>55</v>
      </c>
      <c r="AQ27" s="318">
        <f t="shared" si="52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51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f t="shared" si="44"/>
        <v>188</v>
      </c>
      <c r="C28" s="577">
        <f t="shared" si="45"/>
        <v>194</v>
      </c>
      <c r="D28" s="45">
        <f t="shared" si="49"/>
        <v>0</v>
      </c>
      <c r="E28" s="45">
        <f t="shared" si="13"/>
        <v>0</v>
      </c>
      <c r="F28" s="577">
        <f t="shared" si="42"/>
        <v>1844</v>
      </c>
      <c r="G28" s="52">
        <f t="shared" si="0"/>
        <v>0</v>
      </c>
      <c r="H28" s="577">
        <f t="shared" si="43"/>
        <v>13664</v>
      </c>
      <c r="I28" s="394">
        <f t="shared" si="1"/>
        <v>0</v>
      </c>
      <c r="J28" s="66">
        <f t="shared" si="14"/>
        <v>0</v>
      </c>
      <c r="K28" s="577">
        <f t="shared" si="15"/>
        <v>2333</v>
      </c>
      <c r="L28" s="52">
        <f t="shared" si="16"/>
        <v>0</v>
      </c>
      <c r="M28" s="577">
        <f t="shared" si="17"/>
        <v>172051</v>
      </c>
      <c r="N28" s="394">
        <f t="shared" si="2"/>
        <v>0</v>
      </c>
      <c r="O28" s="64">
        <f t="shared" si="48"/>
        <v>1869</v>
      </c>
      <c r="P28" s="577">
        <f t="shared" si="33"/>
        <v>2099</v>
      </c>
      <c r="Q28" s="577">
        <f t="shared" si="34"/>
        <v>176481</v>
      </c>
      <c r="R28" s="393">
        <f t="shared" si="46"/>
        <v>0</v>
      </c>
      <c r="S28" s="52">
        <f t="shared" si="5"/>
        <v>0</v>
      </c>
      <c r="T28" s="67">
        <f t="shared" si="35"/>
        <v>0</v>
      </c>
      <c r="U28" s="400">
        <f t="shared" si="18"/>
        <v>0</v>
      </c>
      <c r="V28" s="62">
        <f t="shared" si="19"/>
        <v>0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50"/>
        <v>0</v>
      </c>
      <c r="AC28" s="577">
        <f t="shared" si="7"/>
        <v>1938</v>
      </c>
      <c r="AD28" s="45">
        <f t="shared" si="8"/>
        <v>0</v>
      </c>
      <c r="AE28" s="577">
        <f t="shared" si="24"/>
        <v>365701</v>
      </c>
      <c r="AF28" s="305">
        <f t="shared" si="25"/>
        <v>0</v>
      </c>
      <c r="AG28" s="209">
        <f t="shared" si="37"/>
        <v>0</v>
      </c>
      <c r="AH28" s="62">
        <f t="shared" si="38"/>
        <v>0</v>
      </c>
      <c r="AI28" s="316">
        <f t="shared" si="26"/>
        <v>0</v>
      </c>
      <c r="AJ28" s="316">
        <f>-tanks!AW29</f>
        <v>0</v>
      </c>
      <c r="AK28" s="316">
        <f t="shared" si="27"/>
        <v>0</v>
      </c>
      <c r="AL28" s="316">
        <f t="shared" si="9"/>
        <v>0</v>
      </c>
      <c r="AM28" s="316">
        <f t="shared" si="28"/>
        <v>0</v>
      </c>
      <c r="AN28" s="577">
        <f t="shared" si="10"/>
        <v>67</v>
      </c>
      <c r="AO28" s="318">
        <f t="shared" si="53"/>
        <v>2010.0000000000002</v>
      </c>
      <c r="AP28" s="577">
        <f t="shared" si="11"/>
        <v>55</v>
      </c>
      <c r="AQ28" s="318">
        <f t="shared" si="52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51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f t="shared" si="44"/>
        <v>188</v>
      </c>
      <c r="C29" s="577">
        <f t="shared" si="45"/>
        <v>194</v>
      </c>
      <c r="D29" s="45">
        <f t="shared" si="49"/>
        <v>0</v>
      </c>
      <c r="E29" s="45">
        <f t="shared" si="13"/>
        <v>0</v>
      </c>
      <c r="F29" s="577">
        <f t="shared" si="42"/>
        <v>1844</v>
      </c>
      <c r="G29" s="52">
        <f t="shared" si="0"/>
        <v>0</v>
      </c>
      <c r="H29" s="577">
        <f t="shared" si="43"/>
        <v>13664</v>
      </c>
      <c r="I29" s="394">
        <f t="shared" si="1"/>
        <v>0</v>
      </c>
      <c r="J29" s="66">
        <f t="shared" si="14"/>
        <v>0</v>
      </c>
      <c r="K29" s="577">
        <f t="shared" si="15"/>
        <v>2333</v>
      </c>
      <c r="L29" s="52">
        <f t="shared" si="16"/>
        <v>0</v>
      </c>
      <c r="M29" s="577">
        <f t="shared" si="17"/>
        <v>172051</v>
      </c>
      <c r="N29" s="394">
        <f t="shared" si="2"/>
        <v>0</v>
      </c>
      <c r="O29" s="64">
        <f t="shared" si="48"/>
        <v>1869</v>
      </c>
      <c r="P29" s="577">
        <f t="shared" si="33"/>
        <v>2099</v>
      </c>
      <c r="Q29" s="577">
        <f t="shared" si="34"/>
        <v>176481</v>
      </c>
      <c r="R29" s="393">
        <f t="shared" si="46"/>
        <v>0</v>
      </c>
      <c r="S29" s="52">
        <f t="shared" si="5"/>
        <v>0</v>
      </c>
      <c r="T29" s="67">
        <f t="shared" si="35"/>
        <v>0</v>
      </c>
      <c r="U29" s="400">
        <f t="shared" si="18"/>
        <v>0</v>
      </c>
      <c r="V29" s="62">
        <f t="shared" si="19"/>
        <v>0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50"/>
        <v>0</v>
      </c>
      <c r="AC29" s="577">
        <f t="shared" si="7"/>
        <v>1938</v>
      </c>
      <c r="AD29" s="45">
        <f t="shared" si="8"/>
        <v>0</v>
      </c>
      <c r="AE29" s="577">
        <f t="shared" si="24"/>
        <v>365701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0</v>
      </c>
      <c r="AJ29" s="316">
        <f>-tanks!AW30</f>
        <v>0</v>
      </c>
      <c r="AK29" s="316">
        <f t="shared" si="27"/>
        <v>0</v>
      </c>
      <c r="AL29" s="316">
        <f t="shared" si="9"/>
        <v>0</v>
      </c>
      <c r="AM29" s="316">
        <f t="shared" si="28"/>
        <v>0</v>
      </c>
      <c r="AN29" s="577">
        <f t="shared" si="10"/>
        <v>67</v>
      </c>
      <c r="AO29" s="318">
        <f t="shared" si="53"/>
        <v>2010.0000000000002</v>
      </c>
      <c r="AP29" s="577">
        <f t="shared" si="11"/>
        <v>55</v>
      </c>
      <c r="AQ29" s="318">
        <f t="shared" si="52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5490</v>
      </c>
      <c r="AU29" s="318">
        <f>AT28-AT29+AV29</f>
        <v>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f t="shared" si="44"/>
        <v>188</v>
      </c>
      <c r="C30" s="577">
        <f t="shared" si="45"/>
        <v>194</v>
      </c>
      <c r="D30" s="45">
        <f t="shared" si="49"/>
        <v>0</v>
      </c>
      <c r="E30" s="45">
        <f t="shared" si="13"/>
        <v>0</v>
      </c>
      <c r="F30" s="577">
        <f t="shared" si="42"/>
        <v>1844</v>
      </c>
      <c r="G30" s="52">
        <f t="shared" si="0"/>
        <v>0</v>
      </c>
      <c r="H30" s="577">
        <f t="shared" si="43"/>
        <v>13664</v>
      </c>
      <c r="I30" s="394">
        <f t="shared" si="1"/>
        <v>0</v>
      </c>
      <c r="J30" s="66">
        <f t="shared" si="14"/>
        <v>0</v>
      </c>
      <c r="K30" s="577">
        <f t="shared" si="15"/>
        <v>2333</v>
      </c>
      <c r="L30" s="52">
        <f t="shared" si="16"/>
        <v>0</v>
      </c>
      <c r="M30" s="577">
        <f t="shared" si="17"/>
        <v>172051</v>
      </c>
      <c r="N30" s="394">
        <f t="shared" si="2"/>
        <v>0</v>
      </c>
      <c r="O30" s="64">
        <f t="shared" si="48"/>
        <v>1869</v>
      </c>
      <c r="P30" s="577">
        <f t="shared" si="33"/>
        <v>2099</v>
      </c>
      <c r="Q30" s="577">
        <f t="shared" si="34"/>
        <v>176481</v>
      </c>
      <c r="R30" s="393">
        <f t="shared" si="46"/>
        <v>0</v>
      </c>
      <c r="S30" s="52">
        <f t="shared" si="5"/>
        <v>0</v>
      </c>
      <c r="T30" s="67">
        <f t="shared" si="35"/>
        <v>0</v>
      </c>
      <c r="U30" s="400">
        <f t="shared" si="18"/>
        <v>0</v>
      </c>
      <c r="V30" s="62">
        <f t="shared" si="19"/>
        <v>0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50"/>
        <v>0</v>
      </c>
      <c r="AC30" s="577">
        <f t="shared" si="7"/>
        <v>1938</v>
      </c>
      <c r="AD30" s="45">
        <f t="shared" si="8"/>
        <v>0</v>
      </c>
      <c r="AE30" s="577">
        <f t="shared" si="24"/>
        <v>365701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0</v>
      </c>
      <c r="AJ30" s="316">
        <f>-tanks!AW31</f>
        <v>0</v>
      </c>
      <c r="AK30" s="316">
        <f t="shared" si="27"/>
        <v>0</v>
      </c>
      <c r="AL30" s="316">
        <f t="shared" si="9"/>
        <v>0</v>
      </c>
      <c r="AM30" s="316">
        <f t="shared" si="28"/>
        <v>0</v>
      </c>
      <c r="AN30" s="577">
        <f t="shared" si="10"/>
        <v>67</v>
      </c>
      <c r="AO30" s="318">
        <f t="shared" si="53"/>
        <v>2010.0000000000002</v>
      </c>
      <c r="AP30" s="577">
        <f t="shared" si="11"/>
        <v>55</v>
      </c>
      <c r="AQ30" s="318">
        <f t="shared" si="52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51"/>
        <v>5490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f t="shared" si="44"/>
        <v>188</v>
      </c>
      <c r="C31" s="577">
        <f t="shared" si="45"/>
        <v>194</v>
      </c>
      <c r="D31" s="45">
        <f t="shared" si="49"/>
        <v>0</v>
      </c>
      <c r="E31" s="45">
        <f t="shared" si="13"/>
        <v>0</v>
      </c>
      <c r="F31" s="577">
        <f t="shared" si="42"/>
        <v>1844</v>
      </c>
      <c r="G31" s="52">
        <f t="shared" si="0"/>
        <v>0</v>
      </c>
      <c r="H31" s="577">
        <f t="shared" si="43"/>
        <v>13664</v>
      </c>
      <c r="I31" s="394">
        <f t="shared" si="1"/>
        <v>0</v>
      </c>
      <c r="J31" s="66">
        <f t="shared" si="14"/>
        <v>0</v>
      </c>
      <c r="K31" s="577">
        <f t="shared" si="15"/>
        <v>2333</v>
      </c>
      <c r="L31" s="52">
        <f t="shared" si="16"/>
        <v>0</v>
      </c>
      <c r="M31" s="577">
        <f t="shared" si="17"/>
        <v>172051</v>
      </c>
      <c r="N31" s="394">
        <f t="shared" si="2"/>
        <v>0</v>
      </c>
      <c r="O31" s="64">
        <f t="shared" si="48"/>
        <v>1869</v>
      </c>
      <c r="P31" s="577">
        <f t="shared" si="33"/>
        <v>2099</v>
      </c>
      <c r="Q31" s="577">
        <f t="shared" si="34"/>
        <v>176481</v>
      </c>
      <c r="R31" s="393">
        <f t="shared" si="46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0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50"/>
        <v>0</v>
      </c>
      <c r="AC31" s="577">
        <f t="shared" si="7"/>
        <v>1938</v>
      </c>
      <c r="AD31" s="269">
        <f t="shared" si="8"/>
        <v>0</v>
      </c>
      <c r="AE31" s="577">
        <f t="shared" si="24"/>
        <v>365701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0</v>
      </c>
      <c r="AJ31" s="316">
        <f>-tanks!AW32</f>
        <v>0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67</v>
      </c>
      <c r="AO31" s="318">
        <f t="shared" si="53"/>
        <v>2010.0000000000002</v>
      </c>
      <c r="AP31" s="577">
        <f t="shared" si="11"/>
        <v>55</v>
      </c>
      <c r="AQ31" s="318">
        <f t="shared" si="52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51"/>
        <v>5490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f t="shared" si="44"/>
        <v>188</v>
      </c>
      <c r="C32" s="577">
        <f t="shared" si="45"/>
        <v>194</v>
      </c>
      <c r="D32" s="45">
        <f t="shared" si="49"/>
        <v>0</v>
      </c>
      <c r="E32" s="45">
        <f t="shared" si="13"/>
        <v>0</v>
      </c>
      <c r="F32" s="577">
        <f t="shared" si="42"/>
        <v>1844</v>
      </c>
      <c r="G32" s="52">
        <f t="shared" si="0"/>
        <v>0</v>
      </c>
      <c r="H32" s="577">
        <f t="shared" si="43"/>
        <v>13664</v>
      </c>
      <c r="I32" s="394">
        <f t="shared" si="1"/>
        <v>0</v>
      </c>
      <c r="J32" s="66">
        <f t="shared" si="14"/>
        <v>0</v>
      </c>
      <c r="K32" s="577">
        <f t="shared" si="15"/>
        <v>2333</v>
      </c>
      <c r="L32" s="52">
        <f t="shared" si="16"/>
        <v>0</v>
      </c>
      <c r="M32" s="577">
        <f t="shared" si="17"/>
        <v>172051</v>
      </c>
      <c r="N32" s="394">
        <f t="shared" si="2"/>
        <v>0</v>
      </c>
      <c r="O32" s="64">
        <f t="shared" si="48"/>
        <v>1869</v>
      </c>
      <c r="P32" s="577">
        <f t="shared" si="33"/>
        <v>2099</v>
      </c>
      <c r="Q32" s="577">
        <f t="shared" si="34"/>
        <v>176481</v>
      </c>
      <c r="R32" s="393">
        <f t="shared" si="46"/>
        <v>0</v>
      </c>
      <c r="S32" s="52">
        <f t="shared" si="5"/>
        <v>0</v>
      </c>
      <c r="T32" s="67">
        <f t="shared" si="35"/>
        <v>0</v>
      </c>
      <c r="U32" s="400">
        <f t="shared" si="18"/>
        <v>0</v>
      </c>
      <c r="V32" s="62">
        <f t="shared" si="19"/>
        <v>0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50"/>
        <v>0</v>
      </c>
      <c r="AC32" s="577">
        <f t="shared" si="7"/>
        <v>1938</v>
      </c>
      <c r="AD32" s="269">
        <f t="shared" si="8"/>
        <v>0</v>
      </c>
      <c r="AE32" s="577">
        <f t="shared" si="24"/>
        <v>365701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0</v>
      </c>
      <c r="AJ32" s="316">
        <f>-tanks!AW33</f>
        <v>0</v>
      </c>
      <c r="AK32" s="316">
        <f t="shared" si="27"/>
        <v>0</v>
      </c>
      <c r="AL32" s="316">
        <f t="shared" si="9"/>
        <v>0</v>
      </c>
      <c r="AM32" s="316">
        <f t="shared" si="28"/>
        <v>0</v>
      </c>
      <c r="AN32" s="577">
        <f t="shared" si="10"/>
        <v>67</v>
      </c>
      <c r="AO32" s="318">
        <f t="shared" si="53"/>
        <v>2010.0000000000002</v>
      </c>
      <c r="AP32" s="577">
        <f t="shared" si="11"/>
        <v>55</v>
      </c>
      <c r="AQ32" s="318">
        <f t="shared" si="52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51"/>
        <v>5490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si="44"/>
        <v>188</v>
      </c>
      <c r="C33" s="577">
        <f t="shared" si="45"/>
        <v>194</v>
      </c>
      <c r="D33" s="45">
        <f>C32-C33</f>
        <v>0</v>
      </c>
      <c r="E33" s="45">
        <f>D33*8.38</f>
        <v>0</v>
      </c>
      <c r="F33" s="577">
        <f t="shared" si="42"/>
        <v>1844</v>
      </c>
      <c r="G33" s="52">
        <f>F33-F32</f>
        <v>0</v>
      </c>
      <c r="H33" s="577">
        <f t="shared" si="43"/>
        <v>13664</v>
      </c>
      <c r="I33" s="394">
        <f>SUM(H33-H32)</f>
        <v>0</v>
      </c>
      <c r="J33" s="66">
        <f>IF(G33&gt;0,I33/G33,0)</f>
        <v>0</v>
      </c>
      <c r="K33" s="577">
        <f t="shared" si="15"/>
        <v>2333</v>
      </c>
      <c r="L33" s="52">
        <f>K33-K32</f>
        <v>0</v>
      </c>
      <c r="M33" s="577">
        <f t="shared" si="17"/>
        <v>172051</v>
      </c>
      <c r="N33" s="394">
        <f>M33-M32</f>
        <v>0</v>
      </c>
      <c r="O33" s="64">
        <f t="shared" si="48"/>
        <v>1869</v>
      </c>
      <c r="P33" s="577">
        <f t="shared" si="33"/>
        <v>2099</v>
      </c>
      <c r="Q33" s="577">
        <f t="shared" si="34"/>
        <v>176481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1938</v>
      </c>
      <c r="AD33" s="269">
        <f>AC33-AC32</f>
        <v>0</v>
      </c>
      <c r="AE33" s="577">
        <f t="shared" si="24"/>
        <v>365701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67</v>
      </c>
      <c r="AO33" s="318">
        <f t="shared" si="53"/>
        <v>2010.0000000000002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5490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44"/>
        <v>188</v>
      </c>
      <c r="C34" s="577">
        <f t="shared" si="45"/>
        <v>194</v>
      </c>
      <c r="D34" s="45">
        <f>C33-C34</f>
        <v>0</v>
      </c>
      <c r="E34" s="45">
        <f>D34*8.38</f>
        <v>0</v>
      </c>
      <c r="F34" s="577">
        <f t="shared" si="42"/>
        <v>1844</v>
      </c>
      <c r="G34" s="52">
        <f>F34-F33</f>
        <v>0</v>
      </c>
      <c r="H34" s="577">
        <f t="shared" si="43"/>
        <v>13664</v>
      </c>
      <c r="I34" s="394">
        <f>SUM(H34-H33)</f>
        <v>0</v>
      </c>
      <c r="J34" s="66">
        <f>IF(G34&gt;0,I34/G34,0)</f>
        <v>0</v>
      </c>
      <c r="K34" s="577">
        <f t="shared" si="15"/>
        <v>2333</v>
      </c>
      <c r="L34" s="52">
        <f>K34-K33</f>
        <v>0</v>
      </c>
      <c r="M34" s="577">
        <f t="shared" si="17"/>
        <v>172051</v>
      </c>
      <c r="N34" s="394">
        <f>M34-M33</f>
        <v>0</v>
      </c>
      <c r="O34" s="64">
        <f t="shared" si="48"/>
        <v>1869</v>
      </c>
      <c r="P34" s="577">
        <f t="shared" si="33"/>
        <v>2099</v>
      </c>
      <c r="Q34" s="577">
        <f t="shared" si="34"/>
        <v>176481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1938</v>
      </c>
      <c r="AD34" s="269">
        <f>AC34-AC33</f>
        <v>0</v>
      </c>
      <c r="AE34" s="577">
        <f t="shared" si="24"/>
        <v>365701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67</v>
      </c>
      <c r="AO34" s="318">
        <f t="shared" si="53"/>
        <v>2010.0000000000002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5490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52.75</v>
      </c>
      <c r="V35" s="62">
        <f>SUM(V5:V34)</f>
        <v>684</v>
      </c>
      <c r="AE35" s="71" t="s">
        <v>383</v>
      </c>
      <c r="AG35" s="342"/>
      <c r="AH35" s="62">
        <f>SUM(AH5:AH34)</f>
        <v>201</v>
      </c>
      <c r="AL35" s="62">
        <f>SUM(AL5:AL34)</f>
        <v>8</v>
      </c>
      <c r="AM35" s="62">
        <f>SUM(AM5:AM34)</f>
        <v>2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885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0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G1" zoomScale="90" zoomScaleNormal="90" workbookViewId="0">
      <pane ySplit="3" topLeftCell="A4" activePane="bottomLeft" state="frozen"/>
      <selection pane="bottomLeft" activeCell="BB11" sqref="BB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0" customWidth="1"/>
    <col min="11" max="11" width="13.5703125" style="1" customWidth="1"/>
    <col min="12" max="12" width="13.28515625" style="1" customWidth="1"/>
    <col min="13" max="13" width="10.7109375" style="485" customWidth="1"/>
    <col min="14" max="14" width="10.7109375" style="487" customWidth="1"/>
    <col min="15" max="15" width="11.140625" style="485" customWidth="1"/>
    <col min="16" max="16" width="11.140625" style="487" customWidth="1"/>
    <col min="17" max="17" width="17.28515625" style="485" customWidth="1"/>
    <col min="18" max="18" width="10.85546875" style="485" customWidth="1"/>
    <col min="19" max="19" width="10.7109375" style="485" customWidth="1"/>
    <col min="20" max="20" width="13.28515625" style="404" customWidth="1"/>
    <col min="21" max="21" width="8.7109375" style="407" customWidth="1"/>
    <col min="22" max="22" width="13.28515625" style="320" customWidth="1"/>
    <col min="23" max="23" width="9.7109375" style="320" bestFit="1" customWidth="1"/>
    <col min="24" max="27" width="9.7109375" style="320" customWidth="1"/>
    <col min="28" max="28" width="14.42578125" style="320" customWidth="1"/>
    <col min="29" max="32" width="9.7109375" style="320" customWidth="1"/>
    <col min="33" max="33" width="11.28515625" style="320" customWidth="1"/>
    <col min="34" max="36" width="9.7109375" style="320" customWidth="1"/>
    <col min="37" max="37" width="7.42578125" style="320" customWidth="1"/>
    <col min="38" max="39" width="8.7109375" style="32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7" customFormat="1" ht="15.75" thickBot="1">
      <c r="B1" s="358"/>
      <c r="C1" s="358"/>
      <c r="D1" s="414">
        <f>SUM(G21:G33)</f>
        <v>8066890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65" t="s">
        <v>95</v>
      </c>
      <c r="AS2" s="666"/>
      <c r="AT2" s="666"/>
      <c r="AU2" s="666"/>
      <c r="AV2" s="667"/>
      <c r="AW2" s="665" t="s">
        <v>96</v>
      </c>
      <c r="AX2" s="666"/>
      <c r="AY2" s="667"/>
      <c r="AZ2" s="665" t="s">
        <v>98</v>
      </c>
      <c r="BA2" s="666"/>
      <c r="BB2" s="667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62" t="s">
        <v>126</v>
      </c>
      <c r="AO3" s="663"/>
      <c r="AP3" s="664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.5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7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f t="shared" ref="AV11:AV35" si="42">AV11</f>
        <v>143</v>
      </c>
      <c r="AW12" s="5">
        <v>2.9</v>
      </c>
      <c r="AX12" s="201">
        <f t="shared" ref="AX11:AX35" si="43">AX11</f>
        <v>53</v>
      </c>
      <c r="AY12" s="424">
        <f t="shared" si="5"/>
        <v>136.80000000000001</v>
      </c>
      <c r="AZ12" s="424">
        <f t="shared" si="31"/>
        <v>157.30000000000001</v>
      </c>
      <c r="BA12" s="424">
        <f t="shared" si="32"/>
        <v>153.69999999999999</v>
      </c>
      <c r="BB12" s="21">
        <f t="shared" si="33"/>
        <v>0</v>
      </c>
      <c r="BC12" s="21">
        <f t="shared" si="34"/>
        <v>0</v>
      </c>
      <c r="BD12" s="21">
        <f t="shared" si="34"/>
        <v>0</v>
      </c>
      <c r="BE12" s="24">
        <f t="shared" si="35"/>
        <v>0</v>
      </c>
      <c r="BF12" s="96">
        <f t="shared" si="6"/>
        <v>0</v>
      </c>
      <c r="BG12" s="82">
        <f t="shared" si="7"/>
        <v>0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6776</v>
      </c>
      <c r="L13" s="83">
        <f t="shared" si="39"/>
        <v>0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0</v>
      </c>
      <c r="AL13" s="325">
        <f t="shared" si="29"/>
        <v>0</v>
      </c>
      <c r="AM13" s="325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si="42"/>
        <v>143</v>
      </c>
      <c r="AW13" s="5">
        <v>2.9</v>
      </c>
      <c r="AX13" s="201">
        <f t="shared" si="43"/>
        <v>53</v>
      </c>
      <c r="AY13" s="424">
        <f t="shared" si="5"/>
        <v>136.80000000000001</v>
      </c>
      <c r="AZ13" s="424">
        <f t="shared" si="31"/>
        <v>157.30000000000001</v>
      </c>
      <c r="BA13" s="424">
        <f t="shared" si="32"/>
        <v>153.69999999999999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6776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f t="shared" si="42"/>
        <v>143</v>
      </c>
      <c r="AW14" s="5">
        <v>2.9</v>
      </c>
      <c r="AX14" s="201">
        <f t="shared" si="43"/>
        <v>53</v>
      </c>
      <c r="AY14" s="424">
        <f t="shared" si="5"/>
        <v>136.80000000000001</v>
      </c>
      <c r="AZ14" s="424">
        <f t="shared" si="31"/>
        <v>157.30000000000001</v>
      </c>
      <c r="BA14" s="424">
        <f t="shared" si="32"/>
        <v>153.69999999999999</v>
      </c>
      <c r="BB14" s="21">
        <f t="shared" si="33"/>
        <v>0</v>
      </c>
      <c r="BC14" s="21">
        <f t="shared" si="34"/>
        <v>0</v>
      </c>
      <c r="BD14" s="21">
        <f t="shared" si="34"/>
        <v>0</v>
      </c>
      <c r="BE14" s="24">
        <f t="shared" si="35"/>
        <v>0</v>
      </c>
      <c r="BF14" s="96">
        <f t="shared" si="6"/>
        <v>0</v>
      </c>
      <c r="BG14" s="82">
        <f t="shared" si="7"/>
        <v>0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6776</v>
      </c>
      <c r="L15" s="83">
        <f t="shared" si="39"/>
        <v>0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0</v>
      </c>
      <c r="AL15" s="325">
        <f t="shared" si="29"/>
        <v>0</v>
      </c>
      <c r="AM15" s="32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f t="shared" si="42"/>
        <v>143</v>
      </c>
      <c r="AW15" s="5">
        <v>2.9</v>
      </c>
      <c r="AX15" s="201">
        <f t="shared" si="43"/>
        <v>53</v>
      </c>
      <c r="AY15" s="424">
        <f t="shared" si="5"/>
        <v>136.80000000000001</v>
      </c>
      <c r="AZ15" s="424">
        <f t="shared" si="31"/>
        <v>157.30000000000001</v>
      </c>
      <c r="BA15" s="424">
        <f t="shared" si="32"/>
        <v>153.69999999999999</v>
      </c>
      <c r="BB15" s="21">
        <f t="shared" si="33"/>
        <v>0</v>
      </c>
      <c r="BC15" s="21">
        <f t="shared" si="34"/>
        <v>0</v>
      </c>
      <c r="BD15" s="21">
        <f t="shared" si="34"/>
        <v>0</v>
      </c>
      <c r="BE15" s="24">
        <f t="shared" si="35"/>
        <v>0</v>
      </c>
      <c r="BF15" s="96">
        <f t="shared" si="6"/>
        <v>0</v>
      </c>
      <c r="BG15" s="82">
        <f t="shared" si="7"/>
        <v>0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6776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f t="shared" si="42"/>
        <v>143</v>
      </c>
      <c r="AW16" s="5">
        <v>2.9</v>
      </c>
      <c r="AX16" s="201">
        <f t="shared" si="43"/>
        <v>53</v>
      </c>
      <c r="AY16" s="424">
        <f t="shared" si="5"/>
        <v>136.80000000000001</v>
      </c>
      <c r="AZ16" s="424">
        <f t="shared" si="31"/>
        <v>157.30000000000001</v>
      </c>
      <c r="BA16" s="424">
        <f t="shared" si="32"/>
        <v>153.69999999999999</v>
      </c>
      <c r="BB16" s="21">
        <f t="shared" si="33"/>
        <v>0</v>
      </c>
      <c r="BC16" s="21">
        <f t="shared" si="34"/>
        <v>0</v>
      </c>
      <c r="BD16" s="21">
        <f t="shared" si="34"/>
        <v>0</v>
      </c>
      <c r="BE16" s="24">
        <f t="shared" si="35"/>
        <v>0</v>
      </c>
      <c r="BF16" s="96">
        <f t="shared" si="6"/>
        <v>0</v>
      </c>
      <c r="BG16" s="82">
        <f t="shared" si="7"/>
        <v>0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6776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f t="shared" si="42"/>
        <v>143</v>
      </c>
      <c r="AW17" s="5">
        <v>2.9</v>
      </c>
      <c r="AX17" s="201">
        <f t="shared" si="43"/>
        <v>53</v>
      </c>
      <c r="AY17" s="424">
        <f t="shared" si="5"/>
        <v>136.80000000000001</v>
      </c>
      <c r="AZ17" s="424">
        <f t="shared" si="31"/>
        <v>157.30000000000001</v>
      </c>
      <c r="BA17" s="424">
        <f t="shared" si="32"/>
        <v>153.69999999999999</v>
      </c>
      <c r="BB17" s="21">
        <f t="shared" si="33"/>
        <v>0</v>
      </c>
      <c r="BC17" s="21">
        <f t="shared" si="34"/>
        <v>0</v>
      </c>
      <c r="BD17" s="21">
        <f t="shared" si="34"/>
        <v>0</v>
      </c>
      <c r="BE17" s="24">
        <f t="shared" si="35"/>
        <v>0</v>
      </c>
      <c r="BF17" s="96">
        <f t="shared" si="6"/>
        <v>0</v>
      </c>
      <c r="BG17" s="82">
        <f t="shared" si="7"/>
        <v>0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6776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143</v>
      </c>
      <c r="AW18" s="5">
        <v>2.9</v>
      </c>
      <c r="AX18" s="201">
        <f t="shared" si="43"/>
        <v>53</v>
      </c>
      <c r="AY18" s="424">
        <f t="shared" si="5"/>
        <v>136.80000000000001</v>
      </c>
      <c r="AZ18" s="424">
        <f t="shared" si="31"/>
        <v>157.30000000000001</v>
      </c>
      <c r="BA18" s="424">
        <f t="shared" si="32"/>
        <v>153.69999999999999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6776</v>
      </c>
      <c r="L19" s="83">
        <f t="shared" si="39"/>
        <v>0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0</v>
      </c>
      <c r="AL19" s="325">
        <f t="shared" si="29"/>
        <v>0</v>
      </c>
      <c r="AM19" s="32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f t="shared" si="4"/>
        <v>152</v>
      </c>
      <c r="AU19" s="423">
        <f t="shared" si="41"/>
        <v>1.1000000000000001</v>
      </c>
      <c r="AV19" s="201">
        <f t="shared" si="42"/>
        <v>143</v>
      </c>
      <c r="AW19" s="5">
        <v>2.9</v>
      </c>
      <c r="AX19" s="201">
        <f t="shared" si="43"/>
        <v>53</v>
      </c>
      <c r="AY19" s="424">
        <f>AS19*AT19</f>
        <v>136.80000000000001</v>
      </c>
      <c r="AZ19" s="424">
        <f>AU19*AV19</f>
        <v>157.30000000000001</v>
      </c>
      <c r="BA19" s="424">
        <f>AW19*AX19</f>
        <v>153.69999999999999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6"/>
        <v>0</v>
      </c>
      <c r="BG19" s="82">
        <f t="shared" si="7"/>
        <v>0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6776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f t="shared" si="18"/>
        <v>152036</v>
      </c>
      <c r="Y20" s="322">
        <f t="shared" si="40"/>
        <v>0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0</v>
      </c>
      <c r="AL20" s="325">
        <f t="shared" si="29"/>
        <v>0</v>
      </c>
      <c r="AM20" s="32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f t="shared" si="4"/>
        <v>152</v>
      </c>
      <c r="AU20" s="423">
        <f t="shared" si="41"/>
        <v>1.1000000000000001</v>
      </c>
      <c r="AV20" s="201">
        <f t="shared" si="42"/>
        <v>143</v>
      </c>
      <c r="AW20" s="5">
        <v>2.9</v>
      </c>
      <c r="AX20" s="201">
        <f t="shared" si="43"/>
        <v>53</v>
      </c>
      <c r="AY20" s="424">
        <f>AS20*AT20</f>
        <v>136.80000000000001</v>
      </c>
      <c r="AZ20" s="424">
        <f>AU20*AV20</f>
        <v>157.30000000000001</v>
      </c>
      <c r="BA20" s="424">
        <f>AW20*AX20</f>
        <v>153.69999999999999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f t="shared" si="36"/>
        <v>620530</v>
      </c>
      <c r="H21" s="5">
        <f t="shared" si="11"/>
        <v>0</v>
      </c>
      <c r="I21" s="5">
        <f t="shared" si="12"/>
        <v>0</v>
      </c>
      <c r="J21" s="332">
        <f t="shared" si="0"/>
        <v>0</v>
      </c>
      <c r="K21" s="5">
        <f>'Swimming Pool quality check '!H21</f>
        <v>6776</v>
      </c>
      <c r="L21" s="83">
        <f t="shared" si="39"/>
        <v>0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152036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0</v>
      </c>
      <c r="AL21" s="325">
        <f t="shared" si="29"/>
        <v>0</v>
      </c>
      <c r="AM21" s="32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f t="shared" si="4"/>
        <v>152</v>
      </c>
      <c r="AU21" s="423">
        <f t="shared" si="41"/>
        <v>1.1000000000000001</v>
      </c>
      <c r="AV21" s="201">
        <f t="shared" si="42"/>
        <v>143</v>
      </c>
      <c r="AW21" s="5">
        <v>2.9</v>
      </c>
      <c r="AX21" s="201">
        <f t="shared" si="43"/>
        <v>53</v>
      </c>
      <c r="AY21" s="424">
        <f>AS21*AT21</f>
        <v>136.80000000000001</v>
      </c>
      <c r="AZ21" s="424">
        <f>AU21*AV21</f>
        <v>157.30000000000001</v>
      </c>
      <c r="BA21" s="424">
        <f>AW21*AX21</f>
        <v>153.69999999999999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620530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6776</v>
      </c>
      <c r="L22" s="83">
        <f t="shared" si="39"/>
        <v>0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f t="shared" si="18"/>
        <v>152036</v>
      </c>
      <c r="Y22" s="322">
        <f t="shared" si="40"/>
        <v>0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f t="shared" si="25"/>
        <v>2206.58</v>
      </c>
      <c r="AH22" s="83">
        <f t="shared" si="26"/>
        <v>0</v>
      </c>
      <c r="AI22" s="83">
        <f t="shared" si="27"/>
        <v>0</v>
      </c>
      <c r="AJ22" s="324">
        <f t="shared" si="28"/>
        <v>0</v>
      </c>
      <c r="AK22" s="325">
        <f t="shared" si="38"/>
        <v>0</v>
      </c>
      <c r="AL22" s="325">
        <f t="shared" si="29"/>
        <v>0</v>
      </c>
      <c r="AM22" s="32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f t="shared" si="48"/>
        <v>152</v>
      </c>
      <c r="AU22" s="423">
        <f t="shared" si="41"/>
        <v>1.1000000000000001</v>
      </c>
      <c r="AV22" s="201">
        <f t="shared" si="42"/>
        <v>143</v>
      </c>
      <c r="AW22" s="5">
        <v>2.9</v>
      </c>
      <c r="AX22" s="201">
        <f t="shared" si="43"/>
        <v>53</v>
      </c>
      <c r="AY22" s="424">
        <f t="shared" si="5"/>
        <v>136.80000000000001</v>
      </c>
      <c r="AZ22" s="424">
        <f t="shared" si="31"/>
        <v>157.30000000000001</v>
      </c>
      <c r="BA22" s="424">
        <f t="shared" si="32"/>
        <v>153.69999999999999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f t="shared" si="36"/>
        <v>620530</v>
      </c>
      <c r="H23" s="5">
        <f t="shared" si="11"/>
        <v>0</v>
      </c>
      <c r="I23" s="5">
        <f t="shared" si="12"/>
        <v>0</v>
      </c>
      <c r="J23" s="332">
        <f t="shared" si="0"/>
        <v>0</v>
      </c>
      <c r="K23" s="5">
        <f>'Swimming Pool quality check '!H23</f>
        <v>6776</v>
      </c>
      <c r="L23" s="273">
        <f t="shared" si="39"/>
        <v>0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152036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2206.58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0</v>
      </c>
      <c r="AL23" s="325">
        <f t="shared" si="29"/>
        <v>0</v>
      </c>
      <c r="AM23" s="32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f t="shared" si="48"/>
        <v>152</v>
      </c>
      <c r="AU23" s="423">
        <f t="shared" si="41"/>
        <v>1.1000000000000001</v>
      </c>
      <c r="AV23" s="201">
        <f t="shared" si="42"/>
        <v>143</v>
      </c>
      <c r="AW23" s="5">
        <v>2.9</v>
      </c>
      <c r="AX23" s="201">
        <f t="shared" si="43"/>
        <v>53</v>
      </c>
      <c r="AY23" s="424">
        <f t="shared" si="5"/>
        <v>136.80000000000001</v>
      </c>
      <c r="AZ23" s="424">
        <f t="shared" si="31"/>
        <v>157.30000000000001</v>
      </c>
      <c r="BA23" s="424">
        <f t="shared" si="32"/>
        <v>153.69999999999999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620530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6776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f t="shared" si="18"/>
        <v>152036</v>
      </c>
      <c r="Y24" s="322">
        <f t="shared" si="40"/>
        <v>0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2206.58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0</v>
      </c>
      <c r="AL24" s="325">
        <f t="shared" si="29"/>
        <v>0</v>
      </c>
      <c r="AM24" s="325">
        <f>'General information '!D24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f t="shared" si="48"/>
        <v>152</v>
      </c>
      <c r="AU24" s="423">
        <f t="shared" si="41"/>
        <v>1.1000000000000001</v>
      </c>
      <c r="AV24" s="201">
        <f t="shared" si="42"/>
        <v>143</v>
      </c>
      <c r="AW24" s="5">
        <v>2.9</v>
      </c>
      <c r="AX24" s="201">
        <f t="shared" si="43"/>
        <v>53</v>
      </c>
      <c r="AY24" s="424">
        <f t="shared" si="5"/>
        <v>136.80000000000001</v>
      </c>
      <c r="AZ24" s="424">
        <f t="shared" si="31"/>
        <v>157.30000000000001</v>
      </c>
      <c r="BA24" s="424">
        <f t="shared" si="32"/>
        <v>153.69999999999999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f t="shared" si="36"/>
        <v>620530</v>
      </c>
      <c r="H25" s="5">
        <f t="shared" si="11"/>
        <v>0</v>
      </c>
      <c r="I25" s="5">
        <f t="shared" si="12"/>
        <v>0</v>
      </c>
      <c r="J25" s="332">
        <f t="shared" si="0"/>
        <v>0</v>
      </c>
      <c r="K25" s="5">
        <f>'Swimming Pool quality check '!H25</f>
        <v>6776</v>
      </c>
      <c r="L25" s="273">
        <f t="shared" si="39"/>
        <v>0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152036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2206.58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0</v>
      </c>
      <c r="AL25" s="325">
        <f t="shared" si="29"/>
        <v>0</v>
      </c>
      <c r="AM25" s="32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f t="shared" si="48"/>
        <v>152</v>
      </c>
      <c r="AU25" s="423">
        <f t="shared" si="41"/>
        <v>1.1000000000000001</v>
      </c>
      <c r="AV25" s="201">
        <f t="shared" si="42"/>
        <v>143</v>
      </c>
      <c r="AW25" s="5">
        <v>2.9</v>
      </c>
      <c r="AX25" s="201">
        <f t="shared" si="43"/>
        <v>53</v>
      </c>
      <c r="AY25" s="424">
        <f t="shared" si="5"/>
        <v>136.80000000000001</v>
      </c>
      <c r="AZ25" s="424">
        <f t="shared" si="31"/>
        <v>157.30000000000001</v>
      </c>
      <c r="BA25" s="424">
        <f t="shared" si="32"/>
        <v>153.69999999999999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620530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6776</v>
      </c>
      <c r="L26" s="273">
        <f t="shared" si="39"/>
        <v>0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152036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2206.58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0</v>
      </c>
      <c r="AL26" s="325">
        <f>SUM(AJ26-W26)</f>
        <v>0</v>
      </c>
      <c r="AM26" s="32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152</v>
      </c>
      <c r="AU26" s="423">
        <f t="shared" si="41"/>
        <v>1.1000000000000001</v>
      </c>
      <c r="AV26" s="201">
        <f t="shared" si="42"/>
        <v>143</v>
      </c>
      <c r="AW26" s="5">
        <v>2.9</v>
      </c>
      <c r="AX26" s="201">
        <f t="shared" si="43"/>
        <v>53</v>
      </c>
      <c r="AY26" s="424">
        <f t="shared" si="5"/>
        <v>136.80000000000001</v>
      </c>
      <c r="AZ26" s="424">
        <f t="shared" si="31"/>
        <v>157.30000000000001</v>
      </c>
      <c r="BA26" s="424">
        <f t="shared" si="32"/>
        <v>153.69999999999999</v>
      </c>
      <c r="BB26" s="21">
        <f>AY26-AY25</f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f t="shared" si="36"/>
        <v>620530</v>
      </c>
      <c r="H27" s="5">
        <f t="shared" si="11"/>
        <v>0</v>
      </c>
      <c r="I27" s="5">
        <f t="shared" si="12"/>
        <v>0</v>
      </c>
      <c r="J27" s="332">
        <f t="shared" si="0"/>
        <v>0</v>
      </c>
      <c r="K27" s="5">
        <f>'Swimming Pool quality check '!H27</f>
        <v>6776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152036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2206.58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f t="shared" si="48"/>
        <v>152</v>
      </c>
      <c r="AU27" s="423">
        <f t="shared" si="41"/>
        <v>1.1000000000000001</v>
      </c>
      <c r="AV27" s="201">
        <f t="shared" si="42"/>
        <v>143</v>
      </c>
      <c r="AW27" s="5">
        <v>2.9</v>
      </c>
      <c r="AX27" s="201">
        <f t="shared" si="43"/>
        <v>53</v>
      </c>
      <c r="AY27" s="424">
        <f t="shared" si="5"/>
        <v>136.80000000000001</v>
      </c>
      <c r="AZ27" s="424">
        <f t="shared" si="31"/>
        <v>157.30000000000001</v>
      </c>
      <c r="BA27" s="424">
        <f t="shared" si="32"/>
        <v>153.69999999999999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620530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6776</v>
      </c>
      <c r="L28" s="273">
        <f t="shared" si="39"/>
        <v>0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152036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2206.58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0</v>
      </c>
      <c r="AL28" s="325">
        <f t="shared" si="29"/>
        <v>0</v>
      </c>
      <c r="AM28" s="32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f t="shared" si="48"/>
        <v>152</v>
      </c>
      <c r="AU28" s="423">
        <f t="shared" si="41"/>
        <v>1.1000000000000001</v>
      </c>
      <c r="AV28" s="201">
        <f t="shared" si="42"/>
        <v>143</v>
      </c>
      <c r="AW28" s="5">
        <v>2.9</v>
      </c>
      <c r="AX28" s="201">
        <f t="shared" si="43"/>
        <v>53</v>
      </c>
      <c r="AY28" s="424">
        <f t="shared" si="5"/>
        <v>136.80000000000001</v>
      </c>
      <c r="AZ28" s="424">
        <f t="shared" si="31"/>
        <v>157.30000000000001</v>
      </c>
      <c r="BA28" s="424">
        <f t="shared" si="32"/>
        <v>153.69999999999999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f t="shared" si="36"/>
        <v>620530</v>
      </c>
      <c r="H29" s="5">
        <f t="shared" si="11"/>
        <v>0</v>
      </c>
      <c r="I29" s="5">
        <f t="shared" si="12"/>
        <v>0</v>
      </c>
      <c r="J29" s="332">
        <f t="shared" si="0"/>
        <v>0</v>
      </c>
      <c r="K29" s="5">
        <f>'Swimming Pool quality check '!H29</f>
        <v>6776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f t="shared" si="16"/>
        <v>474</v>
      </c>
      <c r="W29" s="322">
        <f t="shared" si="17"/>
        <v>0</v>
      </c>
      <c r="X29" s="5">
        <f t="shared" si="18"/>
        <v>152036</v>
      </c>
      <c r="Y29" s="322">
        <f t="shared" si="40"/>
        <v>0</v>
      </c>
      <c r="Z29" s="5">
        <f t="shared" si="19"/>
        <v>98847</v>
      </c>
      <c r="AA29" s="83">
        <f t="shared" si="20"/>
        <v>0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f t="shared" si="23"/>
        <v>229.86</v>
      </c>
      <c r="AF29" s="83">
        <f t="shared" si="24"/>
        <v>0</v>
      </c>
      <c r="AG29" s="5">
        <f t="shared" si="25"/>
        <v>2206.58</v>
      </c>
      <c r="AH29" s="83">
        <f t="shared" si="26"/>
        <v>0</v>
      </c>
      <c r="AI29" s="83">
        <f t="shared" si="27"/>
        <v>0</v>
      </c>
      <c r="AJ29" s="324">
        <f t="shared" si="28"/>
        <v>0</v>
      </c>
      <c r="AK29" s="325">
        <f t="shared" si="38"/>
        <v>0</v>
      </c>
      <c r="AL29" s="325">
        <f t="shared" si="29"/>
        <v>0</v>
      </c>
      <c r="AM29" s="32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f t="shared" si="48"/>
        <v>152</v>
      </c>
      <c r="AU29" s="423">
        <f t="shared" si="41"/>
        <v>1.1000000000000001</v>
      </c>
      <c r="AV29" s="201">
        <f t="shared" si="42"/>
        <v>143</v>
      </c>
      <c r="AW29" s="5">
        <v>2.9</v>
      </c>
      <c r="AX29" s="201">
        <f t="shared" si="43"/>
        <v>53</v>
      </c>
      <c r="AY29" s="424">
        <f t="shared" si="5"/>
        <v>136.80000000000001</v>
      </c>
      <c r="AZ29" s="424">
        <f t="shared" si="31"/>
        <v>157.30000000000001</v>
      </c>
      <c r="BA29" s="424">
        <f t="shared" si="32"/>
        <v>153.69999999999999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620530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6776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474</v>
      </c>
      <c r="W30" s="322">
        <f t="shared" si="17"/>
        <v>0</v>
      </c>
      <c r="X30" s="5">
        <f t="shared" si="18"/>
        <v>152036</v>
      </c>
      <c r="Y30" s="322">
        <f t="shared" si="40"/>
        <v>0</v>
      </c>
      <c r="Z30" s="5">
        <f t="shared" si="19"/>
        <v>98847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229.86</v>
      </c>
      <c r="AF30" s="83">
        <f t="shared" si="24"/>
        <v>0</v>
      </c>
      <c r="AG30" s="5">
        <f t="shared" si="25"/>
        <v>2206.58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f t="shared" si="48"/>
        <v>152</v>
      </c>
      <c r="AU30" s="423">
        <f t="shared" si="41"/>
        <v>1.1000000000000001</v>
      </c>
      <c r="AV30" s="201">
        <f t="shared" si="42"/>
        <v>143</v>
      </c>
      <c r="AW30" s="5">
        <v>2.9</v>
      </c>
      <c r="AX30" s="201">
        <f t="shared" si="43"/>
        <v>53</v>
      </c>
      <c r="AY30" s="424">
        <f t="shared" si="5"/>
        <v>136.80000000000001</v>
      </c>
      <c r="AZ30" s="424">
        <f t="shared" si="31"/>
        <v>157.30000000000001</v>
      </c>
      <c r="BA30" s="424">
        <f t="shared" si="32"/>
        <v>153.69999999999999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f t="shared" si="36"/>
        <v>620530</v>
      </c>
      <c r="H31" s="5">
        <f t="shared" si="11"/>
        <v>0</v>
      </c>
      <c r="I31" s="5">
        <f t="shared" si="12"/>
        <v>0</v>
      </c>
      <c r="J31" s="332">
        <f t="shared" si="0"/>
        <v>0</v>
      </c>
      <c r="K31" s="5">
        <f>'Swimming Pool quality check '!H31</f>
        <v>6776</v>
      </c>
      <c r="L31" s="273">
        <f t="shared" si="39"/>
        <v>0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474</v>
      </c>
      <c r="W31" s="322">
        <f t="shared" si="17"/>
        <v>0</v>
      </c>
      <c r="X31" s="5">
        <f t="shared" si="18"/>
        <v>152036</v>
      </c>
      <c r="Y31" s="322">
        <f t="shared" si="40"/>
        <v>0</v>
      </c>
      <c r="Z31" s="5">
        <f t="shared" si="19"/>
        <v>98847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229.86</v>
      </c>
      <c r="AF31" s="83">
        <f t="shared" si="24"/>
        <v>0</v>
      </c>
      <c r="AG31" s="5">
        <f t="shared" si="25"/>
        <v>2206.58</v>
      </c>
      <c r="AH31" s="83">
        <f>AG31-AG30</f>
        <v>0</v>
      </c>
      <c r="AI31" s="83">
        <f>AF31+AH31</f>
        <v>0</v>
      </c>
      <c r="AJ31" s="324">
        <f t="shared" si="28"/>
        <v>0</v>
      </c>
      <c r="AK31" s="325">
        <f t="shared" si="38"/>
        <v>0</v>
      </c>
      <c r="AL31" s="325">
        <f t="shared" si="29"/>
        <v>0</v>
      </c>
      <c r="AM31" s="32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6">
        <f t="shared" si="30"/>
        <v>44373</v>
      </c>
      <c r="AS31" s="422">
        <f t="shared" si="48"/>
        <v>0.9</v>
      </c>
      <c r="AT31" s="201">
        <f t="shared" si="48"/>
        <v>152</v>
      </c>
      <c r="AU31" s="423">
        <f t="shared" si="41"/>
        <v>1.1000000000000001</v>
      </c>
      <c r="AV31" s="201">
        <f t="shared" si="42"/>
        <v>143</v>
      </c>
      <c r="AW31" s="5">
        <v>2.9</v>
      </c>
      <c r="AX31" s="201">
        <f t="shared" si="43"/>
        <v>53</v>
      </c>
      <c r="AY31" s="424">
        <f t="shared" si="5"/>
        <v>136.80000000000001</v>
      </c>
      <c r="AZ31" s="424">
        <f t="shared" si="31"/>
        <v>157.30000000000001</v>
      </c>
      <c r="BA31" s="424">
        <f t="shared" si="32"/>
        <v>153.69999999999999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f t="shared" si="36"/>
        <v>620530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6776</v>
      </c>
      <c r="L32" s="273">
        <f t="shared" si="39"/>
        <v>0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474</v>
      </c>
      <c r="W32" s="322">
        <f t="shared" si="17"/>
        <v>0</v>
      </c>
      <c r="X32" s="5">
        <f t="shared" si="18"/>
        <v>152036</v>
      </c>
      <c r="Y32" s="322">
        <f t="shared" si="40"/>
        <v>0</v>
      </c>
      <c r="Z32" s="5">
        <f t="shared" si="19"/>
        <v>98847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229.86</v>
      </c>
      <c r="AF32" s="83">
        <f t="shared" si="24"/>
        <v>0</v>
      </c>
      <c r="AG32" s="5">
        <f t="shared" si="25"/>
        <v>2206.58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0</v>
      </c>
      <c r="AL32" s="325">
        <f t="shared" si="29"/>
        <v>0</v>
      </c>
      <c r="AM32" s="32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f t="shared" si="48"/>
        <v>152</v>
      </c>
      <c r="AU32" s="423">
        <f t="shared" si="41"/>
        <v>1.1000000000000001</v>
      </c>
      <c r="AV32" s="201">
        <f t="shared" si="42"/>
        <v>143</v>
      </c>
      <c r="AW32" s="5">
        <v>2.9</v>
      </c>
      <c r="AX32" s="201">
        <f t="shared" si="43"/>
        <v>53</v>
      </c>
      <c r="AY32" s="424">
        <f t="shared" si="5"/>
        <v>136.80000000000001</v>
      </c>
      <c r="AZ32" s="424">
        <f t="shared" si="31"/>
        <v>157.30000000000001</v>
      </c>
      <c r="BA32" s="424">
        <f t="shared" si="32"/>
        <v>153.69999999999999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f t="shared" si="36"/>
        <v>620530</v>
      </c>
      <c r="H33" s="5">
        <f t="shared" si="11"/>
        <v>0</v>
      </c>
      <c r="I33" s="5">
        <f t="shared" si="12"/>
        <v>0</v>
      </c>
      <c r="J33" s="332">
        <f t="shared" si="0"/>
        <v>0</v>
      </c>
      <c r="K33" s="5">
        <f>'Swimming Pool quality check '!H33</f>
        <v>6776</v>
      </c>
      <c r="L33" s="273">
        <f t="shared" si="39"/>
        <v>0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474</v>
      </c>
      <c r="W33" s="322">
        <f t="shared" si="17"/>
        <v>0</v>
      </c>
      <c r="X33" s="5">
        <f t="shared" si="18"/>
        <v>152036</v>
      </c>
      <c r="Y33" s="322">
        <f t="shared" si="40"/>
        <v>0</v>
      </c>
      <c r="Z33" s="5">
        <f t="shared" si="19"/>
        <v>98847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229.86</v>
      </c>
      <c r="AF33" s="83">
        <f>AE33-AE32</f>
        <v>0</v>
      </c>
      <c r="AG33" s="5">
        <f t="shared" si="25"/>
        <v>2206.58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0</v>
      </c>
      <c r="AL33" s="325">
        <f t="shared" si="29"/>
        <v>0</v>
      </c>
      <c r="AM33" s="32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f t="shared" si="48"/>
        <v>152</v>
      </c>
      <c r="AU33" s="423">
        <f t="shared" si="41"/>
        <v>1.1000000000000001</v>
      </c>
      <c r="AV33" s="201">
        <f t="shared" si="42"/>
        <v>143</v>
      </c>
      <c r="AW33" s="5">
        <v>2.9</v>
      </c>
      <c r="AX33" s="201">
        <f t="shared" si="43"/>
        <v>53</v>
      </c>
      <c r="AY33" s="424">
        <f t="shared" si="5"/>
        <v>136.80000000000001</v>
      </c>
      <c r="AZ33" s="424">
        <f t="shared" si="31"/>
        <v>157.30000000000001</v>
      </c>
      <c r="BA33" s="424">
        <f t="shared" si="32"/>
        <v>153.69999999999999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620530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6776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474</v>
      </c>
      <c r="W34" s="322">
        <f>+V34-V33</f>
        <v>0</v>
      </c>
      <c r="X34" s="5">
        <f t="shared" si="18"/>
        <v>152036</v>
      </c>
      <c r="Y34" s="322">
        <f>SUM(X34-X33)</f>
        <v>0</v>
      </c>
      <c r="Z34" s="5">
        <f t="shared" si="19"/>
        <v>98847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229.86</v>
      </c>
      <c r="AF34" s="83">
        <f>AE34-AE33</f>
        <v>0</v>
      </c>
      <c r="AG34" s="5">
        <f t="shared" si="25"/>
        <v>2206.58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152</v>
      </c>
      <c r="AU34" s="423">
        <f>AU33</f>
        <v>1.1000000000000001</v>
      </c>
      <c r="AV34" s="201">
        <f t="shared" si="42"/>
        <v>143</v>
      </c>
      <c r="AW34" s="5">
        <v>2.9</v>
      </c>
      <c r="AX34" s="201">
        <f t="shared" si="43"/>
        <v>53</v>
      </c>
      <c r="AY34" s="424">
        <f t="shared" si="5"/>
        <v>136.80000000000001</v>
      </c>
      <c r="AZ34" s="424">
        <f>AU34*AV34</f>
        <v>157.30000000000001</v>
      </c>
      <c r="BA34" s="424">
        <f>AW34*AX34</f>
        <v>153.69999999999999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620530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6776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474</v>
      </c>
      <c r="W35" s="322">
        <f>+V35-V34</f>
        <v>0</v>
      </c>
      <c r="X35" s="5">
        <f t="shared" si="18"/>
        <v>152036</v>
      </c>
      <c r="Y35" s="322">
        <f>SUM(X35-X34)</f>
        <v>0</v>
      </c>
      <c r="Z35" s="5">
        <f t="shared" si="19"/>
        <v>98847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229.86</v>
      </c>
      <c r="AF35" s="83">
        <f>AE35-AE34</f>
        <v>0</v>
      </c>
      <c r="AG35" s="5">
        <f t="shared" si="25"/>
        <v>2206.58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152</v>
      </c>
      <c r="AU35" s="423">
        <f>AU34</f>
        <v>1.1000000000000001</v>
      </c>
      <c r="AV35" s="201">
        <f t="shared" si="42"/>
        <v>143</v>
      </c>
      <c r="AW35" s="5">
        <v>2.9</v>
      </c>
      <c r="AX35" s="201">
        <f t="shared" si="43"/>
        <v>53</v>
      </c>
      <c r="AY35" s="424">
        <f t="shared" si="5"/>
        <v>136.80000000000001</v>
      </c>
      <c r="AZ35" s="424">
        <f>AU35*AV35</f>
        <v>157.30000000000001</v>
      </c>
      <c r="BA35" s="424">
        <f>AW35*AX35</f>
        <v>153.69999999999999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109</v>
      </c>
      <c r="I36" s="410">
        <f>SUM(I6:I35)</f>
        <v>109</v>
      </c>
      <c r="L36" s="268">
        <f>SUM(L7:L35)</f>
        <v>1</v>
      </c>
      <c r="Q36" s="488">
        <f>SUM(Q5:Q35)</f>
        <v>0</v>
      </c>
      <c r="U36" s="407">
        <f>SUM(U6:U35)</f>
        <v>1</v>
      </c>
      <c r="X36" s="321"/>
      <c r="Y36" s="320" t="e">
        <f>SUM(Y6,Y33,Y31,Y29,Y27,Y25,Y23,Y21,Y19,Y17,Y15,Y13,Y11,Y9,Y7,Y34,Y35,#REF!)</f>
        <v>#REF!</v>
      </c>
      <c r="AJ36" s="320">
        <f>SUM(AJ6:AJ35)</f>
        <v>0</v>
      </c>
      <c r="AK36" s="325" t="e">
        <f>SUM(Y36-L36)</f>
        <v>#REF!</v>
      </c>
      <c r="AL36" s="320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109</v>
      </c>
      <c r="Z37" s="320" t="e">
        <f>SUM(Y36:AJ36)</f>
        <v>#REF!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109</v>
      </c>
      <c r="H38" s="1">
        <f>SUM(H37+C37)</f>
        <v>7500</v>
      </c>
      <c r="K38" s="1">
        <f>SUM(H38/G38)</f>
        <v>68.807339449541288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B1" zoomScale="110" zoomScaleNormal="110" workbookViewId="0">
      <pane ySplit="1" topLeftCell="A2" activePane="bottomLeft" state="frozen"/>
      <selection pane="bottomLeft" activeCell="U8" sqref="U8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12342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12342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.7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12342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.7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12342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.7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12342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.7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12342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.7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12342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.75" thickBot="1">
      <c r="A9" s="4">
        <f>ELEC!C10</f>
        <v>44354</v>
      </c>
      <c r="B9" s="530">
        <f t="shared" ref="B8:B32" si="28">B8</f>
        <v>10176</v>
      </c>
      <c r="C9" s="286">
        <f t="shared" si="9"/>
        <v>0</v>
      </c>
      <c r="D9" s="531">
        <f t="shared" ref="D8:D32" si="29">D8</f>
        <v>423923</v>
      </c>
      <c r="E9" s="286">
        <f t="shared" si="10"/>
        <v>0</v>
      </c>
      <c r="F9" s="286">
        <f t="shared" si="0"/>
        <v>0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f t="shared" ref="R8:R32" si="30">R8</f>
        <v>12306</v>
      </c>
      <c r="S9" s="286">
        <f t="shared" si="4"/>
        <v>0</v>
      </c>
      <c r="T9" s="531">
        <f t="shared" si="27"/>
        <v>377090</v>
      </c>
      <c r="U9" s="286">
        <f t="shared" si="17"/>
        <v>0</v>
      </c>
      <c r="V9" s="286">
        <v>250</v>
      </c>
      <c r="W9" s="196"/>
      <c r="X9" s="287">
        <f t="shared" si="18"/>
        <v>12342</v>
      </c>
      <c r="Y9" s="286" t="str">
        <f t="shared" si="5"/>
        <v>ok</v>
      </c>
      <c r="Z9" s="286">
        <f t="shared" si="6"/>
        <v>0</v>
      </c>
      <c r="AA9" s="286">
        <f t="shared" si="19"/>
        <v>0</v>
      </c>
      <c r="AB9" s="286">
        <f t="shared" si="20"/>
        <v>250</v>
      </c>
      <c r="AC9" s="286">
        <f t="shared" si="21"/>
        <v>0</v>
      </c>
      <c r="AD9" s="73">
        <f>ELEC!Q10</f>
        <v>0</v>
      </c>
      <c r="AE9" s="73" t="e">
        <f t="shared" si="23"/>
        <v>#DIV/0!</v>
      </c>
      <c r="AF9" s="401" t="e">
        <f t="shared" si="24"/>
        <v>#DIV/0!</v>
      </c>
      <c r="AG9" s="402" t="e">
        <f t="shared" si="25"/>
        <v>#DIV/0!</v>
      </c>
      <c r="AH9" s="402" t="e">
        <f t="shared" si="22"/>
        <v>#DIV/0!</v>
      </c>
      <c r="AI9" s="73">
        <f t="shared" si="26"/>
        <v>0</v>
      </c>
      <c r="AJ9" s="288">
        <f t="shared" si="7"/>
        <v>0.25738396624472576</v>
      </c>
      <c r="AK9" s="288" t="e">
        <f t="shared" si="8"/>
        <v>#DIV/0!</v>
      </c>
    </row>
    <row r="10" spans="1:37" ht="15.75" thickBot="1">
      <c r="A10" s="4">
        <f>ELEC!C11</f>
        <v>44355</v>
      </c>
      <c r="B10" s="530">
        <f t="shared" si="28"/>
        <v>10176</v>
      </c>
      <c r="C10" s="286">
        <f t="shared" si="9"/>
        <v>0</v>
      </c>
      <c r="D10" s="531">
        <f t="shared" si="29"/>
        <v>423923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f t="shared" si="30"/>
        <v>12306</v>
      </c>
      <c r="S10" s="286">
        <f t="shared" si="4"/>
        <v>0</v>
      </c>
      <c r="T10" s="531">
        <f t="shared" si="27"/>
        <v>377090</v>
      </c>
      <c r="U10" s="286">
        <f t="shared" si="17"/>
        <v>0</v>
      </c>
      <c r="V10" s="286">
        <v>250</v>
      </c>
      <c r="W10" s="336"/>
      <c r="X10" s="287">
        <f t="shared" si="18"/>
        <v>12342</v>
      </c>
      <c r="Y10" s="286" t="str">
        <f t="shared" ref="Y10:Y20" si="31">IF(R10-X10&lt;=0,"ok","oil change")</f>
        <v>ok</v>
      </c>
      <c r="Z10" s="286">
        <f t="shared" si="6"/>
        <v>0</v>
      </c>
      <c r="AA10" s="286">
        <f t="shared" si="19"/>
        <v>0</v>
      </c>
      <c r="AB10" s="286">
        <f t="shared" si="20"/>
        <v>250</v>
      </c>
      <c r="AC10" s="286">
        <f t="shared" si="21"/>
        <v>0</v>
      </c>
      <c r="AD10" s="73">
        <f>ELEC!Q11</f>
        <v>0</v>
      </c>
      <c r="AE10" s="73" t="e">
        <f t="shared" si="23"/>
        <v>#DIV/0!</v>
      </c>
      <c r="AF10" s="401" t="e">
        <f t="shared" si="24"/>
        <v>#DIV/0!</v>
      </c>
      <c r="AG10" s="402" t="e">
        <f t="shared" si="25"/>
        <v>#DIV/0!</v>
      </c>
      <c r="AH10" s="402" t="e">
        <f t="shared" si="22"/>
        <v>#DIV/0!</v>
      </c>
      <c r="AI10" s="73">
        <f t="shared" si="26"/>
        <v>0</v>
      </c>
      <c r="AJ10" s="288">
        <f t="shared" si="7"/>
        <v>0.25738396624472576</v>
      </c>
      <c r="AK10" s="288" t="e">
        <f t="shared" si="8"/>
        <v>#DIV/0!</v>
      </c>
    </row>
    <row r="11" spans="1:37" ht="15.75" thickBot="1">
      <c r="A11" s="4">
        <f>ELEC!C12</f>
        <v>44356</v>
      </c>
      <c r="B11" s="530">
        <f t="shared" si="28"/>
        <v>10176</v>
      </c>
      <c r="C11" s="286">
        <f t="shared" si="9"/>
        <v>0</v>
      </c>
      <c r="D11" s="531">
        <f t="shared" si="29"/>
        <v>423923</v>
      </c>
      <c r="E11" s="286">
        <f t="shared" si="10"/>
        <v>0</v>
      </c>
      <c r="F11" s="286">
        <f t="shared" si="0"/>
        <v>0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f t="shared" si="30"/>
        <v>12306</v>
      </c>
      <c r="S11" s="286">
        <f t="shared" si="4"/>
        <v>0</v>
      </c>
      <c r="T11" s="531">
        <f t="shared" si="27"/>
        <v>377090</v>
      </c>
      <c r="U11" s="286">
        <f t="shared" si="17"/>
        <v>0</v>
      </c>
      <c r="V11" s="286">
        <v>250</v>
      </c>
      <c r="W11" s="336"/>
      <c r="X11" s="287">
        <f t="shared" si="18"/>
        <v>12342</v>
      </c>
      <c r="Y11" s="286" t="str">
        <f t="shared" si="31"/>
        <v>ok</v>
      </c>
      <c r="Z11" s="286">
        <f t="shared" si="6"/>
        <v>0</v>
      </c>
      <c r="AA11" s="286">
        <f t="shared" si="19"/>
        <v>0</v>
      </c>
      <c r="AB11" s="286">
        <f t="shared" si="20"/>
        <v>250</v>
      </c>
      <c r="AC11" s="286">
        <f t="shared" si="21"/>
        <v>0</v>
      </c>
      <c r="AD11" s="73">
        <f>ELEC!Q12</f>
        <v>0</v>
      </c>
      <c r="AE11" s="73" t="e">
        <f t="shared" si="23"/>
        <v>#DIV/0!</v>
      </c>
      <c r="AF11" s="401" t="e">
        <f t="shared" si="24"/>
        <v>#DIV/0!</v>
      </c>
      <c r="AG11" s="402" t="e">
        <f t="shared" si="25"/>
        <v>#DIV/0!</v>
      </c>
      <c r="AH11" s="402" t="e">
        <f t="shared" si="22"/>
        <v>#DIV/0!</v>
      </c>
      <c r="AI11" s="73">
        <f t="shared" si="26"/>
        <v>0</v>
      </c>
      <c r="AJ11" s="288">
        <f t="shared" si="7"/>
        <v>0.25738396624472576</v>
      </c>
      <c r="AK11" s="288" t="e">
        <f t="shared" si="8"/>
        <v>#DIV/0!</v>
      </c>
    </row>
    <row r="12" spans="1:37" ht="15.75" thickBot="1">
      <c r="A12" s="4">
        <f>ELEC!C13</f>
        <v>44357</v>
      </c>
      <c r="B12" s="530">
        <f t="shared" si="28"/>
        <v>10176</v>
      </c>
      <c r="C12" s="286">
        <f t="shared" si="9"/>
        <v>0</v>
      </c>
      <c r="D12" s="531">
        <f t="shared" si="29"/>
        <v>423923</v>
      </c>
      <c r="E12" s="286">
        <f t="shared" si="10"/>
        <v>0</v>
      </c>
      <c r="F12" s="286">
        <f t="shared" si="0"/>
        <v>0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f t="shared" si="30"/>
        <v>12306</v>
      </c>
      <c r="S12" s="286">
        <f t="shared" si="4"/>
        <v>0</v>
      </c>
      <c r="T12" s="531">
        <f t="shared" si="27"/>
        <v>377090</v>
      </c>
      <c r="U12" s="286">
        <f t="shared" si="17"/>
        <v>0</v>
      </c>
      <c r="V12" s="286">
        <v>250</v>
      </c>
      <c r="W12" s="336"/>
      <c r="X12" s="287">
        <f t="shared" si="18"/>
        <v>12342</v>
      </c>
      <c r="Y12" s="286" t="str">
        <f t="shared" si="31"/>
        <v>ok</v>
      </c>
      <c r="Z12" s="286">
        <f t="shared" si="6"/>
        <v>0</v>
      </c>
      <c r="AA12" s="286">
        <f t="shared" si="19"/>
        <v>0</v>
      </c>
      <c r="AB12" s="286">
        <f t="shared" si="20"/>
        <v>250</v>
      </c>
      <c r="AC12" s="286">
        <f t="shared" si="21"/>
        <v>0</v>
      </c>
      <c r="AD12" s="73">
        <f>ELEC!Q13</f>
        <v>0</v>
      </c>
      <c r="AE12" s="73" t="e">
        <f t="shared" si="23"/>
        <v>#DIV/0!</v>
      </c>
      <c r="AF12" s="401" t="e">
        <f t="shared" si="24"/>
        <v>#DIV/0!</v>
      </c>
      <c r="AG12" s="402" t="e">
        <f t="shared" si="25"/>
        <v>#DIV/0!</v>
      </c>
      <c r="AH12" s="402" t="e">
        <f t="shared" si="22"/>
        <v>#DIV/0!</v>
      </c>
      <c r="AI12" s="73">
        <f t="shared" si="26"/>
        <v>0</v>
      </c>
      <c r="AJ12" s="288">
        <f t="shared" si="7"/>
        <v>0.25738396624472576</v>
      </c>
      <c r="AK12" s="288" t="e">
        <f t="shared" si="8"/>
        <v>#DIV/0!</v>
      </c>
    </row>
    <row r="13" spans="1:37" ht="15.75" thickBot="1">
      <c r="A13" s="4">
        <f>ELEC!C14</f>
        <v>44358</v>
      </c>
      <c r="B13" s="530">
        <f t="shared" si="28"/>
        <v>10176</v>
      </c>
      <c r="C13" s="286">
        <f t="shared" si="9"/>
        <v>0</v>
      </c>
      <c r="D13" s="531">
        <f t="shared" si="29"/>
        <v>423923</v>
      </c>
      <c r="E13" s="286">
        <f t="shared" si="10"/>
        <v>0</v>
      </c>
      <c r="F13" s="286">
        <f t="shared" si="0"/>
        <v>0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f t="shared" si="30"/>
        <v>12306</v>
      </c>
      <c r="S13" s="286">
        <f t="shared" si="4"/>
        <v>0</v>
      </c>
      <c r="T13" s="531">
        <f t="shared" si="27"/>
        <v>377090</v>
      </c>
      <c r="U13" s="286">
        <f t="shared" si="17"/>
        <v>0</v>
      </c>
      <c r="V13" s="286">
        <v>250</v>
      </c>
      <c r="W13" s="336"/>
      <c r="X13" s="287">
        <f t="shared" si="18"/>
        <v>12342</v>
      </c>
      <c r="Y13" s="286" t="str">
        <f t="shared" si="31"/>
        <v>ok</v>
      </c>
      <c r="Z13" s="286">
        <f t="shared" si="6"/>
        <v>0</v>
      </c>
      <c r="AA13" s="286">
        <f t="shared" si="19"/>
        <v>0</v>
      </c>
      <c r="AB13" s="286">
        <f t="shared" si="20"/>
        <v>250</v>
      </c>
      <c r="AC13" s="286">
        <f t="shared" si="21"/>
        <v>0</v>
      </c>
      <c r="AD13" s="73">
        <f>ELEC!Q14</f>
        <v>0</v>
      </c>
      <c r="AE13" s="73" t="e">
        <f t="shared" si="23"/>
        <v>#DIV/0!</v>
      </c>
      <c r="AF13" s="401" t="e">
        <f t="shared" si="24"/>
        <v>#DIV/0!</v>
      </c>
      <c r="AG13" s="402" t="e">
        <f t="shared" si="25"/>
        <v>#DIV/0!</v>
      </c>
      <c r="AH13" s="402" t="e">
        <f t="shared" si="22"/>
        <v>#DIV/0!</v>
      </c>
      <c r="AI13" s="73">
        <f t="shared" si="26"/>
        <v>0</v>
      </c>
      <c r="AJ13" s="288">
        <f t="shared" si="7"/>
        <v>0.25738396624472576</v>
      </c>
      <c r="AK13" s="288" t="e">
        <f t="shared" si="8"/>
        <v>#DIV/0!</v>
      </c>
    </row>
    <row r="14" spans="1:37" ht="15.75" thickBot="1">
      <c r="A14" s="4">
        <f>ELEC!C15</f>
        <v>44359</v>
      </c>
      <c r="B14" s="530">
        <f t="shared" si="28"/>
        <v>10176</v>
      </c>
      <c r="C14" s="286">
        <f t="shared" si="9"/>
        <v>0</v>
      </c>
      <c r="D14" s="531">
        <f t="shared" si="29"/>
        <v>423923</v>
      </c>
      <c r="E14" s="286">
        <f t="shared" si="10"/>
        <v>0</v>
      </c>
      <c r="F14" s="286">
        <f t="shared" si="0"/>
        <v>0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f t="shared" si="30"/>
        <v>12306</v>
      </c>
      <c r="S14" s="286">
        <f t="shared" si="4"/>
        <v>0</v>
      </c>
      <c r="T14" s="531">
        <f t="shared" si="27"/>
        <v>377090</v>
      </c>
      <c r="U14" s="286">
        <f t="shared" si="17"/>
        <v>0</v>
      </c>
      <c r="V14" s="286">
        <v>250</v>
      </c>
      <c r="W14" s="336"/>
      <c r="X14" s="287">
        <f t="shared" si="18"/>
        <v>12342</v>
      </c>
      <c r="Y14" s="286" t="str">
        <f t="shared" si="31"/>
        <v>ok</v>
      </c>
      <c r="Z14" s="286">
        <f t="shared" si="6"/>
        <v>0</v>
      </c>
      <c r="AA14" s="286">
        <f t="shared" si="19"/>
        <v>0</v>
      </c>
      <c r="AB14" s="286">
        <f t="shared" si="20"/>
        <v>250</v>
      </c>
      <c r="AC14" s="286">
        <f t="shared" si="21"/>
        <v>0</v>
      </c>
      <c r="AD14" s="73">
        <f>ELEC!Q15</f>
        <v>0</v>
      </c>
      <c r="AE14" s="73" t="e">
        <f t="shared" si="23"/>
        <v>#DIV/0!</v>
      </c>
      <c r="AF14" s="401" t="e">
        <f t="shared" si="24"/>
        <v>#DIV/0!</v>
      </c>
      <c r="AG14" s="402" t="e">
        <f t="shared" si="25"/>
        <v>#DIV/0!</v>
      </c>
      <c r="AH14" s="402" t="e">
        <f t="shared" si="22"/>
        <v>#DIV/0!</v>
      </c>
      <c r="AI14" s="73">
        <f t="shared" si="26"/>
        <v>0</v>
      </c>
      <c r="AJ14" s="288">
        <f t="shared" si="7"/>
        <v>0.25738396624472576</v>
      </c>
      <c r="AK14" s="288" t="e">
        <f t="shared" si="8"/>
        <v>#DIV/0!</v>
      </c>
    </row>
    <row r="15" spans="1:37" ht="15.75" thickBot="1">
      <c r="A15" s="4">
        <f>ELEC!C16</f>
        <v>44360</v>
      </c>
      <c r="B15" s="530">
        <f t="shared" si="28"/>
        <v>10176</v>
      </c>
      <c r="C15" s="286">
        <f t="shared" si="9"/>
        <v>0</v>
      </c>
      <c r="D15" s="531">
        <f t="shared" si="29"/>
        <v>423923</v>
      </c>
      <c r="E15" s="286">
        <f t="shared" si="10"/>
        <v>0</v>
      </c>
      <c r="F15" s="286">
        <f t="shared" si="0"/>
        <v>0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f t="shared" si="30"/>
        <v>12306</v>
      </c>
      <c r="S15" s="286">
        <f t="shared" si="4"/>
        <v>0</v>
      </c>
      <c r="T15" s="531">
        <f t="shared" si="27"/>
        <v>377090</v>
      </c>
      <c r="U15" s="286">
        <f t="shared" si="17"/>
        <v>0</v>
      </c>
      <c r="V15" s="286">
        <v>250</v>
      </c>
      <c r="W15" s="336"/>
      <c r="X15" s="287">
        <f t="shared" si="18"/>
        <v>12342</v>
      </c>
      <c r="Y15" s="286" t="str">
        <f t="shared" si="31"/>
        <v>ok</v>
      </c>
      <c r="Z15" s="286">
        <f t="shared" si="6"/>
        <v>0</v>
      </c>
      <c r="AA15" s="286">
        <f t="shared" si="19"/>
        <v>0</v>
      </c>
      <c r="AB15" s="286">
        <f t="shared" si="20"/>
        <v>250</v>
      </c>
      <c r="AC15" s="286">
        <f t="shared" si="21"/>
        <v>0</v>
      </c>
      <c r="AD15" s="73">
        <f>ELEC!Q16</f>
        <v>0</v>
      </c>
      <c r="AE15" s="73" t="e">
        <f t="shared" si="23"/>
        <v>#DIV/0!</v>
      </c>
      <c r="AF15" s="401" t="e">
        <f t="shared" si="24"/>
        <v>#DIV/0!</v>
      </c>
      <c r="AG15" s="402" t="e">
        <f t="shared" si="25"/>
        <v>#DIV/0!</v>
      </c>
      <c r="AH15" s="402" t="e">
        <f t="shared" si="22"/>
        <v>#DIV/0!</v>
      </c>
      <c r="AI15" s="73">
        <f t="shared" si="26"/>
        <v>0</v>
      </c>
      <c r="AJ15" s="288">
        <f t="shared" si="7"/>
        <v>0.25738396624472576</v>
      </c>
      <c r="AK15" s="288" t="e">
        <f t="shared" si="8"/>
        <v>#DIV/0!</v>
      </c>
    </row>
    <row r="16" spans="1:37" ht="15.75" thickBot="1">
      <c r="A16" s="4">
        <f>ELEC!C17</f>
        <v>44361</v>
      </c>
      <c r="B16" s="530">
        <f t="shared" si="28"/>
        <v>10176</v>
      </c>
      <c r="C16" s="286">
        <f t="shared" si="9"/>
        <v>0</v>
      </c>
      <c r="D16" s="531">
        <f t="shared" si="29"/>
        <v>423923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f t="shared" si="30"/>
        <v>12306</v>
      </c>
      <c r="S16" s="286">
        <f t="shared" si="4"/>
        <v>0</v>
      </c>
      <c r="T16" s="531">
        <f t="shared" si="27"/>
        <v>377090</v>
      </c>
      <c r="U16" s="286">
        <f t="shared" si="17"/>
        <v>0</v>
      </c>
      <c r="V16" s="286">
        <v>250</v>
      </c>
      <c r="W16" s="336"/>
      <c r="X16" s="287">
        <f t="shared" si="18"/>
        <v>12342</v>
      </c>
      <c r="Y16" s="286" t="str">
        <f t="shared" si="31"/>
        <v>ok</v>
      </c>
      <c r="Z16" s="286">
        <f t="shared" si="6"/>
        <v>0</v>
      </c>
      <c r="AA16" s="286">
        <f t="shared" si="19"/>
        <v>0</v>
      </c>
      <c r="AB16" s="286">
        <f t="shared" si="20"/>
        <v>250</v>
      </c>
      <c r="AC16" s="286">
        <f t="shared" si="21"/>
        <v>0</v>
      </c>
      <c r="AD16" s="73">
        <f>ELEC!Q17</f>
        <v>0</v>
      </c>
      <c r="AE16" s="73" t="e">
        <f t="shared" si="23"/>
        <v>#DIV/0!</v>
      </c>
      <c r="AF16" s="401" t="e">
        <f t="shared" si="24"/>
        <v>#DIV/0!</v>
      </c>
      <c r="AG16" s="402" t="e">
        <f t="shared" si="25"/>
        <v>#DIV/0!</v>
      </c>
      <c r="AH16" s="402" t="e">
        <f t="shared" si="22"/>
        <v>#DIV/0!</v>
      </c>
      <c r="AI16" s="73">
        <f t="shared" si="26"/>
        <v>0</v>
      </c>
      <c r="AJ16" s="288">
        <f t="shared" si="7"/>
        <v>0.25738396624472576</v>
      </c>
      <c r="AK16" s="288" t="e">
        <f t="shared" si="8"/>
        <v>#DIV/0!</v>
      </c>
    </row>
    <row r="17" spans="1:37" ht="15.75" thickBot="1">
      <c r="A17" s="4">
        <f>ELEC!C18</f>
        <v>44362</v>
      </c>
      <c r="B17" s="530">
        <f t="shared" si="28"/>
        <v>10176</v>
      </c>
      <c r="C17" s="286">
        <f t="shared" si="9"/>
        <v>0</v>
      </c>
      <c r="D17" s="531">
        <f t="shared" si="29"/>
        <v>423923</v>
      </c>
      <c r="E17" s="286">
        <f t="shared" si="10"/>
        <v>0</v>
      </c>
      <c r="F17" s="286">
        <f t="shared" si="0"/>
        <v>0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531">
        <f t="shared" si="30"/>
        <v>12306</v>
      </c>
      <c r="S17" s="286">
        <f t="shared" si="4"/>
        <v>0</v>
      </c>
      <c r="T17" s="531">
        <f t="shared" si="27"/>
        <v>377090</v>
      </c>
      <c r="U17" s="286">
        <f t="shared" si="17"/>
        <v>0</v>
      </c>
      <c r="V17" s="286">
        <v>250</v>
      </c>
      <c r="W17" s="336"/>
      <c r="X17" s="287">
        <f t="shared" si="18"/>
        <v>12342</v>
      </c>
      <c r="Y17" s="286" t="str">
        <f t="shared" si="31"/>
        <v>ok</v>
      </c>
      <c r="Z17" s="286">
        <f t="shared" si="6"/>
        <v>0</v>
      </c>
      <c r="AA17" s="286">
        <f t="shared" si="19"/>
        <v>0</v>
      </c>
      <c r="AB17" s="286">
        <f t="shared" si="20"/>
        <v>250</v>
      </c>
      <c r="AC17" s="286">
        <f t="shared" si="21"/>
        <v>0</v>
      </c>
      <c r="AD17" s="73">
        <f>ELEC!Q18</f>
        <v>0</v>
      </c>
      <c r="AE17" s="73" t="e">
        <f t="shared" si="23"/>
        <v>#DIV/0!</v>
      </c>
      <c r="AF17" s="401" t="e">
        <f t="shared" si="24"/>
        <v>#DIV/0!</v>
      </c>
      <c r="AG17" s="402" t="e">
        <f t="shared" si="25"/>
        <v>#DIV/0!</v>
      </c>
      <c r="AH17" s="402" t="e">
        <f t="shared" si="22"/>
        <v>#DIV/0!</v>
      </c>
      <c r="AI17" s="73">
        <f t="shared" si="26"/>
        <v>0</v>
      </c>
      <c r="AJ17" s="288">
        <f t="shared" si="7"/>
        <v>0.25738396624472576</v>
      </c>
      <c r="AK17" s="288" t="e">
        <f t="shared" si="8"/>
        <v>#DIV/0!</v>
      </c>
    </row>
    <row r="18" spans="1:37" ht="15.75" thickBot="1">
      <c r="A18" s="4">
        <f>ELEC!C19</f>
        <v>44363</v>
      </c>
      <c r="B18" s="530">
        <f t="shared" si="28"/>
        <v>10176</v>
      </c>
      <c r="C18" s="286">
        <f t="shared" si="9"/>
        <v>0</v>
      </c>
      <c r="D18" s="531">
        <f t="shared" si="29"/>
        <v>423923</v>
      </c>
      <c r="E18" s="286">
        <f t="shared" si="10"/>
        <v>0</v>
      </c>
      <c r="F18" s="286">
        <f t="shared" si="0"/>
        <v>0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f t="shared" si="30"/>
        <v>12306</v>
      </c>
      <c r="S18" s="286">
        <f t="shared" si="4"/>
        <v>0</v>
      </c>
      <c r="T18" s="531">
        <f t="shared" si="27"/>
        <v>377090</v>
      </c>
      <c r="U18" s="286">
        <f t="shared" si="17"/>
        <v>0</v>
      </c>
      <c r="V18" s="286">
        <v>250</v>
      </c>
      <c r="W18" s="336"/>
      <c r="X18" s="287">
        <f t="shared" si="18"/>
        <v>12342</v>
      </c>
      <c r="Y18" s="286" t="str">
        <f t="shared" si="31"/>
        <v>ok</v>
      </c>
      <c r="Z18" s="286">
        <f t="shared" si="6"/>
        <v>0</v>
      </c>
      <c r="AA18" s="286">
        <f t="shared" si="19"/>
        <v>0</v>
      </c>
      <c r="AB18" s="286">
        <f t="shared" si="20"/>
        <v>250</v>
      </c>
      <c r="AC18" s="286">
        <f t="shared" si="21"/>
        <v>0</v>
      </c>
      <c r="AD18" s="73">
        <f>ELEC!Q19</f>
        <v>0</v>
      </c>
      <c r="AE18" s="73" t="e">
        <f t="shared" si="23"/>
        <v>#DIV/0!</v>
      </c>
      <c r="AF18" s="401" t="e">
        <f t="shared" si="24"/>
        <v>#DIV/0!</v>
      </c>
      <c r="AG18" s="402" t="e">
        <f t="shared" si="25"/>
        <v>#DIV/0!</v>
      </c>
      <c r="AH18" s="402" t="e">
        <f t="shared" si="22"/>
        <v>#DIV/0!</v>
      </c>
      <c r="AI18" s="73">
        <f t="shared" si="26"/>
        <v>0</v>
      </c>
      <c r="AJ18" s="288">
        <f t="shared" si="7"/>
        <v>0.25738396624472576</v>
      </c>
      <c r="AK18" s="288" t="e">
        <f t="shared" si="8"/>
        <v>#DIV/0!</v>
      </c>
    </row>
    <row r="19" spans="1:37" ht="15.75" thickBot="1">
      <c r="A19" s="4">
        <f>ELEC!C20</f>
        <v>44364</v>
      </c>
      <c r="B19" s="530">
        <f t="shared" si="28"/>
        <v>10176</v>
      </c>
      <c r="C19" s="286">
        <f t="shared" si="9"/>
        <v>0</v>
      </c>
      <c r="D19" s="531">
        <f t="shared" si="29"/>
        <v>423923</v>
      </c>
      <c r="E19" s="286">
        <f t="shared" si="10"/>
        <v>0</v>
      </c>
      <c r="F19" s="286">
        <f t="shared" si="0"/>
        <v>0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2">IF(J19-P19&lt;=0,"ok","oil change")</f>
        <v>ok</v>
      </c>
      <c r="R19" s="531">
        <f t="shared" si="30"/>
        <v>12306</v>
      </c>
      <c r="S19" s="286">
        <f t="shared" si="4"/>
        <v>0</v>
      </c>
      <c r="T19" s="531">
        <f t="shared" si="27"/>
        <v>377090</v>
      </c>
      <c r="U19" s="286">
        <f t="shared" si="17"/>
        <v>0</v>
      </c>
      <c r="V19" s="286">
        <v>250</v>
      </c>
      <c r="W19" s="336"/>
      <c r="X19" s="287">
        <f t="shared" si="18"/>
        <v>12342</v>
      </c>
      <c r="Y19" s="286" t="str">
        <f t="shared" si="31"/>
        <v>ok</v>
      </c>
      <c r="Z19" s="286">
        <f t="shared" si="6"/>
        <v>0</v>
      </c>
      <c r="AA19" s="286">
        <f t="shared" si="19"/>
        <v>0</v>
      </c>
      <c r="AB19" s="286">
        <f t="shared" si="20"/>
        <v>250</v>
      </c>
      <c r="AC19" s="286">
        <f t="shared" si="21"/>
        <v>0</v>
      </c>
      <c r="AD19" s="73">
        <f>ELEC!Q20</f>
        <v>0</v>
      </c>
      <c r="AE19" s="73" t="e">
        <f t="shared" si="23"/>
        <v>#DIV/0!</v>
      </c>
      <c r="AF19" s="401" t="e">
        <f t="shared" si="24"/>
        <v>#DIV/0!</v>
      </c>
      <c r="AG19" s="402" t="e">
        <f t="shared" si="25"/>
        <v>#DIV/0!</v>
      </c>
      <c r="AH19" s="402" t="e">
        <f t="shared" si="22"/>
        <v>#DIV/0!</v>
      </c>
      <c r="AI19" s="73">
        <f t="shared" si="26"/>
        <v>0</v>
      </c>
      <c r="AJ19" s="288">
        <f t="shared" si="7"/>
        <v>0.25738396624472576</v>
      </c>
      <c r="AK19" s="288" t="e">
        <f t="shared" si="8"/>
        <v>#DIV/0!</v>
      </c>
    </row>
    <row r="20" spans="1:37" ht="15.75" thickBot="1">
      <c r="A20" s="4">
        <f>ELEC!C21</f>
        <v>44365</v>
      </c>
      <c r="B20" s="530">
        <f t="shared" si="28"/>
        <v>10176</v>
      </c>
      <c r="C20" s="286">
        <f>B20-B19</f>
        <v>0</v>
      </c>
      <c r="D20" s="531">
        <f t="shared" si="29"/>
        <v>423923</v>
      </c>
      <c r="E20" s="286">
        <f t="shared" si="10"/>
        <v>0</v>
      </c>
      <c r="F20" s="286">
        <f t="shared" si="0"/>
        <v>0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2"/>
        <v>ok</v>
      </c>
      <c r="R20" s="531">
        <f t="shared" si="30"/>
        <v>12306</v>
      </c>
      <c r="S20" s="286">
        <f t="shared" si="4"/>
        <v>0</v>
      </c>
      <c r="T20" s="531">
        <f t="shared" si="27"/>
        <v>377090</v>
      </c>
      <c r="U20" s="286">
        <f t="shared" si="17"/>
        <v>0</v>
      </c>
      <c r="V20" s="286">
        <v>250</v>
      </c>
      <c r="W20" s="336"/>
      <c r="X20" s="287">
        <f t="shared" si="18"/>
        <v>12342</v>
      </c>
      <c r="Y20" s="286" t="str">
        <f t="shared" si="31"/>
        <v>ok</v>
      </c>
      <c r="Z20" s="286">
        <f t="shared" si="6"/>
        <v>0</v>
      </c>
      <c r="AA20" s="286">
        <f t="shared" si="19"/>
        <v>0</v>
      </c>
      <c r="AB20" s="286">
        <f t="shared" si="20"/>
        <v>250</v>
      </c>
      <c r="AC20" s="286">
        <f t="shared" si="21"/>
        <v>0</v>
      </c>
      <c r="AD20" s="73">
        <f>ELEC!Q21</f>
        <v>0</v>
      </c>
      <c r="AE20" s="73" t="e">
        <f t="shared" si="23"/>
        <v>#DIV/0!</v>
      </c>
      <c r="AF20" s="401" t="e">
        <f t="shared" si="24"/>
        <v>#DIV/0!</v>
      </c>
      <c r="AG20" s="402" t="e">
        <f t="shared" si="25"/>
        <v>#DIV/0!</v>
      </c>
      <c r="AH20" s="402" t="e">
        <f t="shared" si="22"/>
        <v>#DIV/0!</v>
      </c>
      <c r="AI20" s="73">
        <f>AD20*AJ20</f>
        <v>0</v>
      </c>
      <c r="AJ20" s="288">
        <f t="shared" si="7"/>
        <v>0.25738396624472576</v>
      </c>
      <c r="AK20" s="288" t="e">
        <f t="shared" si="8"/>
        <v>#DIV/0!</v>
      </c>
    </row>
    <row r="21" spans="1:37" ht="15.75" thickBot="1">
      <c r="A21" s="4">
        <f>ELEC!C22</f>
        <v>44366</v>
      </c>
      <c r="B21" s="530">
        <f t="shared" si="28"/>
        <v>10176</v>
      </c>
      <c r="C21" s="286">
        <f>B21-B20</f>
        <v>0</v>
      </c>
      <c r="D21" s="531">
        <f t="shared" si="29"/>
        <v>423923</v>
      </c>
      <c r="E21" s="286">
        <f t="shared" si="10"/>
        <v>0</v>
      </c>
      <c r="F21" s="286">
        <f t="shared" si="0"/>
        <v>0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2"/>
        <v>ok</v>
      </c>
      <c r="R21" s="531">
        <f t="shared" si="30"/>
        <v>12306</v>
      </c>
      <c r="S21" s="286">
        <f t="shared" si="4"/>
        <v>0</v>
      </c>
      <c r="T21" s="531">
        <f t="shared" si="27"/>
        <v>377090</v>
      </c>
      <c r="U21" s="286">
        <f t="shared" si="17"/>
        <v>0</v>
      </c>
      <c r="V21" s="286">
        <v>250</v>
      </c>
      <c r="W21" s="196"/>
      <c r="X21" s="287">
        <f t="shared" si="18"/>
        <v>12342</v>
      </c>
      <c r="Y21" s="286" t="str">
        <f>Y20</f>
        <v>ok</v>
      </c>
      <c r="Z21" s="286">
        <f t="shared" si="6"/>
        <v>0</v>
      </c>
      <c r="AA21" s="286">
        <f t="shared" si="19"/>
        <v>0</v>
      </c>
      <c r="AB21" s="286">
        <f t="shared" si="20"/>
        <v>250</v>
      </c>
      <c r="AC21" s="286">
        <f t="shared" si="21"/>
        <v>0</v>
      </c>
      <c r="AD21" s="73">
        <f>ELEC!Q22</f>
        <v>0</v>
      </c>
      <c r="AE21" s="73" t="e">
        <f t="shared" si="23"/>
        <v>#DIV/0!</v>
      </c>
      <c r="AF21" s="401" t="e">
        <f t="shared" si="24"/>
        <v>#DIV/0!</v>
      </c>
      <c r="AG21" s="402" t="e">
        <f t="shared" si="25"/>
        <v>#DIV/0!</v>
      </c>
      <c r="AH21" s="402" t="e">
        <f t="shared" si="22"/>
        <v>#DIV/0!</v>
      </c>
      <c r="AI21" s="73">
        <f t="shared" si="26"/>
        <v>0</v>
      </c>
      <c r="AJ21" s="288">
        <f t="shared" si="7"/>
        <v>0.25738396624472576</v>
      </c>
      <c r="AK21" s="288" t="e">
        <f t="shared" si="8"/>
        <v>#DIV/0!</v>
      </c>
    </row>
    <row r="22" spans="1:37" ht="15.75" thickBot="1">
      <c r="A22" s="4">
        <f>ELEC!C23</f>
        <v>44367</v>
      </c>
      <c r="B22" s="530">
        <f t="shared" si="28"/>
        <v>10176</v>
      </c>
      <c r="C22" s="286">
        <f t="shared" si="9"/>
        <v>0</v>
      </c>
      <c r="D22" s="531">
        <f t="shared" si="29"/>
        <v>423923</v>
      </c>
      <c r="E22" s="286">
        <f>150*C22</f>
        <v>0</v>
      </c>
      <c r="F22" s="286">
        <f t="shared" si="0"/>
        <v>0</v>
      </c>
      <c r="G22" s="196"/>
      <c r="H22" s="270">
        <f t="shared" si="11"/>
        <v>10310</v>
      </c>
      <c r="I22" s="286" t="str">
        <f t="shared" si="1"/>
        <v>ok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2"/>
        <v>ok</v>
      </c>
      <c r="R22" s="531">
        <f t="shared" si="30"/>
        <v>12306</v>
      </c>
      <c r="S22" s="286">
        <f t="shared" si="4"/>
        <v>0</v>
      </c>
      <c r="T22" s="531">
        <f t="shared" si="27"/>
        <v>377090</v>
      </c>
      <c r="U22" s="286">
        <f t="shared" si="17"/>
        <v>0</v>
      </c>
      <c r="V22" s="286">
        <v>250</v>
      </c>
      <c r="W22" s="196"/>
      <c r="X22" s="287">
        <f t="shared" si="18"/>
        <v>12342</v>
      </c>
      <c r="Y22" s="286" t="str">
        <f t="shared" ref="Y22:Y30" si="33">IF(R22-X22&lt;=0,"ok","oil change")</f>
        <v>ok</v>
      </c>
      <c r="Z22" s="286">
        <f t="shared" si="6"/>
        <v>0</v>
      </c>
      <c r="AA22" s="286">
        <f t="shared" si="19"/>
        <v>0</v>
      </c>
      <c r="AB22" s="286">
        <f t="shared" si="20"/>
        <v>250</v>
      </c>
      <c r="AC22" s="286">
        <f t="shared" si="21"/>
        <v>0</v>
      </c>
      <c r="AD22" s="73">
        <f>ELEC!Q23</f>
        <v>0</v>
      </c>
      <c r="AE22" s="73" t="e">
        <f t="shared" si="23"/>
        <v>#DIV/0!</v>
      </c>
      <c r="AF22" s="401" t="e">
        <f t="shared" si="24"/>
        <v>#DIV/0!</v>
      </c>
      <c r="AG22" s="402" t="e">
        <f t="shared" si="25"/>
        <v>#DIV/0!</v>
      </c>
      <c r="AH22" s="402" t="e">
        <f t="shared" si="22"/>
        <v>#DIV/0!</v>
      </c>
      <c r="AI22" s="73">
        <f t="shared" si="26"/>
        <v>0</v>
      </c>
      <c r="AJ22" s="288">
        <f t="shared" si="7"/>
        <v>0.25738396624472576</v>
      </c>
      <c r="AK22" s="288" t="e">
        <f t="shared" si="8"/>
        <v>#DIV/0!</v>
      </c>
    </row>
    <row r="23" spans="1:37" ht="15.75" thickBot="1">
      <c r="A23" s="4">
        <f>ELEC!C24</f>
        <v>44368</v>
      </c>
      <c r="B23" s="530">
        <f t="shared" si="28"/>
        <v>10176</v>
      </c>
      <c r="C23" s="286">
        <f t="shared" si="9"/>
        <v>0</v>
      </c>
      <c r="D23" s="531">
        <f t="shared" si="29"/>
        <v>423923</v>
      </c>
      <c r="E23" s="286">
        <f>150*C23</f>
        <v>0</v>
      </c>
      <c r="F23" s="286">
        <f t="shared" si="0"/>
        <v>0</v>
      </c>
      <c r="G23" s="196"/>
      <c r="H23" s="270">
        <f t="shared" si="11"/>
        <v>10310</v>
      </c>
      <c r="I23" s="286" t="str">
        <f t="shared" si="1"/>
        <v>ok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2"/>
        <v>ok</v>
      </c>
      <c r="R23" s="531">
        <f t="shared" si="30"/>
        <v>12306</v>
      </c>
      <c r="S23" s="286">
        <f>R23-R22</f>
        <v>0</v>
      </c>
      <c r="T23" s="531">
        <f t="shared" si="27"/>
        <v>377090</v>
      </c>
      <c r="U23" s="286">
        <f t="shared" si="17"/>
        <v>0</v>
      </c>
      <c r="V23" s="286">
        <v>250</v>
      </c>
      <c r="W23" s="196"/>
      <c r="X23" s="287">
        <f t="shared" si="18"/>
        <v>12342</v>
      </c>
      <c r="Y23" s="286" t="str">
        <f t="shared" si="33"/>
        <v>ok</v>
      </c>
      <c r="Z23" s="286">
        <f t="shared" si="6"/>
        <v>0</v>
      </c>
      <c r="AA23" s="286">
        <f t="shared" si="19"/>
        <v>0</v>
      </c>
      <c r="AB23" s="286">
        <f t="shared" si="20"/>
        <v>250</v>
      </c>
      <c r="AC23" s="286">
        <f t="shared" si="21"/>
        <v>0</v>
      </c>
      <c r="AD23" s="73">
        <f>ELEC!Q24</f>
        <v>0</v>
      </c>
      <c r="AE23" s="73" t="e">
        <f t="shared" si="23"/>
        <v>#DIV/0!</v>
      </c>
      <c r="AF23" s="401" t="e">
        <f t="shared" si="24"/>
        <v>#DIV/0!</v>
      </c>
      <c r="AG23" s="402" t="e">
        <f t="shared" si="25"/>
        <v>#DIV/0!</v>
      </c>
      <c r="AH23" s="402" t="e">
        <f t="shared" si="22"/>
        <v>#DIV/0!</v>
      </c>
      <c r="AI23" s="73">
        <f t="shared" si="26"/>
        <v>0</v>
      </c>
      <c r="AJ23" s="288">
        <f t="shared" si="7"/>
        <v>0.25738396624472576</v>
      </c>
      <c r="AK23" s="288" t="e">
        <f t="shared" si="8"/>
        <v>#DIV/0!</v>
      </c>
    </row>
    <row r="24" spans="1:37" ht="15.75" thickBot="1">
      <c r="A24" s="4">
        <f>ELEC!C25</f>
        <v>44369</v>
      </c>
      <c r="B24" s="530">
        <f t="shared" si="28"/>
        <v>10176</v>
      </c>
      <c r="C24" s="286">
        <f t="shared" si="9"/>
        <v>0</v>
      </c>
      <c r="D24" s="531">
        <f t="shared" si="29"/>
        <v>423923</v>
      </c>
      <c r="E24" s="286">
        <f t="shared" si="10"/>
        <v>0</v>
      </c>
      <c r="F24" s="286">
        <f t="shared" si="0"/>
        <v>0</v>
      </c>
      <c r="G24" s="196"/>
      <c r="H24" s="270">
        <f t="shared" si="11"/>
        <v>10310</v>
      </c>
      <c r="I24" s="286" t="str">
        <f t="shared" si="1"/>
        <v>ok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2"/>
        <v>ok</v>
      </c>
      <c r="R24" s="531">
        <f t="shared" si="30"/>
        <v>12306</v>
      </c>
      <c r="S24" s="286">
        <f t="shared" si="4"/>
        <v>0</v>
      </c>
      <c r="T24" s="531">
        <f t="shared" si="27"/>
        <v>377090</v>
      </c>
      <c r="U24" s="286">
        <f t="shared" si="17"/>
        <v>0</v>
      </c>
      <c r="V24" s="286">
        <v>250</v>
      </c>
      <c r="W24" s="196"/>
      <c r="X24" s="287">
        <f t="shared" si="18"/>
        <v>12342</v>
      </c>
      <c r="Y24" s="286" t="str">
        <f t="shared" si="33"/>
        <v>ok</v>
      </c>
      <c r="Z24" s="286">
        <f t="shared" si="6"/>
        <v>0</v>
      </c>
      <c r="AA24" s="286">
        <f t="shared" si="19"/>
        <v>0</v>
      </c>
      <c r="AB24" s="286">
        <f t="shared" si="20"/>
        <v>250</v>
      </c>
      <c r="AC24" s="286">
        <f t="shared" si="21"/>
        <v>0</v>
      </c>
      <c r="AD24" s="73">
        <f>ELEC!Q25</f>
        <v>0</v>
      </c>
      <c r="AE24" s="73" t="e">
        <f t="shared" si="23"/>
        <v>#DIV/0!</v>
      </c>
      <c r="AF24" s="401" t="e">
        <f t="shared" si="24"/>
        <v>#DIV/0!</v>
      </c>
      <c r="AG24" s="402" t="e">
        <f t="shared" si="25"/>
        <v>#DIV/0!</v>
      </c>
      <c r="AH24" s="402" t="e">
        <f t="shared" si="22"/>
        <v>#DIV/0!</v>
      </c>
      <c r="AI24" s="73">
        <f t="shared" si="26"/>
        <v>0</v>
      </c>
      <c r="AJ24" s="288">
        <f t="shared" si="7"/>
        <v>0.25738396624472576</v>
      </c>
      <c r="AK24" s="288" t="e">
        <f t="shared" si="8"/>
        <v>#DIV/0!</v>
      </c>
    </row>
    <row r="25" spans="1:37" ht="15.75" thickBot="1">
      <c r="A25" s="4">
        <f>ELEC!C26</f>
        <v>44370</v>
      </c>
      <c r="B25" s="530">
        <f t="shared" si="28"/>
        <v>10176</v>
      </c>
      <c r="C25" s="286">
        <f t="shared" si="9"/>
        <v>0</v>
      </c>
      <c r="D25" s="531">
        <f t="shared" si="29"/>
        <v>423923</v>
      </c>
      <c r="E25" s="286">
        <f t="shared" si="10"/>
        <v>0</v>
      </c>
      <c r="F25" s="286">
        <f t="shared" si="0"/>
        <v>0</v>
      </c>
      <c r="G25" s="196"/>
      <c r="H25" s="270">
        <f t="shared" si="11"/>
        <v>10310</v>
      </c>
      <c r="I25" s="286" t="str">
        <f t="shared" si="1"/>
        <v>ok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2"/>
        <v>ok</v>
      </c>
      <c r="R25" s="531">
        <f t="shared" si="30"/>
        <v>12306</v>
      </c>
      <c r="S25" s="286">
        <f t="shared" si="4"/>
        <v>0</v>
      </c>
      <c r="T25" s="531">
        <f t="shared" si="27"/>
        <v>377090</v>
      </c>
      <c r="U25" s="286">
        <f t="shared" si="17"/>
        <v>0</v>
      </c>
      <c r="V25" s="286">
        <v>250</v>
      </c>
      <c r="W25" s="196"/>
      <c r="X25" s="287">
        <f t="shared" si="18"/>
        <v>12342</v>
      </c>
      <c r="Y25" s="286" t="str">
        <f t="shared" si="33"/>
        <v>ok</v>
      </c>
      <c r="Z25" s="286">
        <f t="shared" si="6"/>
        <v>0</v>
      </c>
      <c r="AA25" s="286">
        <f t="shared" si="19"/>
        <v>0</v>
      </c>
      <c r="AB25" s="286">
        <f t="shared" si="20"/>
        <v>250</v>
      </c>
      <c r="AC25" s="286">
        <f t="shared" si="21"/>
        <v>0</v>
      </c>
      <c r="AD25" s="73">
        <f>ELEC!Q26</f>
        <v>0</v>
      </c>
      <c r="AE25" s="73" t="e">
        <f t="shared" si="23"/>
        <v>#DIV/0!</v>
      </c>
      <c r="AF25" s="401" t="e">
        <f t="shared" si="24"/>
        <v>#DIV/0!</v>
      </c>
      <c r="AG25" s="402" t="e">
        <f t="shared" si="25"/>
        <v>#DIV/0!</v>
      </c>
      <c r="AH25" s="402" t="e">
        <f t="shared" si="22"/>
        <v>#DIV/0!</v>
      </c>
      <c r="AI25" s="73">
        <f t="shared" si="26"/>
        <v>0</v>
      </c>
      <c r="AJ25" s="288">
        <f t="shared" si="7"/>
        <v>0.25738396624472576</v>
      </c>
      <c r="AK25" s="288" t="e">
        <f t="shared" si="8"/>
        <v>#DIV/0!</v>
      </c>
    </row>
    <row r="26" spans="1:37" ht="15.75" thickBot="1">
      <c r="A26" s="4">
        <f>ELEC!C27</f>
        <v>44371</v>
      </c>
      <c r="B26" s="530">
        <f t="shared" si="28"/>
        <v>10176</v>
      </c>
      <c r="C26" s="286">
        <f t="shared" si="9"/>
        <v>0</v>
      </c>
      <c r="D26" s="531">
        <f t="shared" si="29"/>
        <v>423923</v>
      </c>
      <c r="E26" s="286">
        <f>SUM(D26-D25)</f>
        <v>0</v>
      </c>
      <c r="F26" s="286">
        <f t="shared" si="0"/>
        <v>0</v>
      </c>
      <c r="G26" s="196"/>
      <c r="H26" s="270">
        <f t="shared" si="11"/>
        <v>10310</v>
      </c>
      <c r="I26" s="286" t="str">
        <f t="shared" si="1"/>
        <v>ok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2"/>
        <v>ok</v>
      </c>
      <c r="R26" s="531">
        <f t="shared" si="30"/>
        <v>12306</v>
      </c>
      <c r="S26" s="286">
        <f t="shared" si="4"/>
        <v>0</v>
      </c>
      <c r="T26" s="531">
        <f t="shared" si="27"/>
        <v>377090</v>
      </c>
      <c r="U26" s="286">
        <f t="shared" si="17"/>
        <v>0</v>
      </c>
      <c r="V26" s="286">
        <v>250</v>
      </c>
      <c r="W26" s="196"/>
      <c r="X26" s="287">
        <f t="shared" si="18"/>
        <v>12342</v>
      </c>
      <c r="Y26" s="286" t="str">
        <f t="shared" si="33"/>
        <v>ok</v>
      </c>
      <c r="Z26" s="286">
        <f t="shared" si="6"/>
        <v>0</v>
      </c>
      <c r="AA26" s="286">
        <f t="shared" si="19"/>
        <v>0</v>
      </c>
      <c r="AB26" s="286">
        <f t="shared" si="20"/>
        <v>250</v>
      </c>
      <c r="AC26" s="286">
        <f t="shared" si="21"/>
        <v>0</v>
      </c>
      <c r="AD26" s="73">
        <f>ELEC!Q27</f>
        <v>0</v>
      </c>
      <c r="AE26" s="73" t="e">
        <f t="shared" si="23"/>
        <v>#DIV/0!</v>
      </c>
      <c r="AF26" s="401" t="e">
        <f t="shared" si="24"/>
        <v>#DIV/0!</v>
      </c>
      <c r="AG26" s="402" t="e">
        <f t="shared" si="25"/>
        <v>#DIV/0!</v>
      </c>
      <c r="AH26" s="402" t="e">
        <f t="shared" si="22"/>
        <v>#DIV/0!</v>
      </c>
      <c r="AI26" s="73">
        <f t="shared" si="26"/>
        <v>0</v>
      </c>
      <c r="AJ26" s="288">
        <f t="shared" si="7"/>
        <v>0.25738396624472576</v>
      </c>
      <c r="AK26" s="288" t="e">
        <f t="shared" si="8"/>
        <v>#DIV/0!</v>
      </c>
    </row>
    <row r="27" spans="1:37" ht="15.75" thickBot="1">
      <c r="A27" s="4">
        <f>ELEC!C28</f>
        <v>44372</v>
      </c>
      <c r="B27" s="530">
        <f t="shared" si="28"/>
        <v>10176</v>
      </c>
      <c r="C27" s="286">
        <f t="shared" si="9"/>
        <v>0</v>
      </c>
      <c r="D27" s="531">
        <f t="shared" si="29"/>
        <v>423923</v>
      </c>
      <c r="E27" s="286">
        <f t="shared" si="10"/>
        <v>0</v>
      </c>
      <c r="F27" s="286">
        <f t="shared" si="0"/>
        <v>0</v>
      </c>
      <c r="G27" s="196"/>
      <c r="H27" s="270">
        <f t="shared" si="11"/>
        <v>10310</v>
      </c>
      <c r="I27" s="286" t="str">
        <f>IF(B27-H27&lt;=0,"ok","oil change")</f>
        <v>ok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2"/>
        <v>ok</v>
      </c>
      <c r="R27" s="531">
        <f t="shared" si="30"/>
        <v>12306</v>
      </c>
      <c r="S27" s="286">
        <f t="shared" si="4"/>
        <v>0</v>
      </c>
      <c r="T27" s="531">
        <f t="shared" si="27"/>
        <v>377090</v>
      </c>
      <c r="U27" s="286">
        <f t="shared" si="17"/>
        <v>0</v>
      </c>
      <c r="V27" s="286">
        <v>250</v>
      </c>
      <c r="W27" s="196"/>
      <c r="X27" s="287">
        <f t="shared" si="18"/>
        <v>12342</v>
      </c>
      <c r="Y27" s="286" t="str">
        <f t="shared" si="33"/>
        <v>ok</v>
      </c>
      <c r="Z27" s="286">
        <f t="shared" si="6"/>
        <v>0</v>
      </c>
      <c r="AA27" s="286">
        <f t="shared" si="19"/>
        <v>0</v>
      </c>
      <c r="AB27" s="286">
        <f t="shared" si="20"/>
        <v>250</v>
      </c>
      <c r="AC27" s="286">
        <f t="shared" si="21"/>
        <v>0</v>
      </c>
      <c r="AD27" s="73">
        <f>ELEC!Q28</f>
        <v>0</v>
      </c>
      <c r="AE27" s="73" t="e">
        <f t="shared" si="23"/>
        <v>#DIV/0!</v>
      </c>
      <c r="AF27" s="401" t="e">
        <f t="shared" si="24"/>
        <v>#DIV/0!</v>
      </c>
      <c r="AG27" s="402" t="e">
        <f t="shared" si="25"/>
        <v>#DIV/0!</v>
      </c>
      <c r="AH27" s="402" t="e">
        <f t="shared" si="22"/>
        <v>#DIV/0!</v>
      </c>
      <c r="AI27" s="73">
        <f t="shared" si="26"/>
        <v>0</v>
      </c>
      <c r="AJ27" s="288">
        <f t="shared" si="7"/>
        <v>0.25738396624472576</v>
      </c>
      <c r="AK27" s="288" t="e">
        <f t="shared" si="8"/>
        <v>#DIV/0!</v>
      </c>
    </row>
    <row r="28" spans="1:37" ht="15.75" thickBot="1">
      <c r="A28" s="4">
        <f>ELEC!C29</f>
        <v>44373</v>
      </c>
      <c r="B28" s="530">
        <f t="shared" si="28"/>
        <v>10176</v>
      </c>
      <c r="C28" s="286">
        <f t="shared" si="9"/>
        <v>0</v>
      </c>
      <c r="D28" s="531">
        <f t="shared" si="29"/>
        <v>423923</v>
      </c>
      <c r="E28" s="286">
        <f t="shared" si="10"/>
        <v>0</v>
      </c>
      <c r="F28" s="286">
        <f t="shared" si="0"/>
        <v>0</v>
      </c>
      <c r="G28" s="284"/>
      <c r="H28" s="270">
        <f t="shared" si="11"/>
        <v>10310</v>
      </c>
      <c r="I28" s="286" t="str">
        <f t="shared" si="1"/>
        <v>ok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2"/>
        <v>ok</v>
      </c>
      <c r="R28" s="531">
        <f t="shared" si="30"/>
        <v>12306</v>
      </c>
      <c r="S28" s="286">
        <f t="shared" si="4"/>
        <v>0</v>
      </c>
      <c r="T28" s="531">
        <f t="shared" si="27"/>
        <v>377090</v>
      </c>
      <c r="U28" s="286">
        <f t="shared" si="17"/>
        <v>0</v>
      </c>
      <c r="V28" s="286">
        <v>250</v>
      </c>
      <c r="W28" s="196"/>
      <c r="X28" s="287">
        <f t="shared" si="18"/>
        <v>12342</v>
      </c>
      <c r="Y28" s="286" t="str">
        <f t="shared" si="33"/>
        <v>ok</v>
      </c>
      <c r="Z28" s="286">
        <f t="shared" si="6"/>
        <v>0</v>
      </c>
      <c r="AA28" s="286">
        <f t="shared" si="19"/>
        <v>0</v>
      </c>
      <c r="AB28" s="286">
        <f t="shared" si="20"/>
        <v>250</v>
      </c>
      <c r="AC28" s="286">
        <f t="shared" si="21"/>
        <v>0</v>
      </c>
      <c r="AD28" s="73">
        <f>ELEC!Q29</f>
        <v>0</v>
      </c>
      <c r="AE28" s="73" t="e">
        <f t="shared" si="23"/>
        <v>#DIV/0!</v>
      </c>
      <c r="AF28" s="401" t="e">
        <f t="shared" si="24"/>
        <v>#DIV/0!</v>
      </c>
      <c r="AG28" s="402" t="e">
        <f t="shared" si="25"/>
        <v>#DIV/0!</v>
      </c>
      <c r="AH28" s="402" t="e">
        <f t="shared" si="22"/>
        <v>#DIV/0!</v>
      </c>
      <c r="AI28" s="73">
        <f t="shared" si="26"/>
        <v>0</v>
      </c>
      <c r="AJ28" s="288">
        <f t="shared" si="7"/>
        <v>0.25738396624472576</v>
      </c>
      <c r="AK28" s="288" t="e">
        <f t="shared" si="8"/>
        <v>#DIV/0!</v>
      </c>
    </row>
    <row r="29" spans="1:37" ht="15.75" thickBot="1">
      <c r="A29" s="4">
        <f>ELEC!C30</f>
        <v>44374</v>
      </c>
      <c r="B29" s="530">
        <f t="shared" si="28"/>
        <v>10176</v>
      </c>
      <c r="C29" s="286">
        <f t="shared" si="9"/>
        <v>0</v>
      </c>
      <c r="D29" s="531">
        <f t="shared" si="29"/>
        <v>423923</v>
      </c>
      <c r="E29" s="286">
        <f>SUM(D29-D28)</f>
        <v>0</v>
      </c>
      <c r="F29" s="286">
        <f t="shared" si="0"/>
        <v>0</v>
      </c>
      <c r="G29" s="196"/>
      <c r="H29" s="270">
        <f t="shared" si="11"/>
        <v>10310</v>
      </c>
      <c r="I29" s="286" t="str">
        <f t="shared" si="1"/>
        <v>ok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2"/>
        <v>ok</v>
      </c>
      <c r="R29" s="531">
        <f t="shared" si="30"/>
        <v>12306</v>
      </c>
      <c r="S29" s="286">
        <f t="shared" si="4"/>
        <v>0</v>
      </c>
      <c r="T29" s="531">
        <f t="shared" si="27"/>
        <v>377090</v>
      </c>
      <c r="U29" s="286">
        <f t="shared" si="17"/>
        <v>0</v>
      </c>
      <c r="V29" s="286">
        <v>250</v>
      </c>
      <c r="W29" s="196"/>
      <c r="X29" s="287">
        <f t="shared" si="18"/>
        <v>12342</v>
      </c>
      <c r="Y29" s="286" t="str">
        <f t="shared" si="33"/>
        <v>ok</v>
      </c>
      <c r="Z29" s="286">
        <f t="shared" si="6"/>
        <v>0</v>
      </c>
      <c r="AA29" s="286">
        <f t="shared" si="19"/>
        <v>0</v>
      </c>
      <c r="AB29" s="286">
        <f t="shared" si="20"/>
        <v>250</v>
      </c>
      <c r="AC29" s="286">
        <f t="shared" si="21"/>
        <v>0</v>
      </c>
      <c r="AD29" s="73">
        <f>ELEC!Q30</f>
        <v>0</v>
      </c>
      <c r="AE29" s="73" t="e">
        <f t="shared" si="23"/>
        <v>#DIV/0!</v>
      </c>
      <c r="AF29" s="401" t="e">
        <f t="shared" si="24"/>
        <v>#DIV/0!</v>
      </c>
      <c r="AG29" s="402" t="e">
        <f t="shared" si="25"/>
        <v>#DIV/0!</v>
      </c>
      <c r="AH29" s="402" t="e">
        <f t="shared" si="22"/>
        <v>#DIV/0!</v>
      </c>
      <c r="AI29" s="73">
        <f t="shared" si="26"/>
        <v>0</v>
      </c>
      <c r="AJ29" s="288">
        <f t="shared" si="7"/>
        <v>0.25738396624472576</v>
      </c>
      <c r="AK29" s="288" t="e">
        <f t="shared" si="8"/>
        <v>#DIV/0!</v>
      </c>
    </row>
    <row r="30" spans="1:37" ht="15.75" thickBot="1">
      <c r="A30" s="4">
        <f>ELEC!C31</f>
        <v>44375</v>
      </c>
      <c r="B30" s="530">
        <f t="shared" si="28"/>
        <v>10176</v>
      </c>
      <c r="C30" s="286">
        <f t="shared" si="9"/>
        <v>0</v>
      </c>
      <c r="D30" s="531">
        <f t="shared" si="29"/>
        <v>423923</v>
      </c>
      <c r="E30" s="286">
        <f t="shared" si="10"/>
        <v>0</v>
      </c>
      <c r="F30" s="286">
        <f t="shared" si="0"/>
        <v>0</v>
      </c>
      <c r="G30" s="196"/>
      <c r="H30" s="270">
        <f t="shared" si="11"/>
        <v>10310</v>
      </c>
      <c r="I30" s="286" t="str">
        <f t="shared" si="1"/>
        <v>ok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2"/>
        <v>ok</v>
      </c>
      <c r="R30" s="531">
        <f t="shared" si="30"/>
        <v>12306</v>
      </c>
      <c r="S30" s="286">
        <f t="shared" si="4"/>
        <v>0</v>
      </c>
      <c r="T30" s="531">
        <f t="shared" si="27"/>
        <v>377090</v>
      </c>
      <c r="U30" s="286">
        <f t="shared" si="17"/>
        <v>0</v>
      </c>
      <c r="V30" s="286">
        <v>250</v>
      </c>
      <c r="W30" s="284"/>
      <c r="X30" s="287">
        <f t="shared" si="18"/>
        <v>12342</v>
      </c>
      <c r="Y30" s="286" t="str">
        <f t="shared" si="33"/>
        <v>ok</v>
      </c>
      <c r="Z30" s="286">
        <f t="shared" si="6"/>
        <v>0</v>
      </c>
      <c r="AA30" s="286">
        <f t="shared" si="19"/>
        <v>0</v>
      </c>
      <c r="AB30" s="286">
        <f t="shared" si="20"/>
        <v>250</v>
      </c>
      <c r="AC30" s="286">
        <f t="shared" si="21"/>
        <v>0</v>
      </c>
      <c r="AD30" s="73">
        <f>ELEC!Q31</f>
        <v>0</v>
      </c>
      <c r="AE30" s="73" t="e">
        <f t="shared" si="23"/>
        <v>#DIV/0!</v>
      </c>
      <c r="AF30" s="401" t="e">
        <f t="shared" si="24"/>
        <v>#DIV/0!</v>
      </c>
      <c r="AG30" s="402" t="e">
        <f t="shared" si="25"/>
        <v>#DIV/0!</v>
      </c>
      <c r="AH30" s="402" t="e">
        <f t="shared" si="22"/>
        <v>#DIV/0!</v>
      </c>
      <c r="AI30" s="73">
        <f t="shared" si="26"/>
        <v>0</v>
      </c>
      <c r="AJ30" s="288">
        <f t="shared" si="7"/>
        <v>0.25738396624472576</v>
      </c>
      <c r="AK30" s="288" t="e">
        <f t="shared" si="8"/>
        <v>#DIV/0!</v>
      </c>
    </row>
    <row r="31" spans="1:37" ht="15.75" thickBot="1">
      <c r="A31" s="4">
        <f>ELEC!C32</f>
        <v>44376</v>
      </c>
      <c r="B31" s="530">
        <f t="shared" si="28"/>
        <v>10176</v>
      </c>
      <c r="C31" s="286">
        <f>B31-B30</f>
        <v>0</v>
      </c>
      <c r="D31" s="531">
        <f t="shared" si="29"/>
        <v>423923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10310</v>
      </c>
      <c r="I31" s="286" t="str">
        <f>IF(B31-H31&lt;=0,"ok","oil change")</f>
        <v>ok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si="30"/>
        <v>12306</v>
      </c>
      <c r="S31" s="286">
        <f>R31-R30</f>
        <v>0</v>
      </c>
      <c r="T31" s="531">
        <f t="shared" si="27"/>
        <v>377090</v>
      </c>
      <c r="U31" s="286">
        <f t="shared" si="17"/>
        <v>0</v>
      </c>
      <c r="V31" s="286">
        <v>250</v>
      </c>
      <c r="W31" s="336"/>
      <c r="X31" s="287">
        <f t="shared" si="18"/>
        <v>12342</v>
      </c>
      <c r="Y31" s="286" t="str">
        <f>IF(R31-X31&lt;=0,"ok","oil change")</f>
        <v>ok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10176</v>
      </c>
      <c r="C32" s="286">
        <f>B32-B31</f>
        <v>0</v>
      </c>
      <c r="D32" s="531">
        <f t="shared" si="29"/>
        <v>423923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10310</v>
      </c>
      <c r="I32" s="286" t="str">
        <f>IF(B32-H32&lt;=0,"ok","oil change")</f>
        <v>ok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0"/>
        <v>12306</v>
      </c>
      <c r="S32" s="286">
        <f>R32-R31</f>
        <v>0</v>
      </c>
      <c r="T32" s="531">
        <f t="shared" si="27"/>
        <v>377090</v>
      </c>
      <c r="U32" s="286">
        <f t="shared" si="17"/>
        <v>0</v>
      </c>
      <c r="V32" s="286">
        <v>250</v>
      </c>
      <c r="W32" s="336"/>
      <c r="X32" s="287">
        <f t="shared" si="18"/>
        <v>12342</v>
      </c>
      <c r="Y32" s="286" t="str">
        <f>IF(R32-X32&lt;=0,"ok","oil change")</f>
        <v>ok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100</v>
      </c>
      <c r="V33" s="40"/>
      <c r="X33">
        <v>341</v>
      </c>
      <c r="Z33" s="419">
        <f>SUM(Z3:Z32)</f>
        <v>100</v>
      </c>
    </row>
    <row r="34" spans="3:26">
      <c r="C34" s="40">
        <f>SUM(C3:C32)</f>
        <v>53</v>
      </c>
      <c r="K34" s="40">
        <f>SUM(K3:K32)</f>
        <v>0</v>
      </c>
      <c r="S34" s="40">
        <f>SUM(S3:S32)</f>
        <v>47</v>
      </c>
      <c r="U34" s="40"/>
      <c r="V34" s="40"/>
      <c r="X34" s="40"/>
    </row>
  </sheetData>
  <conditionalFormatting sqref="K3:K32 S3:S32 Z3:Z32 C3:C32">
    <cfRule type="cellIs" dxfId="5" priority="11" stopIfTrue="1" operator="equal">
      <formula>0</formula>
    </cfRule>
  </conditionalFormatting>
  <conditionalFormatting sqref="AA3:AB32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AC1" activePane="topRight" state="frozen"/>
      <selection pane="topRight" activeCell="AR9" sqref="AR9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2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1.5703125" bestFit="1" customWidth="1"/>
    <col min="47" max="47" width="11.28515625" bestFit="1" customWidth="1"/>
    <col min="48" max="48" width="9.28515625" style="30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0" t="s">
        <v>108</v>
      </c>
      <c r="AS3" s="670" t="s">
        <v>233</v>
      </c>
      <c r="AT3" s="668" t="s">
        <v>301</v>
      </c>
      <c r="AU3" s="669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1"/>
      <c r="AS4" s="671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B5</f>
        <v>207</v>
      </c>
      <c r="C6" s="203">
        <f>B6*$B$4</f>
        <v>4453.8387096774195</v>
      </c>
      <c r="D6">
        <f>SUM(B6)</f>
        <v>207</v>
      </c>
      <c r="E6" s="203">
        <f>D6*$B$4</f>
        <v>4453.8387096774195</v>
      </c>
      <c r="F6">
        <f>SUM(D6)</f>
        <v>207</v>
      </c>
      <c r="G6" s="203">
        <f t="shared" ref="G6:G33" si="1">F6*$B$4</f>
        <v>4453.8387096774195</v>
      </c>
      <c r="H6" s="203">
        <f>SUM(F6)</f>
        <v>207</v>
      </c>
      <c r="I6" s="203">
        <f t="shared" ref="I6:I33" si="2">H6*$B$4</f>
        <v>4453.8387096774195</v>
      </c>
      <c r="J6" s="203">
        <f>SUM(H6)</f>
        <v>207</v>
      </c>
      <c r="K6" s="203">
        <f t="shared" ref="K6:K33" si="3">J6*$B$4</f>
        <v>4453.8387096774195</v>
      </c>
      <c r="L6" s="203">
        <f>SUM(J6)</f>
        <v>207</v>
      </c>
      <c r="M6" s="203">
        <f t="shared" ref="M6:M33" si="4">L6*$B$4</f>
        <v>4453.8387096774195</v>
      </c>
      <c r="N6" s="203">
        <f>SUM(L6)</f>
        <v>207</v>
      </c>
      <c r="O6" s="203">
        <f t="shared" ref="O6:O33" si="5">N6*$B$4</f>
        <v>4453.8387096774195</v>
      </c>
      <c r="P6" s="203">
        <f>SUM(N6)</f>
        <v>207</v>
      </c>
      <c r="Q6" s="203">
        <f t="shared" ref="Q6:Q33" si="6">P6*$B$4</f>
        <v>4453.8387096774195</v>
      </c>
      <c r="R6" s="203">
        <f>SUM(P6)</f>
        <v>207</v>
      </c>
      <c r="S6" s="203">
        <f t="shared" ref="S6:S33" si="7">R6*$B$4</f>
        <v>4453.8387096774195</v>
      </c>
      <c r="T6" s="203">
        <f>SUM(R6)</f>
        <v>207</v>
      </c>
      <c r="U6" s="203">
        <f t="shared" ref="U6:U33" si="8">T6*$B$4</f>
        <v>4453.8387096774195</v>
      </c>
      <c r="V6" s="203">
        <f>SUM(T6)</f>
        <v>207</v>
      </c>
      <c r="W6" s="203">
        <f t="shared" ref="W6:W33" si="9">V6*$B$4</f>
        <v>4453.8387096774195</v>
      </c>
      <c r="X6" s="35">
        <f t="shared" ref="X6:X29" si="10">SUM(Y6/73370)</f>
        <v>0.66774193548387084</v>
      </c>
      <c r="Y6" s="36">
        <f>SUM(C6+E6+G6+I6+K6+M6+O6+Q6+S6+U6+W6)</f>
        <v>48992.225806451606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0.68056605148382932</v>
      </c>
      <c r="AR6" s="38">
        <f>Y6+AO6</f>
        <v>63272.225806451606</v>
      </c>
      <c r="AS6" s="197">
        <f>SUM(AR6-AR5-AT6)</f>
        <v>-700</v>
      </c>
      <c r="AT6" s="353"/>
      <c r="AU6" s="642"/>
      <c r="AV6" s="511">
        <f>IF(AT6&gt;0,AU6,AV5)</f>
        <v>1.0029999999999999</v>
      </c>
      <c r="AW6" s="289">
        <f>-SUM('B5'!AI5)</f>
        <v>-107</v>
      </c>
      <c r="AX6" s="289">
        <f>-SUM(AW6-AS6)</f>
        <v>-593</v>
      </c>
      <c r="AY6" s="37">
        <f>SUM(AX6+AW6)</f>
        <v>-700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-49.416666666666664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18">B7*$B$4</f>
        <v>3980.483870967742</v>
      </c>
      <c r="D7">
        <f t="shared" ref="D7:D29" si="19">SUM(B7)</f>
        <v>185</v>
      </c>
      <c r="E7" s="203">
        <f t="shared" si="18"/>
        <v>3980.483870967742</v>
      </c>
      <c r="F7">
        <f t="shared" ref="F7:F29" si="20">SUM(D7)</f>
        <v>185</v>
      </c>
      <c r="G7" s="203">
        <f t="shared" si="1"/>
        <v>3980.483870967742</v>
      </c>
      <c r="H7" s="203">
        <f t="shared" ref="H7:H29" si="21">SUM(F7)</f>
        <v>185</v>
      </c>
      <c r="I7" s="203">
        <f t="shared" si="2"/>
        <v>3980.483870967742</v>
      </c>
      <c r="J7" s="203">
        <f t="shared" ref="J7:J29" si="22">SUM(H7)</f>
        <v>185</v>
      </c>
      <c r="K7" s="203">
        <f t="shared" si="3"/>
        <v>3980.483870967742</v>
      </c>
      <c r="L7" s="203">
        <f t="shared" ref="L7:L29" si="23">SUM(J7)</f>
        <v>185</v>
      </c>
      <c r="M7" s="203">
        <f t="shared" si="4"/>
        <v>3980.483870967742</v>
      </c>
      <c r="N7" s="203">
        <f t="shared" ref="N7:N29" si="24">SUM(L7)</f>
        <v>185</v>
      </c>
      <c r="O7" s="203">
        <f t="shared" si="5"/>
        <v>3980.483870967742</v>
      </c>
      <c r="P7" s="203">
        <f t="shared" ref="P7:P29" si="25">SUM(N7)</f>
        <v>185</v>
      </c>
      <c r="Q7" s="203">
        <f t="shared" si="6"/>
        <v>3980.483870967742</v>
      </c>
      <c r="R7" s="203">
        <f t="shared" ref="R7:R29" si="26">SUM(P7)</f>
        <v>185</v>
      </c>
      <c r="S7" s="203">
        <f t="shared" si="7"/>
        <v>3980.483870967742</v>
      </c>
      <c r="T7" s="203">
        <f t="shared" ref="T7:T29" si="27">SUM(R7)</f>
        <v>185</v>
      </c>
      <c r="U7" s="203">
        <f t="shared" si="8"/>
        <v>3980.483870967742</v>
      </c>
      <c r="V7" s="203">
        <f t="shared" ref="V7:V29" si="28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29">SUM(C7+E7+G7+I7+K7+M7+O7+Q7+S7+U7+W7)</f>
        <v>43785.322580645159</v>
      </c>
      <c r="Z7" s="203">
        <f>'B5'!C6</f>
        <v>192</v>
      </c>
      <c r="AA7" s="203">
        <f t="shared" ref="AA7:AC33" si="30">SUM(Z7*$Z$4)</f>
        <v>1920</v>
      </c>
      <c r="AB7" s="203">
        <f t="shared" ref="AB7:AB29" si="31">SUM(Z7)</f>
        <v>192</v>
      </c>
      <c r="AC7" s="203">
        <f t="shared" si="30"/>
        <v>1920</v>
      </c>
      <c r="AD7" s="203">
        <f t="shared" ref="AD7:AD29" si="32">SUM(AB7)</f>
        <v>192</v>
      </c>
      <c r="AE7" s="203">
        <f t="shared" si="11"/>
        <v>1920</v>
      </c>
      <c r="AF7" s="203">
        <f t="shared" ref="AF7:AF29" si="33">SUM(AD7)</f>
        <v>192</v>
      </c>
      <c r="AG7" s="203">
        <f t="shared" si="12"/>
        <v>1920</v>
      </c>
      <c r="AH7" s="203">
        <f t="shared" ref="AH7:AH29" si="34">SUM(AF7)</f>
        <v>192</v>
      </c>
      <c r="AI7" s="203">
        <f t="shared" si="13"/>
        <v>1920</v>
      </c>
      <c r="AJ7" s="203">
        <f t="shared" ref="AJ7:AJ29" si="35">SUM(AH7)</f>
        <v>192</v>
      </c>
      <c r="AK7" s="203">
        <f t="shared" si="14"/>
        <v>1920</v>
      </c>
      <c r="AL7" s="203">
        <f t="shared" ref="AL7:AL29" si="36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7">SUM(AR7/92970)</f>
        <v>0.6155246055786292</v>
      </c>
      <c r="AR7" s="38">
        <f>Y7+AO7</f>
        <v>57225.322580645159</v>
      </c>
      <c r="AS7" s="197">
        <f t="shared" ref="AS7:AS35" si="38">SUM(AR7-AR6-AT7)</f>
        <v>-6046.9032258064472</v>
      </c>
      <c r="AT7" s="353"/>
      <c r="AU7" s="642"/>
      <c r="AV7" s="511">
        <f>IF(AT7&gt;0,AU7,AV6)</f>
        <v>1.0029999999999999</v>
      </c>
      <c r="AW7" s="289">
        <f>-SUM('B5'!AI6)</f>
        <v>-128</v>
      </c>
      <c r="AX7" s="289">
        <f t="shared" ref="AX7:AX33" si="39">-SUM(AW7-AS7)</f>
        <v>-5918.9032258064472</v>
      </c>
      <c r="AY7" s="37">
        <f t="shared" ref="AY7:AY33" si="40">SUM(AX7+AW7)</f>
        <v>-6046.9032258064472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-394.59354838709646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235</v>
      </c>
      <c r="AA8" s="203">
        <f t="shared" si="30"/>
        <v>2350</v>
      </c>
      <c r="AB8" s="203">
        <f t="shared" si="31"/>
        <v>235</v>
      </c>
      <c r="AC8" s="203">
        <f t="shared" si="30"/>
        <v>2350</v>
      </c>
      <c r="AD8" s="203">
        <f t="shared" si="32"/>
        <v>235</v>
      </c>
      <c r="AE8" s="203">
        <f t="shared" si="11"/>
        <v>2350</v>
      </c>
      <c r="AF8" s="203">
        <f t="shared" si="33"/>
        <v>235</v>
      </c>
      <c r="AG8" s="203">
        <f t="shared" si="12"/>
        <v>2350</v>
      </c>
      <c r="AH8" s="203">
        <f t="shared" si="34"/>
        <v>235</v>
      </c>
      <c r="AI8" s="203">
        <f t="shared" si="13"/>
        <v>2350</v>
      </c>
      <c r="AJ8" s="203">
        <f t="shared" si="35"/>
        <v>235</v>
      </c>
      <c r="AK8" s="203">
        <f t="shared" si="14"/>
        <v>2350</v>
      </c>
      <c r="AL8" s="203">
        <f t="shared" si="36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7"/>
        <v>0.75736744770251951</v>
      </c>
      <c r="AR8" s="38">
        <f t="shared" ref="AR8:AR35" si="42">Y8+AO8</f>
        <v>70412.451612903242</v>
      </c>
      <c r="AS8" s="197">
        <f t="shared" si="38"/>
        <v>-2097.8709677419174</v>
      </c>
      <c r="AT8" s="353">
        <v>15285</v>
      </c>
      <c r="AU8" s="642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3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7"/>
        <v>0.72438074023184718</v>
      </c>
      <c r="AR9" s="38">
        <f t="shared" si="42"/>
        <v>67345.677419354834</v>
      </c>
      <c r="AS9" s="197">
        <f t="shared" si="38"/>
        <v>-3066.7741935484082</v>
      </c>
      <c r="AT9" s="353"/>
      <c r="AU9" s="642"/>
      <c r="AV9" s="511">
        <f t="shared" si="43"/>
        <v>1.0029999999999999</v>
      </c>
      <c r="AW9" s="289">
        <f>-SUM('B5'!AI8)</f>
        <v>-91</v>
      </c>
      <c r="AX9" s="289">
        <f>-SUM(AW9-AS9)</f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18"/>
        <v>4324.7419354838712</v>
      </c>
      <c r="D10">
        <f t="shared" si="19"/>
        <v>201</v>
      </c>
      <c r="E10" s="203">
        <f t="shared" si="18"/>
        <v>4324.7419354838712</v>
      </c>
      <c r="F10">
        <f t="shared" si="20"/>
        <v>201</v>
      </c>
      <c r="G10" s="203">
        <f t="shared" si="1"/>
        <v>4324.7419354838712</v>
      </c>
      <c r="H10" s="203">
        <f t="shared" si="21"/>
        <v>201</v>
      </c>
      <c r="I10" s="203">
        <f t="shared" si="2"/>
        <v>4324.7419354838712</v>
      </c>
      <c r="J10" s="203">
        <f t="shared" si="22"/>
        <v>201</v>
      </c>
      <c r="K10" s="203">
        <f t="shared" si="3"/>
        <v>4324.7419354838712</v>
      </c>
      <c r="L10" s="203">
        <f t="shared" si="23"/>
        <v>201</v>
      </c>
      <c r="M10" s="203">
        <f t="shared" si="4"/>
        <v>4324.7419354838712</v>
      </c>
      <c r="N10" s="203">
        <f t="shared" si="24"/>
        <v>201</v>
      </c>
      <c r="O10" s="203">
        <f t="shared" si="5"/>
        <v>4324.7419354838712</v>
      </c>
      <c r="P10" s="203">
        <f t="shared" si="25"/>
        <v>201</v>
      </c>
      <c r="Q10" s="203">
        <f t="shared" si="6"/>
        <v>4324.7419354838712</v>
      </c>
      <c r="R10" s="203">
        <f t="shared" si="26"/>
        <v>201</v>
      </c>
      <c r="S10" s="203">
        <f t="shared" si="7"/>
        <v>4324.7419354838712</v>
      </c>
      <c r="T10" s="203">
        <f t="shared" si="27"/>
        <v>201</v>
      </c>
      <c r="U10" s="203">
        <f t="shared" si="8"/>
        <v>4324.7419354838712</v>
      </c>
      <c r="V10" s="203">
        <f t="shared" si="28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29"/>
        <v>47572.161290322583</v>
      </c>
      <c r="Z10" s="203">
        <f>'B5'!C9</f>
        <v>208</v>
      </c>
      <c r="AA10" s="203">
        <f t="shared" si="30"/>
        <v>2080</v>
      </c>
      <c r="AB10" s="203">
        <f t="shared" si="31"/>
        <v>208</v>
      </c>
      <c r="AC10" s="203">
        <f t="shared" si="30"/>
        <v>2080</v>
      </c>
      <c r="AD10" s="203">
        <f t="shared" si="32"/>
        <v>208</v>
      </c>
      <c r="AE10" s="203">
        <f t="shared" si="11"/>
        <v>2080</v>
      </c>
      <c r="AF10" s="203">
        <f t="shared" si="33"/>
        <v>208</v>
      </c>
      <c r="AG10" s="203">
        <f t="shared" si="12"/>
        <v>2080</v>
      </c>
      <c r="AH10" s="203">
        <f t="shared" si="34"/>
        <v>208</v>
      </c>
      <c r="AI10" s="203">
        <f t="shared" si="13"/>
        <v>2080</v>
      </c>
      <c r="AJ10" s="203">
        <f t="shared" si="35"/>
        <v>208</v>
      </c>
      <c r="AK10" s="203">
        <f t="shared" si="14"/>
        <v>2080</v>
      </c>
      <c r="AL10" s="203">
        <f t="shared" si="36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7"/>
        <v>0.66830333753170468</v>
      </c>
      <c r="AR10" s="38">
        <f t="shared" si="42"/>
        <v>62132.161290322583</v>
      </c>
      <c r="AS10" s="197">
        <f t="shared" si="38"/>
        <v>-5213.5161290322503</v>
      </c>
      <c r="AT10" s="353"/>
      <c r="AU10" s="642"/>
      <c r="AV10" s="511">
        <f>IF(AT10&gt;0,AU10,AV9)</f>
        <v>1.0029999999999999</v>
      </c>
      <c r="AW10" s="289">
        <f>-SUM('B5'!AI9)</f>
        <v>-242</v>
      </c>
      <c r="AX10" s="289">
        <f>-SUM(AW10-AS10)</f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18"/>
        <v>4045.0322580645161</v>
      </c>
      <c r="D11">
        <f>SUM(B11)</f>
        <v>188</v>
      </c>
      <c r="E11" s="203">
        <f t="shared" si="18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0"/>
        <v>1940</v>
      </c>
      <c r="AB11" s="203">
        <f>SUM(Z11)</f>
        <v>194</v>
      </c>
      <c r="AC11" s="203">
        <f t="shared" si="30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7"/>
        <v>0.62466768676680295</v>
      </c>
      <c r="AR11" s="38">
        <f t="shared" si="42"/>
        <v>58075.354838709674</v>
      </c>
      <c r="AS11" s="197">
        <f t="shared" si="38"/>
        <v>-4056.8064516129089</v>
      </c>
      <c r="AT11" s="353"/>
      <c r="AU11" s="642"/>
      <c r="AV11" s="511">
        <f>IF(AT11&gt;0,AU11,AV10)</f>
        <v>1.0029999999999999</v>
      </c>
      <c r="AW11" s="289">
        <f>-SUM('B5'!AI10)</f>
        <v>-192</v>
      </c>
      <c r="AX11" s="289">
        <f>-SUM(AW11-AS11)</f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188</v>
      </c>
      <c r="C12" s="203">
        <f t="shared" si="18"/>
        <v>4045.0322580645161</v>
      </c>
      <c r="D12">
        <f t="shared" si="19"/>
        <v>188</v>
      </c>
      <c r="E12" s="203">
        <f t="shared" si="18"/>
        <v>4045.0322580645161</v>
      </c>
      <c r="F12">
        <f t="shared" si="20"/>
        <v>188</v>
      </c>
      <c r="G12" s="203">
        <f t="shared" si="1"/>
        <v>4045.0322580645161</v>
      </c>
      <c r="H12" s="203">
        <f t="shared" si="21"/>
        <v>188</v>
      </c>
      <c r="I12" s="203">
        <f t="shared" si="2"/>
        <v>4045.0322580645161</v>
      </c>
      <c r="J12" s="203">
        <f t="shared" si="22"/>
        <v>188</v>
      </c>
      <c r="K12" s="203">
        <f t="shared" si="3"/>
        <v>4045.0322580645161</v>
      </c>
      <c r="L12" s="203">
        <f t="shared" si="23"/>
        <v>188</v>
      </c>
      <c r="M12" s="203">
        <f t="shared" si="4"/>
        <v>4045.0322580645161</v>
      </c>
      <c r="N12" s="203">
        <f t="shared" si="24"/>
        <v>188</v>
      </c>
      <c r="O12" s="203">
        <f t="shared" si="5"/>
        <v>4045.0322580645161</v>
      </c>
      <c r="P12" s="203">
        <f t="shared" si="25"/>
        <v>188</v>
      </c>
      <c r="Q12" s="203">
        <f t="shared" si="6"/>
        <v>4045.0322580645161</v>
      </c>
      <c r="R12" s="203">
        <f t="shared" si="26"/>
        <v>188</v>
      </c>
      <c r="S12" s="203">
        <f t="shared" si="7"/>
        <v>4045.0322580645161</v>
      </c>
      <c r="T12" s="203">
        <f t="shared" si="27"/>
        <v>188</v>
      </c>
      <c r="U12" s="203">
        <f t="shared" si="8"/>
        <v>4045.0322580645161</v>
      </c>
      <c r="V12" s="203">
        <f t="shared" si="28"/>
        <v>188</v>
      </c>
      <c r="W12" s="203">
        <f t="shared" si="9"/>
        <v>4045.0322580645161</v>
      </c>
      <c r="X12" s="35">
        <f t="shared" si="10"/>
        <v>0.6064516129032258</v>
      </c>
      <c r="Y12" s="36">
        <f t="shared" si="29"/>
        <v>44495.354838709674</v>
      </c>
      <c r="Z12" s="203">
        <f>'B5'!C11</f>
        <v>194</v>
      </c>
      <c r="AA12" s="203">
        <f t="shared" si="30"/>
        <v>1940</v>
      </c>
      <c r="AB12" s="203">
        <f t="shared" si="31"/>
        <v>194</v>
      </c>
      <c r="AC12" s="203">
        <f t="shared" si="30"/>
        <v>1940</v>
      </c>
      <c r="AD12" s="203">
        <f t="shared" si="32"/>
        <v>194</v>
      </c>
      <c r="AE12" s="203">
        <f t="shared" si="11"/>
        <v>1940</v>
      </c>
      <c r="AF12" s="203">
        <f t="shared" si="33"/>
        <v>194</v>
      </c>
      <c r="AG12" s="203">
        <f t="shared" si="12"/>
        <v>1940</v>
      </c>
      <c r="AH12" s="203">
        <f t="shared" si="34"/>
        <v>194</v>
      </c>
      <c r="AI12" s="203">
        <f t="shared" si="13"/>
        <v>1940</v>
      </c>
      <c r="AJ12" s="203">
        <f t="shared" si="35"/>
        <v>194</v>
      </c>
      <c r="AK12" s="203">
        <f t="shared" si="14"/>
        <v>1940</v>
      </c>
      <c r="AL12" s="203">
        <f t="shared" si="36"/>
        <v>194</v>
      </c>
      <c r="AM12" s="203">
        <f t="shared" si="15"/>
        <v>1940</v>
      </c>
      <c r="AN12" s="35">
        <f t="shared" si="16"/>
        <v>0.69285714285714284</v>
      </c>
      <c r="AO12" s="36">
        <f t="shared" si="17"/>
        <v>13580</v>
      </c>
      <c r="AP12" s="553"/>
      <c r="AQ12" s="223">
        <f t="shared" si="37"/>
        <v>0.62466768676680295</v>
      </c>
      <c r="AR12" s="38">
        <f t="shared" si="42"/>
        <v>58075.354838709674</v>
      </c>
      <c r="AS12" s="197">
        <f t="shared" si="38"/>
        <v>0</v>
      </c>
      <c r="AT12" s="353"/>
      <c r="AU12" s="642"/>
      <c r="AV12" s="511">
        <f t="shared" si="43"/>
        <v>1.0029999999999999</v>
      </c>
      <c r="AW12" s="289">
        <f>-SUM('B5'!AI11)</f>
        <v>0</v>
      </c>
      <c r="AX12" s="289">
        <f t="shared" si="3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2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78" t="e">
        <f>GEN!AF9</f>
        <v>#DIV/0!</v>
      </c>
    </row>
    <row r="13" spans="1:63">
      <c r="A13" s="441">
        <f>ELEC!C11</f>
        <v>44355</v>
      </c>
      <c r="B13">
        <f>'B5'!B12</f>
        <v>188</v>
      </c>
      <c r="C13" s="203">
        <f t="shared" si="18"/>
        <v>4045.0322580645161</v>
      </c>
      <c r="D13">
        <f t="shared" si="19"/>
        <v>188</v>
      </c>
      <c r="E13" s="203">
        <f t="shared" si="18"/>
        <v>4045.0322580645161</v>
      </c>
      <c r="F13">
        <f t="shared" si="20"/>
        <v>188</v>
      </c>
      <c r="G13" s="203">
        <f t="shared" si="1"/>
        <v>4045.0322580645161</v>
      </c>
      <c r="H13" s="203">
        <f t="shared" si="21"/>
        <v>188</v>
      </c>
      <c r="I13" s="203">
        <f t="shared" si="2"/>
        <v>4045.0322580645161</v>
      </c>
      <c r="J13" s="203">
        <f t="shared" si="22"/>
        <v>188</v>
      </c>
      <c r="K13" s="203">
        <f t="shared" si="3"/>
        <v>4045.0322580645161</v>
      </c>
      <c r="L13" s="203">
        <f t="shared" si="23"/>
        <v>188</v>
      </c>
      <c r="M13" s="203">
        <f t="shared" si="4"/>
        <v>4045.0322580645161</v>
      </c>
      <c r="N13" s="203">
        <f t="shared" si="24"/>
        <v>188</v>
      </c>
      <c r="O13" s="203">
        <f t="shared" si="5"/>
        <v>4045.0322580645161</v>
      </c>
      <c r="P13" s="203">
        <f t="shared" si="25"/>
        <v>188</v>
      </c>
      <c r="Q13" s="203">
        <f t="shared" si="6"/>
        <v>4045.0322580645161</v>
      </c>
      <c r="R13" s="203">
        <f t="shared" si="26"/>
        <v>188</v>
      </c>
      <c r="S13" s="203">
        <f t="shared" si="7"/>
        <v>4045.0322580645161</v>
      </c>
      <c r="T13" s="203">
        <f t="shared" si="27"/>
        <v>188</v>
      </c>
      <c r="U13" s="203">
        <f t="shared" si="8"/>
        <v>4045.0322580645161</v>
      </c>
      <c r="V13" s="203">
        <f t="shared" si="28"/>
        <v>188</v>
      </c>
      <c r="W13" s="203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3">
        <f>'B5'!C12</f>
        <v>194</v>
      </c>
      <c r="AA13" s="203">
        <f t="shared" si="30"/>
        <v>1940</v>
      </c>
      <c r="AB13" s="203">
        <f t="shared" si="31"/>
        <v>194</v>
      </c>
      <c r="AC13" s="203">
        <f t="shared" si="30"/>
        <v>1940</v>
      </c>
      <c r="AD13" s="203">
        <f t="shared" si="32"/>
        <v>194</v>
      </c>
      <c r="AE13" s="203">
        <f t="shared" si="11"/>
        <v>1940</v>
      </c>
      <c r="AF13" s="203">
        <f t="shared" si="33"/>
        <v>194</v>
      </c>
      <c r="AG13" s="203">
        <f t="shared" si="12"/>
        <v>1940</v>
      </c>
      <c r="AH13" s="203">
        <f t="shared" si="34"/>
        <v>194</v>
      </c>
      <c r="AI13" s="203">
        <f t="shared" si="13"/>
        <v>1940</v>
      </c>
      <c r="AJ13" s="203">
        <f t="shared" si="35"/>
        <v>194</v>
      </c>
      <c r="AK13" s="203">
        <f t="shared" si="14"/>
        <v>1940</v>
      </c>
      <c r="AL13" s="203">
        <f t="shared" si="36"/>
        <v>194</v>
      </c>
      <c r="AM13" s="203">
        <f t="shared" si="15"/>
        <v>1940</v>
      </c>
      <c r="AN13" s="35">
        <f t="shared" si="16"/>
        <v>0.69285714285714284</v>
      </c>
      <c r="AO13" s="36">
        <f t="shared" si="17"/>
        <v>13580</v>
      </c>
      <c r="AP13" s="553"/>
      <c r="AQ13" s="223">
        <f t="shared" si="37"/>
        <v>0.62466768676680295</v>
      </c>
      <c r="AR13" s="38">
        <f t="shared" si="42"/>
        <v>58075.354838709674</v>
      </c>
      <c r="AS13" s="197">
        <f t="shared" si="38"/>
        <v>0</v>
      </c>
      <c r="AT13" s="353"/>
      <c r="AU13" s="642"/>
      <c r="AV13" s="511">
        <f t="shared" si="43"/>
        <v>1.0029999999999999</v>
      </c>
      <c r="AW13" s="289">
        <f>-SUM('B5'!AI12)</f>
        <v>0</v>
      </c>
      <c r="AX13" s="289">
        <f t="shared" si="3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2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8" t="e">
        <f>GEN!AF10</f>
        <v>#DIV/0!</v>
      </c>
    </row>
    <row r="14" spans="1:63">
      <c r="A14" s="441">
        <f>ELEC!C12</f>
        <v>44356</v>
      </c>
      <c r="B14">
        <f>'B5'!B13</f>
        <v>188</v>
      </c>
      <c r="C14" s="203">
        <f t="shared" si="18"/>
        <v>4045.0322580645161</v>
      </c>
      <c r="D14">
        <f t="shared" si="19"/>
        <v>188</v>
      </c>
      <c r="E14" s="203">
        <f t="shared" si="18"/>
        <v>4045.0322580645161</v>
      </c>
      <c r="F14">
        <f t="shared" si="20"/>
        <v>188</v>
      </c>
      <c r="G14" s="203">
        <f t="shared" si="1"/>
        <v>4045.0322580645161</v>
      </c>
      <c r="H14" s="203">
        <f t="shared" si="21"/>
        <v>188</v>
      </c>
      <c r="I14" s="203">
        <f t="shared" si="2"/>
        <v>4045.0322580645161</v>
      </c>
      <c r="J14" s="203">
        <f t="shared" si="22"/>
        <v>188</v>
      </c>
      <c r="K14" s="203">
        <f t="shared" si="3"/>
        <v>4045.0322580645161</v>
      </c>
      <c r="L14" s="203">
        <f t="shared" si="23"/>
        <v>188</v>
      </c>
      <c r="M14" s="203">
        <f t="shared" si="4"/>
        <v>4045.0322580645161</v>
      </c>
      <c r="N14" s="203">
        <f t="shared" si="24"/>
        <v>188</v>
      </c>
      <c r="O14" s="203">
        <f t="shared" si="5"/>
        <v>4045.0322580645161</v>
      </c>
      <c r="P14" s="203">
        <f t="shared" si="25"/>
        <v>188</v>
      </c>
      <c r="Q14" s="203">
        <f t="shared" si="6"/>
        <v>4045.0322580645161</v>
      </c>
      <c r="R14" s="203">
        <f t="shared" si="26"/>
        <v>188</v>
      </c>
      <c r="S14" s="203">
        <f t="shared" si="7"/>
        <v>4045.0322580645161</v>
      </c>
      <c r="T14" s="203">
        <f t="shared" si="27"/>
        <v>188</v>
      </c>
      <c r="U14" s="203">
        <f t="shared" si="8"/>
        <v>4045.0322580645161</v>
      </c>
      <c r="V14" s="203">
        <f t="shared" si="28"/>
        <v>188</v>
      </c>
      <c r="W14" s="203">
        <f t="shared" si="9"/>
        <v>4045.0322580645161</v>
      </c>
      <c r="X14" s="35">
        <f t="shared" si="10"/>
        <v>0.6064516129032258</v>
      </c>
      <c r="Y14" s="36">
        <f t="shared" si="29"/>
        <v>44495.354838709674</v>
      </c>
      <c r="Z14" s="203">
        <f>'B5'!C13</f>
        <v>194</v>
      </c>
      <c r="AA14" s="203">
        <f t="shared" si="30"/>
        <v>1940</v>
      </c>
      <c r="AB14" s="203">
        <f t="shared" si="31"/>
        <v>194</v>
      </c>
      <c r="AC14" s="203">
        <f t="shared" si="30"/>
        <v>1940</v>
      </c>
      <c r="AD14" s="203">
        <f t="shared" si="32"/>
        <v>194</v>
      </c>
      <c r="AE14" s="203">
        <f t="shared" si="11"/>
        <v>1940</v>
      </c>
      <c r="AF14" s="203">
        <f t="shared" si="33"/>
        <v>194</v>
      </c>
      <c r="AG14" s="203">
        <f t="shared" si="12"/>
        <v>1940</v>
      </c>
      <c r="AH14" s="203">
        <f t="shared" si="34"/>
        <v>194</v>
      </c>
      <c r="AI14" s="203">
        <f t="shared" si="13"/>
        <v>1940</v>
      </c>
      <c r="AJ14" s="203">
        <f t="shared" si="35"/>
        <v>194</v>
      </c>
      <c r="AK14" s="203">
        <f t="shared" si="14"/>
        <v>1940</v>
      </c>
      <c r="AL14" s="203">
        <f t="shared" si="36"/>
        <v>194</v>
      </c>
      <c r="AM14" s="203">
        <f t="shared" si="15"/>
        <v>1940</v>
      </c>
      <c r="AN14" s="35">
        <f t="shared" si="16"/>
        <v>0.69285714285714284</v>
      </c>
      <c r="AO14" s="36">
        <f t="shared" si="17"/>
        <v>13580</v>
      </c>
      <c r="AQ14" s="223">
        <f t="shared" si="37"/>
        <v>0.62466768676680295</v>
      </c>
      <c r="AR14" s="38">
        <f t="shared" si="42"/>
        <v>58075.354838709674</v>
      </c>
      <c r="AS14" s="197">
        <f t="shared" si="38"/>
        <v>0</v>
      </c>
      <c r="AT14" s="353"/>
      <c r="AU14" s="642"/>
      <c r="AV14" s="511">
        <f t="shared" si="43"/>
        <v>1.0029999999999999</v>
      </c>
      <c r="AW14" s="289">
        <f>-SUM('B5'!AI13)</f>
        <v>0</v>
      </c>
      <c r="AX14" s="289">
        <f t="shared" si="3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2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8" t="e">
        <f>GEN!AF11</f>
        <v>#DIV/0!</v>
      </c>
    </row>
    <row r="15" spans="1:63" ht="13.5" customHeight="1">
      <c r="A15" s="441">
        <f>ELEC!C13</f>
        <v>44357</v>
      </c>
      <c r="B15">
        <f>'B5'!B14</f>
        <v>188</v>
      </c>
      <c r="C15" s="203">
        <f>B15*$B$4</f>
        <v>4045.0322580645161</v>
      </c>
      <c r="D15">
        <f t="shared" si="19"/>
        <v>188</v>
      </c>
      <c r="E15" s="203">
        <f t="shared" si="18"/>
        <v>4045.0322580645161</v>
      </c>
      <c r="F15">
        <f t="shared" si="20"/>
        <v>188</v>
      </c>
      <c r="G15" s="203">
        <f t="shared" si="1"/>
        <v>4045.0322580645161</v>
      </c>
      <c r="H15" s="203">
        <f t="shared" si="21"/>
        <v>188</v>
      </c>
      <c r="I15" s="203">
        <f t="shared" si="2"/>
        <v>4045.0322580645161</v>
      </c>
      <c r="J15" s="203">
        <f t="shared" si="22"/>
        <v>188</v>
      </c>
      <c r="K15" s="203">
        <f t="shared" si="3"/>
        <v>4045.0322580645161</v>
      </c>
      <c r="L15" s="203">
        <f t="shared" si="23"/>
        <v>188</v>
      </c>
      <c r="M15" s="203">
        <f t="shared" si="4"/>
        <v>4045.0322580645161</v>
      </c>
      <c r="N15" s="203">
        <f t="shared" si="24"/>
        <v>188</v>
      </c>
      <c r="O15" s="203">
        <f t="shared" si="5"/>
        <v>4045.0322580645161</v>
      </c>
      <c r="P15" s="203">
        <f t="shared" si="25"/>
        <v>188</v>
      </c>
      <c r="Q15" s="203">
        <f t="shared" si="6"/>
        <v>4045.0322580645161</v>
      </c>
      <c r="R15" s="203">
        <f t="shared" si="26"/>
        <v>188</v>
      </c>
      <c r="S15" s="203">
        <f t="shared" si="7"/>
        <v>4045.0322580645161</v>
      </c>
      <c r="T15" s="203">
        <f t="shared" si="27"/>
        <v>188</v>
      </c>
      <c r="U15" s="203">
        <f t="shared" si="8"/>
        <v>4045.0322580645161</v>
      </c>
      <c r="V15" s="203">
        <f t="shared" si="28"/>
        <v>188</v>
      </c>
      <c r="W15" s="203">
        <f t="shared" si="9"/>
        <v>4045.0322580645161</v>
      </c>
      <c r="X15" s="35">
        <f t="shared" si="10"/>
        <v>0.6064516129032258</v>
      </c>
      <c r="Y15" s="36">
        <f t="shared" si="29"/>
        <v>44495.354838709674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0.62466768676680295</v>
      </c>
      <c r="AR15" s="38">
        <f t="shared" si="42"/>
        <v>58075.354838709674</v>
      </c>
      <c r="AS15" s="197">
        <f t="shared" si="38"/>
        <v>0</v>
      </c>
      <c r="AT15" s="353"/>
      <c r="AU15" s="642"/>
      <c r="AV15" s="511">
        <f>IF(AT15&gt;0,AU15,AV14)</f>
        <v>1.0029999999999999</v>
      </c>
      <c r="AW15" s="289">
        <f>-SUM('B5'!AI14)</f>
        <v>0</v>
      </c>
      <c r="AX15" s="289">
        <f>-SUM(AW15-AS15)</f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92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78" t="e">
        <f>GEN!AF12</f>
        <v>#DIV/0!</v>
      </c>
    </row>
    <row r="16" spans="1:63">
      <c r="A16" s="441">
        <f>ELEC!C14</f>
        <v>44358</v>
      </c>
      <c r="B16">
        <f>'B5'!B15</f>
        <v>188</v>
      </c>
      <c r="C16" s="203">
        <f t="shared" si="18"/>
        <v>4045.0322580645161</v>
      </c>
      <c r="D16">
        <f t="shared" si="19"/>
        <v>188</v>
      </c>
      <c r="E16" s="203">
        <f t="shared" si="18"/>
        <v>4045.0322580645161</v>
      </c>
      <c r="F16">
        <f t="shared" si="20"/>
        <v>188</v>
      </c>
      <c r="G16" s="203">
        <f t="shared" si="1"/>
        <v>4045.0322580645161</v>
      </c>
      <c r="H16" s="203">
        <f t="shared" si="21"/>
        <v>188</v>
      </c>
      <c r="I16" s="203">
        <f t="shared" si="2"/>
        <v>4045.0322580645161</v>
      </c>
      <c r="J16" s="203">
        <f t="shared" si="22"/>
        <v>188</v>
      </c>
      <c r="K16" s="203">
        <f t="shared" si="3"/>
        <v>4045.0322580645161</v>
      </c>
      <c r="L16" s="203">
        <f t="shared" si="23"/>
        <v>188</v>
      </c>
      <c r="M16" s="203">
        <f t="shared" si="4"/>
        <v>4045.0322580645161</v>
      </c>
      <c r="N16" s="203">
        <f t="shared" si="24"/>
        <v>188</v>
      </c>
      <c r="O16" s="203">
        <f t="shared" si="5"/>
        <v>4045.0322580645161</v>
      </c>
      <c r="P16" s="203">
        <f t="shared" si="25"/>
        <v>188</v>
      </c>
      <c r="Q16" s="203">
        <f t="shared" si="6"/>
        <v>4045.0322580645161</v>
      </c>
      <c r="R16" s="203">
        <f t="shared" si="26"/>
        <v>188</v>
      </c>
      <c r="S16" s="203">
        <f t="shared" si="7"/>
        <v>4045.0322580645161</v>
      </c>
      <c r="T16" s="203">
        <f t="shared" si="27"/>
        <v>188</v>
      </c>
      <c r="U16" s="203">
        <f t="shared" si="8"/>
        <v>4045.0322580645161</v>
      </c>
      <c r="V16" s="203">
        <f t="shared" si="28"/>
        <v>188</v>
      </c>
      <c r="W16" s="203">
        <f t="shared" si="9"/>
        <v>4045.0322580645161</v>
      </c>
      <c r="X16" s="35">
        <f t="shared" si="10"/>
        <v>0.6064516129032258</v>
      </c>
      <c r="Y16" s="36">
        <f t="shared" si="29"/>
        <v>44495.354838709674</v>
      </c>
      <c r="Z16" s="203">
        <f>'B5'!C15</f>
        <v>194</v>
      </c>
      <c r="AA16" s="203">
        <f t="shared" si="30"/>
        <v>1940</v>
      </c>
      <c r="AB16" s="203">
        <f t="shared" si="31"/>
        <v>194</v>
      </c>
      <c r="AC16" s="203">
        <f t="shared" si="30"/>
        <v>1940</v>
      </c>
      <c r="AD16" s="203">
        <f t="shared" si="32"/>
        <v>194</v>
      </c>
      <c r="AE16" s="203">
        <f t="shared" si="11"/>
        <v>1940</v>
      </c>
      <c r="AF16" s="203">
        <f t="shared" si="33"/>
        <v>194</v>
      </c>
      <c r="AG16" s="203">
        <f t="shared" si="12"/>
        <v>1940</v>
      </c>
      <c r="AH16" s="203">
        <f t="shared" si="34"/>
        <v>194</v>
      </c>
      <c r="AI16" s="203">
        <f t="shared" si="13"/>
        <v>1940</v>
      </c>
      <c r="AJ16" s="203">
        <f t="shared" si="35"/>
        <v>194</v>
      </c>
      <c r="AK16" s="203">
        <f t="shared" si="14"/>
        <v>1940</v>
      </c>
      <c r="AL16" s="203">
        <f t="shared" si="36"/>
        <v>194</v>
      </c>
      <c r="AM16" s="203">
        <f t="shared" si="15"/>
        <v>1940</v>
      </c>
      <c r="AN16" s="35">
        <f t="shared" si="16"/>
        <v>0.69285714285714284</v>
      </c>
      <c r="AO16" s="36">
        <f t="shared" si="17"/>
        <v>13580</v>
      </c>
      <c r="AQ16" s="223">
        <f t="shared" si="37"/>
        <v>0.62466768676680295</v>
      </c>
      <c r="AR16" s="38">
        <f t="shared" si="42"/>
        <v>58075.354838709674</v>
      </c>
      <c r="AS16" s="197">
        <f t="shared" si="38"/>
        <v>0</v>
      </c>
      <c r="AT16" s="353"/>
      <c r="AU16" s="644"/>
      <c r="AV16" s="511">
        <f>IF(AT16&gt;0,AU16,AV15)</f>
        <v>1.0029999999999999</v>
      </c>
      <c r="AW16" s="289">
        <f>-SUM('B5'!AI15)</f>
        <v>0</v>
      </c>
      <c r="AX16" s="289">
        <f>-SUM(AW16-AS16)</f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92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78" t="e">
        <f>GEN!AF13</f>
        <v>#DIV/0!</v>
      </c>
    </row>
    <row r="17" spans="1:64">
      <c r="A17" s="441">
        <f>ELEC!C15</f>
        <v>44359</v>
      </c>
      <c r="B17">
        <f>'B5'!B16</f>
        <v>188</v>
      </c>
      <c r="C17" s="203">
        <f t="shared" si="18"/>
        <v>4045.0322580645161</v>
      </c>
      <c r="D17">
        <f t="shared" si="19"/>
        <v>188</v>
      </c>
      <c r="E17" s="203">
        <f t="shared" si="18"/>
        <v>4045.0322580645161</v>
      </c>
      <c r="F17">
        <f t="shared" si="20"/>
        <v>188</v>
      </c>
      <c r="G17" s="203">
        <f t="shared" si="1"/>
        <v>4045.0322580645161</v>
      </c>
      <c r="H17" s="203">
        <f t="shared" si="21"/>
        <v>188</v>
      </c>
      <c r="I17" s="203">
        <f t="shared" si="2"/>
        <v>4045.0322580645161</v>
      </c>
      <c r="J17" s="203">
        <f t="shared" si="22"/>
        <v>188</v>
      </c>
      <c r="K17" s="203">
        <f t="shared" si="3"/>
        <v>4045.0322580645161</v>
      </c>
      <c r="L17" s="203">
        <f t="shared" si="23"/>
        <v>188</v>
      </c>
      <c r="M17" s="203">
        <f t="shared" si="4"/>
        <v>4045.0322580645161</v>
      </c>
      <c r="N17" s="203">
        <f t="shared" si="24"/>
        <v>188</v>
      </c>
      <c r="O17" s="203">
        <f t="shared" si="5"/>
        <v>4045.0322580645161</v>
      </c>
      <c r="P17" s="203">
        <f t="shared" si="25"/>
        <v>188</v>
      </c>
      <c r="Q17" s="203">
        <f t="shared" si="6"/>
        <v>4045.0322580645161</v>
      </c>
      <c r="R17" s="203">
        <f t="shared" si="26"/>
        <v>188</v>
      </c>
      <c r="S17" s="203">
        <f t="shared" si="7"/>
        <v>4045.0322580645161</v>
      </c>
      <c r="T17" s="203">
        <f t="shared" si="27"/>
        <v>188</v>
      </c>
      <c r="U17" s="203">
        <f t="shared" si="8"/>
        <v>4045.0322580645161</v>
      </c>
      <c r="V17" s="203">
        <f t="shared" si="28"/>
        <v>188</v>
      </c>
      <c r="W17" s="203">
        <f t="shared" si="9"/>
        <v>4045.0322580645161</v>
      </c>
      <c r="X17" s="35">
        <f t="shared" si="10"/>
        <v>0.6064516129032258</v>
      </c>
      <c r="Y17" s="36">
        <f t="shared" si="29"/>
        <v>44495.354838709674</v>
      </c>
      <c r="Z17" s="203">
        <f>'B5'!C16</f>
        <v>194</v>
      </c>
      <c r="AA17" s="203">
        <f t="shared" si="30"/>
        <v>1940</v>
      </c>
      <c r="AB17" s="203">
        <f t="shared" si="31"/>
        <v>194</v>
      </c>
      <c r="AC17" s="203">
        <f t="shared" si="30"/>
        <v>1940</v>
      </c>
      <c r="AD17" s="203">
        <f t="shared" si="32"/>
        <v>194</v>
      </c>
      <c r="AE17" s="203">
        <f t="shared" si="11"/>
        <v>1940</v>
      </c>
      <c r="AF17" s="203">
        <f t="shared" si="33"/>
        <v>194</v>
      </c>
      <c r="AG17" s="203">
        <f t="shared" si="12"/>
        <v>1940</v>
      </c>
      <c r="AH17" s="203">
        <f t="shared" si="34"/>
        <v>194</v>
      </c>
      <c r="AI17" s="203">
        <f t="shared" si="13"/>
        <v>1940</v>
      </c>
      <c r="AJ17" s="203">
        <f t="shared" si="35"/>
        <v>194</v>
      </c>
      <c r="AK17" s="203">
        <f t="shared" si="14"/>
        <v>1940</v>
      </c>
      <c r="AL17" s="203">
        <f t="shared" si="36"/>
        <v>194</v>
      </c>
      <c r="AM17" s="203">
        <f t="shared" si="15"/>
        <v>1940</v>
      </c>
      <c r="AN17" s="35">
        <f t="shared" si="16"/>
        <v>0.69285714285714284</v>
      </c>
      <c r="AO17" s="36">
        <f>SUM(AA17+AC17+AE17+AG17+AI17+AK17+AM17)</f>
        <v>13580</v>
      </c>
      <c r="AQ17" s="223">
        <f t="shared" si="37"/>
        <v>0.62466768676680295</v>
      </c>
      <c r="AR17" s="38">
        <f t="shared" si="42"/>
        <v>58075.354838709674</v>
      </c>
      <c r="AS17" s="197">
        <f t="shared" si="38"/>
        <v>0</v>
      </c>
      <c r="AT17" s="353"/>
      <c r="AU17" s="642"/>
      <c r="AV17" s="511">
        <f t="shared" si="43"/>
        <v>1.0029999999999999</v>
      </c>
      <c r="AW17" s="289">
        <f>-SUM('B5'!AI16)</f>
        <v>0</v>
      </c>
      <c r="AX17" s="289">
        <f t="shared" si="3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92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188</v>
      </c>
      <c r="C18" s="203">
        <f t="shared" si="18"/>
        <v>4045.0322580645161</v>
      </c>
      <c r="D18">
        <f t="shared" si="19"/>
        <v>188</v>
      </c>
      <c r="E18" s="203">
        <f t="shared" si="18"/>
        <v>4045.0322580645161</v>
      </c>
      <c r="F18">
        <f t="shared" si="20"/>
        <v>188</v>
      </c>
      <c r="G18" s="203">
        <f t="shared" si="1"/>
        <v>4045.0322580645161</v>
      </c>
      <c r="H18" s="203">
        <f t="shared" si="21"/>
        <v>188</v>
      </c>
      <c r="I18" s="203">
        <f t="shared" si="2"/>
        <v>4045.0322580645161</v>
      </c>
      <c r="J18" s="203">
        <f t="shared" si="22"/>
        <v>188</v>
      </c>
      <c r="K18" s="203">
        <f t="shared" si="3"/>
        <v>4045.0322580645161</v>
      </c>
      <c r="L18" s="203">
        <f t="shared" si="23"/>
        <v>188</v>
      </c>
      <c r="M18" s="203">
        <f t="shared" si="4"/>
        <v>4045.0322580645161</v>
      </c>
      <c r="N18" s="203">
        <f t="shared" si="24"/>
        <v>188</v>
      </c>
      <c r="O18" s="203">
        <f t="shared" si="5"/>
        <v>4045.0322580645161</v>
      </c>
      <c r="P18" s="203">
        <f t="shared" si="25"/>
        <v>188</v>
      </c>
      <c r="Q18" s="203">
        <f t="shared" si="6"/>
        <v>4045.0322580645161</v>
      </c>
      <c r="R18" s="203">
        <f t="shared" si="26"/>
        <v>188</v>
      </c>
      <c r="S18" s="203">
        <f t="shared" si="7"/>
        <v>4045.0322580645161</v>
      </c>
      <c r="T18" s="203">
        <f t="shared" si="27"/>
        <v>188</v>
      </c>
      <c r="U18" s="203">
        <f t="shared" si="8"/>
        <v>4045.0322580645161</v>
      </c>
      <c r="V18" s="203">
        <f t="shared" si="28"/>
        <v>188</v>
      </c>
      <c r="W18" s="203">
        <f t="shared" si="9"/>
        <v>4045.0322580645161</v>
      </c>
      <c r="X18" s="35">
        <f t="shared" si="10"/>
        <v>0.6064516129032258</v>
      </c>
      <c r="Y18" s="36">
        <f t="shared" si="29"/>
        <v>44495.354838709674</v>
      </c>
      <c r="Z18" s="203">
        <f>'B5'!C17</f>
        <v>194</v>
      </c>
      <c r="AA18" s="203">
        <f t="shared" si="30"/>
        <v>1940</v>
      </c>
      <c r="AB18" s="203">
        <f t="shared" si="31"/>
        <v>194</v>
      </c>
      <c r="AC18" s="203">
        <f t="shared" si="30"/>
        <v>1940</v>
      </c>
      <c r="AD18" s="203">
        <f t="shared" si="32"/>
        <v>194</v>
      </c>
      <c r="AE18" s="203">
        <f t="shared" si="11"/>
        <v>1940</v>
      </c>
      <c r="AF18" s="203">
        <f t="shared" si="33"/>
        <v>194</v>
      </c>
      <c r="AG18" s="203">
        <f t="shared" si="12"/>
        <v>1940</v>
      </c>
      <c r="AH18" s="203">
        <f t="shared" si="34"/>
        <v>194</v>
      </c>
      <c r="AI18" s="203">
        <f t="shared" si="13"/>
        <v>1940</v>
      </c>
      <c r="AJ18" s="203">
        <f t="shared" si="35"/>
        <v>194</v>
      </c>
      <c r="AK18" s="203">
        <f t="shared" si="14"/>
        <v>1940</v>
      </c>
      <c r="AL18" s="203">
        <f t="shared" si="36"/>
        <v>194</v>
      </c>
      <c r="AM18" s="203">
        <f t="shared" si="15"/>
        <v>1940</v>
      </c>
      <c r="AN18" s="35">
        <f t="shared" si="16"/>
        <v>0.69285714285714284</v>
      </c>
      <c r="AO18" s="36">
        <f t="shared" si="17"/>
        <v>13580</v>
      </c>
      <c r="AQ18" s="223">
        <f t="shared" si="37"/>
        <v>0.62466768676680295</v>
      </c>
      <c r="AR18" s="38">
        <f t="shared" si="42"/>
        <v>58075.354838709674</v>
      </c>
      <c r="AS18" s="197">
        <f t="shared" si="38"/>
        <v>0</v>
      </c>
      <c r="AT18" s="353"/>
      <c r="AU18" s="642"/>
      <c r="AV18" s="511">
        <f>IF(AT18&gt;0,AU18,AV17)</f>
        <v>1.0029999999999999</v>
      </c>
      <c r="AW18" s="289">
        <f>-SUM('B5'!AI17)</f>
        <v>0</v>
      </c>
      <c r="AX18" s="289">
        <f t="shared" si="3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92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188</v>
      </c>
      <c r="C19" s="203">
        <f t="shared" si="18"/>
        <v>4045.0322580645161</v>
      </c>
      <c r="D19">
        <f t="shared" si="19"/>
        <v>188</v>
      </c>
      <c r="E19" s="203">
        <f t="shared" si="18"/>
        <v>4045.0322580645161</v>
      </c>
      <c r="F19">
        <f t="shared" si="20"/>
        <v>188</v>
      </c>
      <c r="G19" s="203">
        <f t="shared" si="1"/>
        <v>4045.0322580645161</v>
      </c>
      <c r="H19" s="203">
        <f t="shared" si="21"/>
        <v>188</v>
      </c>
      <c r="I19" s="203">
        <f t="shared" si="2"/>
        <v>4045.0322580645161</v>
      </c>
      <c r="J19" s="203">
        <f t="shared" si="22"/>
        <v>188</v>
      </c>
      <c r="K19" s="203">
        <f t="shared" si="3"/>
        <v>4045.0322580645161</v>
      </c>
      <c r="L19" s="203">
        <f t="shared" si="23"/>
        <v>188</v>
      </c>
      <c r="M19" s="203">
        <f t="shared" si="4"/>
        <v>4045.0322580645161</v>
      </c>
      <c r="N19" s="203">
        <f t="shared" si="24"/>
        <v>188</v>
      </c>
      <c r="O19" s="203">
        <f t="shared" si="5"/>
        <v>4045.0322580645161</v>
      </c>
      <c r="P19" s="203">
        <f t="shared" si="25"/>
        <v>188</v>
      </c>
      <c r="Q19" s="203">
        <f t="shared" si="6"/>
        <v>4045.0322580645161</v>
      </c>
      <c r="R19" s="203">
        <f t="shared" si="26"/>
        <v>188</v>
      </c>
      <c r="S19" s="203">
        <f t="shared" si="7"/>
        <v>4045.0322580645161</v>
      </c>
      <c r="T19" s="203">
        <f t="shared" si="27"/>
        <v>188</v>
      </c>
      <c r="U19" s="203">
        <f t="shared" si="8"/>
        <v>4045.0322580645161</v>
      </c>
      <c r="V19" s="203">
        <f t="shared" si="28"/>
        <v>188</v>
      </c>
      <c r="W19" s="203">
        <f t="shared" si="9"/>
        <v>4045.0322580645161</v>
      </c>
      <c r="X19" s="35">
        <f t="shared" si="10"/>
        <v>0.6064516129032258</v>
      </c>
      <c r="Y19" s="36">
        <f t="shared" si="29"/>
        <v>44495.354838709674</v>
      </c>
      <c r="Z19" s="203">
        <f>'B5'!C18</f>
        <v>194</v>
      </c>
      <c r="AA19" s="203">
        <f t="shared" si="30"/>
        <v>1940</v>
      </c>
      <c r="AB19" s="203">
        <f t="shared" si="31"/>
        <v>194</v>
      </c>
      <c r="AC19" s="203">
        <f t="shared" si="30"/>
        <v>1940</v>
      </c>
      <c r="AD19" s="203">
        <f t="shared" si="32"/>
        <v>194</v>
      </c>
      <c r="AE19" s="203">
        <f t="shared" si="11"/>
        <v>1940</v>
      </c>
      <c r="AF19" s="203">
        <f t="shared" si="33"/>
        <v>194</v>
      </c>
      <c r="AG19" s="203">
        <f t="shared" si="12"/>
        <v>1940</v>
      </c>
      <c r="AH19" s="203">
        <f t="shared" si="34"/>
        <v>194</v>
      </c>
      <c r="AI19" s="203">
        <f t="shared" si="13"/>
        <v>1940</v>
      </c>
      <c r="AJ19" s="203">
        <f t="shared" si="35"/>
        <v>194</v>
      </c>
      <c r="AK19" s="203">
        <f t="shared" si="14"/>
        <v>1940</v>
      </c>
      <c r="AL19" s="203">
        <f t="shared" si="36"/>
        <v>194</v>
      </c>
      <c r="AM19" s="203">
        <f t="shared" si="15"/>
        <v>1940</v>
      </c>
      <c r="AN19" s="35">
        <f t="shared" si="16"/>
        <v>0.69285714285714284</v>
      </c>
      <c r="AO19" s="36">
        <f t="shared" si="17"/>
        <v>13580</v>
      </c>
      <c r="AQ19" s="223">
        <f t="shared" si="37"/>
        <v>0.62466768676680295</v>
      </c>
      <c r="AR19" s="38">
        <f t="shared" si="42"/>
        <v>58075.354838709674</v>
      </c>
      <c r="AS19" s="197">
        <f t="shared" si="38"/>
        <v>0</v>
      </c>
      <c r="AT19" s="353"/>
      <c r="AU19" s="642"/>
      <c r="AV19" s="511">
        <f t="shared" si="43"/>
        <v>1.0029999999999999</v>
      </c>
      <c r="AW19" s="289">
        <f>-SUM('B5'!AI18)</f>
        <v>0</v>
      </c>
      <c r="AX19" s="289">
        <f t="shared" si="3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2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188</v>
      </c>
      <c r="C20" s="203">
        <f t="shared" si="18"/>
        <v>4045.0322580645161</v>
      </c>
      <c r="D20">
        <f t="shared" si="19"/>
        <v>188</v>
      </c>
      <c r="E20" s="203">
        <f t="shared" si="18"/>
        <v>4045.0322580645161</v>
      </c>
      <c r="F20">
        <f t="shared" si="20"/>
        <v>188</v>
      </c>
      <c r="G20" s="203">
        <f t="shared" si="1"/>
        <v>4045.0322580645161</v>
      </c>
      <c r="H20" s="203">
        <f t="shared" si="21"/>
        <v>188</v>
      </c>
      <c r="I20" s="203">
        <f t="shared" si="2"/>
        <v>4045.0322580645161</v>
      </c>
      <c r="J20" s="203">
        <f t="shared" si="22"/>
        <v>188</v>
      </c>
      <c r="K20" s="203">
        <f t="shared" si="3"/>
        <v>4045.0322580645161</v>
      </c>
      <c r="L20" s="203">
        <f t="shared" si="23"/>
        <v>188</v>
      </c>
      <c r="M20" s="203">
        <f t="shared" si="4"/>
        <v>4045.0322580645161</v>
      </c>
      <c r="N20" s="203">
        <f t="shared" si="24"/>
        <v>188</v>
      </c>
      <c r="O20" s="203">
        <f t="shared" si="5"/>
        <v>4045.0322580645161</v>
      </c>
      <c r="P20" s="203">
        <f t="shared" si="25"/>
        <v>188</v>
      </c>
      <c r="Q20" s="203">
        <f t="shared" si="6"/>
        <v>4045.0322580645161</v>
      </c>
      <c r="R20" s="203">
        <f t="shared" si="26"/>
        <v>188</v>
      </c>
      <c r="S20" s="203">
        <f t="shared" si="7"/>
        <v>4045.0322580645161</v>
      </c>
      <c r="T20" s="203">
        <f t="shared" si="27"/>
        <v>188</v>
      </c>
      <c r="U20" s="203">
        <f t="shared" si="8"/>
        <v>4045.0322580645161</v>
      </c>
      <c r="V20" s="203">
        <f t="shared" si="28"/>
        <v>188</v>
      </c>
      <c r="W20" s="203">
        <f t="shared" si="9"/>
        <v>4045.0322580645161</v>
      </c>
      <c r="X20" s="35">
        <f t="shared" si="10"/>
        <v>0.6064516129032258</v>
      </c>
      <c r="Y20" s="36">
        <f t="shared" si="29"/>
        <v>44495.354838709674</v>
      </c>
      <c r="Z20" s="203">
        <f>'B5'!C19</f>
        <v>194</v>
      </c>
      <c r="AA20" s="203">
        <f t="shared" si="30"/>
        <v>1940</v>
      </c>
      <c r="AB20" s="203">
        <f t="shared" si="31"/>
        <v>194</v>
      </c>
      <c r="AC20" s="203">
        <f t="shared" si="30"/>
        <v>1940</v>
      </c>
      <c r="AD20" s="203">
        <f t="shared" si="32"/>
        <v>194</v>
      </c>
      <c r="AE20" s="203">
        <f t="shared" si="11"/>
        <v>1940</v>
      </c>
      <c r="AF20" s="203">
        <f t="shared" si="33"/>
        <v>194</v>
      </c>
      <c r="AG20" s="203">
        <f t="shared" si="12"/>
        <v>1940</v>
      </c>
      <c r="AH20" s="203">
        <f t="shared" si="34"/>
        <v>194</v>
      </c>
      <c r="AI20" s="203">
        <f t="shared" si="13"/>
        <v>1940</v>
      </c>
      <c r="AJ20" s="203">
        <f t="shared" si="35"/>
        <v>194</v>
      </c>
      <c r="AK20" s="203">
        <f t="shared" si="14"/>
        <v>1940</v>
      </c>
      <c r="AL20" s="203">
        <f t="shared" si="36"/>
        <v>194</v>
      </c>
      <c r="AM20" s="203">
        <f t="shared" si="15"/>
        <v>1940</v>
      </c>
      <c r="AN20" s="35">
        <f t="shared" si="16"/>
        <v>0.69285714285714284</v>
      </c>
      <c r="AO20" s="36">
        <f t="shared" si="17"/>
        <v>13580</v>
      </c>
      <c r="AQ20" s="223">
        <f t="shared" si="37"/>
        <v>0.62466768676680295</v>
      </c>
      <c r="AR20" s="38">
        <f t="shared" si="42"/>
        <v>58075.354838709674</v>
      </c>
      <c r="AS20" s="197">
        <f t="shared" si="38"/>
        <v>0</v>
      </c>
      <c r="AT20" s="353"/>
      <c r="AU20" s="642"/>
      <c r="AV20" s="511">
        <f t="shared" si="43"/>
        <v>1.0029999999999999</v>
      </c>
      <c r="AW20" s="289">
        <f>-SUM('B5'!AI19)</f>
        <v>0</v>
      </c>
      <c r="AX20" s="289">
        <f t="shared" si="3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2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188</v>
      </c>
      <c r="C21" s="203">
        <f t="shared" si="18"/>
        <v>4045.0322580645161</v>
      </c>
      <c r="D21">
        <f t="shared" si="19"/>
        <v>188</v>
      </c>
      <c r="E21" s="203">
        <f t="shared" si="18"/>
        <v>4045.0322580645161</v>
      </c>
      <c r="F21">
        <f t="shared" si="20"/>
        <v>188</v>
      </c>
      <c r="G21" s="203">
        <f t="shared" si="1"/>
        <v>4045.0322580645161</v>
      </c>
      <c r="H21" s="203">
        <f t="shared" si="21"/>
        <v>188</v>
      </c>
      <c r="I21" s="203">
        <f t="shared" si="2"/>
        <v>4045.0322580645161</v>
      </c>
      <c r="J21" s="203">
        <f t="shared" si="22"/>
        <v>188</v>
      </c>
      <c r="K21" s="203">
        <f t="shared" si="3"/>
        <v>4045.0322580645161</v>
      </c>
      <c r="L21" s="203">
        <f t="shared" si="23"/>
        <v>188</v>
      </c>
      <c r="M21" s="203">
        <f t="shared" si="4"/>
        <v>4045.0322580645161</v>
      </c>
      <c r="N21" s="203">
        <f t="shared" si="24"/>
        <v>188</v>
      </c>
      <c r="O21" s="203">
        <f t="shared" si="5"/>
        <v>4045.0322580645161</v>
      </c>
      <c r="P21" s="203">
        <f t="shared" si="25"/>
        <v>188</v>
      </c>
      <c r="Q21" s="203">
        <f t="shared" si="6"/>
        <v>4045.0322580645161</v>
      </c>
      <c r="R21" s="203">
        <f t="shared" si="26"/>
        <v>188</v>
      </c>
      <c r="S21" s="203">
        <f t="shared" si="7"/>
        <v>4045.0322580645161</v>
      </c>
      <c r="T21" s="203">
        <f t="shared" si="27"/>
        <v>188</v>
      </c>
      <c r="U21" s="203">
        <f t="shared" si="8"/>
        <v>4045.0322580645161</v>
      </c>
      <c r="V21" s="203">
        <f t="shared" si="28"/>
        <v>188</v>
      </c>
      <c r="W21" s="203">
        <f t="shared" si="9"/>
        <v>4045.0322580645161</v>
      </c>
      <c r="X21" s="35">
        <f t="shared" si="10"/>
        <v>0.6064516129032258</v>
      </c>
      <c r="Y21" s="36">
        <f t="shared" si="29"/>
        <v>44495.354838709674</v>
      </c>
      <c r="Z21" s="203">
        <f>'B5'!C20</f>
        <v>194</v>
      </c>
      <c r="AA21" s="203">
        <f t="shared" si="30"/>
        <v>1940</v>
      </c>
      <c r="AB21" s="203">
        <f t="shared" si="31"/>
        <v>194</v>
      </c>
      <c r="AC21" s="203">
        <f t="shared" si="30"/>
        <v>1940</v>
      </c>
      <c r="AD21" s="203">
        <f t="shared" si="32"/>
        <v>194</v>
      </c>
      <c r="AE21" s="203">
        <f t="shared" si="11"/>
        <v>1940</v>
      </c>
      <c r="AF21" s="203">
        <f t="shared" si="33"/>
        <v>194</v>
      </c>
      <c r="AG21" s="203">
        <f t="shared" si="12"/>
        <v>1940</v>
      </c>
      <c r="AH21" s="203">
        <f t="shared" si="34"/>
        <v>194</v>
      </c>
      <c r="AI21" s="203">
        <f t="shared" si="13"/>
        <v>1940</v>
      </c>
      <c r="AJ21" s="203">
        <f t="shared" si="35"/>
        <v>194</v>
      </c>
      <c r="AK21" s="203">
        <f t="shared" si="14"/>
        <v>1940</v>
      </c>
      <c r="AL21" s="203">
        <f t="shared" si="36"/>
        <v>194</v>
      </c>
      <c r="AM21" s="203">
        <f t="shared" si="15"/>
        <v>1940</v>
      </c>
      <c r="AN21" s="35">
        <f t="shared" si="16"/>
        <v>0.69285714285714284</v>
      </c>
      <c r="AO21" s="36">
        <f t="shared" si="17"/>
        <v>13580</v>
      </c>
      <c r="AQ21" s="223">
        <f t="shared" si="37"/>
        <v>0.62466768676680295</v>
      </c>
      <c r="AR21" s="38">
        <f t="shared" si="42"/>
        <v>58075.354838709674</v>
      </c>
      <c r="AS21" s="197">
        <f t="shared" si="38"/>
        <v>0</v>
      </c>
      <c r="AT21" s="353"/>
      <c r="AU21" s="642"/>
      <c r="AV21" s="511">
        <f t="shared" si="43"/>
        <v>1.0029999999999999</v>
      </c>
      <c r="AW21" s="289">
        <f>-SUM('B5'!AI20)</f>
        <v>0</v>
      </c>
      <c r="AX21" s="289">
        <f t="shared" si="3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2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188</v>
      </c>
      <c r="C22" s="203">
        <f t="shared" si="18"/>
        <v>4045.0322580645161</v>
      </c>
      <c r="D22">
        <f t="shared" si="19"/>
        <v>188</v>
      </c>
      <c r="E22" s="203">
        <f t="shared" si="18"/>
        <v>4045.0322580645161</v>
      </c>
      <c r="F22">
        <f t="shared" si="20"/>
        <v>188</v>
      </c>
      <c r="G22" s="203">
        <f t="shared" si="1"/>
        <v>4045.0322580645161</v>
      </c>
      <c r="H22" s="203">
        <f t="shared" si="21"/>
        <v>188</v>
      </c>
      <c r="I22" s="203">
        <f t="shared" si="2"/>
        <v>4045.0322580645161</v>
      </c>
      <c r="J22" s="203">
        <f t="shared" si="22"/>
        <v>188</v>
      </c>
      <c r="K22" s="203">
        <f t="shared" si="3"/>
        <v>4045.0322580645161</v>
      </c>
      <c r="L22" s="203">
        <f t="shared" si="23"/>
        <v>188</v>
      </c>
      <c r="M22" s="203">
        <f t="shared" si="4"/>
        <v>4045.0322580645161</v>
      </c>
      <c r="N22" s="203">
        <f t="shared" si="24"/>
        <v>188</v>
      </c>
      <c r="O22" s="203">
        <f t="shared" si="5"/>
        <v>4045.0322580645161</v>
      </c>
      <c r="P22" s="203">
        <f t="shared" si="25"/>
        <v>188</v>
      </c>
      <c r="Q22" s="203">
        <f t="shared" si="6"/>
        <v>4045.0322580645161</v>
      </c>
      <c r="R22" s="203">
        <f t="shared" si="26"/>
        <v>188</v>
      </c>
      <c r="S22" s="203">
        <f t="shared" si="7"/>
        <v>4045.0322580645161</v>
      </c>
      <c r="T22" s="203">
        <f t="shared" si="27"/>
        <v>188</v>
      </c>
      <c r="U22" s="203">
        <f t="shared" si="8"/>
        <v>4045.0322580645161</v>
      </c>
      <c r="V22" s="203">
        <f t="shared" si="28"/>
        <v>188</v>
      </c>
      <c r="W22" s="203">
        <f t="shared" si="9"/>
        <v>4045.0322580645161</v>
      </c>
      <c r="X22" s="35">
        <f t="shared" si="10"/>
        <v>0.6064516129032258</v>
      </c>
      <c r="Y22" s="36">
        <f t="shared" si="29"/>
        <v>44495.354838709674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3">
        <f t="shared" si="37"/>
        <v>0.62466768676680295</v>
      </c>
      <c r="AR22" s="38">
        <f t="shared" si="42"/>
        <v>58075.354838709674</v>
      </c>
      <c r="AS22" s="197">
        <f t="shared" si="38"/>
        <v>0</v>
      </c>
      <c r="AT22" s="353"/>
      <c r="AU22" s="642"/>
      <c r="AV22" s="511">
        <f t="shared" si="43"/>
        <v>1.0029999999999999</v>
      </c>
      <c r="AW22" s="289">
        <f>-SUM('B5'!AI21)</f>
        <v>0</v>
      </c>
      <c r="AX22" s="289">
        <f t="shared" si="3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2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188</v>
      </c>
      <c r="C23" s="203">
        <f t="shared" si="18"/>
        <v>4045.0322580645161</v>
      </c>
      <c r="D23">
        <f t="shared" si="19"/>
        <v>188</v>
      </c>
      <c r="E23" s="203">
        <f t="shared" si="18"/>
        <v>4045.0322580645161</v>
      </c>
      <c r="F23">
        <f t="shared" si="20"/>
        <v>188</v>
      </c>
      <c r="G23" s="203">
        <f t="shared" si="1"/>
        <v>4045.0322580645161</v>
      </c>
      <c r="H23" s="203">
        <f t="shared" si="21"/>
        <v>188</v>
      </c>
      <c r="I23" s="203">
        <f t="shared" si="2"/>
        <v>4045.0322580645161</v>
      </c>
      <c r="J23" s="203">
        <f t="shared" si="22"/>
        <v>188</v>
      </c>
      <c r="K23" s="203">
        <f t="shared" si="3"/>
        <v>4045.0322580645161</v>
      </c>
      <c r="L23" s="203">
        <f t="shared" si="23"/>
        <v>188</v>
      </c>
      <c r="M23" s="203">
        <f t="shared" si="4"/>
        <v>4045.0322580645161</v>
      </c>
      <c r="N23" s="203">
        <f t="shared" si="24"/>
        <v>188</v>
      </c>
      <c r="O23" s="203">
        <f t="shared" si="5"/>
        <v>4045.0322580645161</v>
      </c>
      <c r="P23" s="203">
        <f t="shared" si="25"/>
        <v>188</v>
      </c>
      <c r="Q23" s="203">
        <f t="shared" si="6"/>
        <v>4045.0322580645161</v>
      </c>
      <c r="R23" s="203">
        <f t="shared" si="26"/>
        <v>188</v>
      </c>
      <c r="S23" s="203">
        <f t="shared" si="7"/>
        <v>4045.0322580645161</v>
      </c>
      <c r="T23" s="203">
        <f t="shared" si="27"/>
        <v>188</v>
      </c>
      <c r="U23" s="203">
        <f t="shared" si="8"/>
        <v>4045.0322580645161</v>
      </c>
      <c r="V23" s="203">
        <f t="shared" si="28"/>
        <v>188</v>
      </c>
      <c r="W23" s="203">
        <f t="shared" si="9"/>
        <v>4045.0322580645161</v>
      </c>
      <c r="X23" s="35">
        <f t="shared" si="10"/>
        <v>0.6064516129032258</v>
      </c>
      <c r="Y23" s="36">
        <f t="shared" si="29"/>
        <v>44495.354838709674</v>
      </c>
      <c r="Z23" s="203">
        <f>'B5'!C22</f>
        <v>194</v>
      </c>
      <c r="AA23" s="203">
        <f t="shared" si="30"/>
        <v>1940</v>
      </c>
      <c r="AB23" s="203">
        <f t="shared" si="31"/>
        <v>194</v>
      </c>
      <c r="AC23" s="203">
        <f t="shared" si="30"/>
        <v>1940</v>
      </c>
      <c r="AD23" s="203">
        <f t="shared" si="32"/>
        <v>194</v>
      </c>
      <c r="AE23" s="203">
        <f t="shared" si="11"/>
        <v>1940</v>
      </c>
      <c r="AF23" s="203">
        <f t="shared" si="33"/>
        <v>194</v>
      </c>
      <c r="AG23" s="203">
        <f t="shared" si="12"/>
        <v>1940</v>
      </c>
      <c r="AH23" s="203">
        <f t="shared" si="34"/>
        <v>194</v>
      </c>
      <c r="AI23" s="203">
        <f t="shared" si="13"/>
        <v>1940</v>
      </c>
      <c r="AJ23" s="203">
        <f t="shared" si="35"/>
        <v>194</v>
      </c>
      <c r="AK23" s="203">
        <f t="shared" si="14"/>
        <v>1940</v>
      </c>
      <c r="AL23" s="203">
        <f t="shared" si="36"/>
        <v>194</v>
      </c>
      <c r="AM23" s="203">
        <f t="shared" si="15"/>
        <v>1940</v>
      </c>
      <c r="AN23" s="35">
        <f t="shared" si="16"/>
        <v>0.69285714285714284</v>
      </c>
      <c r="AO23" s="36">
        <f t="shared" si="17"/>
        <v>13580</v>
      </c>
      <c r="AQ23" s="223">
        <f t="shared" si="37"/>
        <v>0.62466768676680295</v>
      </c>
      <c r="AR23" s="38">
        <f t="shared" si="42"/>
        <v>58075.354838709674</v>
      </c>
      <c r="AS23" s="197">
        <f t="shared" si="38"/>
        <v>0</v>
      </c>
      <c r="AT23" s="353"/>
      <c r="AU23" s="642"/>
      <c r="AV23" s="511">
        <f t="shared" si="43"/>
        <v>1.0029999999999999</v>
      </c>
      <c r="AW23" s="289">
        <f>-SUM('B5'!AI22)</f>
        <v>0</v>
      </c>
      <c r="AX23" s="289">
        <f t="shared" si="3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2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188</v>
      </c>
      <c r="C24" s="203">
        <f t="shared" si="18"/>
        <v>4045.0322580645161</v>
      </c>
      <c r="D24">
        <f t="shared" si="19"/>
        <v>188</v>
      </c>
      <c r="E24" s="203">
        <f t="shared" si="18"/>
        <v>4045.0322580645161</v>
      </c>
      <c r="F24">
        <f t="shared" si="20"/>
        <v>188</v>
      </c>
      <c r="G24" s="203">
        <f t="shared" si="1"/>
        <v>4045.0322580645161</v>
      </c>
      <c r="H24" s="203">
        <f t="shared" si="21"/>
        <v>188</v>
      </c>
      <c r="I24" s="203">
        <f t="shared" si="2"/>
        <v>4045.0322580645161</v>
      </c>
      <c r="J24" s="203">
        <f t="shared" si="22"/>
        <v>188</v>
      </c>
      <c r="K24" s="203">
        <f t="shared" si="3"/>
        <v>4045.0322580645161</v>
      </c>
      <c r="L24" s="203">
        <f t="shared" si="23"/>
        <v>188</v>
      </c>
      <c r="M24" s="203">
        <f t="shared" si="4"/>
        <v>4045.0322580645161</v>
      </c>
      <c r="N24" s="203">
        <f t="shared" si="24"/>
        <v>188</v>
      </c>
      <c r="O24" s="203">
        <f t="shared" si="5"/>
        <v>4045.0322580645161</v>
      </c>
      <c r="P24" s="203">
        <f t="shared" si="25"/>
        <v>188</v>
      </c>
      <c r="Q24" s="203">
        <f t="shared" si="6"/>
        <v>4045.0322580645161</v>
      </c>
      <c r="R24" s="203">
        <f t="shared" si="26"/>
        <v>188</v>
      </c>
      <c r="S24" s="203">
        <f t="shared" si="7"/>
        <v>4045.0322580645161</v>
      </c>
      <c r="T24" s="203">
        <f t="shared" si="27"/>
        <v>188</v>
      </c>
      <c r="U24" s="203">
        <f t="shared" si="8"/>
        <v>4045.0322580645161</v>
      </c>
      <c r="V24" s="203">
        <f t="shared" si="28"/>
        <v>188</v>
      </c>
      <c r="W24" s="203">
        <f t="shared" si="9"/>
        <v>4045.0322580645161</v>
      </c>
      <c r="X24" s="35">
        <f t="shared" si="10"/>
        <v>0.6064516129032258</v>
      </c>
      <c r="Y24" s="36">
        <f t="shared" si="29"/>
        <v>44495.354838709674</v>
      </c>
      <c r="Z24" s="203">
        <f>'B5'!C23</f>
        <v>194</v>
      </c>
      <c r="AA24" s="203">
        <f t="shared" si="30"/>
        <v>1940</v>
      </c>
      <c r="AB24" s="203">
        <f t="shared" si="31"/>
        <v>194</v>
      </c>
      <c r="AC24" s="203">
        <f t="shared" si="30"/>
        <v>1940</v>
      </c>
      <c r="AD24" s="203">
        <f t="shared" si="32"/>
        <v>194</v>
      </c>
      <c r="AE24" s="203">
        <f t="shared" si="11"/>
        <v>1940</v>
      </c>
      <c r="AF24" s="203">
        <f t="shared" si="33"/>
        <v>194</v>
      </c>
      <c r="AG24" s="203">
        <f t="shared" si="12"/>
        <v>1940</v>
      </c>
      <c r="AH24" s="203">
        <f t="shared" si="34"/>
        <v>194</v>
      </c>
      <c r="AI24" s="203">
        <f t="shared" si="13"/>
        <v>1940</v>
      </c>
      <c r="AJ24" s="203">
        <f t="shared" si="35"/>
        <v>194</v>
      </c>
      <c r="AK24" s="203">
        <f t="shared" si="14"/>
        <v>1940</v>
      </c>
      <c r="AL24" s="203">
        <f t="shared" si="36"/>
        <v>194</v>
      </c>
      <c r="AM24" s="203">
        <f t="shared" si="15"/>
        <v>1940</v>
      </c>
      <c r="AN24" s="35">
        <f t="shared" si="16"/>
        <v>0.69285714285714284</v>
      </c>
      <c r="AO24" s="36">
        <f t="shared" si="17"/>
        <v>13580</v>
      </c>
      <c r="AQ24" s="223">
        <f t="shared" si="37"/>
        <v>0.62466768676680295</v>
      </c>
      <c r="AR24" s="38">
        <f t="shared" si="42"/>
        <v>58075.354838709674</v>
      </c>
      <c r="AS24" s="197">
        <f t="shared" si="38"/>
        <v>0</v>
      </c>
      <c r="AT24" s="353"/>
      <c r="AU24" s="642"/>
      <c r="AV24" s="511">
        <f t="shared" si="43"/>
        <v>1.0029999999999999</v>
      </c>
      <c r="AW24" s="289">
        <f>-SUM('B5'!AI23)</f>
        <v>0</v>
      </c>
      <c r="AX24" s="289">
        <f t="shared" si="3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2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188</v>
      </c>
      <c r="C25" s="203">
        <f t="shared" si="18"/>
        <v>4045.0322580645161</v>
      </c>
      <c r="D25">
        <f t="shared" si="19"/>
        <v>188</v>
      </c>
      <c r="E25" s="203">
        <f t="shared" si="18"/>
        <v>4045.0322580645161</v>
      </c>
      <c r="F25">
        <f t="shared" si="20"/>
        <v>188</v>
      </c>
      <c r="G25" s="203">
        <f t="shared" si="1"/>
        <v>4045.0322580645161</v>
      </c>
      <c r="H25" s="203">
        <f t="shared" si="21"/>
        <v>188</v>
      </c>
      <c r="I25" s="203">
        <f t="shared" si="2"/>
        <v>4045.0322580645161</v>
      </c>
      <c r="J25" s="203">
        <f t="shared" si="22"/>
        <v>188</v>
      </c>
      <c r="K25" s="203">
        <f t="shared" si="3"/>
        <v>4045.0322580645161</v>
      </c>
      <c r="L25" s="203">
        <f t="shared" si="23"/>
        <v>188</v>
      </c>
      <c r="M25" s="203">
        <f t="shared" si="4"/>
        <v>4045.0322580645161</v>
      </c>
      <c r="N25" s="203">
        <f t="shared" si="24"/>
        <v>188</v>
      </c>
      <c r="O25" s="203">
        <f t="shared" si="5"/>
        <v>4045.0322580645161</v>
      </c>
      <c r="P25" s="203">
        <f t="shared" si="25"/>
        <v>188</v>
      </c>
      <c r="Q25" s="203">
        <f t="shared" si="6"/>
        <v>4045.0322580645161</v>
      </c>
      <c r="R25" s="203">
        <f t="shared" si="26"/>
        <v>188</v>
      </c>
      <c r="S25" s="203">
        <f t="shared" si="7"/>
        <v>4045.0322580645161</v>
      </c>
      <c r="T25" s="203">
        <f t="shared" si="27"/>
        <v>188</v>
      </c>
      <c r="U25" s="203">
        <f t="shared" si="8"/>
        <v>4045.0322580645161</v>
      </c>
      <c r="V25" s="203">
        <f t="shared" si="28"/>
        <v>188</v>
      </c>
      <c r="W25" s="203">
        <f t="shared" si="9"/>
        <v>4045.0322580645161</v>
      </c>
      <c r="X25" s="35">
        <f t="shared" si="10"/>
        <v>0.6064516129032258</v>
      </c>
      <c r="Y25" s="36">
        <f t="shared" si="29"/>
        <v>44495.354838709674</v>
      </c>
      <c r="Z25" s="203">
        <f>'B5'!C24</f>
        <v>194</v>
      </c>
      <c r="AA25" s="203">
        <f t="shared" si="30"/>
        <v>1940</v>
      </c>
      <c r="AB25" s="203">
        <f t="shared" si="31"/>
        <v>194</v>
      </c>
      <c r="AC25" s="203">
        <f t="shared" si="30"/>
        <v>1940</v>
      </c>
      <c r="AD25" s="203">
        <f t="shared" si="32"/>
        <v>194</v>
      </c>
      <c r="AE25" s="203">
        <f t="shared" si="11"/>
        <v>1940</v>
      </c>
      <c r="AF25" s="203">
        <f t="shared" si="33"/>
        <v>194</v>
      </c>
      <c r="AG25" s="203">
        <f t="shared" si="12"/>
        <v>1940</v>
      </c>
      <c r="AH25" s="203">
        <f t="shared" si="34"/>
        <v>194</v>
      </c>
      <c r="AI25" s="203">
        <f t="shared" si="13"/>
        <v>1940</v>
      </c>
      <c r="AJ25" s="203">
        <f t="shared" si="35"/>
        <v>194</v>
      </c>
      <c r="AK25" s="203">
        <f t="shared" si="14"/>
        <v>1940</v>
      </c>
      <c r="AL25" s="203">
        <f t="shared" si="36"/>
        <v>194</v>
      </c>
      <c r="AM25" s="203">
        <f t="shared" si="15"/>
        <v>1940</v>
      </c>
      <c r="AN25" s="35">
        <f t="shared" si="16"/>
        <v>0.69285714285714284</v>
      </c>
      <c r="AO25" s="36">
        <f t="shared" si="17"/>
        <v>13580</v>
      </c>
      <c r="AQ25" s="223">
        <f t="shared" si="37"/>
        <v>0.62466768676680295</v>
      </c>
      <c r="AR25" s="38">
        <f t="shared" si="42"/>
        <v>58075.354838709674</v>
      </c>
      <c r="AS25" s="197">
        <f t="shared" si="38"/>
        <v>0</v>
      </c>
      <c r="AT25" s="353"/>
      <c r="AU25" s="644"/>
      <c r="AV25" s="511">
        <f t="shared" si="43"/>
        <v>1.0029999999999999</v>
      </c>
      <c r="AW25" s="289">
        <f>-SUM('B5'!AI24)</f>
        <v>0</v>
      </c>
      <c r="AX25" s="289">
        <f t="shared" si="3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2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188</v>
      </c>
      <c r="C26" s="203">
        <f t="shared" si="18"/>
        <v>4045.0322580645161</v>
      </c>
      <c r="D26">
        <f t="shared" si="19"/>
        <v>188</v>
      </c>
      <c r="E26" s="203">
        <f t="shared" si="18"/>
        <v>4045.0322580645161</v>
      </c>
      <c r="F26">
        <f t="shared" si="20"/>
        <v>188</v>
      </c>
      <c r="G26" s="203">
        <f t="shared" si="1"/>
        <v>4045.0322580645161</v>
      </c>
      <c r="H26" s="203">
        <f t="shared" si="21"/>
        <v>188</v>
      </c>
      <c r="I26" s="203">
        <f t="shared" si="2"/>
        <v>4045.0322580645161</v>
      </c>
      <c r="J26" s="203">
        <f t="shared" si="22"/>
        <v>188</v>
      </c>
      <c r="K26" s="203">
        <f t="shared" si="3"/>
        <v>4045.0322580645161</v>
      </c>
      <c r="L26" s="203">
        <f t="shared" si="23"/>
        <v>188</v>
      </c>
      <c r="M26" s="203">
        <f t="shared" si="4"/>
        <v>4045.0322580645161</v>
      </c>
      <c r="N26" s="203">
        <f t="shared" si="24"/>
        <v>188</v>
      </c>
      <c r="O26" s="203">
        <f t="shared" si="5"/>
        <v>4045.0322580645161</v>
      </c>
      <c r="P26" s="203">
        <f t="shared" si="25"/>
        <v>188</v>
      </c>
      <c r="Q26" s="203">
        <f t="shared" si="6"/>
        <v>4045.0322580645161</v>
      </c>
      <c r="R26" s="203">
        <f t="shared" si="26"/>
        <v>188</v>
      </c>
      <c r="S26" s="203">
        <f t="shared" si="7"/>
        <v>4045.0322580645161</v>
      </c>
      <c r="T26" s="203">
        <f t="shared" si="27"/>
        <v>188</v>
      </c>
      <c r="U26" s="203">
        <f t="shared" si="8"/>
        <v>4045.0322580645161</v>
      </c>
      <c r="V26" s="203">
        <f t="shared" si="28"/>
        <v>188</v>
      </c>
      <c r="W26" s="203">
        <f t="shared" si="9"/>
        <v>4045.0322580645161</v>
      </c>
      <c r="X26" s="35">
        <f t="shared" si="10"/>
        <v>0.6064516129032258</v>
      </c>
      <c r="Y26" s="36">
        <f t="shared" si="29"/>
        <v>44495.354838709674</v>
      </c>
      <c r="Z26" s="203">
        <f>'B5'!C25</f>
        <v>194</v>
      </c>
      <c r="AA26" s="203">
        <f t="shared" si="30"/>
        <v>1940</v>
      </c>
      <c r="AB26" s="203">
        <f t="shared" si="31"/>
        <v>194</v>
      </c>
      <c r="AC26" s="203">
        <f t="shared" si="30"/>
        <v>1940</v>
      </c>
      <c r="AD26" s="203">
        <f t="shared" si="32"/>
        <v>194</v>
      </c>
      <c r="AE26" s="203">
        <f t="shared" si="11"/>
        <v>1940</v>
      </c>
      <c r="AF26" s="203">
        <f t="shared" si="33"/>
        <v>194</v>
      </c>
      <c r="AG26" s="203">
        <f t="shared" si="12"/>
        <v>1940</v>
      </c>
      <c r="AH26" s="203">
        <f t="shared" si="34"/>
        <v>194</v>
      </c>
      <c r="AI26" s="203">
        <f t="shared" si="13"/>
        <v>1940</v>
      </c>
      <c r="AJ26" s="203">
        <f t="shared" si="35"/>
        <v>194</v>
      </c>
      <c r="AK26" s="203">
        <f t="shared" si="14"/>
        <v>1940</v>
      </c>
      <c r="AL26" s="203">
        <f t="shared" si="36"/>
        <v>194</v>
      </c>
      <c r="AM26" s="203">
        <f t="shared" si="15"/>
        <v>1940</v>
      </c>
      <c r="AN26" s="35">
        <f t="shared" si="16"/>
        <v>0.69285714285714284</v>
      </c>
      <c r="AO26" s="36">
        <f t="shared" si="17"/>
        <v>13580</v>
      </c>
      <c r="AQ26" s="223">
        <f t="shared" si="37"/>
        <v>0.62466768676680295</v>
      </c>
      <c r="AR26" s="38">
        <f t="shared" si="42"/>
        <v>58075.354838709674</v>
      </c>
      <c r="AS26" s="197">
        <f t="shared" si="38"/>
        <v>0</v>
      </c>
      <c r="AT26" s="353"/>
      <c r="AU26" s="642"/>
      <c r="AV26" s="511">
        <f t="shared" si="43"/>
        <v>1.0029999999999999</v>
      </c>
      <c r="AW26" s="289">
        <f>-SUM('B5'!AI25)</f>
        <v>0</v>
      </c>
      <c r="AX26" s="289">
        <f t="shared" si="3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2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188</v>
      </c>
      <c r="C27" s="203">
        <f t="shared" si="18"/>
        <v>4045.0322580645161</v>
      </c>
      <c r="D27">
        <f t="shared" si="19"/>
        <v>188</v>
      </c>
      <c r="E27" s="203">
        <f t="shared" si="18"/>
        <v>4045.0322580645161</v>
      </c>
      <c r="F27">
        <f t="shared" si="20"/>
        <v>188</v>
      </c>
      <c r="G27" s="203">
        <f t="shared" si="1"/>
        <v>4045.0322580645161</v>
      </c>
      <c r="H27" s="203">
        <f t="shared" si="21"/>
        <v>188</v>
      </c>
      <c r="I27" s="203">
        <f t="shared" si="2"/>
        <v>4045.0322580645161</v>
      </c>
      <c r="J27" s="203">
        <f t="shared" si="22"/>
        <v>188</v>
      </c>
      <c r="K27" s="203">
        <f t="shared" si="3"/>
        <v>4045.0322580645161</v>
      </c>
      <c r="L27" s="203">
        <f t="shared" si="23"/>
        <v>188</v>
      </c>
      <c r="M27" s="203">
        <f t="shared" si="4"/>
        <v>4045.0322580645161</v>
      </c>
      <c r="N27" s="203">
        <f t="shared" si="24"/>
        <v>188</v>
      </c>
      <c r="O27" s="203">
        <f t="shared" si="5"/>
        <v>4045.0322580645161</v>
      </c>
      <c r="P27" s="203">
        <f t="shared" si="25"/>
        <v>188</v>
      </c>
      <c r="Q27" s="203">
        <f t="shared" si="6"/>
        <v>4045.0322580645161</v>
      </c>
      <c r="R27" s="203">
        <f t="shared" si="26"/>
        <v>188</v>
      </c>
      <c r="S27" s="203">
        <f t="shared" si="7"/>
        <v>4045.0322580645161</v>
      </c>
      <c r="T27" s="203">
        <f t="shared" si="27"/>
        <v>188</v>
      </c>
      <c r="U27" s="203">
        <f t="shared" si="8"/>
        <v>4045.0322580645161</v>
      </c>
      <c r="V27" s="203">
        <f t="shared" si="28"/>
        <v>188</v>
      </c>
      <c r="W27" s="203">
        <f t="shared" si="9"/>
        <v>4045.0322580645161</v>
      </c>
      <c r="X27" s="35">
        <f t="shared" si="10"/>
        <v>0.6064516129032258</v>
      </c>
      <c r="Y27" s="36">
        <f t="shared" si="29"/>
        <v>44495.354838709674</v>
      </c>
      <c r="Z27" s="203">
        <f>'B5'!C26</f>
        <v>194</v>
      </c>
      <c r="AA27" s="203">
        <f t="shared" si="30"/>
        <v>1940</v>
      </c>
      <c r="AB27" s="203">
        <f t="shared" si="31"/>
        <v>194</v>
      </c>
      <c r="AC27" s="203">
        <f t="shared" si="30"/>
        <v>1940</v>
      </c>
      <c r="AD27" s="203">
        <f t="shared" si="32"/>
        <v>194</v>
      </c>
      <c r="AE27" s="203">
        <f t="shared" si="11"/>
        <v>1940</v>
      </c>
      <c r="AF27" s="203">
        <f t="shared" si="33"/>
        <v>194</v>
      </c>
      <c r="AG27" s="203">
        <f t="shared" si="12"/>
        <v>1940</v>
      </c>
      <c r="AH27" s="203">
        <f t="shared" si="34"/>
        <v>194</v>
      </c>
      <c r="AI27" s="203">
        <f t="shared" si="13"/>
        <v>1940</v>
      </c>
      <c r="AJ27" s="203">
        <f t="shared" si="35"/>
        <v>194</v>
      </c>
      <c r="AK27" s="203">
        <f t="shared" si="14"/>
        <v>1940</v>
      </c>
      <c r="AL27" s="203">
        <f t="shared" si="36"/>
        <v>194</v>
      </c>
      <c r="AM27" s="203">
        <f t="shared" si="15"/>
        <v>1940</v>
      </c>
      <c r="AN27" s="35">
        <f t="shared" si="16"/>
        <v>0.69285714285714284</v>
      </c>
      <c r="AO27" s="36">
        <f t="shared" si="17"/>
        <v>13580</v>
      </c>
      <c r="AQ27" s="223">
        <f t="shared" si="37"/>
        <v>0.62466768676680295</v>
      </c>
      <c r="AR27" s="38">
        <f t="shared" si="42"/>
        <v>58075.354838709674</v>
      </c>
      <c r="AS27" s="197">
        <f t="shared" si="38"/>
        <v>0</v>
      </c>
      <c r="AT27" s="353"/>
      <c r="AU27" s="642"/>
      <c r="AV27" s="511">
        <f t="shared" si="43"/>
        <v>1.0029999999999999</v>
      </c>
      <c r="AW27" s="289">
        <f>-SUM('B5'!AI26)</f>
        <v>0</v>
      </c>
      <c r="AX27" s="289">
        <f t="shared" si="3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2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188</v>
      </c>
      <c r="C28" s="203">
        <f t="shared" si="18"/>
        <v>4045.0322580645161</v>
      </c>
      <c r="D28">
        <f t="shared" si="19"/>
        <v>188</v>
      </c>
      <c r="E28" s="203">
        <f t="shared" si="18"/>
        <v>4045.0322580645161</v>
      </c>
      <c r="F28">
        <f t="shared" si="20"/>
        <v>188</v>
      </c>
      <c r="G28" s="203">
        <f t="shared" si="1"/>
        <v>4045.0322580645161</v>
      </c>
      <c r="H28" s="203">
        <f t="shared" si="21"/>
        <v>188</v>
      </c>
      <c r="I28" s="203">
        <f t="shared" si="2"/>
        <v>4045.0322580645161</v>
      </c>
      <c r="J28" s="203">
        <f t="shared" si="22"/>
        <v>188</v>
      </c>
      <c r="K28" s="203">
        <f t="shared" si="3"/>
        <v>4045.0322580645161</v>
      </c>
      <c r="L28" s="203">
        <f t="shared" si="23"/>
        <v>188</v>
      </c>
      <c r="M28" s="203">
        <f t="shared" si="4"/>
        <v>4045.0322580645161</v>
      </c>
      <c r="N28" s="203">
        <f t="shared" si="24"/>
        <v>188</v>
      </c>
      <c r="O28" s="203">
        <f t="shared" si="5"/>
        <v>4045.0322580645161</v>
      </c>
      <c r="P28" s="203">
        <f t="shared" si="25"/>
        <v>188</v>
      </c>
      <c r="Q28" s="203">
        <f t="shared" si="6"/>
        <v>4045.0322580645161</v>
      </c>
      <c r="R28" s="203">
        <f t="shared" si="26"/>
        <v>188</v>
      </c>
      <c r="S28" s="203">
        <f t="shared" si="7"/>
        <v>4045.0322580645161</v>
      </c>
      <c r="T28" s="203">
        <f t="shared" si="27"/>
        <v>188</v>
      </c>
      <c r="U28" s="203">
        <f t="shared" si="8"/>
        <v>4045.0322580645161</v>
      </c>
      <c r="V28" s="203">
        <f t="shared" si="28"/>
        <v>188</v>
      </c>
      <c r="W28" s="203">
        <f t="shared" si="9"/>
        <v>4045.0322580645161</v>
      </c>
      <c r="X28" s="35">
        <f t="shared" si="10"/>
        <v>0.6064516129032258</v>
      </c>
      <c r="Y28" s="36">
        <f t="shared" si="29"/>
        <v>44495.354838709674</v>
      </c>
      <c r="Z28" s="203">
        <f>'B5'!C27</f>
        <v>194</v>
      </c>
      <c r="AA28" s="203">
        <f t="shared" si="30"/>
        <v>1940</v>
      </c>
      <c r="AB28" s="203">
        <f t="shared" si="31"/>
        <v>194</v>
      </c>
      <c r="AC28" s="203">
        <f t="shared" si="30"/>
        <v>1940</v>
      </c>
      <c r="AD28" s="203">
        <f t="shared" si="32"/>
        <v>194</v>
      </c>
      <c r="AE28" s="203">
        <f t="shared" si="11"/>
        <v>1940</v>
      </c>
      <c r="AF28" s="203">
        <f t="shared" si="33"/>
        <v>194</v>
      </c>
      <c r="AG28" s="203">
        <f t="shared" si="12"/>
        <v>1940</v>
      </c>
      <c r="AH28" s="203">
        <f t="shared" si="34"/>
        <v>194</v>
      </c>
      <c r="AI28" s="203">
        <f t="shared" si="13"/>
        <v>1940</v>
      </c>
      <c r="AJ28" s="203">
        <f t="shared" si="35"/>
        <v>194</v>
      </c>
      <c r="AK28" s="203">
        <f t="shared" si="14"/>
        <v>1940</v>
      </c>
      <c r="AL28" s="203">
        <f t="shared" si="36"/>
        <v>194</v>
      </c>
      <c r="AM28" s="203">
        <f t="shared" si="15"/>
        <v>1940</v>
      </c>
      <c r="AN28" s="35">
        <f t="shared" si="16"/>
        <v>0.69285714285714284</v>
      </c>
      <c r="AO28" s="36">
        <f t="shared" si="17"/>
        <v>13580</v>
      </c>
      <c r="AQ28" s="223">
        <f t="shared" si="37"/>
        <v>0.62466768676680295</v>
      </c>
      <c r="AR28" s="38">
        <f t="shared" si="42"/>
        <v>58075.354838709674</v>
      </c>
      <c r="AS28" s="197">
        <f t="shared" si="38"/>
        <v>0</v>
      </c>
      <c r="AT28" s="353"/>
      <c r="AU28" s="644"/>
      <c r="AV28" s="511">
        <f t="shared" si="43"/>
        <v>1.0029999999999999</v>
      </c>
      <c r="AW28" s="289">
        <f>-SUM('B5'!AI27)</f>
        <v>0</v>
      </c>
      <c r="AX28" s="289">
        <f t="shared" si="3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2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188</v>
      </c>
      <c r="C29" s="203">
        <f t="shared" si="18"/>
        <v>4045.0322580645161</v>
      </c>
      <c r="D29">
        <f t="shared" si="19"/>
        <v>188</v>
      </c>
      <c r="E29" s="203">
        <f t="shared" si="18"/>
        <v>4045.0322580645161</v>
      </c>
      <c r="F29">
        <f t="shared" si="20"/>
        <v>188</v>
      </c>
      <c r="G29" s="203">
        <f t="shared" si="1"/>
        <v>4045.0322580645161</v>
      </c>
      <c r="H29" s="203">
        <f t="shared" si="21"/>
        <v>188</v>
      </c>
      <c r="I29" s="203">
        <f t="shared" si="2"/>
        <v>4045.0322580645161</v>
      </c>
      <c r="J29" s="203">
        <f t="shared" si="22"/>
        <v>188</v>
      </c>
      <c r="K29" s="203">
        <f t="shared" si="3"/>
        <v>4045.0322580645161</v>
      </c>
      <c r="L29" s="203">
        <f t="shared" si="23"/>
        <v>188</v>
      </c>
      <c r="M29" s="203">
        <f t="shared" si="4"/>
        <v>4045.0322580645161</v>
      </c>
      <c r="N29" s="203">
        <f t="shared" si="24"/>
        <v>188</v>
      </c>
      <c r="O29" s="203">
        <f t="shared" si="5"/>
        <v>4045.0322580645161</v>
      </c>
      <c r="P29" s="203">
        <f t="shared" si="25"/>
        <v>188</v>
      </c>
      <c r="Q29" s="203">
        <f t="shared" si="6"/>
        <v>4045.0322580645161</v>
      </c>
      <c r="R29" s="203">
        <f t="shared" si="26"/>
        <v>188</v>
      </c>
      <c r="S29" s="203">
        <f t="shared" si="7"/>
        <v>4045.0322580645161</v>
      </c>
      <c r="T29" s="203">
        <f t="shared" si="27"/>
        <v>188</v>
      </c>
      <c r="U29" s="203">
        <f t="shared" si="8"/>
        <v>4045.0322580645161</v>
      </c>
      <c r="V29" s="203">
        <f t="shared" si="28"/>
        <v>188</v>
      </c>
      <c r="W29" s="203">
        <f t="shared" si="9"/>
        <v>4045.0322580645161</v>
      </c>
      <c r="X29" s="35">
        <f t="shared" si="10"/>
        <v>0.6064516129032258</v>
      </c>
      <c r="Y29" s="36">
        <f t="shared" si="29"/>
        <v>44495.354838709674</v>
      </c>
      <c r="Z29" s="203">
        <f>'B5'!C28</f>
        <v>194</v>
      </c>
      <c r="AA29" s="203">
        <f t="shared" si="30"/>
        <v>1940</v>
      </c>
      <c r="AB29" s="203">
        <f t="shared" si="31"/>
        <v>194</v>
      </c>
      <c r="AC29" s="203">
        <f t="shared" si="30"/>
        <v>1940</v>
      </c>
      <c r="AD29" s="203">
        <f t="shared" si="32"/>
        <v>194</v>
      </c>
      <c r="AE29" s="203">
        <f t="shared" si="11"/>
        <v>1940</v>
      </c>
      <c r="AF29" s="203">
        <f t="shared" si="33"/>
        <v>194</v>
      </c>
      <c r="AG29" s="203">
        <f t="shared" si="12"/>
        <v>1940</v>
      </c>
      <c r="AH29" s="203">
        <f t="shared" si="34"/>
        <v>194</v>
      </c>
      <c r="AI29" s="203">
        <f t="shared" si="13"/>
        <v>1940</v>
      </c>
      <c r="AJ29" s="203">
        <f t="shared" si="35"/>
        <v>194</v>
      </c>
      <c r="AK29" s="203">
        <f t="shared" si="14"/>
        <v>1940</v>
      </c>
      <c r="AL29" s="203">
        <f t="shared" si="36"/>
        <v>194</v>
      </c>
      <c r="AM29" s="203">
        <f t="shared" si="15"/>
        <v>1940</v>
      </c>
      <c r="AN29" s="35">
        <f t="shared" si="16"/>
        <v>0.69285714285714284</v>
      </c>
      <c r="AO29" s="36">
        <f t="shared" si="17"/>
        <v>13580</v>
      </c>
      <c r="AQ29" s="223">
        <f t="shared" si="37"/>
        <v>0.62466768676680295</v>
      </c>
      <c r="AR29" s="38">
        <f t="shared" si="42"/>
        <v>58075.354838709674</v>
      </c>
      <c r="AS29" s="197">
        <f t="shared" si="38"/>
        <v>0</v>
      </c>
      <c r="AT29" s="353"/>
      <c r="AU29" s="644"/>
      <c r="AV29" s="511">
        <f t="shared" si="43"/>
        <v>1.0029999999999999</v>
      </c>
      <c r="AW29" s="289">
        <f>-SUM('B5'!AI28)</f>
        <v>0</v>
      </c>
      <c r="AX29" s="289">
        <f>-SUM(AW29-AS29)</f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2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188</v>
      </c>
      <c r="C30" s="203">
        <f t="shared" si="18"/>
        <v>4045.0322580645161</v>
      </c>
      <c r="D30">
        <f t="shared" ref="D30:D35" si="45">SUM(B30)</f>
        <v>188</v>
      </c>
      <c r="E30" s="203">
        <f t="shared" si="18"/>
        <v>4045.0322580645161</v>
      </c>
      <c r="F30">
        <f t="shared" ref="F30:F35" si="46">SUM(D30)</f>
        <v>188</v>
      </c>
      <c r="G30" s="203">
        <f t="shared" si="1"/>
        <v>4045.0322580645161</v>
      </c>
      <c r="H30" s="203">
        <f t="shared" ref="H30:H35" si="47">SUM(F30)</f>
        <v>188</v>
      </c>
      <c r="I30" s="203">
        <f t="shared" si="2"/>
        <v>4045.0322580645161</v>
      </c>
      <c r="J30" s="203">
        <f t="shared" ref="J30:J35" si="48">SUM(H30)</f>
        <v>188</v>
      </c>
      <c r="K30" s="203">
        <f t="shared" si="3"/>
        <v>4045.0322580645161</v>
      </c>
      <c r="L30" s="203">
        <f t="shared" ref="L30:L35" si="49">SUM(J30)</f>
        <v>188</v>
      </c>
      <c r="M30" s="203">
        <f t="shared" si="4"/>
        <v>4045.0322580645161</v>
      </c>
      <c r="N30" s="203">
        <f t="shared" ref="N30:N35" si="50">SUM(L30)</f>
        <v>188</v>
      </c>
      <c r="O30" s="203">
        <f t="shared" si="5"/>
        <v>4045.0322580645161</v>
      </c>
      <c r="P30" s="203">
        <f t="shared" ref="P30:P35" si="51">SUM(N30)</f>
        <v>188</v>
      </c>
      <c r="Q30" s="203">
        <f t="shared" si="6"/>
        <v>4045.0322580645161</v>
      </c>
      <c r="R30" s="203">
        <f t="shared" ref="R30:R35" si="52">SUM(P30)</f>
        <v>188</v>
      </c>
      <c r="S30" s="203">
        <f t="shared" si="7"/>
        <v>4045.0322580645161</v>
      </c>
      <c r="T30" s="203">
        <f t="shared" ref="T30:T35" si="53">SUM(R30)</f>
        <v>188</v>
      </c>
      <c r="U30" s="203">
        <f t="shared" si="8"/>
        <v>4045.0322580645161</v>
      </c>
      <c r="V30" s="203">
        <f t="shared" ref="V30:V35" si="54">SUM(T30)</f>
        <v>188</v>
      </c>
      <c r="W30" s="203">
        <f t="shared" si="9"/>
        <v>4045.0322580645161</v>
      </c>
      <c r="X30" s="35">
        <f t="shared" ref="X30:X35" si="55">SUM(Y30/73370)</f>
        <v>0.6064516129032258</v>
      </c>
      <c r="Y30" s="36">
        <f t="shared" ref="Y30:Y35" si="56">SUM(C30+E30+G30+I30+K30+M30+O30+Q30+S30+U30+W30)</f>
        <v>44495.354838709674</v>
      </c>
      <c r="Z30" s="203">
        <f>'B5'!C29</f>
        <v>194</v>
      </c>
      <c r="AA30" s="203">
        <f t="shared" si="30"/>
        <v>1940</v>
      </c>
      <c r="AB30" s="203">
        <f t="shared" ref="AB30:AB35" si="57">SUM(Z30)</f>
        <v>194</v>
      </c>
      <c r="AC30" s="203">
        <f t="shared" si="30"/>
        <v>1940</v>
      </c>
      <c r="AD30" s="203">
        <f t="shared" ref="AD30:AD35" si="58">SUM(AB30)</f>
        <v>194</v>
      </c>
      <c r="AE30" s="203">
        <f t="shared" si="11"/>
        <v>1940</v>
      </c>
      <c r="AF30" s="203">
        <f t="shared" ref="AF30:AF35" si="59">SUM(AD30)</f>
        <v>194</v>
      </c>
      <c r="AG30" s="203">
        <f t="shared" si="12"/>
        <v>1940</v>
      </c>
      <c r="AH30" s="203">
        <f t="shared" ref="AH30:AH35" si="60">SUM(AF30)</f>
        <v>194</v>
      </c>
      <c r="AI30" s="203">
        <f t="shared" si="13"/>
        <v>1940</v>
      </c>
      <c r="AJ30" s="203">
        <f t="shared" ref="AJ30:AJ35" si="61">SUM(AH30)</f>
        <v>194</v>
      </c>
      <c r="AK30" s="203">
        <f t="shared" si="14"/>
        <v>1940</v>
      </c>
      <c r="AL30" s="203">
        <f t="shared" ref="AL30:AL35" si="62">SUM(AJ30)</f>
        <v>194</v>
      </c>
      <c r="AM30" s="203">
        <f t="shared" si="15"/>
        <v>1940</v>
      </c>
      <c r="AN30" s="35">
        <f t="shared" ref="AN30:AN35" si="63">SUM(AO30/19600)</f>
        <v>0.69285714285714284</v>
      </c>
      <c r="AO30" s="36">
        <f t="shared" ref="AO30:AO35" si="64">SUM(AA30+AC30+AE30+AG30+AI30+AK30+AM30)</f>
        <v>13580</v>
      </c>
      <c r="AQ30" s="223">
        <f t="shared" si="37"/>
        <v>0.62466768676680295</v>
      </c>
      <c r="AR30" s="38">
        <f t="shared" si="42"/>
        <v>58075.354838709674</v>
      </c>
      <c r="AS30" s="197">
        <f t="shared" si="38"/>
        <v>0</v>
      </c>
      <c r="AT30" s="353"/>
      <c r="AU30" s="642"/>
      <c r="AV30" s="511">
        <f t="shared" si="43"/>
        <v>1.0029999999999999</v>
      </c>
      <c r="AW30" s="289">
        <f>-SUM('B5'!AI29)</f>
        <v>0</v>
      </c>
      <c r="AX30" s="289">
        <f>-SUM(AW30-AS30)</f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2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188</v>
      </c>
      <c r="C31" s="203">
        <f t="shared" si="18"/>
        <v>4045.0322580645161</v>
      </c>
      <c r="D31">
        <f t="shared" si="45"/>
        <v>188</v>
      </c>
      <c r="E31" s="203">
        <f t="shared" si="18"/>
        <v>4045.0322580645161</v>
      </c>
      <c r="F31">
        <f t="shared" si="46"/>
        <v>188</v>
      </c>
      <c r="G31" s="203">
        <f t="shared" si="1"/>
        <v>4045.0322580645161</v>
      </c>
      <c r="H31" s="203">
        <f t="shared" si="47"/>
        <v>188</v>
      </c>
      <c r="I31" s="203">
        <f t="shared" si="2"/>
        <v>4045.0322580645161</v>
      </c>
      <c r="J31" s="203">
        <f t="shared" si="48"/>
        <v>188</v>
      </c>
      <c r="K31" s="203">
        <f t="shared" si="3"/>
        <v>4045.0322580645161</v>
      </c>
      <c r="L31" s="203">
        <f t="shared" si="49"/>
        <v>188</v>
      </c>
      <c r="M31" s="203">
        <f t="shared" si="4"/>
        <v>4045.0322580645161</v>
      </c>
      <c r="N31" s="203">
        <f t="shared" si="50"/>
        <v>188</v>
      </c>
      <c r="O31" s="203">
        <f t="shared" si="5"/>
        <v>4045.0322580645161</v>
      </c>
      <c r="P31" s="203">
        <f t="shared" si="51"/>
        <v>188</v>
      </c>
      <c r="Q31" s="203">
        <f t="shared" si="6"/>
        <v>4045.0322580645161</v>
      </c>
      <c r="R31" s="203">
        <f t="shared" si="52"/>
        <v>188</v>
      </c>
      <c r="S31" s="203">
        <f t="shared" si="7"/>
        <v>4045.0322580645161</v>
      </c>
      <c r="T31" s="203">
        <f t="shared" si="53"/>
        <v>188</v>
      </c>
      <c r="U31" s="203">
        <f t="shared" si="8"/>
        <v>4045.0322580645161</v>
      </c>
      <c r="V31" s="203">
        <f t="shared" si="54"/>
        <v>188</v>
      </c>
      <c r="W31" s="203">
        <f t="shared" si="9"/>
        <v>4045.0322580645161</v>
      </c>
      <c r="X31" s="35">
        <f t="shared" si="55"/>
        <v>0.6064516129032258</v>
      </c>
      <c r="Y31" s="36">
        <f t="shared" si="56"/>
        <v>44495.354838709674</v>
      </c>
      <c r="Z31" s="203">
        <f>'B5'!C30</f>
        <v>194</v>
      </c>
      <c r="AA31" s="203">
        <f t="shared" si="30"/>
        <v>1940</v>
      </c>
      <c r="AB31" s="203">
        <f t="shared" si="57"/>
        <v>194</v>
      </c>
      <c r="AC31" s="203">
        <f t="shared" si="30"/>
        <v>1940</v>
      </c>
      <c r="AD31" s="203">
        <f t="shared" si="58"/>
        <v>194</v>
      </c>
      <c r="AE31" s="203">
        <f t="shared" si="11"/>
        <v>1940</v>
      </c>
      <c r="AF31" s="203">
        <f t="shared" si="59"/>
        <v>194</v>
      </c>
      <c r="AG31" s="203">
        <f t="shared" si="12"/>
        <v>1940</v>
      </c>
      <c r="AH31" s="203">
        <f t="shared" si="60"/>
        <v>194</v>
      </c>
      <c r="AI31" s="203">
        <f t="shared" si="13"/>
        <v>1940</v>
      </c>
      <c r="AJ31" s="203">
        <f t="shared" si="61"/>
        <v>194</v>
      </c>
      <c r="AK31" s="203">
        <f t="shared" si="14"/>
        <v>1940</v>
      </c>
      <c r="AL31" s="203">
        <f t="shared" si="62"/>
        <v>194</v>
      </c>
      <c r="AM31" s="203">
        <f t="shared" si="15"/>
        <v>1940</v>
      </c>
      <c r="AN31" s="35">
        <f t="shared" si="63"/>
        <v>0.69285714285714284</v>
      </c>
      <c r="AO31" s="36">
        <f t="shared" si="64"/>
        <v>13580</v>
      </c>
      <c r="AQ31" s="223">
        <f t="shared" si="37"/>
        <v>0.62466768676680295</v>
      </c>
      <c r="AR31" s="38">
        <f t="shared" si="42"/>
        <v>58075.354838709674</v>
      </c>
      <c r="AS31" s="197">
        <f t="shared" si="38"/>
        <v>0</v>
      </c>
      <c r="AT31" s="353"/>
      <c r="AU31" s="642"/>
      <c r="AV31" s="511">
        <f t="shared" si="43"/>
        <v>1.0029999999999999</v>
      </c>
      <c r="AW31" s="289">
        <f>-SUM('B5'!AI30)</f>
        <v>0</v>
      </c>
      <c r="AX31" s="289">
        <f t="shared" si="3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2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188</v>
      </c>
      <c r="C32" s="203">
        <f t="shared" si="18"/>
        <v>4045.0322580645161</v>
      </c>
      <c r="D32">
        <f t="shared" si="45"/>
        <v>188</v>
      </c>
      <c r="E32" s="203">
        <f t="shared" si="18"/>
        <v>4045.0322580645161</v>
      </c>
      <c r="F32">
        <f t="shared" si="46"/>
        <v>188</v>
      </c>
      <c r="G32" s="203">
        <f t="shared" si="1"/>
        <v>4045.0322580645161</v>
      </c>
      <c r="H32" s="203">
        <f t="shared" si="47"/>
        <v>188</v>
      </c>
      <c r="I32" s="203">
        <f t="shared" si="2"/>
        <v>4045.0322580645161</v>
      </c>
      <c r="J32" s="203">
        <f t="shared" si="48"/>
        <v>188</v>
      </c>
      <c r="K32" s="203">
        <f t="shared" si="3"/>
        <v>4045.0322580645161</v>
      </c>
      <c r="L32" s="203">
        <f t="shared" si="49"/>
        <v>188</v>
      </c>
      <c r="M32" s="203">
        <f t="shared" si="4"/>
        <v>4045.0322580645161</v>
      </c>
      <c r="N32" s="203">
        <f t="shared" si="50"/>
        <v>188</v>
      </c>
      <c r="O32" s="203">
        <f t="shared" si="5"/>
        <v>4045.0322580645161</v>
      </c>
      <c r="P32" s="203">
        <f t="shared" si="51"/>
        <v>188</v>
      </c>
      <c r="Q32" s="203">
        <f t="shared" si="6"/>
        <v>4045.0322580645161</v>
      </c>
      <c r="R32" s="203">
        <f t="shared" si="52"/>
        <v>188</v>
      </c>
      <c r="S32" s="203">
        <f t="shared" si="7"/>
        <v>4045.0322580645161</v>
      </c>
      <c r="T32" s="203">
        <f t="shared" si="53"/>
        <v>188</v>
      </c>
      <c r="U32" s="203">
        <f t="shared" si="8"/>
        <v>4045.0322580645161</v>
      </c>
      <c r="V32" s="203">
        <f t="shared" si="54"/>
        <v>188</v>
      </c>
      <c r="W32" s="203">
        <f t="shared" si="9"/>
        <v>4045.0322580645161</v>
      </c>
      <c r="X32" s="35">
        <f t="shared" si="55"/>
        <v>0.6064516129032258</v>
      </c>
      <c r="Y32" s="36">
        <f t="shared" si="56"/>
        <v>44495.354838709674</v>
      </c>
      <c r="Z32" s="203">
        <f>'B5'!C31</f>
        <v>194</v>
      </c>
      <c r="AA32" s="203">
        <f t="shared" si="30"/>
        <v>1940</v>
      </c>
      <c r="AB32" s="203">
        <f t="shared" si="57"/>
        <v>194</v>
      </c>
      <c r="AC32" s="203">
        <f t="shared" si="30"/>
        <v>1940</v>
      </c>
      <c r="AD32" s="203">
        <f t="shared" si="58"/>
        <v>194</v>
      </c>
      <c r="AE32" s="203">
        <f t="shared" si="11"/>
        <v>1940</v>
      </c>
      <c r="AF32" s="203">
        <f t="shared" si="59"/>
        <v>194</v>
      </c>
      <c r="AG32" s="203">
        <f t="shared" si="12"/>
        <v>1940</v>
      </c>
      <c r="AH32" s="203">
        <f t="shared" si="60"/>
        <v>194</v>
      </c>
      <c r="AI32" s="203">
        <f t="shared" si="13"/>
        <v>1940</v>
      </c>
      <c r="AJ32" s="203">
        <f t="shared" si="61"/>
        <v>194</v>
      </c>
      <c r="AK32" s="203">
        <f t="shared" si="14"/>
        <v>1940</v>
      </c>
      <c r="AL32" s="203">
        <f t="shared" si="62"/>
        <v>194</v>
      </c>
      <c r="AM32" s="203">
        <f t="shared" si="15"/>
        <v>1940</v>
      </c>
      <c r="AN32" s="35">
        <f t="shared" si="63"/>
        <v>0.69285714285714284</v>
      </c>
      <c r="AO32" s="36">
        <f t="shared" si="64"/>
        <v>13580</v>
      </c>
      <c r="AQ32" s="223">
        <f t="shared" si="37"/>
        <v>0.62466768676680295</v>
      </c>
      <c r="AR32" s="38">
        <f t="shared" si="42"/>
        <v>58075.354838709674</v>
      </c>
      <c r="AS32" s="197">
        <f t="shared" si="38"/>
        <v>0</v>
      </c>
      <c r="AT32" s="353"/>
      <c r="AU32" s="642"/>
      <c r="AV32" s="511">
        <f>IF(AT32&gt;0,AU32,AV31)</f>
        <v>1.0029999999999999</v>
      </c>
      <c r="AW32" s="289">
        <f>-SUM('B5'!AI31)</f>
        <v>0</v>
      </c>
      <c r="AX32" s="289">
        <f t="shared" si="3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2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188</v>
      </c>
      <c r="C33" s="203">
        <f t="shared" si="18"/>
        <v>4045.0322580645161</v>
      </c>
      <c r="D33">
        <f t="shared" si="45"/>
        <v>188</v>
      </c>
      <c r="E33" s="203">
        <f t="shared" si="18"/>
        <v>4045.0322580645161</v>
      </c>
      <c r="F33">
        <f t="shared" si="46"/>
        <v>188</v>
      </c>
      <c r="G33" s="203">
        <f t="shared" si="1"/>
        <v>4045.0322580645161</v>
      </c>
      <c r="H33" s="203">
        <f t="shared" si="47"/>
        <v>188</v>
      </c>
      <c r="I33" s="203">
        <f t="shared" si="2"/>
        <v>4045.0322580645161</v>
      </c>
      <c r="J33" s="203">
        <f t="shared" si="48"/>
        <v>188</v>
      </c>
      <c r="K33" s="203">
        <f t="shared" si="3"/>
        <v>4045.0322580645161</v>
      </c>
      <c r="L33" s="203">
        <f t="shared" si="49"/>
        <v>188</v>
      </c>
      <c r="M33" s="203">
        <f t="shared" si="4"/>
        <v>4045.0322580645161</v>
      </c>
      <c r="N33" s="203">
        <f t="shared" si="50"/>
        <v>188</v>
      </c>
      <c r="O33" s="203">
        <f t="shared" si="5"/>
        <v>4045.0322580645161</v>
      </c>
      <c r="P33" s="203">
        <f t="shared" si="51"/>
        <v>188</v>
      </c>
      <c r="Q33" s="203">
        <f t="shared" si="6"/>
        <v>4045.0322580645161</v>
      </c>
      <c r="R33" s="203">
        <f t="shared" si="52"/>
        <v>188</v>
      </c>
      <c r="S33" s="203">
        <f t="shared" si="7"/>
        <v>4045.0322580645161</v>
      </c>
      <c r="T33" s="203">
        <f t="shared" si="53"/>
        <v>188</v>
      </c>
      <c r="U33" s="203">
        <f t="shared" si="8"/>
        <v>4045.0322580645161</v>
      </c>
      <c r="V33" s="203">
        <f t="shared" si="54"/>
        <v>188</v>
      </c>
      <c r="W33" s="203">
        <f t="shared" si="9"/>
        <v>4045.0322580645161</v>
      </c>
      <c r="X33" s="35">
        <f t="shared" si="55"/>
        <v>0.6064516129032258</v>
      </c>
      <c r="Y33" s="36">
        <f t="shared" si="56"/>
        <v>44495.354838709674</v>
      </c>
      <c r="Z33" s="203">
        <f>'B5'!C32</f>
        <v>194</v>
      </c>
      <c r="AA33" s="203">
        <f t="shared" si="30"/>
        <v>1940</v>
      </c>
      <c r="AB33" s="203">
        <f t="shared" si="57"/>
        <v>194</v>
      </c>
      <c r="AC33" s="203">
        <f t="shared" si="30"/>
        <v>1940</v>
      </c>
      <c r="AD33" s="203">
        <f t="shared" si="58"/>
        <v>194</v>
      </c>
      <c r="AE33" s="203">
        <f t="shared" si="11"/>
        <v>1940</v>
      </c>
      <c r="AF33" s="203">
        <f t="shared" si="59"/>
        <v>194</v>
      </c>
      <c r="AG33" s="203">
        <f t="shared" si="12"/>
        <v>1940</v>
      </c>
      <c r="AH33" s="203">
        <f t="shared" si="60"/>
        <v>194</v>
      </c>
      <c r="AI33" s="203">
        <f t="shared" si="13"/>
        <v>1940</v>
      </c>
      <c r="AJ33" s="203">
        <f t="shared" si="61"/>
        <v>194</v>
      </c>
      <c r="AK33" s="203">
        <f t="shared" si="14"/>
        <v>1940</v>
      </c>
      <c r="AL33" s="203">
        <f t="shared" si="62"/>
        <v>194</v>
      </c>
      <c r="AM33" s="203">
        <f t="shared" si="15"/>
        <v>1940</v>
      </c>
      <c r="AN33" s="35">
        <f t="shared" si="63"/>
        <v>0.69285714285714284</v>
      </c>
      <c r="AO33" s="36">
        <f t="shared" si="64"/>
        <v>13580</v>
      </c>
      <c r="AQ33" s="223">
        <f t="shared" si="37"/>
        <v>0.62466768676680295</v>
      </c>
      <c r="AR33" s="38">
        <f t="shared" si="42"/>
        <v>58075.354838709674</v>
      </c>
      <c r="AS33" s="197">
        <f t="shared" si="38"/>
        <v>0</v>
      </c>
      <c r="AT33" s="353"/>
      <c r="AU33" s="642"/>
      <c r="AV33" s="511">
        <f>IF(AT33&gt;0,AU33,AV32)</f>
        <v>1.0029999999999999</v>
      </c>
      <c r="AW33" s="289">
        <f>-SUM('B5'!AI32)</f>
        <v>0</v>
      </c>
      <c r="AX33" s="289">
        <f t="shared" si="3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188</v>
      </c>
      <c r="C34" s="203">
        <f>B34*$B$4</f>
        <v>4045.0322580645161</v>
      </c>
      <c r="D34">
        <f t="shared" si="45"/>
        <v>188</v>
      </c>
      <c r="E34" s="203">
        <f>D34*$B$4</f>
        <v>4045.0322580645161</v>
      </c>
      <c r="F34">
        <f t="shared" si="46"/>
        <v>188</v>
      </c>
      <c r="G34" s="203">
        <f>F34*$B$4</f>
        <v>4045.0322580645161</v>
      </c>
      <c r="H34" s="203">
        <f t="shared" si="47"/>
        <v>188</v>
      </c>
      <c r="I34" s="203">
        <f>H34*$B$4</f>
        <v>4045.0322580645161</v>
      </c>
      <c r="J34" s="203">
        <f t="shared" si="48"/>
        <v>188</v>
      </c>
      <c r="K34" s="203">
        <f>J34*$B$4</f>
        <v>4045.0322580645161</v>
      </c>
      <c r="L34" s="203">
        <f t="shared" si="49"/>
        <v>188</v>
      </c>
      <c r="M34" s="203">
        <f>L34*$B$4</f>
        <v>4045.0322580645161</v>
      </c>
      <c r="N34" s="203">
        <f t="shared" si="50"/>
        <v>188</v>
      </c>
      <c r="O34" s="203">
        <f>N34*$B$4</f>
        <v>4045.0322580645161</v>
      </c>
      <c r="P34" s="203">
        <f t="shared" si="51"/>
        <v>188</v>
      </c>
      <c r="Q34" s="203">
        <f>P34*$B$4</f>
        <v>4045.0322580645161</v>
      </c>
      <c r="R34" s="203">
        <f t="shared" si="52"/>
        <v>188</v>
      </c>
      <c r="S34" s="203">
        <f>R34*$B$4</f>
        <v>4045.0322580645161</v>
      </c>
      <c r="T34" s="203">
        <f t="shared" si="53"/>
        <v>188</v>
      </c>
      <c r="U34" s="203">
        <f>T34*$B$4</f>
        <v>4045.0322580645161</v>
      </c>
      <c r="V34" s="203">
        <f t="shared" si="54"/>
        <v>188</v>
      </c>
      <c r="W34" s="203">
        <f>V34*$B$4</f>
        <v>4045.0322580645161</v>
      </c>
      <c r="X34" s="35">
        <f t="shared" si="55"/>
        <v>0.6064516129032258</v>
      </c>
      <c r="Y34" s="36">
        <f t="shared" si="56"/>
        <v>44495.354838709674</v>
      </c>
      <c r="Z34" s="203">
        <f>'B5'!C33</f>
        <v>194</v>
      </c>
      <c r="AA34" s="203">
        <f>SUM(Z34*$Z$4)</f>
        <v>1940</v>
      </c>
      <c r="AB34" s="203">
        <f t="shared" si="57"/>
        <v>194</v>
      </c>
      <c r="AC34" s="203">
        <f>SUM(AB34*$Z$4)</f>
        <v>1940</v>
      </c>
      <c r="AD34" s="203">
        <f t="shared" si="58"/>
        <v>194</v>
      </c>
      <c r="AE34" s="203">
        <f>SUM(AD34*$Z$4)</f>
        <v>1940</v>
      </c>
      <c r="AF34" s="203">
        <f t="shared" si="59"/>
        <v>194</v>
      </c>
      <c r="AG34" s="203">
        <f>SUM(AF34*$Z$4)</f>
        <v>1940</v>
      </c>
      <c r="AH34" s="203">
        <f t="shared" si="60"/>
        <v>194</v>
      </c>
      <c r="AI34" s="203">
        <f>SUM(AH34*$Z$4)</f>
        <v>1940</v>
      </c>
      <c r="AJ34" s="203">
        <f t="shared" si="61"/>
        <v>194</v>
      </c>
      <c r="AK34" s="203">
        <f>SUM(AJ34*$Z$4)</f>
        <v>1940</v>
      </c>
      <c r="AL34" s="203">
        <f t="shared" si="62"/>
        <v>194</v>
      </c>
      <c r="AM34" s="203">
        <f>SUM(AL34*$Z$4)</f>
        <v>1940</v>
      </c>
      <c r="AN34" s="35">
        <f t="shared" si="63"/>
        <v>0.69285714285714284</v>
      </c>
      <c r="AO34" s="36">
        <f t="shared" si="64"/>
        <v>13580</v>
      </c>
      <c r="AQ34" s="223">
        <f>SUM(AR34/92970)</f>
        <v>0.62466768676680295</v>
      </c>
      <c r="AR34" s="38">
        <f t="shared" si="42"/>
        <v>58075.354838709674</v>
      </c>
      <c r="AS34" s="197">
        <f t="shared" si="38"/>
        <v>0</v>
      </c>
      <c r="AT34" s="353"/>
      <c r="AU34" s="642"/>
      <c r="AV34" s="511">
        <f>IF(AT34&gt;0,AU34,AV33)</f>
        <v>1.0029999999999999</v>
      </c>
      <c r="AW34" s="289">
        <f>-SUM('B5'!AI33)</f>
        <v>0</v>
      </c>
      <c r="AX34" s="289">
        <f>-SUM(AW34-AS34)</f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188</v>
      </c>
      <c r="C35" s="203">
        <f>B35*$B$4</f>
        <v>4045.0322580645161</v>
      </c>
      <c r="D35">
        <f t="shared" si="45"/>
        <v>188</v>
      </c>
      <c r="E35" s="203">
        <f>D35*$B$4</f>
        <v>4045.0322580645161</v>
      </c>
      <c r="F35">
        <f t="shared" si="46"/>
        <v>188</v>
      </c>
      <c r="G35" s="203">
        <f>F35*$B$4</f>
        <v>4045.0322580645161</v>
      </c>
      <c r="H35" s="203">
        <f t="shared" si="47"/>
        <v>188</v>
      </c>
      <c r="I35" s="203">
        <f>H35*$B$4</f>
        <v>4045.0322580645161</v>
      </c>
      <c r="J35" s="203">
        <f t="shared" si="48"/>
        <v>188</v>
      </c>
      <c r="K35" s="203">
        <f>J35*$B$4</f>
        <v>4045.0322580645161</v>
      </c>
      <c r="L35" s="203">
        <f t="shared" si="49"/>
        <v>188</v>
      </c>
      <c r="M35" s="203">
        <f>L35*$B$4</f>
        <v>4045.0322580645161</v>
      </c>
      <c r="N35" s="203">
        <f t="shared" si="50"/>
        <v>188</v>
      </c>
      <c r="O35" s="203">
        <f>N35*$B$4</f>
        <v>4045.0322580645161</v>
      </c>
      <c r="P35" s="203">
        <f t="shared" si="51"/>
        <v>188</v>
      </c>
      <c r="Q35" s="203">
        <f>P35*$B$4</f>
        <v>4045.0322580645161</v>
      </c>
      <c r="R35" s="203">
        <f t="shared" si="52"/>
        <v>188</v>
      </c>
      <c r="S35" s="203">
        <f>R35*$B$4</f>
        <v>4045.0322580645161</v>
      </c>
      <c r="T35" s="203">
        <f t="shared" si="53"/>
        <v>188</v>
      </c>
      <c r="U35" s="203">
        <f>T35*$B$4</f>
        <v>4045.0322580645161</v>
      </c>
      <c r="V35" s="203">
        <f t="shared" si="54"/>
        <v>188</v>
      </c>
      <c r="W35" s="203">
        <f>V35*$B$4</f>
        <v>4045.0322580645161</v>
      </c>
      <c r="X35" s="35">
        <f t="shared" si="55"/>
        <v>0.6064516129032258</v>
      </c>
      <c r="Y35" s="36">
        <f t="shared" si="56"/>
        <v>44495.354838709674</v>
      </c>
      <c r="Z35" s="203">
        <f>'B5'!C34</f>
        <v>194</v>
      </c>
      <c r="AA35" s="203">
        <f>SUM(Z35*$Z$4)</f>
        <v>1940</v>
      </c>
      <c r="AB35" s="203">
        <f t="shared" si="57"/>
        <v>194</v>
      </c>
      <c r="AC35" s="203">
        <f>SUM(AB35*$Z$4)</f>
        <v>1940</v>
      </c>
      <c r="AD35" s="203">
        <f t="shared" si="58"/>
        <v>194</v>
      </c>
      <c r="AE35" s="203">
        <f>SUM(AD35*$Z$4)</f>
        <v>1940</v>
      </c>
      <c r="AF35" s="203">
        <f t="shared" si="59"/>
        <v>194</v>
      </c>
      <c r="AG35" s="203">
        <f>SUM(AF35*$Z$4)</f>
        <v>1940</v>
      </c>
      <c r="AH35" s="203">
        <f t="shared" si="60"/>
        <v>194</v>
      </c>
      <c r="AI35" s="203">
        <f>SUM(AH35*$Z$4)</f>
        <v>1940</v>
      </c>
      <c r="AJ35" s="203">
        <f t="shared" si="61"/>
        <v>194</v>
      </c>
      <c r="AK35" s="203">
        <f>SUM(AJ35*$Z$4)</f>
        <v>1940</v>
      </c>
      <c r="AL35" s="203">
        <f t="shared" si="62"/>
        <v>194</v>
      </c>
      <c r="AM35" s="203">
        <f>SUM(AL35*$Z$4)</f>
        <v>1940</v>
      </c>
      <c r="AN35" s="35">
        <f t="shared" si="63"/>
        <v>0.69285714285714284</v>
      </c>
      <c r="AO35" s="36">
        <f t="shared" si="64"/>
        <v>13580</v>
      </c>
      <c r="AQ35" s="223">
        <f>SUM(AR35/92970)</f>
        <v>0.62466768676680295</v>
      </c>
      <c r="AR35" s="38">
        <f t="shared" si="42"/>
        <v>58075.354838709674</v>
      </c>
      <c r="AS35" s="197">
        <f t="shared" si="38"/>
        <v>0</v>
      </c>
      <c r="AT35" s="353"/>
      <c r="AU35" s="642"/>
      <c r="AV35" s="580">
        <f>IF(AT35&gt;0,AU35,AV34)</f>
        <v>1.0029999999999999</v>
      </c>
      <c r="AW35" s="289">
        <f>-SUM('B5'!AI34)</f>
        <v>0</v>
      </c>
      <c r="AX35" s="289">
        <f>-SUM(AW35-AS35)</f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1</v>
      </c>
      <c r="AT36" s="203">
        <f>SUM(AT6:AT35)</f>
        <v>15285</v>
      </c>
      <c r="AU36" s="629">
        <f>SUM(AU6:AU35)/AS36</f>
        <v>1.0029999999999999</v>
      </c>
      <c r="AX36" s="203">
        <f>SUM(AX6:AX35)</f>
        <v>-20296.870967741932</v>
      </c>
      <c r="AY36" s="203">
        <f>SUM(AY6:AY35)</f>
        <v>-21181.870967741932</v>
      </c>
    </row>
    <row r="37" spans="1:60">
      <c r="AS37" s="206"/>
      <c r="AT37" s="82">
        <f>+AT36*AU36</f>
        <v>15330.854999999998</v>
      </c>
    </row>
    <row r="39" spans="1:60">
      <c r="AS39" s="165">
        <f>SUM(AS6:AS35)/'EDl log'!A35</f>
        <v>-4236.3741935483868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-0.46865249642665341</v>
      </c>
    </row>
  </sheetData>
  <mergeCells count="3">
    <mergeCell ref="AT3:AU3"/>
    <mergeCell ref="AS3:AS4"/>
    <mergeCell ref="AR3:AR4"/>
  </mergeCells>
  <conditionalFormatting sqref="AW6:AX35">
    <cfRule type="cellIs" dxfId="3" priority="5" stopIfTrue="1" operator="greaterThan">
      <formula>0</formula>
    </cfRule>
  </conditionalFormatting>
  <conditionalFormatting sqref="AT6:AU3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N9" sqref="N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2" bestFit="1" customWidth="1"/>
    <col min="20" max="20" width="10.28515625" style="335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1">
        <v>156087</v>
      </c>
      <c r="G4" s="160">
        <f t="shared" ref="G4:G30" si="1">F4-F3</f>
        <v>0</v>
      </c>
      <c r="H4" s="581">
        <v>515845</v>
      </c>
      <c r="I4" s="161">
        <f t="shared" ref="I4:I30" si="2">H4-H3</f>
        <v>303</v>
      </c>
      <c r="J4" s="581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594.77899999999988</v>
      </c>
      <c r="R4" s="296">
        <f>SUM(P4:Q4)</f>
        <v>781.28675013819782</v>
      </c>
      <c r="S4" s="298">
        <f>SUM(ELEC!N4)</f>
        <v>10480.600000000093</v>
      </c>
      <c r="T4" s="334">
        <f>IF(S4&gt;0,R4/S4,0)</f>
        <v>7.4545994517316846E-2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82"/>
      <c r="AC4" s="683"/>
    </row>
    <row r="5" spans="1:32" ht="20.100000000000001" customHeight="1">
      <c r="A5" s="163">
        <f>ELEC!C5</f>
        <v>44349</v>
      </c>
      <c r="B5" s="626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6">
        <v>156260</v>
      </c>
      <c r="G5" s="160">
        <f t="shared" si="1"/>
        <v>173</v>
      </c>
      <c r="H5" s="626">
        <v>516289</v>
      </c>
      <c r="I5" s="161">
        <f t="shared" si="2"/>
        <v>444</v>
      </c>
      <c r="J5" s="626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5936.6599354838654</v>
      </c>
      <c r="R5" s="296">
        <f t="shared" ref="R5:R30" si="10">SUM(P5:Q5)</f>
        <v>6196.5288796519144</v>
      </c>
      <c r="S5" s="298">
        <f>SUM(ELEC!N5)</f>
        <v>12363.799999999814</v>
      </c>
      <c r="T5" s="334">
        <f>IF(S5&gt;0,R5/S5,0)</f>
        <v>0.50118320254711402</v>
      </c>
      <c r="U5" s="250"/>
      <c r="V5" s="676"/>
      <c r="W5" s="677"/>
      <c r="X5" s="677"/>
      <c r="Y5" s="678"/>
      <c r="Z5" s="26" t="s">
        <v>203</v>
      </c>
      <c r="AA5" s="264">
        <f>'[7]EDl log'!AA22</f>
        <v>5000</v>
      </c>
      <c r="AB5" s="684"/>
      <c r="AC5" s="685"/>
    </row>
    <row r="6" spans="1:32" ht="20.100000000000001" customHeight="1">
      <c r="A6" s="163">
        <f>ELEC!C6</f>
        <v>44350</v>
      </c>
      <c r="B6" s="626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6">
        <v>156260</v>
      </c>
      <c r="G6" s="160">
        <f t="shared" si="1"/>
        <v>0</v>
      </c>
      <c r="H6" s="626">
        <v>516513</v>
      </c>
      <c r="I6" s="161">
        <f t="shared" si="2"/>
        <v>224</v>
      </c>
      <c r="J6" s="626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1978.7895806451429</v>
      </c>
      <c r="R6" s="296">
        <f t="shared" si="10"/>
        <v>2167.0167337684156</v>
      </c>
      <c r="S6" s="298">
        <f>SUM(ELEC!N6)</f>
        <v>15101</v>
      </c>
      <c r="T6" s="334">
        <f t="shared" ref="T6:T30" si="12">IF(S6&gt;0,R6/S6,0)</f>
        <v>0.14350153855826869</v>
      </c>
      <c r="V6" s="679"/>
      <c r="W6" s="680"/>
      <c r="X6" s="680"/>
      <c r="Y6" s="681"/>
      <c r="Z6" s="3"/>
      <c r="AA6" s="3"/>
      <c r="AB6" s="684"/>
      <c r="AC6" s="685"/>
    </row>
    <row r="7" spans="1:32" ht="20.100000000000001" customHeight="1">
      <c r="A7" s="163">
        <f>ELEC!C7</f>
        <v>44351</v>
      </c>
      <c r="B7" s="626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6">
        <v>156260</v>
      </c>
      <c r="G7" s="160">
        <f t="shared" si="1"/>
        <v>0</v>
      </c>
      <c r="H7" s="626">
        <v>516513</v>
      </c>
      <c r="I7" s="161">
        <f t="shared" si="2"/>
        <v>0</v>
      </c>
      <c r="J7" s="626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2984.7015161290533</v>
      </c>
      <c r="R7" s="296">
        <f t="shared" si="10"/>
        <v>3144.6646559853275</v>
      </c>
      <c r="S7" s="298">
        <f>SUM(ELEC!N7)</f>
        <v>16108.600000000093</v>
      </c>
      <c r="T7" s="334">
        <f t="shared" si="12"/>
        <v>0.19521650894462023</v>
      </c>
      <c r="V7" s="672" t="s">
        <v>204</v>
      </c>
      <c r="W7" s="673"/>
      <c r="X7" s="674" t="s">
        <v>205</v>
      </c>
      <c r="Y7" s="675"/>
      <c r="Z7" s="673"/>
      <c r="AA7" s="26"/>
      <c r="AB7" s="686"/>
      <c r="AC7" s="687"/>
    </row>
    <row r="8" spans="1:32" ht="20.100000000000001" customHeight="1">
      <c r="A8" s="163">
        <f>ELEC!C8</f>
        <v>44352</v>
      </c>
      <c r="B8" s="626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6">
        <v>156467</v>
      </c>
      <c r="G8" s="160">
        <f t="shared" si="1"/>
        <v>207</v>
      </c>
      <c r="H8" s="626">
        <v>517307</v>
      </c>
      <c r="I8" s="161">
        <f t="shared" si="2"/>
        <v>794</v>
      </c>
      <c r="J8" s="626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4986.4306774193465</v>
      </c>
      <c r="R8" s="296">
        <f t="shared" si="10"/>
        <v>5283.7125569107784</v>
      </c>
      <c r="S8" s="298">
        <f>SUM(ELEC!N8)</f>
        <v>12066</v>
      </c>
      <c r="T8" s="334">
        <f>IF(S8&gt;0,R8/S8,0)</f>
        <v>0.43790092465695163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26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6">
        <v>156555</v>
      </c>
      <c r="G9" s="160">
        <f t="shared" si="1"/>
        <v>88</v>
      </c>
      <c r="H9" s="626">
        <v>517596</v>
      </c>
      <c r="I9" s="161">
        <f t="shared" si="2"/>
        <v>289</v>
      </c>
      <c r="J9" s="626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3876.4008709677473</v>
      </c>
      <c r="R9" s="296">
        <f>SUM(P9:Q9)</f>
        <v>4083.5202297294941</v>
      </c>
      <c r="S9" s="298">
        <f>SUM(ELEC!N9)</f>
        <v>11919</v>
      </c>
      <c r="T9" s="334">
        <f t="shared" si="12"/>
        <v>0.34260594258993993</v>
      </c>
      <c r="V9" s="254">
        <f>'[3]EDl log'!V26</f>
        <v>365756</v>
      </c>
      <c r="W9" s="254">
        <f>'[3]EDl log'!W26</f>
        <v>386167</v>
      </c>
      <c r="X9" s="254" t="s">
        <v>199</v>
      </c>
      <c r="Y9" s="616">
        <f>'[3]EDl log'!Y26</f>
        <v>80</v>
      </c>
      <c r="Z9" s="254">
        <v>1</v>
      </c>
      <c r="AA9" s="601">
        <f>'[3]EDl log'!AA26</f>
        <v>20411</v>
      </c>
      <c r="AB9" s="601">
        <f>'[3]EDl log'!AB26</f>
        <v>1632880</v>
      </c>
      <c r="AC9" s="601">
        <f>'[3]EDl log'!AC26</f>
        <v>1033333</v>
      </c>
      <c r="AD9" s="599">
        <f>'[3]EDl log'!AD26</f>
        <v>0.41575933035433316</v>
      </c>
    </row>
    <row r="10" spans="1:32" ht="20.100000000000001" customHeight="1">
      <c r="A10" s="163">
        <f>ELEC!C10</f>
        <v>44354</v>
      </c>
      <c r="B10" s="626">
        <f t="shared" ref="B9:B33" si="14">B9</f>
        <v>1061964</v>
      </c>
      <c r="C10" s="264">
        <f t="shared" si="0"/>
        <v>0</v>
      </c>
      <c r="D10" s="307">
        <f t="shared" si="7"/>
        <v>0</v>
      </c>
      <c r="E10" s="307">
        <f t="shared" si="11"/>
        <v>1061964</v>
      </c>
      <c r="F10" s="626">
        <f t="shared" ref="F9:F33" si="15">F9</f>
        <v>156555</v>
      </c>
      <c r="G10" s="160">
        <f t="shared" si="1"/>
        <v>0</v>
      </c>
      <c r="H10" s="626">
        <f t="shared" ref="H9:H33" si="16">H9</f>
        <v>517596</v>
      </c>
      <c r="I10" s="161">
        <f t="shared" si="2"/>
        <v>0</v>
      </c>
      <c r="J10" s="626">
        <f t="shared" si="13"/>
        <v>387811</v>
      </c>
      <c r="K10" s="162">
        <f t="shared" si="3"/>
        <v>0</v>
      </c>
      <c r="L10" s="295">
        <f t="shared" si="4"/>
        <v>0</v>
      </c>
      <c r="M10" s="295">
        <f t="shared" si="5"/>
        <v>0</v>
      </c>
      <c r="N10" s="295">
        <f t="shared" si="6"/>
        <v>0</v>
      </c>
      <c r="O10" s="295">
        <f t="shared" si="8"/>
        <v>159.96313985627418</v>
      </c>
      <c r="P10" s="296">
        <f t="shared" si="9"/>
        <v>159.96313985627418</v>
      </c>
      <c r="Q10" s="296">
        <f>SUM(-tanks!AX12*tanks!$AU$36)</f>
        <v>0</v>
      </c>
      <c r="R10" s="296">
        <f t="shared" si="10"/>
        <v>159.96313985627418</v>
      </c>
      <c r="S10" s="298">
        <f>SUM(ELEC!N10)</f>
        <v>0</v>
      </c>
      <c r="T10" s="334">
        <f t="shared" si="12"/>
        <v>0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6">
        <f>'[3]EDl log'!Y27</f>
        <v>112</v>
      </c>
      <c r="Z10" s="254">
        <v>1</v>
      </c>
      <c r="AA10" s="601">
        <f>'[3]EDl log'!AA27</f>
        <v>23142</v>
      </c>
      <c r="AB10" s="601">
        <f>'[3]EDl log'!AB27</f>
        <v>2591904</v>
      </c>
      <c r="AC10" s="601">
        <f>'[3]EDl log'!AC27</f>
        <v>6200000</v>
      </c>
      <c r="AD10" s="599">
        <f>'[3]EDl log'!AD27</f>
        <v>0.4739337487150439</v>
      </c>
    </row>
    <row r="11" spans="1:32" ht="20.100000000000001" customHeight="1">
      <c r="A11" s="163">
        <f>ELEC!C11</f>
        <v>44355</v>
      </c>
      <c r="B11" s="626">
        <f t="shared" si="14"/>
        <v>1061964</v>
      </c>
      <c r="C11" s="264">
        <f t="shared" si="0"/>
        <v>0</v>
      </c>
      <c r="D11" s="307">
        <f t="shared" si="7"/>
        <v>0</v>
      </c>
      <c r="E11" s="307">
        <f t="shared" si="11"/>
        <v>1061964</v>
      </c>
      <c r="F11" s="626">
        <f t="shared" si="15"/>
        <v>156555</v>
      </c>
      <c r="G11" s="160">
        <f t="shared" si="1"/>
        <v>0</v>
      </c>
      <c r="H11" s="626">
        <f t="shared" si="16"/>
        <v>517596</v>
      </c>
      <c r="I11" s="161">
        <f t="shared" si="2"/>
        <v>0</v>
      </c>
      <c r="J11" s="626">
        <f t="shared" si="13"/>
        <v>387811</v>
      </c>
      <c r="K11" s="162">
        <f t="shared" si="3"/>
        <v>0</v>
      </c>
      <c r="L11" s="295">
        <f t="shared" si="4"/>
        <v>0</v>
      </c>
      <c r="M11" s="295">
        <f t="shared" si="5"/>
        <v>0</v>
      </c>
      <c r="N11" s="295">
        <f t="shared" si="6"/>
        <v>0</v>
      </c>
      <c r="O11" s="295">
        <f t="shared" si="8"/>
        <v>159.96313985627418</v>
      </c>
      <c r="P11" s="296">
        <f t="shared" si="9"/>
        <v>159.96313985627418</v>
      </c>
      <c r="Q11" s="296">
        <f>SUM(-tanks!AX13*tanks!$AU$36)</f>
        <v>0</v>
      </c>
      <c r="R11" s="296">
        <f t="shared" si="10"/>
        <v>159.96313985627418</v>
      </c>
      <c r="S11" s="298">
        <f>SUM(ELEC!N11)</f>
        <v>0</v>
      </c>
      <c r="T11" s="334">
        <f t="shared" si="12"/>
        <v>0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6">
        <f>'[3]EDl log'!Y28</f>
        <v>320</v>
      </c>
      <c r="Z11" s="254">
        <v>1</v>
      </c>
      <c r="AA11" s="601">
        <f>'[3]EDl log'!AA28</f>
        <v>5434</v>
      </c>
      <c r="AB11" s="601">
        <f>'[3]EDl log'!AB28</f>
        <v>1738880</v>
      </c>
      <c r="AC11" s="601">
        <f>'[3]EDl log'!AC28</f>
        <v>1000</v>
      </c>
      <c r="AD11" s="599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26">
        <f t="shared" si="14"/>
        <v>1061964</v>
      </c>
      <c r="C12" s="264">
        <f t="shared" si="0"/>
        <v>0</v>
      </c>
      <c r="D12" s="307">
        <f t="shared" si="7"/>
        <v>0</v>
      </c>
      <c r="E12" s="307">
        <f t="shared" si="11"/>
        <v>1061964</v>
      </c>
      <c r="F12" s="626">
        <f t="shared" si="15"/>
        <v>156555</v>
      </c>
      <c r="G12" s="160">
        <f t="shared" si="1"/>
        <v>0</v>
      </c>
      <c r="H12" s="626">
        <f t="shared" si="16"/>
        <v>517596</v>
      </c>
      <c r="I12" s="161">
        <f t="shared" si="2"/>
        <v>0</v>
      </c>
      <c r="J12" s="626">
        <f t="shared" si="13"/>
        <v>387811</v>
      </c>
      <c r="K12" s="162">
        <f t="shared" si="3"/>
        <v>0</v>
      </c>
      <c r="L12" s="295">
        <f t="shared" si="4"/>
        <v>0</v>
      </c>
      <c r="M12" s="295">
        <f t="shared" si="5"/>
        <v>0</v>
      </c>
      <c r="N12" s="295">
        <f t="shared" si="6"/>
        <v>0</v>
      </c>
      <c r="O12" s="295">
        <f t="shared" si="8"/>
        <v>159.96313985627418</v>
      </c>
      <c r="P12" s="296">
        <f t="shared" si="9"/>
        <v>159.96313985627418</v>
      </c>
      <c r="Q12" s="296">
        <f>SUM(-tanks!AX14*tanks!$AU$36)</f>
        <v>0</v>
      </c>
      <c r="R12" s="296">
        <f t="shared" si="10"/>
        <v>159.96313985627418</v>
      </c>
      <c r="S12" s="298">
        <f>SUM(ELEC!N12)</f>
        <v>0</v>
      </c>
      <c r="T12" s="334">
        <f t="shared" si="12"/>
        <v>0</v>
      </c>
      <c r="V12" s="557"/>
      <c r="W12" s="264"/>
      <c r="X12" s="3"/>
      <c r="Y12" s="264"/>
      <c r="Z12" s="555"/>
      <c r="AA12" s="601">
        <f>'[3]EDl log'!AA29</f>
        <v>48987</v>
      </c>
      <c r="AB12" s="601">
        <f>'[3]EDl log'!AB29</f>
        <v>0</v>
      </c>
      <c r="AC12" s="601">
        <f>'[3]EDl log'!AC29</f>
        <v>7234333</v>
      </c>
      <c r="AD12" s="601"/>
    </row>
    <row r="13" spans="1:32" ht="20.100000000000001" customHeight="1">
      <c r="A13" s="163">
        <f>ELEC!C13</f>
        <v>44357</v>
      </c>
      <c r="B13" s="626">
        <f t="shared" si="14"/>
        <v>1061964</v>
      </c>
      <c r="C13" s="264">
        <f t="shared" si="0"/>
        <v>0</v>
      </c>
      <c r="D13" s="307">
        <f t="shared" si="7"/>
        <v>0</v>
      </c>
      <c r="E13" s="307">
        <f t="shared" si="11"/>
        <v>1061964</v>
      </c>
      <c r="F13" s="626">
        <f t="shared" si="15"/>
        <v>156555</v>
      </c>
      <c r="G13" s="160">
        <f t="shared" si="1"/>
        <v>0</v>
      </c>
      <c r="H13" s="626">
        <f t="shared" si="16"/>
        <v>517596</v>
      </c>
      <c r="I13" s="161">
        <f t="shared" si="2"/>
        <v>0</v>
      </c>
      <c r="J13" s="626">
        <f t="shared" si="13"/>
        <v>387811</v>
      </c>
      <c r="K13" s="162">
        <f t="shared" si="3"/>
        <v>0</v>
      </c>
      <c r="L13" s="295">
        <f t="shared" si="4"/>
        <v>0</v>
      </c>
      <c r="M13" s="295">
        <f t="shared" si="5"/>
        <v>0</v>
      </c>
      <c r="N13" s="295">
        <f t="shared" si="6"/>
        <v>0</v>
      </c>
      <c r="O13" s="295">
        <f t="shared" si="8"/>
        <v>159.96313985627418</v>
      </c>
      <c r="P13" s="296">
        <f t="shared" si="9"/>
        <v>159.96313985627418</v>
      </c>
      <c r="Q13" s="296">
        <f>SUM(-tanks!AX15*tanks!$AU$36)</f>
        <v>0</v>
      </c>
      <c r="R13" s="296">
        <f t="shared" si="10"/>
        <v>159.96313985627418</v>
      </c>
      <c r="S13" s="298">
        <f>SUM(ELEC!N13)</f>
        <v>0</v>
      </c>
      <c r="T13" s="334">
        <f>IF(S13&gt;0,R13/S13,0)</f>
        <v>0</v>
      </c>
      <c r="V13" s="557" t="str">
        <f>'[7]EDl log'!V30</f>
        <v>Occ %</v>
      </c>
      <c r="W13" s="582">
        <f>'[9]EDl log'!W30</f>
        <v>0</v>
      </c>
      <c r="X13" s="499"/>
      <c r="Y13" s="264" t="str">
        <f>'[10]EDl log'!Y30</f>
        <v>Per G</v>
      </c>
      <c r="Z13" s="3"/>
      <c r="AA13" s="3"/>
      <c r="AB13" s="601">
        <f>'[3]EDl log'!AB30</f>
        <v>5963664</v>
      </c>
      <c r="AC13" s="601">
        <f>'[3]EDl log'!AC30</f>
        <v>0</v>
      </c>
    </row>
    <row r="14" spans="1:32" ht="20.100000000000001" customHeight="1">
      <c r="A14" s="163">
        <f>ELEC!C14</f>
        <v>44358</v>
      </c>
      <c r="B14" s="626">
        <f t="shared" si="14"/>
        <v>1061964</v>
      </c>
      <c r="C14" s="264">
        <f t="shared" si="0"/>
        <v>0</v>
      </c>
      <c r="D14" s="307">
        <f t="shared" si="7"/>
        <v>0</v>
      </c>
      <c r="E14" s="307">
        <f t="shared" si="11"/>
        <v>1061964</v>
      </c>
      <c r="F14" s="626">
        <f t="shared" si="15"/>
        <v>156555</v>
      </c>
      <c r="G14" s="160">
        <f t="shared" si="1"/>
        <v>0</v>
      </c>
      <c r="H14" s="626">
        <f t="shared" si="16"/>
        <v>517596</v>
      </c>
      <c r="I14" s="161">
        <f t="shared" si="2"/>
        <v>0</v>
      </c>
      <c r="J14" s="626">
        <f t="shared" si="13"/>
        <v>387811</v>
      </c>
      <c r="K14" s="162">
        <f>J14-J13</f>
        <v>0</v>
      </c>
      <c r="L14" s="295">
        <f>SUM(G14*$Y$28)/1507.5</f>
        <v>0</v>
      </c>
      <c r="M14" s="295">
        <f>SUM(I14*$Y$27)/1507.5</f>
        <v>0</v>
      </c>
      <c r="N14" s="295">
        <f>SUM(K14*$Y$26)/1507.5</f>
        <v>0</v>
      </c>
      <c r="O14" s="295">
        <f t="shared" si="8"/>
        <v>159.96313985627418</v>
      </c>
      <c r="P14" s="296">
        <f>SUM(L14:O14)</f>
        <v>159.96313985627418</v>
      </c>
      <c r="Q14" s="296">
        <f>SUM(-tanks!AX16*tanks!$AU$36)</f>
        <v>0</v>
      </c>
      <c r="R14" s="296">
        <f>SUM(P14:Q14)</f>
        <v>159.96313985627418</v>
      </c>
      <c r="S14" s="298">
        <f>SUM(ELEC!N14)</f>
        <v>0</v>
      </c>
      <c r="T14" s="334">
        <f>IF(S14&gt;0,R14/S14,0)</f>
        <v>0</v>
      </c>
      <c r="V14" s="557" t="str">
        <f>'[7]EDl log'!V31</f>
        <v>Gen RH</v>
      </c>
      <c r="W14" s="583">
        <f>'[3]EDl log'!$W$33</f>
        <v>339</v>
      </c>
      <c r="X14" s="630">
        <f>'[3]EDl log'!$X$33</f>
        <v>10.935483870967742</v>
      </c>
      <c r="Y14" s="617">
        <f>'[3]EDl log'!$Y$33</f>
        <v>10.935483870967742</v>
      </c>
      <c r="Z14" s="264"/>
      <c r="AA14" s="3"/>
      <c r="AB14" s="601">
        <f>'[3]EDl log'!AB31</f>
        <v>0</v>
      </c>
      <c r="AC14" s="601">
        <f>'[3]EDl log'!AC31</f>
        <v>0</v>
      </c>
    </row>
    <row r="15" spans="1:32" ht="20.100000000000001" customHeight="1">
      <c r="A15" s="163">
        <f>ELEC!C15</f>
        <v>44359</v>
      </c>
      <c r="B15" s="626">
        <f t="shared" si="14"/>
        <v>1061964</v>
      </c>
      <c r="C15" s="264">
        <f t="shared" si="0"/>
        <v>0</v>
      </c>
      <c r="D15" s="307">
        <f t="shared" si="7"/>
        <v>0</v>
      </c>
      <c r="E15" s="307">
        <f t="shared" si="11"/>
        <v>1061964</v>
      </c>
      <c r="F15" s="626">
        <f t="shared" si="15"/>
        <v>156555</v>
      </c>
      <c r="G15" s="160">
        <f t="shared" si="1"/>
        <v>0</v>
      </c>
      <c r="H15" s="626">
        <f t="shared" si="16"/>
        <v>517596</v>
      </c>
      <c r="I15" s="161">
        <f t="shared" si="2"/>
        <v>0</v>
      </c>
      <c r="J15" s="626">
        <f t="shared" si="13"/>
        <v>387811</v>
      </c>
      <c r="K15" s="162">
        <f>J15-J14</f>
        <v>0</v>
      </c>
      <c r="L15" s="295">
        <f>SUM(G15*$Y$28)/1507.5</f>
        <v>0</v>
      </c>
      <c r="M15" s="295">
        <f>SUM(I15*$Y$27)/1507.5</f>
        <v>0</v>
      </c>
      <c r="N15" s="295">
        <f>SUM(K15*$Y$26)/1507.5</f>
        <v>0</v>
      </c>
      <c r="O15" s="295">
        <f t="shared" si="8"/>
        <v>159.96313985627418</v>
      </c>
      <c r="P15" s="296">
        <f>SUM(L15:O15)</f>
        <v>159.96313985627418</v>
      </c>
      <c r="Q15" s="296">
        <f>SUM(-tanks!AX17*tanks!$AU$36)</f>
        <v>0</v>
      </c>
      <c r="R15" s="296">
        <f>SUM(P15:Q15)</f>
        <v>159.96313985627418</v>
      </c>
      <c r="S15" s="298">
        <f>SUM(ELEC!N15)</f>
        <v>0</v>
      </c>
      <c r="T15" s="334">
        <f>IF(S15&gt;0,R15/S15,0)</f>
        <v>0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1">
        <f>'[3]EDl log'!AB32</f>
        <v>0</v>
      </c>
      <c r="AC15" s="601">
        <f>'[3]EDl log'!AC32</f>
        <v>0</v>
      </c>
    </row>
    <row r="16" spans="1:32" ht="20.100000000000001" customHeight="1">
      <c r="A16" s="163">
        <f>ELEC!C16</f>
        <v>44360</v>
      </c>
      <c r="B16" s="626">
        <f t="shared" si="14"/>
        <v>1061964</v>
      </c>
      <c r="C16" s="264">
        <f t="shared" si="0"/>
        <v>0</v>
      </c>
      <c r="D16" s="307">
        <f t="shared" si="7"/>
        <v>0</v>
      </c>
      <c r="E16" s="307">
        <f t="shared" si="11"/>
        <v>1061964</v>
      </c>
      <c r="F16" s="626">
        <f t="shared" si="15"/>
        <v>156555</v>
      </c>
      <c r="G16" s="160">
        <f t="shared" si="1"/>
        <v>0</v>
      </c>
      <c r="H16" s="626">
        <f t="shared" si="16"/>
        <v>517596</v>
      </c>
      <c r="I16" s="161">
        <f t="shared" si="2"/>
        <v>0</v>
      </c>
      <c r="J16" s="626">
        <f t="shared" si="13"/>
        <v>387811</v>
      </c>
      <c r="K16" s="162">
        <f>J16-J15</f>
        <v>0</v>
      </c>
      <c r="L16" s="295">
        <f>SUM(G16*$Y$28)/1507.5</f>
        <v>0</v>
      </c>
      <c r="M16" s="295">
        <f>SUM(I16*$Y$27)/1507.5</f>
        <v>0</v>
      </c>
      <c r="N16" s="295">
        <f>SUM(K16*$Y$26)/1507.5</f>
        <v>0</v>
      </c>
      <c r="O16" s="295">
        <f t="shared" si="8"/>
        <v>159.96313985627418</v>
      </c>
      <c r="P16" s="296">
        <f>SUM(L16:O16)</f>
        <v>159.96313985627418</v>
      </c>
      <c r="Q16" s="296">
        <f>SUM(-tanks!AX18*tanks!$AU$36)</f>
        <v>0</v>
      </c>
      <c r="R16" s="296">
        <f>SUM(P16:Q16)</f>
        <v>159.96313985627418</v>
      </c>
      <c r="S16" s="298">
        <f>SUM(ELEC!N16)</f>
        <v>0</v>
      </c>
      <c r="T16" s="334">
        <f>IF(S16&gt;0,R16/S16,0)</f>
        <v>0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1">
        <f>'[3]EDl log'!AB33</f>
        <v>13197997</v>
      </c>
      <c r="AC16" s="601">
        <f>'[3]EDl log'!AC33</f>
        <v>7234333</v>
      </c>
    </row>
    <row r="17" spans="1:32" ht="20.100000000000001" customHeight="1">
      <c r="A17" s="163">
        <f>ELEC!C17</f>
        <v>44361</v>
      </c>
      <c r="B17" s="626">
        <f t="shared" si="14"/>
        <v>1061964</v>
      </c>
      <c r="C17" s="264">
        <f t="shared" si="0"/>
        <v>0</v>
      </c>
      <c r="D17" s="307">
        <f t="shared" si="7"/>
        <v>0</v>
      </c>
      <c r="E17" s="307">
        <f t="shared" si="11"/>
        <v>1061964</v>
      </c>
      <c r="F17" s="626">
        <f t="shared" si="15"/>
        <v>156555</v>
      </c>
      <c r="G17" s="160">
        <f t="shared" si="1"/>
        <v>0</v>
      </c>
      <c r="H17" s="626">
        <f t="shared" si="16"/>
        <v>517596</v>
      </c>
      <c r="I17" s="161">
        <f t="shared" si="2"/>
        <v>0</v>
      </c>
      <c r="J17" s="626">
        <f t="shared" si="13"/>
        <v>387811</v>
      </c>
      <c r="K17" s="162">
        <f>J17-J16</f>
        <v>0</v>
      </c>
      <c r="L17" s="295">
        <f>SUM(G17*$Y$28)/1507.5</f>
        <v>0</v>
      </c>
      <c r="M17" s="295">
        <f>SUM(I17*$Y$27)/1507.5</f>
        <v>0</v>
      </c>
      <c r="N17" s="295">
        <f>SUM(K17*$Y$26)/1507.5</f>
        <v>0</v>
      </c>
      <c r="O17" s="295">
        <f t="shared" si="8"/>
        <v>159.96313985627418</v>
      </c>
      <c r="P17" s="296">
        <f>SUM(L17:O17)</f>
        <v>159.96313985627418</v>
      </c>
      <c r="Q17" s="296">
        <f>SUM(-tanks!AX19*tanks!$AU$36)</f>
        <v>0</v>
      </c>
      <c r="R17" s="296">
        <f>SUM(P17:Q17)</f>
        <v>159.96313985627418</v>
      </c>
      <c r="S17" s="298">
        <f>SUM(ELEC!N17)</f>
        <v>0</v>
      </c>
      <c r="T17" s="334">
        <f>IF(S17&gt;0,R17/S17,0)</f>
        <v>0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601">
        <f>'[3]EDl log'!AB34</f>
        <v>0</v>
      </c>
      <c r="AC17" s="555">
        <f>'[13]EDl log'!AC34</f>
        <v>0</v>
      </c>
    </row>
    <row r="18" spans="1:32" ht="20.100000000000001" customHeight="1" thickBot="1">
      <c r="A18" s="163">
        <f>ELEC!C18</f>
        <v>44362</v>
      </c>
      <c r="B18" s="626">
        <f t="shared" si="14"/>
        <v>1061964</v>
      </c>
      <c r="C18" s="264">
        <f t="shared" si="0"/>
        <v>0</v>
      </c>
      <c r="D18" s="307">
        <f t="shared" si="7"/>
        <v>0</v>
      </c>
      <c r="E18" s="307">
        <f t="shared" si="11"/>
        <v>1061964</v>
      </c>
      <c r="F18" s="626">
        <f t="shared" si="15"/>
        <v>156555</v>
      </c>
      <c r="G18" s="160">
        <f t="shared" si="1"/>
        <v>0</v>
      </c>
      <c r="H18" s="626">
        <f t="shared" si="16"/>
        <v>517596</v>
      </c>
      <c r="I18" s="161">
        <f t="shared" si="2"/>
        <v>0</v>
      </c>
      <c r="J18" s="626">
        <f t="shared" si="13"/>
        <v>387811</v>
      </c>
      <c r="K18" s="162">
        <f t="shared" si="3"/>
        <v>0</v>
      </c>
      <c r="L18" s="295">
        <f t="shared" ref="L18:L30" si="17">SUM(G18*$Y$28)/1507.5</f>
        <v>0</v>
      </c>
      <c r="M18" s="295">
        <f t="shared" ref="M18:M30" si="18">SUM(I18*$Y$27)/1507.5</f>
        <v>0</v>
      </c>
      <c r="N18" s="295">
        <f t="shared" ref="N18:N30" si="19">SUM(K18*$Y$26)/1507.5</f>
        <v>0</v>
      </c>
      <c r="O18" s="295">
        <f t="shared" si="8"/>
        <v>159.96313985627418</v>
      </c>
      <c r="P18" s="296">
        <f t="shared" si="9"/>
        <v>159.96313985627418</v>
      </c>
      <c r="Q18" s="296">
        <f>SUM(-tanks!AX20*tanks!$AU$36)</f>
        <v>0</v>
      </c>
      <c r="R18" s="296">
        <f t="shared" si="10"/>
        <v>159.96313985627418</v>
      </c>
      <c r="S18" s="298">
        <f>SUM(ELEC!N18)</f>
        <v>0</v>
      </c>
      <c r="T18" s="334">
        <f t="shared" si="12"/>
        <v>0</v>
      </c>
      <c r="V18" s="228"/>
      <c r="W18" s="229"/>
      <c r="X18" s="229"/>
      <c r="Y18" s="428"/>
      <c r="Z18" s="499"/>
      <c r="AA18" s="573"/>
      <c r="AB18" s="601">
        <f>'[3]EDl log'!AB35</f>
        <v>0</v>
      </c>
      <c r="AC18" s="555">
        <f>'[13]EDl log'!AC35</f>
        <v>0</v>
      </c>
    </row>
    <row r="19" spans="1:32" ht="20.100000000000001" customHeight="1" thickBot="1">
      <c r="A19" s="163">
        <f>ELEC!C19</f>
        <v>44363</v>
      </c>
      <c r="B19" s="626">
        <f t="shared" si="14"/>
        <v>1061964</v>
      </c>
      <c r="C19" s="264">
        <f t="shared" si="0"/>
        <v>0</v>
      </c>
      <c r="D19" s="307">
        <f t="shared" si="7"/>
        <v>0</v>
      </c>
      <c r="E19" s="307">
        <f t="shared" si="11"/>
        <v>1061964</v>
      </c>
      <c r="F19" s="626">
        <f t="shared" si="15"/>
        <v>156555</v>
      </c>
      <c r="G19" s="160">
        <f t="shared" si="1"/>
        <v>0</v>
      </c>
      <c r="H19" s="626">
        <f t="shared" si="16"/>
        <v>517596</v>
      </c>
      <c r="I19" s="161">
        <f t="shared" si="2"/>
        <v>0</v>
      </c>
      <c r="J19" s="626">
        <f t="shared" si="13"/>
        <v>387811</v>
      </c>
      <c r="K19" s="162">
        <f t="shared" si="3"/>
        <v>0</v>
      </c>
      <c r="L19" s="295">
        <f t="shared" si="17"/>
        <v>0</v>
      </c>
      <c r="M19" s="295">
        <f t="shared" si="18"/>
        <v>0</v>
      </c>
      <c r="N19" s="295">
        <f t="shared" si="19"/>
        <v>0</v>
      </c>
      <c r="O19" s="295">
        <f t="shared" si="8"/>
        <v>159.96313985627418</v>
      </c>
      <c r="P19" s="296">
        <f t="shared" si="9"/>
        <v>159.96313985627418</v>
      </c>
      <c r="Q19" s="296">
        <f>SUM(-tanks!AX21*tanks!$AU$36)</f>
        <v>0</v>
      </c>
      <c r="R19" s="296">
        <f t="shared" si="10"/>
        <v>159.96313985627418</v>
      </c>
      <c r="S19" s="298">
        <f>SUM(ELEC!N19)</f>
        <v>0</v>
      </c>
      <c r="T19" s="334">
        <f t="shared" si="12"/>
        <v>0</v>
      </c>
      <c r="V19" s="228"/>
      <c r="W19" s="229"/>
      <c r="X19" s="229"/>
      <c r="Y19" s="558"/>
      <c r="Z19" s="558"/>
      <c r="AA19" s="573"/>
      <c r="AB19" s="631">
        <f>'[3]EDl log'!AB36</f>
        <v>8754.8902155887226</v>
      </c>
      <c r="AC19" s="555">
        <f>'[13]EDl log'!AC36</f>
        <v>0</v>
      </c>
    </row>
    <row r="20" spans="1:32" ht="20.100000000000001" customHeight="1" thickBot="1">
      <c r="A20" s="163">
        <f>ELEC!C20</f>
        <v>44364</v>
      </c>
      <c r="B20" s="626">
        <f t="shared" si="14"/>
        <v>1061964</v>
      </c>
      <c r="C20" s="264">
        <f t="shared" si="0"/>
        <v>0</v>
      </c>
      <c r="D20" s="307">
        <f t="shared" si="7"/>
        <v>0</v>
      </c>
      <c r="E20" s="307">
        <f t="shared" si="11"/>
        <v>1061964</v>
      </c>
      <c r="F20" s="626">
        <f t="shared" si="15"/>
        <v>156555</v>
      </c>
      <c r="G20" s="160">
        <f t="shared" si="1"/>
        <v>0</v>
      </c>
      <c r="H20" s="626">
        <f t="shared" si="16"/>
        <v>517596</v>
      </c>
      <c r="I20" s="161">
        <f t="shared" si="2"/>
        <v>0</v>
      </c>
      <c r="J20" s="626">
        <f t="shared" si="13"/>
        <v>387811</v>
      </c>
      <c r="K20" s="162">
        <f t="shared" si="3"/>
        <v>0</v>
      </c>
      <c r="L20" s="295">
        <f t="shared" si="17"/>
        <v>0</v>
      </c>
      <c r="M20" s="295">
        <f t="shared" si="18"/>
        <v>0</v>
      </c>
      <c r="N20" s="295">
        <f t="shared" si="19"/>
        <v>0</v>
      </c>
      <c r="O20" s="295">
        <f t="shared" si="8"/>
        <v>159.96313985627418</v>
      </c>
      <c r="P20" s="296">
        <f t="shared" si="9"/>
        <v>159.96313985627418</v>
      </c>
      <c r="Q20" s="296">
        <f>SUM(-tanks!AX22*tanks!$AU$36)</f>
        <v>0</v>
      </c>
      <c r="R20" s="296">
        <f t="shared" si="10"/>
        <v>159.96313985627418</v>
      </c>
      <c r="S20" s="298">
        <f>SUM(ELEC!N20)</f>
        <v>0</v>
      </c>
      <c r="T20" s="334">
        <f t="shared" si="12"/>
        <v>0</v>
      </c>
      <c r="V20" t="s">
        <v>411</v>
      </c>
      <c r="AB20" s="556"/>
    </row>
    <row r="21" spans="1:32" ht="20.100000000000001" customHeight="1">
      <c r="A21" s="163">
        <f>ELEC!C21</f>
        <v>44365</v>
      </c>
      <c r="B21" s="626">
        <f t="shared" si="14"/>
        <v>1061964</v>
      </c>
      <c r="C21" s="264">
        <f t="shared" si="0"/>
        <v>0</v>
      </c>
      <c r="D21" s="307">
        <f t="shared" si="7"/>
        <v>0</v>
      </c>
      <c r="E21" s="307">
        <f t="shared" si="11"/>
        <v>1061964</v>
      </c>
      <c r="F21" s="626">
        <f t="shared" si="15"/>
        <v>156555</v>
      </c>
      <c r="G21" s="160">
        <f t="shared" si="1"/>
        <v>0</v>
      </c>
      <c r="H21" s="626">
        <f t="shared" si="16"/>
        <v>517596</v>
      </c>
      <c r="I21" s="161">
        <f t="shared" si="2"/>
        <v>0</v>
      </c>
      <c r="J21" s="626">
        <f t="shared" si="13"/>
        <v>387811</v>
      </c>
      <c r="K21" s="162">
        <f t="shared" si="3"/>
        <v>0</v>
      </c>
      <c r="L21" s="295">
        <f t="shared" si="17"/>
        <v>0</v>
      </c>
      <c r="M21" s="295">
        <f t="shared" si="18"/>
        <v>0</v>
      </c>
      <c r="N21" s="295">
        <f t="shared" si="19"/>
        <v>0</v>
      </c>
      <c r="O21" s="295">
        <f t="shared" si="8"/>
        <v>159.96313985627418</v>
      </c>
      <c r="P21" s="296">
        <f t="shared" si="9"/>
        <v>159.96313985627418</v>
      </c>
      <c r="Q21" s="296">
        <f>SUM(-tanks!AX23*tanks!$AU$36)</f>
        <v>0</v>
      </c>
      <c r="R21" s="296">
        <f t="shared" si="10"/>
        <v>159.96313985627418</v>
      </c>
      <c r="S21" s="298">
        <f>SUM(ELEC!N21)</f>
        <v>0</v>
      </c>
      <c r="T21" s="334">
        <f t="shared" si="12"/>
        <v>0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82"/>
      <c r="AC21" s="683"/>
    </row>
    <row r="22" spans="1:32" ht="20.100000000000001" customHeight="1">
      <c r="A22" s="163">
        <f>ELEC!C22</f>
        <v>44366</v>
      </c>
      <c r="B22" s="626">
        <f t="shared" si="14"/>
        <v>1061964</v>
      </c>
      <c r="C22" s="264">
        <f t="shared" si="0"/>
        <v>0</v>
      </c>
      <c r="D22" s="307">
        <f t="shared" si="7"/>
        <v>0</v>
      </c>
      <c r="E22" s="307">
        <f t="shared" si="11"/>
        <v>1061964</v>
      </c>
      <c r="F22" s="626">
        <f t="shared" si="15"/>
        <v>156555</v>
      </c>
      <c r="G22" s="160">
        <f t="shared" si="1"/>
        <v>0</v>
      </c>
      <c r="H22" s="626">
        <f t="shared" si="16"/>
        <v>517596</v>
      </c>
      <c r="I22" s="161">
        <f t="shared" si="2"/>
        <v>0</v>
      </c>
      <c r="J22" s="626">
        <f t="shared" si="13"/>
        <v>387811</v>
      </c>
      <c r="K22" s="162">
        <f t="shared" si="3"/>
        <v>0</v>
      </c>
      <c r="L22" s="295">
        <f t="shared" si="17"/>
        <v>0</v>
      </c>
      <c r="M22" s="295">
        <f t="shared" si="18"/>
        <v>0</v>
      </c>
      <c r="N22" s="295">
        <f t="shared" si="19"/>
        <v>0</v>
      </c>
      <c r="O22" s="295">
        <f t="shared" si="8"/>
        <v>159.96313985627418</v>
      </c>
      <c r="P22" s="296">
        <f t="shared" si="9"/>
        <v>159.96313985627418</v>
      </c>
      <c r="Q22" s="296">
        <f>SUM(-tanks!AX24*tanks!$AU$36)</f>
        <v>0</v>
      </c>
      <c r="R22" s="296">
        <f t="shared" si="10"/>
        <v>159.96313985627418</v>
      </c>
      <c r="S22" s="298">
        <f>SUM(ELEC!N22)</f>
        <v>0</v>
      </c>
      <c r="T22" s="334">
        <f t="shared" si="12"/>
        <v>0</v>
      </c>
      <c r="V22" s="688"/>
      <c r="W22" s="689"/>
      <c r="X22" s="689"/>
      <c r="Y22" s="690"/>
      <c r="Z22" s="26" t="s">
        <v>203</v>
      </c>
      <c r="AA22" s="26">
        <v>5000</v>
      </c>
      <c r="AB22" s="684"/>
      <c r="AC22" s="685"/>
    </row>
    <row r="23" spans="1:32" ht="20.100000000000001" customHeight="1">
      <c r="A23" s="163">
        <f>ELEC!C23</f>
        <v>44367</v>
      </c>
      <c r="B23" s="626">
        <f t="shared" si="14"/>
        <v>1061964</v>
      </c>
      <c r="C23" s="264">
        <f t="shared" si="0"/>
        <v>0</v>
      </c>
      <c r="D23" s="307">
        <f t="shared" si="7"/>
        <v>0</v>
      </c>
      <c r="E23" s="307">
        <f t="shared" si="11"/>
        <v>1061964</v>
      </c>
      <c r="F23" s="626">
        <f t="shared" si="15"/>
        <v>156555</v>
      </c>
      <c r="G23" s="160">
        <f t="shared" si="1"/>
        <v>0</v>
      </c>
      <c r="H23" s="626">
        <f t="shared" si="16"/>
        <v>517596</v>
      </c>
      <c r="I23" s="161">
        <f t="shared" si="2"/>
        <v>0</v>
      </c>
      <c r="J23" s="626">
        <f t="shared" si="13"/>
        <v>387811</v>
      </c>
      <c r="K23" s="162">
        <f t="shared" si="3"/>
        <v>0</v>
      </c>
      <c r="L23" s="295">
        <f t="shared" si="17"/>
        <v>0</v>
      </c>
      <c r="M23" s="295">
        <f t="shared" si="18"/>
        <v>0</v>
      </c>
      <c r="N23" s="295">
        <f t="shared" si="19"/>
        <v>0</v>
      </c>
      <c r="O23" s="295">
        <f t="shared" si="8"/>
        <v>159.96313985627418</v>
      </c>
      <c r="P23" s="296">
        <f t="shared" si="9"/>
        <v>159.96313985627418</v>
      </c>
      <c r="Q23" s="296">
        <f>SUM(-tanks!AX25*tanks!$AU$36)</f>
        <v>0</v>
      </c>
      <c r="R23" s="296">
        <f t="shared" si="10"/>
        <v>159.96313985627418</v>
      </c>
      <c r="S23" s="298">
        <f>SUM(ELEC!N23)</f>
        <v>0</v>
      </c>
      <c r="T23" s="334">
        <f t="shared" si="12"/>
        <v>0</v>
      </c>
      <c r="V23" s="691"/>
      <c r="W23" s="692"/>
      <c r="X23" s="692"/>
      <c r="Y23" s="693"/>
      <c r="Z23" s="694"/>
      <c r="AA23" s="695"/>
      <c r="AB23" s="684"/>
      <c r="AC23" s="685"/>
    </row>
    <row r="24" spans="1:32" ht="20.100000000000001" customHeight="1">
      <c r="A24" s="163">
        <f>ELEC!C24</f>
        <v>44368</v>
      </c>
      <c r="B24" s="626">
        <f t="shared" si="14"/>
        <v>1061964</v>
      </c>
      <c r="C24" s="264">
        <f t="shared" si="0"/>
        <v>0</v>
      </c>
      <c r="D24" s="307">
        <f t="shared" si="7"/>
        <v>0</v>
      </c>
      <c r="E24" s="307">
        <f t="shared" si="11"/>
        <v>1061964</v>
      </c>
      <c r="F24" s="626">
        <f t="shared" si="15"/>
        <v>156555</v>
      </c>
      <c r="G24" s="160">
        <f t="shared" si="1"/>
        <v>0</v>
      </c>
      <c r="H24" s="626">
        <f t="shared" si="16"/>
        <v>517596</v>
      </c>
      <c r="I24" s="161">
        <f t="shared" si="2"/>
        <v>0</v>
      </c>
      <c r="J24" s="626">
        <f t="shared" si="13"/>
        <v>387811</v>
      </c>
      <c r="K24" s="162">
        <f t="shared" si="3"/>
        <v>0</v>
      </c>
      <c r="L24" s="295">
        <f t="shared" si="17"/>
        <v>0</v>
      </c>
      <c r="M24" s="295">
        <f t="shared" si="18"/>
        <v>0</v>
      </c>
      <c r="N24" s="295">
        <f t="shared" si="19"/>
        <v>0</v>
      </c>
      <c r="O24" s="295">
        <f t="shared" si="8"/>
        <v>159.96313985627418</v>
      </c>
      <c r="P24" s="296">
        <f t="shared" si="9"/>
        <v>159.96313985627418</v>
      </c>
      <c r="Q24" s="296">
        <f>SUM(-tanks!AX26*tanks!$AU$36)</f>
        <v>0</v>
      </c>
      <c r="R24" s="296">
        <f t="shared" si="10"/>
        <v>159.96313985627418</v>
      </c>
      <c r="S24" s="298">
        <f>SUM(ELEC!N24)</f>
        <v>0</v>
      </c>
      <c r="T24" s="334">
        <f t="shared" si="12"/>
        <v>0</v>
      </c>
      <c r="V24" s="696" t="s">
        <v>204</v>
      </c>
      <c r="W24" s="697"/>
      <c r="X24" s="698" t="s">
        <v>205</v>
      </c>
      <c r="Y24" s="699"/>
      <c r="Z24" s="700"/>
      <c r="AA24" s="170"/>
      <c r="AB24" s="686"/>
      <c r="AC24" s="687"/>
    </row>
    <row r="25" spans="1:32" ht="20.100000000000001" customHeight="1">
      <c r="A25" s="163">
        <f>ELEC!C25</f>
        <v>44369</v>
      </c>
      <c r="B25" s="626">
        <f t="shared" si="14"/>
        <v>1061964</v>
      </c>
      <c r="C25" s="264">
        <f t="shared" si="0"/>
        <v>0</v>
      </c>
      <c r="D25" s="307">
        <f t="shared" si="7"/>
        <v>0</v>
      </c>
      <c r="E25" s="307">
        <f t="shared" si="11"/>
        <v>1061964</v>
      </c>
      <c r="F25" s="626">
        <f t="shared" si="15"/>
        <v>156555</v>
      </c>
      <c r="G25" s="160">
        <f t="shared" si="1"/>
        <v>0</v>
      </c>
      <c r="H25" s="626">
        <f t="shared" si="16"/>
        <v>517596</v>
      </c>
      <c r="I25" s="161">
        <f t="shared" si="2"/>
        <v>0</v>
      </c>
      <c r="J25" s="626">
        <f t="shared" si="13"/>
        <v>387811</v>
      </c>
      <c r="K25" s="162">
        <f t="shared" si="3"/>
        <v>0</v>
      </c>
      <c r="L25" s="295">
        <f t="shared" si="17"/>
        <v>0</v>
      </c>
      <c r="M25" s="295">
        <f t="shared" si="18"/>
        <v>0</v>
      </c>
      <c r="N25" s="295">
        <f t="shared" si="19"/>
        <v>0</v>
      </c>
      <c r="O25" s="295">
        <f t="shared" si="8"/>
        <v>159.96313985627418</v>
      </c>
      <c r="P25" s="296">
        <f t="shared" si="9"/>
        <v>159.96313985627418</v>
      </c>
      <c r="Q25" s="296">
        <f>SUM(-tanks!AX27*tanks!$AU$36)</f>
        <v>0</v>
      </c>
      <c r="R25" s="296">
        <f t="shared" si="10"/>
        <v>159.96313985627418</v>
      </c>
      <c r="S25" s="298">
        <f>SUM(ELEC!N25)</f>
        <v>0</v>
      </c>
      <c r="T25" s="334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26">
        <f t="shared" si="14"/>
        <v>1061964</v>
      </c>
      <c r="C26" s="264">
        <f t="shared" si="0"/>
        <v>0</v>
      </c>
      <c r="D26" s="307">
        <f t="shared" si="7"/>
        <v>0</v>
      </c>
      <c r="E26" s="307">
        <f t="shared" si="11"/>
        <v>1061964</v>
      </c>
      <c r="F26" s="626">
        <f t="shared" si="15"/>
        <v>156555</v>
      </c>
      <c r="G26" s="160">
        <f t="shared" si="1"/>
        <v>0</v>
      </c>
      <c r="H26" s="626">
        <f t="shared" si="16"/>
        <v>517596</v>
      </c>
      <c r="I26" s="161">
        <f t="shared" si="2"/>
        <v>0</v>
      </c>
      <c r="J26" s="626">
        <f t="shared" si="13"/>
        <v>387811</v>
      </c>
      <c r="K26" s="162">
        <f t="shared" si="3"/>
        <v>0</v>
      </c>
      <c r="L26" s="295">
        <f t="shared" si="17"/>
        <v>0</v>
      </c>
      <c r="M26" s="295">
        <f t="shared" si="18"/>
        <v>0</v>
      </c>
      <c r="N26" s="295">
        <f t="shared" si="19"/>
        <v>0</v>
      </c>
      <c r="O26" s="295">
        <f t="shared" si="8"/>
        <v>159.96313985627418</v>
      </c>
      <c r="P26" s="296">
        <f t="shared" si="9"/>
        <v>159.96313985627418</v>
      </c>
      <c r="Q26" s="296">
        <f>SUM(-tanks!AX28*tanks!$AU$36)</f>
        <v>0</v>
      </c>
      <c r="R26" s="296">
        <f t="shared" si="10"/>
        <v>159.96313985627418</v>
      </c>
      <c r="S26" s="298">
        <f>SUM(ELEC!N26)</f>
        <v>0</v>
      </c>
      <c r="T26" s="334">
        <f t="shared" si="12"/>
        <v>0</v>
      </c>
      <c r="V26" s="254">
        <f>W9</f>
        <v>386167</v>
      </c>
      <c r="W26" s="170">
        <f>J33</f>
        <v>387811</v>
      </c>
      <c r="X26" s="172" t="s">
        <v>199</v>
      </c>
      <c r="Y26" s="172">
        <v>80</v>
      </c>
      <c r="Z26" s="172">
        <v>1</v>
      </c>
      <c r="AA26" s="336">
        <f>(W26-V26)*Z26</f>
        <v>1644</v>
      </c>
      <c r="AB26" s="336">
        <f>AA26*Y26</f>
        <v>131520</v>
      </c>
      <c r="AC26" s="249">
        <f>AC9</f>
        <v>1033333</v>
      </c>
      <c r="AD26" s="498">
        <f>SUM(K36)</f>
        <v>0.39443378119001921</v>
      </c>
    </row>
    <row r="27" spans="1:32" ht="20.100000000000001" customHeight="1">
      <c r="A27" s="163">
        <f>ELEC!C27</f>
        <v>44371</v>
      </c>
      <c r="B27" s="626">
        <f t="shared" si="14"/>
        <v>1061964</v>
      </c>
      <c r="C27" s="264">
        <f t="shared" si="0"/>
        <v>0</v>
      </c>
      <c r="D27" s="307">
        <f t="shared" si="7"/>
        <v>0</v>
      </c>
      <c r="E27" s="307">
        <f t="shared" si="11"/>
        <v>1061964</v>
      </c>
      <c r="F27" s="626">
        <f t="shared" si="15"/>
        <v>156555</v>
      </c>
      <c r="G27" s="160">
        <f t="shared" si="1"/>
        <v>0</v>
      </c>
      <c r="H27" s="626">
        <f t="shared" si="16"/>
        <v>517596</v>
      </c>
      <c r="I27" s="161">
        <f t="shared" si="2"/>
        <v>0</v>
      </c>
      <c r="J27" s="626">
        <f t="shared" si="13"/>
        <v>387811</v>
      </c>
      <c r="K27" s="162">
        <f t="shared" si="3"/>
        <v>0</v>
      </c>
      <c r="L27" s="295">
        <f t="shared" si="17"/>
        <v>0</v>
      </c>
      <c r="M27" s="295">
        <f t="shared" si="18"/>
        <v>0</v>
      </c>
      <c r="N27" s="295">
        <f t="shared" si="19"/>
        <v>0</v>
      </c>
      <c r="O27" s="295">
        <f t="shared" si="8"/>
        <v>159.96313985627418</v>
      </c>
      <c r="P27" s="296">
        <f t="shared" si="9"/>
        <v>159.96313985627418</v>
      </c>
      <c r="Q27" s="296">
        <f>SUM(-tanks!AX29*tanks!$AU$36)</f>
        <v>0</v>
      </c>
      <c r="R27" s="296">
        <f t="shared" si="10"/>
        <v>159.96313985627418</v>
      </c>
      <c r="S27" s="298">
        <f>SUM(ELEC!N27)</f>
        <v>0</v>
      </c>
      <c r="T27" s="334">
        <f t="shared" si="12"/>
        <v>0</v>
      </c>
      <c r="V27" s="254">
        <f>W10</f>
        <v>515542</v>
      </c>
      <c r="W27" s="170">
        <f>H33</f>
        <v>517596</v>
      </c>
      <c r="X27" s="172" t="s">
        <v>213</v>
      </c>
      <c r="Y27" s="172">
        <v>112</v>
      </c>
      <c r="Z27" s="172">
        <v>1</v>
      </c>
      <c r="AA27" s="336">
        <f>(W27-V27)*Z27</f>
        <v>2054</v>
      </c>
      <c r="AB27" s="336">
        <f>SUM(AA27*Y27)</f>
        <v>230048</v>
      </c>
      <c r="AC27" s="249">
        <f>AC10</f>
        <v>6200000</v>
      </c>
      <c r="AD27" s="498">
        <f>SUM(I36)</f>
        <v>0.49280230326295588</v>
      </c>
    </row>
    <row r="28" spans="1:32" ht="20.100000000000001" customHeight="1">
      <c r="A28" s="163">
        <f>ELEC!C28</f>
        <v>44372</v>
      </c>
      <c r="B28" s="626">
        <f t="shared" si="14"/>
        <v>1061964</v>
      </c>
      <c r="C28" s="264">
        <f t="shared" si="0"/>
        <v>0</v>
      </c>
      <c r="D28" s="307">
        <f t="shared" si="7"/>
        <v>0</v>
      </c>
      <c r="E28" s="307">
        <f t="shared" si="11"/>
        <v>1061964</v>
      </c>
      <c r="F28" s="626">
        <f t="shared" si="15"/>
        <v>156555</v>
      </c>
      <c r="G28" s="160">
        <f t="shared" si="1"/>
        <v>0</v>
      </c>
      <c r="H28" s="626">
        <f t="shared" si="16"/>
        <v>517596</v>
      </c>
      <c r="I28" s="161">
        <f t="shared" si="2"/>
        <v>0</v>
      </c>
      <c r="J28" s="626">
        <f t="shared" si="13"/>
        <v>387811</v>
      </c>
      <c r="K28" s="162">
        <f t="shared" si="3"/>
        <v>0</v>
      </c>
      <c r="L28" s="295">
        <f t="shared" si="17"/>
        <v>0</v>
      </c>
      <c r="M28" s="295">
        <f t="shared" si="18"/>
        <v>0</v>
      </c>
      <c r="N28" s="295">
        <f t="shared" si="19"/>
        <v>0</v>
      </c>
      <c r="O28" s="295">
        <f t="shared" si="8"/>
        <v>159.96313985627418</v>
      </c>
      <c r="P28" s="296">
        <f t="shared" si="9"/>
        <v>159.96313985627418</v>
      </c>
      <c r="Q28" s="296">
        <f>SUM(-tanks!AX30*tanks!$AU$36)</f>
        <v>0</v>
      </c>
      <c r="R28" s="296">
        <f t="shared" si="10"/>
        <v>159.96313985627418</v>
      </c>
      <c r="S28" s="298">
        <f>SUM(ELEC!N28)</f>
        <v>0</v>
      </c>
      <c r="T28" s="334">
        <f t="shared" si="12"/>
        <v>0</v>
      </c>
      <c r="V28" s="254">
        <f>W11</f>
        <v>156087</v>
      </c>
      <c r="W28" s="170">
        <f>F33</f>
        <v>156555</v>
      </c>
      <c r="X28" s="172" t="s">
        <v>197</v>
      </c>
      <c r="Y28" s="172">
        <v>320</v>
      </c>
      <c r="Z28" s="172">
        <v>1</v>
      </c>
      <c r="AA28" s="336">
        <f>(W28-V28)*Z28</f>
        <v>468</v>
      </c>
      <c r="AB28" s="336">
        <f>SUM(AA28*Y28)</f>
        <v>149760</v>
      </c>
      <c r="AC28" s="249">
        <f>AC11</f>
        <v>1000</v>
      </c>
      <c r="AD28" s="498">
        <f>SUM(G36)</f>
        <v>0.11228406909788867</v>
      </c>
      <c r="AE28" s="40">
        <f>SUM(AB28*5%)</f>
        <v>7488</v>
      </c>
      <c r="AF28" s="82">
        <f>SUM(AE28/7)*31</f>
        <v>33161.142857142862</v>
      </c>
    </row>
    <row r="29" spans="1:32" ht="20.100000000000001" customHeight="1">
      <c r="A29" s="163">
        <f>ELEC!C29</f>
        <v>44373</v>
      </c>
      <c r="B29" s="626">
        <f t="shared" si="14"/>
        <v>1061964</v>
      </c>
      <c r="C29" s="264">
        <f t="shared" si="0"/>
        <v>0</v>
      </c>
      <c r="D29" s="307">
        <f t="shared" si="7"/>
        <v>0</v>
      </c>
      <c r="E29" s="307">
        <f t="shared" si="11"/>
        <v>1061964</v>
      </c>
      <c r="F29" s="626">
        <f t="shared" si="15"/>
        <v>156555</v>
      </c>
      <c r="G29" s="160">
        <f t="shared" si="1"/>
        <v>0</v>
      </c>
      <c r="H29" s="626">
        <f t="shared" si="16"/>
        <v>517596</v>
      </c>
      <c r="I29" s="161">
        <f t="shared" si="2"/>
        <v>0</v>
      </c>
      <c r="J29" s="626">
        <f t="shared" si="13"/>
        <v>387811</v>
      </c>
      <c r="K29" s="162">
        <f t="shared" si="3"/>
        <v>0</v>
      </c>
      <c r="L29" s="295">
        <f t="shared" si="17"/>
        <v>0</v>
      </c>
      <c r="M29" s="295">
        <f t="shared" si="18"/>
        <v>0</v>
      </c>
      <c r="N29" s="295">
        <f t="shared" si="19"/>
        <v>0</v>
      </c>
      <c r="O29" s="295">
        <f t="shared" si="8"/>
        <v>159.96313985627418</v>
      </c>
      <c r="P29" s="296">
        <f t="shared" si="9"/>
        <v>159.96313985627418</v>
      </c>
      <c r="Q29" s="296">
        <f>SUM(-tanks!AX31*tanks!$AU$36)</f>
        <v>0</v>
      </c>
      <c r="R29" s="296">
        <f t="shared" si="10"/>
        <v>159.96313985627418</v>
      </c>
      <c r="S29" s="298">
        <f>SUM(ELEC!N29)</f>
        <v>0</v>
      </c>
      <c r="T29" s="334">
        <f t="shared" si="12"/>
        <v>0</v>
      </c>
      <c r="V29" s="213"/>
      <c r="W29" s="214"/>
      <c r="X29" s="214"/>
      <c r="Y29" s="215"/>
      <c r="Z29" s="3"/>
      <c r="AA29" s="336">
        <f>SUM(AA26:AA28)</f>
        <v>4166</v>
      </c>
      <c r="AB29" s="336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26">
        <f t="shared" si="14"/>
        <v>1061964</v>
      </c>
      <c r="C30" s="264">
        <f t="shared" si="0"/>
        <v>0</v>
      </c>
      <c r="D30" s="307">
        <f t="shared" si="7"/>
        <v>0</v>
      </c>
      <c r="E30" s="307">
        <f t="shared" si="11"/>
        <v>1061964</v>
      </c>
      <c r="F30" s="626">
        <f t="shared" si="15"/>
        <v>156555</v>
      </c>
      <c r="G30" s="160">
        <f t="shared" si="1"/>
        <v>0</v>
      </c>
      <c r="H30" s="626">
        <f t="shared" si="16"/>
        <v>517596</v>
      </c>
      <c r="I30" s="161">
        <f t="shared" si="2"/>
        <v>0</v>
      </c>
      <c r="J30" s="626">
        <f t="shared" si="13"/>
        <v>387811</v>
      </c>
      <c r="K30" s="162">
        <f t="shared" si="3"/>
        <v>0</v>
      </c>
      <c r="L30" s="295">
        <f t="shared" si="17"/>
        <v>0</v>
      </c>
      <c r="M30" s="295">
        <f t="shared" si="18"/>
        <v>0</v>
      </c>
      <c r="N30" s="295">
        <f t="shared" si="19"/>
        <v>0</v>
      </c>
      <c r="O30" s="295">
        <f t="shared" si="8"/>
        <v>159.96313985627418</v>
      </c>
      <c r="P30" s="296">
        <f t="shared" si="9"/>
        <v>159.96313985627418</v>
      </c>
      <c r="Q30" s="296">
        <f>SUM(-tanks!AX32*tanks!$AU$36)</f>
        <v>0</v>
      </c>
      <c r="R30" s="296">
        <f t="shared" si="10"/>
        <v>159.96313985627418</v>
      </c>
      <c r="S30" s="298">
        <f>SUM(ELEC!N30)</f>
        <v>0</v>
      </c>
      <c r="T30" s="334">
        <f t="shared" si="12"/>
        <v>0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511328</v>
      </c>
      <c r="AC30" s="249"/>
    </row>
    <row r="31" spans="1:32" ht="20.100000000000001" customHeight="1">
      <c r="A31" s="163">
        <f>ELEC!C31</f>
        <v>44375</v>
      </c>
      <c r="B31" s="626">
        <f t="shared" si="14"/>
        <v>1061964</v>
      </c>
      <c r="C31" s="264">
        <f>SUM(B31-B30)</f>
        <v>0</v>
      </c>
      <c r="D31" s="307">
        <f t="shared" si="7"/>
        <v>0</v>
      </c>
      <c r="E31" s="307">
        <f>B30+D31</f>
        <v>1061964</v>
      </c>
      <c r="F31" s="626">
        <f t="shared" si="15"/>
        <v>156555</v>
      </c>
      <c r="G31" s="160">
        <f>F31-F30</f>
        <v>0</v>
      </c>
      <c r="H31" s="626">
        <f t="shared" si="16"/>
        <v>517596</v>
      </c>
      <c r="I31" s="161">
        <f>H31-H30</f>
        <v>0</v>
      </c>
      <c r="J31" s="626">
        <f t="shared" si="13"/>
        <v>387811</v>
      </c>
      <c r="K31" s="162">
        <f>J31-J30</f>
        <v>0</v>
      </c>
      <c r="L31" s="295">
        <f>SUM(G31*$Y$28)/1507.5</f>
        <v>0</v>
      </c>
      <c r="M31" s="295">
        <f>SUM(I31*$Y$27)/1507.5</f>
        <v>0</v>
      </c>
      <c r="N31" s="295">
        <f>SUM(K31*$Y$26)/1507.5</f>
        <v>0</v>
      </c>
      <c r="O31" s="295">
        <f t="shared" si="8"/>
        <v>159.96313985627418</v>
      </c>
      <c r="P31" s="296">
        <f>SUM(L31:O31)</f>
        <v>159.96313985627418</v>
      </c>
      <c r="Q31" s="296">
        <f>SUM(-tanks!AX33*tanks!$AU$36)</f>
        <v>0</v>
      </c>
      <c r="R31" s="296">
        <f>SUM(P31:Q31)</f>
        <v>159.96313985627418</v>
      </c>
      <c r="S31" s="298">
        <f>SUM(ELEC!N31)</f>
        <v>0</v>
      </c>
      <c r="T31" s="334">
        <f>IF(S31&gt;0,R31/S31,0)</f>
        <v>0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00000000000001" customHeight="1">
      <c r="A32" s="163">
        <f>ELEC!C32</f>
        <v>44376</v>
      </c>
      <c r="B32" s="626">
        <f t="shared" si="14"/>
        <v>1061964</v>
      </c>
      <c r="C32" s="264">
        <f>SUM(B32-B31)</f>
        <v>0</v>
      </c>
      <c r="D32" s="307">
        <f t="shared" si="7"/>
        <v>0</v>
      </c>
      <c r="E32" s="307">
        <f>B31+D32</f>
        <v>1061964</v>
      </c>
      <c r="F32" s="626">
        <f t="shared" si="15"/>
        <v>156555</v>
      </c>
      <c r="G32" s="160">
        <f>F32-F31</f>
        <v>0</v>
      </c>
      <c r="H32" s="626">
        <f t="shared" si="16"/>
        <v>517596</v>
      </c>
      <c r="I32" s="161">
        <f>H32-H31</f>
        <v>0</v>
      </c>
      <c r="J32" s="626">
        <f t="shared" si="13"/>
        <v>387811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00000000000001" customHeight="1">
      <c r="A33" s="163">
        <f>ELEC!C33</f>
        <v>44377</v>
      </c>
      <c r="B33" s="626">
        <f t="shared" si="14"/>
        <v>1061964</v>
      </c>
      <c r="C33" s="264">
        <f>SUM(B33-B32)</f>
        <v>0</v>
      </c>
      <c r="D33" s="307">
        <f t="shared" si="7"/>
        <v>0</v>
      </c>
      <c r="E33" s="307">
        <f>B32+D33</f>
        <v>1061964</v>
      </c>
      <c r="F33" s="626">
        <f t="shared" si="15"/>
        <v>156555</v>
      </c>
      <c r="G33" s="160">
        <f>F33-F32</f>
        <v>0</v>
      </c>
      <c r="H33" s="626">
        <f t="shared" si="16"/>
        <v>517596</v>
      </c>
      <c r="I33" s="161">
        <f>H33-H32</f>
        <v>0</v>
      </c>
      <c r="J33" s="626">
        <f t="shared" si="13"/>
        <v>387811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3">
        <f>'Utility Cost '!B18</f>
        <v>100</v>
      </c>
      <c r="X33" s="222">
        <f>SUM(W33/A35)</f>
        <v>20</v>
      </c>
      <c r="Y33" s="260">
        <f>SUM(X33/1)</f>
        <v>20</v>
      </c>
      <c r="Z33" s="3"/>
      <c r="AA33" s="3"/>
      <c r="AB33" s="532">
        <f>SUM(AB30+AC33)</f>
        <v>7745661</v>
      </c>
      <c r="AC33" s="249">
        <f>SUM(AC29)</f>
        <v>7234333</v>
      </c>
    </row>
    <row r="34" spans="1:32" ht="20.100000000000001" customHeight="1">
      <c r="A34" s="163"/>
      <c r="B34" s="626"/>
      <c r="C34" s="264"/>
      <c r="D34" s="307"/>
      <c r="E34" s="307"/>
      <c r="F34" s="626"/>
      <c r="G34" s="160"/>
      <c r="H34" s="626"/>
      <c r="I34" s="161"/>
      <c r="J34" s="626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3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.75" thickBot="1">
      <c r="A35" s="529">
        <f>A37-COUNTIF(C4:C33,0)</f>
        <v>5</v>
      </c>
      <c r="C35" s="173">
        <f>SUM(C4:C33)/A35</f>
        <v>833.6</v>
      </c>
      <c r="D35" s="173"/>
      <c r="E35" s="173"/>
      <c r="G35" s="173">
        <f>SUM(G4:G33)/A35</f>
        <v>93.6</v>
      </c>
      <c r="I35" s="173">
        <f>SUM(I4:I33)/A35</f>
        <v>410.8</v>
      </c>
      <c r="K35" s="173">
        <f>SUM(K4:K33)/A35</f>
        <v>328.8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8">
        <f>AC33/1507</f>
        <v>4800.4863968148638</v>
      </c>
    </row>
    <row r="36" spans="1:32" ht="15.75" thickBot="1">
      <c r="A36" s="210"/>
      <c r="C36" s="212">
        <f>SUM(G36:K36)</f>
        <v>0.99952015355086377</v>
      </c>
      <c r="G36" s="225">
        <f>IF(C35&gt;0,G35/C35,0)</f>
        <v>0.11228406909788867</v>
      </c>
      <c r="H36" s="212"/>
      <c r="I36" s="225">
        <f>SUM(I35/C35)</f>
        <v>0.49280230326295588</v>
      </c>
      <c r="J36" s="212"/>
      <c r="K36" s="225">
        <f>SUM(K35/C35)</f>
        <v>0.39443378119001921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5138.0835820895527</v>
      </c>
      <c r="AC36" s="564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5138.0835820895527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7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600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701"/>
      <c r="AC45" s="701"/>
      <c r="AD45" s="600"/>
      <c r="AE45" s="17"/>
      <c r="AF45" s="17"/>
    </row>
    <row r="46" spans="1:32">
      <c r="V46" s="701"/>
      <c r="W46" s="701"/>
      <c r="X46" s="701"/>
      <c r="Y46" s="701"/>
      <c r="Z46" s="536"/>
      <c r="AA46" s="536"/>
      <c r="AB46" s="701"/>
      <c r="AC46" s="701"/>
      <c r="AD46" s="600"/>
      <c r="AE46" s="17"/>
      <c r="AF46" s="17"/>
    </row>
    <row r="47" spans="1:32">
      <c r="V47" s="701"/>
      <c r="W47" s="701"/>
      <c r="X47" s="701"/>
      <c r="Y47" s="701"/>
      <c r="Z47" s="701"/>
      <c r="AA47" s="701"/>
      <c r="AB47" s="701"/>
      <c r="AC47" s="701"/>
      <c r="AD47" s="600"/>
      <c r="AE47" s="17"/>
      <c r="AF47" s="17"/>
    </row>
    <row r="48" spans="1:32">
      <c r="V48" s="702"/>
      <c r="W48" s="702"/>
      <c r="X48" s="703"/>
      <c r="Y48" s="703"/>
      <c r="Z48" s="703"/>
      <c r="AA48" s="537"/>
      <c r="AB48" s="701"/>
      <c r="AC48" s="701"/>
      <c r="AD48" s="600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600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600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600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600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00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600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60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0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0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00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600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60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60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600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600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600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600"/>
      <c r="AE65" s="17"/>
      <c r="AF65" s="17"/>
    </row>
    <row r="66" spans="22:32" ht="18.75">
      <c r="V66" s="17"/>
      <c r="W66" s="541"/>
      <c r="X66" s="17"/>
      <c r="Y66" s="17"/>
      <c r="Z66" s="551"/>
      <c r="AA66" s="539"/>
      <c r="AB66" s="552"/>
      <c r="AC66" s="17"/>
      <c r="AD66" s="600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600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60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0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0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0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0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0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0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0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0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0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0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0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00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F11" sqref="F11"/>
    </sheetView>
  </sheetViews>
  <sheetFormatPr defaultRowHeight="15"/>
  <cols>
    <col min="1" max="1" width="11.85546875" style="47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4" t="s">
        <v>193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6"/>
    </row>
    <row r="2" spans="1:15" ht="15.75" customHeight="1" thickBot="1">
      <c r="A2" s="707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9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7">
        <f>ELEC!C3</f>
        <v>44347</v>
      </c>
      <c r="B5" s="354">
        <v>25</v>
      </c>
      <c r="C5" s="354">
        <v>21</v>
      </c>
      <c r="D5" s="602">
        <f>(C5+B5)/2</f>
        <v>23</v>
      </c>
      <c r="E5" s="603">
        <v>0.56000000000000005</v>
      </c>
      <c r="F5" s="604">
        <v>0</v>
      </c>
      <c r="G5" s="605">
        <f>F5*230</f>
        <v>0</v>
      </c>
      <c r="H5" s="606">
        <v>0</v>
      </c>
      <c r="I5" s="606">
        <v>0</v>
      </c>
      <c r="J5" s="354">
        <v>0</v>
      </c>
      <c r="K5" s="607">
        <f>+J5+H5+I5</f>
        <v>0</v>
      </c>
      <c r="L5" s="606"/>
      <c r="M5" s="606"/>
      <c r="N5" s="608"/>
      <c r="O5" s="606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/>
      <c r="C12" s="37"/>
      <c r="D12" s="26">
        <f t="shared" si="0"/>
        <v>0</v>
      </c>
      <c r="E12" s="392"/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/>
      <c r="C13" s="37"/>
      <c r="D13" s="26">
        <f>(C13+B13)/2</f>
        <v>0</v>
      </c>
      <c r="E13" s="352"/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/>
      <c r="C14" s="37"/>
      <c r="D14" s="26">
        <f t="shared" ref="D14:D33" si="3">(C14+B14)/2</f>
        <v>0</v>
      </c>
      <c r="E14" s="338"/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/>
      <c r="C15" s="37"/>
      <c r="D15" s="26">
        <f t="shared" si="3"/>
        <v>0</v>
      </c>
      <c r="E15" s="338"/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/>
      <c r="C16" s="37"/>
      <c r="D16" s="26">
        <f t="shared" si="3"/>
        <v>0</v>
      </c>
      <c r="E16" s="338"/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/>
      <c r="C17" s="37"/>
      <c r="D17" s="26">
        <f t="shared" si="3"/>
        <v>0</v>
      </c>
      <c r="E17" s="338"/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/>
      <c r="C18" s="37"/>
      <c r="D18" s="26">
        <f t="shared" si="3"/>
        <v>0</v>
      </c>
      <c r="E18" s="425"/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/>
      <c r="C19" s="37"/>
      <c r="D19" s="26">
        <f t="shared" si="3"/>
        <v>0</v>
      </c>
      <c r="E19" s="338"/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/>
      <c r="C20" s="37"/>
      <c r="D20" s="26">
        <f t="shared" si="3"/>
        <v>0</v>
      </c>
      <c r="E20" s="338"/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/>
      <c r="C21" s="37"/>
      <c r="D21" s="26">
        <f>(C21+B21)/2</f>
        <v>0</v>
      </c>
      <c r="E21" s="338"/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/>
      <c r="C22" s="37"/>
      <c r="D22" s="26">
        <f t="shared" si="3"/>
        <v>0</v>
      </c>
      <c r="E22" s="338"/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/>
      <c r="C23" s="37"/>
      <c r="D23" s="26">
        <f>(C23+B23)/2</f>
        <v>0</v>
      </c>
      <c r="E23" s="338"/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/>
      <c r="C24" s="37"/>
      <c r="D24" s="26">
        <f>(C24+B24)/2</f>
        <v>0</v>
      </c>
      <c r="E24" s="392"/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/>
      <c r="C25" s="37"/>
      <c r="D25" s="26">
        <f t="shared" si="3"/>
        <v>0</v>
      </c>
      <c r="E25" s="338"/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/>
      <c r="C26" s="37"/>
      <c r="D26" s="26">
        <f>(C26+B26)/2</f>
        <v>0</v>
      </c>
      <c r="E26" s="338"/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/>
      <c r="C27" s="37"/>
      <c r="D27" s="26">
        <f t="shared" si="3"/>
        <v>0</v>
      </c>
      <c r="E27" s="338"/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/>
      <c r="C28" s="37"/>
      <c r="D28" s="26">
        <f t="shared" si="3"/>
        <v>0</v>
      </c>
      <c r="E28" s="392"/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/>
      <c r="C29" s="37"/>
      <c r="D29" s="26">
        <f t="shared" si="3"/>
        <v>0</v>
      </c>
      <c r="E29" s="338"/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/>
      <c r="C30" s="37"/>
      <c r="D30" s="26">
        <f t="shared" si="3"/>
        <v>0</v>
      </c>
      <c r="E30" s="338"/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/>
      <c r="C31" s="37"/>
      <c r="D31" s="26">
        <f t="shared" si="3"/>
        <v>0</v>
      </c>
      <c r="E31" s="339"/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/>
      <c r="C32" s="37"/>
      <c r="D32" s="278">
        <f>(C32+B32)/2</f>
        <v>0</v>
      </c>
      <c r="E32" s="339"/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/>
      <c r="C33" s="37"/>
      <c r="D33" s="26">
        <f t="shared" si="3"/>
        <v>0</v>
      </c>
      <c r="E33" s="338"/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28.9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12066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-29.400000000000006</v>
      </c>
      <c r="J8" s="9">
        <f>'B5'!A10</f>
        <v>44353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44354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44355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44356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44357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44358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44359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44360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44361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44362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44363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44364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44365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44366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16"/>
      <c r="B1" s="714" t="s">
        <v>119</v>
      </c>
      <c r="C1" s="714" t="s">
        <v>118</v>
      </c>
      <c r="D1" s="718" t="s">
        <v>113</v>
      </c>
      <c r="E1" s="718" t="s">
        <v>114</v>
      </c>
      <c r="F1" s="719" t="s">
        <v>120</v>
      </c>
      <c r="G1" s="720" t="s">
        <v>75</v>
      </c>
      <c r="H1" s="711" t="s">
        <v>115</v>
      </c>
      <c r="I1" s="712" t="s">
        <v>116</v>
      </c>
      <c r="J1" s="711" t="s">
        <v>117</v>
      </c>
      <c r="K1" s="710" t="s">
        <v>121</v>
      </c>
      <c r="L1" s="710" t="s">
        <v>122</v>
      </c>
      <c r="M1" s="710" t="s">
        <v>123</v>
      </c>
      <c r="N1" s="710" t="s">
        <v>124</v>
      </c>
    </row>
    <row r="2" spans="1:14">
      <c r="A2" s="717"/>
      <c r="B2" s="715"/>
      <c r="C2" s="715"/>
      <c r="D2" s="718"/>
      <c r="E2" s="718"/>
      <c r="F2" s="719"/>
      <c r="G2" s="720"/>
      <c r="H2" s="711"/>
      <c r="I2" s="713"/>
      <c r="J2" s="711"/>
      <c r="K2" s="710"/>
      <c r="L2" s="710"/>
      <c r="M2" s="710"/>
      <c r="N2" s="71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1</v>
      </c>
      <c r="G11" s="78">
        <f>WATER!BG11</f>
        <v>-29.400000000000006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1" t="s">
        <v>151</v>
      </c>
      <c r="U3" s="72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11" sqref="L11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4" customWidth="1"/>
    <col min="12" max="12" width="26.42578125" bestFit="1" customWidth="1"/>
    <col min="14" max="14" width="14.28515625" customWidth="1"/>
  </cols>
  <sheetData>
    <row r="1" spans="1:18" ht="39.75" customHeight="1" thickBot="1">
      <c r="A1" s="722" t="s">
        <v>51</v>
      </c>
      <c r="B1" s="734" t="s">
        <v>318</v>
      </c>
      <c r="C1" s="735"/>
      <c r="D1" s="737"/>
      <c r="E1" s="734" t="s">
        <v>319</v>
      </c>
      <c r="F1" s="735"/>
      <c r="G1" s="736"/>
      <c r="H1" s="731" t="s">
        <v>324</v>
      </c>
      <c r="I1" s="728" t="s">
        <v>325</v>
      </c>
      <c r="J1" s="725" t="s">
        <v>43</v>
      </c>
    </row>
    <row r="2" spans="1:18" ht="38.25" thickBot="1">
      <c r="A2" s="723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2"/>
      <c r="I2" s="729"/>
      <c r="J2" s="726"/>
    </row>
    <row r="3" spans="1:18" ht="24" customHeight="1" thickBot="1">
      <c r="A3" s="724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33"/>
      <c r="I3" s="730"/>
      <c r="J3" s="727"/>
    </row>
    <row r="4" spans="1:18" ht="19.5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3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.7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.75" thickBot="1">
      <c r="A9" s="240">
        <f>ELEC!C7</f>
        <v>44351</v>
      </c>
      <c r="B9" s="528">
        <v>1.5</v>
      </c>
      <c r="C9" s="609">
        <v>7.8</v>
      </c>
      <c r="D9" s="170">
        <v>0</v>
      </c>
      <c r="E9" s="645" t="s">
        <v>420</v>
      </c>
      <c r="F9" s="645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.7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.75" thickBot="1">
      <c r="A11" s="240">
        <f>ELEC!C9</f>
        <v>44353</v>
      </c>
      <c r="B11" s="254">
        <v>1.5</v>
      </c>
      <c r="C11" s="615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.5" thickBot="1">
      <c r="A12" s="240">
        <f>ELEC!C10</f>
        <v>44354</v>
      </c>
      <c r="B12" s="254"/>
      <c r="C12" s="585"/>
      <c r="D12" s="170"/>
      <c r="E12" s="170"/>
      <c r="F12" s="170"/>
      <c r="G12" s="528"/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.75" thickBot="1">
      <c r="A13" s="240">
        <f>ELEC!C11</f>
        <v>44355</v>
      </c>
      <c r="B13" s="528"/>
      <c r="C13" s="528"/>
      <c r="D13" s="528"/>
      <c r="E13" s="528"/>
      <c r="F13" s="528"/>
      <c r="G13" s="528"/>
      <c r="H13" s="572">
        <f t="shared" si="2"/>
        <v>6776</v>
      </c>
      <c r="I13" s="502">
        <f t="shared" si="3"/>
        <v>0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.75" thickBot="1">
      <c r="A14" s="240">
        <f>ELEC!C12</f>
        <v>44356</v>
      </c>
      <c r="B14" s="254"/>
      <c r="C14" s="618"/>
      <c r="D14" s="170"/>
      <c r="E14" s="170"/>
      <c r="F14" s="170"/>
      <c r="G14" s="170"/>
      <c r="H14" s="572">
        <f t="shared" si="2"/>
        <v>6776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.75" thickBot="1">
      <c r="A15" s="240">
        <f>ELEC!C13</f>
        <v>44357</v>
      </c>
      <c r="B15" s="528"/>
      <c r="C15" s="575"/>
      <c r="D15" s="575"/>
      <c r="E15" s="575"/>
      <c r="F15" s="575"/>
      <c r="G15" s="570"/>
      <c r="H15" s="572">
        <f t="shared" si="2"/>
        <v>6776</v>
      </c>
      <c r="I15" s="502">
        <f t="shared" si="3"/>
        <v>0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.75" thickBot="1">
      <c r="A16" s="240">
        <f>ELEC!C14</f>
        <v>44358</v>
      </c>
      <c r="B16" s="528"/>
      <c r="C16" s="575"/>
      <c r="D16" s="575"/>
      <c r="E16" s="575"/>
      <c r="F16" s="575"/>
      <c r="G16" s="570"/>
      <c r="H16" s="572">
        <f t="shared" si="2"/>
        <v>6776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.75" thickBot="1">
      <c r="A17" s="240">
        <f>ELEC!C15</f>
        <v>44359</v>
      </c>
      <c r="B17" s="254"/>
      <c r="C17" s="586"/>
      <c r="D17" s="170"/>
      <c r="E17" s="170"/>
      <c r="F17" s="623"/>
      <c r="G17" s="622"/>
      <c r="H17" s="572">
        <f t="shared" si="2"/>
        <v>6776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.75" thickBot="1">
      <c r="A18" s="240">
        <f>ELEC!C16</f>
        <v>44360</v>
      </c>
      <c r="B18" s="254"/>
      <c r="C18" s="587"/>
      <c r="D18" s="170"/>
      <c r="E18" s="170"/>
      <c r="F18" s="623"/>
      <c r="G18" s="625"/>
      <c r="H18" s="572">
        <f t="shared" si="2"/>
        <v>6776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.75" thickBot="1">
      <c r="A19" s="240">
        <f>ELEC!C17</f>
        <v>44361</v>
      </c>
      <c r="B19" s="254"/>
      <c r="C19" s="588"/>
      <c r="D19" s="170"/>
      <c r="E19" s="170"/>
      <c r="F19" s="623"/>
      <c r="G19" s="622"/>
      <c r="H19" s="572">
        <f t="shared" si="2"/>
        <v>6776</v>
      </c>
      <c r="I19" s="502">
        <f t="shared" si="3"/>
        <v>0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.75" thickBot="1">
      <c r="A20" s="240">
        <f>ELEC!C18</f>
        <v>44362</v>
      </c>
      <c r="B20" s="254"/>
      <c r="C20" s="589"/>
      <c r="D20" s="170"/>
      <c r="E20" s="170"/>
      <c r="F20" s="623"/>
      <c r="G20" s="622"/>
      <c r="H20" s="572">
        <f t="shared" si="2"/>
        <v>6776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.75" thickBot="1">
      <c r="A21" s="240">
        <f>ELEC!C19</f>
        <v>44363</v>
      </c>
      <c r="B21" s="254"/>
      <c r="C21" s="619"/>
      <c r="D21" s="170"/>
      <c r="E21" s="170"/>
      <c r="F21" s="623"/>
      <c r="G21" s="625"/>
      <c r="H21" s="572">
        <f t="shared" si="2"/>
        <v>6776</v>
      </c>
      <c r="I21" s="502">
        <f t="shared" si="3"/>
        <v>0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.75" thickBot="1">
      <c r="A22" s="240">
        <f>ELEC!C20</f>
        <v>44364</v>
      </c>
      <c r="B22" s="254"/>
      <c r="C22" s="590"/>
      <c r="D22" s="591"/>
      <c r="E22" s="590"/>
      <c r="F22" s="623"/>
      <c r="G22" s="622"/>
      <c r="H22" s="572">
        <f t="shared" si="2"/>
        <v>6776</v>
      </c>
      <c r="I22" s="502">
        <f t="shared" si="3"/>
        <v>0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.75" thickBot="1">
      <c r="A23" s="240">
        <f>ELEC!C21</f>
        <v>44365</v>
      </c>
      <c r="B23" s="254"/>
      <c r="C23" s="620"/>
      <c r="D23" s="621"/>
      <c r="E23" s="620"/>
      <c r="F23" s="623"/>
      <c r="G23" s="622"/>
      <c r="H23" s="572">
        <f t="shared" si="2"/>
        <v>6776</v>
      </c>
      <c r="I23" s="502">
        <f t="shared" si="3"/>
        <v>0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.75" thickBot="1">
      <c r="A24" s="240">
        <f>ELEC!C22</f>
        <v>44366</v>
      </c>
      <c r="B24" s="254"/>
      <c r="C24" s="623"/>
      <c r="D24" s="624"/>
      <c r="E24" s="623"/>
      <c r="F24" s="623"/>
      <c r="G24" s="625"/>
      <c r="H24" s="572">
        <f t="shared" si="2"/>
        <v>6776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.75" thickBot="1">
      <c r="A25" s="240">
        <f>ELEC!C23</f>
        <v>44367</v>
      </c>
      <c r="B25" s="567"/>
      <c r="C25" s="575"/>
      <c r="D25" s="170"/>
      <c r="E25" s="170"/>
      <c r="F25" s="170"/>
      <c r="G25" s="170"/>
      <c r="H25" s="572">
        <f t="shared" si="2"/>
        <v>6776</v>
      </c>
      <c r="I25" s="502">
        <f t="shared" si="3"/>
        <v>0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.75" thickBot="1">
      <c r="A26" s="240">
        <f>ELEC!C24</f>
        <v>44368</v>
      </c>
      <c r="B26" s="254"/>
      <c r="C26" s="592"/>
      <c r="D26" s="593"/>
      <c r="E26" s="592"/>
      <c r="F26" s="592"/>
      <c r="G26" s="170"/>
      <c r="H26" s="572">
        <f t="shared" si="2"/>
        <v>6776</v>
      </c>
      <c r="I26" s="502">
        <f t="shared" si="3"/>
        <v>0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.7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2">
        <f t="shared" si="2"/>
        <v>6776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f t="shared" si="4"/>
        <v>6555</v>
      </c>
      <c r="N27" s="502">
        <v>645</v>
      </c>
      <c r="O27" s="502">
        <f t="shared" si="1"/>
        <v>7200</v>
      </c>
    </row>
    <row r="28" spans="1:15" ht="15.75" thickBot="1">
      <c r="A28" s="240">
        <f>ELEC!C26</f>
        <v>44370</v>
      </c>
      <c r="B28" s="254"/>
      <c r="C28" s="579"/>
      <c r="D28" s="624"/>
      <c r="E28" s="623"/>
      <c r="F28" s="623"/>
      <c r="G28" s="625"/>
      <c r="H28" s="572">
        <f t="shared" si="2"/>
        <v>6776</v>
      </c>
      <c r="I28" s="502">
        <f t="shared" si="3"/>
        <v>0</v>
      </c>
      <c r="J28" s="483">
        <v>0.29166666666666702</v>
      </c>
      <c r="L28" s="99">
        <f t="shared" si="0"/>
        <v>44370</v>
      </c>
      <c r="M28" s="3">
        <f t="shared" si="4"/>
        <v>6555</v>
      </c>
      <c r="N28" s="502">
        <v>645</v>
      </c>
      <c r="O28" s="502">
        <f t="shared" si="1"/>
        <v>7200</v>
      </c>
    </row>
    <row r="29" spans="1:15" ht="15.75" thickBot="1">
      <c r="A29" s="240">
        <f>ELEC!C27</f>
        <v>44371</v>
      </c>
      <c r="B29" s="254"/>
      <c r="C29" s="594"/>
      <c r="D29" s="595"/>
      <c r="E29" s="623"/>
      <c r="F29" s="623"/>
      <c r="G29" s="622"/>
      <c r="H29" s="572">
        <f t="shared" si="2"/>
        <v>6776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6555</v>
      </c>
      <c r="N29" s="502">
        <v>645</v>
      </c>
      <c r="O29" s="502">
        <f t="shared" si="1"/>
        <v>7200</v>
      </c>
    </row>
    <row r="30" spans="1:15" ht="15.75" thickBot="1">
      <c r="A30" s="240">
        <f>ELEC!C28</f>
        <v>44372</v>
      </c>
      <c r="B30" s="254"/>
      <c r="C30" s="596"/>
      <c r="D30" s="597"/>
      <c r="E30" s="596"/>
      <c r="F30" s="596"/>
      <c r="G30" s="170"/>
      <c r="H30" s="572">
        <f t="shared" si="2"/>
        <v>6776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6555</v>
      </c>
      <c r="N30" s="502">
        <v>645</v>
      </c>
      <c r="O30" s="502">
        <f t="shared" si="1"/>
        <v>7200</v>
      </c>
    </row>
    <row r="31" spans="1:15" ht="15.75" thickBot="1">
      <c r="A31" s="240">
        <f>ELEC!C29</f>
        <v>44373</v>
      </c>
      <c r="B31" s="254"/>
      <c r="C31" s="575"/>
      <c r="D31" s="170"/>
      <c r="E31" s="170"/>
      <c r="F31" s="170"/>
      <c r="G31" s="170"/>
      <c r="H31" s="572">
        <f t="shared" si="2"/>
        <v>6776</v>
      </c>
      <c r="I31" s="502">
        <f t="shared" si="3"/>
        <v>0</v>
      </c>
      <c r="J31" s="482">
        <v>0.29166666666666702</v>
      </c>
      <c r="L31" s="99">
        <f t="shared" si="0"/>
        <v>44373</v>
      </c>
      <c r="M31" s="3">
        <f t="shared" si="4"/>
        <v>6555</v>
      </c>
      <c r="N31" s="502">
        <v>645</v>
      </c>
      <c r="O31" s="502">
        <f t="shared" si="1"/>
        <v>7200</v>
      </c>
    </row>
    <row r="32" spans="1:15" ht="15.75" thickBot="1">
      <c r="A32" s="240">
        <f>ELEC!C30</f>
        <v>44374</v>
      </c>
      <c r="B32" s="170"/>
      <c r="C32" s="170"/>
      <c r="D32" s="170"/>
      <c r="E32" s="170"/>
      <c r="F32" s="170"/>
      <c r="G32" s="502"/>
      <c r="H32" s="572">
        <f t="shared" si="2"/>
        <v>6776</v>
      </c>
      <c r="I32" s="502">
        <f t="shared" si="3"/>
        <v>0</v>
      </c>
      <c r="J32" s="482">
        <v>0.29166666666666702</v>
      </c>
      <c r="L32" s="99">
        <f t="shared" si="0"/>
        <v>44374</v>
      </c>
      <c r="M32" s="3">
        <f t="shared" si="4"/>
        <v>6555</v>
      </c>
      <c r="N32" s="502">
        <v>645</v>
      </c>
      <c r="O32" s="502">
        <f t="shared" si="1"/>
        <v>7200</v>
      </c>
    </row>
    <row r="33" spans="1:15" ht="15.75" thickBot="1">
      <c r="A33" s="240">
        <f>ELEC!C31</f>
        <v>44375</v>
      </c>
      <c r="B33" s="170"/>
      <c r="C33" s="170"/>
      <c r="D33" s="170"/>
      <c r="E33" s="170"/>
      <c r="F33" s="170"/>
      <c r="G33" s="502"/>
      <c r="H33" s="572">
        <f t="shared" si="2"/>
        <v>6776</v>
      </c>
      <c r="I33" s="502">
        <f t="shared" si="3"/>
        <v>0</v>
      </c>
      <c r="J33" s="482">
        <v>0.29166666666666702</v>
      </c>
      <c r="L33" s="99">
        <f t="shared" si="0"/>
        <v>44375</v>
      </c>
      <c r="M33" s="3">
        <f t="shared" si="4"/>
        <v>6555</v>
      </c>
      <c r="N33" s="502">
        <v>645</v>
      </c>
      <c r="O33" s="502">
        <f t="shared" si="1"/>
        <v>7200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6776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6555</v>
      </c>
      <c r="N34" s="502">
        <v>646</v>
      </c>
      <c r="O34" s="502">
        <f>M34+N34</f>
        <v>7201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6776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6555</v>
      </c>
      <c r="N35" s="502">
        <v>647</v>
      </c>
      <c r="O35" s="502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Y65" sqref="Y6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49" t="s">
        <v>161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O1" s="749"/>
      <c r="P1" s="749"/>
      <c r="Q1" s="749"/>
      <c r="R1" s="749"/>
      <c r="S1" s="749"/>
      <c r="T1" s="749"/>
      <c r="U1" s="749"/>
      <c r="V1" s="749"/>
      <c r="W1" s="749"/>
      <c r="X1" s="749"/>
    </row>
    <row r="2" spans="1:28" ht="19.5">
      <c r="A2" s="750"/>
      <c r="B2" s="750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</row>
    <row r="3" spans="1:28" ht="19.5">
      <c r="A3" s="750" t="s">
        <v>162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0"/>
      <c r="U3" s="750"/>
      <c r="V3" s="750"/>
      <c r="W3" s="750"/>
      <c r="X3" s="75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0" t="s">
        <v>408</v>
      </c>
      <c r="B5" s="750"/>
      <c r="C5" s="750"/>
      <c r="D5" s="750"/>
      <c r="E5" s="750"/>
      <c r="F5" s="750"/>
      <c r="G5" s="750"/>
      <c r="H5" s="750"/>
      <c r="I5" s="750"/>
      <c r="J5" s="750"/>
      <c r="K5" s="750"/>
      <c r="L5" s="750"/>
      <c r="M5" s="750"/>
      <c r="N5" s="750"/>
      <c r="O5" s="750"/>
      <c r="P5" s="750"/>
      <c r="Q5" s="750"/>
      <c r="R5" s="750"/>
      <c r="S5" s="750"/>
      <c r="T5" s="750"/>
      <c r="U5" s="750"/>
      <c r="V5" s="750"/>
      <c r="W5" s="750"/>
      <c r="X5" s="750"/>
    </row>
    <row r="6" spans="1:28" ht="15.75" thickBot="1">
      <c r="A6" s="751"/>
      <c r="B6" s="751"/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51"/>
      <c r="Q6" s="751"/>
      <c r="R6" s="751"/>
      <c r="S6" s="751"/>
      <c r="T6" s="751"/>
      <c r="U6" s="751"/>
      <c r="V6" s="751"/>
      <c r="W6" s="751"/>
      <c r="X6" s="751"/>
    </row>
    <row r="7" spans="1:28" ht="15.75" thickBot="1">
      <c r="A7" s="739" t="s">
        <v>163</v>
      </c>
      <c r="B7" s="740"/>
      <c r="C7" s="741" t="s">
        <v>164</v>
      </c>
      <c r="D7" s="742"/>
      <c r="E7" s="742"/>
      <c r="F7" s="742"/>
      <c r="G7" s="742"/>
      <c r="H7" s="742"/>
      <c r="I7" s="742"/>
      <c r="J7" s="742"/>
      <c r="K7" s="74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0</v>
      </c>
      <c r="W16" s="271">
        <f>'General information '!C12</f>
        <v>0</v>
      </c>
      <c r="X16" s="271">
        <f t="shared" si="2"/>
        <v>-18.3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0</v>
      </c>
      <c r="W17" s="271">
        <f>'General information '!C13</f>
        <v>0</v>
      </c>
      <c r="X17" s="271">
        <f t="shared" si="2"/>
        <v>-18.3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0</v>
      </c>
      <c r="W18" s="271">
        <f>'General information '!C14</f>
        <v>0</v>
      </c>
      <c r="X18" s="271">
        <f t="shared" si="2"/>
        <v>-18.3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0</v>
      </c>
      <c r="W19" s="271">
        <f>'General information '!C15</f>
        <v>0</v>
      </c>
      <c r="X19" s="271">
        <f t="shared" si="2"/>
        <v>-18.3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0</v>
      </c>
      <c r="W20" s="271">
        <f>'General information '!C16</f>
        <v>0</v>
      </c>
      <c r="X20" s="271">
        <f t="shared" si="2"/>
        <v>-18.3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0</v>
      </c>
      <c r="W21" s="271">
        <f>'General information '!C17</f>
        <v>0</v>
      </c>
      <c r="X21" s="27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0</v>
      </c>
      <c r="W22" s="271">
        <f>'General information '!C18</f>
        <v>0</v>
      </c>
      <c r="X22" s="271">
        <f t="shared" si="2"/>
        <v>-18.3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0</v>
      </c>
      <c r="W23" s="271">
        <f>'General information '!C19</f>
        <v>0</v>
      </c>
      <c r="X23" s="271">
        <f t="shared" si="2"/>
        <v>-18.3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0</v>
      </c>
      <c r="W24" s="271">
        <f>'General information '!C20</f>
        <v>0</v>
      </c>
      <c r="X24" s="271">
        <f t="shared" si="2"/>
        <v>-18.3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0</v>
      </c>
      <c r="W25" s="271">
        <f>'General information '!C21</f>
        <v>0</v>
      </c>
      <c r="X25" s="271">
        <f t="shared" si="2"/>
        <v>-18.3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0</v>
      </c>
      <c r="W26" s="271">
        <f>'General information '!C22</f>
        <v>0</v>
      </c>
      <c r="X26" s="271">
        <f t="shared" si="2"/>
        <v>-18.3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0</v>
      </c>
      <c r="W27" s="271">
        <f>'General information '!C23</f>
        <v>0</v>
      </c>
      <c r="X27" s="271">
        <f t="shared" si="2"/>
        <v>-18.3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0</v>
      </c>
      <c r="W28" s="271">
        <f>'General information '!C24</f>
        <v>0</v>
      </c>
      <c r="X28" s="271">
        <f t="shared" si="2"/>
        <v>-18.3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0</v>
      </c>
      <c r="W29" s="271">
        <f>'General information '!C25</f>
        <v>0</v>
      </c>
      <c r="X29" s="271">
        <f t="shared" si="2"/>
        <v>-18.3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0</v>
      </c>
      <c r="W30" s="271">
        <f>'General information '!C26</f>
        <v>0</v>
      </c>
      <c r="X30" s="271">
        <f t="shared" si="2"/>
        <v>-18.3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0</v>
      </c>
      <c r="W31" s="271">
        <f>'General information '!C27</f>
        <v>0</v>
      </c>
      <c r="X31" s="271">
        <f t="shared" si="2"/>
        <v>-18.3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0</v>
      </c>
      <c r="W32" s="271">
        <f>'General information '!C28</f>
        <v>0</v>
      </c>
      <c r="X32" s="271">
        <f t="shared" si="2"/>
        <v>-18.3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0</v>
      </c>
      <c r="W33" s="271">
        <f>'General information '!C29</f>
        <v>0</v>
      </c>
      <c r="X33" s="271">
        <f t="shared" si="2"/>
        <v>-18.3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0</v>
      </c>
      <c r="W34" s="271">
        <f>'General information '!C30</f>
        <v>0</v>
      </c>
      <c r="X34" s="271">
        <f t="shared" si="2"/>
        <v>-18.3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0</v>
      </c>
      <c r="W35" s="271">
        <f>'General information '!C31</f>
        <v>0</v>
      </c>
      <c r="X35" s="271">
        <f t="shared" si="2"/>
        <v>-18.3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0</v>
      </c>
      <c r="W36" s="271">
        <f>'General information '!C32</f>
        <v>0</v>
      </c>
      <c r="X36" s="271">
        <f t="shared" si="2"/>
        <v>-18.3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0</v>
      </c>
      <c r="W37" s="271">
        <f>'General information '!C33</f>
        <v>0</v>
      </c>
      <c r="X37" s="271">
        <f t="shared" si="2"/>
        <v>-18.3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-439.20000000000016</v>
      </c>
      <c r="W43" s="119">
        <f>SUMIF(X10:X39,"&gt;0")</f>
        <v>34.699999999999996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4" t="s">
        <v>174</v>
      </c>
      <c r="O84" s="744" t="s">
        <v>175</v>
      </c>
      <c r="P84" s="134"/>
      <c r="T84" s="134"/>
      <c r="X84" s="134"/>
    </row>
    <row r="85" spans="1:24" ht="20.25" thickBot="1">
      <c r="D85" s="134"/>
      <c r="I85" s="746" t="s">
        <v>182</v>
      </c>
      <c r="J85" s="747"/>
      <c r="K85" s="747"/>
      <c r="L85" s="747"/>
      <c r="N85" s="745"/>
      <c r="O85" s="745"/>
      <c r="P85" s="134"/>
      <c r="R85" s="17"/>
      <c r="S85" s="17"/>
      <c r="T85" s="140"/>
      <c r="U85" s="141"/>
      <c r="X85" s="134"/>
    </row>
    <row r="86" spans="1:24" ht="18.75" thickBot="1">
      <c r="D86" s="134"/>
      <c r="I86" s="748" t="s">
        <v>183</v>
      </c>
      <c r="J86" s="748"/>
      <c r="K86" s="748"/>
      <c r="L86" s="748"/>
      <c r="N86" s="142">
        <f>B43+F43+J43+N43+R43+V43+B81+F81+J81+N81+R81+V81</f>
        <v>-4070.0000000000005</v>
      </c>
      <c r="O86" s="142">
        <f>C43+G43+K43+O43+S43+W43+C81+G81+K81+O81+S81+W81</f>
        <v>268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8"/>
      <c r="C88" s="738"/>
      <c r="D88" s="738"/>
      <c r="E88" s="738"/>
      <c r="F88" s="738"/>
      <c r="G88" s="738"/>
      <c r="H88" s="738"/>
      <c r="I88" s="738"/>
      <c r="J88" s="738"/>
      <c r="K88" s="738"/>
      <c r="L88" s="738"/>
      <c r="M88" s="738"/>
      <c r="N88" s="738"/>
      <c r="O88" s="738"/>
      <c r="P88" s="738"/>
      <c r="Q88" s="738"/>
      <c r="R88" s="738"/>
      <c r="S88" s="738"/>
      <c r="T88" s="738"/>
      <c r="U88" s="738"/>
      <c r="V88" s="738"/>
      <c r="W88" s="73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C19" sqref="C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52" t="s">
        <v>216</v>
      </c>
      <c r="B2" s="752"/>
      <c r="C2" s="752"/>
      <c r="D2" s="752"/>
      <c r="E2" s="752"/>
      <c r="F2" s="752"/>
      <c r="G2" s="752"/>
      <c r="H2" s="752"/>
      <c r="I2" s="752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5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109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1366.6666666666665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15285</v>
      </c>
      <c r="C8" s="486">
        <f>SUM(tanks!AU36)</f>
        <v>1.0029999999999999</v>
      </c>
      <c r="D8" s="191">
        <f>SUM(B8*C8)*D4</f>
        <v>23111263.912499998</v>
      </c>
      <c r="E8" s="192">
        <f>SUM(D8/D4/F4)</f>
        <v>3066.1709999999994</v>
      </c>
      <c r="F8" s="192">
        <f>SUM(E8*F4)</f>
        <v>15330.854999999996</v>
      </c>
      <c r="G8" s="503">
        <f>E8*$G$4</f>
        <v>91985.129999999976</v>
      </c>
      <c r="H8" s="189">
        <v>18139</v>
      </c>
      <c r="I8" s="192">
        <v>18139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4166</v>
      </c>
      <c r="C10" s="181"/>
      <c r="D10" s="183">
        <f>'EDl log'!AB33</f>
        <v>7745661</v>
      </c>
      <c r="E10" s="182">
        <f>SUM(D10/D4/F4)</f>
        <v>1027.6167164179105</v>
      </c>
      <c r="F10" s="182">
        <f>SUM(E10*F4)</f>
        <v>5138.0835820895527</v>
      </c>
      <c r="G10" s="503">
        <f>E10*$G$4</f>
        <v>30828.501492537318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4367.1210497512438</v>
      </c>
      <c r="F12" s="180">
        <f>SUM(F6:F10)</f>
        <v>21835.605248756216</v>
      </c>
      <c r="G12" s="179">
        <f>SUM(G6:G10)</f>
        <v>131013.6314925373</v>
      </c>
      <c r="H12" s="179">
        <f>SUM(H6:H11)</f>
        <v>45339</v>
      </c>
      <c r="I12" s="221">
        <f>SUM(I6:I11)</f>
        <v>45339</v>
      </c>
      <c r="J12" s="275"/>
    </row>
    <row r="13" spans="1:11" ht="30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34.699999999999996</v>
      </c>
      <c r="C14" s="431">
        <f>'[17]Utility Cost '!B14</f>
        <v>182.99999999999997</v>
      </c>
      <c r="D14" s="170"/>
      <c r="E14" s="170">
        <f>B14-C14</f>
        <v>-148.29999999999998</v>
      </c>
      <c r="F14" s="502">
        <v>0</v>
      </c>
      <c r="G14" s="420"/>
      <c r="H14" s="421">
        <f>SUM(G12-H12)</f>
        <v>85674.631492537301</v>
      </c>
      <c r="I14" s="421">
        <f>SUM(G12-I12)</f>
        <v>85674.631492537301</v>
      </c>
    </row>
    <row r="15" spans="1:11">
      <c r="A15" s="446" t="s">
        <v>303</v>
      </c>
      <c r="B15" s="97">
        <f>'Degree Days 2020'!V43</f>
        <v>-439.20000000000016</v>
      </c>
      <c r="C15" s="431">
        <f>'[17]Utility Cost '!B15</f>
        <v>-18.3</v>
      </c>
      <c r="D15" s="170"/>
      <c r="E15" s="170">
        <f>B15-C15</f>
        <v>-420.90000000000015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28.9</v>
      </c>
      <c r="C16" s="431">
        <f>'[17]Utility Cost '!B16</f>
        <v>24.4</v>
      </c>
      <c r="D16" s="430"/>
      <c r="E16" s="431">
        <f>B16-C16</f>
        <v>4.5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3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100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-82</v>
      </c>
      <c r="F18" s="521">
        <f>B18-D18</f>
        <v>-102.66666666666666</v>
      </c>
    </row>
    <row r="19" spans="1:10">
      <c r="A19" s="515" t="s">
        <v>410</v>
      </c>
      <c r="B19" s="513">
        <f>SUM(B18/$F$4)</f>
        <v>20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2021-06-07T08:30:27Z</dcterms:modified>
</cp:coreProperties>
</file>