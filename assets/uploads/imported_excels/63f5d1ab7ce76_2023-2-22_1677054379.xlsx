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na.Qiu\Desktop\"/>
    </mc:Choice>
  </mc:AlternateContent>
  <bookViews>
    <workbookView xWindow="-105" yWindow="-105" windowWidth="23250" windowHeight="12450" tabRatio="620"/>
  </bookViews>
  <sheets>
    <sheet name="TOTAL" sheetId="117" r:id="rId1"/>
    <sheet name="Shenzhen Daily" sheetId="119" r:id="rId2"/>
  </sheets>
  <calcPr calcId="152511"/>
</workbook>
</file>

<file path=xl/calcChain.xml><?xml version="1.0" encoding="utf-8"?>
<calcChain xmlns="http://schemas.openxmlformats.org/spreadsheetml/2006/main">
  <c r="H34" i="119" l="1"/>
  <c r="F34" i="119"/>
  <c r="D34" i="119"/>
  <c r="H33" i="119"/>
  <c r="F33" i="119"/>
  <c r="D33" i="119"/>
  <c r="H32" i="119"/>
  <c r="F32" i="119"/>
  <c r="D32" i="119"/>
  <c r="H31" i="119"/>
  <c r="F31" i="119"/>
  <c r="D31" i="119"/>
  <c r="H30" i="119"/>
  <c r="F30" i="119"/>
  <c r="D30" i="119"/>
  <c r="H29" i="119"/>
  <c r="F29" i="119"/>
  <c r="D29" i="119"/>
  <c r="H28" i="119"/>
  <c r="F28" i="119"/>
  <c r="D28" i="119"/>
  <c r="H27" i="119"/>
  <c r="F27" i="119"/>
  <c r="D27" i="119"/>
  <c r="H26" i="119"/>
  <c r="F26" i="119"/>
  <c r="D26" i="119"/>
  <c r="H25" i="119"/>
  <c r="F25" i="119"/>
  <c r="D25" i="119"/>
  <c r="H24" i="119"/>
  <c r="F24" i="119"/>
  <c r="D24" i="119"/>
  <c r="H23" i="119"/>
  <c r="F23" i="119"/>
  <c r="D23" i="119"/>
  <c r="H22" i="119"/>
  <c r="F22" i="119"/>
  <c r="D22" i="119"/>
  <c r="H21" i="119"/>
  <c r="F21" i="119"/>
  <c r="D21" i="119"/>
  <c r="H20" i="119"/>
  <c r="F20" i="119"/>
  <c r="D20" i="119"/>
  <c r="H19" i="119"/>
  <c r="F19" i="119"/>
  <c r="D19" i="119"/>
  <c r="H18" i="119"/>
  <c r="F18" i="119"/>
  <c r="D18" i="119"/>
  <c r="H17" i="119"/>
  <c r="F17" i="119"/>
  <c r="D17" i="119"/>
  <c r="H16" i="119"/>
  <c r="F16" i="119"/>
  <c r="D16" i="119"/>
  <c r="H15" i="119"/>
  <c r="F15" i="119"/>
  <c r="D15" i="119"/>
  <c r="H14" i="119"/>
  <c r="F14" i="119"/>
  <c r="D14" i="119"/>
  <c r="H13" i="119"/>
  <c r="F13" i="119"/>
  <c r="D13" i="119"/>
  <c r="H12" i="119"/>
  <c r="F12" i="119"/>
  <c r="D12" i="119"/>
  <c r="H11" i="119"/>
  <c r="F11" i="119"/>
  <c r="D11" i="119"/>
  <c r="H10" i="119"/>
  <c r="F10" i="119"/>
  <c r="D10" i="119"/>
  <c r="H9" i="119"/>
  <c r="F9" i="119"/>
  <c r="D9" i="119"/>
  <c r="H8" i="119"/>
  <c r="F8" i="119"/>
  <c r="D8" i="119"/>
  <c r="H7" i="119"/>
  <c r="F7" i="119"/>
  <c r="D7" i="119"/>
  <c r="H6" i="119"/>
  <c r="F6" i="119"/>
  <c r="D6" i="119"/>
  <c r="H5" i="119"/>
  <c r="F5" i="119"/>
  <c r="D5" i="119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<sst xmlns="http://schemas.openxmlformats.org/spreadsheetml/2006/main" count="53" uniqueCount="23">
  <si>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</si>
  <si>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</si>
  <si>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</si>
  <si>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</si>
  <si>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</si>
  <si>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</si>
  <si>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</si>
  <si>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</si>
  <si>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</si>
  <si>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</si>
  <si>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</si>
  <si>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</si>
  <si>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</si>
  <si>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</si>
  <si>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</si>
  <si>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</si>
  <si>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</si>
  <si>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</si>
  <si>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</si>
  <si>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</si>
  <si>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</si>
  <si>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Natural Gas (m3)</t>
  </si>
  <si>
    <t>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</si>
</sst>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0" fontId="6" fillId="7" borderId="9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0" fontId="1" fillId="0" borderId="1" xfId="11" applyBorder="1" applyAlignment="1">
      <alignment horizont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7" fillId="0" borderId="1" xfId="11" applyFont="1" applyBorder="1" applyAlignment="1">
      <alignment horizontal="center"/>
    </xf>
    <xf numFmtId="1" fontId="8" fillId="0" borderId="0" xfId="11" applyNumberFormat="1" applyFont="1" applyAlignment="1">
      <alignment horizontal="center"/>
    </xf>
    <xf numFmtId="0" fontId="7" fillId="0" borderId="0" xfId="11" applyFont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>
      <selection activeCell="N11" sqref="N1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0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21</v>
      </c>
      <c r="H1" s="4" t="s">
        <v>20</v>
      </c>
      <c r="I1" s="3" t="s">
        <v>6</v>
      </c>
      <c r="J1" s="5" t="s">
        <v>7</v>
      </c>
    </row>
    <row r="2" spans="1:10" ht="15" x14ac:dyDescent="0.25">
      <c r="A2" s="6" t="s">
        <v>22</v>
      </c>
      <c r="B2" s="7">
        <v>1</v>
      </c>
      <c r="C2" s="8">
        <v>6</v>
      </c>
      <c r="D2" s="7">
        <v>2022</v>
      </c>
      <c r="E2" s="9">
        <v>35051.999999999745</v>
      </c>
      <c r="F2" s="32">
        <v>0.93</v>
      </c>
      <c r="G2" s="9">
        <v>1456</v>
      </c>
      <c r="H2" s="32">
        <v>4.3899999999999997</v>
      </c>
      <c r="I2" s="9">
        <v>514</v>
      </c>
      <c r="J2" s="32">
        <v>1.72</v>
      </c>
    </row>
    <row r="3" spans="1:10" ht="15" x14ac:dyDescent="0.25">
      <c r="A3" s="6" t="s">
        <v>22</v>
      </c>
      <c r="B3" s="7">
        <f>B2+1</f>
        <v>2</v>
      </c>
      <c r="C3" s="8">
        <v>6</v>
      </c>
      <c r="D3" s="7">
        <v>2022</v>
      </c>
      <c r="E3" s="9">
        <v>35066.000000001106</v>
      </c>
      <c r="F3" s="32">
        <v>0.93</v>
      </c>
      <c r="G3" s="9">
        <v>1348</v>
      </c>
      <c r="H3" s="32">
        <v>4.3899999999999997</v>
      </c>
      <c r="I3" s="9">
        <v>515</v>
      </c>
      <c r="J3" s="32">
        <v>1.72</v>
      </c>
    </row>
    <row r="4" spans="1:10" ht="15" x14ac:dyDescent="0.25">
      <c r="A4" s="6" t="s">
        <v>22</v>
      </c>
      <c r="B4" s="7">
        <f t="shared" ref="B4:B31" si="0">B3+1</f>
        <v>3</v>
      </c>
      <c r="C4" s="8">
        <v>6</v>
      </c>
      <c r="D4" s="7">
        <v>2022</v>
      </c>
      <c r="E4" s="9">
        <v>34513.99999999888</v>
      </c>
      <c r="F4" s="32">
        <v>0.93</v>
      </c>
      <c r="G4" s="9">
        <v>1402</v>
      </c>
      <c r="H4" s="32">
        <v>4.3899999999999997</v>
      </c>
      <c r="I4" s="9">
        <v>497</v>
      </c>
      <c r="J4" s="32">
        <v>1.72</v>
      </c>
    </row>
    <row r="5" spans="1:10" ht="15" x14ac:dyDescent="0.25">
      <c r="A5" s="6" t="s">
        <v>22</v>
      </c>
      <c r="B5" s="7">
        <f t="shared" si="0"/>
        <v>4</v>
      </c>
      <c r="C5" s="8">
        <v>6</v>
      </c>
      <c r="D5" s="7">
        <v>2022</v>
      </c>
      <c r="E5" s="9">
        <v>36587.000000001863</v>
      </c>
      <c r="F5" s="32">
        <v>0.93</v>
      </c>
      <c r="G5" s="9">
        <v>1358</v>
      </c>
      <c r="H5" s="32">
        <v>4.3899999999999997</v>
      </c>
      <c r="I5" s="9">
        <v>531</v>
      </c>
      <c r="J5" s="32">
        <v>1.72</v>
      </c>
    </row>
    <row r="6" spans="1:10" ht="15" x14ac:dyDescent="0.25">
      <c r="A6" s="6" t="s">
        <v>22</v>
      </c>
      <c r="B6" s="7">
        <f t="shared" si="0"/>
        <v>5</v>
      </c>
      <c r="C6" s="8">
        <v>6</v>
      </c>
      <c r="D6" s="7">
        <v>2022</v>
      </c>
      <c r="E6" s="9">
        <v>36048.999999998734</v>
      </c>
      <c r="F6" s="32">
        <v>0.93</v>
      </c>
      <c r="G6" s="9">
        <v>1411</v>
      </c>
      <c r="H6" s="32">
        <v>4.3899999999999997</v>
      </c>
      <c r="I6" s="9">
        <v>505</v>
      </c>
      <c r="J6" s="32">
        <v>1.72</v>
      </c>
    </row>
    <row r="7" spans="1:10" ht="15" x14ac:dyDescent="0.25">
      <c r="A7" s="6" t="s">
        <v>22</v>
      </c>
      <c r="B7" s="7">
        <f t="shared" si="0"/>
        <v>6</v>
      </c>
      <c r="C7" s="8">
        <v>6</v>
      </c>
      <c r="D7" s="7">
        <v>2022</v>
      </c>
      <c r="E7" s="9">
        <v>34184.000000000058</v>
      </c>
      <c r="F7" s="32">
        <v>0.93</v>
      </c>
      <c r="G7" s="9">
        <v>1259</v>
      </c>
      <c r="H7" s="32">
        <v>4.3899999999999997</v>
      </c>
      <c r="I7" s="9">
        <v>542</v>
      </c>
      <c r="J7" s="32">
        <v>1.72</v>
      </c>
    </row>
    <row r="8" spans="1:10" ht="15" x14ac:dyDescent="0.25">
      <c r="A8" s="6" t="s">
        <v>22</v>
      </c>
      <c r="B8" s="7">
        <f t="shared" si="0"/>
        <v>7</v>
      </c>
      <c r="C8" s="8">
        <v>6</v>
      </c>
      <c r="D8" s="7">
        <v>2022</v>
      </c>
      <c r="E8" s="9">
        <v>35044.000000000087</v>
      </c>
      <c r="F8" s="32">
        <v>0.93</v>
      </c>
      <c r="G8" s="9">
        <v>1351</v>
      </c>
      <c r="H8" s="32">
        <v>4.3899999999999997</v>
      </c>
      <c r="I8" s="9">
        <v>458</v>
      </c>
      <c r="J8" s="32">
        <v>1.72</v>
      </c>
    </row>
    <row r="9" spans="1:10" ht="15" x14ac:dyDescent="0.25">
      <c r="A9" s="6" t="s">
        <v>22</v>
      </c>
      <c r="B9" s="7">
        <f t="shared" si="0"/>
        <v>8</v>
      </c>
      <c r="C9" s="8">
        <v>6</v>
      </c>
      <c r="D9" s="7">
        <v>2022</v>
      </c>
      <c r="E9" s="9">
        <v>31560.000000000506</v>
      </c>
      <c r="F9" s="32">
        <v>0.93</v>
      </c>
      <c r="G9" s="9">
        <v>1343</v>
      </c>
      <c r="H9" s="32">
        <v>4.3899999999999997</v>
      </c>
      <c r="I9" s="9">
        <v>440</v>
      </c>
      <c r="J9" s="32">
        <v>1.72</v>
      </c>
    </row>
    <row r="10" spans="1:10" ht="15" x14ac:dyDescent="0.25">
      <c r="A10" s="6" t="s">
        <v>22</v>
      </c>
      <c r="B10" s="7">
        <f t="shared" si="0"/>
        <v>9</v>
      </c>
      <c r="C10" s="8">
        <v>6</v>
      </c>
      <c r="D10" s="7">
        <v>2022</v>
      </c>
      <c r="E10" s="9">
        <v>33598.999999999498</v>
      </c>
      <c r="F10" s="32">
        <v>0.93</v>
      </c>
      <c r="G10" s="9">
        <v>1425</v>
      </c>
      <c r="H10" s="32">
        <v>4.3899999999999997</v>
      </c>
      <c r="I10" s="9">
        <v>504</v>
      </c>
      <c r="J10" s="32">
        <v>1.72</v>
      </c>
    </row>
    <row r="11" spans="1:10" ht="15" x14ac:dyDescent="0.25">
      <c r="A11" s="6" t="s">
        <v>22</v>
      </c>
      <c r="B11" s="7">
        <f t="shared" si="0"/>
        <v>10</v>
      </c>
      <c r="C11" s="8">
        <v>6</v>
      </c>
      <c r="D11" s="7">
        <v>2022</v>
      </c>
      <c r="E11" s="9">
        <v>32987.999999999927</v>
      </c>
      <c r="F11" s="32">
        <v>0.93</v>
      </c>
      <c r="G11" s="9">
        <v>1455</v>
      </c>
      <c r="H11" s="32">
        <v>4.3899999999999997</v>
      </c>
      <c r="I11" s="9">
        <v>518</v>
      </c>
      <c r="J11" s="32">
        <v>1.72</v>
      </c>
    </row>
    <row r="12" spans="1:10" ht="15" x14ac:dyDescent="0.25">
      <c r="A12" s="6" t="s">
        <v>22</v>
      </c>
      <c r="B12" s="7">
        <f t="shared" si="0"/>
        <v>11</v>
      </c>
      <c r="C12" s="8">
        <v>6</v>
      </c>
      <c r="D12" s="7">
        <v>2022</v>
      </c>
      <c r="E12" s="9">
        <v>33634.999999999956</v>
      </c>
      <c r="F12" s="32">
        <v>0.93</v>
      </c>
      <c r="G12" s="9">
        <v>1364</v>
      </c>
      <c r="H12" s="32">
        <v>4.3899999999999997</v>
      </c>
      <c r="I12" s="9">
        <v>454</v>
      </c>
      <c r="J12" s="32">
        <v>1.72</v>
      </c>
    </row>
    <row r="13" spans="1:10" ht="15" x14ac:dyDescent="0.25">
      <c r="A13" s="6" t="s">
        <v>22</v>
      </c>
      <c r="B13" s="7">
        <f t="shared" si="0"/>
        <v>12</v>
      </c>
      <c r="C13" s="8">
        <v>6</v>
      </c>
      <c r="D13" s="7">
        <v>2022</v>
      </c>
      <c r="E13" s="9">
        <v>31920.999999999742</v>
      </c>
      <c r="F13" s="32">
        <v>0.93</v>
      </c>
      <c r="G13" s="9">
        <v>1376</v>
      </c>
      <c r="H13" s="32">
        <v>4.3899999999999997</v>
      </c>
      <c r="I13" s="9">
        <v>460</v>
      </c>
      <c r="J13" s="32">
        <v>1.72</v>
      </c>
    </row>
    <row r="14" spans="1:10" ht="15" x14ac:dyDescent="0.25">
      <c r="A14" s="6" t="s">
        <v>22</v>
      </c>
      <c r="B14" s="7">
        <f t="shared" si="0"/>
        <v>13</v>
      </c>
      <c r="C14" s="8">
        <v>6</v>
      </c>
      <c r="D14" s="7">
        <v>2022</v>
      </c>
      <c r="E14" s="9">
        <v>32270.000000000255</v>
      </c>
      <c r="F14" s="32">
        <v>0.93</v>
      </c>
      <c r="G14" s="9">
        <v>1311</v>
      </c>
      <c r="H14" s="32">
        <v>4.3899999999999997</v>
      </c>
      <c r="I14" s="9">
        <v>383</v>
      </c>
      <c r="J14" s="32">
        <v>1.72</v>
      </c>
    </row>
    <row r="15" spans="1:10" ht="15" x14ac:dyDescent="0.25">
      <c r="A15" s="6" t="s">
        <v>22</v>
      </c>
      <c r="B15" s="7">
        <f t="shared" si="0"/>
        <v>14</v>
      </c>
      <c r="C15" s="8">
        <v>6</v>
      </c>
      <c r="D15" s="7">
        <v>2022</v>
      </c>
      <c r="E15" s="9">
        <v>30488.000000000877</v>
      </c>
      <c r="F15" s="32">
        <v>0.93</v>
      </c>
      <c r="G15" s="9">
        <v>1311</v>
      </c>
      <c r="H15" s="32">
        <v>4.3899999999999997</v>
      </c>
      <c r="I15" s="9">
        <v>543</v>
      </c>
      <c r="J15" s="32">
        <v>1.72</v>
      </c>
    </row>
    <row r="16" spans="1:10" ht="15" x14ac:dyDescent="0.25">
      <c r="A16" s="6" t="s">
        <v>22</v>
      </c>
      <c r="B16" s="7">
        <f t="shared" si="0"/>
        <v>15</v>
      </c>
      <c r="C16" s="8">
        <v>6</v>
      </c>
      <c r="D16" s="7">
        <v>2022</v>
      </c>
      <c r="E16" s="9">
        <v>32419.99999999888</v>
      </c>
      <c r="F16" s="32">
        <v>0.93</v>
      </c>
      <c r="G16" s="9">
        <v>1332</v>
      </c>
      <c r="H16" s="32">
        <v>4.3899999999999997</v>
      </c>
      <c r="I16" s="9">
        <v>449</v>
      </c>
      <c r="J16" s="32">
        <v>1.72</v>
      </c>
    </row>
    <row r="17" spans="1:10" ht="15" x14ac:dyDescent="0.25">
      <c r="A17" s="6" t="s">
        <v>22</v>
      </c>
      <c r="B17" s="7">
        <f t="shared" si="0"/>
        <v>16</v>
      </c>
      <c r="C17" s="8">
        <v>6</v>
      </c>
      <c r="D17" s="7">
        <v>2022</v>
      </c>
      <c r="E17" s="9">
        <v>32210.000000001179</v>
      </c>
      <c r="F17" s="32">
        <v>0.93</v>
      </c>
      <c r="G17" s="9">
        <v>1347</v>
      </c>
      <c r="H17" s="32">
        <v>4.3899999999999997</v>
      </c>
      <c r="I17" s="9">
        <v>621</v>
      </c>
      <c r="J17" s="32">
        <v>1.72</v>
      </c>
    </row>
    <row r="18" spans="1:10" ht="15" x14ac:dyDescent="0.25">
      <c r="A18" s="6" t="s">
        <v>22</v>
      </c>
      <c r="B18" s="7">
        <f t="shared" si="0"/>
        <v>17</v>
      </c>
      <c r="C18" s="8">
        <v>6</v>
      </c>
      <c r="D18" s="7">
        <v>2022</v>
      </c>
      <c r="E18" s="9">
        <v>32415.999999998585</v>
      </c>
      <c r="F18" s="32">
        <v>0.93</v>
      </c>
      <c r="G18" s="9">
        <v>1317</v>
      </c>
      <c r="H18" s="32">
        <v>4.3899999999999997</v>
      </c>
      <c r="I18" s="9">
        <v>503</v>
      </c>
      <c r="J18" s="32">
        <v>1.72</v>
      </c>
    </row>
    <row r="19" spans="1:10" ht="15" x14ac:dyDescent="0.25">
      <c r="A19" s="6" t="s">
        <v>22</v>
      </c>
      <c r="B19" s="7">
        <f t="shared" si="0"/>
        <v>18</v>
      </c>
      <c r="C19" s="8">
        <v>6</v>
      </c>
      <c r="D19" s="7">
        <v>2022</v>
      </c>
      <c r="E19" s="9">
        <v>35105.000000000829</v>
      </c>
      <c r="F19" s="32">
        <v>0.93</v>
      </c>
      <c r="G19" s="9">
        <v>1392</v>
      </c>
      <c r="H19" s="32">
        <v>4.3899999999999997</v>
      </c>
      <c r="I19" s="9">
        <v>509</v>
      </c>
      <c r="J19" s="32">
        <v>1.72</v>
      </c>
    </row>
    <row r="20" spans="1:10" ht="15" x14ac:dyDescent="0.25">
      <c r="A20" s="6" t="s">
        <v>22</v>
      </c>
      <c r="B20" s="7">
        <f t="shared" si="0"/>
        <v>19</v>
      </c>
      <c r="C20" s="8">
        <v>6</v>
      </c>
      <c r="D20" s="7">
        <v>2022</v>
      </c>
      <c r="E20" s="9">
        <v>32935.999999999287</v>
      </c>
      <c r="F20" s="32">
        <v>0.93</v>
      </c>
      <c r="G20" s="9">
        <v>1358</v>
      </c>
      <c r="H20" s="32">
        <v>4.3899999999999997</v>
      </c>
      <c r="I20" s="9">
        <v>425</v>
      </c>
      <c r="J20" s="32">
        <v>1.72</v>
      </c>
    </row>
    <row r="21" spans="1:10" ht="15" x14ac:dyDescent="0.25">
      <c r="A21" s="6" t="s">
        <v>22</v>
      </c>
      <c r="B21" s="7">
        <f t="shared" si="0"/>
        <v>20</v>
      </c>
      <c r="C21" s="8">
        <v>6</v>
      </c>
      <c r="D21" s="7">
        <v>2022</v>
      </c>
      <c r="E21" s="9">
        <v>32928.000000001193</v>
      </c>
      <c r="F21" s="32">
        <v>0.93</v>
      </c>
      <c r="G21" s="9">
        <v>1152</v>
      </c>
      <c r="H21" s="32">
        <v>4.3899999999999997</v>
      </c>
      <c r="I21" s="9">
        <v>439</v>
      </c>
      <c r="J21" s="32">
        <v>1.72</v>
      </c>
    </row>
    <row r="22" spans="1:10" ht="15" x14ac:dyDescent="0.25">
      <c r="A22" s="6" t="s">
        <v>22</v>
      </c>
      <c r="B22" s="7">
        <f t="shared" si="0"/>
        <v>21</v>
      </c>
      <c r="C22" s="8">
        <v>6</v>
      </c>
      <c r="D22" s="7">
        <v>2022</v>
      </c>
      <c r="E22" s="9">
        <v>30859.999999999258</v>
      </c>
      <c r="F22" s="32">
        <v>0.93</v>
      </c>
      <c r="G22" s="9">
        <v>1107</v>
      </c>
      <c r="H22" s="32">
        <v>4.3899999999999997</v>
      </c>
      <c r="I22" s="9">
        <v>386</v>
      </c>
      <c r="J22" s="32">
        <v>1.72</v>
      </c>
    </row>
    <row r="23" spans="1:10" ht="15" x14ac:dyDescent="0.25">
      <c r="A23" s="6" t="s">
        <v>22</v>
      </c>
      <c r="B23" s="7">
        <f t="shared" si="0"/>
        <v>22</v>
      </c>
      <c r="C23" s="8">
        <v>6</v>
      </c>
      <c r="D23" s="7">
        <v>2022</v>
      </c>
      <c r="E23" s="9">
        <v>30798.000000000418</v>
      </c>
      <c r="F23" s="32">
        <v>0.93</v>
      </c>
      <c r="G23" s="9">
        <v>1121</v>
      </c>
      <c r="H23" s="32">
        <v>4.3899999999999997</v>
      </c>
      <c r="I23" s="9">
        <v>374</v>
      </c>
      <c r="J23" s="32">
        <v>1.72</v>
      </c>
    </row>
    <row r="24" spans="1:10" ht="15" x14ac:dyDescent="0.25">
      <c r="A24" s="6" t="s">
        <v>22</v>
      </c>
      <c r="B24" s="7">
        <f t="shared" si="0"/>
        <v>23</v>
      </c>
      <c r="C24" s="8">
        <v>6</v>
      </c>
      <c r="D24" s="7">
        <v>2022</v>
      </c>
      <c r="E24" s="9">
        <v>31605.000000000291</v>
      </c>
      <c r="F24" s="32">
        <v>0.93</v>
      </c>
      <c r="G24" s="9">
        <v>1093</v>
      </c>
      <c r="H24" s="32">
        <v>4.3899999999999997</v>
      </c>
      <c r="I24" s="9">
        <v>402</v>
      </c>
      <c r="J24" s="32">
        <v>1.72</v>
      </c>
    </row>
    <row r="25" spans="1:10" ht="15" x14ac:dyDescent="0.25">
      <c r="A25" s="6" t="s">
        <v>22</v>
      </c>
      <c r="B25" s="7">
        <f t="shared" si="0"/>
        <v>24</v>
      </c>
      <c r="C25" s="8">
        <v>6</v>
      </c>
      <c r="D25" s="7">
        <v>2022</v>
      </c>
      <c r="E25" s="9">
        <v>32635.999999998974</v>
      </c>
      <c r="F25" s="32">
        <v>0.93</v>
      </c>
      <c r="G25" s="9">
        <v>1089</v>
      </c>
      <c r="H25" s="32">
        <v>4.3899999999999997</v>
      </c>
      <c r="I25" s="9">
        <v>400</v>
      </c>
      <c r="J25" s="32">
        <v>1.72</v>
      </c>
    </row>
    <row r="26" spans="1:10" ht="15" x14ac:dyDescent="0.25">
      <c r="A26" s="6" t="s">
        <v>22</v>
      </c>
      <c r="B26" s="7">
        <f>B25+1</f>
        <v>25</v>
      </c>
      <c r="C26" s="8">
        <v>6</v>
      </c>
      <c r="D26" s="7">
        <v>2022</v>
      </c>
      <c r="E26" s="9">
        <v>31315.000000000389</v>
      </c>
      <c r="F26" s="32">
        <v>0.93</v>
      </c>
      <c r="G26" s="9">
        <v>1127</v>
      </c>
      <c r="H26" s="32">
        <v>4.3899999999999997</v>
      </c>
      <c r="I26" s="9">
        <v>401</v>
      </c>
      <c r="J26" s="32">
        <v>1.72</v>
      </c>
    </row>
    <row r="27" spans="1:10" ht="15" x14ac:dyDescent="0.25">
      <c r="A27" s="6" t="s">
        <v>22</v>
      </c>
      <c r="B27" s="7">
        <f t="shared" si="0"/>
        <v>26</v>
      </c>
      <c r="C27" s="8">
        <v>6</v>
      </c>
      <c r="D27" s="7">
        <v>2022</v>
      </c>
      <c r="E27" s="9">
        <v>28051.000000001182</v>
      </c>
      <c r="F27" s="32">
        <v>0.93</v>
      </c>
      <c r="G27" s="9">
        <v>1055</v>
      </c>
      <c r="H27" s="32">
        <v>4.3899999999999997</v>
      </c>
      <c r="I27" s="9">
        <v>354</v>
      </c>
      <c r="J27" s="32">
        <v>1.72</v>
      </c>
    </row>
    <row r="28" spans="1:10" ht="15" x14ac:dyDescent="0.25">
      <c r="A28" s="6" t="s">
        <v>22</v>
      </c>
      <c r="B28" s="7">
        <f t="shared" si="0"/>
        <v>27</v>
      </c>
      <c r="C28" s="8">
        <v>6</v>
      </c>
      <c r="D28" s="7">
        <v>2022</v>
      </c>
      <c r="E28" s="9">
        <v>27610.999999998614</v>
      </c>
      <c r="F28" s="32">
        <v>0.93</v>
      </c>
      <c r="G28" s="9">
        <v>927</v>
      </c>
      <c r="H28" s="32">
        <v>4.3899999999999997</v>
      </c>
      <c r="I28" s="9">
        <v>275</v>
      </c>
      <c r="J28" s="32">
        <v>1.72</v>
      </c>
    </row>
    <row r="29" spans="1:10" ht="15" x14ac:dyDescent="0.25">
      <c r="A29" s="6" t="s">
        <v>22</v>
      </c>
      <c r="B29" s="7">
        <f t="shared" si="0"/>
        <v>28</v>
      </c>
      <c r="C29" s="8">
        <v>6</v>
      </c>
      <c r="D29" s="7">
        <v>2022</v>
      </c>
      <c r="E29" s="9">
        <v>28638.000000001215</v>
      </c>
      <c r="F29" s="32">
        <v>0.93</v>
      </c>
      <c r="G29" s="9">
        <v>939</v>
      </c>
      <c r="H29" s="32">
        <v>4.3899999999999997</v>
      </c>
      <c r="I29" s="9">
        <v>305</v>
      </c>
      <c r="J29" s="32">
        <v>1.72</v>
      </c>
    </row>
    <row r="30" spans="1:10" ht="15" x14ac:dyDescent="0.25">
      <c r="A30" s="6" t="s">
        <v>22</v>
      </c>
      <c r="B30" s="7">
        <f t="shared" si="0"/>
        <v>29</v>
      </c>
      <c r="C30" s="8">
        <v>6</v>
      </c>
      <c r="D30" s="7">
        <v>2022</v>
      </c>
      <c r="E30" s="9">
        <v>27718.999999997861</v>
      </c>
      <c r="F30" s="32">
        <v>0.93</v>
      </c>
      <c r="G30" s="9">
        <v>902</v>
      </c>
      <c r="H30" s="32">
        <v>4.3899999999999997</v>
      </c>
      <c r="I30" s="9">
        <v>306</v>
      </c>
      <c r="J30" s="32">
        <v>1.72</v>
      </c>
    </row>
    <row r="31" spans="1:10" ht="15" x14ac:dyDescent="0.25">
      <c r="A31" s="6" t="s">
        <v>22</v>
      </c>
      <c r="B31" s="7">
        <f t="shared" si="0"/>
        <v>30</v>
      </c>
      <c r="C31" s="8">
        <v>6</v>
      </c>
      <c r="D31" s="7">
        <v>2022</v>
      </c>
      <c r="E31" s="9">
        <v>26902.000000001168</v>
      </c>
      <c r="F31" s="32">
        <v>0.93</v>
      </c>
      <c r="G31" s="9">
        <v>830</v>
      </c>
      <c r="H31" s="32">
        <v>4.3899999999999997</v>
      </c>
      <c r="I31" s="9">
        <v>219</v>
      </c>
      <c r="J31" s="32">
        <v>1.72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4"/>
  <sheetViews>
    <sheetView topLeftCell="A21" zoomScale="85" zoomScaleNormal="85" workbookViewId="0">
      <pane xSplit="1" topLeftCell="B1" activePane="topRight" state="frozen"/>
      <selection pane="topRight" activeCell="G5" sqref="G5:G34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6" width="14.85546875" style="29" customWidth="1"/>
    <col min="7" max="7" width="8.85546875" style="13" customWidth="1"/>
    <col min="8" max="8" width="12.5703125" style="13" customWidth="1"/>
    <col min="9" max="10" width="13" style="31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36"/>
      <c r="C1" s="10"/>
      <c r="D1" s="11"/>
      <c r="E1" s="10"/>
      <c r="F1" s="10"/>
      <c r="G1" s="37"/>
      <c r="H1" s="37"/>
      <c r="I1" s="12"/>
      <c r="J1" s="12"/>
    </row>
    <row r="2" spans="1:10" ht="35.25" customHeight="1" thickBot="1" x14ac:dyDescent="0.2">
      <c r="A2" s="14" t="s">
        <v>8</v>
      </c>
      <c r="B2" s="36"/>
      <c r="C2" s="38" t="s">
        <v>18</v>
      </c>
      <c r="D2" s="39"/>
      <c r="E2" s="40" t="s">
        <v>19</v>
      </c>
      <c r="F2" s="40"/>
      <c r="G2" s="41" t="s">
        <v>9</v>
      </c>
      <c r="H2" s="42"/>
      <c r="I2" s="15"/>
      <c r="J2" s="15"/>
    </row>
    <row r="3" spans="1:10" ht="44.25" customHeight="1" x14ac:dyDescent="0.15">
      <c r="A3" s="16" t="s">
        <v>10</v>
      </c>
      <c r="B3" s="36"/>
      <c r="C3" s="17" t="s">
        <v>11</v>
      </c>
      <c r="D3" s="18" t="s">
        <v>12</v>
      </c>
      <c r="E3" s="19" t="s">
        <v>13</v>
      </c>
      <c r="F3" s="19" t="s">
        <v>12</v>
      </c>
      <c r="G3" s="19" t="s">
        <v>14</v>
      </c>
      <c r="H3" s="20" t="s">
        <v>15</v>
      </c>
      <c r="I3" s="21" t="s">
        <v>16</v>
      </c>
      <c r="J3" s="21" t="s">
        <v>17</v>
      </c>
    </row>
    <row r="4" spans="1:10" s="23" customFormat="1" ht="35.25" customHeight="1" x14ac:dyDescent="0.15">
      <c r="A4" s="22">
        <v>44712</v>
      </c>
      <c r="B4" s="36"/>
      <c r="C4" s="33">
        <v>35663.999999999309</v>
      </c>
      <c r="D4" s="34"/>
      <c r="E4" s="33">
        <v>1353</v>
      </c>
      <c r="F4" s="35"/>
      <c r="G4" s="33">
        <v>468</v>
      </c>
      <c r="I4" s="24"/>
      <c r="J4" s="24"/>
    </row>
    <row r="5" spans="1:10" ht="33" customHeight="1" x14ac:dyDescent="0.15">
      <c r="A5" s="25">
        <v>44713</v>
      </c>
      <c r="B5" s="36"/>
      <c r="C5" s="26">
        <v>35051.999999999745</v>
      </c>
      <c r="D5" s="27" t="str">
        <f t="shared" ref="D5:D22" si="0">IF((C5-C4&lt;0), "0",C5-C4)</f>
        <v>0</v>
      </c>
      <c r="E5" s="26">
        <v>1456</v>
      </c>
      <c r="F5" s="27">
        <f>IF((E5-E4&lt;0), "0",E5-E4)</f>
        <v>103</v>
      </c>
      <c r="G5" s="26">
        <v>514</v>
      </c>
      <c r="H5" s="27">
        <f>IF((G5-G4&lt;0), "0",G5-G4)</f>
        <v>46</v>
      </c>
      <c r="I5" s="28"/>
      <c r="J5" s="28"/>
    </row>
    <row r="6" spans="1:10" ht="45" customHeight="1" x14ac:dyDescent="0.15">
      <c r="A6" s="25">
        <v>44714</v>
      </c>
      <c r="B6" s="36"/>
      <c r="C6" s="26">
        <v>35066.000000001106</v>
      </c>
      <c r="D6" s="27">
        <f t="shared" si="0"/>
        <v>14.000000001360604</v>
      </c>
      <c r="E6" s="26">
        <v>1348</v>
      </c>
      <c r="F6" s="27" t="str">
        <f t="shared" ref="F6:F34" si="1">IF((E6-E5&lt;0), "0",E6-E5)</f>
        <v>0</v>
      </c>
      <c r="G6" s="26">
        <v>515</v>
      </c>
      <c r="H6" s="27">
        <f t="shared" ref="H6:H34" si="2">IF((G6-G5&lt;0), "0",G6-G5)</f>
        <v>1</v>
      </c>
      <c r="I6" s="12"/>
      <c r="J6" s="12"/>
    </row>
    <row r="7" spans="1:10" ht="45" customHeight="1" x14ac:dyDescent="0.15">
      <c r="A7" s="25">
        <v>44715</v>
      </c>
      <c r="B7" s="36"/>
      <c r="C7" s="26">
        <v>34513.99999999888</v>
      </c>
      <c r="D7" s="27" t="str">
        <f t="shared" si="0"/>
        <v>0</v>
      </c>
      <c r="E7" s="26">
        <v>1402</v>
      </c>
      <c r="F7" s="27">
        <f t="shared" si="1"/>
        <v>54</v>
      </c>
      <c r="G7" s="26">
        <v>497</v>
      </c>
      <c r="H7" s="27" t="str">
        <f t="shared" si="2"/>
        <v>0</v>
      </c>
      <c r="I7" s="12"/>
      <c r="J7" s="12"/>
    </row>
    <row r="8" spans="1:10" ht="45" customHeight="1" x14ac:dyDescent="0.15">
      <c r="A8" s="25">
        <v>44716</v>
      </c>
      <c r="B8" s="36"/>
      <c r="C8" s="26">
        <v>36587.000000001863</v>
      </c>
      <c r="D8" s="27">
        <f t="shared" si="0"/>
        <v>2073.0000000029831</v>
      </c>
      <c r="E8" s="26">
        <v>1358</v>
      </c>
      <c r="F8" s="27" t="str">
        <f t="shared" si="1"/>
        <v>0</v>
      </c>
      <c r="G8" s="26">
        <v>531</v>
      </c>
      <c r="H8" s="27">
        <f t="shared" si="2"/>
        <v>34</v>
      </c>
      <c r="I8" s="12"/>
      <c r="J8" s="12"/>
    </row>
    <row r="9" spans="1:10" ht="45" customHeight="1" x14ac:dyDescent="0.15">
      <c r="A9" s="25">
        <v>44717</v>
      </c>
      <c r="B9" s="36"/>
      <c r="C9" s="26">
        <v>36048.999999998734</v>
      </c>
      <c r="D9" s="27" t="str">
        <f t="shared" si="0"/>
        <v>0</v>
      </c>
      <c r="E9" s="26">
        <v>1411</v>
      </c>
      <c r="F9" s="27">
        <f t="shared" si="1"/>
        <v>53</v>
      </c>
      <c r="G9" s="26">
        <v>505</v>
      </c>
      <c r="H9" s="27" t="str">
        <f t="shared" si="2"/>
        <v>0</v>
      </c>
      <c r="I9" s="12"/>
      <c r="J9" s="12"/>
    </row>
    <row r="10" spans="1:10" ht="45" customHeight="1" x14ac:dyDescent="0.15">
      <c r="A10" s="25">
        <v>44718</v>
      </c>
      <c r="B10" s="36"/>
      <c r="C10" s="26">
        <v>34184.000000000058</v>
      </c>
      <c r="D10" s="27" t="str">
        <f t="shared" si="0"/>
        <v>0</v>
      </c>
      <c r="E10" s="26">
        <v>1259</v>
      </c>
      <c r="F10" s="27" t="str">
        <f t="shared" si="1"/>
        <v>0</v>
      </c>
      <c r="G10" s="26">
        <v>542</v>
      </c>
      <c r="H10" s="27">
        <f t="shared" si="2"/>
        <v>37</v>
      </c>
      <c r="I10" s="12"/>
      <c r="J10" s="12"/>
    </row>
    <row r="11" spans="1:10" ht="45" customHeight="1" x14ac:dyDescent="0.15">
      <c r="A11" s="25">
        <v>44719</v>
      </c>
      <c r="B11" s="36"/>
      <c r="C11" s="26">
        <v>35044.000000000087</v>
      </c>
      <c r="D11" s="27">
        <f t="shared" si="0"/>
        <v>860.0000000000291</v>
      </c>
      <c r="E11" s="26">
        <v>1351</v>
      </c>
      <c r="F11" s="27">
        <f t="shared" si="1"/>
        <v>92</v>
      </c>
      <c r="G11" s="26">
        <v>458</v>
      </c>
      <c r="H11" s="27" t="str">
        <f t="shared" si="2"/>
        <v>0</v>
      </c>
      <c r="I11" s="12"/>
      <c r="J11" s="12"/>
    </row>
    <row r="12" spans="1:10" ht="45" customHeight="1" x14ac:dyDescent="0.15">
      <c r="A12" s="25">
        <v>44720</v>
      </c>
      <c r="B12" s="36"/>
      <c r="C12" s="26">
        <v>31560.000000000506</v>
      </c>
      <c r="D12" s="27" t="str">
        <f t="shared" si="0"/>
        <v>0</v>
      </c>
      <c r="E12" s="26">
        <v>1343</v>
      </c>
      <c r="F12" s="27" t="str">
        <f t="shared" si="1"/>
        <v>0</v>
      </c>
      <c r="G12" s="26">
        <v>440</v>
      </c>
      <c r="H12" s="27" t="str">
        <f t="shared" si="2"/>
        <v>0</v>
      </c>
      <c r="I12" s="12"/>
      <c r="J12" s="12"/>
    </row>
    <row r="13" spans="1:10" ht="45" customHeight="1" x14ac:dyDescent="0.15">
      <c r="A13" s="25">
        <v>44721</v>
      </c>
      <c r="B13" s="36"/>
      <c r="C13" s="26">
        <v>33598.999999999498</v>
      </c>
      <c r="D13" s="27">
        <f t="shared" si="0"/>
        <v>2038.9999999989923</v>
      </c>
      <c r="E13" s="26">
        <v>1425</v>
      </c>
      <c r="F13" s="27">
        <f t="shared" si="1"/>
        <v>82</v>
      </c>
      <c r="G13" s="26">
        <v>504</v>
      </c>
      <c r="H13" s="27">
        <f t="shared" si="2"/>
        <v>64</v>
      </c>
      <c r="I13" s="12"/>
      <c r="J13" s="12"/>
    </row>
    <row r="14" spans="1:10" ht="45" customHeight="1" x14ac:dyDescent="0.15">
      <c r="A14" s="25">
        <v>44722</v>
      </c>
      <c r="B14" s="36"/>
      <c r="C14" s="26">
        <v>32987.999999999927</v>
      </c>
      <c r="D14" s="27" t="str">
        <f t="shared" si="0"/>
        <v>0</v>
      </c>
      <c r="E14" s="26">
        <v>1455</v>
      </c>
      <c r="F14" s="27">
        <f t="shared" si="1"/>
        <v>30</v>
      </c>
      <c r="G14" s="26">
        <v>518</v>
      </c>
      <c r="H14" s="27">
        <f t="shared" si="2"/>
        <v>14</v>
      </c>
      <c r="I14" s="12"/>
      <c r="J14" s="12"/>
    </row>
    <row r="15" spans="1:10" ht="45" customHeight="1" x14ac:dyDescent="0.15">
      <c r="A15" s="25">
        <v>44723</v>
      </c>
      <c r="B15" s="36"/>
      <c r="C15" s="26">
        <v>33634.999999999956</v>
      </c>
      <c r="D15" s="27">
        <f t="shared" si="0"/>
        <v>647.0000000000291</v>
      </c>
      <c r="E15" s="26">
        <v>1364</v>
      </c>
      <c r="F15" s="27" t="str">
        <f t="shared" si="1"/>
        <v>0</v>
      </c>
      <c r="G15" s="26">
        <v>454</v>
      </c>
      <c r="H15" s="27" t="str">
        <f t="shared" si="2"/>
        <v>0</v>
      </c>
      <c r="I15" s="12"/>
      <c r="J15" s="12"/>
    </row>
    <row r="16" spans="1:10" ht="45" customHeight="1" x14ac:dyDescent="0.15">
      <c r="A16" s="25">
        <v>44724</v>
      </c>
      <c r="B16" s="36"/>
      <c r="C16" s="26">
        <v>31920.999999999742</v>
      </c>
      <c r="D16" s="27" t="str">
        <f t="shared" si="0"/>
        <v>0</v>
      </c>
      <c r="E16" s="26">
        <v>1376</v>
      </c>
      <c r="F16" s="27">
        <f t="shared" si="1"/>
        <v>12</v>
      </c>
      <c r="G16" s="26">
        <v>460</v>
      </c>
      <c r="H16" s="27">
        <f t="shared" si="2"/>
        <v>6</v>
      </c>
      <c r="I16" s="12"/>
      <c r="J16" s="12"/>
    </row>
    <row r="17" spans="1:10" ht="45" customHeight="1" x14ac:dyDescent="0.15">
      <c r="A17" s="25">
        <v>44725</v>
      </c>
      <c r="B17" s="36"/>
      <c r="C17" s="26">
        <v>32270.000000000255</v>
      </c>
      <c r="D17" s="27">
        <f t="shared" si="0"/>
        <v>349.00000000051296</v>
      </c>
      <c r="E17" s="26">
        <v>1311</v>
      </c>
      <c r="F17" s="27" t="str">
        <f t="shared" si="1"/>
        <v>0</v>
      </c>
      <c r="G17" s="26">
        <v>383</v>
      </c>
      <c r="H17" s="27" t="str">
        <f t="shared" si="2"/>
        <v>0</v>
      </c>
      <c r="I17" s="12"/>
      <c r="J17" s="12"/>
    </row>
    <row r="18" spans="1:10" ht="45" customHeight="1" x14ac:dyDescent="0.15">
      <c r="A18" s="25">
        <v>44726</v>
      </c>
      <c r="B18" s="36"/>
      <c r="C18" s="26">
        <v>30488.000000000877</v>
      </c>
      <c r="D18" s="27" t="str">
        <f t="shared" si="0"/>
        <v>0</v>
      </c>
      <c r="E18" s="26">
        <v>1311</v>
      </c>
      <c r="F18" s="27">
        <f t="shared" si="1"/>
        <v>0</v>
      </c>
      <c r="G18" s="26">
        <v>543</v>
      </c>
      <c r="H18" s="27">
        <f t="shared" si="2"/>
        <v>160</v>
      </c>
      <c r="I18" s="12"/>
      <c r="J18" s="12"/>
    </row>
    <row r="19" spans="1:10" ht="45" customHeight="1" x14ac:dyDescent="0.15">
      <c r="A19" s="25">
        <v>44727</v>
      </c>
      <c r="B19" s="36"/>
      <c r="C19" s="26">
        <v>32419.99999999888</v>
      </c>
      <c r="D19" s="27">
        <f t="shared" si="0"/>
        <v>1931.9999999980027</v>
      </c>
      <c r="E19" s="26">
        <v>1332</v>
      </c>
      <c r="F19" s="27">
        <f t="shared" si="1"/>
        <v>21</v>
      </c>
      <c r="G19" s="26">
        <v>449</v>
      </c>
      <c r="H19" s="27" t="str">
        <f t="shared" si="2"/>
        <v>0</v>
      </c>
      <c r="I19" s="12"/>
      <c r="J19" s="12"/>
    </row>
    <row r="20" spans="1:10" ht="45" customHeight="1" x14ac:dyDescent="0.15">
      <c r="A20" s="25">
        <v>44728</v>
      </c>
      <c r="B20" s="36"/>
      <c r="C20" s="26">
        <v>32210.000000001179</v>
      </c>
      <c r="D20" s="27" t="str">
        <f t="shared" si="0"/>
        <v>0</v>
      </c>
      <c r="E20" s="26">
        <v>1347</v>
      </c>
      <c r="F20" s="27">
        <f t="shared" si="1"/>
        <v>15</v>
      </c>
      <c r="G20" s="26">
        <v>621</v>
      </c>
      <c r="H20" s="27">
        <f t="shared" si="2"/>
        <v>172</v>
      </c>
      <c r="I20" s="12"/>
      <c r="J20" s="12"/>
    </row>
    <row r="21" spans="1:10" ht="45" customHeight="1" x14ac:dyDescent="0.15">
      <c r="A21" s="25">
        <v>44729</v>
      </c>
      <c r="B21" s="36"/>
      <c r="C21" s="26">
        <v>32415.999999998585</v>
      </c>
      <c r="D21" s="27">
        <f t="shared" si="0"/>
        <v>205.99999999740612</v>
      </c>
      <c r="E21" s="26">
        <v>1317</v>
      </c>
      <c r="F21" s="27" t="str">
        <f t="shared" si="1"/>
        <v>0</v>
      </c>
      <c r="G21" s="26">
        <v>503</v>
      </c>
      <c r="H21" s="27" t="str">
        <f t="shared" si="2"/>
        <v>0</v>
      </c>
      <c r="I21" s="12"/>
      <c r="J21" s="12"/>
    </row>
    <row r="22" spans="1:10" ht="45" customHeight="1" x14ac:dyDescent="0.15">
      <c r="A22" s="25">
        <v>44730</v>
      </c>
      <c r="B22" s="36"/>
      <c r="C22" s="26">
        <v>35105.000000000829</v>
      </c>
      <c r="D22" s="27">
        <f t="shared" si="0"/>
        <v>2689.0000000022446</v>
      </c>
      <c r="E22" s="26">
        <v>1392</v>
      </c>
      <c r="F22" s="27">
        <f t="shared" si="1"/>
        <v>75</v>
      </c>
      <c r="G22" s="26">
        <v>509</v>
      </c>
      <c r="H22" s="27">
        <f t="shared" si="2"/>
        <v>6</v>
      </c>
      <c r="I22" s="12"/>
      <c r="J22" s="12"/>
    </row>
    <row r="23" spans="1:10" ht="45" customHeight="1" x14ac:dyDescent="0.15">
      <c r="A23" s="25">
        <v>44731</v>
      </c>
      <c r="B23" s="36"/>
      <c r="C23" s="26">
        <v>32935.999999999287</v>
      </c>
      <c r="D23" s="27" t="str">
        <f>IF((C23-C22&lt;0), "0",C23-C22)</f>
        <v>0</v>
      </c>
      <c r="E23" s="26">
        <v>1358</v>
      </c>
      <c r="F23" s="27" t="str">
        <f t="shared" si="1"/>
        <v>0</v>
      </c>
      <c r="G23" s="26">
        <v>425</v>
      </c>
      <c r="H23" s="27" t="str">
        <f t="shared" si="2"/>
        <v>0</v>
      </c>
      <c r="I23" s="12"/>
      <c r="J23" s="12"/>
    </row>
    <row r="24" spans="1:10" ht="45" customHeight="1" x14ac:dyDescent="0.15">
      <c r="A24" s="25">
        <v>44732</v>
      </c>
      <c r="B24" s="36"/>
      <c r="C24" s="26">
        <v>32928.000000001193</v>
      </c>
      <c r="D24" s="27" t="str">
        <f t="shared" ref="D24:D34" si="3">IF((C24-C23&lt;0), "0",C24-C23)</f>
        <v>0</v>
      </c>
      <c r="E24" s="26">
        <v>1152</v>
      </c>
      <c r="F24" s="27" t="str">
        <f t="shared" si="1"/>
        <v>0</v>
      </c>
      <c r="G24" s="26">
        <v>439</v>
      </c>
      <c r="H24" s="27">
        <f t="shared" si="2"/>
        <v>14</v>
      </c>
      <c r="I24" s="12"/>
      <c r="J24" s="12"/>
    </row>
    <row r="25" spans="1:10" ht="45" customHeight="1" x14ac:dyDescent="0.15">
      <c r="A25" s="25">
        <v>44733</v>
      </c>
      <c r="B25" s="36"/>
      <c r="C25" s="26">
        <v>30859.999999999258</v>
      </c>
      <c r="D25" s="27" t="str">
        <f t="shared" si="3"/>
        <v>0</v>
      </c>
      <c r="E25" s="26">
        <v>1107</v>
      </c>
      <c r="F25" s="27" t="str">
        <f t="shared" si="1"/>
        <v>0</v>
      </c>
      <c r="G25" s="26">
        <v>386</v>
      </c>
      <c r="H25" s="27" t="str">
        <f t="shared" si="2"/>
        <v>0</v>
      </c>
      <c r="I25" s="12"/>
      <c r="J25" s="12"/>
    </row>
    <row r="26" spans="1:10" ht="45" customHeight="1" x14ac:dyDescent="0.15">
      <c r="A26" s="25">
        <v>44734</v>
      </c>
      <c r="B26" s="36"/>
      <c r="C26" s="26">
        <v>30798.000000000418</v>
      </c>
      <c r="D26" s="27" t="str">
        <f t="shared" si="3"/>
        <v>0</v>
      </c>
      <c r="E26" s="26">
        <v>1121</v>
      </c>
      <c r="F26" s="27">
        <f t="shared" si="1"/>
        <v>14</v>
      </c>
      <c r="G26" s="26">
        <v>374</v>
      </c>
      <c r="H26" s="27" t="str">
        <f t="shared" si="2"/>
        <v>0</v>
      </c>
      <c r="I26" s="12"/>
      <c r="J26" s="12"/>
    </row>
    <row r="27" spans="1:10" ht="45" customHeight="1" x14ac:dyDescent="0.15">
      <c r="A27" s="25">
        <v>44735</v>
      </c>
      <c r="B27" s="36"/>
      <c r="C27" s="26">
        <v>31605.000000000291</v>
      </c>
      <c r="D27" s="27">
        <f t="shared" si="3"/>
        <v>806.99999999987267</v>
      </c>
      <c r="E27" s="26">
        <v>1093</v>
      </c>
      <c r="F27" s="27" t="str">
        <f t="shared" si="1"/>
        <v>0</v>
      </c>
      <c r="G27" s="26">
        <v>402</v>
      </c>
      <c r="H27" s="27">
        <f t="shared" si="2"/>
        <v>28</v>
      </c>
      <c r="I27" s="12"/>
      <c r="J27" s="12"/>
    </row>
    <row r="28" spans="1:10" ht="45" customHeight="1" x14ac:dyDescent="0.15">
      <c r="A28" s="25">
        <v>44736</v>
      </c>
      <c r="B28" s="36"/>
      <c r="C28" s="26">
        <v>32635.999999998974</v>
      </c>
      <c r="D28" s="27">
        <f t="shared" si="3"/>
        <v>1030.9999999986831</v>
      </c>
      <c r="E28" s="26">
        <v>1089</v>
      </c>
      <c r="F28" s="27" t="str">
        <f t="shared" si="1"/>
        <v>0</v>
      </c>
      <c r="G28" s="26">
        <v>400</v>
      </c>
      <c r="H28" s="27" t="str">
        <f t="shared" si="2"/>
        <v>0</v>
      </c>
      <c r="I28" s="12"/>
      <c r="J28" s="12"/>
    </row>
    <row r="29" spans="1:10" ht="45" customHeight="1" x14ac:dyDescent="0.15">
      <c r="A29" s="25">
        <v>44737</v>
      </c>
      <c r="B29" s="36"/>
      <c r="C29" s="26">
        <v>31315.000000000389</v>
      </c>
      <c r="D29" s="27" t="str">
        <f t="shared" si="3"/>
        <v>0</v>
      </c>
      <c r="E29" s="26">
        <v>1127</v>
      </c>
      <c r="F29" s="27">
        <f t="shared" si="1"/>
        <v>38</v>
      </c>
      <c r="G29" s="26">
        <v>401</v>
      </c>
      <c r="H29" s="27">
        <f t="shared" si="2"/>
        <v>1</v>
      </c>
      <c r="I29" s="12"/>
      <c r="J29" s="12"/>
    </row>
    <row r="30" spans="1:10" ht="45" customHeight="1" x14ac:dyDescent="0.15">
      <c r="A30" s="25">
        <v>44738</v>
      </c>
      <c r="B30" s="36"/>
      <c r="C30" s="26">
        <v>28051.000000001182</v>
      </c>
      <c r="D30" s="27" t="str">
        <f t="shared" si="3"/>
        <v>0</v>
      </c>
      <c r="E30" s="26">
        <v>1055</v>
      </c>
      <c r="F30" s="27" t="str">
        <f t="shared" si="1"/>
        <v>0</v>
      </c>
      <c r="G30" s="26">
        <v>354</v>
      </c>
      <c r="H30" s="27" t="str">
        <f t="shared" si="2"/>
        <v>0</v>
      </c>
      <c r="I30" s="12"/>
      <c r="J30" s="12"/>
    </row>
    <row r="31" spans="1:10" ht="45" customHeight="1" x14ac:dyDescent="0.15">
      <c r="A31" s="25">
        <v>44739</v>
      </c>
      <c r="B31" s="36"/>
      <c r="C31" s="26">
        <v>27610.999999998614</v>
      </c>
      <c r="D31" s="27" t="str">
        <f t="shared" si="3"/>
        <v>0</v>
      </c>
      <c r="E31" s="26">
        <v>927</v>
      </c>
      <c r="F31" s="27" t="str">
        <f t="shared" si="1"/>
        <v>0</v>
      </c>
      <c r="G31" s="26">
        <v>275</v>
      </c>
      <c r="H31" s="27" t="str">
        <f t="shared" si="2"/>
        <v>0</v>
      </c>
      <c r="I31" s="12"/>
      <c r="J31" s="12"/>
    </row>
    <row r="32" spans="1:10" ht="45" customHeight="1" x14ac:dyDescent="0.15">
      <c r="A32" s="25">
        <v>44740</v>
      </c>
      <c r="B32" s="36"/>
      <c r="C32" s="26">
        <v>28638.000000001215</v>
      </c>
      <c r="D32" s="27">
        <f t="shared" si="3"/>
        <v>1027.0000000026012</v>
      </c>
      <c r="E32" s="26">
        <v>939</v>
      </c>
      <c r="F32" s="27">
        <f t="shared" si="1"/>
        <v>12</v>
      </c>
      <c r="G32" s="26">
        <v>305</v>
      </c>
      <c r="H32" s="27">
        <f t="shared" si="2"/>
        <v>30</v>
      </c>
      <c r="I32" s="12"/>
      <c r="J32" s="12"/>
    </row>
    <row r="33" spans="1:10" ht="36" customHeight="1" x14ac:dyDescent="0.15">
      <c r="A33" s="25">
        <v>44741</v>
      </c>
      <c r="C33" s="26">
        <v>27718.999999997861</v>
      </c>
      <c r="D33" s="27" t="str">
        <f t="shared" si="3"/>
        <v>0</v>
      </c>
      <c r="E33" s="26">
        <v>902</v>
      </c>
      <c r="F33" s="27" t="str">
        <f t="shared" si="1"/>
        <v>0</v>
      </c>
      <c r="G33" s="26">
        <v>306</v>
      </c>
      <c r="H33" s="27">
        <f t="shared" si="2"/>
        <v>1</v>
      </c>
      <c r="I33" s="12"/>
      <c r="J33" s="12"/>
    </row>
    <row r="34" spans="1:10" ht="45.6" customHeight="1" x14ac:dyDescent="0.15">
      <c r="A34" s="25">
        <v>44742</v>
      </c>
      <c r="C34" s="26">
        <v>26902.000000001168</v>
      </c>
      <c r="D34" s="27" t="str">
        <f t="shared" si="3"/>
        <v>0</v>
      </c>
      <c r="E34" s="26">
        <v>830</v>
      </c>
      <c r="F34" s="27" t="str">
        <f t="shared" si="1"/>
        <v>0</v>
      </c>
      <c r="G34" s="26">
        <v>219</v>
      </c>
      <c r="H34" s="27" t="str">
        <f t="shared" si="2"/>
        <v>0</v>
      </c>
      <c r="I34" s="12"/>
      <c r="J34" s="12"/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2023-02-22T08:25:18Z</dcterms:modified>
</cp:coreProperties>
</file>