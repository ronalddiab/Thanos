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8910"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0" i="5"/>
  <c r="E20" i="5"/>
  <c r="F19" i="5"/>
  <c r="E19" i="5"/>
  <c r="F18" i="5"/>
  <c r="E18" i="5"/>
  <c r="F17" i="5"/>
  <c r="E17" i="5"/>
  <c r="F16" i="5"/>
  <c r="E16" i="5"/>
  <c r="F15" i="5"/>
  <c r="E15" i="5"/>
  <c r="F14" i="5"/>
  <c r="E14" i="5"/>
  <c r="F13" i="5"/>
  <c r="E13" i="5"/>
  <c r="F12" i="5"/>
  <c r="E12" i="5"/>
  <c r="F11" i="5"/>
  <c r="E11" i="5"/>
  <c r="F10" i="5"/>
  <c r="E10" i="5"/>
  <c r="F9" i="5"/>
  <c r="E9" i="5"/>
  <c r="P34" i="4" l="1"/>
  <c r="P33" i="4"/>
  <c r="P32" i="4"/>
  <c r="P31" i="4"/>
  <c r="P30" i="4"/>
  <c r="P29" i="4"/>
  <c r="P28" i="4"/>
  <c r="P27" i="4"/>
  <c r="P26" i="4"/>
  <c r="P25" i="4"/>
  <c r="P24" i="4"/>
  <c r="P23" i="4"/>
  <c r="P22" i="4"/>
  <c r="P21" i="4"/>
  <c r="P20" i="4"/>
  <c r="P19" i="4"/>
  <c r="P18" i="4"/>
  <c r="P17" i="4"/>
  <c r="P16" i="4"/>
  <c r="P15" i="4"/>
  <c r="P14" i="4"/>
  <c r="P13" i="4"/>
  <c r="P12" i="4"/>
  <c r="P11" i="4"/>
  <c r="P10" i="4"/>
  <c r="P9" i="4"/>
  <c r="P8" i="4"/>
  <c r="L34" i="4"/>
  <c r="L33" i="4"/>
  <c r="L32" i="4"/>
  <c r="L31" i="4"/>
  <c r="L30" i="4"/>
  <c r="L29" i="4"/>
  <c r="L28" i="4"/>
  <c r="L27" i="4"/>
  <c r="L26" i="4"/>
  <c r="L25" i="4"/>
  <c r="L24" i="4"/>
  <c r="L23" i="4"/>
  <c r="L22" i="4"/>
  <c r="L21" i="4"/>
  <c r="L20" i="4"/>
  <c r="L19" i="4"/>
  <c r="L18" i="4"/>
  <c r="L17" i="4"/>
  <c r="L16" i="4"/>
  <c r="L15" i="4"/>
  <c r="L14" i="4"/>
  <c r="L13" i="4"/>
  <c r="L12" i="4"/>
  <c r="L11" i="4"/>
  <c r="L10" i="4"/>
  <c r="L9" i="4"/>
  <c r="L8" i="4"/>
  <c r="J34" i="4"/>
  <c r="J33" i="4"/>
  <c r="J32" i="4"/>
  <c r="J31" i="4"/>
  <c r="J30" i="4"/>
  <c r="J29" i="4"/>
  <c r="J28" i="4"/>
  <c r="J27" i="4"/>
  <c r="J26" i="4"/>
  <c r="J25" i="4"/>
  <c r="J24" i="4"/>
  <c r="J23" i="4"/>
  <c r="J22" i="4"/>
  <c r="J21" i="4"/>
  <c r="J20" i="4"/>
  <c r="J19" i="4"/>
  <c r="J18" i="4"/>
  <c r="J17" i="4"/>
  <c r="J16" i="4"/>
  <c r="J15" i="4"/>
  <c r="J14" i="4"/>
  <c r="J13" i="4"/>
  <c r="J12" i="4"/>
  <c r="J11" i="4"/>
  <c r="J10" i="4"/>
  <c r="J9" i="4"/>
  <c r="J8" i="4"/>
  <c r="H34" i="4"/>
  <c r="H33" i="4"/>
  <c r="H32" i="4"/>
  <c r="H31" i="4"/>
  <c r="H30" i="4"/>
  <c r="H29" i="4"/>
  <c r="H28" i="4"/>
  <c r="H27" i="4"/>
  <c r="H26" i="4"/>
  <c r="H25" i="4"/>
  <c r="H24" i="4"/>
  <c r="H23" i="4"/>
  <c r="H22" i="4"/>
  <c r="H21" i="4"/>
  <c r="H20" i="4"/>
  <c r="H19" i="4"/>
  <c r="H18" i="4"/>
  <c r="H17" i="4"/>
  <c r="H16" i="4"/>
  <c r="H15" i="4"/>
  <c r="H14" i="4"/>
  <c r="H13" i="4"/>
  <c r="H12" i="4"/>
  <c r="H11" i="4"/>
  <c r="H10" i="4"/>
  <c r="H9" i="4"/>
  <c r="H8" i="4"/>
  <c r="F34" i="4"/>
  <c r="F33" i="4"/>
  <c r="F32" i="4"/>
  <c r="F31" i="4"/>
  <c r="F30" i="4"/>
  <c r="F29" i="4"/>
  <c r="F28" i="4"/>
  <c r="F27" i="4"/>
  <c r="F26" i="4"/>
  <c r="F25" i="4"/>
  <c r="F24" i="4"/>
  <c r="F23" i="4"/>
  <c r="F22" i="4"/>
  <c r="F21" i="4"/>
  <c r="F20" i="4"/>
  <c r="F19" i="4"/>
  <c r="F18" i="4"/>
  <c r="F17" i="4"/>
  <c r="F16" i="4"/>
  <c r="F15" i="4"/>
  <c r="F14" i="4"/>
  <c r="F13" i="4"/>
  <c r="F12" i="4"/>
  <c r="F11" i="4"/>
  <c r="F10" i="4"/>
  <c r="F9" i="4"/>
  <c r="F8"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L33" i="8" l="1"/>
  <c r="L32" i="8"/>
  <c r="L31" i="8"/>
  <c r="I33" i="8"/>
  <c r="I32" i="8"/>
  <c r="I31" i="8"/>
  <c r="I3" i="8"/>
  <c r="F33" i="8"/>
  <c r="F32" i="8"/>
  <c r="F31" i="8"/>
  <c r="F30" i="8"/>
  <c r="F29" i="8"/>
  <c r="F24" i="8"/>
  <c r="F23" i="8"/>
  <c r="F22" i="8"/>
  <c r="F21" i="8"/>
  <c r="F20" i="8"/>
  <c r="F19" i="8"/>
  <c r="F18" i="8"/>
  <c r="F17" i="8"/>
  <c r="F16" i="8"/>
  <c r="F15" i="8"/>
  <c r="F14" i="8"/>
  <c r="F13" i="8"/>
  <c r="F12" i="8"/>
  <c r="F11" i="8"/>
  <c r="F10" i="8"/>
  <c r="F9" i="8"/>
  <c r="F8" i="8"/>
  <c r="F7" i="8"/>
  <c r="F6" i="8"/>
  <c r="F5" i="8"/>
  <c r="F4" i="8"/>
  <c r="F3" i="8"/>
  <c r="AQ34" i="3" l="1"/>
  <c r="AQ29" i="3"/>
  <c r="AQ28" i="3"/>
  <c r="AQ27" i="3"/>
  <c r="AQ26" i="3"/>
  <c r="AQ25" i="3"/>
  <c r="AQ24" i="3"/>
  <c r="AQ23" i="3"/>
  <c r="AQ22" i="3"/>
  <c r="AQ21" i="3"/>
  <c r="AQ20" i="3"/>
  <c r="AQ19" i="3"/>
  <c r="AQ18" i="3"/>
  <c r="AQ17" i="3"/>
  <c r="AQ16" i="3"/>
  <c r="AQ15" i="3"/>
  <c r="AQ14" i="3"/>
  <c r="AQ13" i="3"/>
  <c r="AQ12" i="3"/>
  <c r="AQ11" i="3"/>
  <c r="AQ10" i="3"/>
  <c r="AQ9" i="3"/>
  <c r="AQ8" i="3"/>
  <c r="AQ35" i="3"/>
  <c r="AP35" i="3" l="1"/>
  <c r="AP34"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5" i="3" l="1"/>
  <c r="AN34" i="3"/>
  <c r="AN31" i="3"/>
  <c r="AN30" i="3"/>
  <c r="AQ30" i="3" s="1"/>
  <c r="F25" i="8" s="1"/>
  <c r="AN29" i="3"/>
  <c r="AN28" i="3"/>
  <c r="AN27" i="3"/>
  <c r="AN26" i="3"/>
  <c r="AN25" i="3"/>
  <c r="AN24" i="3"/>
  <c r="AN23" i="3"/>
  <c r="AN22" i="3"/>
  <c r="AN21" i="3"/>
  <c r="AN20" i="3"/>
  <c r="AN19" i="3"/>
  <c r="AN18" i="3"/>
  <c r="AN17" i="3"/>
  <c r="AN16" i="3"/>
  <c r="AN15" i="3"/>
  <c r="AN14" i="3"/>
  <c r="AN13" i="3"/>
  <c r="AN12" i="3"/>
  <c r="AN11" i="3"/>
  <c r="AN10" i="3"/>
  <c r="AN9" i="3"/>
  <c r="AN8" i="3"/>
  <c r="AL35" i="3"/>
  <c r="AL34" i="3"/>
  <c r="AL31" i="3"/>
  <c r="AL30" i="3"/>
  <c r="AL29" i="3"/>
  <c r="AL28" i="3"/>
  <c r="AL27" i="3"/>
  <c r="AL26" i="3"/>
  <c r="AL25" i="3"/>
  <c r="AL24" i="3"/>
  <c r="AL23" i="3"/>
  <c r="AL22" i="3"/>
  <c r="AL21" i="3"/>
  <c r="AL20" i="3"/>
  <c r="AL19" i="3"/>
  <c r="AL18" i="3"/>
  <c r="AL17" i="3"/>
  <c r="AL16" i="3"/>
  <c r="AL15" i="3"/>
  <c r="AL14" i="3"/>
  <c r="AL13" i="3"/>
  <c r="AL12" i="3"/>
  <c r="AL11" i="3"/>
  <c r="AL10" i="3"/>
  <c r="AL9" i="3"/>
  <c r="AL8" i="3"/>
  <c r="AJ35" i="3"/>
  <c r="AJ34" i="3"/>
  <c r="AJ31" i="3"/>
  <c r="AJ30" i="3"/>
  <c r="AJ29" i="3"/>
  <c r="AJ28" i="3"/>
  <c r="AJ27" i="3"/>
  <c r="AJ26" i="3"/>
  <c r="AJ25" i="3"/>
  <c r="AJ24" i="3"/>
  <c r="AJ23" i="3"/>
  <c r="AJ22" i="3"/>
  <c r="AJ21" i="3"/>
  <c r="AJ20" i="3"/>
  <c r="AJ19" i="3"/>
  <c r="AJ18" i="3"/>
  <c r="AJ17" i="3"/>
  <c r="AJ16" i="3"/>
  <c r="AJ15" i="3"/>
  <c r="AJ14" i="3"/>
  <c r="AJ13" i="3"/>
  <c r="AJ12" i="3"/>
  <c r="AJ11" i="3"/>
  <c r="AJ10" i="3"/>
  <c r="AJ9" i="3"/>
  <c r="AJ8" i="3"/>
  <c r="AH35" i="3"/>
  <c r="AH34" i="3"/>
  <c r="AH31" i="3"/>
  <c r="AH30" i="3"/>
  <c r="AH29" i="3"/>
  <c r="AH28" i="3"/>
  <c r="AH27" i="3"/>
  <c r="AH26" i="3"/>
  <c r="AH25" i="3"/>
  <c r="AH24" i="3"/>
  <c r="AH23" i="3"/>
  <c r="AH22" i="3"/>
  <c r="AH21" i="3"/>
  <c r="AH20" i="3"/>
  <c r="AH19" i="3"/>
  <c r="AH18" i="3"/>
  <c r="AH17" i="3"/>
  <c r="AH16" i="3"/>
  <c r="AH15" i="3"/>
  <c r="AH14" i="3"/>
  <c r="AH13" i="3"/>
  <c r="AH12" i="3"/>
  <c r="AH11" i="3"/>
  <c r="AH10" i="3"/>
  <c r="AH9" i="3"/>
  <c r="AH8" i="3"/>
  <c r="AF35" i="3"/>
  <c r="AF34" i="3"/>
  <c r="AF31" i="3"/>
  <c r="AF30" i="3"/>
  <c r="AF29" i="3"/>
  <c r="AF28" i="3"/>
  <c r="AF27" i="3"/>
  <c r="AF26" i="3"/>
  <c r="AF25" i="3"/>
  <c r="AF24" i="3"/>
  <c r="AF23" i="3"/>
  <c r="AF22" i="3"/>
  <c r="AF21" i="3"/>
  <c r="AF20" i="3"/>
  <c r="AF19" i="3"/>
  <c r="AF18" i="3"/>
  <c r="AF17" i="3"/>
  <c r="AF16" i="3"/>
  <c r="AF15" i="3"/>
  <c r="AF14" i="3"/>
  <c r="AF13" i="3"/>
  <c r="AF12" i="3"/>
  <c r="AF11" i="3"/>
  <c r="AF10" i="3"/>
  <c r="AF9" i="3"/>
  <c r="AF8" i="3"/>
  <c r="AB35" i="3"/>
  <c r="AB34" i="3"/>
  <c r="AB31" i="3"/>
  <c r="AB30" i="3"/>
  <c r="AB29" i="3"/>
  <c r="AB28" i="3"/>
  <c r="AB27" i="3"/>
  <c r="AB26" i="3"/>
  <c r="AB25" i="3"/>
  <c r="AB24" i="3"/>
  <c r="AB23" i="3"/>
  <c r="AB22" i="3"/>
  <c r="AB21" i="3"/>
  <c r="AB20" i="3"/>
  <c r="AB19" i="3"/>
  <c r="AB18" i="3"/>
  <c r="AB17" i="3"/>
  <c r="AB16" i="3"/>
  <c r="AB15" i="3"/>
  <c r="AB14" i="3"/>
  <c r="AB13" i="3"/>
  <c r="AB12" i="3"/>
  <c r="AB11" i="3"/>
  <c r="AB10" i="3"/>
  <c r="AB9" i="3"/>
  <c r="AC31" i="3" l="1"/>
  <c r="AD31" i="3"/>
  <c r="BE34" i="5"/>
  <c r="BC34" i="5"/>
  <c r="BA34" i="5"/>
  <c r="AW34" i="5"/>
  <c r="AU34" i="5"/>
  <c r="AS34" i="5"/>
  <c r="AQ34" i="5"/>
  <c r="AO34" i="5"/>
  <c r="AM34" i="5"/>
  <c r="AK34" i="5"/>
  <c r="AI34" i="5"/>
  <c r="AG34" i="5"/>
  <c r="AE34" i="5"/>
  <c r="AC34" i="5"/>
  <c r="AA34" i="5"/>
  <c r="Y34" i="5"/>
  <c r="W34" i="5"/>
  <c r="S34" i="5"/>
  <c r="Q34" i="5"/>
  <c r="O34" i="5"/>
  <c r="M34" i="5"/>
  <c r="K34" i="5"/>
  <c r="I34" i="5"/>
  <c r="G34" i="5"/>
  <c r="C34" i="5"/>
  <c r="I21" i="4"/>
  <c r="AM32" i="3"/>
  <c r="AK32" i="3"/>
  <c r="AI32" i="3"/>
  <c r="AG32" i="3"/>
  <c r="AE32" i="3"/>
  <c r="AA32" i="3"/>
  <c r="W32" i="3"/>
  <c r="S32" i="3"/>
  <c r="O32" i="3"/>
  <c r="M32" i="3"/>
  <c r="K32" i="3"/>
  <c r="G32" i="3"/>
  <c r="E32" i="3"/>
  <c r="C32" i="3"/>
  <c r="AH32" i="3" l="1"/>
  <c r="AH33" i="3"/>
  <c r="AJ33" i="3"/>
  <c r="AJ32" i="3"/>
  <c r="AN33" i="3"/>
  <c r="AN32" i="3"/>
  <c r="AL33" i="3"/>
  <c r="AL32" i="3"/>
  <c r="AB33" i="3"/>
  <c r="AB32" i="3"/>
  <c r="AF33" i="3"/>
  <c r="AF32" i="3"/>
  <c r="AX23" i="5"/>
  <c r="AD32" i="3" l="1"/>
  <c r="AC32" i="3"/>
  <c r="AC33" i="3"/>
  <c r="AD33" i="3"/>
  <c r="Z22" i="5"/>
  <c r="F11" i="3" l="1"/>
  <c r="V12" i="5" l="1"/>
  <c r="H7" i="4" l="1"/>
  <c r="AJ14" i="5" l="1"/>
  <c r="AB36" i="5" l="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L8" i="3"/>
  <c r="N8" i="3"/>
  <c r="P8" i="3"/>
  <c r="T8" i="3"/>
  <c r="X8" i="3"/>
  <c r="AB8" i="3"/>
  <c r="BB27" i="5" l="1"/>
  <c r="P7" i="4" l="1"/>
  <c r="L7" i="4"/>
  <c r="J7" i="4"/>
  <c r="F7" i="4"/>
  <c r="D7" i="4"/>
  <c r="BB25" i="5" l="1"/>
  <c r="BB24" i="5"/>
  <c r="BB23" i="5"/>
  <c r="BB26" i="5"/>
  <c r="AZ26" i="5"/>
  <c r="G40" i="9" l="1"/>
  <c r="G39" i="9"/>
  <c r="G38" i="9"/>
  <c r="G37" i="9"/>
  <c r="G36" i="9"/>
  <c r="G35" i="9"/>
  <c r="G20" i="9"/>
  <c r="G19" i="9"/>
  <c r="G18" i="9"/>
  <c r="G17" i="9"/>
  <c r="G16" i="9"/>
  <c r="G15" i="9"/>
  <c r="H14" i="9" l="1"/>
  <c r="G14" i="9"/>
  <c r="H13" i="9"/>
  <c r="G13" i="9"/>
  <c r="H12" i="9"/>
  <c r="G12" i="9"/>
  <c r="H11" i="9"/>
  <c r="G11" i="9"/>
  <c r="H10" i="9"/>
  <c r="G10" i="9"/>
  <c r="N33" i="8" l="1"/>
  <c r="N32" i="8"/>
  <c r="N31" i="8"/>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G33" i="8"/>
  <c r="G31" i="8"/>
  <c r="M32" i="8"/>
  <c r="M31" i="8"/>
  <c r="J32" i="8"/>
  <c r="J31" i="8"/>
  <c r="H40" i="9" l="1"/>
  <c r="O33" i="8" s="1"/>
  <c r="H39" i="9"/>
  <c r="O32" i="8" s="1"/>
  <c r="H38" i="9"/>
  <c r="O31" i="8"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H34" i="3"/>
  <c r="H33" i="3"/>
  <c r="H32" i="3"/>
  <c r="H31" i="3"/>
  <c r="H30" i="3"/>
  <c r="H29" i="3"/>
  <c r="H28" i="3"/>
  <c r="H27" i="3"/>
  <c r="H26" i="3"/>
  <c r="H25" i="3"/>
  <c r="L35" i="3"/>
  <c r="L34" i="3"/>
  <c r="L33" i="3"/>
  <c r="L32" i="3"/>
  <c r="L31" i="3"/>
  <c r="L30" i="3"/>
  <c r="L29" i="3"/>
  <c r="L28" i="3"/>
  <c r="L27" i="3"/>
  <c r="L26" i="3"/>
  <c r="L25" i="3"/>
  <c r="N35" i="3"/>
  <c r="N34" i="3"/>
  <c r="N33" i="3"/>
  <c r="N32" i="3"/>
  <c r="N31" i="3"/>
  <c r="N30" i="3"/>
  <c r="N29" i="3"/>
  <c r="N28" i="3"/>
  <c r="N27" i="3"/>
  <c r="N26" i="3"/>
  <c r="N25" i="3"/>
  <c r="P35" i="3"/>
  <c r="P34" i="3"/>
  <c r="P33" i="3"/>
  <c r="P32" i="3"/>
  <c r="P31" i="3"/>
  <c r="P30" i="3"/>
  <c r="P29" i="3"/>
  <c r="P28" i="3"/>
  <c r="P27" i="3"/>
  <c r="P26" i="3"/>
  <c r="P25" i="3"/>
  <c r="T35" i="3"/>
  <c r="T34" i="3"/>
  <c r="T33" i="3"/>
  <c r="T32" i="3"/>
  <c r="T31" i="3"/>
  <c r="T30" i="3"/>
  <c r="T29" i="3"/>
  <c r="T28" i="3"/>
  <c r="T27" i="3"/>
  <c r="T26" i="3"/>
  <c r="T25" i="3"/>
  <c r="X35" i="3"/>
  <c r="X34" i="3"/>
  <c r="X33" i="3"/>
  <c r="X32" i="3"/>
  <c r="X31" i="3"/>
  <c r="X30" i="3"/>
  <c r="X29" i="3"/>
  <c r="X28" i="3"/>
  <c r="X27" i="3"/>
  <c r="X26" i="3"/>
  <c r="X25" i="3"/>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X24" i="3"/>
  <c r="X23" i="3"/>
  <c r="X22" i="3"/>
  <c r="X21" i="3"/>
  <c r="X20" i="3"/>
  <c r="X19" i="3"/>
  <c r="X18" i="3"/>
  <c r="X17" i="3"/>
  <c r="X16" i="3"/>
  <c r="X15" i="3"/>
  <c r="X14" i="3"/>
  <c r="X13" i="3"/>
  <c r="X12" i="3"/>
  <c r="X11" i="3"/>
  <c r="X10" i="3"/>
  <c r="X9" i="3"/>
  <c r="T24" i="3"/>
  <c r="T23" i="3"/>
  <c r="T22" i="3"/>
  <c r="T21" i="3"/>
  <c r="T20" i="3"/>
  <c r="T19" i="3"/>
  <c r="T18" i="3"/>
  <c r="T17" i="3"/>
  <c r="T16" i="3"/>
  <c r="T15" i="3"/>
  <c r="T14" i="3"/>
  <c r="T13" i="3"/>
  <c r="T12" i="3"/>
  <c r="T11" i="3"/>
  <c r="T10" i="3"/>
  <c r="T9" i="3"/>
  <c r="P24" i="3"/>
  <c r="P23" i="3"/>
  <c r="P22" i="3"/>
  <c r="P21" i="3"/>
  <c r="P20" i="3"/>
  <c r="P19" i="3"/>
  <c r="P18" i="3"/>
  <c r="P17" i="3"/>
  <c r="P16" i="3"/>
  <c r="P15" i="3"/>
  <c r="P14" i="3"/>
  <c r="P13" i="3"/>
  <c r="P12" i="3"/>
  <c r="P11" i="3"/>
  <c r="P10" i="3"/>
  <c r="P9" i="3"/>
  <c r="N24" i="3"/>
  <c r="N23" i="3"/>
  <c r="N22" i="3"/>
  <c r="N21" i="3"/>
  <c r="N20" i="3"/>
  <c r="N19" i="3"/>
  <c r="N18" i="3"/>
  <c r="N17" i="3"/>
  <c r="N16" i="3"/>
  <c r="N15" i="3"/>
  <c r="N14" i="3"/>
  <c r="N13" i="3"/>
  <c r="N12" i="3"/>
  <c r="N11" i="3"/>
  <c r="N10" i="3"/>
  <c r="N9" i="3"/>
  <c r="L24" i="3"/>
  <c r="L23" i="3"/>
  <c r="L22" i="3"/>
  <c r="L21" i="3"/>
  <c r="L20" i="3"/>
  <c r="L19" i="3"/>
  <c r="L18" i="3"/>
  <c r="L17" i="3"/>
  <c r="L16" i="3"/>
  <c r="L15" i="3"/>
  <c r="L14" i="3"/>
  <c r="L13" i="3"/>
  <c r="L12" i="3"/>
  <c r="L11" i="3"/>
  <c r="L10" i="3"/>
  <c r="L9" i="3"/>
  <c r="H24" i="3"/>
  <c r="H23" i="3"/>
  <c r="H22" i="3"/>
  <c r="H21" i="3"/>
  <c r="H20" i="3"/>
  <c r="H19" i="3"/>
  <c r="H18" i="3"/>
  <c r="H17" i="3"/>
  <c r="H16" i="3"/>
  <c r="H15" i="3"/>
  <c r="H14" i="3"/>
  <c r="H13" i="3"/>
  <c r="H12" i="3"/>
  <c r="H11" i="3"/>
  <c r="H10" i="3"/>
  <c r="H9" i="3"/>
  <c r="F24" i="3"/>
  <c r="F23" i="3"/>
  <c r="F22" i="3"/>
  <c r="F21" i="3"/>
  <c r="F20" i="3"/>
  <c r="F19" i="3"/>
  <c r="F18" i="3"/>
  <c r="F17" i="3"/>
  <c r="F16" i="3"/>
  <c r="F15" i="3"/>
  <c r="F14" i="3"/>
  <c r="F13" i="3"/>
  <c r="F12" i="3"/>
  <c r="F10" i="3"/>
  <c r="F9" i="3"/>
  <c r="D24" i="3"/>
  <c r="D23" i="3"/>
  <c r="D22" i="3"/>
  <c r="D21" i="3"/>
  <c r="D20" i="3"/>
  <c r="D19" i="3"/>
  <c r="D18" i="3"/>
  <c r="D17" i="3"/>
  <c r="D16" i="3"/>
  <c r="D15" i="3"/>
  <c r="D14" i="3"/>
  <c r="D13" i="3"/>
  <c r="D12" i="3"/>
  <c r="D11" i="3"/>
  <c r="D10" i="3"/>
  <c r="D9" i="3"/>
  <c r="F21" i="5" l="1"/>
  <c r="E21" i="5"/>
  <c r="F22" i="5"/>
  <c r="E22" i="5"/>
  <c r="BH22" i="5" s="1"/>
  <c r="Y33" i="3"/>
  <c r="Z33" i="3"/>
  <c r="Y32" i="3"/>
  <c r="Z32" i="3"/>
  <c r="Z31" i="3"/>
  <c r="Y31" i="3"/>
  <c r="U33" i="3"/>
  <c r="V33" i="3"/>
  <c r="U31" i="3"/>
  <c r="V31" i="3"/>
  <c r="U32" i="3"/>
  <c r="V32" i="3"/>
  <c r="Q31" i="3"/>
  <c r="AP31" i="3" s="1"/>
  <c r="R31" i="3"/>
  <c r="AQ31" i="3" s="1"/>
  <c r="F26" i="8" s="1"/>
  <c r="Q32" i="3"/>
  <c r="AP32" i="3" s="1"/>
  <c r="R32" i="3"/>
  <c r="AQ32" i="3" s="1"/>
  <c r="F27" i="8" s="1"/>
  <c r="R33" i="3"/>
  <c r="AQ33" i="3" s="1"/>
  <c r="F28" i="8" s="1"/>
  <c r="Q33" i="3"/>
  <c r="AP33" i="3" s="1"/>
  <c r="N22" i="4"/>
  <c r="M16" i="4"/>
  <c r="R16" i="4" s="1"/>
  <c r="J18" i="1"/>
  <c r="M7" i="4"/>
  <c r="E32" i="1"/>
  <c r="BH14" i="5"/>
  <c r="BI14" i="5"/>
  <c r="L8" i="8" s="1"/>
  <c r="BI30" i="5"/>
  <c r="L24" i="8" s="1"/>
  <c r="BH30" i="5"/>
  <c r="M21" i="4"/>
  <c r="R21" i="4" s="1"/>
  <c r="H17" i="8" s="1"/>
  <c r="BH11" i="5"/>
  <c r="BI15" i="5"/>
  <c r="L9" i="8" s="1"/>
  <c r="BH15" i="5"/>
  <c r="BH19" i="5"/>
  <c r="BI23" i="5"/>
  <c r="L17" i="8" s="1"/>
  <c r="BI27" i="5"/>
  <c r="L21" i="8" s="1"/>
  <c r="BH27" i="5"/>
  <c r="BI31" i="5"/>
  <c r="L25" i="8" s="1"/>
  <c r="BH31" i="5"/>
  <c r="BH35" i="5"/>
  <c r="BI10" i="5"/>
  <c r="L4" i="8" s="1"/>
  <c r="BI18" i="5"/>
  <c r="L12" i="8" s="1"/>
  <c r="BH18" i="5"/>
  <c r="BI26" i="5"/>
  <c r="L20" i="8" s="1"/>
  <c r="BH26" i="5"/>
  <c r="M15" i="4"/>
  <c r="R15" i="4" s="1"/>
  <c r="H11" i="8" s="1"/>
  <c r="N17" i="4"/>
  <c r="S17" i="4" s="1"/>
  <c r="I13" i="8" s="1"/>
  <c r="BH12" i="5"/>
  <c r="BI12" i="5"/>
  <c r="L6" i="8" s="1"/>
  <c r="BH16" i="5"/>
  <c r="BI16" i="5"/>
  <c r="L10" i="8" s="1"/>
  <c r="BH20" i="5"/>
  <c r="BI20" i="5"/>
  <c r="L14" i="8" s="1"/>
  <c r="BH24" i="5"/>
  <c r="BI24" i="5"/>
  <c r="L18" i="8" s="1"/>
  <c r="BH28" i="5"/>
  <c r="BI28" i="5"/>
  <c r="L22" i="8" s="1"/>
  <c r="BH32" i="5"/>
  <c r="BI32" i="5"/>
  <c r="L26" i="8" s="1"/>
  <c r="BH36" i="5"/>
  <c r="BH13" i="5"/>
  <c r="BI13" i="5"/>
  <c r="L7" i="8" s="1"/>
  <c r="BH17" i="5"/>
  <c r="BI17" i="5"/>
  <c r="L11" i="8" s="1"/>
  <c r="BH21" i="5"/>
  <c r="BI21" i="5"/>
  <c r="L15" i="8" s="1"/>
  <c r="BH25" i="5"/>
  <c r="BI25" i="5"/>
  <c r="L19" i="8" s="1"/>
  <c r="BH29" i="5"/>
  <c r="BI29" i="5"/>
  <c r="L23" i="8" s="1"/>
  <c r="BH33" i="5"/>
  <c r="J30" i="1"/>
  <c r="M8" i="4"/>
  <c r="R8" i="4" s="1"/>
  <c r="N32" i="4"/>
  <c r="S32" i="4" s="1"/>
  <c r="I28" i="8" s="1"/>
  <c r="H30" i="8"/>
  <c r="H16" i="8"/>
  <c r="S8" i="4"/>
  <c r="I4" i="8" s="1"/>
  <c r="M23" i="4"/>
  <c r="R23" i="4" s="1"/>
  <c r="H19" i="8" s="1"/>
  <c r="M28" i="4"/>
  <c r="R28" i="4" s="1"/>
  <c r="N31" i="4"/>
  <c r="S31" i="4" s="1"/>
  <c r="I27" i="8" s="1"/>
  <c r="N24" i="4"/>
  <c r="S24" i="4" s="1"/>
  <c r="I20" i="8" s="1"/>
  <c r="M27" i="4"/>
  <c r="R27" i="4" s="1"/>
  <c r="H8" i="8"/>
  <c r="BH10" i="5"/>
  <c r="BI11" i="5"/>
  <c r="L5" i="8" s="1"/>
  <c r="BH34" i="5"/>
  <c r="H4" i="8"/>
  <c r="N14" i="4"/>
  <c r="S14" i="4" s="1"/>
  <c r="I10" i="8" s="1"/>
  <c r="M13" i="4"/>
  <c r="R13" i="4" s="1"/>
  <c r="N9" i="4"/>
  <c r="S9" i="4" s="1"/>
  <c r="I5" i="8" s="1"/>
  <c r="S15" i="4"/>
  <c r="I11" i="8" s="1"/>
  <c r="S16" i="4"/>
  <c r="I12" i="8" s="1"/>
  <c r="N29" i="4"/>
  <c r="S29" i="4" s="1"/>
  <c r="I25" i="8" s="1"/>
  <c r="S23" i="4"/>
  <c r="I19" i="8" s="1"/>
  <c r="S22" i="4"/>
  <c r="I18" i="8" s="1"/>
  <c r="H12" i="8"/>
  <c r="H13" i="8"/>
  <c r="H15" i="8"/>
  <c r="H10" i="8"/>
  <c r="H18" i="8"/>
  <c r="S7" i="4"/>
  <c r="S28" i="4"/>
  <c r="I24" i="8" s="1"/>
  <c r="I31" i="6"/>
  <c r="M34" i="4"/>
  <c r="R34" i="4" s="1"/>
  <c r="N30" i="4"/>
  <c r="S30" i="4" s="1"/>
  <c r="I26" i="8" s="1"/>
  <c r="H25" i="8"/>
  <c r="H29" i="8"/>
  <c r="H27" i="8"/>
  <c r="H26" i="8"/>
  <c r="H28" i="8"/>
  <c r="J31" i="1"/>
  <c r="BI19" i="5"/>
  <c r="L13" i="8" s="1"/>
  <c r="S27" i="4"/>
  <c r="I23" i="8" s="1"/>
  <c r="N26" i="4"/>
  <c r="S26" i="4" s="1"/>
  <c r="I22" i="8" s="1"/>
  <c r="H21" i="8"/>
  <c r="H22" i="8"/>
  <c r="S11" i="4"/>
  <c r="I7" i="8" s="1"/>
  <c r="G31" i="1"/>
  <c r="H31" i="1" s="1"/>
  <c r="G30" i="1"/>
  <c r="H30" i="1" s="1"/>
  <c r="G31" i="6"/>
  <c r="BI22" i="5"/>
  <c r="L16" i="8" s="1"/>
  <c r="BH23" i="5"/>
  <c r="BH9" i="5"/>
  <c r="BI9" i="5"/>
  <c r="L3" i="8" s="1"/>
  <c r="J38" i="4"/>
  <c r="H23" i="8"/>
  <c r="H38" i="4"/>
  <c r="D38" i="4"/>
  <c r="I30" i="6"/>
  <c r="S34" i="4"/>
  <c r="I30" i="8" s="1"/>
  <c r="N33" i="4"/>
  <c r="S33" i="4" s="1"/>
  <c r="I29" i="8" s="1"/>
  <c r="P38" i="4"/>
  <c r="S13" i="4"/>
  <c r="I9" i="8" s="1"/>
  <c r="S19" i="4"/>
  <c r="I15" i="8" s="1"/>
  <c r="S21" i="4"/>
  <c r="I17" i="8" s="1"/>
  <c r="M19" i="4"/>
  <c r="R19" i="4" s="1"/>
  <c r="M11" i="4"/>
  <c r="R11" i="4" s="1"/>
  <c r="H7" i="8" s="1"/>
  <c r="N20" i="4"/>
  <c r="S20" i="4" s="1"/>
  <c r="I16" i="8" s="1"/>
  <c r="N18" i="4"/>
  <c r="S18" i="4" s="1"/>
  <c r="I14" i="8" s="1"/>
  <c r="N12" i="4"/>
  <c r="S12" i="4" s="1"/>
  <c r="I8" i="8" s="1"/>
  <c r="N10" i="4"/>
  <c r="S10" i="4" s="1"/>
  <c r="I6" i="8" s="1"/>
  <c r="N25" i="4"/>
  <c r="S25" i="4" s="1"/>
  <c r="I21" i="8" s="1"/>
  <c r="H5" i="8"/>
  <c r="H9" i="8"/>
  <c r="H6" i="8"/>
  <c r="H14" i="8"/>
  <c r="H3" i="8"/>
  <c r="F38" i="4"/>
  <c r="L38" i="4"/>
  <c r="E31" i="1"/>
  <c r="E31" i="6"/>
  <c r="E30" i="6"/>
  <c r="E30" i="1"/>
  <c r="AQ39" i="3" l="1"/>
  <c r="AP39" i="3"/>
  <c r="J23" i="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s="1"/>
  <c r="L28" i="8" s="1"/>
  <c r="G11" i="8" l="1"/>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G29" i="6" l="1"/>
  <c r="M30" i="8"/>
  <c r="G29" i="10" s="1"/>
  <c r="G28" i="6"/>
  <c r="M29" i="8"/>
  <c r="G28" i="10" s="1"/>
</calcChain>
</file>

<file path=xl/sharedStrings.xml><?xml version="1.0" encoding="utf-8"?>
<sst xmlns="http://schemas.openxmlformats.org/spreadsheetml/2006/main" count="1412" uniqueCount="401">
  <si>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</si>
  <si>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</si>
  <si>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</si>
  <si>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</si>
  <si>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</si>
  <si>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</si>
  <si>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</si>
  <si>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</si>
  <si>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</si>
  <si>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</si>
  <si>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</si>
  <si>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</si>
  <si>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</si>
  <si>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</si>
  <si>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</si>
  <si>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</si>
  <si>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</si>
  <si>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</si>
  <si>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</si>
  <si>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</si>
  <si>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</si>
  <si>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</si>
  <si>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</si>
  <si>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</si>
  <si>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</si>
  <si>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</si>
  <si>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</si>
  <si>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</si>
  <si>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</si>
  <si>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</si>
  <si>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</si>
  <si>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</si>
  <si>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</si>
  <si>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</si>
  <si>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</si>
  <si>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</si>
  <si>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</si>
  <si>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</si>
  <si>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</si>
  <si>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</si>
  <si>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</si>
  <si>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</si>
  <si>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</si>
  <si>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</si>
  <si>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</si>
  <si>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</si>
  <si>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</si>
  <si>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</si>
  <si>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</si>
  <si>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</si>
  <si>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</si>
  <si>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</si>
  <si>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</si>
  <si>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</si>
  <si>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</si>
  <si>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</si>
  <si>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</si>
  <si>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</si>
  <si>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</si>
  <si>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</si>
  <si>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</si>
  <si>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</si>
  <si>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</si>
  <si>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</si>
  <si>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</si>
  <si>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</si>
  <si>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</si>
  <si>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</si>
  <si>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</si>
  <si>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</si>
  <si>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</si>
  <si>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</si>
  <si>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</si>
  <si>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</si>
  <si>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</si>
  <si>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</si>
  <si>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</si>
  <si>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</si>
  <si>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</si>
  <si>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</si>
  <si>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</si>
  <si>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</si>
  <si>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</si>
  <si>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</si>
  <si>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</si>
  <si>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</si>
  <si>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</si>
  <si>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</si>
  <si>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</si>
  <si>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</si>
  <si>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</si>
  <si>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</si>
  <si>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</si>
  <si>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</si>
  <si>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</si>
  <si>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</si>
  <si>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</si>
  <si>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</si>
  <si>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</si>
  <si>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</si>
  <si>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</si>
  <si>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</si>
  <si>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</si>
  <si>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</si>
  <si>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</si>
  <si>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</si>
  <si>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</si>
  <si>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</si>
  <si>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</si>
  <si>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</si>
  <si>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</si>
  <si>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</si>
  <si>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</si>
  <si>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</si>
  <si>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</si>
  <si>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</si>
  <si>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</si>
  <si>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</si>
  <si>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</si>
  <si>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</si>
  <si>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</si>
  <si>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</si>
  <si>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</si>
  <si>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</si>
  <si>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</si>
  <si>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</si>
  <si>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</si>
  <si>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</si>
  <si>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</si>
  <si>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</si>
  <si>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</si>
  <si>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</si>
  <si>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</si>
  <si>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</si>
  <si>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</si>
  <si>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</si>
  <si>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</si>
  <si>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</si>
  <si>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</si>
  <si>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</si>
  <si>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</si>
  <si>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</si>
  <si>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</si>
  <si>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</si>
  <si>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</si>
  <si>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</si>
  <si>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</si>
  <si>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</si>
  <si>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</si>
  <si>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</si>
  <si>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</si>
  <si>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</si>
  <si>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</si>
  <si>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</si>
  <si>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</si>
  <si>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</si>
  <si>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</si>
  <si>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</si>
  <si>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</si>
  <si>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</si>
  <si>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</si>
  <si>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</si>
  <si>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</si>
  <si>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</si>
  <si>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</si>
  <si>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</si>
  <si>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</si>
  <si>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</si>
  <si>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</si>
  <si>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</si>
  <si>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</si>
  <si>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</si>
  <si>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</si>
  <si>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</si>
  <si>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</si>
  <si>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</si>
  <si>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</si>
  <si>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</si>
  <si>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</si>
  <si>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</si>
  <si>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</si>
  <si>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</si>
  <si>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</si>
  <si>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</si>
  <si>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</si>
  <si>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</si>
  <si>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</si>
  <si>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</si>
  <si>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</si>
  <si>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</si>
  <si>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</si>
  <si>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</si>
  <si>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</si>
  <si>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</si>
  <si>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</si>
  <si>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</si>
  <si>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</si>
  <si>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</si>
  <si>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</si>
  <si>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</si>
  <si>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</si>
  <si>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</si>
  <si>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</si>
  <si>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</si>
  <si>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</si>
  <si>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</si>
  <si>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</si>
  <si>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</si>
  <si>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</si>
  <si>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</si>
  <si>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</si>
  <si>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</si>
  <si>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</si>
  <si>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</si>
  <si>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</si>
  <si>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</si>
  <si>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</si>
  <si>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</si>
  <si>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</si>
  <si>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</si>
  <si>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</si>
  <si>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</si>
  <si>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</si>
  <si>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</si>
  <si>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</si>
  <si>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</si>
  <si>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</si>
  <si>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</si>
  <si>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</si>
  <si>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</si>
  <si>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</si>
  <si>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</si>
  <si>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</si>
  <si>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</si>
  <si>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</si>
  <si>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</si>
  <si>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</si>
  <si>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</si>
  <si>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</si>
  <si>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</si>
  <si>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</si>
  <si>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</si>
  <si>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</si>
  <si>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</si>
  <si>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</si>
  <si>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</si>
  <si>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</si>
  <si>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</si>
  <si>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</si>
  <si>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</si>
  <si>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</si>
  <si>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</si>
  <si>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</si>
  <si>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</si>
  <si>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</si>
  <si>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</si>
  <si>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</si>
  <si>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</si>
  <si>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</si>
  <si>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</si>
  <si>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</si>
  <si>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</si>
  <si>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</si>
  <si>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</si>
  <si>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</si>
  <si>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</si>
  <si>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</si>
  <si>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</si>
  <si>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</si>
  <si>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</si>
  <si>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</si>
  <si>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</si>
  <si>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</si>
  <si>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</si>
  <si>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</si>
  <si>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</si>
  <si>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</si>
  <si>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</si>
  <si>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</si>
  <si>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</si>
  <si>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</si>
  <si>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</si>
  <si>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</si>
  <si>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</si>
  <si>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</si>
  <si>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</si>
  <si>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</si>
  <si>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</si>
  <si>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</si>
  <si>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</si>
  <si>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</si>
  <si>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</si>
  <si>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</si>
  <si>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</si>
  <si>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</si>
  <si>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</si>
  <si>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</si>
  <si>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</si>
  <si>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</si>
  <si>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</si>
  <si>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</si>
  <si>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</si>
  <si>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</si>
  <si>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</si>
  <si>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</si>
  <si>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</si>
  <si>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</si>
  <si>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</si>
  <si>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</si>
  <si>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</si>
  <si>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</si>
  <si>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</si>
  <si>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</si>
  <si>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</si>
  <si>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</si>
  <si>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</si>
  <si>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</si>
  <si>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</si>
  <si>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</si>
  <si>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</si>
  <si>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</si>
  <si>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</si>
  <si>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</si>
  <si>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</si>
  <si>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</si>
  <si>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</si>
  <si>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</si>
  <si>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</si>
  <si>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</si>
  <si>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</si>
  <si>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</si>
  <si>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</si>
  <si>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</si>
  <si>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</si>
  <si>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</si>
  <si>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</si>
  <si>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</si>
  <si>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</si>
  <si>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</si>
  <si>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</si>
  <si>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</si>
  <si>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</si>
  <si>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</si>
  <si>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</si>
  <si>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</si>
  <si>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</si>
  <si>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</si>
  <si>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</si>
  <si>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</si>
  <si>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</si>
  <si>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</si>
  <si>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</si>
  <si>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</si>
  <si>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</si>
  <si>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</si>
  <si>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</si>
  <si>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</si>
  <si>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</si>
  <si>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</si>
  <si>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</si>
  <si>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</si>
  <si>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</si>
  <si>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</si>
  <si>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</si>
  <si>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</si>
  <si>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</si>
  <si>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</si>
  <si>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</si>
  <si>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</si>
  <si>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</si>
  <si>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</si>
  <si>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</si>
  <si>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</si>
  <si>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</si>
  <si>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</si>
  <si>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</si>
  <si>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</si>
  <si>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</si>
  <si>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</si>
  <si>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</si>
  <si>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</si>
  <si>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</si>
  <si>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</si>
  <si>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</si>
  <si>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</si>
  <si>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</si>
  <si>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</si>
  <si>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</si>
  <si>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</si>
  <si>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</si>
  <si>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</si>
  <si>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</si>
  <si>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</si>
  <si>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</si>
  <si>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</si>
  <si>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</si>
  <si>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</si>
  <si>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</si>
  <si>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</si>
  <si>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Feb 2022</t>
  </si>
  <si>
    <t>M09-500150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</si>
</sst>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4">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style="thin">
        <color indexed="64"/>
      </left>
      <right style="thin">
        <color indexed="64"/>
      </right>
      <top/>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 fontId="23" fillId="0" borderId="2" xfId="0" applyNumberFormat="1" applyFont="1" applyFill="1" applyBorder="1" applyAlignment="1" applyProtection="1">
      <alignment horizontal="center" vertical="center"/>
      <protection locked="0"/>
    </xf>
    <xf numFmtId="1" fontId="23" fillId="0" borderId="53" xfId="0" applyNumberFormat="1" applyFont="1" applyFill="1" applyBorder="1" applyAlignment="1" applyProtection="1">
      <alignment horizontal="center" vertical="center"/>
      <protection locked="0"/>
    </xf>
    <xf numFmtId="0" fontId="48" fillId="2" borderId="31" xfId="0" applyFont="1" applyFill="1" applyBorder="1" applyAlignment="1" applyProtection="1">
      <alignment horizontal="center"/>
      <protection locked="0"/>
    </xf>
    <xf numFmtId="1" fontId="16" fillId="0" borderId="2" xfId="0" applyNumberFormat="1" applyFont="1" applyFill="1" applyBorder="1" applyAlignment="1" applyProtection="1">
      <alignment horizontal="center" vertical="center"/>
      <protection locked="0"/>
    </xf>
    <xf numFmtId="0" fontId="6" fillId="0" borderId="2" xfId="0" applyFont="1" applyBorder="1" applyAlignment="1">
      <alignment horizontal="center" vertical="center"/>
    </xf>
    <xf numFmtId="0" fontId="4" fillId="0" borderId="2" xfId="0" applyFont="1" applyBorder="1" applyAlignment="1">
      <alignment horizontal="center" vertical="center"/>
    </xf>
    <xf numFmtId="1" fontId="8" fillId="0" borderId="0" xfId="0" applyNumberFormat="1" applyFont="1" applyAlignment="1">
      <alignment vertical="center"/>
    </xf>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B1" workbookViewId="0">
      <selection activeCell="G15" sqref="G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61</v>
      </c>
      <c r="E1" s="186" t="s">
        <v>391</v>
      </c>
      <c r="F1" s="187" t="s">
        <v>392</v>
      </c>
      <c r="G1" s="186" t="s">
        <v>398</v>
      </c>
      <c r="H1" s="187" t="s">
        <v>393</v>
      </c>
      <c r="I1" s="186" t="s">
        <v>394</v>
      </c>
      <c r="J1" s="188" t="s">
        <v>395</v>
      </c>
      <c r="K1" s="186" t="s">
        <v>396</v>
      </c>
      <c r="L1" s="186" t="s">
        <v>60</v>
      </c>
    </row>
    <row r="2" spans="1:12">
      <c r="A2" s="189" t="s">
        <v>397</v>
      </c>
      <c r="B2" s="190">
        <v>1</v>
      </c>
      <c r="C2" s="191">
        <v>2</v>
      </c>
      <c r="D2" s="190">
        <v>2022</v>
      </c>
      <c r="E2" s="123">
        <f>Combine!G3</f>
        <v>50580</v>
      </c>
      <c r="F2" s="192">
        <v>1.3892469282838009</v>
      </c>
      <c r="G2" s="123">
        <f>Combine!M3</f>
        <v>6392.5407925407926</v>
      </c>
      <c r="H2" s="193">
        <v>9.3054039741265893</v>
      </c>
      <c r="I2" s="123">
        <f>Combine!J3</f>
        <v>668.3830999999991</v>
      </c>
      <c r="J2" s="192">
        <v>8.3135895238046356</v>
      </c>
      <c r="K2" s="123">
        <f>Combine!N3</f>
        <v>400</v>
      </c>
      <c r="L2" s="123">
        <f>Combine!O3</f>
        <v>912</v>
      </c>
    </row>
    <row r="3" spans="1:12">
      <c r="A3" s="189" t="s">
        <v>397</v>
      </c>
      <c r="B3" s="190">
        <v>2</v>
      </c>
      <c r="C3" s="191">
        <v>2</v>
      </c>
      <c r="D3" s="190">
        <v>2022</v>
      </c>
      <c r="E3" s="123">
        <f>Combine!G4</f>
        <v>53050</v>
      </c>
      <c r="F3" s="192">
        <v>1.3892469282838009</v>
      </c>
      <c r="G3" s="123">
        <f>Combine!M4</f>
        <v>6043.2012432012434</v>
      </c>
      <c r="H3" s="193">
        <v>9.3054039741265893</v>
      </c>
      <c r="I3" s="123">
        <f>Combine!J4</f>
        <v>532.60300000000097</v>
      </c>
      <c r="J3" s="192">
        <v>8.3135895238046356</v>
      </c>
      <c r="K3" s="123">
        <f>Combine!N4</f>
        <v>407</v>
      </c>
      <c r="L3" s="123">
        <f>Combine!O4</f>
        <v>918</v>
      </c>
    </row>
    <row r="4" spans="1:12">
      <c r="A4" s="189" t="s">
        <v>397</v>
      </c>
      <c r="B4" s="190">
        <v>3</v>
      </c>
      <c r="C4" s="191">
        <v>2</v>
      </c>
      <c r="D4" s="190">
        <v>2022</v>
      </c>
      <c r="E4" s="123">
        <f>Combine!G5</f>
        <v>49680</v>
      </c>
      <c r="F4" s="192">
        <v>1.3892469282838009</v>
      </c>
      <c r="G4" s="123">
        <f>Combine!M5</f>
        <v>6060.606060606061</v>
      </c>
      <c r="H4" s="193">
        <v>9.3054039741265893</v>
      </c>
      <c r="I4" s="123">
        <f>Combine!J5</f>
        <v>616.18180000000029</v>
      </c>
      <c r="J4" s="192">
        <v>8.3135895238046356</v>
      </c>
      <c r="K4" s="123">
        <f>Combine!N5</f>
        <v>373</v>
      </c>
      <c r="L4" s="123">
        <f>Combine!O5</f>
        <v>831</v>
      </c>
    </row>
    <row r="5" spans="1:12">
      <c r="A5" s="189" t="s">
        <v>397</v>
      </c>
      <c r="B5" s="190">
        <v>4</v>
      </c>
      <c r="C5" s="191">
        <v>2</v>
      </c>
      <c r="D5" s="190">
        <v>2022</v>
      </c>
      <c r="E5" s="123">
        <f>Combine!G6</f>
        <v>50990</v>
      </c>
      <c r="F5" s="192">
        <v>1.3892469282838009</v>
      </c>
      <c r="G5" s="123">
        <f>Combine!M6</f>
        <v>6393.7839937839935</v>
      </c>
      <c r="H5" s="193">
        <v>9.3054039741265893</v>
      </c>
      <c r="I5" s="123">
        <f>Combine!J6</f>
        <v>609.63110000000052</v>
      </c>
      <c r="J5" s="192">
        <v>8.3135895238046356</v>
      </c>
      <c r="K5" s="123">
        <f>Combine!N6</f>
        <v>392</v>
      </c>
      <c r="L5" s="123">
        <f>Combine!O6</f>
        <v>871</v>
      </c>
    </row>
    <row r="6" spans="1:12">
      <c r="A6" s="189" t="s">
        <v>397</v>
      </c>
      <c r="B6" s="190">
        <v>5</v>
      </c>
      <c r="C6" s="191">
        <v>2</v>
      </c>
      <c r="D6" s="190">
        <v>2022</v>
      </c>
      <c r="E6" s="123">
        <f>Combine!G7</f>
        <v>51060</v>
      </c>
      <c r="F6" s="192">
        <v>1.3892469282838009</v>
      </c>
      <c r="G6" s="123">
        <f>Combine!M7</f>
        <v>5928.8267288267289</v>
      </c>
      <c r="H6" s="193">
        <v>9.3054039741265893</v>
      </c>
      <c r="I6" s="123">
        <f>Combine!J7</f>
        <v>593.1349999999984</v>
      </c>
      <c r="J6" s="192">
        <v>8.3135895238046356</v>
      </c>
      <c r="K6" s="123">
        <f>Combine!N7</f>
        <v>385</v>
      </c>
      <c r="L6" s="123">
        <f>Combine!O7</f>
        <v>856</v>
      </c>
    </row>
    <row r="7" spans="1:12">
      <c r="A7" s="189" t="s">
        <v>397</v>
      </c>
      <c r="B7" s="190">
        <v>6</v>
      </c>
      <c r="C7" s="191">
        <v>2</v>
      </c>
      <c r="D7" s="190">
        <v>2022</v>
      </c>
      <c r="E7" s="123">
        <f>Combine!G8</f>
        <v>52270</v>
      </c>
      <c r="F7" s="192">
        <v>1.3892469282838009</v>
      </c>
      <c r="G7" s="123">
        <f>Combine!M8</f>
        <v>5882.8282828282827</v>
      </c>
      <c r="H7" s="193">
        <v>9.3054039741265893</v>
      </c>
      <c r="I7" s="123">
        <f>Combine!J8</f>
        <v>610.00700000000143</v>
      </c>
      <c r="J7" s="192">
        <v>8.3135895238046356</v>
      </c>
      <c r="K7" s="123">
        <f>Combine!N8</f>
        <v>401</v>
      </c>
      <c r="L7" s="123">
        <f>Combine!O8</f>
        <v>888</v>
      </c>
    </row>
    <row r="8" spans="1:12">
      <c r="A8" s="189" t="s">
        <v>397</v>
      </c>
      <c r="B8" s="190">
        <v>7</v>
      </c>
      <c r="C8" s="191">
        <v>2</v>
      </c>
      <c r="D8" s="190">
        <v>2022</v>
      </c>
      <c r="E8" s="123">
        <f>Combine!G9</f>
        <v>52220</v>
      </c>
      <c r="F8" s="192">
        <v>1.3892469282838009</v>
      </c>
      <c r="G8" s="123">
        <f>Combine!M9</f>
        <v>6097.9020979020979</v>
      </c>
      <c r="H8" s="193">
        <v>9.3054039741265893</v>
      </c>
      <c r="I8" s="123">
        <f>Combine!J9</f>
        <v>558.96199999999953</v>
      </c>
      <c r="J8" s="192">
        <v>8.3135895238046356</v>
      </c>
      <c r="K8" s="123">
        <f>Combine!N9</f>
        <v>399</v>
      </c>
      <c r="L8" s="123">
        <f>Combine!O9</f>
        <v>888</v>
      </c>
    </row>
    <row r="9" spans="1:12">
      <c r="A9" s="189" t="s">
        <v>397</v>
      </c>
      <c r="B9" s="190">
        <v>8</v>
      </c>
      <c r="C9" s="191">
        <v>2</v>
      </c>
      <c r="D9" s="190">
        <v>2022</v>
      </c>
      <c r="E9" s="123">
        <f>Combine!G10</f>
        <v>51860</v>
      </c>
      <c r="F9" s="192">
        <v>1.3892469282838009</v>
      </c>
      <c r="G9" s="123">
        <f>Combine!M10</f>
        <v>5957.4203574203575</v>
      </c>
      <c r="H9" s="193">
        <v>9.3054039741265893</v>
      </c>
      <c r="I9" s="123">
        <f>Combine!J10</f>
        <v>487.1239999999998</v>
      </c>
      <c r="J9" s="192">
        <v>8.3135895238046356</v>
      </c>
      <c r="K9" s="123">
        <f>Combine!N10</f>
        <v>372</v>
      </c>
      <c r="L9" s="123">
        <f>Combine!O10</f>
        <v>827</v>
      </c>
    </row>
    <row r="10" spans="1:12">
      <c r="A10" s="189" t="s">
        <v>397</v>
      </c>
      <c r="B10" s="190">
        <v>9</v>
      </c>
      <c r="C10" s="191">
        <v>2</v>
      </c>
      <c r="D10" s="190">
        <v>2022</v>
      </c>
      <c r="E10" s="123">
        <f>Combine!G11</f>
        <v>51640</v>
      </c>
      <c r="F10" s="192">
        <v>1.3892469282838009</v>
      </c>
      <c r="G10" s="123">
        <f>Combine!M11</f>
        <v>5363.1701631701635</v>
      </c>
      <c r="H10" s="193">
        <v>9.3054039741265893</v>
      </c>
      <c r="I10" s="123">
        <f>Combine!J11</f>
        <v>633.99799999999959</v>
      </c>
      <c r="J10" s="192">
        <v>8.3135895238046356</v>
      </c>
      <c r="K10" s="123">
        <f>Combine!N11</f>
        <v>365</v>
      </c>
      <c r="L10" s="123">
        <f>Combine!O11</f>
        <v>805</v>
      </c>
    </row>
    <row r="11" spans="1:12">
      <c r="A11" s="189" t="s">
        <v>397</v>
      </c>
      <c r="B11" s="190">
        <v>10</v>
      </c>
      <c r="C11" s="191">
        <v>2</v>
      </c>
      <c r="D11" s="190">
        <v>2022</v>
      </c>
      <c r="E11" s="123">
        <f>Combine!G12</f>
        <v>56910</v>
      </c>
      <c r="F11" s="192">
        <v>1.3892469282838009</v>
      </c>
      <c r="G11" s="123">
        <f>Combine!M12</f>
        <v>5857.9642579642577</v>
      </c>
      <c r="H11" s="193">
        <v>9.3054039741265893</v>
      </c>
      <c r="I11" s="123">
        <f>Combine!J12</f>
        <v>596.97500000000036</v>
      </c>
      <c r="J11" s="192">
        <v>8.3135895238046356</v>
      </c>
      <c r="K11" s="123">
        <f>Combine!N12</f>
        <v>368</v>
      </c>
      <c r="L11" s="123">
        <f>Combine!O12</f>
        <v>816</v>
      </c>
    </row>
    <row r="12" spans="1:12">
      <c r="A12" s="189" t="s">
        <v>397</v>
      </c>
      <c r="B12" s="190">
        <v>11</v>
      </c>
      <c r="C12" s="191">
        <v>2</v>
      </c>
      <c r="D12" s="190">
        <v>2022</v>
      </c>
      <c r="E12" s="123">
        <f>Combine!G13</f>
        <v>50600</v>
      </c>
      <c r="F12" s="192">
        <v>1.3892469282838009</v>
      </c>
      <c r="G12" s="123">
        <f>Combine!M13</f>
        <v>4649.5726495726494</v>
      </c>
      <c r="H12" s="193">
        <v>9.3054039741265893</v>
      </c>
      <c r="I12" s="123">
        <f>Combine!J13</f>
        <v>559</v>
      </c>
      <c r="J12" s="192">
        <v>8.3135895238046356</v>
      </c>
      <c r="K12" s="123">
        <f>Combine!N13</f>
        <v>379</v>
      </c>
      <c r="L12" s="123">
        <f>Combine!O13</f>
        <v>842</v>
      </c>
    </row>
    <row r="13" spans="1:12">
      <c r="A13" s="189" t="s">
        <v>397</v>
      </c>
      <c r="B13" s="190">
        <v>12</v>
      </c>
      <c r="C13" s="191">
        <v>2</v>
      </c>
      <c r="D13" s="190">
        <v>2022</v>
      </c>
      <c r="E13" s="123">
        <f>Combine!G14</f>
        <v>50260</v>
      </c>
      <c r="F13" s="192">
        <v>1.3892469282838009</v>
      </c>
      <c r="G13" s="123">
        <f>Combine!M14</f>
        <v>4628.4382284382282</v>
      </c>
      <c r="H13" s="193">
        <v>9.3054039741265893</v>
      </c>
      <c r="I13" s="123">
        <f>Combine!J14</f>
        <v>602</v>
      </c>
      <c r="J13" s="192">
        <v>8.3135895238046356</v>
      </c>
      <c r="K13" s="123">
        <f>Combine!N14</f>
        <v>394</v>
      </c>
      <c r="L13" s="123">
        <f>Combine!O14</f>
        <v>876</v>
      </c>
    </row>
    <row r="14" spans="1:12">
      <c r="A14" s="189" t="s">
        <v>397</v>
      </c>
      <c r="B14" s="190">
        <v>13</v>
      </c>
      <c r="C14" s="191">
        <v>2</v>
      </c>
      <c r="D14" s="190">
        <v>2022</v>
      </c>
      <c r="E14" s="123">
        <f>Combine!G15</f>
        <v>51640</v>
      </c>
      <c r="F14" s="192">
        <v>1.3892469282838009</v>
      </c>
      <c r="G14" s="123">
        <f>Combine!M15</f>
        <v>4639.6270396270393</v>
      </c>
      <c r="H14" s="193">
        <v>9.3054039741265893</v>
      </c>
      <c r="I14" s="123">
        <f>Combine!J15</f>
        <v>600</v>
      </c>
      <c r="J14" s="192">
        <v>8.3135895238046356</v>
      </c>
      <c r="K14" s="123">
        <f>Combine!N15</f>
        <v>386</v>
      </c>
      <c r="L14" s="123">
        <f>Combine!O15</f>
        <v>855</v>
      </c>
    </row>
    <row r="15" spans="1:12">
      <c r="A15" s="189" t="s">
        <v>397</v>
      </c>
      <c r="B15" s="190">
        <v>14</v>
      </c>
      <c r="C15" s="191">
        <v>2</v>
      </c>
      <c r="D15" s="190">
        <v>2022</v>
      </c>
      <c r="E15" s="123">
        <f>Combine!G16</f>
        <v>52940</v>
      </c>
      <c r="F15" s="192">
        <v>1.3892469282838009</v>
      </c>
      <c r="G15" s="123">
        <f>Combine!M16</f>
        <v>4870.8624708624711</v>
      </c>
      <c r="H15" s="193">
        <v>9.3054039741265893</v>
      </c>
      <c r="I15" s="123">
        <f>Combine!J16</f>
        <v>563</v>
      </c>
      <c r="J15" s="192">
        <v>8.3135895238046356</v>
      </c>
      <c r="K15" s="123">
        <f>Combine!N16</f>
        <v>435</v>
      </c>
      <c r="L15" s="123">
        <f>Combine!O16</f>
        <v>952</v>
      </c>
    </row>
    <row r="16" spans="1:12">
      <c r="A16" s="189" t="s">
        <v>397</v>
      </c>
      <c r="B16" s="190">
        <v>15</v>
      </c>
      <c r="C16" s="191">
        <v>2</v>
      </c>
      <c r="D16" s="190">
        <v>2022</v>
      </c>
      <c r="E16" s="123">
        <f>Combine!G17</f>
        <v>54270</v>
      </c>
      <c r="F16" s="192">
        <v>1.3892469282838009</v>
      </c>
      <c r="G16" s="123">
        <f>Combine!M17</f>
        <v>5603.1080031080028</v>
      </c>
      <c r="H16" s="193">
        <v>9.3054039741265893</v>
      </c>
      <c r="I16" s="123">
        <f>Combine!J17</f>
        <v>625.5</v>
      </c>
      <c r="J16" s="192">
        <v>8.3135895238046356</v>
      </c>
      <c r="K16" s="123">
        <f>Combine!N17</f>
        <v>358</v>
      </c>
      <c r="L16" s="123">
        <f>Combine!O17</f>
        <v>799</v>
      </c>
    </row>
    <row r="17" spans="1:12">
      <c r="A17" s="189" t="s">
        <v>397</v>
      </c>
      <c r="B17" s="190">
        <v>16</v>
      </c>
      <c r="C17" s="191">
        <v>2</v>
      </c>
      <c r="D17" s="190">
        <v>2022</v>
      </c>
      <c r="E17" s="123">
        <f>Combine!G18</f>
        <v>50700</v>
      </c>
      <c r="F17" s="192">
        <v>1.3892469282838009</v>
      </c>
      <c r="G17" s="123">
        <f>Combine!M18</f>
        <v>5642.8904428904434</v>
      </c>
      <c r="H17" s="193">
        <v>9.3054039741265893</v>
      </c>
      <c r="I17" s="123">
        <f>Combine!J18</f>
        <v>584.5</v>
      </c>
      <c r="J17" s="192">
        <v>8.3135895238046356</v>
      </c>
      <c r="K17" s="123">
        <f>Combine!N18</f>
        <v>360</v>
      </c>
      <c r="L17" s="123">
        <f>Combine!O18</f>
        <v>799</v>
      </c>
    </row>
    <row r="18" spans="1:12">
      <c r="A18" s="189" t="s">
        <v>397</v>
      </c>
      <c r="B18" s="190">
        <v>17</v>
      </c>
      <c r="C18" s="191">
        <v>2</v>
      </c>
      <c r="D18" s="190">
        <v>2022</v>
      </c>
      <c r="E18" s="123">
        <f>Combine!G19</f>
        <v>52220</v>
      </c>
      <c r="F18" s="192">
        <v>1.3892469282838009</v>
      </c>
      <c r="G18" s="123">
        <f>Combine!M19</f>
        <v>5054.856254856255</v>
      </c>
      <c r="H18" s="193">
        <v>9.3054039741265893</v>
      </c>
      <c r="I18" s="123">
        <f>Combine!J19</f>
        <v>658</v>
      </c>
      <c r="J18" s="192">
        <v>8.3135895238046356</v>
      </c>
      <c r="K18" s="123">
        <f>Combine!N19</f>
        <v>356</v>
      </c>
      <c r="L18" s="123">
        <f>Combine!O19</f>
        <v>790</v>
      </c>
    </row>
    <row r="19" spans="1:12">
      <c r="A19" s="189" t="s">
        <v>397</v>
      </c>
      <c r="B19" s="190">
        <v>18</v>
      </c>
      <c r="C19" s="191">
        <v>2</v>
      </c>
      <c r="D19" s="190">
        <v>2022</v>
      </c>
      <c r="E19" s="123">
        <f>Combine!G20</f>
        <v>50260</v>
      </c>
      <c r="F19" s="192">
        <v>1.3892469282838009</v>
      </c>
      <c r="G19" s="123">
        <f>Combine!M20</f>
        <v>5765.9673659673663</v>
      </c>
      <c r="H19" s="193">
        <v>9.3054039741265893</v>
      </c>
      <c r="I19" s="123">
        <f>Combine!J20</f>
        <v>687</v>
      </c>
      <c r="J19" s="192">
        <v>8.3135895238046356</v>
      </c>
      <c r="K19" s="123">
        <f>Combine!N20</f>
        <v>370</v>
      </c>
      <c r="L19" s="123">
        <f>Combine!O20</f>
        <v>819</v>
      </c>
    </row>
    <row r="20" spans="1:12">
      <c r="A20" s="189" t="s">
        <v>397</v>
      </c>
      <c r="B20" s="190">
        <v>19</v>
      </c>
      <c r="C20" s="191">
        <v>2</v>
      </c>
      <c r="D20" s="190">
        <v>2022</v>
      </c>
      <c r="E20" s="123">
        <f>Combine!G21</f>
        <v>50230</v>
      </c>
      <c r="F20" s="192">
        <v>1.3892469282838009</v>
      </c>
      <c r="G20" s="123">
        <f>Combine!M21</f>
        <v>5821.9114219114217</v>
      </c>
      <c r="H20" s="193">
        <v>9.3054039741265893</v>
      </c>
      <c r="I20" s="123">
        <f>Combine!J21</f>
        <v>620</v>
      </c>
      <c r="J20" s="192">
        <v>8.3135895238046356</v>
      </c>
      <c r="K20" s="123">
        <f>Combine!N21</f>
        <v>396</v>
      </c>
      <c r="L20" s="123">
        <f>Combine!O21</f>
        <v>878</v>
      </c>
    </row>
    <row r="21" spans="1:12">
      <c r="A21" s="189" t="s">
        <v>397</v>
      </c>
      <c r="B21" s="190">
        <v>20</v>
      </c>
      <c r="C21" s="191">
        <v>2</v>
      </c>
      <c r="D21" s="190">
        <v>2022</v>
      </c>
      <c r="E21" s="123">
        <f>Combine!G22</f>
        <v>49230</v>
      </c>
      <c r="F21" s="192">
        <v>1.3892469282838009</v>
      </c>
      <c r="G21" s="123">
        <f>Combine!M22</f>
        <v>6120.2797202797201</v>
      </c>
      <c r="H21" s="193">
        <v>9.3054039741265893</v>
      </c>
      <c r="I21" s="123">
        <f>Combine!J22</f>
        <v>777</v>
      </c>
      <c r="J21" s="192">
        <v>8.3135895238046356</v>
      </c>
      <c r="K21" s="123">
        <f>Combine!N22</f>
        <v>370</v>
      </c>
      <c r="L21" s="123">
        <f>Combine!O22</f>
        <v>822</v>
      </c>
    </row>
    <row r="22" spans="1:12">
      <c r="A22" s="189" t="s">
        <v>397</v>
      </c>
      <c r="B22" s="190">
        <v>21</v>
      </c>
      <c r="C22" s="191">
        <v>2</v>
      </c>
      <c r="D22" s="190">
        <v>2022</v>
      </c>
      <c r="E22" s="123">
        <f>Combine!G23</f>
        <v>57610</v>
      </c>
      <c r="F22" s="192">
        <v>1.3892469282838009</v>
      </c>
      <c r="G22" s="123">
        <f>Combine!M23</f>
        <v>6580.2641802641801</v>
      </c>
      <c r="H22" s="193">
        <v>9.3054039741265893</v>
      </c>
      <c r="I22" s="123">
        <f>Combine!J23</f>
        <v>576</v>
      </c>
      <c r="J22" s="192">
        <v>8.3135895238046356</v>
      </c>
      <c r="K22" s="123">
        <f>Combine!N23</f>
        <v>345</v>
      </c>
      <c r="L22" s="123">
        <f>Combine!O23</f>
        <v>772</v>
      </c>
    </row>
    <row r="23" spans="1:12">
      <c r="A23" s="189" t="s">
        <v>397</v>
      </c>
      <c r="B23" s="190">
        <v>22</v>
      </c>
      <c r="C23" s="191">
        <v>2</v>
      </c>
      <c r="D23" s="190">
        <v>2022</v>
      </c>
      <c r="E23" s="123">
        <f>Combine!G24</f>
        <v>55390</v>
      </c>
      <c r="F23" s="192">
        <v>1.3892469282838009</v>
      </c>
      <c r="G23" s="123">
        <f>Combine!M24</f>
        <v>6749.3395493395492</v>
      </c>
      <c r="H23" s="193">
        <v>9.3054039741265893</v>
      </c>
      <c r="I23" s="123">
        <f>Combine!J24</f>
        <v>539</v>
      </c>
      <c r="J23" s="192">
        <v>8.3135895238046356</v>
      </c>
      <c r="K23" s="123">
        <f>Combine!N24</f>
        <v>351</v>
      </c>
      <c r="L23" s="123">
        <f>Combine!O24</f>
        <v>783</v>
      </c>
    </row>
    <row r="24" spans="1:12">
      <c r="A24" s="189" t="s">
        <v>397</v>
      </c>
      <c r="B24" s="190">
        <v>23</v>
      </c>
      <c r="C24" s="191">
        <v>2</v>
      </c>
      <c r="D24" s="190">
        <v>2022</v>
      </c>
      <c r="E24" s="123">
        <f>Combine!G25</f>
        <v>61370</v>
      </c>
      <c r="F24" s="192">
        <v>1.3892469282838009</v>
      </c>
      <c r="G24" s="123">
        <f>Combine!M25</f>
        <v>6847.552447552448</v>
      </c>
      <c r="H24" s="193">
        <v>9.3054039741265893</v>
      </c>
      <c r="I24" s="123">
        <f>Combine!J25</f>
        <v>445</v>
      </c>
      <c r="J24" s="192">
        <v>8.3135895238046356</v>
      </c>
      <c r="K24" s="123">
        <f>Combine!N25</f>
        <v>340</v>
      </c>
      <c r="L24" s="123">
        <f>Combine!O25</f>
        <v>762</v>
      </c>
    </row>
    <row r="25" spans="1:12">
      <c r="A25" s="189" t="s">
        <v>397</v>
      </c>
      <c r="B25" s="190">
        <v>24</v>
      </c>
      <c r="C25" s="191">
        <v>2</v>
      </c>
      <c r="D25" s="190">
        <v>2022</v>
      </c>
      <c r="E25" s="123">
        <f>Combine!G26</f>
        <v>58780</v>
      </c>
      <c r="F25" s="192">
        <v>1.3892469282838009</v>
      </c>
      <c r="G25" s="123">
        <f>Combine!M26</f>
        <v>6789.1219891219889</v>
      </c>
      <c r="H25" s="193">
        <v>9.3054039741265893</v>
      </c>
      <c r="I25" s="123">
        <f>Combine!J26</f>
        <v>428</v>
      </c>
      <c r="J25" s="192">
        <v>8.3135895238046356</v>
      </c>
      <c r="K25" s="123">
        <f>Combine!N26</f>
        <v>345</v>
      </c>
      <c r="L25" s="123">
        <f>Combine!O26</f>
        <v>768</v>
      </c>
    </row>
    <row r="26" spans="1:12">
      <c r="A26" s="189" t="s">
        <v>397</v>
      </c>
      <c r="B26" s="190">
        <v>25</v>
      </c>
      <c r="C26" s="191">
        <v>2</v>
      </c>
      <c r="D26" s="190">
        <v>2022</v>
      </c>
      <c r="E26" s="123">
        <f>Combine!G27</f>
        <v>45395</v>
      </c>
      <c r="F26" s="192">
        <v>1.3892469282838009</v>
      </c>
      <c r="G26" s="123">
        <f>Combine!M27</f>
        <v>5872.8826728826725</v>
      </c>
      <c r="H26" s="193">
        <v>9.3054039741265893</v>
      </c>
      <c r="I26" s="123">
        <f>Combine!J27</f>
        <v>373</v>
      </c>
      <c r="J26" s="192">
        <v>8.3135895238046356</v>
      </c>
      <c r="K26" s="123">
        <f>Combine!N27</f>
        <v>347</v>
      </c>
      <c r="L26" s="123">
        <f>Combine!O27</f>
        <v>775</v>
      </c>
    </row>
    <row r="27" spans="1:12">
      <c r="A27" s="189" t="s">
        <v>397</v>
      </c>
      <c r="B27" s="190">
        <v>26</v>
      </c>
      <c r="C27" s="191">
        <v>2</v>
      </c>
      <c r="D27" s="190">
        <v>2022</v>
      </c>
      <c r="E27" s="123">
        <f>Combine!G28</f>
        <v>45395</v>
      </c>
      <c r="F27" s="192">
        <v>1.3892469282838009</v>
      </c>
      <c r="G27" s="123">
        <f>Combine!M28</f>
        <v>4740.9479409479409</v>
      </c>
      <c r="H27" s="193">
        <v>9.3054039741265893</v>
      </c>
      <c r="I27" s="123">
        <f>Combine!J28</f>
        <v>371</v>
      </c>
      <c r="J27" s="192">
        <v>8.3135895238046356</v>
      </c>
      <c r="K27" s="123">
        <f>Combine!N28</f>
        <v>381</v>
      </c>
      <c r="L27" s="123">
        <f>Combine!O28</f>
        <v>842</v>
      </c>
    </row>
    <row r="28" spans="1:12">
      <c r="A28" s="189" t="s">
        <v>397</v>
      </c>
      <c r="B28" s="190">
        <v>27</v>
      </c>
      <c r="C28" s="191">
        <v>2</v>
      </c>
      <c r="D28" s="190">
        <v>2022</v>
      </c>
      <c r="E28" s="123">
        <f>Combine!G29</f>
        <v>50990</v>
      </c>
      <c r="F28" s="192">
        <v>1.3892469282838009</v>
      </c>
      <c r="G28" s="123">
        <f>Combine!M29</f>
        <v>4616.6278166278171</v>
      </c>
      <c r="H28" s="193">
        <v>9.3054039741265893</v>
      </c>
      <c r="I28" s="123">
        <f>Combine!J29</f>
        <v>328.82170000000042</v>
      </c>
      <c r="J28" s="192">
        <v>8.3135895238046356</v>
      </c>
      <c r="K28" s="123">
        <f>Combine!N29</f>
        <v>354</v>
      </c>
      <c r="L28" s="123">
        <f>Combine!O29</f>
        <v>783</v>
      </c>
    </row>
    <row r="29" spans="1:12">
      <c r="A29" s="189" t="s">
        <v>397</v>
      </c>
      <c r="B29" s="190">
        <v>28</v>
      </c>
      <c r="C29" s="191">
        <v>2</v>
      </c>
      <c r="D29" s="190">
        <v>2022</v>
      </c>
      <c r="E29" s="123">
        <f>Combine!G30</f>
        <v>50640</v>
      </c>
      <c r="F29" s="192">
        <v>1.3892469282838009</v>
      </c>
      <c r="G29" s="123">
        <f>Combine!M30</f>
        <v>4562.5485625485626</v>
      </c>
      <c r="H29" s="193">
        <v>9.3054039741265893</v>
      </c>
      <c r="I29" s="123">
        <f>Combine!J30</f>
        <v>501.81079999999929</v>
      </c>
      <c r="J29" s="192">
        <v>8.3135895238046356</v>
      </c>
      <c r="K29" s="123">
        <f>Combine!N30</f>
        <v>330</v>
      </c>
      <c r="L29" s="123">
        <f>Combine!O30</f>
        <v>739</v>
      </c>
    </row>
    <row r="30" spans="1:12">
      <c r="A30" s="189" t="s">
        <v>397</v>
      </c>
      <c r="B30" s="190"/>
      <c r="C30" s="191"/>
      <c r="D30" s="190"/>
      <c r="E30" s="123"/>
      <c r="F30" s="192"/>
      <c r="G30" s="123"/>
      <c r="H30" s="193"/>
      <c r="I30" s="123"/>
      <c r="J30" s="192"/>
      <c r="K30" s="123"/>
      <c r="L30" s="123"/>
    </row>
    <row r="31" spans="1:12">
      <c r="A31" s="189" t="s">
        <v>397</v>
      </c>
      <c r="B31" s="190"/>
      <c r="C31" s="191"/>
      <c r="D31" s="190"/>
      <c r="E31" s="123"/>
      <c r="F31" s="192"/>
      <c r="G31" s="123"/>
      <c r="H31" s="193"/>
      <c r="I31" s="123"/>
      <c r="J31" s="192"/>
      <c r="K31" s="123"/>
      <c r="L31" s="123"/>
    </row>
    <row r="32" spans="1:12">
      <c r="A32" s="189" t="s">
        <v>397</v>
      </c>
      <c r="B32" s="190"/>
      <c r="C32" s="191"/>
      <c r="D32" s="190"/>
      <c r="E32" s="123"/>
      <c r="F32" s="192"/>
      <c r="G32" s="123"/>
      <c r="H32" s="193"/>
      <c r="I32" s="123"/>
      <c r="J32" s="192"/>
      <c r="K32" s="123"/>
      <c r="L32" s="1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22" sqref="L2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1" t="s">
        <v>2</v>
      </c>
      <c r="H1" s="124" t="s">
        <v>0</v>
      </c>
      <c r="I1" s="125" t="s">
        <v>1</v>
      </c>
      <c r="J1" s="128" t="s">
        <v>2</v>
      </c>
      <c r="K1" s="124" t="s">
        <v>0</v>
      </c>
      <c r="L1" s="125" t="s">
        <v>1</v>
      </c>
      <c r="M1" s="131" t="s">
        <v>2</v>
      </c>
      <c r="N1" s="205" t="s">
        <v>63</v>
      </c>
      <c r="O1" s="206"/>
      <c r="P1" s="207"/>
    </row>
    <row r="2" spans="1:17" s="2" customFormat="1" ht="60" customHeight="1">
      <c r="A2" s="4" t="s">
        <v>3</v>
      </c>
      <c r="B2" s="5" t="s">
        <v>4</v>
      </c>
      <c r="C2" s="5" t="s">
        <v>5</v>
      </c>
      <c r="D2" s="121"/>
      <c r="E2" s="126" t="s">
        <v>6</v>
      </c>
      <c r="F2" s="147" t="s">
        <v>6</v>
      </c>
      <c r="G2" s="155" t="s">
        <v>6</v>
      </c>
      <c r="H2" s="156" t="s">
        <v>9</v>
      </c>
      <c r="I2" s="148" t="s">
        <v>9</v>
      </c>
      <c r="J2" s="155" t="s">
        <v>9</v>
      </c>
      <c r="K2" s="126" t="s">
        <v>7</v>
      </c>
      <c r="L2" s="112">
        <v>335</v>
      </c>
      <c r="M2" s="132" t="s">
        <v>8</v>
      </c>
      <c r="N2" s="162" t="s">
        <v>10</v>
      </c>
      <c r="O2" s="5" t="s">
        <v>11</v>
      </c>
      <c r="P2" s="161" t="s">
        <v>12</v>
      </c>
      <c r="Q2" s="151" t="s">
        <v>390</v>
      </c>
    </row>
    <row r="3" spans="1:17" ht="15.75">
      <c r="A3" s="7" t="s">
        <v>14</v>
      </c>
      <c r="B3" s="7">
        <v>1</v>
      </c>
      <c r="C3" s="7">
        <v>2</v>
      </c>
      <c r="D3" s="122">
        <v>2022</v>
      </c>
      <c r="E3" s="152">
        <f>'Athens Daily - EL'!AP8</f>
        <v>28186.400000000001</v>
      </c>
      <c r="F3" s="154">
        <f>'Athens Daily - EL'!AQ8</f>
        <v>22393.599999999999</v>
      </c>
      <c r="G3" s="133">
        <f>SUM(E3,F3)</f>
        <v>50580</v>
      </c>
      <c r="H3" s="152">
        <f>'Athens Daily - Water'!R7</f>
        <v>497.73309999999913</v>
      </c>
      <c r="I3" s="123">
        <f>'Athens Daily - Water'!S7</f>
        <v>170.65</v>
      </c>
      <c r="J3" s="129">
        <f t="shared" ref="J3:J33" si="0">SUM(H3,I3)</f>
        <v>668.3830999999991</v>
      </c>
      <c r="K3" s="152">
        <f>'Athens Daily - Gas'!BH9</f>
        <v>139503.84000000003</v>
      </c>
      <c r="L3" s="123">
        <f>'Athens Daily - Gas'!BI9</f>
        <v>107312.15999999999</v>
      </c>
      <c r="M3" s="133">
        <f>SUM(K3,L3)/38.61</f>
        <v>6392.5407925407926</v>
      </c>
      <c r="N3" s="160">
        <f>Occ!G10</f>
        <v>400</v>
      </c>
      <c r="O3" s="104">
        <f>Occ!H10</f>
        <v>912</v>
      </c>
      <c r="P3" s="159">
        <v>918</v>
      </c>
      <c r="Q3" s="168"/>
    </row>
    <row r="4" spans="1:17" ht="15.75">
      <c r="A4" s="7" t="s">
        <v>14</v>
      </c>
      <c r="B4" s="7">
        <v>2</v>
      </c>
      <c r="C4" s="7">
        <v>2</v>
      </c>
      <c r="D4" s="122">
        <v>2022</v>
      </c>
      <c r="E4" s="152">
        <f>'Athens Daily - EL'!AP9</f>
        <v>29622</v>
      </c>
      <c r="F4" s="154">
        <f>'Athens Daily - EL'!AQ9</f>
        <v>23428</v>
      </c>
      <c r="G4" s="133">
        <f t="shared" ref="G4:G33" si="1">SUM(E4,F4)</f>
        <v>53050</v>
      </c>
      <c r="H4" s="152">
        <f>'Athens Daily - Water'!R8</f>
        <v>393.40300000000099</v>
      </c>
      <c r="I4" s="123">
        <f>'Athens Daily - Water'!S8</f>
        <v>139.19999999999999</v>
      </c>
      <c r="J4" s="129">
        <f t="shared" si="0"/>
        <v>532.60300000000097</v>
      </c>
      <c r="K4" s="152">
        <f>'Athens Daily - Gas'!BH10</f>
        <v>129527.04000000001</v>
      </c>
      <c r="L4" s="123">
        <f>'Athens Daily - Gas'!BI10</f>
        <v>103800.95999999999</v>
      </c>
      <c r="M4" s="133">
        <f t="shared" ref="M4:M33" si="2">SUM(K4,L4)/38.61</f>
        <v>6043.2012432012434</v>
      </c>
      <c r="N4" s="160">
        <f>Occ!G11</f>
        <v>407</v>
      </c>
      <c r="O4" s="104">
        <f>Occ!H11</f>
        <v>918</v>
      </c>
      <c r="P4" s="159">
        <v>918</v>
      </c>
      <c r="Q4" s="168"/>
    </row>
    <row r="5" spans="1:17" ht="15.75">
      <c r="A5" s="7" t="s">
        <v>14</v>
      </c>
      <c r="B5" s="7">
        <v>3</v>
      </c>
      <c r="C5" s="7">
        <v>2</v>
      </c>
      <c r="D5" s="122">
        <v>2022</v>
      </c>
      <c r="E5" s="152">
        <f>'Athens Daily - EL'!AP10</f>
        <v>27544.2</v>
      </c>
      <c r="F5" s="154">
        <f>'Athens Daily - EL'!AQ10</f>
        <v>22135.8</v>
      </c>
      <c r="G5" s="133">
        <f t="shared" si="1"/>
        <v>49680</v>
      </c>
      <c r="H5" s="152">
        <f>'Athens Daily - Water'!R9</f>
        <v>474.48180000000031</v>
      </c>
      <c r="I5" s="123">
        <f>'Athens Daily - Water'!S9</f>
        <v>141.69999999999999</v>
      </c>
      <c r="J5" s="129">
        <f t="shared" si="0"/>
        <v>616.18180000000029</v>
      </c>
      <c r="K5" s="152">
        <f>'Athens Daily - Gas'!BH11</f>
        <v>128834.40000000001</v>
      </c>
      <c r="L5" s="123">
        <f>'Athens Daily - Gas'!BI11</f>
        <v>105165.59999999999</v>
      </c>
      <c r="M5" s="133">
        <f t="shared" si="2"/>
        <v>6060.606060606061</v>
      </c>
      <c r="N5" s="160">
        <f>Occ!G12</f>
        <v>373</v>
      </c>
      <c r="O5" s="104">
        <f>Occ!H12</f>
        <v>831</v>
      </c>
      <c r="P5" s="159">
        <v>918</v>
      </c>
      <c r="Q5" s="168"/>
    </row>
    <row r="6" spans="1:17" ht="15.75">
      <c r="A6" s="7" t="s">
        <v>14</v>
      </c>
      <c r="B6" s="7">
        <v>4</v>
      </c>
      <c r="C6" s="7">
        <v>2</v>
      </c>
      <c r="D6" s="122">
        <v>2022</v>
      </c>
      <c r="E6" s="152">
        <f>'Athens Daily - EL'!AP11</f>
        <v>28234.400000000001</v>
      </c>
      <c r="F6" s="154">
        <f>'Athens Daily - EL'!AQ11</f>
        <v>22755.600000000002</v>
      </c>
      <c r="G6" s="133">
        <f t="shared" si="1"/>
        <v>50990</v>
      </c>
      <c r="H6" s="152">
        <f>'Athens Daily - Water'!R10</f>
        <v>443.43110000000053</v>
      </c>
      <c r="I6" s="123">
        <f>'Athens Daily - Water'!S10</f>
        <v>166.2</v>
      </c>
      <c r="J6" s="129">
        <f t="shared" si="0"/>
        <v>609.63110000000052</v>
      </c>
      <c r="K6" s="152">
        <f>'Athens Daily - Gas'!BH12</f>
        <v>135817.44</v>
      </c>
      <c r="L6" s="123">
        <f>'Athens Daily - Gas'!BI12</f>
        <v>111046.56</v>
      </c>
      <c r="M6" s="133">
        <f t="shared" si="2"/>
        <v>6393.7839937839935</v>
      </c>
      <c r="N6" s="160">
        <f>Occ!G13</f>
        <v>392</v>
      </c>
      <c r="O6" s="104">
        <f>Occ!H13</f>
        <v>871</v>
      </c>
      <c r="P6" s="159">
        <v>918</v>
      </c>
      <c r="Q6" s="168"/>
    </row>
    <row r="7" spans="1:17" ht="15.75">
      <c r="A7" s="7" t="s">
        <v>14</v>
      </c>
      <c r="B7" s="7">
        <v>5</v>
      </c>
      <c r="C7" s="7">
        <v>2</v>
      </c>
      <c r="D7" s="122">
        <v>2022</v>
      </c>
      <c r="E7" s="152">
        <f>'Athens Daily - EL'!AP12</f>
        <v>28406.799999999999</v>
      </c>
      <c r="F7" s="154">
        <f>'Athens Daily - EL'!AQ12</f>
        <v>22653.200000000001</v>
      </c>
      <c r="G7" s="133">
        <f t="shared" si="1"/>
        <v>51060</v>
      </c>
      <c r="H7" s="152">
        <f>'Athens Daily - Water'!R11</f>
        <v>436.83499999999839</v>
      </c>
      <c r="I7" s="123">
        <f>'Athens Daily - Water'!S11</f>
        <v>156.30000000000001</v>
      </c>
      <c r="J7" s="129">
        <f t="shared" si="0"/>
        <v>593.1349999999984</v>
      </c>
      <c r="K7" s="152">
        <f>'Athens Daily - Gas'!BH13</f>
        <v>129104.64</v>
      </c>
      <c r="L7" s="123">
        <f>'Athens Daily - Gas'!BI13</f>
        <v>99807.360000000001</v>
      </c>
      <c r="M7" s="133">
        <f t="shared" si="2"/>
        <v>5928.8267288267289</v>
      </c>
      <c r="N7" s="160">
        <f>Occ!G14</f>
        <v>385</v>
      </c>
      <c r="O7" s="104">
        <f>Occ!H14</f>
        <v>856</v>
      </c>
      <c r="P7" s="159">
        <v>918</v>
      </c>
      <c r="Q7" s="168"/>
    </row>
    <row r="8" spans="1:17" ht="15.75">
      <c r="A8" s="7" t="s">
        <v>14</v>
      </c>
      <c r="B8" s="7">
        <v>6</v>
      </c>
      <c r="C8" s="7">
        <v>2</v>
      </c>
      <c r="D8" s="122">
        <v>2022</v>
      </c>
      <c r="E8" s="152">
        <f>'Athens Daily - EL'!AP13</f>
        <v>29072</v>
      </c>
      <c r="F8" s="154">
        <f>'Athens Daily - EL'!AQ13</f>
        <v>23198</v>
      </c>
      <c r="G8" s="133">
        <f t="shared" si="1"/>
        <v>52270</v>
      </c>
      <c r="H8" s="152">
        <f>'Athens Daily - Water'!R12</f>
        <v>445.00700000000143</v>
      </c>
      <c r="I8" s="123">
        <f>'Athens Daily - Water'!S12</f>
        <v>165</v>
      </c>
      <c r="J8" s="129">
        <f t="shared" si="0"/>
        <v>610.00700000000143</v>
      </c>
      <c r="K8" s="152">
        <f>'Athens Daily - Gas'!BH14</f>
        <v>126917.28</v>
      </c>
      <c r="L8" s="123">
        <f>'Athens Daily - Gas'!BI14</f>
        <v>100218.72</v>
      </c>
      <c r="M8" s="133">
        <f t="shared" si="2"/>
        <v>5882.8282828282827</v>
      </c>
      <c r="N8" s="160">
        <f>Occ!G15</f>
        <v>401</v>
      </c>
      <c r="O8" s="104">
        <f>Occ!H15</f>
        <v>888</v>
      </c>
      <c r="P8" s="159">
        <v>918</v>
      </c>
      <c r="Q8" s="168"/>
    </row>
    <row r="9" spans="1:17" ht="15.75">
      <c r="A9" s="7" t="s">
        <v>14</v>
      </c>
      <c r="B9" s="7">
        <v>7</v>
      </c>
      <c r="C9" s="7">
        <v>2</v>
      </c>
      <c r="D9" s="122">
        <v>2022</v>
      </c>
      <c r="E9" s="152">
        <f>'Athens Daily - EL'!AP14</f>
        <v>28956.600000000002</v>
      </c>
      <c r="F9" s="154">
        <f>'Athens Daily - EL'!AQ14</f>
        <v>23263.399999999998</v>
      </c>
      <c r="G9" s="133">
        <f t="shared" si="1"/>
        <v>52220</v>
      </c>
      <c r="H9" s="152">
        <f>'Athens Daily - Water'!R13</f>
        <v>419.11199999999951</v>
      </c>
      <c r="I9" s="123">
        <f>'Athens Daily - Water'!S13</f>
        <v>139.85</v>
      </c>
      <c r="J9" s="129">
        <f t="shared" si="0"/>
        <v>558.96199999999953</v>
      </c>
      <c r="K9" s="152">
        <f>'Athens Daily - Gas'!BH15</f>
        <v>132686.88</v>
      </c>
      <c r="L9" s="123">
        <f>'Athens Daily - Gas'!BI15</f>
        <v>102753.12</v>
      </c>
      <c r="M9" s="133">
        <f t="shared" si="2"/>
        <v>6097.9020979020979</v>
      </c>
      <c r="N9" s="160">
        <f>Occ!G16</f>
        <v>399</v>
      </c>
      <c r="O9" s="104">
        <f>Occ!H16</f>
        <v>888</v>
      </c>
      <c r="P9" s="159">
        <v>918</v>
      </c>
      <c r="Q9" s="168"/>
    </row>
    <row r="10" spans="1:17">
      <c r="A10" s="7" t="s">
        <v>14</v>
      </c>
      <c r="B10" s="7">
        <v>8</v>
      </c>
      <c r="C10" s="7">
        <v>2</v>
      </c>
      <c r="D10" s="122">
        <v>2022</v>
      </c>
      <c r="E10" s="152">
        <f>'Athens Daily - EL'!AP15</f>
        <v>28953</v>
      </c>
      <c r="F10" s="154">
        <f>'Athens Daily - EL'!AQ15</f>
        <v>22907</v>
      </c>
      <c r="G10" s="133">
        <f t="shared" si="1"/>
        <v>51860</v>
      </c>
      <c r="H10" s="152">
        <f>'Athens Daily - Water'!R14</f>
        <v>369.8739999999998</v>
      </c>
      <c r="I10" s="123">
        <f>'Athens Daily - Water'!S14</f>
        <v>117.25</v>
      </c>
      <c r="J10" s="129">
        <f t="shared" si="0"/>
        <v>487.1239999999998</v>
      </c>
      <c r="K10" s="152">
        <f>'Athens Daily - Gas'!BH16</f>
        <v>126903.84000000001</v>
      </c>
      <c r="L10" s="123">
        <f>'Athens Daily - Gas'!BI16</f>
        <v>103112.15999999999</v>
      </c>
      <c r="M10" s="133">
        <f t="shared" si="2"/>
        <v>5957.4203574203575</v>
      </c>
      <c r="N10" s="160">
        <f>Occ!G17</f>
        <v>372</v>
      </c>
      <c r="O10" s="104">
        <f>Occ!H17</f>
        <v>827</v>
      </c>
      <c r="P10" s="159">
        <v>918</v>
      </c>
      <c r="Q10" s="101"/>
    </row>
    <row r="11" spans="1:17">
      <c r="A11" s="7" t="s">
        <v>14</v>
      </c>
      <c r="B11" s="7">
        <v>9</v>
      </c>
      <c r="C11" s="7">
        <v>2</v>
      </c>
      <c r="D11" s="122">
        <v>2022</v>
      </c>
      <c r="E11" s="152">
        <f>'Athens Daily - EL'!AP16</f>
        <v>28824.400000000005</v>
      </c>
      <c r="F11" s="154">
        <f>'Athens Daily - EL'!AQ16</f>
        <v>22815.599999999999</v>
      </c>
      <c r="G11" s="133">
        <f t="shared" si="1"/>
        <v>51640</v>
      </c>
      <c r="H11" s="152">
        <f>'Athens Daily - Water'!R15</f>
        <v>446.74799999999959</v>
      </c>
      <c r="I11" s="123">
        <f>'Athens Daily - Water'!S15</f>
        <v>187.25</v>
      </c>
      <c r="J11" s="129">
        <f t="shared" si="0"/>
        <v>633.99799999999959</v>
      </c>
      <c r="K11" s="152">
        <f>'Athens Daily - Gas'!BH17</f>
        <v>119125.44</v>
      </c>
      <c r="L11" s="123">
        <f>'Athens Daily - Gas'!BI17</f>
        <v>87946.559999999998</v>
      </c>
      <c r="M11" s="133">
        <f t="shared" si="2"/>
        <v>5363.1701631701635</v>
      </c>
      <c r="N11" s="160">
        <f>Occ!G18</f>
        <v>365</v>
      </c>
      <c r="O11" s="104">
        <f>Occ!H18</f>
        <v>805</v>
      </c>
      <c r="P11" s="159">
        <v>918</v>
      </c>
      <c r="Q11" s="101"/>
    </row>
    <row r="12" spans="1:17" ht="15.75">
      <c r="A12" s="7" t="s">
        <v>14</v>
      </c>
      <c r="B12" s="7">
        <v>10</v>
      </c>
      <c r="C12" s="7">
        <v>2</v>
      </c>
      <c r="D12" s="122">
        <v>2022</v>
      </c>
      <c r="E12" s="152">
        <f>'Athens Daily - EL'!AP17</f>
        <v>33679.799999999996</v>
      </c>
      <c r="F12" s="154">
        <f>'Athens Daily - EL'!AQ17</f>
        <v>23230.2</v>
      </c>
      <c r="G12" s="133">
        <f t="shared" si="1"/>
        <v>56910</v>
      </c>
      <c r="H12" s="152">
        <f>'Athens Daily - Water'!R16</f>
        <v>458.22500000000036</v>
      </c>
      <c r="I12" s="123">
        <f>'Athens Daily - Water'!S16</f>
        <v>138.75</v>
      </c>
      <c r="J12" s="129">
        <f t="shared" si="0"/>
        <v>596.97500000000036</v>
      </c>
      <c r="K12" s="152">
        <f>'Athens Daily - Gas'!BH18</f>
        <v>127128.48000000001</v>
      </c>
      <c r="L12" s="123">
        <f>'Athens Daily - Gas'!BI18</f>
        <v>99047.51999999999</v>
      </c>
      <c r="M12" s="133">
        <f t="shared" si="2"/>
        <v>5857.9642579642577</v>
      </c>
      <c r="N12" s="160">
        <f>Occ!G19</f>
        <v>368</v>
      </c>
      <c r="O12" s="104">
        <f>Occ!H19</f>
        <v>816</v>
      </c>
      <c r="P12" s="159">
        <v>918</v>
      </c>
      <c r="Q12" s="168"/>
    </row>
    <row r="13" spans="1:17" ht="15.75">
      <c r="A13" s="7" t="s">
        <v>14</v>
      </c>
      <c r="B13" s="7">
        <v>11</v>
      </c>
      <c r="C13" s="7">
        <v>2</v>
      </c>
      <c r="D13" s="122">
        <v>2022</v>
      </c>
      <c r="E13" s="152">
        <f>'Athens Daily - EL'!AP18</f>
        <v>27014.800000000003</v>
      </c>
      <c r="F13" s="154">
        <f>'Athens Daily - EL'!AQ18</f>
        <v>23585.199999999997</v>
      </c>
      <c r="G13" s="133">
        <f t="shared" si="1"/>
        <v>50600</v>
      </c>
      <c r="H13" s="152">
        <f>'Athens Daily - Water'!R17</f>
        <v>417.2</v>
      </c>
      <c r="I13" s="123">
        <f>'Athens Daily - Water'!S17</f>
        <v>141.80000000000001</v>
      </c>
      <c r="J13" s="129">
        <f t="shared" si="0"/>
        <v>559</v>
      </c>
      <c r="K13" s="152">
        <f>'Athens Daily - Gas'!BH19</f>
        <v>102315.84</v>
      </c>
      <c r="L13" s="123">
        <f>'Athens Daily - Gas'!BI19</f>
        <v>77204.160000000003</v>
      </c>
      <c r="M13" s="133">
        <f t="shared" si="2"/>
        <v>4649.5726495726494</v>
      </c>
      <c r="N13" s="160">
        <f>Occ!G20</f>
        <v>379</v>
      </c>
      <c r="O13" s="104">
        <f>Occ!H20</f>
        <v>842</v>
      </c>
      <c r="P13" s="159">
        <v>918</v>
      </c>
      <c r="Q13" s="168"/>
    </row>
    <row r="14" spans="1:17" ht="15.75">
      <c r="A14" s="7" t="s">
        <v>14</v>
      </c>
      <c r="B14" s="7">
        <v>12</v>
      </c>
      <c r="C14" s="7">
        <v>2</v>
      </c>
      <c r="D14" s="122">
        <v>2022</v>
      </c>
      <c r="E14" s="152">
        <f>'Athens Daily - EL'!AP19</f>
        <v>27094.2</v>
      </c>
      <c r="F14" s="154">
        <f>'Athens Daily - EL'!AQ19</f>
        <v>23165.8</v>
      </c>
      <c r="G14" s="133">
        <f t="shared" si="1"/>
        <v>50260</v>
      </c>
      <c r="H14" s="152">
        <f>'Athens Daily - Water'!R18</f>
        <v>448.7</v>
      </c>
      <c r="I14" s="123">
        <f>'Athens Daily - Water'!S18</f>
        <v>153.30000000000001</v>
      </c>
      <c r="J14" s="129">
        <f t="shared" si="0"/>
        <v>602</v>
      </c>
      <c r="K14" s="152">
        <f>'Athens Daily - Gas'!BH20</f>
        <v>101130.24000000001</v>
      </c>
      <c r="L14" s="123">
        <f>'Athens Daily - Gas'!BI20</f>
        <v>77573.759999999995</v>
      </c>
      <c r="M14" s="133">
        <f t="shared" si="2"/>
        <v>4628.4382284382282</v>
      </c>
      <c r="N14" s="160">
        <f>Occ!G21</f>
        <v>394</v>
      </c>
      <c r="O14" s="104">
        <f>Occ!H21</f>
        <v>876</v>
      </c>
      <c r="P14" s="159">
        <v>918</v>
      </c>
      <c r="Q14" s="168"/>
    </row>
    <row r="15" spans="1:17">
      <c r="A15" s="7" t="s">
        <v>14</v>
      </c>
      <c r="B15" s="7">
        <v>13</v>
      </c>
      <c r="C15" s="7">
        <v>2</v>
      </c>
      <c r="D15" s="122">
        <v>2022</v>
      </c>
      <c r="E15" s="152">
        <f>'Athens Daily - EL'!AP20</f>
        <v>28797.000000000004</v>
      </c>
      <c r="F15" s="154">
        <f>'Athens Daily - EL'!AQ20</f>
        <v>22843</v>
      </c>
      <c r="G15" s="133">
        <f t="shared" si="1"/>
        <v>51640</v>
      </c>
      <c r="H15" s="152">
        <f>'Athens Daily - Water'!R19</f>
        <v>451.95</v>
      </c>
      <c r="I15" s="123">
        <f>'Athens Daily - Water'!S19</f>
        <v>148.05000000000001</v>
      </c>
      <c r="J15" s="129">
        <f t="shared" si="0"/>
        <v>600</v>
      </c>
      <c r="K15" s="152">
        <f>'Athens Daily - Gas'!BH21</f>
        <v>100157.76000000001</v>
      </c>
      <c r="L15" s="123">
        <f>'Athens Daily - Gas'!BI21</f>
        <v>78978.239999999991</v>
      </c>
      <c r="M15" s="133">
        <f t="shared" si="2"/>
        <v>4639.6270396270393</v>
      </c>
      <c r="N15" s="160">
        <f>Occ!G22</f>
        <v>386</v>
      </c>
      <c r="O15" s="104">
        <f>Occ!H22</f>
        <v>855</v>
      </c>
      <c r="P15" s="159">
        <v>918</v>
      </c>
      <c r="Q15" s="165"/>
    </row>
    <row r="16" spans="1:17">
      <c r="A16" s="7" t="s">
        <v>14</v>
      </c>
      <c r="B16" s="7">
        <v>14</v>
      </c>
      <c r="C16" s="7">
        <v>2</v>
      </c>
      <c r="D16" s="122">
        <v>2022</v>
      </c>
      <c r="E16" s="152">
        <f>'Athens Daily - EL'!AP21</f>
        <v>29598.2</v>
      </c>
      <c r="F16" s="154">
        <f>'Athens Daily - EL'!AQ21</f>
        <v>23341.800000000003</v>
      </c>
      <c r="G16" s="133">
        <f t="shared" si="1"/>
        <v>52940</v>
      </c>
      <c r="H16" s="152">
        <f>'Athens Daily - Water'!R20</f>
        <v>437.95</v>
      </c>
      <c r="I16" s="123">
        <f>'Athens Daily - Water'!S20</f>
        <v>125.05000000000001</v>
      </c>
      <c r="J16" s="129">
        <f t="shared" si="0"/>
        <v>563</v>
      </c>
      <c r="K16" s="152">
        <f>'Athens Daily - Gas'!BH22</f>
        <v>109334.39999999999</v>
      </c>
      <c r="L16" s="123">
        <f>'Athens Daily - Gas'!BI22</f>
        <v>78729.600000000006</v>
      </c>
      <c r="M16" s="133">
        <f t="shared" si="2"/>
        <v>4870.8624708624711</v>
      </c>
      <c r="N16" s="160">
        <f>Occ!G23</f>
        <v>435</v>
      </c>
      <c r="O16" s="104">
        <f>Occ!H23</f>
        <v>952</v>
      </c>
      <c r="P16" s="159">
        <v>918</v>
      </c>
      <c r="Q16" s="165"/>
    </row>
    <row r="17" spans="1:17">
      <c r="A17" s="7" t="s">
        <v>14</v>
      </c>
      <c r="B17" s="7">
        <v>15</v>
      </c>
      <c r="C17" s="7">
        <v>2</v>
      </c>
      <c r="D17" s="122">
        <v>2022</v>
      </c>
      <c r="E17" s="152">
        <f>'Athens Daily - EL'!AP22</f>
        <v>30431.600000000002</v>
      </c>
      <c r="F17" s="154">
        <f>'Athens Daily - EL'!AQ22</f>
        <v>23838.399999999998</v>
      </c>
      <c r="G17" s="133">
        <f t="shared" si="1"/>
        <v>54270</v>
      </c>
      <c r="H17" s="152">
        <f>'Athens Daily - Water'!R21</f>
        <v>473.5</v>
      </c>
      <c r="I17" s="123">
        <f>'Athens Daily - Water'!S21</f>
        <v>152</v>
      </c>
      <c r="J17" s="129">
        <f t="shared" si="0"/>
        <v>625.5</v>
      </c>
      <c r="K17" s="152">
        <f>'Athens Daily - Gas'!BH23</f>
        <v>124013.76000000001</v>
      </c>
      <c r="L17" s="123">
        <f>'Athens Daily - Gas'!BI23</f>
        <v>92322.239999999991</v>
      </c>
      <c r="M17" s="133">
        <f t="shared" si="2"/>
        <v>5603.1080031080028</v>
      </c>
      <c r="N17" s="160">
        <f>Occ!G24</f>
        <v>358</v>
      </c>
      <c r="O17" s="104">
        <f>Occ!H24</f>
        <v>799</v>
      </c>
      <c r="P17" s="159">
        <v>918</v>
      </c>
      <c r="Q17" s="165"/>
    </row>
    <row r="18" spans="1:17">
      <c r="A18" s="7" t="s">
        <v>14</v>
      </c>
      <c r="B18" s="7">
        <v>16</v>
      </c>
      <c r="C18" s="7">
        <v>2</v>
      </c>
      <c r="D18" s="122">
        <v>2022</v>
      </c>
      <c r="E18" s="152">
        <f>'Athens Daily - EL'!AP23</f>
        <v>27941.599999999999</v>
      </c>
      <c r="F18" s="154">
        <f>'Athens Daily - EL'!AQ23</f>
        <v>22758.400000000001</v>
      </c>
      <c r="G18" s="133">
        <f t="shared" si="1"/>
        <v>50700</v>
      </c>
      <c r="H18" s="152">
        <f>'Athens Daily - Water'!R22</f>
        <v>442.4</v>
      </c>
      <c r="I18" s="123">
        <f>'Athens Daily - Water'!S22</f>
        <v>142.1</v>
      </c>
      <c r="J18" s="129">
        <f t="shared" si="0"/>
        <v>584.5</v>
      </c>
      <c r="K18" s="152">
        <f>'Athens Daily - Gas'!BH24</f>
        <v>123982.56</v>
      </c>
      <c r="L18" s="123">
        <f>'Athens Daily - Gas'!BI24</f>
        <v>93889.44</v>
      </c>
      <c r="M18" s="133">
        <f t="shared" si="2"/>
        <v>5642.8904428904434</v>
      </c>
      <c r="N18" s="160">
        <f>Occ!G25</f>
        <v>360</v>
      </c>
      <c r="O18" s="104">
        <f>Occ!H25</f>
        <v>799</v>
      </c>
      <c r="P18" s="159">
        <v>918</v>
      </c>
      <c r="Q18" s="164"/>
    </row>
    <row r="19" spans="1:17">
      <c r="A19" s="7" t="s">
        <v>14</v>
      </c>
      <c r="B19" s="7">
        <v>17</v>
      </c>
      <c r="C19" s="7">
        <v>2</v>
      </c>
      <c r="D19" s="122">
        <v>2022</v>
      </c>
      <c r="E19" s="152">
        <f>'Athens Daily - EL'!AP24</f>
        <v>29008</v>
      </c>
      <c r="F19" s="154">
        <f>'Athens Daily - EL'!AQ24</f>
        <v>23212</v>
      </c>
      <c r="G19" s="133">
        <f t="shared" si="1"/>
        <v>52220</v>
      </c>
      <c r="H19" s="152">
        <f>'Athens Daily - Water'!R23</f>
        <v>516.70000000000005</v>
      </c>
      <c r="I19" s="123">
        <f>'Athens Daily - Water'!S23</f>
        <v>141.30000000000001</v>
      </c>
      <c r="J19" s="129">
        <f t="shared" si="0"/>
        <v>658</v>
      </c>
      <c r="K19" s="152">
        <f>'Athens Daily - Gas'!BH25</f>
        <v>110839.2</v>
      </c>
      <c r="L19" s="123">
        <f>'Athens Daily - Gas'!BI25</f>
        <v>84328.799999999988</v>
      </c>
      <c r="M19" s="133">
        <f t="shared" si="2"/>
        <v>5054.856254856255</v>
      </c>
      <c r="N19" s="160">
        <f>Occ!G26</f>
        <v>356</v>
      </c>
      <c r="O19" s="104">
        <f>Occ!H26</f>
        <v>790</v>
      </c>
      <c r="P19" s="159">
        <v>918</v>
      </c>
      <c r="Q19" s="164"/>
    </row>
    <row r="20" spans="1:17">
      <c r="A20" s="7" t="s">
        <v>14</v>
      </c>
      <c r="B20" s="7">
        <v>18</v>
      </c>
      <c r="C20" s="7">
        <v>2</v>
      </c>
      <c r="D20" s="122">
        <v>2022</v>
      </c>
      <c r="E20" s="152">
        <f>'Athens Daily - EL'!AP25</f>
        <v>27546.800000000003</v>
      </c>
      <c r="F20" s="154">
        <f>'Athens Daily - EL'!AQ25</f>
        <v>22713.200000000001</v>
      </c>
      <c r="G20" s="133">
        <f t="shared" si="1"/>
        <v>50260</v>
      </c>
      <c r="H20" s="152">
        <f>'Athens Daily - Water'!R24</f>
        <v>540.85</v>
      </c>
      <c r="I20" s="123">
        <f>'Athens Daily - Water'!S24</f>
        <v>146.15</v>
      </c>
      <c r="J20" s="129">
        <f t="shared" si="0"/>
        <v>687</v>
      </c>
      <c r="K20" s="152">
        <f>'Athens Daily - Gas'!BH26</f>
        <v>126125.28</v>
      </c>
      <c r="L20" s="123">
        <f>'Athens Daily - Gas'!BI26</f>
        <v>96498.72</v>
      </c>
      <c r="M20" s="133">
        <f t="shared" si="2"/>
        <v>5765.9673659673663</v>
      </c>
      <c r="N20" s="160">
        <f>Occ!G27</f>
        <v>370</v>
      </c>
      <c r="O20" s="104">
        <f>Occ!H27</f>
        <v>819</v>
      </c>
      <c r="P20" s="159">
        <v>918</v>
      </c>
      <c r="Q20" s="164"/>
    </row>
    <row r="21" spans="1:17">
      <c r="A21" s="7" t="s">
        <v>14</v>
      </c>
      <c r="B21" s="7">
        <v>19</v>
      </c>
      <c r="C21" s="7">
        <v>2</v>
      </c>
      <c r="D21" s="122">
        <v>2022</v>
      </c>
      <c r="E21" s="152">
        <f>'Athens Daily - EL'!AP26</f>
        <v>28192.6</v>
      </c>
      <c r="F21" s="154">
        <f>'Athens Daily - EL'!AQ26</f>
        <v>22037.4</v>
      </c>
      <c r="G21" s="133">
        <f t="shared" si="1"/>
        <v>50230</v>
      </c>
      <c r="H21" s="152">
        <f>'Athens Daily - Water'!R25</f>
        <v>484.95</v>
      </c>
      <c r="I21" s="123">
        <f>'Athens Daily - Water'!S25</f>
        <v>135.05000000000001</v>
      </c>
      <c r="J21" s="129">
        <f t="shared" si="0"/>
        <v>620</v>
      </c>
      <c r="K21" s="152">
        <f>'Athens Daily - Gas'!BH27</f>
        <v>127921.92</v>
      </c>
      <c r="L21" s="172">
        <f>'Athens Daily - Gas'!BI27</f>
        <v>96862.080000000002</v>
      </c>
      <c r="M21" s="133">
        <f t="shared" si="2"/>
        <v>5821.9114219114217</v>
      </c>
      <c r="N21" s="160">
        <f>Occ!G28</f>
        <v>396</v>
      </c>
      <c r="O21" s="104">
        <f>Occ!H28</f>
        <v>878</v>
      </c>
      <c r="P21" s="159">
        <v>918</v>
      </c>
      <c r="Q21" s="164"/>
    </row>
    <row r="22" spans="1:17">
      <c r="A22" s="7" t="s">
        <v>14</v>
      </c>
      <c r="B22" s="7">
        <v>20</v>
      </c>
      <c r="C22" s="7">
        <v>2</v>
      </c>
      <c r="D22" s="122">
        <v>2022</v>
      </c>
      <c r="E22" s="152">
        <f>'Athens Daily - EL'!AP27</f>
        <v>27456.000000000004</v>
      </c>
      <c r="F22" s="154">
        <f>'Athens Daily - EL'!AQ27</f>
        <v>21774</v>
      </c>
      <c r="G22" s="133">
        <f t="shared" si="1"/>
        <v>49230</v>
      </c>
      <c r="H22" s="152">
        <f>'Athens Daily - Water'!R26</f>
        <v>627.95000000000005</v>
      </c>
      <c r="I22" s="123">
        <f>'Athens Daily - Water'!S26</f>
        <v>149.05000000000001</v>
      </c>
      <c r="J22" s="129">
        <f t="shared" si="0"/>
        <v>777</v>
      </c>
      <c r="K22" s="152">
        <f>'Athens Daily - Gas'!BH28</f>
        <v>133149.6</v>
      </c>
      <c r="L22" s="123">
        <f>'Athens Daily - Gas'!BI28</f>
        <v>103154.4</v>
      </c>
      <c r="M22" s="133">
        <f t="shared" si="2"/>
        <v>6120.2797202797201</v>
      </c>
      <c r="N22" s="160">
        <f>Occ!G29</f>
        <v>370</v>
      </c>
      <c r="O22" s="104">
        <f>Occ!H29</f>
        <v>822</v>
      </c>
      <c r="P22" s="159">
        <v>918</v>
      </c>
      <c r="Q22" s="165"/>
    </row>
    <row r="23" spans="1:17">
      <c r="A23" s="7" t="s">
        <v>14</v>
      </c>
      <c r="B23" s="7">
        <v>21</v>
      </c>
      <c r="C23" s="7">
        <v>2</v>
      </c>
      <c r="D23" s="122">
        <v>2022</v>
      </c>
      <c r="E23" s="152">
        <f>'Athens Daily - EL'!AP28</f>
        <v>32566.399999999998</v>
      </c>
      <c r="F23" s="154">
        <f>'Athens Daily - EL'!AQ28</f>
        <v>25043.599999999999</v>
      </c>
      <c r="G23" s="133">
        <f t="shared" si="1"/>
        <v>57610</v>
      </c>
      <c r="H23" s="171">
        <f>'Athens Daily - Water'!R27</f>
        <v>450.15</v>
      </c>
      <c r="I23" s="123">
        <f>'Athens Daily - Water'!S27</f>
        <v>125.85</v>
      </c>
      <c r="J23" s="129">
        <f t="shared" si="0"/>
        <v>576</v>
      </c>
      <c r="K23" s="152">
        <f>'Athens Daily - Gas'!BH29</f>
        <v>141495.84000000003</v>
      </c>
      <c r="L23" s="123">
        <f>'Athens Daily - Gas'!BI29</f>
        <v>112568.15999999999</v>
      </c>
      <c r="M23" s="133">
        <f t="shared" si="2"/>
        <v>6580.2641802641801</v>
      </c>
      <c r="N23" s="160">
        <f>Occ!G30</f>
        <v>345</v>
      </c>
      <c r="O23" s="104">
        <f>Occ!H30</f>
        <v>772</v>
      </c>
      <c r="P23" s="159">
        <v>918</v>
      </c>
      <c r="Q23" s="165"/>
    </row>
    <row r="24" spans="1:17">
      <c r="A24" s="7" t="s">
        <v>14</v>
      </c>
      <c r="B24" s="7">
        <v>22</v>
      </c>
      <c r="C24" s="7">
        <v>2</v>
      </c>
      <c r="D24" s="122">
        <v>2022</v>
      </c>
      <c r="E24" s="152">
        <f>'Athens Daily - EL'!AP29</f>
        <v>31409.8</v>
      </c>
      <c r="F24" s="154">
        <f>'Athens Daily - EL'!AQ29</f>
        <v>23980.2</v>
      </c>
      <c r="G24" s="133">
        <f t="shared" si="1"/>
        <v>55390</v>
      </c>
      <c r="H24" s="171">
        <f>'Athens Daily - Water'!R28</f>
        <v>390.15</v>
      </c>
      <c r="I24" s="123">
        <f>'Athens Daily - Water'!S28</f>
        <v>148.85</v>
      </c>
      <c r="J24" s="129">
        <f t="shared" si="0"/>
        <v>539</v>
      </c>
      <c r="K24" s="152">
        <f>'Athens Daily - Gas'!BH30</f>
        <v>145609.91999999998</v>
      </c>
      <c r="L24" s="123">
        <f>'Athens Daily - Gas'!BI30</f>
        <v>114982.08</v>
      </c>
      <c r="M24" s="133">
        <f t="shared" si="2"/>
        <v>6749.3395493395492</v>
      </c>
      <c r="N24" s="160">
        <f>Occ!G31</f>
        <v>351</v>
      </c>
      <c r="O24" s="104">
        <f>Occ!H31</f>
        <v>783</v>
      </c>
      <c r="P24" s="159">
        <v>918</v>
      </c>
      <c r="Q24" s="165"/>
    </row>
    <row r="25" spans="1:17">
      <c r="A25" s="7" t="s">
        <v>14</v>
      </c>
      <c r="B25" s="7">
        <v>23</v>
      </c>
      <c r="C25" s="7">
        <v>2</v>
      </c>
      <c r="D25" s="122">
        <v>2022</v>
      </c>
      <c r="E25" s="152">
        <f>'Athens Daily - EL'!AP30</f>
        <v>33037</v>
      </c>
      <c r="F25" s="154">
        <f>'Athens Daily - EL'!AQ30</f>
        <v>28333</v>
      </c>
      <c r="G25" s="133">
        <f t="shared" si="1"/>
        <v>61370</v>
      </c>
      <c r="H25" s="171">
        <f>'Athens Daily - Water'!R29</f>
        <v>303.25</v>
      </c>
      <c r="I25" s="123">
        <f>'Athens Daily - Water'!S29</f>
        <v>141.75</v>
      </c>
      <c r="J25" s="129">
        <f t="shared" si="0"/>
        <v>445</v>
      </c>
      <c r="K25" s="171">
        <f>'Athens Daily - Gas'!BH31</f>
        <v>145228.79999999999</v>
      </c>
      <c r="L25" s="123">
        <f>'Athens Daily - Gas'!BI31</f>
        <v>119155.2</v>
      </c>
      <c r="M25" s="133">
        <f t="shared" si="2"/>
        <v>6847.552447552448</v>
      </c>
      <c r="N25" s="160">
        <f>Occ!G32</f>
        <v>340</v>
      </c>
      <c r="O25" s="104">
        <f>Occ!H32</f>
        <v>762</v>
      </c>
      <c r="P25" s="159">
        <v>918</v>
      </c>
      <c r="Q25" s="165"/>
    </row>
    <row r="26" spans="1:17">
      <c r="A26" s="7" t="s">
        <v>14</v>
      </c>
      <c r="B26" s="7">
        <v>24</v>
      </c>
      <c r="C26" s="7">
        <v>2</v>
      </c>
      <c r="D26" s="122">
        <v>2022</v>
      </c>
      <c r="E26" s="152">
        <f>'Athens Daily - EL'!AP31</f>
        <v>32777.599999999999</v>
      </c>
      <c r="F26" s="154">
        <f>'Athens Daily - EL'!AQ31</f>
        <v>26002.399999999998</v>
      </c>
      <c r="G26" s="133">
        <f t="shared" si="1"/>
        <v>58780</v>
      </c>
      <c r="H26" s="171">
        <f>'Athens Daily - Water'!R30</f>
        <v>306.89999999999998</v>
      </c>
      <c r="I26" s="123">
        <f>'Athens Daily - Water'!S30</f>
        <v>121.1</v>
      </c>
      <c r="J26" s="129">
        <f t="shared" si="0"/>
        <v>428</v>
      </c>
      <c r="K26" s="152">
        <f>'Athens Daily - Gas'!BH32</f>
        <v>144503.52000000002</v>
      </c>
      <c r="L26" s="123">
        <f>'Athens Daily - Gas'!BI32</f>
        <v>117624.48</v>
      </c>
      <c r="M26" s="133">
        <f t="shared" si="2"/>
        <v>6789.1219891219889</v>
      </c>
      <c r="N26" s="160">
        <f>Occ!G33</f>
        <v>345</v>
      </c>
      <c r="O26" s="104">
        <f>Occ!H33</f>
        <v>768</v>
      </c>
      <c r="P26" s="159">
        <v>918</v>
      </c>
      <c r="Q26" s="165"/>
    </row>
    <row r="27" spans="1:17">
      <c r="A27" s="7" t="s">
        <v>14</v>
      </c>
      <c r="B27" s="7">
        <v>25</v>
      </c>
      <c r="C27" s="7">
        <v>2</v>
      </c>
      <c r="D27" s="122">
        <v>2022</v>
      </c>
      <c r="E27" s="152">
        <f>'Athens Daily - EL'!AP32</f>
        <v>23682.499999999996</v>
      </c>
      <c r="F27" s="154">
        <f>'Athens Daily - EL'!AQ32</f>
        <v>21712.5</v>
      </c>
      <c r="G27" s="133">
        <f t="shared" si="1"/>
        <v>45395</v>
      </c>
      <c r="H27" s="152">
        <f>'Athens Daily - Water'!R31</f>
        <v>248.9</v>
      </c>
      <c r="I27" s="123">
        <f>'Athens Daily - Water'!S31</f>
        <v>124.1</v>
      </c>
      <c r="J27" s="129">
        <f t="shared" si="0"/>
        <v>373</v>
      </c>
      <c r="K27" s="152">
        <f>'Athens Daily - Gas'!BH33</f>
        <v>132733.44</v>
      </c>
      <c r="L27" s="123">
        <f>'Athens Daily - Gas'!BI33</f>
        <v>94018.559999999998</v>
      </c>
      <c r="M27" s="133">
        <f t="shared" si="2"/>
        <v>5872.8826728826725</v>
      </c>
      <c r="N27" s="160">
        <f>Occ!G34</f>
        <v>347</v>
      </c>
      <c r="O27" s="104">
        <f>Occ!H34</f>
        <v>775</v>
      </c>
      <c r="P27" s="159">
        <v>918</v>
      </c>
      <c r="Q27" s="163"/>
    </row>
    <row r="28" spans="1:17">
      <c r="A28" s="7" t="s">
        <v>14</v>
      </c>
      <c r="B28" s="7">
        <v>26</v>
      </c>
      <c r="C28" s="7">
        <v>2</v>
      </c>
      <c r="D28" s="122">
        <v>2022</v>
      </c>
      <c r="E28" s="152">
        <f>'Athens Daily - EL'!AP33</f>
        <v>23682.499999999996</v>
      </c>
      <c r="F28" s="154">
        <f>'Athens Daily - EL'!AQ33</f>
        <v>21712.5</v>
      </c>
      <c r="G28" s="133">
        <f t="shared" si="1"/>
        <v>45395</v>
      </c>
      <c r="H28" s="152">
        <f>'Athens Daily - Water'!R32</f>
        <v>234.5</v>
      </c>
      <c r="I28" s="123">
        <f>'Athens Daily - Water'!S32</f>
        <v>136.5</v>
      </c>
      <c r="J28" s="129">
        <f t="shared" si="0"/>
        <v>371</v>
      </c>
      <c r="K28" s="152">
        <f>'Athens Daily - Gas'!BH34</f>
        <v>98321.040000000008</v>
      </c>
      <c r="L28" s="123">
        <f>'Athens Daily - Gas'!BI34</f>
        <v>84726.959999999992</v>
      </c>
      <c r="M28" s="133">
        <f t="shared" si="2"/>
        <v>4740.9479409479409</v>
      </c>
      <c r="N28" s="160">
        <f>Occ!G35</f>
        <v>381</v>
      </c>
      <c r="O28" s="104">
        <f>Occ!H35</f>
        <v>842</v>
      </c>
      <c r="P28" s="159">
        <v>918</v>
      </c>
      <c r="Q28" s="163"/>
    </row>
    <row r="29" spans="1:17">
      <c r="A29" s="7" t="s">
        <v>14</v>
      </c>
      <c r="B29" s="7">
        <v>27</v>
      </c>
      <c r="C29" s="7">
        <v>2</v>
      </c>
      <c r="D29" s="122">
        <v>2022</v>
      </c>
      <c r="E29" s="152">
        <f>'Athens Daily - EL'!AP34</f>
        <v>27282.800000000003</v>
      </c>
      <c r="F29" s="154">
        <f>'Athens Daily - EL'!AQ34</f>
        <v>23707.200000000001</v>
      </c>
      <c r="G29" s="133">
        <f t="shared" si="1"/>
        <v>50990</v>
      </c>
      <c r="H29" s="152">
        <f>'Athens Daily - Water'!R33</f>
        <v>208.97170000000042</v>
      </c>
      <c r="I29" s="123">
        <f>'Athens Daily - Water'!S33</f>
        <v>119.85</v>
      </c>
      <c r="J29" s="129">
        <f t="shared" si="0"/>
        <v>328.82170000000042</v>
      </c>
      <c r="K29" s="152">
        <f>'Athens Daily - Gas'!BH35</f>
        <v>98321.040000000008</v>
      </c>
      <c r="L29" s="123">
        <f>'Athens Daily - Gas'!BI35</f>
        <v>79926.959999999992</v>
      </c>
      <c r="M29" s="133">
        <f t="shared" si="2"/>
        <v>4616.6278166278171</v>
      </c>
      <c r="N29" s="160">
        <f>Occ!G36</f>
        <v>354</v>
      </c>
      <c r="O29" s="104">
        <f>Occ!H36</f>
        <v>783</v>
      </c>
      <c r="P29" s="159">
        <v>918</v>
      </c>
      <c r="Q29" s="163"/>
    </row>
    <row r="30" spans="1:17">
      <c r="A30" s="7" t="s">
        <v>14</v>
      </c>
      <c r="B30" s="7">
        <v>28</v>
      </c>
      <c r="C30" s="7">
        <v>2</v>
      </c>
      <c r="D30" s="122">
        <v>2022</v>
      </c>
      <c r="E30" s="152">
        <f>'Athens Daily - EL'!AP35</f>
        <v>27020</v>
      </c>
      <c r="F30" s="154">
        <f>'Athens Daily - EL'!AQ35</f>
        <v>23620</v>
      </c>
      <c r="G30" s="133">
        <f t="shared" si="1"/>
        <v>50640</v>
      </c>
      <c r="H30" s="152">
        <f>'Athens Daily - Water'!R34</f>
        <v>383.81079999999929</v>
      </c>
      <c r="I30" s="123">
        <f>'Athens Daily - Water'!S34</f>
        <v>118</v>
      </c>
      <c r="J30" s="129">
        <f t="shared" si="0"/>
        <v>501.81079999999929</v>
      </c>
      <c r="K30" s="152">
        <f>'Athens Daily - Gas'!BH36</f>
        <v>99498.240000000005</v>
      </c>
      <c r="L30" s="123">
        <f>'Athens Daily - Gas'!BI36</f>
        <v>76661.759999999995</v>
      </c>
      <c r="M30" s="133">
        <f t="shared" si="2"/>
        <v>4562.5485625485626</v>
      </c>
      <c r="N30" s="160">
        <f>Occ!G37</f>
        <v>330</v>
      </c>
      <c r="O30" s="104">
        <f>Occ!H37</f>
        <v>739</v>
      </c>
      <c r="P30" s="159">
        <v>918</v>
      </c>
      <c r="Q30" s="163"/>
    </row>
    <row r="31" spans="1:17">
      <c r="A31" s="7" t="s">
        <v>14</v>
      </c>
      <c r="B31" s="7">
        <v>29</v>
      </c>
      <c r="C31" s="7">
        <v>2</v>
      </c>
      <c r="D31" s="122">
        <v>2022</v>
      </c>
      <c r="E31" s="152">
        <f>'Athens Daily - EL'!AP36</f>
        <v>0</v>
      </c>
      <c r="F31" s="154">
        <f>'Athens Daily - EL'!AQ36</f>
        <v>0</v>
      </c>
      <c r="G31" s="133">
        <f t="shared" si="1"/>
        <v>0</v>
      </c>
      <c r="H31" s="152">
        <f>'Athens Daily - Water'!R35</f>
        <v>0</v>
      </c>
      <c r="I31" s="123">
        <f>'Athens Daily - Water'!S35</f>
        <v>0</v>
      </c>
      <c r="J31" s="129">
        <f t="shared" si="0"/>
        <v>0</v>
      </c>
      <c r="K31" s="152">
        <f>'Athens Daily - Gas'!BH37</f>
        <v>0</v>
      </c>
      <c r="L31" s="123">
        <f>'Athens Daily - Gas'!BI37</f>
        <v>0</v>
      </c>
      <c r="M31" s="133">
        <f t="shared" si="2"/>
        <v>0</v>
      </c>
      <c r="N31" s="160">
        <f>Occ!G38</f>
        <v>0</v>
      </c>
      <c r="O31" s="104">
        <f>Occ!H38</f>
        <v>0</v>
      </c>
      <c r="P31" s="159"/>
      <c r="Q31" s="163"/>
    </row>
    <row r="32" spans="1:17">
      <c r="A32" s="7" t="s">
        <v>14</v>
      </c>
      <c r="B32" s="7">
        <v>30</v>
      </c>
      <c r="C32" s="7">
        <v>2</v>
      </c>
      <c r="D32" s="122">
        <v>2022</v>
      </c>
      <c r="E32" s="152">
        <f>'Athens Daily - EL'!AP37</f>
        <v>0</v>
      </c>
      <c r="F32" s="154">
        <f>'Athens Daily - EL'!AQ37</f>
        <v>0</v>
      </c>
      <c r="G32" s="133">
        <f t="shared" si="1"/>
        <v>0</v>
      </c>
      <c r="H32" s="152">
        <f>'Athens Daily - Water'!R36</f>
        <v>0</v>
      </c>
      <c r="I32" s="123">
        <f>'Athens Daily - Water'!S36</f>
        <v>0</v>
      </c>
      <c r="J32" s="129">
        <f t="shared" si="0"/>
        <v>0</v>
      </c>
      <c r="K32" s="152">
        <f>'Athens Daily - Gas'!BH38</f>
        <v>0</v>
      </c>
      <c r="L32" s="123">
        <f>'Athens Daily - Gas'!BI38</f>
        <v>0</v>
      </c>
      <c r="M32" s="133">
        <f t="shared" si="2"/>
        <v>0</v>
      </c>
      <c r="N32" s="160">
        <f>Occ!G39</f>
        <v>0</v>
      </c>
      <c r="O32" s="104">
        <f>Occ!H39</f>
        <v>0</v>
      </c>
      <c r="P32" s="159"/>
      <c r="Q32" s="163"/>
    </row>
    <row r="33" spans="1:17" ht="15.75" thickBot="1">
      <c r="A33" s="7" t="s">
        <v>14</v>
      </c>
      <c r="B33" s="7">
        <v>31</v>
      </c>
      <c r="C33" s="7">
        <v>2</v>
      </c>
      <c r="D33" s="122">
        <v>2022</v>
      </c>
      <c r="E33" s="153">
        <f>'Athens Daily - EL'!AP38</f>
        <v>0</v>
      </c>
      <c r="F33" s="154">
        <f>'Athens Daily - EL'!AQ38</f>
        <v>0</v>
      </c>
      <c r="G33" s="134">
        <f t="shared" si="1"/>
        <v>0</v>
      </c>
      <c r="H33" s="153">
        <f>'Athens Daily - Water'!R37</f>
        <v>0</v>
      </c>
      <c r="I33" s="123">
        <f>'Athens Daily - Water'!S37</f>
        <v>0</v>
      </c>
      <c r="J33" s="130">
        <f t="shared" si="0"/>
        <v>0</v>
      </c>
      <c r="K33" s="153">
        <f>'Athens Daily - Gas'!BH39</f>
        <v>0</v>
      </c>
      <c r="L33" s="127">
        <f>'Athens Daily - Gas'!BI39</f>
        <v>0</v>
      </c>
      <c r="M33" s="134">
        <f t="shared" si="2"/>
        <v>0</v>
      </c>
      <c r="N33" s="167">
        <f>Occ!G40</f>
        <v>0</v>
      </c>
      <c r="O33" s="158">
        <f>Occ!H40</f>
        <v>0</v>
      </c>
      <c r="P33" s="157"/>
      <c r="Q33" s="16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17" sqref="J17"/>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5" t="s">
        <v>15</v>
      </c>
      <c r="B1" s="135" t="s">
        <v>16</v>
      </c>
      <c r="C1" s="136"/>
      <c r="D1" s="136"/>
      <c r="E1" s="136"/>
      <c r="F1" s="136"/>
      <c r="G1" s="136"/>
      <c r="H1" s="136"/>
      <c r="I1" s="136"/>
      <c r="J1" s="135"/>
      <c r="K1" s="135"/>
      <c r="L1" s="135"/>
      <c r="M1" s="135"/>
      <c r="N1" s="135"/>
    </row>
    <row r="2" spans="1:14">
      <c r="A2" s="135"/>
      <c r="B2" s="135"/>
      <c r="C2" s="136"/>
      <c r="D2" s="136"/>
      <c r="E2" s="136"/>
      <c r="F2" s="136"/>
      <c r="G2" s="136"/>
      <c r="H2" s="136"/>
      <c r="I2" s="136"/>
      <c r="J2" s="135"/>
      <c r="K2" s="135"/>
      <c r="L2" s="135"/>
      <c r="M2" s="135"/>
      <c r="N2" s="135"/>
    </row>
    <row r="3" spans="1:14">
      <c r="A3" s="135"/>
      <c r="B3" s="135"/>
      <c r="C3" s="137" t="s">
        <v>17</v>
      </c>
      <c r="D3" s="137"/>
      <c r="E3" s="137"/>
      <c r="F3" s="137"/>
      <c r="G3" s="137"/>
      <c r="H3" s="137"/>
      <c r="I3" s="137"/>
      <c r="J3" s="138"/>
      <c r="K3" s="138"/>
      <c r="L3" s="138"/>
      <c r="M3" s="138"/>
      <c r="N3" s="138"/>
    </row>
    <row r="4" spans="1:14">
      <c r="A4" s="135"/>
      <c r="B4" s="135"/>
      <c r="C4" s="136" t="s">
        <v>18</v>
      </c>
      <c r="D4" s="136"/>
      <c r="E4" s="136"/>
      <c r="F4" s="136"/>
      <c r="G4" s="136"/>
      <c r="H4" s="136"/>
      <c r="I4" s="136"/>
      <c r="J4" s="135"/>
      <c r="K4" s="135"/>
      <c r="L4" s="135"/>
      <c r="M4" s="135"/>
      <c r="N4" s="135"/>
    </row>
    <row r="5" spans="1:14">
      <c r="A5" s="135"/>
      <c r="B5" s="135"/>
      <c r="C5" s="136" t="s">
        <v>19</v>
      </c>
      <c r="D5" s="136"/>
      <c r="E5" s="136"/>
      <c r="F5" s="136"/>
      <c r="G5" s="136"/>
      <c r="H5" s="136"/>
      <c r="I5" s="136"/>
      <c r="J5" s="135"/>
      <c r="K5" s="135"/>
      <c r="L5" s="135"/>
      <c r="M5" s="135"/>
      <c r="N5" s="135"/>
    </row>
    <row r="6" spans="1:14">
      <c r="A6" s="135"/>
      <c r="B6" s="135"/>
      <c r="C6" s="136" t="s">
        <v>12</v>
      </c>
      <c r="D6" s="136"/>
      <c r="E6" s="136"/>
      <c r="F6" s="136"/>
      <c r="G6" s="136"/>
      <c r="H6" s="136"/>
      <c r="I6" s="136"/>
      <c r="J6" s="135"/>
      <c r="K6" s="135"/>
      <c r="L6" s="135"/>
      <c r="M6" s="135"/>
      <c r="N6" s="135"/>
    </row>
    <row r="7" spans="1:14">
      <c r="A7" s="135"/>
      <c r="B7" s="135" t="s">
        <v>20</v>
      </c>
      <c r="C7" s="136" t="s">
        <v>399</v>
      </c>
      <c r="D7" s="136"/>
      <c r="E7" s="136"/>
      <c r="F7" s="136"/>
      <c r="G7" s="136"/>
      <c r="H7" s="136"/>
      <c r="I7" s="136"/>
      <c r="J7" s="135"/>
      <c r="K7" s="135"/>
      <c r="L7" s="135"/>
      <c r="M7" s="135"/>
      <c r="N7" s="135"/>
    </row>
    <row r="8" spans="1:14" ht="15.75" thickBot="1">
      <c r="A8" s="135"/>
      <c r="B8" s="135" t="s">
        <v>21</v>
      </c>
      <c r="C8" s="139"/>
      <c r="D8" s="139"/>
      <c r="E8" s="139"/>
      <c r="F8" s="139"/>
      <c r="G8" s="208" t="s">
        <v>22</v>
      </c>
      <c r="H8" s="209"/>
      <c r="I8" s="136"/>
      <c r="J8" s="135"/>
      <c r="K8" s="135"/>
      <c r="L8" s="135"/>
      <c r="M8" s="135"/>
      <c r="N8" s="135"/>
    </row>
    <row r="9" spans="1:14">
      <c r="A9" s="135"/>
      <c r="B9" s="140" t="s">
        <v>23</v>
      </c>
      <c r="C9" s="141" t="s">
        <v>24</v>
      </c>
      <c r="D9" s="142" t="s">
        <v>25</v>
      </c>
      <c r="E9" s="141" t="s">
        <v>26</v>
      </c>
      <c r="F9" s="142" t="s">
        <v>25</v>
      </c>
      <c r="G9" s="141" t="s">
        <v>27</v>
      </c>
      <c r="H9" s="142" t="s">
        <v>11</v>
      </c>
      <c r="I9" s="143" t="s">
        <v>12</v>
      </c>
      <c r="J9" s="135"/>
      <c r="K9" s="135"/>
      <c r="L9" s="135"/>
      <c r="M9" s="135"/>
      <c r="N9" s="135"/>
    </row>
    <row r="10" spans="1:14">
      <c r="A10" s="135"/>
      <c r="B10" s="144" t="s">
        <v>28</v>
      </c>
      <c r="C10" s="145">
        <v>74</v>
      </c>
      <c r="D10" s="146">
        <v>177</v>
      </c>
      <c r="E10" s="145">
        <v>326</v>
      </c>
      <c r="F10" s="146">
        <v>735</v>
      </c>
      <c r="G10" s="166">
        <f>SUM(C10+E10)</f>
        <v>400</v>
      </c>
      <c r="H10" s="146">
        <f>D10+F10</f>
        <v>912</v>
      </c>
      <c r="I10" s="143">
        <v>918</v>
      </c>
      <c r="J10" s="135"/>
      <c r="K10" s="135"/>
      <c r="L10" s="135"/>
      <c r="M10" s="135"/>
      <c r="N10" s="135"/>
    </row>
    <row r="11" spans="1:14">
      <c r="A11" s="135"/>
      <c r="B11" s="144" t="s">
        <v>29</v>
      </c>
      <c r="C11" s="145">
        <v>84</v>
      </c>
      <c r="D11" s="146">
        <v>189</v>
      </c>
      <c r="E11" s="145">
        <v>323</v>
      </c>
      <c r="F11" s="146">
        <v>729</v>
      </c>
      <c r="G11" s="166">
        <f t="shared" ref="G11:G40" si="0">SUM(C11+E11)</f>
        <v>407</v>
      </c>
      <c r="H11" s="146">
        <f t="shared" ref="H11:H14" si="1">D11+F11</f>
        <v>918</v>
      </c>
      <c r="I11" s="143">
        <v>918</v>
      </c>
      <c r="J11" s="135"/>
      <c r="K11" s="135"/>
      <c r="L11" s="135"/>
      <c r="M11" s="135"/>
      <c r="N11" s="135"/>
    </row>
    <row r="12" spans="1:14">
      <c r="A12" s="135"/>
      <c r="B12" s="144" t="s">
        <v>30</v>
      </c>
      <c r="C12" s="145">
        <v>51</v>
      </c>
      <c r="D12" s="146">
        <v>105</v>
      </c>
      <c r="E12" s="145">
        <v>322</v>
      </c>
      <c r="F12" s="146">
        <v>726</v>
      </c>
      <c r="G12" s="166">
        <f t="shared" si="0"/>
        <v>373</v>
      </c>
      <c r="H12" s="146">
        <f t="shared" si="1"/>
        <v>831</v>
      </c>
      <c r="I12" s="143">
        <v>918</v>
      </c>
      <c r="J12" s="135"/>
      <c r="K12" s="135"/>
      <c r="L12" s="135"/>
      <c r="M12" s="135"/>
      <c r="N12" s="135"/>
    </row>
    <row r="13" spans="1:14">
      <c r="A13" s="135"/>
      <c r="B13" s="144" t="s">
        <v>31</v>
      </c>
      <c r="C13" s="145">
        <v>68</v>
      </c>
      <c r="D13" s="146">
        <v>142</v>
      </c>
      <c r="E13" s="145">
        <v>324</v>
      </c>
      <c r="F13" s="146">
        <v>729</v>
      </c>
      <c r="G13" s="166">
        <f t="shared" si="0"/>
        <v>392</v>
      </c>
      <c r="H13" s="146">
        <f t="shared" si="1"/>
        <v>871</v>
      </c>
      <c r="I13" s="143">
        <v>918</v>
      </c>
      <c r="J13" s="135"/>
      <c r="K13" s="135"/>
      <c r="L13" s="135"/>
      <c r="M13" s="135"/>
      <c r="N13" s="135"/>
    </row>
    <row r="14" spans="1:14">
      <c r="A14" s="135"/>
      <c r="B14" s="144" t="s">
        <v>32</v>
      </c>
      <c r="C14" s="145">
        <v>63</v>
      </c>
      <c r="D14" s="146">
        <v>134</v>
      </c>
      <c r="E14" s="145">
        <v>322</v>
      </c>
      <c r="F14" s="146">
        <v>722</v>
      </c>
      <c r="G14" s="166">
        <f t="shared" si="0"/>
        <v>385</v>
      </c>
      <c r="H14" s="146">
        <f t="shared" si="1"/>
        <v>856</v>
      </c>
      <c r="I14" s="143">
        <v>918</v>
      </c>
      <c r="J14" s="135"/>
      <c r="K14" s="135"/>
      <c r="L14" s="135"/>
      <c r="M14" s="135"/>
      <c r="N14" s="135"/>
    </row>
    <row r="15" spans="1:14">
      <c r="A15" s="135"/>
      <c r="B15" s="144" t="s">
        <v>33</v>
      </c>
      <c r="C15" s="145">
        <v>78</v>
      </c>
      <c r="D15" s="146">
        <v>164</v>
      </c>
      <c r="E15" s="145">
        <v>323</v>
      </c>
      <c r="F15" s="146">
        <v>724</v>
      </c>
      <c r="G15" s="166">
        <f t="shared" si="0"/>
        <v>401</v>
      </c>
      <c r="H15" s="146">
        <f t="shared" ref="H15:H40" si="2">D15+F15</f>
        <v>888</v>
      </c>
      <c r="I15" s="143">
        <v>918</v>
      </c>
      <c r="J15" s="135"/>
      <c r="K15" s="135"/>
      <c r="L15" s="135"/>
      <c r="M15" s="135"/>
      <c r="N15" s="135"/>
    </row>
    <row r="16" spans="1:14">
      <c r="A16" s="135"/>
      <c r="B16" s="144" t="s">
        <v>34</v>
      </c>
      <c r="C16" s="145">
        <v>75</v>
      </c>
      <c r="D16" s="146">
        <v>161</v>
      </c>
      <c r="E16" s="145">
        <v>324</v>
      </c>
      <c r="F16" s="146">
        <v>727</v>
      </c>
      <c r="G16" s="166">
        <f t="shared" si="0"/>
        <v>399</v>
      </c>
      <c r="H16" s="146">
        <f t="shared" si="2"/>
        <v>888</v>
      </c>
      <c r="I16" s="143">
        <v>918</v>
      </c>
      <c r="J16" s="135"/>
      <c r="K16" s="135"/>
      <c r="L16" s="135"/>
      <c r="M16" s="135"/>
      <c r="N16" s="135"/>
    </row>
    <row r="17" spans="1:14">
      <c r="A17" s="135"/>
      <c r="B17" s="144" t="s">
        <v>35</v>
      </c>
      <c r="C17" s="145">
        <v>49</v>
      </c>
      <c r="D17" s="146">
        <v>100</v>
      </c>
      <c r="E17" s="145">
        <v>323</v>
      </c>
      <c r="F17" s="146">
        <v>727</v>
      </c>
      <c r="G17" s="166">
        <f t="shared" si="0"/>
        <v>372</v>
      </c>
      <c r="H17" s="146">
        <f t="shared" si="2"/>
        <v>827</v>
      </c>
      <c r="I17" s="143">
        <v>918</v>
      </c>
      <c r="J17" s="135"/>
      <c r="K17" s="135"/>
      <c r="L17" s="135"/>
      <c r="M17" s="135"/>
      <c r="N17" s="135"/>
    </row>
    <row r="18" spans="1:14">
      <c r="A18" s="135"/>
      <c r="B18" s="144" t="s">
        <v>36</v>
      </c>
      <c r="C18" s="145">
        <v>42</v>
      </c>
      <c r="D18" s="146">
        <v>82</v>
      </c>
      <c r="E18" s="145">
        <v>323</v>
      </c>
      <c r="F18" s="146">
        <v>723</v>
      </c>
      <c r="G18" s="166">
        <f t="shared" si="0"/>
        <v>365</v>
      </c>
      <c r="H18" s="146">
        <f t="shared" si="2"/>
        <v>805</v>
      </c>
      <c r="I18" s="143">
        <v>918</v>
      </c>
      <c r="J18" s="135"/>
      <c r="K18" s="135"/>
      <c r="L18" s="135"/>
      <c r="M18" s="135"/>
      <c r="N18" s="135"/>
    </row>
    <row r="19" spans="1:14">
      <c r="A19" s="135"/>
      <c r="B19" s="144" t="s">
        <v>37</v>
      </c>
      <c r="C19" s="145">
        <v>45</v>
      </c>
      <c r="D19" s="146">
        <v>93</v>
      </c>
      <c r="E19" s="197">
        <v>323</v>
      </c>
      <c r="F19" s="146">
        <v>723</v>
      </c>
      <c r="G19" s="166">
        <f t="shared" si="0"/>
        <v>368</v>
      </c>
      <c r="H19" s="146">
        <f t="shared" si="2"/>
        <v>816</v>
      </c>
      <c r="I19" s="143">
        <v>918</v>
      </c>
      <c r="J19" s="135"/>
      <c r="K19" s="135"/>
      <c r="L19" s="135"/>
      <c r="M19" s="135"/>
      <c r="N19" s="135"/>
    </row>
    <row r="20" spans="1:14">
      <c r="A20" s="135"/>
      <c r="B20" s="144" t="s">
        <v>38</v>
      </c>
      <c r="C20" s="145">
        <v>57</v>
      </c>
      <c r="D20" s="146">
        <v>120</v>
      </c>
      <c r="E20" s="145">
        <v>322</v>
      </c>
      <c r="F20" s="146">
        <v>722</v>
      </c>
      <c r="G20" s="166">
        <f t="shared" si="0"/>
        <v>379</v>
      </c>
      <c r="H20" s="146">
        <f t="shared" si="2"/>
        <v>842</v>
      </c>
      <c r="I20" s="143">
        <v>918</v>
      </c>
      <c r="J20" s="135"/>
      <c r="K20" s="135"/>
      <c r="L20" s="135"/>
      <c r="M20" s="135"/>
      <c r="N20" s="135"/>
    </row>
    <row r="21" spans="1:14">
      <c r="A21" s="135"/>
      <c r="B21" s="144" t="s">
        <v>39</v>
      </c>
      <c r="C21" s="145">
        <v>75</v>
      </c>
      <c r="D21" s="146">
        <v>157</v>
      </c>
      <c r="E21" s="166">
        <v>319</v>
      </c>
      <c r="F21" s="146">
        <v>719</v>
      </c>
      <c r="G21" s="166">
        <f t="shared" ref="G21:G34" si="3">SUM(C21+E21)</f>
        <v>394</v>
      </c>
      <c r="H21" s="146">
        <f t="shared" ref="H21:H34" si="4">D21+F21</f>
        <v>876</v>
      </c>
      <c r="I21" s="143">
        <v>918</v>
      </c>
      <c r="J21" s="135"/>
      <c r="K21" s="135"/>
      <c r="L21" s="135"/>
      <c r="M21" s="135"/>
      <c r="N21" s="135"/>
    </row>
    <row r="22" spans="1:14">
      <c r="A22" s="135"/>
      <c r="B22" s="144" t="s">
        <v>40</v>
      </c>
      <c r="C22" s="145">
        <v>68</v>
      </c>
      <c r="D22" s="146">
        <v>137</v>
      </c>
      <c r="E22" s="166">
        <v>318</v>
      </c>
      <c r="F22" s="146">
        <v>718</v>
      </c>
      <c r="G22" s="166">
        <f t="shared" si="3"/>
        <v>386</v>
      </c>
      <c r="H22" s="146">
        <f t="shared" si="4"/>
        <v>855</v>
      </c>
      <c r="I22" s="143">
        <v>918</v>
      </c>
      <c r="J22" s="135"/>
      <c r="K22" s="135"/>
      <c r="L22" s="135"/>
      <c r="M22" s="135"/>
      <c r="N22" s="135"/>
    </row>
    <row r="23" spans="1:14">
      <c r="A23" s="135"/>
      <c r="B23" s="144" t="s">
        <v>41</v>
      </c>
      <c r="C23" s="145">
        <v>116</v>
      </c>
      <c r="D23" s="146">
        <v>230</v>
      </c>
      <c r="E23" s="166">
        <v>319</v>
      </c>
      <c r="F23" s="146">
        <v>722</v>
      </c>
      <c r="G23" s="166">
        <f t="shared" si="3"/>
        <v>435</v>
      </c>
      <c r="H23" s="146">
        <f t="shared" si="4"/>
        <v>952</v>
      </c>
      <c r="I23" s="143">
        <v>918</v>
      </c>
      <c r="J23" s="135"/>
      <c r="K23" s="135"/>
      <c r="L23" s="135"/>
      <c r="M23" s="135"/>
      <c r="N23" s="135"/>
    </row>
    <row r="24" spans="1:14">
      <c r="A24" s="135"/>
      <c r="B24" s="144" t="s">
        <v>42</v>
      </c>
      <c r="C24" s="145">
        <v>40</v>
      </c>
      <c r="D24" s="146">
        <v>77</v>
      </c>
      <c r="E24" s="166">
        <v>318</v>
      </c>
      <c r="F24" s="146">
        <v>722</v>
      </c>
      <c r="G24" s="166">
        <f t="shared" si="3"/>
        <v>358</v>
      </c>
      <c r="H24" s="146">
        <f t="shared" si="4"/>
        <v>799</v>
      </c>
      <c r="I24" s="143">
        <v>918</v>
      </c>
      <c r="J24" s="135"/>
      <c r="K24" s="135"/>
      <c r="L24" s="135"/>
      <c r="M24" s="135"/>
      <c r="N24" s="135"/>
    </row>
    <row r="25" spans="1:14">
      <c r="A25" s="135"/>
      <c r="B25" s="144" t="s">
        <v>43</v>
      </c>
      <c r="C25" s="145">
        <v>40</v>
      </c>
      <c r="D25" s="146">
        <v>73</v>
      </c>
      <c r="E25" s="166">
        <v>320</v>
      </c>
      <c r="F25" s="146">
        <v>726</v>
      </c>
      <c r="G25" s="166">
        <f t="shared" si="3"/>
        <v>360</v>
      </c>
      <c r="H25" s="146">
        <f t="shared" si="4"/>
        <v>799</v>
      </c>
      <c r="I25" s="143">
        <v>918</v>
      </c>
      <c r="J25" s="135"/>
      <c r="K25" s="135"/>
      <c r="L25" s="135"/>
      <c r="M25" s="135"/>
      <c r="N25" s="135"/>
    </row>
    <row r="26" spans="1:14">
      <c r="A26" s="135"/>
      <c r="B26" s="144" t="s">
        <v>44</v>
      </c>
      <c r="C26" s="145">
        <v>38</v>
      </c>
      <c r="D26" s="146">
        <v>66</v>
      </c>
      <c r="E26" s="166">
        <v>318</v>
      </c>
      <c r="F26" s="146">
        <v>724</v>
      </c>
      <c r="G26" s="166">
        <f t="shared" si="3"/>
        <v>356</v>
      </c>
      <c r="H26" s="146">
        <f t="shared" si="4"/>
        <v>790</v>
      </c>
      <c r="I26" s="143">
        <v>918</v>
      </c>
      <c r="J26" s="135"/>
      <c r="K26" s="135"/>
      <c r="L26" s="135"/>
      <c r="M26" s="135"/>
      <c r="N26" s="135"/>
    </row>
    <row r="27" spans="1:14">
      <c r="A27" s="135"/>
      <c r="B27" s="144" t="s">
        <v>45</v>
      </c>
      <c r="C27" s="145">
        <v>53</v>
      </c>
      <c r="D27" s="146">
        <v>98</v>
      </c>
      <c r="E27" s="166">
        <v>317</v>
      </c>
      <c r="F27" s="146">
        <v>721</v>
      </c>
      <c r="G27" s="166">
        <f t="shared" si="3"/>
        <v>370</v>
      </c>
      <c r="H27" s="146">
        <f t="shared" si="4"/>
        <v>819</v>
      </c>
      <c r="I27" s="143">
        <v>918</v>
      </c>
      <c r="J27" s="135"/>
      <c r="K27" s="135"/>
      <c r="L27" s="135"/>
      <c r="M27" s="135"/>
      <c r="N27" s="135"/>
    </row>
    <row r="28" spans="1:14">
      <c r="A28" s="135"/>
      <c r="B28" s="144" t="s">
        <v>46</v>
      </c>
      <c r="C28" s="145">
        <v>79</v>
      </c>
      <c r="D28" s="146">
        <v>158</v>
      </c>
      <c r="E28" s="166">
        <v>317</v>
      </c>
      <c r="F28" s="146">
        <v>720</v>
      </c>
      <c r="G28" s="166">
        <f t="shared" si="3"/>
        <v>396</v>
      </c>
      <c r="H28" s="146">
        <f t="shared" si="4"/>
        <v>878</v>
      </c>
      <c r="I28" s="143">
        <v>918</v>
      </c>
      <c r="J28" s="135"/>
      <c r="K28" s="135"/>
      <c r="L28" s="135"/>
      <c r="M28" s="135"/>
      <c r="N28" s="135"/>
    </row>
    <row r="29" spans="1:14">
      <c r="A29" s="135"/>
      <c r="B29" s="144" t="s">
        <v>47</v>
      </c>
      <c r="C29" s="145">
        <v>54</v>
      </c>
      <c r="D29" s="146">
        <v>104</v>
      </c>
      <c r="E29" s="166">
        <v>316</v>
      </c>
      <c r="F29" s="146">
        <v>718</v>
      </c>
      <c r="G29" s="166">
        <f t="shared" si="3"/>
        <v>370</v>
      </c>
      <c r="H29" s="146">
        <f t="shared" si="4"/>
        <v>822</v>
      </c>
      <c r="I29" s="143">
        <v>918</v>
      </c>
      <c r="J29" s="135"/>
      <c r="K29" s="135"/>
      <c r="L29" s="135"/>
      <c r="M29" s="135"/>
      <c r="N29" s="135"/>
    </row>
    <row r="30" spans="1:14">
      <c r="A30" s="135"/>
      <c r="B30" s="144" t="s">
        <v>48</v>
      </c>
      <c r="C30" s="145">
        <v>29</v>
      </c>
      <c r="D30" s="146">
        <v>54</v>
      </c>
      <c r="E30" s="166">
        <v>316</v>
      </c>
      <c r="F30" s="146">
        <v>718</v>
      </c>
      <c r="G30" s="166">
        <f t="shared" si="3"/>
        <v>345</v>
      </c>
      <c r="H30" s="146">
        <f t="shared" si="4"/>
        <v>772</v>
      </c>
      <c r="I30" s="143">
        <v>918</v>
      </c>
      <c r="J30" s="135"/>
      <c r="K30" s="135"/>
      <c r="L30" s="135"/>
      <c r="M30" s="135"/>
      <c r="N30" s="135"/>
    </row>
    <row r="31" spans="1:14">
      <c r="A31" s="135"/>
      <c r="B31" s="144" t="s">
        <v>49</v>
      </c>
      <c r="C31" s="145">
        <v>35</v>
      </c>
      <c r="D31" s="146">
        <v>65</v>
      </c>
      <c r="E31" s="166">
        <v>316</v>
      </c>
      <c r="F31" s="146">
        <v>718</v>
      </c>
      <c r="G31" s="166">
        <f t="shared" si="3"/>
        <v>351</v>
      </c>
      <c r="H31" s="146">
        <f t="shared" si="4"/>
        <v>783</v>
      </c>
      <c r="I31" s="143">
        <v>918</v>
      </c>
      <c r="J31" s="135"/>
      <c r="K31" s="135"/>
      <c r="L31" s="135"/>
      <c r="M31" s="135"/>
      <c r="N31" s="135"/>
    </row>
    <row r="32" spans="1:14">
      <c r="A32" s="135"/>
      <c r="B32" s="144" t="s">
        <v>50</v>
      </c>
      <c r="C32" s="145">
        <v>25</v>
      </c>
      <c r="D32" s="146">
        <v>45</v>
      </c>
      <c r="E32" s="166">
        <v>315</v>
      </c>
      <c r="F32" s="146">
        <v>717</v>
      </c>
      <c r="G32" s="166">
        <f t="shared" si="3"/>
        <v>340</v>
      </c>
      <c r="H32" s="146">
        <f t="shared" si="4"/>
        <v>762</v>
      </c>
      <c r="I32" s="143">
        <v>918</v>
      </c>
      <c r="J32" s="135"/>
      <c r="K32" s="135"/>
      <c r="L32" s="135"/>
      <c r="M32" s="135"/>
      <c r="N32" s="135"/>
    </row>
    <row r="33" spans="1:14">
      <c r="A33" s="135"/>
      <c r="B33" s="144" t="s">
        <v>51</v>
      </c>
      <c r="C33" s="145">
        <v>31</v>
      </c>
      <c r="D33" s="146">
        <v>57</v>
      </c>
      <c r="E33" s="166">
        <v>314</v>
      </c>
      <c r="F33" s="146">
        <v>711</v>
      </c>
      <c r="G33" s="166">
        <f t="shared" si="3"/>
        <v>345</v>
      </c>
      <c r="H33" s="146">
        <f t="shared" si="4"/>
        <v>768</v>
      </c>
      <c r="I33" s="143">
        <v>918</v>
      </c>
      <c r="J33" s="135"/>
      <c r="K33" s="135"/>
      <c r="L33" s="135"/>
      <c r="M33" s="135"/>
      <c r="N33" s="135"/>
    </row>
    <row r="34" spans="1:14">
      <c r="A34" s="135"/>
      <c r="B34" s="144" t="s">
        <v>52</v>
      </c>
      <c r="C34" s="145">
        <v>32</v>
      </c>
      <c r="D34" s="146">
        <v>62</v>
      </c>
      <c r="E34" s="166">
        <v>315</v>
      </c>
      <c r="F34" s="146">
        <v>713</v>
      </c>
      <c r="G34" s="166">
        <f t="shared" si="3"/>
        <v>347</v>
      </c>
      <c r="H34" s="146">
        <f t="shared" si="4"/>
        <v>775</v>
      </c>
      <c r="I34" s="143">
        <v>918</v>
      </c>
      <c r="J34" s="135"/>
      <c r="K34" s="135"/>
      <c r="L34" s="135"/>
      <c r="M34" s="135"/>
      <c r="N34" s="135"/>
    </row>
    <row r="35" spans="1:14">
      <c r="A35" s="135"/>
      <c r="B35" s="144" t="s">
        <v>53</v>
      </c>
      <c r="C35" s="145">
        <v>61</v>
      </c>
      <c r="D35" s="146">
        <v>123</v>
      </c>
      <c r="E35" s="145">
        <v>320</v>
      </c>
      <c r="F35" s="146">
        <v>719</v>
      </c>
      <c r="G35" s="166">
        <f t="shared" si="0"/>
        <v>381</v>
      </c>
      <c r="H35" s="146">
        <f t="shared" si="2"/>
        <v>842</v>
      </c>
      <c r="I35" s="143">
        <v>918</v>
      </c>
      <c r="J35" s="135"/>
      <c r="K35" s="135"/>
      <c r="L35" s="135"/>
      <c r="M35" s="135"/>
      <c r="N35" s="135"/>
    </row>
    <row r="36" spans="1:14">
      <c r="A36" s="135"/>
      <c r="B36" s="144" t="s">
        <v>54</v>
      </c>
      <c r="C36" s="145">
        <v>35</v>
      </c>
      <c r="D36" s="146">
        <v>67</v>
      </c>
      <c r="E36" s="145">
        <v>319</v>
      </c>
      <c r="F36" s="146">
        <v>716</v>
      </c>
      <c r="G36" s="166">
        <f t="shared" si="0"/>
        <v>354</v>
      </c>
      <c r="H36" s="146">
        <f t="shared" si="2"/>
        <v>783</v>
      </c>
      <c r="I36" s="143">
        <v>918</v>
      </c>
      <c r="J36" s="135"/>
      <c r="K36" s="135"/>
      <c r="L36" s="135"/>
      <c r="M36" s="135"/>
      <c r="N36" s="135"/>
    </row>
    <row r="37" spans="1:14">
      <c r="A37" s="135"/>
      <c r="B37" s="144" t="s">
        <v>55</v>
      </c>
      <c r="C37" s="145">
        <v>17</v>
      </c>
      <c r="D37" s="146">
        <v>33</v>
      </c>
      <c r="E37" s="145">
        <v>313</v>
      </c>
      <c r="F37" s="146">
        <v>706</v>
      </c>
      <c r="G37" s="166">
        <f t="shared" si="0"/>
        <v>330</v>
      </c>
      <c r="H37" s="146">
        <f t="shared" si="2"/>
        <v>739</v>
      </c>
      <c r="I37" s="143">
        <v>918</v>
      </c>
      <c r="J37" s="135"/>
      <c r="K37" s="135"/>
      <c r="L37" s="135"/>
      <c r="M37" s="135"/>
      <c r="N37" s="135"/>
    </row>
    <row r="38" spans="1:14" s="179" customFormat="1">
      <c r="A38" s="173"/>
      <c r="B38" s="174"/>
      <c r="C38" s="175"/>
      <c r="D38" s="176"/>
      <c r="E38" s="175"/>
      <c r="F38" s="176"/>
      <c r="G38" s="177">
        <f t="shared" si="0"/>
        <v>0</v>
      </c>
      <c r="H38" s="176">
        <f t="shared" si="2"/>
        <v>0</v>
      </c>
      <c r="I38" s="178">
        <v>918</v>
      </c>
      <c r="J38" s="173"/>
      <c r="K38" s="173"/>
      <c r="L38" s="173"/>
      <c r="M38" s="173"/>
      <c r="N38" s="173"/>
    </row>
    <row r="39" spans="1:14" s="179" customFormat="1">
      <c r="A39" s="173"/>
      <c r="B39" s="174"/>
      <c r="C39" s="175"/>
      <c r="D39" s="176"/>
      <c r="E39" s="175"/>
      <c r="F39" s="176"/>
      <c r="G39" s="177">
        <f t="shared" si="0"/>
        <v>0</v>
      </c>
      <c r="H39" s="176">
        <f t="shared" si="2"/>
        <v>0</v>
      </c>
      <c r="I39" s="178">
        <v>918</v>
      </c>
      <c r="J39" s="173"/>
      <c r="K39" s="173"/>
      <c r="L39" s="173"/>
      <c r="M39" s="173"/>
      <c r="N39" s="173"/>
    </row>
    <row r="40" spans="1:14" s="179" customFormat="1" ht="15.75" thickBot="1">
      <c r="A40" s="173"/>
      <c r="B40" s="174"/>
      <c r="C40" s="180"/>
      <c r="D40" s="181"/>
      <c r="E40" s="180"/>
      <c r="F40" s="181"/>
      <c r="G40" s="182">
        <f t="shared" si="0"/>
        <v>0</v>
      </c>
      <c r="H40" s="181">
        <f t="shared" si="2"/>
        <v>0</v>
      </c>
      <c r="I40" s="178">
        <v>918</v>
      </c>
      <c r="J40" s="173"/>
      <c r="K40" s="173"/>
      <c r="L40" s="173"/>
      <c r="M40" s="173"/>
      <c r="N40" s="173"/>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56</v>
      </c>
      <c r="G1" s="6" t="s">
        <v>7</v>
      </c>
      <c r="H1" s="6" t="s">
        <v>8</v>
      </c>
      <c r="I1" s="6" t="s">
        <v>57</v>
      </c>
      <c r="J1" s="6" t="s">
        <v>9</v>
      </c>
      <c r="K1" s="6" t="s">
        <v>58</v>
      </c>
      <c r="L1" s="5" t="s">
        <v>59</v>
      </c>
      <c r="M1" s="5" t="s">
        <v>60</v>
      </c>
      <c r="N1" s="2" t="s">
        <v>13</v>
      </c>
    </row>
    <row r="2" spans="1:14">
      <c r="A2" s="7" t="s">
        <v>14</v>
      </c>
      <c r="B2" s="7">
        <v>1</v>
      </c>
      <c r="C2" s="7">
        <v>1</v>
      </c>
      <c r="D2" s="7">
        <v>2021</v>
      </c>
      <c r="E2" s="104">
        <f>'Athens Daily - EL'!AP8</f>
        <v>28186.400000000001</v>
      </c>
      <c r="F2" s="104"/>
      <c r="G2" s="104">
        <f>'Athens Daily - Gas'!BH9</f>
        <v>139503.84000000003</v>
      </c>
      <c r="H2" s="104">
        <f>G2/38.3</f>
        <v>3642.397911227155</v>
      </c>
      <c r="I2" s="104"/>
      <c r="J2" s="104">
        <f>'Athens Daily - Water'!R7</f>
        <v>497.73309999999913</v>
      </c>
      <c r="K2" s="104"/>
      <c r="L2" s="105">
        <v>142</v>
      </c>
      <c r="M2" s="104">
        <f>L2*2</f>
        <v>284</v>
      </c>
      <c r="N2" s="101">
        <v>10</v>
      </c>
    </row>
    <row r="3" spans="1:14">
      <c r="A3" s="7" t="s">
        <v>14</v>
      </c>
      <c r="B3" s="7">
        <v>2</v>
      </c>
      <c r="C3" s="7">
        <v>1</v>
      </c>
      <c r="D3" s="7">
        <v>2021</v>
      </c>
      <c r="E3" s="104">
        <f>'Athens Daily - EL'!AP9</f>
        <v>29622</v>
      </c>
      <c r="F3" s="104"/>
      <c r="G3" s="104">
        <f>'Athens Daily - Gas'!BH10</f>
        <v>129527.04000000001</v>
      </c>
      <c r="H3" s="104">
        <f t="shared" ref="H3:H32" si="0">G3/38.3</f>
        <v>3381.9070496083555</v>
      </c>
      <c r="I3" s="104"/>
      <c r="J3" s="104">
        <f>'Athens Daily - Water'!R8</f>
        <v>393.40300000000099</v>
      </c>
      <c r="K3" s="104"/>
      <c r="L3" s="105">
        <v>102</v>
      </c>
      <c r="M3" s="104">
        <f t="shared" ref="M3:M32" si="1">L3*2</f>
        <v>204</v>
      </c>
      <c r="N3" s="101">
        <v>12</v>
      </c>
    </row>
    <row r="4" spans="1:14">
      <c r="A4" s="7" t="s">
        <v>14</v>
      </c>
      <c r="B4" s="7">
        <v>3</v>
      </c>
      <c r="C4" s="7">
        <v>1</v>
      </c>
      <c r="D4" s="7">
        <v>2021</v>
      </c>
      <c r="E4" s="104">
        <f>'Athens Daily - EL'!AP10</f>
        <v>27544.2</v>
      </c>
      <c r="F4" s="104"/>
      <c r="G4" s="104">
        <f>'Athens Daily - Gas'!BH11</f>
        <v>128834.40000000001</v>
      </c>
      <c r="H4" s="104">
        <f t="shared" si="0"/>
        <v>3363.8224543080946</v>
      </c>
      <c r="I4" s="104"/>
      <c r="J4" s="104">
        <f>'Athens Daily - Water'!R9</f>
        <v>474.48180000000031</v>
      </c>
      <c r="K4" s="104"/>
      <c r="L4" s="105">
        <v>55</v>
      </c>
      <c r="M4" s="104">
        <f t="shared" si="1"/>
        <v>110</v>
      </c>
      <c r="N4" s="101">
        <v>15</v>
      </c>
    </row>
    <row r="5" spans="1:14">
      <c r="A5" s="7" t="s">
        <v>14</v>
      </c>
      <c r="B5" s="7">
        <v>4</v>
      </c>
      <c r="C5" s="7">
        <v>1</v>
      </c>
      <c r="D5" s="7">
        <v>2021</v>
      </c>
      <c r="E5" s="104">
        <f>'Athens Daily - EL'!AP11</f>
        <v>28234.400000000001</v>
      </c>
      <c r="F5" s="104"/>
      <c r="G5" s="104">
        <f>'Athens Daily - Gas'!BH12</f>
        <v>135817.44</v>
      </c>
      <c r="H5" s="104">
        <f t="shared" si="0"/>
        <v>3546.1472584856401</v>
      </c>
      <c r="I5" s="104"/>
      <c r="J5" s="104">
        <f>'Athens Daily - Water'!R10</f>
        <v>443.43110000000053</v>
      </c>
      <c r="K5" s="104"/>
      <c r="L5" s="105">
        <v>45</v>
      </c>
      <c r="M5" s="104">
        <f t="shared" si="1"/>
        <v>90</v>
      </c>
      <c r="N5" s="101">
        <v>17</v>
      </c>
    </row>
    <row r="6" spans="1:14">
      <c r="A6" s="7" t="s">
        <v>14</v>
      </c>
      <c r="B6" s="7">
        <v>5</v>
      </c>
      <c r="C6" s="7">
        <v>1</v>
      </c>
      <c r="D6" s="7">
        <v>2021</v>
      </c>
      <c r="E6" s="104">
        <f>'Athens Daily - EL'!AP12</f>
        <v>28406.799999999999</v>
      </c>
      <c r="F6" s="104"/>
      <c r="G6" s="104">
        <f>'Athens Daily - Gas'!BH13</f>
        <v>129104.64</v>
      </c>
      <c r="H6" s="104">
        <f t="shared" si="0"/>
        <v>3370.8783289817234</v>
      </c>
      <c r="I6" s="104"/>
      <c r="J6" s="104">
        <f>'Athens Daily - Water'!R11</f>
        <v>436.83499999999839</v>
      </c>
      <c r="K6" s="104"/>
      <c r="L6" s="105">
        <v>34</v>
      </c>
      <c r="M6" s="104">
        <f t="shared" si="1"/>
        <v>68</v>
      </c>
      <c r="N6" s="101">
        <v>15</v>
      </c>
    </row>
    <row r="7" spans="1:14">
      <c r="A7" s="7" t="s">
        <v>14</v>
      </c>
      <c r="B7" s="7">
        <v>6</v>
      </c>
      <c r="C7" s="7">
        <v>1</v>
      </c>
      <c r="D7" s="7">
        <v>2021</v>
      </c>
      <c r="E7" s="104">
        <f>'Athens Daily - EL'!AP13</f>
        <v>29072</v>
      </c>
      <c r="F7" s="104"/>
      <c r="G7" s="104">
        <f>'Athens Daily - Gas'!BH14</f>
        <v>126917.28</v>
      </c>
      <c r="H7" s="104">
        <f t="shared" si="0"/>
        <v>3313.7671018276765</v>
      </c>
      <c r="I7" s="104"/>
      <c r="J7" s="104">
        <f>'Athens Daily - Water'!R12</f>
        <v>445.00700000000143</v>
      </c>
      <c r="K7" s="104"/>
      <c r="L7" s="105">
        <v>36</v>
      </c>
      <c r="M7" s="104">
        <f t="shared" si="1"/>
        <v>72</v>
      </c>
      <c r="N7" s="101"/>
    </row>
    <row r="8" spans="1:14">
      <c r="A8" s="7" t="s">
        <v>14</v>
      </c>
      <c r="B8" s="7">
        <v>7</v>
      </c>
      <c r="C8" s="7">
        <v>1</v>
      </c>
      <c r="D8" s="7">
        <v>2021</v>
      </c>
      <c r="E8" s="104">
        <f>'Athens Daily - EL'!AP14</f>
        <v>28956.600000000002</v>
      </c>
      <c r="F8" s="104"/>
      <c r="G8" s="104">
        <f>'Athens Daily - Gas'!BH15</f>
        <v>132686.88</v>
      </c>
      <c r="H8" s="104">
        <f t="shared" si="0"/>
        <v>3464.4093994778073</v>
      </c>
      <c r="I8" s="104"/>
      <c r="J8" s="104">
        <f>'Athens Daily - Water'!R13</f>
        <v>419.11199999999951</v>
      </c>
      <c r="K8" s="104"/>
      <c r="L8" s="105">
        <v>60</v>
      </c>
      <c r="M8" s="104">
        <f t="shared" si="1"/>
        <v>120</v>
      </c>
      <c r="N8" s="101"/>
    </row>
    <row r="9" spans="1:14">
      <c r="A9" s="7" t="s">
        <v>14</v>
      </c>
      <c r="B9" s="7">
        <v>8</v>
      </c>
      <c r="C9" s="7">
        <v>1</v>
      </c>
      <c r="D9" s="7">
        <v>2021</v>
      </c>
      <c r="E9" s="104">
        <f>'Athens Daily - EL'!AP15</f>
        <v>28953</v>
      </c>
      <c r="F9" s="104"/>
      <c r="G9" s="104">
        <f>'Athens Daily - Gas'!BH16</f>
        <v>126903.84000000001</v>
      </c>
      <c r="H9" s="104">
        <f t="shared" si="0"/>
        <v>3313.4161879895569</v>
      </c>
      <c r="I9" s="104"/>
      <c r="J9" s="104">
        <f>'Athens Daily - Water'!R14</f>
        <v>369.8739999999998</v>
      </c>
      <c r="K9" s="104"/>
      <c r="L9" s="105">
        <v>64</v>
      </c>
      <c r="M9" s="104">
        <f t="shared" si="1"/>
        <v>128</v>
      </c>
      <c r="N9" s="101"/>
    </row>
    <row r="10" spans="1:14">
      <c r="A10" s="7" t="s">
        <v>14</v>
      </c>
      <c r="B10" s="7">
        <v>9</v>
      </c>
      <c r="C10" s="7">
        <v>1</v>
      </c>
      <c r="D10" s="7">
        <v>2021</v>
      </c>
      <c r="E10" s="104">
        <f>'Athens Daily - EL'!AP16</f>
        <v>28824.400000000005</v>
      </c>
      <c r="F10" s="104"/>
      <c r="G10" s="104">
        <f>'Athens Daily - Gas'!BH17</f>
        <v>119125.44</v>
      </c>
      <c r="H10" s="104">
        <f t="shared" si="0"/>
        <v>3110.324804177546</v>
      </c>
      <c r="I10" s="104"/>
      <c r="J10" s="104">
        <f>'Athens Daily - Water'!R15</f>
        <v>446.74799999999959</v>
      </c>
      <c r="K10" s="104"/>
      <c r="L10" s="105">
        <v>100</v>
      </c>
      <c r="M10" s="104">
        <f t="shared" si="1"/>
        <v>200</v>
      </c>
      <c r="N10" s="101">
        <v>9</v>
      </c>
    </row>
    <row r="11" spans="1:14">
      <c r="A11" s="7" t="s">
        <v>14</v>
      </c>
      <c r="B11" s="7">
        <v>10</v>
      </c>
      <c r="C11" s="7">
        <v>1</v>
      </c>
      <c r="D11" s="7">
        <v>2021</v>
      </c>
      <c r="E11" s="104">
        <f>'Athens Daily - EL'!AP17</f>
        <v>33679.799999999996</v>
      </c>
      <c r="F11" s="104"/>
      <c r="G11" s="104">
        <f>'Athens Daily - Gas'!BH18</f>
        <v>127128.48000000001</v>
      </c>
      <c r="H11" s="104">
        <f t="shared" si="0"/>
        <v>3319.2814621409925</v>
      </c>
      <c r="I11" s="104"/>
      <c r="J11" s="104">
        <f>'Athens Daily - Water'!R16</f>
        <v>458.22500000000036</v>
      </c>
      <c r="K11" s="104"/>
      <c r="L11" s="105">
        <v>63</v>
      </c>
      <c r="M11" s="104">
        <f t="shared" si="1"/>
        <v>126</v>
      </c>
      <c r="N11" s="101">
        <v>12</v>
      </c>
    </row>
    <row r="12" spans="1:14">
      <c r="A12" s="7" t="s">
        <v>14</v>
      </c>
      <c r="B12" s="7">
        <v>11</v>
      </c>
      <c r="C12" s="7">
        <v>1</v>
      </c>
      <c r="D12" s="7">
        <v>2021</v>
      </c>
      <c r="E12" s="104">
        <f>'Athens Daily - EL'!AP18</f>
        <v>27014.800000000003</v>
      </c>
      <c r="F12" s="104"/>
      <c r="G12" s="104">
        <f>'Athens Daily - Gas'!BH19</f>
        <v>102315.84</v>
      </c>
      <c r="H12" s="104">
        <f t="shared" si="0"/>
        <v>2671.4318537859008</v>
      </c>
      <c r="I12" s="104"/>
      <c r="J12" s="104">
        <f>'Athens Daily - Water'!R17</f>
        <v>417.2</v>
      </c>
      <c r="K12" s="104"/>
      <c r="L12" s="105">
        <v>39</v>
      </c>
      <c r="M12" s="104">
        <f t="shared" si="1"/>
        <v>78</v>
      </c>
      <c r="N12" s="101">
        <v>12</v>
      </c>
    </row>
    <row r="13" spans="1:14">
      <c r="A13" s="7" t="s">
        <v>14</v>
      </c>
      <c r="B13" s="7">
        <v>12</v>
      </c>
      <c r="C13" s="7">
        <v>1</v>
      </c>
      <c r="D13" s="7">
        <v>2021</v>
      </c>
      <c r="E13" s="104">
        <f>'Athens Daily - EL'!AP19</f>
        <v>27094.2</v>
      </c>
      <c r="F13" s="104"/>
      <c r="G13" s="104">
        <f>'Athens Daily - Gas'!BH20</f>
        <v>101130.24000000001</v>
      </c>
      <c r="H13" s="104">
        <f t="shared" si="0"/>
        <v>2640.4762402088777</v>
      </c>
      <c r="I13" s="104"/>
      <c r="J13" s="104">
        <f>'Athens Daily - Water'!R18</f>
        <v>448.7</v>
      </c>
      <c r="K13" s="104"/>
      <c r="L13" s="105">
        <v>43</v>
      </c>
      <c r="M13" s="104">
        <f t="shared" si="1"/>
        <v>86</v>
      </c>
      <c r="N13" s="101">
        <v>10</v>
      </c>
    </row>
    <row r="14" spans="1:14">
      <c r="A14" s="7" t="s">
        <v>14</v>
      </c>
      <c r="B14" s="7">
        <v>13</v>
      </c>
      <c r="C14" s="7">
        <v>1</v>
      </c>
      <c r="D14" s="7">
        <v>2021</v>
      </c>
      <c r="E14" s="104">
        <f>'Athens Daily - EL'!AP20</f>
        <v>28797.000000000004</v>
      </c>
      <c r="F14" s="104"/>
      <c r="G14" s="104">
        <f>'Athens Daily - Gas'!BH21</f>
        <v>100157.76000000001</v>
      </c>
      <c r="H14" s="104">
        <f t="shared" si="0"/>
        <v>2615.0851174934728</v>
      </c>
      <c r="I14" s="104"/>
      <c r="J14" s="104">
        <f>'Athens Daily - Water'!R19</f>
        <v>451.95</v>
      </c>
      <c r="K14" s="104"/>
      <c r="L14" s="105">
        <v>46</v>
      </c>
      <c r="M14" s="104">
        <f t="shared" si="1"/>
        <v>92</v>
      </c>
      <c r="N14" s="101">
        <v>12</v>
      </c>
    </row>
    <row r="15" spans="1:14">
      <c r="A15" s="7" t="s">
        <v>14</v>
      </c>
      <c r="B15" s="7">
        <v>14</v>
      </c>
      <c r="C15" s="7">
        <v>1</v>
      </c>
      <c r="D15" s="7">
        <v>2021</v>
      </c>
      <c r="E15" s="104">
        <f>'Athens Daily - EL'!AP21</f>
        <v>29598.2</v>
      </c>
      <c r="F15" s="104"/>
      <c r="G15" s="104">
        <f>'Athens Daily - Gas'!BH22</f>
        <v>109334.39999999999</v>
      </c>
      <c r="H15" s="104">
        <f t="shared" si="0"/>
        <v>2854.6840731070497</v>
      </c>
      <c r="I15" s="104"/>
      <c r="J15" s="104">
        <f>'Athens Daily - Water'!R20</f>
        <v>437.95</v>
      </c>
      <c r="K15" s="104"/>
      <c r="L15" s="105">
        <v>55</v>
      </c>
      <c r="M15" s="104">
        <f t="shared" si="1"/>
        <v>110</v>
      </c>
      <c r="N15" s="101">
        <v>13</v>
      </c>
    </row>
    <row r="16" spans="1:14">
      <c r="A16" s="7" t="s">
        <v>14</v>
      </c>
      <c r="B16" s="7">
        <v>15</v>
      </c>
      <c r="C16" s="7">
        <v>1</v>
      </c>
      <c r="D16" s="7">
        <v>2021</v>
      </c>
      <c r="E16" s="104">
        <f>'Athens Daily - EL'!AP22</f>
        <v>30431.600000000002</v>
      </c>
      <c r="F16" s="104"/>
      <c r="G16" s="104">
        <f>'Athens Daily - Gas'!BH23</f>
        <v>124013.76000000001</v>
      </c>
      <c r="H16" s="104">
        <f t="shared" si="0"/>
        <v>3237.9571801566585</v>
      </c>
      <c r="I16" s="104"/>
      <c r="J16" s="104">
        <f>'Athens Daily - Water'!R21</f>
        <v>473.5</v>
      </c>
      <c r="K16" s="104"/>
      <c r="L16" s="105">
        <v>74</v>
      </c>
      <c r="M16" s="104">
        <f t="shared" si="1"/>
        <v>148</v>
      </c>
      <c r="N16" s="101">
        <v>13</v>
      </c>
    </row>
    <row r="17" spans="1:14">
      <c r="A17" s="7" t="s">
        <v>14</v>
      </c>
      <c r="B17" s="7">
        <v>16</v>
      </c>
      <c r="C17" s="7">
        <v>1</v>
      </c>
      <c r="D17" s="7">
        <v>2021</v>
      </c>
      <c r="E17" s="104">
        <f>'Athens Daily - EL'!AP23</f>
        <v>27941.599999999999</v>
      </c>
      <c r="F17" s="104"/>
      <c r="G17" s="104">
        <f>'Athens Daily - Gas'!BH24</f>
        <v>123982.56</v>
      </c>
      <c r="H17" s="104">
        <f t="shared" si="0"/>
        <v>3237.1425587467365</v>
      </c>
      <c r="I17" s="104"/>
      <c r="J17" s="104">
        <f>'Athens Daily - Water'!R22</f>
        <v>442.4</v>
      </c>
      <c r="K17" s="104"/>
      <c r="L17" s="105">
        <v>149</v>
      </c>
      <c r="M17" s="104">
        <f t="shared" si="1"/>
        <v>298</v>
      </c>
      <c r="N17" s="106"/>
    </row>
    <row r="18" spans="1:14">
      <c r="A18" s="7" t="s">
        <v>14</v>
      </c>
      <c r="B18" s="7">
        <v>17</v>
      </c>
      <c r="C18" s="7">
        <v>1</v>
      </c>
      <c r="D18" s="7">
        <v>2021</v>
      </c>
      <c r="E18" s="104">
        <f>'Athens Daily - EL'!AP24</f>
        <v>29008</v>
      </c>
      <c r="F18" s="104"/>
      <c r="G18" s="104">
        <f>'Athens Daily - Gas'!BH25</f>
        <v>110839.2</v>
      </c>
      <c r="H18" s="104">
        <f t="shared" si="0"/>
        <v>2893.9738903394259</v>
      </c>
      <c r="I18" s="104"/>
      <c r="J18" s="104">
        <f>'Athens Daily - Water'!R23</f>
        <v>516.70000000000005</v>
      </c>
      <c r="K18" s="104"/>
      <c r="L18" s="105">
        <v>64</v>
      </c>
      <c r="M18" s="104">
        <f t="shared" si="1"/>
        <v>128</v>
      </c>
      <c r="N18" s="106"/>
    </row>
    <row r="19" spans="1:14">
      <c r="A19" s="7" t="s">
        <v>14</v>
      </c>
      <c r="B19" s="7">
        <v>18</v>
      </c>
      <c r="C19" s="7">
        <v>1</v>
      </c>
      <c r="D19" s="7">
        <v>2021</v>
      </c>
      <c r="E19" s="104">
        <f>'Athens Daily - EL'!AP25</f>
        <v>27546.800000000003</v>
      </c>
      <c r="F19" s="104"/>
      <c r="G19" s="104">
        <f>'Athens Daily - Gas'!BH26</f>
        <v>126125.28</v>
      </c>
      <c r="H19" s="104">
        <f t="shared" si="0"/>
        <v>3293.0882506527419</v>
      </c>
      <c r="I19" s="104"/>
      <c r="J19" s="104">
        <f>'Athens Daily - Water'!R24</f>
        <v>540.85</v>
      </c>
      <c r="K19" s="104"/>
      <c r="L19" s="105">
        <v>58</v>
      </c>
      <c r="M19" s="104">
        <f t="shared" si="1"/>
        <v>116</v>
      </c>
      <c r="N19" s="106"/>
    </row>
    <row r="20" spans="1:14">
      <c r="A20" s="7" t="s">
        <v>14</v>
      </c>
      <c r="B20" s="7">
        <v>19</v>
      </c>
      <c r="C20" s="7">
        <v>1</v>
      </c>
      <c r="D20" s="7">
        <v>2021</v>
      </c>
      <c r="E20" s="104">
        <f>'Athens Daily - EL'!AP26</f>
        <v>28192.6</v>
      </c>
      <c r="F20" s="104"/>
      <c r="G20" s="104">
        <f>'Athens Daily - Gas'!BH27</f>
        <v>127921.92</v>
      </c>
      <c r="H20" s="104">
        <f t="shared" si="0"/>
        <v>3339.9979112271544</v>
      </c>
      <c r="I20" s="104"/>
      <c r="J20" s="104">
        <f>'Athens Daily - Water'!R25</f>
        <v>484.95</v>
      </c>
      <c r="K20" s="104"/>
      <c r="L20" s="105">
        <v>69</v>
      </c>
      <c r="M20" s="104">
        <f t="shared" si="1"/>
        <v>138</v>
      </c>
      <c r="N20" s="106"/>
    </row>
    <row r="21" spans="1:14">
      <c r="A21" s="7" t="s">
        <v>14</v>
      </c>
      <c r="B21" s="7">
        <v>20</v>
      </c>
      <c r="C21" s="7">
        <v>1</v>
      </c>
      <c r="D21" s="7">
        <v>2021</v>
      </c>
      <c r="E21" s="104">
        <f>'Athens Daily - EL'!AP27</f>
        <v>27456.000000000004</v>
      </c>
      <c r="F21" s="104"/>
      <c r="G21" s="104">
        <f>'Athens Daily - Gas'!BH28</f>
        <v>133149.6</v>
      </c>
      <c r="H21" s="104">
        <f t="shared" si="0"/>
        <v>3476.4908616187995</v>
      </c>
      <c r="I21" s="104"/>
      <c r="J21" s="104">
        <f>'Athens Daily - Water'!R26</f>
        <v>627.95000000000005</v>
      </c>
      <c r="K21" s="104"/>
      <c r="L21" s="105">
        <v>42</v>
      </c>
      <c r="M21" s="104">
        <f t="shared" si="1"/>
        <v>84</v>
      </c>
      <c r="N21" s="101"/>
    </row>
    <row r="22" spans="1:14">
      <c r="A22" s="7" t="s">
        <v>14</v>
      </c>
      <c r="B22" s="7">
        <v>21</v>
      </c>
      <c r="C22" s="7">
        <v>1</v>
      </c>
      <c r="D22" s="7">
        <v>2021</v>
      </c>
      <c r="E22" s="104">
        <f>'Athens Daily - EL'!AP28</f>
        <v>32566.399999999998</v>
      </c>
      <c r="F22" s="104"/>
      <c r="G22" s="104">
        <f>'Athens Daily - Gas'!BH29</f>
        <v>141495.84000000003</v>
      </c>
      <c r="H22" s="104">
        <f t="shared" si="0"/>
        <v>3694.4083550913847</v>
      </c>
      <c r="I22" s="104"/>
      <c r="J22" s="104">
        <f>'Athens Daily - Water'!R27</f>
        <v>450.15</v>
      </c>
      <c r="K22" s="104"/>
      <c r="L22" s="105">
        <v>45</v>
      </c>
      <c r="M22" s="104">
        <f t="shared" si="1"/>
        <v>90</v>
      </c>
      <c r="N22" s="101"/>
    </row>
    <row r="23" spans="1:14">
      <c r="A23" s="7" t="s">
        <v>14</v>
      </c>
      <c r="B23" s="7">
        <v>22</v>
      </c>
      <c r="C23" s="7">
        <v>1</v>
      </c>
      <c r="D23" s="7">
        <v>2021</v>
      </c>
      <c r="E23" s="104">
        <f>'Athens Daily - EL'!AP29</f>
        <v>31409.8</v>
      </c>
      <c r="F23" s="104"/>
      <c r="G23" s="104">
        <f>'Athens Daily - Gas'!BH30</f>
        <v>145609.91999999998</v>
      </c>
      <c r="H23" s="104">
        <f t="shared" si="0"/>
        <v>3801.8255874673628</v>
      </c>
      <c r="I23" s="104"/>
      <c r="J23" s="104">
        <f>'Athens Daily - Water'!R28</f>
        <v>390.15</v>
      </c>
      <c r="K23" s="104"/>
      <c r="L23" s="105">
        <v>82</v>
      </c>
      <c r="M23" s="104">
        <f t="shared" si="1"/>
        <v>164</v>
      </c>
      <c r="N23" s="101">
        <v>19</v>
      </c>
    </row>
    <row r="24" spans="1:14">
      <c r="A24" s="7" t="s">
        <v>14</v>
      </c>
      <c r="B24" s="7">
        <v>23</v>
      </c>
      <c r="C24" s="7">
        <v>1</v>
      </c>
      <c r="D24" s="7">
        <v>2021</v>
      </c>
      <c r="E24" s="104">
        <f>'Athens Daily - EL'!AP30</f>
        <v>33037</v>
      </c>
      <c r="F24" s="104"/>
      <c r="G24" s="104">
        <f>'Athens Daily - Gas'!BH31</f>
        <v>145228.79999999999</v>
      </c>
      <c r="H24" s="104">
        <f t="shared" si="0"/>
        <v>3791.8746736292428</v>
      </c>
      <c r="I24" s="104"/>
      <c r="J24" s="104">
        <f>'Athens Daily - Water'!R29</f>
        <v>303.25</v>
      </c>
      <c r="K24" s="104"/>
      <c r="L24" s="105">
        <v>170</v>
      </c>
      <c r="M24" s="104">
        <f t="shared" si="1"/>
        <v>340</v>
      </c>
      <c r="N24" s="101">
        <v>20</v>
      </c>
    </row>
    <row r="25" spans="1:14">
      <c r="A25" s="7" t="s">
        <v>14</v>
      </c>
      <c r="B25" s="7">
        <v>24</v>
      </c>
      <c r="C25" s="7">
        <v>1</v>
      </c>
      <c r="D25" s="7">
        <v>2021</v>
      </c>
      <c r="E25" s="104">
        <f>'Athens Daily - EL'!AP31</f>
        <v>32777.599999999999</v>
      </c>
      <c r="F25" s="104"/>
      <c r="G25" s="104">
        <f>'Athens Daily - Gas'!BH32</f>
        <v>144503.52000000002</v>
      </c>
      <c r="H25" s="104">
        <f t="shared" si="0"/>
        <v>3772.9378590078336</v>
      </c>
      <c r="I25" s="104"/>
      <c r="J25" s="104">
        <f>'Athens Daily - Water'!R30</f>
        <v>306.89999999999998</v>
      </c>
      <c r="K25" s="104"/>
      <c r="L25" s="105">
        <v>91</v>
      </c>
      <c r="M25" s="104">
        <f t="shared" si="1"/>
        <v>182</v>
      </c>
      <c r="N25" s="101">
        <v>19</v>
      </c>
    </row>
    <row r="26" spans="1:14">
      <c r="A26" s="7" t="s">
        <v>14</v>
      </c>
      <c r="B26" s="7">
        <v>25</v>
      </c>
      <c r="C26" s="7">
        <v>1</v>
      </c>
      <c r="D26" s="7">
        <v>2021</v>
      </c>
      <c r="E26" s="104">
        <f>'Athens Daily - EL'!AP32</f>
        <v>23682.499999999996</v>
      </c>
      <c r="F26" s="104"/>
      <c r="G26" s="104">
        <f>'Athens Daily - Gas'!BH33</f>
        <v>132733.44</v>
      </c>
      <c r="H26" s="104">
        <f t="shared" si="0"/>
        <v>3465.6250652741519</v>
      </c>
      <c r="I26" s="104"/>
      <c r="J26" s="104">
        <f>'Athens Daily - Water'!R31</f>
        <v>248.9</v>
      </c>
      <c r="K26" s="104"/>
      <c r="L26" s="105">
        <v>56</v>
      </c>
      <c r="M26" s="104">
        <f t="shared" si="1"/>
        <v>112</v>
      </c>
      <c r="N26" s="102"/>
    </row>
    <row r="27" spans="1:14">
      <c r="A27" s="7" t="s">
        <v>14</v>
      </c>
      <c r="B27" s="7">
        <v>26</v>
      </c>
      <c r="C27" s="7">
        <v>1</v>
      </c>
      <c r="D27" s="7">
        <v>2021</v>
      </c>
      <c r="E27" s="104">
        <f>'Athens Daily - EL'!AP33</f>
        <v>23682.499999999996</v>
      </c>
      <c r="F27" s="104"/>
      <c r="G27" s="104">
        <f>'Athens Daily - Gas'!BH34</f>
        <v>98321.040000000008</v>
      </c>
      <c r="H27" s="104">
        <f t="shared" si="0"/>
        <v>2567.1289817232382</v>
      </c>
      <c r="I27" s="104"/>
      <c r="J27" s="104">
        <f>'Athens Daily - Water'!R32</f>
        <v>234.5</v>
      </c>
      <c r="K27" s="104"/>
      <c r="L27" s="104"/>
      <c r="M27" s="104">
        <f t="shared" si="1"/>
        <v>0</v>
      </c>
      <c r="N27" s="102"/>
    </row>
    <row r="28" spans="1:14">
      <c r="A28" s="7" t="s">
        <v>14</v>
      </c>
      <c r="B28" s="7">
        <v>27</v>
      </c>
      <c r="C28" s="7">
        <v>1</v>
      </c>
      <c r="D28" s="7">
        <v>2021</v>
      </c>
      <c r="E28" s="104">
        <f>'Athens Daily - EL'!AP34</f>
        <v>27282.800000000003</v>
      </c>
      <c r="F28" s="104"/>
      <c r="G28" s="104">
        <f>'Athens Daily - Gas'!BH35</f>
        <v>98321.040000000008</v>
      </c>
      <c r="H28" s="104">
        <f t="shared" si="0"/>
        <v>2567.1289817232382</v>
      </c>
      <c r="I28" s="104"/>
      <c r="J28" s="104">
        <f>'Athens Daily - Water'!R33</f>
        <v>208.97170000000042</v>
      </c>
      <c r="K28" s="104"/>
      <c r="L28" s="104"/>
      <c r="M28" s="104">
        <f t="shared" si="1"/>
        <v>0</v>
      </c>
      <c r="N28" s="102"/>
    </row>
    <row r="29" spans="1:14">
      <c r="A29" s="7" t="s">
        <v>14</v>
      </c>
      <c r="B29" s="7">
        <v>28</v>
      </c>
      <c r="C29" s="7">
        <v>1</v>
      </c>
      <c r="D29" s="7">
        <v>2021</v>
      </c>
      <c r="E29" s="104">
        <f>'Athens Daily - EL'!AP35</f>
        <v>27020</v>
      </c>
      <c r="F29" s="104"/>
      <c r="G29" s="104">
        <f>'Athens Daily - Gas'!BH36</f>
        <v>99498.240000000005</v>
      </c>
      <c r="H29" s="104">
        <f t="shared" si="0"/>
        <v>2597.8652741514366</v>
      </c>
      <c r="I29" s="104"/>
      <c r="J29" s="104">
        <f>'Athens Daily - Water'!R34</f>
        <v>383.81079999999929</v>
      </c>
      <c r="K29" s="104"/>
      <c r="L29" s="104"/>
      <c r="M29" s="104">
        <f t="shared" si="1"/>
        <v>0</v>
      </c>
      <c r="N29" s="102"/>
    </row>
    <row r="30" spans="1:14">
      <c r="A30" s="7" t="s">
        <v>14</v>
      </c>
      <c r="B30" s="7">
        <v>29</v>
      </c>
      <c r="C30" s="7">
        <v>1</v>
      </c>
      <c r="D30" s="7">
        <v>2021</v>
      </c>
      <c r="E30" s="104">
        <f>'Athens Daily - EL'!AP36</f>
        <v>0</v>
      </c>
      <c r="F30" s="104"/>
      <c r="G30" s="104">
        <f>'Athens Daily - Gas'!BH37</f>
        <v>0</v>
      </c>
      <c r="H30" s="104">
        <f t="shared" si="0"/>
        <v>0</v>
      </c>
      <c r="I30" s="104"/>
      <c r="J30" s="104">
        <f>'Athens Daily - Water'!R35</f>
        <v>0</v>
      </c>
      <c r="K30" s="104"/>
      <c r="L30" s="104"/>
      <c r="M30" s="104">
        <f t="shared" si="1"/>
        <v>0</v>
      </c>
      <c r="N30" s="102"/>
    </row>
    <row r="31" spans="1:14">
      <c r="A31" s="7" t="s">
        <v>14</v>
      </c>
      <c r="B31" s="7">
        <v>30</v>
      </c>
      <c r="C31" s="7">
        <v>1</v>
      </c>
      <c r="D31" s="7">
        <v>2021</v>
      </c>
      <c r="E31" s="104">
        <f>'Athens Daily - EL'!AP37</f>
        <v>0</v>
      </c>
      <c r="F31" s="104"/>
      <c r="G31" s="104">
        <f>'Athens Daily - Gas'!BH38</f>
        <v>0</v>
      </c>
      <c r="H31" s="104">
        <f t="shared" si="0"/>
        <v>0</v>
      </c>
      <c r="I31" s="104"/>
      <c r="J31" s="104">
        <f>'Athens Daily - Water'!R37</f>
        <v>0</v>
      </c>
      <c r="K31" s="104"/>
      <c r="L31" s="104"/>
      <c r="M31" s="104">
        <f t="shared" si="1"/>
        <v>0</v>
      </c>
      <c r="N31" s="102"/>
    </row>
    <row r="32" spans="1:14">
      <c r="A32" s="7" t="s">
        <v>14</v>
      </c>
      <c r="B32" s="7">
        <v>31</v>
      </c>
      <c r="C32" s="7">
        <v>1</v>
      </c>
      <c r="D32" s="7">
        <v>2021</v>
      </c>
      <c r="E32" s="104">
        <f>'Athens Daily - EL'!AP38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61</v>
      </c>
      <c r="E1" s="6" t="s">
        <v>6</v>
      </c>
      <c r="F1" s="6" t="s">
        <v>56</v>
      </c>
      <c r="G1" s="6" t="s">
        <v>7</v>
      </c>
      <c r="H1" s="6" t="s">
        <v>57</v>
      </c>
      <c r="I1" s="6" t="s">
        <v>9</v>
      </c>
      <c r="J1" s="6" t="s">
        <v>58</v>
      </c>
      <c r="K1" s="5" t="s">
        <v>59</v>
      </c>
      <c r="L1" s="5" t="s">
        <v>60</v>
      </c>
    </row>
    <row r="2" spans="1:12">
      <c r="A2" s="7" t="s">
        <v>14</v>
      </c>
      <c r="B2" s="7">
        <v>1</v>
      </c>
      <c r="C2" s="7">
        <v>1</v>
      </c>
      <c r="D2" s="7">
        <v>2021</v>
      </c>
      <c r="E2" s="7">
        <f>'Athens Daily - EL'!AQ8</f>
        <v>22393.599999999999</v>
      </c>
      <c r="F2" s="7"/>
      <c r="G2" s="39">
        <f>'Athens Daily - Gas'!BI9</f>
        <v>107312.15999999999</v>
      </c>
      <c r="H2" s="7"/>
      <c r="I2" s="40">
        <f>'Athens Daily - Water'!S7</f>
        <v>170.65</v>
      </c>
      <c r="J2" s="7"/>
      <c r="K2" s="7">
        <v>286</v>
      </c>
      <c r="L2" s="7">
        <v>2</v>
      </c>
    </row>
    <row r="3" spans="1:12">
      <c r="A3" s="7" t="s">
        <v>14</v>
      </c>
      <c r="B3" s="7">
        <v>2</v>
      </c>
      <c r="C3" s="7">
        <v>1</v>
      </c>
      <c r="D3" s="7">
        <v>2021</v>
      </c>
      <c r="E3" s="7">
        <f>'Athens Daily - EL'!AQ9</f>
        <v>23428</v>
      </c>
      <c r="F3" s="7"/>
      <c r="G3" s="39">
        <f>'Athens Daily - Gas'!BI10</f>
        <v>103800.95999999999</v>
      </c>
      <c r="H3" s="7"/>
      <c r="I3" s="40">
        <f>'Athens Daily - Water'!S8</f>
        <v>139.19999999999999</v>
      </c>
      <c r="J3" s="7"/>
      <c r="K3" s="7">
        <v>285</v>
      </c>
      <c r="L3" s="7">
        <v>2</v>
      </c>
    </row>
    <row r="4" spans="1:12">
      <c r="A4" s="7" t="s">
        <v>14</v>
      </c>
      <c r="B4" s="7">
        <v>3</v>
      </c>
      <c r="C4" s="7">
        <v>1</v>
      </c>
      <c r="D4" s="7">
        <v>2021</v>
      </c>
      <c r="E4" s="7">
        <f>'Athens Daily - EL'!AQ10</f>
        <v>22135.8</v>
      </c>
      <c r="F4" s="7"/>
      <c r="G4" s="39">
        <f>'Athens Daily - Gas'!BI11</f>
        <v>105165.59999999999</v>
      </c>
      <c r="H4" s="7"/>
      <c r="I4" s="40">
        <f>'Athens Daily - Water'!S9</f>
        <v>141.69999999999999</v>
      </c>
      <c r="J4" s="7"/>
      <c r="K4" s="7">
        <v>282</v>
      </c>
      <c r="L4" s="7">
        <v>2</v>
      </c>
    </row>
    <row r="5" spans="1:12">
      <c r="A5" s="7" t="s">
        <v>14</v>
      </c>
      <c r="B5" s="7">
        <v>4</v>
      </c>
      <c r="C5" s="7">
        <v>1</v>
      </c>
      <c r="D5" s="7">
        <v>2021</v>
      </c>
      <c r="E5" s="7">
        <f>'Athens Daily - EL'!AQ11</f>
        <v>22755.600000000002</v>
      </c>
      <c r="F5" s="7"/>
      <c r="G5" s="39">
        <f>'Athens Daily - Gas'!BI12</f>
        <v>111046.56</v>
      </c>
      <c r="H5" s="7"/>
      <c r="I5" s="40">
        <f>'Athens Daily - Water'!S10</f>
        <v>166.2</v>
      </c>
      <c r="J5" s="7"/>
      <c r="K5" s="7">
        <v>284</v>
      </c>
      <c r="L5" s="7">
        <v>2</v>
      </c>
    </row>
    <row r="6" spans="1:12">
      <c r="A6" s="7" t="s">
        <v>14</v>
      </c>
      <c r="B6" s="7">
        <v>5</v>
      </c>
      <c r="C6" s="7">
        <v>1</v>
      </c>
      <c r="D6" s="7">
        <v>2021</v>
      </c>
      <c r="E6" s="7">
        <f>'Athens Daily - EL'!AQ12</f>
        <v>22653.200000000001</v>
      </c>
      <c r="F6" s="7"/>
      <c r="G6" s="39">
        <f>'Athens Daily - Gas'!BI13</f>
        <v>99807.360000000001</v>
      </c>
      <c r="H6" s="7"/>
      <c r="I6" s="40">
        <f>'Athens Daily - Water'!S11</f>
        <v>156.30000000000001</v>
      </c>
      <c r="J6" s="7"/>
      <c r="K6" s="7">
        <v>286</v>
      </c>
      <c r="L6" s="7">
        <v>2</v>
      </c>
    </row>
    <row r="7" spans="1:12">
      <c r="A7" s="7" t="s">
        <v>14</v>
      </c>
      <c r="B7" s="7">
        <v>6</v>
      </c>
      <c r="C7" s="7">
        <v>1</v>
      </c>
      <c r="D7" s="7">
        <v>2021</v>
      </c>
      <c r="E7" s="7">
        <f>'Athens Daily - EL'!AQ13</f>
        <v>23198</v>
      </c>
      <c r="F7" s="7"/>
      <c r="G7" s="39">
        <f>'Athens Daily - Gas'!BI14</f>
        <v>100218.72</v>
      </c>
      <c r="H7" s="7"/>
      <c r="I7" s="40">
        <f>'Athens Daily - Water'!S12</f>
        <v>165</v>
      </c>
      <c r="J7" s="7"/>
      <c r="K7" s="7">
        <v>288</v>
      </c>
      <c r="L7" s="7">
        <v>2</v>
      </c>
    </row>
    <row r="8" spans="1:12">
      <c r="A8" s="7" t="s">
        <v>14</v>
      </c>
      <c r="B8" s="7">
        <v>7</v>
      </c>
      <c r="C8" s="7">
        <v>1</v>
      </c>
      <c r="D8" s="7">
        <v>2021</v>
      </c>
      <c r="E8" s="7">
        <f>'Athens Daily - EL'!AQ14</f>
        <v>23263.399999999998</v>
      </c>
      <c r="F8" s="7"/>
      <c r="G8" s="39">
        <f>'Athens Daily - Gas'!BI15</f>
        <v>102753.12</v>
      </c>
      <c r="H8" s="7"/>
      <c r="I8" s="40">
        <f>'Athens Daily - Water'!S13</f>
        <v>139.85</v>
      </c>
      <c r="J8" s="7"/>
      <c r="K8" s="7">
        <v>286</v>
      </c>
      <c r="L8" s="7">
        <v>2</v>
      </c>
    </row>
    <row r="9" spans="1:12">
      <c r="A9" s="7" t="s">
        <v>14</v>
      </c>
      <c r="B9" s="7">
        <v>8</v>
      </c>
      <c r="C9" s="7">
        <v>1</v>
      </c>
      <c r="D9" s="7">
        <v>2021</v>
      </c>
      <c r="E9" s="7">
        <f>'Athens Daily - EL'!AQ15</f>
        <v>22907</v>
      </c>
      <c r="F9" s="7"/>
      <c r="G9" s="39">
        <f>'Athens Daily - Gas'!BI16</f>
        <v>103112.15999999999</v>
      </c>
      <c r="H9" s="7"/>
      <c r="I9" s="40">
        <f>'Athens Daily - Water'!S14</f>
        <v>117.25</v>
      </c>
      <c r="J9" s="7"/>
      <c r="K9" s="7">
        <v>287</v>
      </c>
      <c r="L9" s="7">
        <v>2</v>
      </c>
    </row>
    <row r="10" spans="1:12">
      <c r="A10" s="7" t="s">
        <v>14</v>
      </c>
      <c r="B10" s="7">
        <v>9</v>
      </c>
      <c r="C10" s="7">
        <v>1</v>
      </c>
      <c r="D10" s="7">
        <v>2021</v>
      </c>
      <c r="E10" s="7">
        <f>'Athens Daily - EL'!AQ16</f>
        <v>22815.599999999999</v>
      </c>
      <c r="F10" s="7"/>
      <c r="G10" s="39">
        <f>'Athens Daily - Gas'!BI17</f>
        <v>87946.559999999998</v>
      </c>
      <c r="H10" s="7"/>
      <c r="I10" s="40">
        <f>'Athens Daily - Water'!S15</f>
        <v>187.25</v>
      </c>
      <c r="J10" s="7"/>
      <c r="K10" s="7">
        <v>284</v>
      </c>
      <c r="L10" s="7">
        <v>2</v>
      </c>
    </row>
    <row r="11" spans="1:12">
      <c r="A11" s="7" t="s">
        <v>14</v>
      </c>
      <c r="B11" s="7">
        <v>10</v>
      </c>
      <c r="C11" s="7">
        <v>1</v>
      </c>
      <c r="D11" s="7">
        <v>2021</v>
      </c>
      <c r="E11" s="7">
        <f>'Athens Daily - EL'!AQ17</f>
        <v>23230.2</v>
      </c>
      <c r="F11" s="7"/>
      <c r="G11" s="39">
        <f>'Athens Daily - Gas'!BI18</f>
        <v>99047.51999999999</v>
      </c>
      <c r="H11" s="7"/>
      <c r="I11" s="40">
        <f>'Athens Daily - Water'!S16</f>
        <v>138.75</v>
      </c>
      <c r="J11" s="7"/>
      <c r="K11" s="7">
        <v>284</v>
      </c>
      <c r="L11" s="7">
        <v>2</v>
      </c>
    </row>
    <row r="12" spans="1:12">
      <c r="A12" s="7" t="s">
        <v>14</v>
      </c>
      <c r="B12" s="7">
        <v>11</v>
      </c>
      <c r="C12" s="7">
        <v>1</v>
      </c>
      <c r="D12" s="7">
        <v>2021</v>
      </c>
      <c r="E12" s="7">
        <f>'Athens Daily - EL'!AQ18</f>
        <v>23585.199999999997</v>
      </c>
      <c r="F12" s="7"/>
      <c r="G12" s="39">
        <f>'Athens Daily - Gas'!BI19</f>
        <v>77204.160000000003</v>
      </c>
      <c r="H12" s="7"/>
      <c r="I12" s="40">
        <f>'Athens Daily - Water'!S17</f>
        <v>141.80000000000001</v>
      </c>
      <c r="J12" s="7"/>
      <c r="K12" s="7">
        <v>284</v>
      </c>
      <c r="L12" s="7">
        <v>2</v>
      </c>
    </row>
    <row r="13" spans="1:12">
      <c r="A13" s="7" t="s">
        <v>14</v>
      </c>
      <c r="B13" s="7">
        <v>12</v>
      </c>
      <c r="C13" s="7">
        <v>1</v>
      </c>
      <c r="D13" s="7">
        <v>2021</v>
      </c>
      <c r="E13" s="7">
        <f>'Athens Daily - EL'!AQ19</f>
        <v>23165.8</v>
      </c>
      <c r="F13" s="7"/>
      <c r="G13" s="39">
        <f>'Athens Daily - Gas'!BI20</f>
        <v>77573.759999999995</v>
      </c>
      <c r="H13" s="7"/>
      <c r="I13" s="40">
        <f>'Athens Daily - Water'!S18</f>
        <v>153.30000000000001</v>
      </c>
      <c r="J13" s="7"/>
      <c r="K13" s="7">
        <v>286</v>
      </c>
      <c r="L13" s="7">
        <v>2</v>
      </c>
    </row>
    <row r="14" spans="1:12">
      <c r="A14" s="7" t="s">
        <v>14</v>
      </c>
      <c r="B14" s="7">
        <v>13</v>
      </c>
      <c r="C14" s="7">
        <v>1</v>
      </c>
      <c r="D14" s="7">
        <v>2021</v>
      </c>
      <c r="E14" s="7">
        <f>'Athens Daily - EL'!AQ20</f>
        <v>22843</v>
      </c>
      <c r="F14" s="7"/>
      <c r="G14" s="39">
        <f>'Athens Daily - Gas'!BI21</f>
        <v>78978.239999999991</v>
      </c>
      <c r="H14" s="7"/>
      <c r="I14" s="40">
        <f>'Athens Daily - Water'!S19</f>
        <v>148.05000000000001</v>
      </c>
      <c r="J14" s="7"/>
      <c r="K14" s="7">
        <v>287</v>
      </c>
      <c r="L14" s="7">
        <v>2</v>
      </c>
    </row>
    <row r="15" spans="1:12">
      <c r="A15" s="7" t="s">
        <v>14</v>
      </c>
      <c r="B15" s="7">
        <v>14</v>
      </c>
      <c r="C15" s="7">
        <v>1</v>
      </c>
      <c r="D15" s="7">
        <v>2021</v>
      </c>
      <c r="E15" s="7">
        <f>'Athens Daily - EL'!AQ21</f>
        <v>23341.800000000003</v>
      </c>
      <c r="F15" s="7"/>
      <c r="G15" s="39">
        <f>'Athens Daily - Gas'!BI22</f>
        <v>78729.600000000006</v>
      </c>
      <c r="H15" s="7"/>
      <c r="I15" s="40">
        <f>'Athens Daily - Water'!S20</f>
        <v>125.05000000000001</v>
      </c>
      <c r="J15" s="7"/>
      <c r="K15" s="7">
        <v>287</v>
      </c>
      <c r="L15" s="7">
        <v>2</v>
      </c>
    </row>
    <row r="16" spans="1:12">
      <c r="A16" s="7" t="s">
        <v>14</v>
      </c>
      <c r="B16" s="7">
        <v>15</v>
      </c>
      <c r="C16" s="7">
        <v>1</v>
      </c>
      <c r="D16" s="7">
        <v>2021</v>
      </c>
      <c r="E16" s="7">
        <f>'Athens Daily - EL'!AQ22</f>
        <v>23838.399999999998</v>
      </c>
      <c r="F16" s="7"/>
      <c r="G16" s="39">
        <f>'Athens Daily - Gas'!BI23</f>
        <v>92322.239999999991</v>
      </c>
      <c r="H16" s="7"/>
      <c r="I16" s="40">
        <f>'Athens Daily - Water'!S21</f>
        <v>152</v>
      </c>
      <c r="J16" s="7"/>
      <c r="K16" s="7">
        <v>288</v>
      </c>
      <c r="L16" s="7">
        <v>2</v>
      </c>
    </row>
    <row r="17" spans="1:12">
      <c r="A17" s="7" t="s">
        <v>14</v>
      </c>
      <c r="B17" s="7">
        <v>16</v>
      </c>
      <c r="C17" s="7">
        <v>1</v>
      </c>
      <c r="D17" s="7">
        <v>2021</v>
      </c>
      <c r="E17" s="7">
        <f>'Athens Daily - EL'!AQ23</f>
        <v>22758.400000000001</v>
      </c>
      <c r="F17" s="7"/>
      <c r="G17" s="39">
        <f>'Athens Daily - Gas'!BI24</f>
        <v>93889.44</v>
      </c>
      <c r="H17" s="7"/>
      <c r="I17" s="40">
        <f>'Athens Daily - Water'!S22</f>
        <v>142.1</v>
      </c>
      <c r="J17" s="7"/>
      <c r="K17" s="7">
        <v>288</v>
      </c>
      <c r="L17" s="7">
        <v>2</v>
      </c>
    </row>
    <row r="18" spans="1:12">
      <c r="A18" s="7" t="s">
        <v>14</v>
      </c>
      <c r="B18" s="7">
        <v>17</v>
      </c>
      <c r="C18" s="7">
        <v>1</v>
      </c>
      <c r="D18" s="7">
        <v>2021</v>
      </c>
      <c r="E18" s="7">
        <f>'Athens Daily - EL'!AQ24</f>
        <v>23212</v>
      </c>
      <c r="F18" s="7"/>
      <c r="G18" s="39">
        <f>'Athens Daily - Gas'!BI25</f>
        <v>84328.799999999988</v>
      </c>
      <c r="H18" s="7"/>
      <c r="I18" s="40">
        <f>'Athens Daily - Water'!S23</f>
        <v>141.30000000000001</v>
      </c>
      <c r="J18" s="7"/>
      <c r="K18" s="7">
        <v>288</v>
      </c>
      <c r="L18" s="7">
        <v>2</v>
      </c>
    </row>
    <row r="19" spans="1:12">
      <c r="A19" s="7" t="s">
        <v>14</v>
      </c>
      <c r="B19" s="7">
        <v>18</v>
      </c>
      <c r="C19" s="7">
        <v>1</v>
      </c>
      <c r="D19" s="7">
        <v>2021</v>
      </c>
      <c r="E19" s="7">
        <f>'Athens Daily - EL'!AQ25</f>
        <v>22713.200000000001</v>
      </c>
      <c r="F19" s="7"/>
      <c r="G19" s="39">
        <f>'Athens Daily - Gas'!BI26</f>
        <v>96498.72</v>
      </c>
      <c r="H19" s="7"/>
      <c r="I19" s="40">
        <f>'Athens Daily - Water'!S24</f>
        <v>146.15</v>
      </c>
      <c r="J19" s="7"/>
      <c r="K19" s="7">
        <v>291</v>
      </c>
      <c r="L19" s="7">
        <v>2</v>
      </c>
    </row>
    <row r="20" spans="1:12">
      <c r="A20" s="7" t="s">
        <v>14</v>
      </c>
      <c r="B20" s="7">
        <v>19</v>
      </c>
      <c r="C20" s="7">
        <v>1</v>
      </c>
      <c r="D20" s="7">
        <v>2021</v>
      </c>
      <c r="E20" s="7">
        <f>'Athens Daily - EL'!AQ26</f>
        <v>22037.4</v>
      </c>
      <c r="F20" s="7"/>
      <c r="G20" s="39">
        <f>'Athens Daily - Gas'!BI27</f>
        <v>96862.080000000002</v>
      </c>
      <c r="H20" s="7"/>
      <c r="I20" s="40">
        <f>'Athens Daily - Water'!S25</f>
        <v>135.05000000000001</v>
      </c>
      <c r="J20" s="7"/>
      <c r="K20" s="7">
        <v>290</v>
      </c>
      <c r="L20" s="7">
        <v>2</v>
      </c>
    </row>
    <row r="21" spans="1:12">
      <c r="A21" s="7" t="s">
        <v>14</v>
      </c>
      <c r="B21" s="7">
        <v>20</v>
      </c>
      <c r="C21" s="7">
        <v>1</v>
      </c>
      <c r="D21" s="7">
        <v>2021</v>
      </c>
      <c r="E21" s="7">
        <f>'Athens Daily - EL'!AQ27</f>
        <v>21774</v>
      </c>
      <c r="F21" s="7"/>
      <c r="G21" s="39">
        <f>'Athens Daily - Gas'!BI28</f>
        <v>103154.4</v>
      </c>
      <c r="H21" s="7"/>
      <c r="I21" s="40">
        <f>'Athens Daily - Water'!S26</f>
        <v>149.05000000000001</v>
      </c>
      <c r="J21" s="7"/>
      <c r="K21" s="7">
        <v>292</v>
      </c>
      <c r="L21" s="7">
        <v>2</v>
      </c>
    </row>
    <row r="22" spans="1:12">
      <c r="A22" s="7" t="s">
        <v>14</v>
      </c>
      <c r="B22" s="7">
        <v>21</v>
      </c>
      <c r="C22" s="7">
        <v>1</v>
      </c>
      <c r="D22" s="7">
        <v>2021</v>
      </c>
      <c r="E22" s="7">
        <f>'Athens Daily - EL'!AQ28</f>
        <v>25043.599999999999</v>
      </c>
      <c r="F22" s="7"/>
      <c r="G22" s="39">
        <f>'Athens Daily - Gas'!BI29</f>
        <v>112568.15999999999</v>
      </c>
      <c r="H22" s="7"/>
      <c r="I22" s="40">
        <f>'Athens Daily - Water'!S27</f>
        <v>125.85</v>
      </c>
      <c r="J22" s="7"/>
      <c r="K22" s="7">
        <v>293</v>
      </c>
      <c r="L22" s="7">
        <v>2</v>
      </c>
    </row>
    <row r="23" spans="1:12">
      <c r="A23" s="7" t="s">
        <v>14</v>
      </c>
      <c r="B23" s="7">
        <v>22</v>
      </c>
      <c r="C23" s="7">
        <v>1</v>
      </c>
      <c r="D23" s="7">
        <v>2021</v>
      </c>
      <c r="E23" s="7">
        <f>'Athens Daily - EL'!AQ29</f>
        <v>23980.2</v>
      </c>
      <c r="F23" s="7"/>
      <c r="G23" s="39">
        <f>'Athens Daily - Gas'!BI30</f>
        <v>114982.08</v>
      </c>
      <c r="H23" s="7"/>
      <c r="I23" s="40">
        <f>'Athens Daily - Water'!S28</f>
        <v>148.85</v>
      </c>
      <c r="J23" s="7"/>
      <c r="K23" s="7">
        <v>293</v>
      </c>
      <c r="L23" s="7">
        <v>2</v>
      </c>
    </row>
    <row r="24" spans="1:12">
      <c r="A24" s="7" t="s">
        <v>14</v>
      </c>
      <c r="B24" s="7">
        <v>23</v>
      </c>
      <c r="C24" s="7">
        <v>1</v>
      </c>
      <c r="D24" s="7">
        <v>2021</v>
      </c>
      <c r="E24" s="7">
        <f>'Athens Daily - EL'!AQ30</f>
        <v>28333</v>
      </c>
      <c r="F24" s="7"/>
      <c r="G24" s="39">
        <f>'Athens Daily - Gas'!BI31</f>
        <v>119155.2</v>
      </c>
      <c r="H24" s="7"/>
      <c r="I24" s="40">
        <f>'Athens Daily - Water'!S29</f>
        <v>141.75</v>
      </c>
      <c r="J24" s="7"/>
      <c r="K24" s="7">
        <v>294</v>
      </c>
      <c r="L24" s="7">
        <v>2</v>
      </c>
    </row>
    <row r="25" spans="1:12">
      <c r="A25" s="7" t="s">
        <v>14</v>
      </c>
      <c r="B25" s="7">
        <v>24</v>
      </c>
      <c r="C25" s="7">
        <v>1</v>
      </c>
      <c r="D25" s="7">
        <v>2021</v>
      </c>
      <c r="E25" s="7">
        <f>'Athens Daily - EL'!AQ31</f>
        <v>26002.399999999998</v>
      </c>
      <c r="F25" s="7"/>
      <c r="G25" s="39">
        <f>'Athens Daily - Gas'!BI32</f>
        <v>117624.48</v>
      </c>
      <c r="H25" s="7"/>
      <c r="I25" s="40">
        <f>'Athens Daily - Water'!S30</f>
        <v>121.1</v>
      </c>
      <c r="J25" s="7"/>
      <c r="K25" s="7">
        <v>294</v>
      </c>
      <c r="L25" s="7">
        <v>2</v>
      </c>
    </row>
    <row r="26" spans="1:12">
      <c r="A26" s="7" t="s">
        <v>14</v>
      </c>
      <c r="B26" s="7">
        <v>25</v>
      </c>
      <c r="C26" s="7">
        <v>1</v>
      </c>
      <c r="D26" s="7">
        <v>2021</v>
      </c>
      <c r="E26" s="7">
        <f>'Athens Daily - EL'!AQ32</f>
        <v>21712.5</v>
      </c>
      <c r="F26" s="7"/>
      <c r="G26" s="39">
        <f>'Athens Daily - Gas'!BI33</f>
        <v>94018.559999999998</v>
      </c>
      <c r="H26" s="7"/>
      <c r="I26" s="40">
        <f>'Athens Daily - Water'!S31</f>
        <v>124.1</v>
      </c>
      <c r="J26" s="7"/>
      <c r="K26" s="7">
        <v>291</v>
      </c>
      <c r="L26" s="7">
        <v>2</v>
      </c>
    </row>
    <row r="27" spans="1:12">
      <c r="A27" s="7" t="s">
        <v>14</v>
      </c>
      <c r="B27" s="7">
        <v>26</v>
      </c>
      <c r="C27" s="7">
        <v>1</v>
      </c>
      <c r="D27" s="7">
        <v>2021</v>
      </c>
      <c r="E27" s="7">
        <f>'Athens Daily - EL'!AQ33</f>
        <v>21712.5</v>
      </c>
      <c r="F27" s="7"/>
      <c r="G27" s="39">
        <f>'Athens Daily - Gas'!BI34</f>
        <v>84726.959999999992</v>
      </c>
      <c r="H27" s="7"/>
      <c r="I27" s="40">
        <f>'Athens Daily - Water'!S32</f>
        <v>136.5</v>
      </c>
      <c r="J27" s="7"/>
      <c r="K27" s="7">
        <v>291</v>
      </c>
      <c r="L27" s="7">
        <v>2</v>
      </c>
    </row>
    <row r="28" spans="1:12">
      <c r="A28" s="7" t="s">
        <v>14</v>
      </c>
      <c r="B28" s="7">
        <v>27</v>
      </c>
      <c r="C28" s="7">
        <v>1</v>
      </c>
      <c r="D28" s="7">
        <v>2021</v>
      </c>
      <c r="E28" s="7">
        <f>'Athens Daily - EL'!AQ34</f>
        <v>23707.200000000001</v>
      </c>
      <c r="F28" s="7"/>
      <c r="G28" s="39">
        <f>'Athens Daily - Gas'!BI35</f>
        <v>79926.959999999992</v>
      </c>
      <c r="H28" s="7"/>
      <c r="I28" s="40">
        <f>'Athens Daily - Water'!S33</f>
        <v>119.85</v>
      </c>
      <c r="J28" s="7"/>
      <c r="K28" s="7">
        <v>288</v>
      </c>
      <c r="L28" s="7">
        <v>2</v>
      </c>
    </row>
    <row r="29" spans="1:12">
      <c r="A29" s="7" t="s">
        <v>14</v>
      </c>
      <c r="B29" s="7">
        <v>28</v>
      </c>
      <c r="C29" s="7">
        <v>1</v>
      </c>
      <c r="D29" s="7">
        <v>2021</v>
      </c>
      <c r="E29" s="7">
        <f>'Athens Daily - EL'!AQ35</f>
        <v>23620</v>
      </c>
      <c r="F29" s="7"/>
      <c r="G29" s="39">
        <f>'Athens Daily - Gas'!BI36</f>
        <v>76661.759999999995</v>
      </c>
      <c r="H29" s="7"/>
      <c r="I29" s="40">
        <f>'Athens Daily - Water'!S34</f>
        <v>118</v>
      </c>
      <c r="J29" s="7"/>
      <c r="K29" s="7">
        <v>290</v>
      </c>
      <c r="L29" s="7">
        <v>2</v>
      </c>
    </row>
    <row r="30" spans="1:12">
      <c r="A30" s="7" t="s">
        <v>14</v>
      </c>
      <c r="B30" s="7">
        <v>29</v>
      </c>
      <c r="C30" s="7">
        <v>1</v>
      </c>
      <c r="D30" s="7">
        <v>2021</v>
      </c>
      <c r="E30" s="7">
        <f>'Athens Daily - EL'!AQ36</f>
        <v>0</v>
      </c>
      <c r="F30" s="7"/>
      <c r="G30" s="39">
        <f>'Athens Daily - Gas'!BI37</f>
        <v>0</v>
      </c>
      <c r="H30" s="7"/>
      <c r="I30" s="40">
        <f>'Athens Daily - Water'!S35</f>
        <v>0</v>
      </c>
      <c r="J30" s="7"/>
      <c r="K30" s="7">
        <v>291</v>
      </c>
      <c r="L30" s="7">
        <v>2</v>
      </c>
    </row>
    <row r="31" spans="1:12">
      <c r="A31" s="7" t="s">
        <v>14</v>
      </c>
      <c r="B31" s="7">
        <v>30</v>
      </c>
      <c r="C31" s="7">
        <v>1</v>
      </c>
      <c r="D31" s="7">
        <v>2021</v>
      </c>
      <c r="E31" s="7">
        <f>'Athens Daily - EL'!AQ37</f>
        <v>0</v>
      </c>
      <c r="F31" s="7"/>
      <c r="G31" s="39">
        <f>'Athens Daily - Gas'!BI38</f>
        <v>0</v>
      </c>
      <c r="H31" s="7"/>
      <c r="I31" s="40">
        <f>'Athens Daily - Water'!S37</f>
        <v>0</v>
      </c>
      <c r="J31" s="7"/>
      <c r="K31" s="7">
        <v>290</v>
      </c>
      <c r="L31" s="7">
        <v>2</v>
      </c>
    </row>
    <row r="32" spans="1:12">
      <c r="A32" s="7" t="s">
        <v>14</v>
      </c>
      <c r="B32" s="7">
        <v>31</v>
      </c>
      <c r="C32" s="7">
        <v>1</v>
      </c>
      <c r="D32" s="7">
        <v>2021</v>
      </c>
      <c r="E32" s="7">
        <f>'Athens Daily - EL'!AQ38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0"/>
  <sheetViews>
    <sheetView topLeftCell="A2" zoomScale="55" zoomScaleNormal="55" workbookViewId="0">
      <pane xSplit="2" ySplit="5" topLeftCell="AC16" activePane="bottomRight" state="frozen"/>
      <selection pane="topRight" activeCell="C2" sqref="C2"/>
      <selection pane="bottomLeft" activeCell="A7" sqref="A7"/>
      <selection pane="bottomRight" activeCell="AQ31" sqref="AQ31"/>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13"/>
      <c r="B1" s="113"/>
      <c r="C1" s="212" t="s">
        <v>62</v>
      </c>
      <c r="D1" s="212"/>
      <c r="E1" s="212" t="s">
        <v>62</v>
      </c>
      <c r="F1" s="212"/>
      <c r="G1" s="212" t="s">
        <v>62</v>
      </c>
      <c r="H1" s="212"/>
      <c r="I1" s="199"/>
      <c r="J1" s="113"/>
      <c r="K1" s="212" t="s">
        <v>62</v>
      </c>
      <c r="L1" s="212"/>
      <c r="M1" s="212" t="s">
        <v>62</v>
      </c>
      <c r="N1" s="212"/>
      <c r="O1" s="225" t="s">
        <v>63</v>
      </c>
      <c r="P1" s="226"/>
      <c r="Q1" s="226"/>
      <c r="R1" s="227"/>
      <c r="S1" s="225" t="s">
        <v>63</v>
      </c>
      <c r="T1" s="226"/>
      <c r="U1" s="226"/>
      <c r="V1" s="227"/>
      <c r="W1" s="225" t="s">
        <v>63</v>
      </c>
      <c r="X1" s="226"/>
      <c r="Y1" s="226"/>
      <c r="Z1" s="227"/>
      <c r="AA1" s="225" t="s">
        <v>63</v>
      </c>
      <c r="AB1" s="226"/>
      <c r="AC1" s="226"/>
      <c r="AD1" s="227"/>
      <c r="AE1" s="212" t="s">
        <v>64</v>
      </c>
      <c r="AF1" s="212"/>
      <c r="AG1" s="212" t="s">
        <v>64</v>
      </c>
      <c r="AH1" s="212"/>
      <c r="AI1" s="212" t="s">
        <v>64</v>
      </c>
      <c r="AJ1" s="212"/>
      <c r="AK1" s="212" t="s">
        <v>64</v>
      </c>
      <c r="AL1" s="212"/>
      <c r="AM1" s="212" t="s">
        <v>64</v>
      </c>
      <c r="AN1" s="212"/>
    </row>
    <row r="2" spans="1:43" s="3" customFormat="1" ht="113.25" customHeight="1">
      <c r="A2" s="13"/>
      <c r="B2" s="14"/>
      <c r="C2" s="211" t="s">
        <v>65</v>
      </c>
      <c r="D2" s="211"/>
      <c r="E2" s="211" t="s">
        <v>66</v>
      </c>
      <c r="F2" s="211"/>
      <c r="G2" s="216" t="s">
        <v>67</v>
      </c>
      <c r="H2" s="217"/>
      <c r="I2" s="217"/>
      <c r="J2" s="218"/>
      <c r="K2" s="211" t="s">
        <v>68</v>
      </c>
      <c r="L2" s="211"/>
      <c r="M2" s="211" t="s">
        <v>69</v>
      </c>
      <c r="N2" s="211"/>
      <c r="O2" s="216" t="s">
        <v>70</v>
      </c>
      <c r="P2" s="217"/>
      <c r="Q2" s="217"/>
      <c r="R2" s="218"/>
      <c r="S2" s="216" t="s">
        <v>71</v>
      </c>
      <c r="T2" s="217"/>
      <c r="U2" s="217"/>
      <c r="V2" s="218"/>
      <c r="W2" s="216" t="s">
        <v>72</v>
      </c>
      <c r="X2" s="217"/>
      <c r="Y2" s="217"/>
      <c r="Z2" s="218"/>
      <c r="AA2" s="216" t="s">
        <v>73</v>
      </c>
      <c r="AB2" s="217"/>
      <c r="AC2" s="217"/>
      <c r="AD2" s="218"/>
      <c r="AE2" s="211" t="s">
        <v>74</v>
      </c>
      <c r="AF2" s="211"/>
      <c r="AG2" s="211" t="s">
        <v>75</v>
      </c>
      <c r="AH2" s="211"/>
      <c r="AI2" s="211" t="s">
        <v>76</v>
      </c>
      <c r="AJ2" s="211"/>
      <c r="AK2" s="211" t="s">
        <v>75</v>
      </c>
      <c r="AL2" s="211"/>
      <c r="AM2" s="211" t="s">
        <v>77</v>
      </c>
      <c r="AN2" s="211"/>
      <c r="AO2" s="120"/>
      <c r="AP2" s="120"/>
      <c r="AQ2" s="120"/>
    </row>
    <row r="3" spans="1:43" s="25" customFormat="1" ht="30" customHeight="1">
      <c r="A3" s="111"/>
      <c r="B3" s="50"/>
      <c r="C3" s="213">
        <v>5065546</v>
      </c>
      <c r="D3" s="215"/>
      <c r="E3" s="213">
        <v>5065547</v>
      </c>
      <c r="F3" s="215"/>
      <c r="G3" s="213">
        <v>5008272</v>
      </c>
      <c r="H3" s="214"/>
      <c r="I3" s="214"/>
      <c r="J3" s="215"/>
      <c r="K3" s="213">
        <v>5065548</v>
      </c>
      <c r="L3" s="215"/>
      <c r="M3" s="213">
        <v>5465545</v>
      </c>
      <c r="N3" s="215"/>
      <c r="O3" s="213">
        <v>5008273</v>
      </c>
      <c r="P3" s="214"/>
      <c r="Q3" s="214"/>
      <c r="R3" s="215"/>
      <c r="S3" s="213">
        <v>5018351</v>
      </c>
      <c r="T3" s="214"/>
      <c r="U3" s="214"/>
      <c r="V3" s="215"/>
      <c r="W3" s="213">
        <v>5018354</v>
      </c>
      <c r="X3" s="214"/>
      <c r="Y3" s="214"/>
      <c r="Z3" s="215"/>
      <c r="AA3" s="213">
        <v>5018350</v>
      </c>
      <c r="AB3" s="214"/>
      <c r="AC3" s="214"/>
      <c r="AD3" s="215"/>
      <c r="AE3" s="213">
        <v>5065543</v>
      </c>
      <c r="AF3" s="215"/>
      <c r="AG3" s="213">
        <v>5065544</v>
      </c>
      <c r="AH3" s="215"/>
      <c r="AI3" s="213">
        <v>5065541</v>
      </c>
      <c r="AJ3" s="215"/>
      <c r="AK3" s="213">
        <v>5065542</v>
      </c>
      <c r="AL3" s="215"/>
      <c r="AM3" s="213">
        <v>5065540</v>
      </c>
      <c r="AN3" s="215"/>
      <c r="AP3" s="210" t="s">
        <v>78</v>
      </c>
      <c r="AQ3" s="210"/>
    </row>
    <row r="4" spans="1:43" s="24" customFormat="1" ht="30" customHeight="1">
      <c r="A4" s="111"/>
      <c r="B4" s="117"/>
      <c r="C4" s="221" t="s">
        <v>79</v>
      </c>
      <c r="D4" s="222"/>
      <c r="E4" s="221" t="s">
        <v>80</v>
      </c>
      <c r="F4" s="222"/>
      <c r="G4" s="221" t="s">
        <v>81</v>
      </c>
      <c r="H4" s="223"/>
      <c r="I4" s="223"/>
      <c r="J4" s="222"/>
      <c r="K4" s="221" t="s">
        <v>82</v>
      </c>
      <c r="L4" s="222"/>
      <c r="M4" s="221" t="s">
        <v>83</v>
      </c>
      <c r="N4" s="222"/>
      <c r="O4" s="221" t="s">
        <v>84</v>
      </c>
      <c r="P4" s="223"/>
      <c r="Q4" s="223"/>
      <c r="R4" s="222"/>
      <c r="S4" s="221" t="s">
        <v>85</v>
      </c>
      <c r="T4" s="223"/>
      <c r="U4" s="223"/>
      <c r="V4" s="222"/>
      <c r="W4" s="221" t="s">
        <v>86</v>
      </c>
      <c r="X4" s="223"/>
      <c r="Y4" s="223"/>
      <c r="Z4" s="222"/>
      <c r="AA4" s="221" t="s">
        <v>87</v>
      </c>
      <c r="AB4" s="223"/>
      <c r="AC4" s="223"/>
      <c r="AD4" s="222"/>
      <c r="AE4" s="221" t="s">
        <v>88</v>
      </c>
      <c r="AF4" s="222"/>
      <c r="AG4" s="221" t="s">
        <v>89</v>
      </c>
      <c r="AH4" s="222"/>
      <c r="AI4" s="221" t="s">
        <v>90</v>
      </c>
      <c r="AJ4" s="222"/>
      <c r="AK4" s="221" t="s">
        <v>91</v>
      </c>
      <c r="AL4" s="222"/>
      <c r="AM4" s="221" t="s">
        <v>92</v>
      </c>
      <c r="AN4" s="222"/>
      <c r="AP4" s="210"/>
      <c r="AQ4" s="210"/>
    </row>
    <row r="5" spans="1:43" s="8" customFormat="1" ht="30" customHeight="1">
      <c r="A5" s="111" t="s">
        <v>93</v>
      </c>
      <c r="B5" s="51"/>
      <c r="C5" s="219" t="s">
        <v>94</v>
      </c>
      <c r="D5" s="220"/>
      <c r="E5" s="219" t="s">
        <v>94</v>
      </c>
      <c r="F5" s="220"/>
      <c r="G5" s="219" t="s">
        <v>94</v>
      </c>
      <c r="H5" s="224"/>
      <c r="I5" s="224"/>
      <c r="J5" s="220"/>
      <c r="K5" s="51" t="s">
        <v>94</v>
      </c>
      <c r="L5" s="51"/>
      <c r="M5" s="219" t="s">
        <v>94</v>
      </c>
      <c r="N5" s="220"/>
      <c r="O5" s="219" t="s">
        <v>94</v>
      </c>
      <c r="P5" s="224"/>
      <c r="Q5" s="224"/>
      <c r="R5" s="220"/>
      <c r="S5" s="219" t="s">
        <v>95</v>
      </c>
      <c r="T5" s="224"/>
      <c r="U5" s="224"/>
      <c r="V5" s="220"/>
      <c r="W5" s="219" t="s">
        <v>95</v>
      </c>
      <c r="X5" s="224"/>
      <c r="Y5" s="224"/>
      <c r="Z5" s="220"/>
      <c r="AA5" s="219" t="s">
        <v>95</v>
      </c>
      <c r="AB5" s="224"/>
      <c r="AC5" s="224"/>
      <c r="AD5" s="220"/>
      <c r="AE5" s="219" t="s">
        <v>94</v>
      </c>
      <c r="AF5" s="220"/>
      <c r="AG5" s="219" t="s">
        <v>94</v>
      </c>
      <c r="AH5" s="220"/>
      <c r="AI5" s="219" t="s">
        <v>94</v>
      </c>
      <c r="AJ5" s="220"/>
      <c r="AK5" s="219" t="s">
        <v>94</v>
      </c>
      <c r="AL5" s="220"/>
      <c r="AM5" s="219" t="s">
        <v>94</v>
      </c>
      <c r="AN5" s="220"/>
    </row>
    <row r="6" spans="1:43" s="10" customFormat="1" ht="50.1" customHeight="1">
      <c r="A6" s="111" t="s">
        <v>96</v>
      </c>
      <c r="B6" s="111"/>
      <c r="C6" s="111" t="s">
        <v>97</v>
      </c>
      <c r="D6" s="111" t="s">
        <v>98</v>
      </c>
      <c r="E6" s="111" t="s">
        <v>97</v>
      </c>
      <c r="F6" s="111" t="s">
        <v>98</v>
      </c>
      <c r="G6" s="111" t="s">
        <v>97</v>
      </c>
      <c r="H6" s="111" t="s">
        <v>98</v>
      </c>
      <c r="I6" s="200">
        <v>46</v>
      </c>
      <c r="J6" s="200">
        <v>54</v>
      </c>
      <c r="K6" s="111" t="s">
        <v>97</v>
      </c>
      <c r="L6" s="111" t="s">
        <v>98</v>
      </c>
      <c r="M6" s="111" t="s">
        <v>97</v>
      </c>
      <c r="N6" s="111" t="s">
        <v>98</v>
      </c>
      <c r="O6" s="111" t="s">
        <v>97</v>
      </c>
      <c r="P6" s="111" t="s">
        <v>98</v>
      </c>
      <c r="Q6" s="200">
        <v>46</v>
      </c>
      <c r="R6" s="200">
        <v>54</v>
      </c>
      <c r="S6" s="111" t="s">
        <v>97</v>
      </c>
      <c r="T6" s="111" t="s">
        <v>98</v>
      </c>
      <c r="U6" s="200">
        <v>46</v>
      </c>
      <c r="V6" s="200">
        <v>54</v>
      </c>
      <c r="W6" s="111" t="s">
        <v>97</v>
      </c>
      <c r="X6" s="111" t="s">
        <v>98</v>
      </c>
      <c r="Y6" s="200">
        <v>46</v>
      </c>
      <c r="Z6" s="200">
        <v>54</v>
      </c>
      <c r="AA6" s="111" t="s">
        <v>97</v>
      </c>
      <c r="AB6" s="111" t="s">
        <v>98</v>
      </c>
      <c r="AC6" s="200">
        <v>46</v>
      </c>
      <c r="AD6" s="200">
        <v>54</v>
      </c>
      <c r="AE6" s="111" t="s">
        <v>97</v>
      </c>
      <c r="AF6" s="111" t="s">
        <v>98</v>
      </c>
      <c r="AG6" s="111" t="s">
        <v>97</v>
      </c>
      <c r="AH6" s="111" t="s">
        <v>98</v>
      </c>
      <c r="AI6" s="111" t="s">
        <v>97</v>
      </c>
      <c r="AJ6" s="111" t="s">
        <v>98</v>
      </c>
      <c r="AK6" s="111" t="s">
        <v>97</v>
      </c>
      <c r="AL6" s="111" t="s">
        <v>98</v>
      </c>
      <c r="AM6" s="111" t="s">
        <v>97</v>
      </c>
      <c r="AN6" s="111" t="s">
        <v>98</v>
      </c>
      <c r="AP6" s="111" t="s">
        <v>62</v>
      </c>
      <c r="AQ6" s="111" t="s">
        <v>64</v>
      </c>
    </row>
    <row r="7" spans="1:43" ht="39.950000000000003" customHeight="1">
      <c r="A7" s="194">
        <v>44592</v>
      </c>
      <c r="B7" s="16"/>
      <c r="C7" s="74">
        <v>213573</v>
      </c>
      <c r="D7" s="17"/>
      <c r="E7" s="74">
        <v>351645</v>
      </c>
      <c r="F7" s="17"/>
      <c r="G7" s="74">
        <v>92693</v>
      </c>
      <c r="H7" s="17"/>
      <c r="I7" s="202"/>
      <c r="J7" s="202"/>
      <c r="K7" s="74">
        <v>314442</v>
      </c>
      <c r="L7" s="17"/>
      <c r="M7" s="74">
        <v>498216</v>
      </c>
      <c r="N7" s="17"/>
      <c r="O7" s="74">
        <v>191605</v>
      </c>
      <c r="P7" s="17"/>
      <c r="Q7" s="202"/>
      <c r="R7" s="202"/>
      <c r="S7" s="74">
        <v>335907</v>
      </c>
      <c r="T7" s="17"/>
      <c r="U7" s="202"/>
      <c r="V7" s="202"/>
      <c r="W7" s="74">
        <v>166645</v>
      </c>
      <c r="X7" s="17"/>
      <c r="Y7" s="202"/>
      <c r="Z7" s="202"/>
      <c r="AA7" s="74">
        <v>243482</v>
      </c>
      <c r="AB7" s="17"/>
      <c r="AC7" s="202"/>
      <c r="AD7" s="202"/>
      <c r="AE7" s="74">
        <v>60148</v>
      </c>
      <c r="AF7" s="17"/>
      <c r="AG7" s="74">
        <v>116822</v>
      </c>
      <c r="AH7" s="17"/>
      <c r="AI7" s="74">
        <v>208078</v>
      </c>
      <c r="AJ7" s="17"/>
      <c r="AK7" s="74">
        <v>108170</v>
      </c>
      <c r="AL7" s="17"/>
      <c r="AM7" s="74">
        <v>561867</v>
      </c>
      <c r="AN7" s="17"/>
      <c r="AP7" s="99"/>
      <c r="AQ7" s="100"/>
    </row>
    <row r="8" spans="1:43" s="2" customFormat="1" ht="39.950000000000003" customHeight="1">
      <c r="A8" s="194">
        <v>44593</v>
      </c>
      <c r="B8" s="15"/>
      <c r="C8" s="49">
        <v>213942</v>
      </c>
      <c r="D8" s="17">
        <f>(C8-C7)*10</f>
        <v>3690</v>
      </c>
      <c r="E8" s="49">
        <v>352223</v>
      </c>
      <c r="F8" s="17">
        <f>(E8-E7)*10</f>
        <v>5780</v>
      </c>
      <c r="G8" s="49">
        <v>92905</v>
      </c>
      <c r="H8" s="17">
        <f>(G8-G7)*10</f>
        <v>2120</v>
      </c>
      <c r="I8" s="203">
        <f>H8*I6/100</f>
        <v>975.2</v>
      </c>
      <c r="J8" s="203">
        <f>H8*J6/100</f>
        <v>1144.8</v>
      </c>
      <c r="K8" s="49">
        <v>314958</v>
      </c>
      <c r="L8" s="17">
        <f>(K8-K7)*10</f>
        <v>5160</v>
      </c>
      <c r="M8" s="49">
        <v>499096</v>
      </c>
      <c r="N8" s="17">
        <f>(M8-M7)*10</f>
        <v>8800</v>
      </c>
      <c r="O8" s="49">
        <v>192416</v>
      </c>
      <c r="P8" s="17">
        <f t="shared" ref="P8:P24" si="0">(O8-O7)*10</f>
        <v>8110</v>
      </c>
      <c r="Q8" s="203">
        <f>P8*Q6/100</f>
        <v>3730.6</v>
      </c>
      <c r="R8" s="203">
        <f>P8*R6/100</f>
        <v>4379.3999999999996</v>
      </c>
      <c r="S8" s="49">
        <v>335909</v>
      </c>
      <c r="T8" s="17">
        <f t="shared" ref="T8:T24" si="1">(S8-S7)*10</f>
        <v>20</v>
      </c>
      <c r="U8" s="203">
        <f>T8*U6/100</f>
        <v>9.1999999999999993</v>
      </c>
      <c r="V8" s="203">
        <f>T8*V6/100</f>
        <v>10.8</v>
      </c>
      <c r="W8" s="49">
        <v>166647</v>
      </c>
      <c r="X8" s="17">
        <f>(W8-W7)*10</f>
        <v>20</v>
      </c>
      <c r="Y8" s="203">
        <f>X8*Y6/100</f>
        <v>9.1999999999999993</v>
      </c>
      <c r="Z8" s="203">
        <f>X8*Z6/100</f>
        <v>10.8</v>
      </c>
      <c r="AA8" s="49">
        <v>243489</v>
      </c>
      <c r="AB8" s="17">
        <f>(AA8-AA7)*10</f>
        <v>70</v>
      </c>
      <c r="AC8" s="203">
        <f>AB8*AC6/100</f>
        <v>32.200000000000003</v>
      </c>
      <c r="AD8" s="203">
        <f>AB8*AD6/100</f>
        <v>37.799999999999997</v>
      </c>
      <c r="AE8" s="49">
        <v>60260</v>
      </c>
      <c r="AF8" s="17">
        <f t="shared" ref="AF8:AF35" si="2">(AE8-AE7)*10</f>
        <v>1120</v>
      </c>
      <c r="AG8" s="49">
        <v>117012</v>
      </c>
      <c r="AH8" s="17">
        <f t="shared" ref="AH8:AH35" si="3">(AG8-AG7)*10</f>
        <v>1900</v>
      </c>
      <c r="AI8" s="49">
        <v>208411</v>
      </c>
      <c r="AJ8" s="17">
        <f t="shared" ref="AJ8:AJ35" si="4">(AI8-AI7)*10</f>
        <v>3330</v>
      </c>
      <c r="AK8" s="49">
        <v>108348</v>
      </c>
      <c r="AL8" s="17">
        <f t="shared" ref="AL8:AL35" si="5">(AK8-AK7)*10</f>
        <v>1780</v>
      </c>
      <c r="AM8" s="49">
        <v>562735</v>
      </c>
      <c r="AN8" s="17">
        <f t="shared" ref="AN8:AN35" si="6">(AM8-AM7)*10</f>
        <v>8680</v>
      </c>
      <c r="AP8" s="203">
        <f t="shared" ref="AP8:AP35" si="7">SUM(D8,F8,I8,L8,N8,Q8,U8,Y8,AC8)</f>
        <v>28186.400000000001</v>
      </c>
      <c r="AQ8" s="204">
        <f t="shared" ref="AQ8:AQ34" si="8">SUM(R8,V8,Z8,AD8,AF8,AH8,AJ8,AL8,AN8,J8)</f>
        <v>22393.599999999999</v>
      </c>
    </row>
    <row r="9" spans="1:43" ht="39.950000000000003" customHeight="1">
      <c r="A9" s="194">
        <v>44594</v>
      </c>
      <c r="B9" s="16"/>
      <c r="C9" s="49">
        <v>214329</v>
      </c>
      <c r="D9" s="17">
        <f t="shared" ref="D9:F25" si="9">(C9-C8)*10</f>
        <v>3870</v>
      </c>
      <c r="E9" s="49">
        <v>352849</v>
      </c>
      <c r="F9" s="17">
        <f t="shared" si="9"/>
        <v>6260</v>
      </c>
      <c r="G9" s="49">
        <v>93125</v>
      </c>
      <c r="H9" s="17">
        <f t="shared" ref="H9" si="10">(G9-G8)*10</f>
        <v>2200</v>
      </c>
      <c r="I9" s="203">
        <f>H9*I6/100</f>
        <v>1012</v>
      </c>
      <c r="J9" s="203">
        <f>H9*J6/100</f>
        <v>1188</v>
      </c>
      <c r="K9" s="49">
        <v>315494</v>
      </c>
      <c r="L9" s="17">
        <f t="shared" ref="L9" si="11">(K9-K8)*10</f>
        <v>5360</v>
      </c>
      <c r="M9" s="49">
        <v>499971</v>
      </c>
      <c r="N9" s="17">
        <f t="shared" ref="N9" si="12">(M9-M8)*10</f>
        <v>8750</v>
      </c>
      <c r="O9" s="49">
        <v>193353</v>
      </c>
      <c r="P9" s="17">
        <f t="shared" si="0"/>
        <v>9370</v>
      </c>
      <c r="Q9" s="203">
        <f>P9*Q6/100</f>
        <v>4310.2</v>
      </c>
      <c r="R9" s="203">
        <f>P9*R6/100</f>
        <v>5059.8</v>
      </c>
      <c r="S9" s="49">
        <v>335911</v>
      </c>
      <c r="T9" s="17">
        <f t="shared" si="1"/>
        <v>20</v>
      </c>
      <c r="U9" s="203">
        <f>T9*U6/100</f>
        <v>9.1999999999999993</v>
      </c>
      <c r="V9" s="203">
        <f>T9*V6/100</f>
        <v>10.8</v>
      </c>
      <c r="W9" s="49">
        <v>166650</v>
      </c>
      <c r="X9" s="17">
        <f t="shared" ref="X9" si="13">(W9-W8)*10</f>
        <v>30</v>
      </c>
      <c r="Y9" s="203">
        <f>X9*Y6/100</f>
        <v>13.8</v>
      </c>
      <c r="Z9" s="203">
        <f>X9*Z6/100</f>
        <v>16.2</v>
      </c>
      <c r="AA9" s="49">
        <v>243497</v>
      </c>
      <c r="AB9" s="17">
        <f t="shared" ref="AB9:AB35" si="14">(AA9-AA8)*10</f>
        <v>80</v>
      </c>
      <c r="AC9" s="203">
        <f>AB9*AC6/100</f>
        <v>36.799999999999997</v>
      </c>
      <c r="AD9" s="203">
        <f>AB9*AD6/100</f>
        <v>43.2</v>
      </c>
      <c r="AE9" s="49">
        <v>60383</v>
      </c>
      <c r="AF9" s="17">
        <f t="shared" si="2"/>
        <v>1230</v>
      </c>
      <c r="AG9" s="49">
        <v>117203</v>
      </c>
      <c r="AH9" s="17">
        <f t="shared" si="3"/>
        <v>1910</v>
      </c>
      <c r="AI9" s="49">
        <v>208757</v>
      </c>
      <c r="AJ9" s="17">
        <f t="shared" si="4"/>
        <v>3460</v>
      </c>
      <c r="AK9" s="49">
        <v>108523</v>
      </c>
      <c r="AL9" s="17">
        <f t="shared" si="5"/>
        <v>1750</v>
      </c>
      <c r="AM9" s="49">
        <v>563611</v>
      </c>
      <c r="AN9" s="17">
        <f t="shared" si="6"/>
        <v>8760</v>
      </c>
      <c r="AP9" s="203">
        <f t="shared" si="7"/>
        <v>29622</v>
      </c>
      <c r="AQ9" s="204">
        <f t="shared" si="8"/>
        <v>23428</v>
      </c>
    </row>
    <row r="10" spans="1:43" ht="39.950000000000003" customHeight="1">
      <c r="A10" s="194">
        <v>44595</v>
      </c>
      <c r="B10" s="16"/>
      <c r="C10" s="49">
        <v>214687</v>
      </c>
      <c r="D10" s="17">
        <f t="shared" si="9"/>
        <v>3580</v>
      </c>
      <c r="E10" s="49">
        <v>353431</v>
      </c>
      <c r="F10" s="17">
        <f t="shared" si="9"/>
        <v>5820</v>
      </c>
      <c r="G10" s="49">
        <v>93330</v>
      </c>
      <c r="H10" s="17">
        <f t="shared" ref="H10" si="15">(G10-G9)*10</f>
        <v>2050</v>
      </c>
      <c r="I10" s="203">
        <f>H10*I6/100</f>
        <v>943</v>
      </c>
      <c r="J10" s="203">
        <f>H10*J6/100</f>
        <v>1107</v>
      </c>
      <c r="K10" s="49">
        <v>315999</v>
      </c>
      <c r="L10" s="17">
        <f t="shared" ref="L10" si="16">(K10-K9)*10</f>
        <v>5050</v>
      </c>
      <c r="M10" s="49">
        <v>500831</v>
      </c>
      <c r="N10" s="17">
        <f t="shared" ref="N10" si="17">(M10-M9)*10</f>
        <v>8600</v>
      </c>
      <c r="O10" s="49">
        <v>194113</v>
      </c>
      <c r="P10" s="17">
        <f t="shared" si="0"/>
        <v>7600</v>
      </c>
      <c r="Q10" s="203">
        <f>P10*Q6/100</f>
        <v>3496</v>
      </c>
      <c r="R10" s="203">
        <f>P10*R6/100</f>
        <v>4104</v>
      </c>
      <c r="S10" s="49">
        <v>335913</v>
      </c>
      <c r="T10" s="17">
        <f t="shared" si="1"/>
        <v>20</v>
      </c>
      <c r="U10" s="203">
        <f>T10*U6/100</f>
        <v>9.1999999999999993</v>
      </c>
      <c r="V10" s="203">
        <f>T10*V6/100</f>
        <v>10.8</v>
      </c>
      <c r="W10" s="49">
        <v>166652</v>
      </c>
      <c r="X10" s="17">
        <f t="shared" ref="X10" si="18">(W10-W9)*10</f>
        <v>20</v>
      </c>
      <c r="Y10" s="203">
        <f>X10*Y6/100</f>
        <v>9.1999999999999993</v>
      </c>
      <c r="Z10" s="203">
        <f>X10*Z6/100</f>
        <v>10.8</v>
      </c>
      <c r="AA10" s="49">
        <v>243505</v>
      </c>
      <c r="AB10" s="17">
        <f t="shared" si="14"/>
        <v>80</v>
      </c>
      <c r="AC10" s="203">
        <f>AB10*AC6/100</f>
        <v>36.799999999999997</v>
      </c>
      <c r="AD10" s="203">
        <f>AB10*AD6/100</f>
        <v>43.2</v>
      </c>
      <c r="AE10" s="49">
        <v>60501</v>
      </c>
      <c r="AF10" s="17">
        <f t="shared" si="2"/>
        <v>1180</v>
      </c>
      <c r="AG10" s="49">
        <v>117386</v>
      </c>
      <c r="AH10" s="17">
        <f t="shared" si="3"/>
        <v>1830</v>
      </c>
      <c r="AI10" s="49">
        <v>209100</v>
      </c>
      <c r="AJ10" s="17">
        <f t="shared" si="4"/>
        <v>3430</v>
      </c>
      <c r="AK10" s="49">
        <v>108698</v>
      </c>
      <c r="AL10" s="17">
        <f t="shared" si="5"/>
        <v>1750</v>
      </c>
      <c r="AM10" s="49">
        <v>564478</v>
      </c>
      <c r="AN10" s="17">
        <f t="shared" si="6"/>
        <v>8670</v>
      </c>
      <c r="AP10" s="203">
        <f t="shared" si="7"/>
        <v>27544.2</v>
      </c>
      <c r="AQ10" s="204">
        <f t="shared" si="8"/>
        <v>22135.8</v>
      </c>
    </row>
    <row r="11" spans="1:43" ht="39.950000000000003" customHeight="1">
      <c r="A11" s="194">
        <v>44596</v>
      </c>
      <c r="B11" s="16"/>
      <c r="C11" s="49">
        <v>215057</v>
      </c>
      <c r="D11" s="17">
        <f t="shared" si="9"/>
        <v>3700</v>
      </c>
      <c r="E11" s="49">
        <v>354035</v>
      </c>
      <c r="F11" s="17">
        <f t="shared" si="9"/>
        <v>6040</v>
      </c>
      <c r="G11" s="49">
        <v>93548</v>
      </c>
      <c r="H11" s="17">
        <f t="shared" ref="H11" si="19">(G11-G10)*10</f>
        <v>2180</v>
      </c>
      <c r="I11" s="203">
        <f>H11*I6/100</f>
        <v>1002.8</v>
      </c>
      <c r="J11" s="203">
        <f>H11*J6/100</f>
        <v>1177.2</v>
      </c>
      <c r="K11" s="49">
        <v>316522</v>
      </c>
      <c r="L11" s="17">
        <f t="shared" ref="L11" si="20">(K11-K10)*10</f>
        <v>5230</v>
      </c>
      <c r="M11" s="49">
        <v>501668</v>
      </c>
      <c r="N11" s="17">
        <f t="shared" ref="N11" si="21">(M11-M10)*10</f>
        <v>8370</v>
      </c>
      <c r="O11" s="49">
        <v>194947</v>
      </c>
      <c r="P11" s="17">
        <f t="shared" si="0"/>
        <v>8340</v>
      </c>
      <c r="Q11" s="203">
        <f>P11*Q6/100</f>
        <v>3836.4</v>
      </c>
      <c r="R11" s="203">
        <f>P11*R6/100</f>
        <v>4503.6000000000004</v>
      </c>
      <c r="S11" s="49">
        <v>335915</v>
      </c>
      <c r="T11" s="17">
        <f t="shared" si="1"/>
        <v>20</v>
      </c>
      <c r="U11" s="203">
        <f>T11*U6/100</f>
        <v>9.1999999999999993</v>
      </c>
      <c r="V11" s="203">
        <f>T11*V6/100</f>
        <v>10.8</v>
      </c>
      <c r="W11" s="49">
        <v>166654</v>
      </c>
      <c r="X11" s="17">
        <f t="shared" ref="X11" si="22">(W11-W10)*10</f>
        <v>20</v>
      </c>
      <c r="Y11" s="203">
        <f>X11*Y6/100</f>
        <v>9.1999999999999993</v>
      </c>
      <c r="Z11" s="203">
        <f>X11*Z6/100</f>
        <v>10.8</v>
      </c>
      <c r="AA11" s="49">
        <v>243513</v>
      </c>
      <c r="AB11" s="17">
        <f t="shared" si="14"/>
        <v>80</v>
      </c>
      <c r="AC11" s="203">
        <f>AB11*AC6/100</f>
        <v>36.799999999999997</v>
      </c>
      <c r="AD11" s="203">
        <f>AB11*AD6/100</f>
        <v>43.2</v>
      </c>
      <c r="AE11" s="49">
        <v>60612</v>
      </c>
      <c r="AF11" s="17">
        <f t="shared" si="2"/>
        <v>1110</v>
      </c>
      <c r="AG11" s="49">
        <v>117572</v>
      </c>
      <c r="AH11" s="17">
        <f t="shared" si="3"/>
        <v>1860</v>
      </c>
      <c r="AI11" s="49">
        <v>209449</v>
      </c>
      <c r="AJ11" s="17">
        <f t="shared" si="4"/>
        <v>3490</v>
      </c>
      <c r="AK11" s="49">
        <v>108872</v>
      </c>
      <c r="AL11" s="17">
        <f t="shared" si="5"/>
        <v>1740</v>
      </c>
      <c r="AM11" s="49">
        <v>565359</v>
      </c>
      <c r="AN11" s="17">
        <f t="shared" si="6"/>
        <v>8810</v>
      </c>
      <c r="AP11" s="203">
        <f t="shared" si="7"/>
        <v>28234.400000000001</v>
      </c>
      <c r="AQ11" s="204">
        <f t="shared" si="8"/>
        <v>22755.600000000002</v>
      </c>
    </row>
    <row r="12" spans="1:43" ht="39.950000000000003" customHeight="1">
      <c r="A12" s="194">
        <v>44597</v>
      </c>
      <c r="B12" s="16"/>
      <c r="C12" s="49">
        <v>215430</v>
      </c>
      <c r="D12" s="17">
        <f t="shared" si="9"/>
        <v>3730</v>
      </c>
      <c r="E12" s="49">
        <v>354656</v>
      </c>
      <c r="F12" s="17">
        <f t="shared" si="9"/>
        <v>6210</v>
      </c>
      <c r="G12" s="49">
        <v>93759</v>
      </c>
      <c r="H12" s="17">
        <f t="shared" ref="H12" si="23">(G12-G11)*10</f>
        <v>2110</v>
      </c>
      <c r="I12" s="203">
        <f>H12*I6/100</f>
        <v>970.6</v>
      </c>
      <c r="J12" s="203">
        <f>H12*J6/100</f>
        <v>1139.4000000000001</v>
      </c>
      <c r="K12" s="49">
        <v>317031</v>
      </c>
      <c r="L12" s="17">
        <f t="shared" ref="L12" si="24">(K12-K11)*10</f>
        <v>5090</v>
      </c>
      <c r="M12" s="49">
        <v>502519</v>
      </c>
      <c r="N12" s="17">
        <f t="shared" ref="N12" si="25">(M12-M11)*10</f>
        <v>8510</v>
      </c>
      <c r="O12" s="49">
        <v>195783</v>
      </c>
      <c r="P12" s="17">
        <f t="shared" si="0"/>
        <v>8360</v>
      </c>
      <c r="Q12" s="203">
        <f>P12*Q6/100</f>
        <v>3845.6</v>
      </c>
      <c r="R12" s="203">
        <f>P12*R6/100</f>
        <v>4514.3999999999996</v>
      </c>
      <c r="S12" s="49">
        <v>335917</v>
      </c>
      <c r="T12" s="17">
        <f t="shared" si="1"/>
        <v>20</v>
      </c>
      <c r="U12" s="203">
        <f>T12*U6/100</f>
        <v>9.1999999999999993</v>
      </c>
      <c r="V12" s="203">
        <f>T12*V6/100</f>
        <v>10.8</v>
      </c>
      <c r="W12" s="49">
        <v>166656</v>
      </c>
      <c r="X12" s="17">
        <f t="shared" ref="X12" si="26">(W12-W11)*10</f>
        <v>20</v>
      </c>
      <c r="Y12" s="203">
        <f>X12*Y6/100</f>
        <v>9.1999999999999993</v>
      </c>
      <c r="Z12" s="203">
        <f>X12*Z6/100</f>
        <v>10.8</v>
      </c>
      <c r="AA12" s="49">
        <v>243520</v>
      </c>
      <c r="AB12" s="17">
        <f t="shared" si="14"/>
        <v>70</v>
      </c>
      <c r="AC12" s="203">
        <f>AB12*AC6/100</f>
        <v>32.200000000000003</v>
      </c>
      <c r="AD12" s="203">
        <f>AB12*AD6/100</f>
        <v>37.799999999999997</v>
      </c>
      <c r="AE12" s="49">
        <v>60720</v>
      </c>
      <c r="AF12" s="17">
        <f t="shared" si="2"/>
        <v>1080</v>
      </c>
      <c r="AG12" s="49">
        <v>117752</v>
      </c>
      <c r="AH12" s="17">
        <f t="shared" si="3"/>
        <v>1800</v>
      </c>
      <c r="AI12" s="49">
        <v>209792</v>
      </c>
      <c r="AJ12" s="17">
        <f t="shared" si="4"/>
        <v>3430</v>
      </c>
      <c r="AK12" s="49">
        <v>109049</v>
      </c>
      <c r="AL12" s="17">
        <f t="shared" si="5"/>
        <v>1770</v>
      </c>
      <c r="AM12" s="49">
        <v>566245</v>
      </c>
      <c r="AN12" s="17">
        <f t="shared" si="6"/>
        <v>8860</v>
      </c>
      <c r="AP12" s="203">
        <f t="shared" si="7"/>
        <v>28406.799999999999</v>
      </c>
      <c r="AQ12" s="204">
        <f t="shared" si="8"/>
        <v>22653.200000000001</v>
      </c>
    </row>
    <row r="13" spans="1:43" ht="39.950000000000003" customHeight="1">
      <c r="A13" s="194">
        <v>44598</v>
      </c>
      <c r="B13" s="16"/>
      <c r="C13" s="49">
        <v>215798</v>
      </c>
      <c r="D13" s="17">
        <f t="shared" si="9"/>
        <v>3680</v>
      </c>
      <c r="E13" s="49">
        <v>355311</v>
      </c>
      <c r="F13" s="17">
        <f t="shared" si="9"/>
        <v>6550</v>
      </c>
      <c r="G13" s="49">
        <v>93967</v>
      </c>
      <c r="H13" s="17">
        <f t="shared" ref="H13" si="27">(G13-G12)*10</f>
        <v>2080</v>
      </c>
      <c r="I13" s="203">
        <f>H13*I6/100</f>
        <v>956.8</v>
      </c>
      <c r="J13" s="203">
        <f>H13*J6/100</f>
        <v>1123.2</v>
      </c>
      <c r="K13" s="49">
        <v>317553</v>
      </c>
      <c r="L13" s="17">
        <f t="shared" ref="L13" si="28">(K13-K12)*10</f>
        <v>5220</v>
      </c>
      <c r="M13" s="49">
        <v>503389</v>
      </c>
      <c r="N13" s="17">
        <f t="shared" ref="N13" si="29">(M13-M12)*10</f>
        <v>8700</v>
      </c>
      <c r="O13" s="49">
        <v>196633</v>
      </c>
      <c r="P13" s="17">
        <f t="shared" si="0"/>
        <v>8500</v>
      </c>
      <c r="Q13" s="203">
        <f>P13*Q6/100</f>
        <v>3910</v>
      </c>
      <c r="R13" s="203">
        <f>P13*R6/100</f>
        <v>4590</v>
      </c>
      <c r="S13" s="49">
        <v>335919</v>
      </c>
      <c r="T13" s="17">
        <f t="shared" si="1"/>
        <v>20</v>
      </c>
      <c r="U13" s="203">
        <f>T13*U6/100</f>
        <v>9.1999999999999993</v>
      </c>
      <c r="V13" s="203">
        <f>T13*V6/100</f>
        <v>10.8</v>
      </c>
      <c r="W13" s="49">
        <v>166658</v>
      </c>
      <c r="X13" s="17">
        <f t="shared" ref="X13" si="30">(W13-W12)*10</f>
        <v>20</v>
      </c>
      <c r="Y13" s="203">
        <f>X13*Y6/100</f>
        <v>9.1999999999999993</v>
      </c>
      <c r="Z13" s="203">
        <f>X13*Z6/100</f>
        <v>10.8</v>
      </c>
      <c r="AA13" s="49">
        <v>243528</v>
      </c>
      <c r="AB13" s="17">
        <f t="shared" si="14"/>
        <v>80</v>
      </c>
      <c r="AC13" s="203">
        <f>AB13*AC6/100</f>
        <v>36.799999999999997</v>
      </c>
      <c r="AD13" s="203">
        <f>AB13*AD6/100</f>
        <v>43.2</v>
      </c>
      <c r="AE13" s="49">
        <v>60836</v>
      </c>
      <c r="AF13" s="17">
        <f t="shared" si="2"/>
        <v>1160</v>
      </c>
      <c r="AG13" s="49">
        <v>117940</v>
      </c>
      <c r="AH13" s="17">
        <f t="shared" si="3"/>
        <v>1880</v>
      </c>
      <c r="AI13" s="49">
        <v>210137</v>
      </c>
      <c r="AJ13" s="17">
        <f t="shared" si="4"/>
        <v>3450</v>
      </c>
      <c r="AK13" s="49">
        <v>109232</v>
      </c>
      <c r="AL13" s="17">
        <f t="shared" si="5"/>
        <v>1830</v>
      </c>
      <c r="AM13" s="49">
        <v>567155</v>
      </c>
      <c r="AN13" s="17">
        <f t="shared" si="6"/>
        <v>9100</v>
      </c>
      <c r="AP13" s="203">
        <f t="shared" si="7"/>
        <v>29072</v>
      </c>
      <c r="AQ13" s="204">
        <f t="shared" si="8"/>
        <v>23198</v>
      </c>
    </row>
    <row r="14" spans="1:43" ht="39.950000000000003" customHeight="1">
      <c r="A14" s="194">
        <v>44599</v>
      </c>
      <c r="B14" s="16"/>
      <c r="C14" s="49">
        <v>216172</v>
      </c>
      <c r="D14" s="17">
        <f t="shared" si="9"/>
        <v>3740</v>
      </c>
      <c r="E14" s="49">
        <v>355997</v>
      </c>
      <c r="F14" s="17">
        <f t="shared" si="9"/>
        <v>6860</v>
      </c>
      <c r="G14" s="49">
        <v>94181</v>
      </c>
      <c r="H14" s="17">
        <f t="shared" ref="H14" si="31">(G14-G13)*10</f>
        <v>2140</v>
      </c>
      <c r="I14" s="203">
        <f>H14*I6/100</f>
        <v>984.4</v>
      </c>
      <c r="J14" s="203">
        <f>H14*J6/100</f>
        <v>1155.5999999999999</v>
      </c>
      <c r="K14" s="49">
        <v>318067</v>
      </c>
      <c r="L14" s="17">
        <f t="shared" ref="L14" si="32">(K14-K13)*10</f>
        <v>5140</v>
      </c>
      <c r="M14" s="49">
        <v>504195</v>
      </c>
      <c r="N14" s="17">
        <f t="shared" ref="N14" si="33">(M14-M13)*10</f>
        <v>8060</v>
      </c>
      <c r="O14" s="49">
        <v>197527</v>
      </c>
      <c r="P14" s="17">
        <f t="shared" si="0"/>
        <v>8940</v>
      </c>
      <c r="Q14" s="203">
        <f>P14*Q6/100</f>
        <v>4112.3999999999996</v>
      </c>
      <c r="R14" s="203">
        <f>P14*R6/100</f>
        <v>4827.6000000000004</v>
      </c>
      <c r="S14" s="49">
        <v>335921</v>
      </c>
      <c r="T14" s="17">
        <f t="shared" si="1"/>
        <v>20</v>
      </c>
      <c r="U14" s="203">
        <f>T14*U6/100</f>
        <v>9.1999999999999993</v>
      </c>
      <c r="V14" s="203">
        <f>T14*V6/100</f>
        <v>10.8</v>
      </c>
      <c r="W14" s="49">
        <v>166661</v>
      </c>
      <c r="X14" s="17">
        <f t="shared" ref="X14" si="34">(W14-W13)*10</f>
        <v>30</v>
      </c>
      <c r="Y14" s="203">
        <f>X14*Y6/100</f>
        <v>13.8</v>
      </c>
      <c r="Z14" s="203">
        <f>X14*Z6/100</f>
        <v>16.2</v>
      </c>
      <c r="AA14" s="49">
        <v>243536</v>
      </c>
      <c r="AB14" s="17">
        <f t="shared" si="14"/>
        <v>80</v>
      </c>
      <c r="AC14" s="203">
        <f>AB14*AC6/100</f>
        <v>36.799999999999997</v>
      </c>
      <c r="AD14" s="203">
        <f>AB14*AD6/100</f>
        <v>43.2</v>
      </c>
      <c r="AE14" s="49">
        <v>60954</v>
      </c>
      <c r="AF14" s="17">
        <f t="shared" si="2"/>
        <v>1180</v>
      </c>
      <c r="AG14" s="49">
        <v>118132</v>
      </c>
      <c r="AH14" s="17">
        <f t="shared" si="3"/>
        <v>1920</v>
      </c>
      <c r="AI14" s="49">
        <v>210493</v>
      </c>
      <c r="AJ14" s="17">
        <f t="shared" si="4"/>
        <v>3560</v>
      </c>
      <c r="AK14" s="49">
        <v>109405</v>
      </c>
      <c r="AL14" s="17">
        <f t="shared" si="5"/>
        <v>1730</v>
      </c>
      <c r="AM14" s="49">
        <v>568037</v>
      </c>
      <c r="AN14" s="17">
        <f t="shared" si="6"/>
        <v>8820</v>
      </c>
      <c r="AP14" s="203">
        <f t="shared" si="7"/>
        <v>28956.600000000002</v>
      </c>
      <c r="AQ14" s="204">
        <f t="shared" si="8"/>
        <v>23263.399999999998</v>
      </c>
    </row>
    <row r="15" spans="1:43" ht="39.950000000000003" customHeight="1">
      <c r="A15" s="194">
        <v>44600</v>
      </c>
      <c r="B15" s="16"/>
      <c r="C15" s="49">
        <v>216536</v>
      </c>
      <c r="D15" s="17">
        <f t="shared" si="9"/>
        <v>3640</v>
      </c>
      <c r="E15" s="49">
        <v>356668</v>
      </c>
      <c r="F15" s="17">
        <f t="shared" si="9"/>
        <v>6710</v>
      </c>
      <c r="G15" s="49">
        <v>94402</v>
      </c>
      <c r="H15" s="17">
        <f t="shared" ref="H15" si="35">(G15-G14)*10</f>
        <v>2210</v>
      </c>
      <c r="I15" s="203">
        <f>H15*I6/100</f>
        <v>1016.6</v>
      </c>
      <c r="J15" s="203">
        <f>H15*J6/100</f>
        <v>1193.4000000000001</v>
      </c>
      <c r="K15" s="49">
        <v>318571</v>
      </c>
      <c r="L15" s="17">
        <f t="shared" ref="L15" si="36">(K15-K14)*10</f>
        <v>5040</v>
      </c>
      <c r="M15" s="49">
        <v>505043</v>
      </c>
      <c r="N15" s="17">
        <f t="shared" ref="N15" si="37">(M15-M14)*10</f>
        <v>8480</v>
      </c>
      <c r="O15" s="49">
        <v>198399</v>
      </c>
      <c r="P15" s="17">
        <f t="shared" si="0"/>
        <v>8720</v>
      </c>
      <c r="Q15" s="203">
        <f>P15*Q6/100</f>
        <v>4011.2</v>
      </c>
      <c r="R15" s="203">
        <f>P15*R6/100</f>
        <v>4708.8</v>
      </c>
      <c r="S15" s="49">
        <v>335923</v>
      </c>
      <c r="T15" s="17">
        <f t="shared" si="1"/>
        <v>20</v>
      </c>
      <c r="U15" s="203">
        <f>T15*U6/100</f>
        <v>9.1999999999999993</v>
      </c>
      <c r="V15" s="203">
        <f>T15*V6/100</f>
        <v>10.8</v>
      </c>
      <c r="W15" s="49">
        <v>166663</v>
      </c>
      <c r="X15" s="17">
        <f t="shared" ref="X15" si="38">(W15-W14)*10</f>
        <v>20</v>
      </c>
      <c r="Y15" s="203">
        <f>X15*Y6/100</f>
        <v>9.1999999999999993</v>
      </c>
      <c r="Z15" s="203">
        <f>X15*Z6/100</f>
        <v>10.8</v>
      </c>
      <c r="AA15" s="49">
        <v>243544</v>
      </c>
      <c r="AB15" s="17">
        <f t="shared" si="14"/>
        <v>80</v>
      </c>
      <c r="AC15" s="203">
        <f>AB15*AC6/100</f>
        <v>36.799999999999997</v>
      </c>
      <c r="AD15" s="203">
        <f>AB15*AD6/100</f>
        <v>43.2</v>
      </c>
      <c r="AE15" s="49">
        <v>61065</v>
      </c>
      <c r="AF15" s="17">
        <f t="shared" si="2"/>
        <v>1110</v>
      </c>
      <c r="AG15" s="49">
        <v>118321</v>
      </c>
      <c r="AH15" s="17">
        <f t="shared" si="3"/>
        <v>1890</v>
      </c>
      <c r="AI15" s="49">
        <v>210845</v>
      </c>
      <c r="AJ15" s="17">
        <f t="shared" si="4"/>
        <v>3520</v>
      </c>
      <c r="AK15" s="49">
        <v>109581</v>
      </c>
      <c r="AL15" s="17">
        <f t="shared" si="5"/>
        <v>1760</v>
      </c>
      <c r="AM15" s="49">
        <v>568903</v>
      </c>
      <c r="AN15" s="17">
        <f t="shared" si="6"/>
        <v>8660</v>
      </c>
      <c r="AP15" s="203">
        <f t="shared" si="7"/>
        <v>28953</v>
      </c>
      <c r="AQ15" s="204">
        <f t="shared" si="8"/>
        <v>22907</v>
      </c>
    </row>
    <row r="16" spans="1:43" ht="39.950000000000003" customHeight="1">
      <c r="A16" s="194">
        <v>44601</v>
      </c>
      <c r="B16" s="16"/>
      <c r="C16" s="49">
        <v>216918</v>
      </c>
      <c r="D16" s="17">
        <f t="shared" si="9"/>
        <v>3820</v>
      </c>
      <c r="E16" s="49">
        <v>357321</v>
      </c>
      <c r="F16" s="17">
        <f t="shared" si="9"/>
        <v>6530</v>
      </c>
      <c r="G16" s="49">
        <v>94616</v>
      </c>
      <c r="H16" s="17">
        <f t="shared" ref="H16" si="39">(G16-G15)*10</f>
        <v>2140</v>
      </c>
      <c r="I16" s="203">
        <f>H16*I6/100</f>
        <v>984.4</v>
      </c>
      <c r="J16" s="203">
        <f>H16*J6/100</f>
        <v>1155.5999999999999</v>
      </c>
      <c r="K16" s="49">
        <v>319089</v>
      </c>
      <c r="L16" s="17">
        <f t="shared" ref="L16" si="40">(K16-K15)*10</f>
        <v>5180</v>
      </c>
      <c r="M16" s="49">
        <v>505883</v>
      </c>
      <c r="N16" s="17">
        <f t="shared" ref="N16" si="41">(M16-M15)*10</f>
        <v>8400</v>
      </c>
      <c r="O16" s="49">
        <v>199151</v>
      </c>
      <c r="P16" s="17">
        <f t="shared" si="0"/>
        <v>7520</v>
      </c>
      <c r="Q16" s="203">
        <f>P16*Q6/100</f>
        <v>3459.2</v>
      </c>
      <c r="R16" s="203">
        <f>P16*R6/100</f>
        <v>4060.8</v>
      </c>
      <c r="S16" s="49">
        <v>335927</v>
      </c>
      <c r="T16" s="17">
        <f t="shared" si="1"/>
        <v>40</v>
      </c>
      <c r="U16" s="203">
        <f>T16*U6/100</f>
        <v>18.399999999999999</v>
      </c>
      <c r="V16" s="203">
        <f>T16*V6/100</f>
        <v>21.6</v>
      </c>
      <c r="W16" s="49">
        <v>166743</v>
      </c>
      <c r="X16" s="17">
        <f t="shared" ref="X16" si="42">(W16-W15)*10</f>
        <v>800</v>
      </c>
      <c r="Y16" s="203">
        <f>X16*Y6/100</f>
        <v>368</v>
      </c>
      <c r="Z16" s="203">
        <f>X16*Z6/100</f>
        <v>432</v>
      </c>
      <c r="AA16" s="49">
        <v>243558</v>
      </c>
      <c r="AB16" s="17">
        <f t="shared" si="14"/>
        <v>140</v>
      </c>
      <c r="AC16" s="203">
        <f>AB16*AC6/100</f>
        <v>64.400000000000006</v>
      </c>
      <c r="AD16" s="203">
        <f>AB16*AD6/100</f>
        <v>75.599999999999994</v>
      </c>
      <c r="AE16" s="49">
        <v>61175</v>
      </c>
      <c r="AF16" s="17">
        <f t="shared" si="2"/>
        <v>1100</v>
      </c>
      <c r="AG16" s="49">
        <v>118515</v>
      </c>
      <c r="AH16" s="17">
        <f t="shared" si="3"/>
        <v>1940</v>
      </c>
      <c r="AI16" s="49">
        <v>211203</v>
      </c>
      <c r="AJ16" s="17">
        <f t="shared" si="4"/>
        <v>3580</v>
      </c>
      <c r="AK16" s="49">
        <v>109752</v>
      </c>
      <c r="AL16" s="17">
        <f t="shared" si="5"/>
        <v>1710</v>
      </c>
      <c r="AM16" s="49">
        <v>569777</v>
      </c>
      <c r="AN16" s="17">
        <f t="shared" si="6"/>
        <v>8740</v>
      </c>
      <c r="AP16" s="203">
        <f t="shared" si="7"/>
        <v>28824.400000000005</v>
      </c>
      <c r="AQ16" s="204">
        <f t="shared" si="8"/>
        <v>22815.599999999999</v>
      </c>
    </row>
    <row r="17" spans="1:43" ht="39.950000000000003" customHeight="1">
      <c r="A17" s="194">
        <v>44602</v>
      </c>
      <c r="B17" s="16"/>
      <c r="C17" s="49">
        <v>217687</v>
      </c>
      <c r="D17" s="17">
        <f t="shared" si="9"/>
        <v>7690</v>
      </c>
      <c r="E17" s="49">
        <v>358014</v>
      </c>
      <c r="F17" s="17">
        <f t="shared" si="9"/>
        <v>6930</v>
      </c>
      <c r="G17" s="49">
        <v>94852</v>
      </c>
      <c r="H17" s="17">
        <f t="shared" ref="H17" si="43">(G17-G16)*10</f>
        <v>2360</v>
      </c>
      <c r="I17" s="203">
        <f>H17*I6/100</f>
        <v>1085.5999999999999</v>
      </c>
      <c r="J17" s="203">
        <f>H17*J6/100</f>
        <v>1274.4000000000001</v>
      </c>
      <c r="K17" s="49">
        <v>319595</v>
      </c>
      <c r="L17" s="17">
        <f t="shared" ref="L17" si="44">(K17-K16)*10</f>
        <v>5060</v>
      </c>
      <c r="M17" s="49">
        <v>506725</v>
      </c>
      <c r="N17" s="17">
        <f t="shared" ref="N17" si="45">(M17-M16)*10</f>
        <v>8420</v>
      </c>
      <c r="O17" s="49">
        <v>200116</v>
      </c>
      <c r="P17" s="17">
        <f t="shared" si="0"/>
        <v>9650</v>
      </c>
      <c r="Q17" s="203">
        <f>P17*Q6/100</f>
        <v>4439</v>
      </c>
      <c r="R17" s="203">
        <f>P17*R6/100</f>
        <v>5211</v>
      </c>
      <c r="S17" s="49">
        <v>335929</v>
      </c>
      <c r="T17" s="17">
        <f t="shared" si="1"/>
        <v>20</v>
      </c>
      <c r="U17" s="203">
        <f>T17*U6/100</f>
        <v>9.1999999999999993</v>
      </c>
      <c r="V17" s="203">
        <f>T17*V6/100</f>
        <v>10.8</v>
      </c>
      <c r="W17" s="49">
        <v>166745</v>
      </c>
      <c r="X17" s="17">
        <f t="shared" ref="X17" si="46">(W17-W16)*10</f>
        <v>20</v>
      </c>
      <c r="Y17" s="203">
        <f>X17*Y6/100</f>
        <v>9.1999999999999993</v>
      </c>
      <c r="Z17" s="203">
        <f>X17*Z6/100</f>
        <v>10.8</v>
      </c>
      <c r="AA17" s="49">
        <v>243566</v>
      </c>
      <c r="AB17" s="17">
        <f t="shared" si="14"/>
        <v>80</v>
      </c>
      <c r="AC17" s="203">
        <f>AB17*AC6/100</f>
        <v>36.799999999999997</v>
      </c>
      <c r="AD17" s="203">
        <f>AB17*AD6/100</f>
        <v>43.2</v>
      </c>
      <c r="AE17" s="49">
        <v>61279</v>
      </c>
      <c r="AF17" s="17">
        <f t="shared" si="2"/>
        <v>1040</v>
      </c>
      <c r="AG17" s="49">
        <v>118708</v>
      </c>
      <c r="AH17" s="17">
        <f t="shared" si="3"/>
        <v>1930</v>
      </c>
      <c r="AI17" s="49">
        <v>211557</v>
      </c>
      <c r="AJ17" s="17">
        <f t="shared" si="4"/>
        <v>3540</v>
      </c>
      <c r="AK17" s="49">
        <v>109923</v>
      </c>
      <c r="AL17" s="17">
        <f t="shared" si="5"/>
        <v>1710</v>
      </c>
      <c r="AM17" s="49">
        <v>570623</v>
      </c>
      <c r="AN17" s="17">
        <f t="shared" si="6"/>
        <v>8460</v>
      </c>
      <c r="AP17" s="203">
        <f t="shared" si="7"/>
        <v>33679.799999999996</v>
      </c>
      <c r="AQ17" s="204">
        <f t="shared" si="8"/>
        <v>23230.2</v>
      </c>
    </row>
    <row r="18" spans="1:43" ht="39.950000000000003" customHeight="1">
      <c r="A18" s="194">
        <v>44603</v>
      </c>
      <c r="B18" s="16"/>
      <c r="C18" s="49">
        <v>217807</v>
      </c>
      <c r="D18" s="17">
        <f t="shared" si="9"/>
        <v>1200</v>
      </c>
      <c r="E18" s="49">
        <v>358655</v>
      </c>
      <c r="F18" s="17">
        <f t="shared" si="9"/>
        <v>6410</v>
      </c>
      <c r="G18" s="49">
        <v>95076</v>
      </c>
      <c r="H18" s="17">
        <f t="shared" ref="H18" si="47">(G18-G17)*10</f>
        <v>2240</v>
      </c>
      <c r="I18" s="203">
        <f>H18*I6/100</f>
        <v>1030.4000000000001</v>
      </c>
      <c r="J18" s="203">
        <f>H18*J6/100</f>
        <v>1209.5999999999999</v>
      </c>
      <c r="K18" s="49">
        <v>320124</v>
      </c>
      <c r="L18" s="17">
        <f t="shared" ref="L18" si="48">(K18-K17)*10</f>
        <v>5290</v>
      </c>
      <c r="M18" s="49">
        <v>507590</v>
      </c>
      <c r="N18" s="17">
        <f t="shared" ref="N18" si="49">(M18-M17)*10</f>
        <v>8650</v>
      </c>
      <c r="O18" s="49">
        <v>201068</v>
      </c>
      <c r="P18" s="17">
        <f t="shared" si="0"/>
        <v>9520</v>
      </c>
      <c r="Q18" s="203">
        <f>P18*Q6/100</f>
        <v>4379.2</v>
      </c>
      <c r="R18" s="203">
        <f>P18*R6/100</f>
        <v>5140.8</v>
      </c>
      <c r="S18" s="49">
        <v>335931</v>
      </c>
      <c r="T18" s="17">
        <f t="shared" si="1"/>
        <v>20</v>
      </c>
      <c r="U18" s="203">
        <f>T18*U6/100</f>
        <v>9.1999999999999993</v>
      </c>
      <c r="V18" s="203">
        <f>T18*V6/100</f>
        <v>10.8</v>
      </c>
      <c r="W18" s="49">
        <v>166747</v>
      </c>
      <c r="X18" s="17">
        <f t="shared" ref="X18" si="50">(W18-W17)*10</f>
        <v>20</v>
      </c>
      <c r="Y18" s="203">
        <f>X18*Y6/100</f>
        <v>9.1999999999999993</v>
      </c>
      <c r="Z18" s="203">
        <f>X18*Z6/100</f>
        <v>10.8</v>
      </c>
      <c r="AA18" s="49">
        <v>243574</v>
      </c>
      <c r="AB18" s="17">
        <f t="shared" si="14"/>
        <v>80</v>
      </c>
      <c r="AC18" s="203">
        <f>AB18*AC6/100</f>
        <v>36.799999999999997</v>
      </c>
      <c r="AD18" s="203">
        <f>AB18*AD6/100</f>
        <v>43.2</v>
      </c>
      <c r="AE18" s="49">
        <v>61393</v>
      </c>
      <c r="AF18" s="17">
        <f t="shared" si="2"/>
        <v>1140</v>
      </c>
      <c r="AG18" s="49">
        <v>118896</v>
      </c>
      <c r="AH18" s="17">
        <f t="shared" si="3"/>
        <v>1880</v>
      </c>
      <c r="AI18" s="49">
        <v>211924</v>
      </c>
      <c r="AJ18" s="17">
        <f t="shared" si="4"/>
        <v>3670</v>
      </c>
      <c r="AK18" s="49">
        <v>110104</v>
      </c>
      <c r="AL18" s="17">
        <f t="shared" si="5"/>
        <v>1810</v>
      </c>
      <c r="AM18" s="49">
        <v>571490</v>
      </c>
      <c r="AN18" s="17">
        <f t="shared" si="6"/>
        <v>8670</v>
      </c>
      <c r="AP18" s="203">
        <f t="shared" si="7"/>
        <v>27014.800000000003</v>
      </c>
      <c r="AQ18" s="204">
        <f t="shared" si="8"/>
        <v>23585.199999999997</v>
      </c>
    </row>
    <row r="19" spans="1:43" ht="39.950000000000003" customHeight="1">
      <c r="A19" s="194">
        <v>44604</v>
      </c>
      <c r="B19" s="16"/>
      <c r="C19" s="49">
        <v>217949</v>
      </c>
      <c r="D19" s="17">
        <f t="shared" si="9"/>
        <v>1420</v>
      </c>
      <c r="E19" s="49">
        <v>359313</v>
      </c>
      <c r="F19" s="17">
        <f t="shared" si="9"/>
        <v>6580</v>
      </c>
      <c r="G19" s="49">
        <v>95299</v>
      </c>
      <c r="H19" s="17">
        <f t="shared" ref="H19" si="51">(G19-G18)*10</f>
        <v>2230</v>
      </c>
      <c r="I19" s="203">
        <f>H19*I6/100</f>
        <v>1025.8</v>
      </c>
      <c r="J19" s="203">
        <f>H19*J6/100</f>
        <v>1204.2</v>
      </c>
      <c r="K19" s="49">
        <v>320629</v>
      </c>
      <c r="L19" s="17">
        <f t="shared" ref="L19" si="52">(K19-K18)*10</f>
        <v>5050</v>
      </c>
      <c r="M19" s="49">
        <v>508430</v>
      </c>
      <c r="N19" s="17">
        <f t="shared" ref="N19" si="53">(M19-M18)*10</f>
        <v>8400</v>
      </c>
      <c r="O19" s="49">
        <v>202059</v>
      </c>
      <c r="P19" s="17">
        <f t="shared" si="0"/>
        <v>9910</v>
      </c>
      <c r="Q19" s="203">
        <f>P19*Q6/100</f>
        <v>4558.6000000000004</v>
      </c>
      <c r="R19" s="203">
        <f>P19*R6/100</f>
        <v>5351.4</v>
      </c>
      <c r="S19" s="49">
        <v>335933</v>
      </c>
      <c r="T19" s="17">
        <f t="shared" si="1"/>
        <v>20</v>
      </c>
      <c r="U19" s="203">
        <f>T19*U6/100</f>
        <v>9.1999999999999993</v>
      </c>
      <c r="V19" s="203">
        <f>T19*V6/100</f>
        <v>10.8</v>
      </c>
      <c r="W19" s="49">
        <v>166750</v>
      </c>
      <c r="X19" s="17">
        <f t="shared" ref="X19" si="54">(W19-W18)*10</f>
        <v>30</v>
      </c>
      <c r="Y19" s="203">
        <f>X19*Y6/100</f>
        <v>13.8</v>
      </c>
      <c r="Z19" s="203">
        <f>X19*Z6/100</f>
        <v>16.2</v>
      </c>
      <c r="AA19" s="49">
        <v>243582</v>
      </c>
      <c r="AB19" s="17">
        <f t="shared" si="14"/>
        <v>80</v>
      </c>
      <c r="AC19" s="203">
        <f>AB19*AC6/100</f>
        <v>36.799999999999997</v>
      </c>
      <c r="AD19" s="203">
        <f>AB19*AD6/100</f>
        <v>43.2</v>
      </c>
      <c r="AE19" s="49">
        <v>61500</v>
      </c>
      <c r="AF19" s="17">
        <f t="shared" si="2"/>
        <v>1070</v>
      </c>
      <c r="AG19" s="49">
        <v>119075</v>
      </c>
      <c r="AH19" s="17">
        <f t="shared" si="3"/>
        <v>1790</v>
      </c>
      <c r="AI19" s="49">
        <v>212275</v>
      </c>
      <c r="AJ19" s="17">
        <f t="shared" si="4"/>
        <v>3510</v>
      </c>
      <c r="AK19" s="49">
        <v>110279</v>
      </c>
      <c r="AL19" s="17">
        <f t="shared" si="5"/>
        <v>1750</v>
      </c>
      <c r="AM19" s="49">
        <v>572332</v>
      </c>
      <c r="AN19" s="17">
        <f t="shared" si="6"/>
        <v>8420</v>
      </c>
      <c r="AP19" s="203">
        <f t="shared" si="7"/>
        <v>27094.2</v>
      </c>
      <c r="AQ19" s="204">
        <f t="shared" si="8"/>
        <v>23165.8</v>
      </c>
    </row>
    <row r="20" spans="1:43" ht="39.950000000000003" customHeight="1">
      <c r="A20" s="194">
        <v>44605</v>
      </c>
      <c r="B20" s="16"/>
      <c r="C20" s="49">
        <v>218307</v>
      </c>
      <c r="D20" s="17">
        <f t="shared" si="9"/>
        <v>3580</v>
      </c>
      <c r="E20" s="49">
        <v>359960</v>
      </c>
      <c r="F20" s="17">
        <f t="shared" si="9"/>
        <v>6470</v>
      </c>
      <c r="G20" s="49">
        <v>95518</v>
      </c>
      <c r="H20" s="17">
        <f t="shared" ref="H20" si="55">(G20-G19)*10</f>
        <v>2190</v>
      </c>
      <c r="I20" s="203">
        <f>H20*I6/100</f>
        <v>1007.4</v>
      </c>
      <c r="J20" s="203">
        <f>H20*J6/100</f>
        <v>1182.5999999999999</v>
      </c>
      <c r="K20" s="49">
        <v>321140</v>
      </c>
      <c r="L20" s="17">
        <f t="shared" ref="L20" si="56">(K20-K19)*10</f>
        <v>5110</v>
      </c>
      <c r="M20" s="49">
        <v>509267</v>
      </c>
      <c r="N20" s="17">
        <f t="shared" ref="N20" si="57">(M20-M19)*10</f>
        <v>8370</v>
      </c>
      <c r="O20" s="49">
        <v>202974</v>
      </c>
      <c r="P20" s="17">
        <f t="shared" si="0"/>
        <v>9150</v>
      </c>
      <c r="Q20" s="203">
        <f>P20*Q6/100</f>
        <v>4209</v>
      </c>
      <c r="R20" s="203">
        <f>P20*R6/100</f>
        <v>4941</v>
      </c>
      <c r="S20" s="49">
        <v>335935</v>
      </c>
      <c r="T20" s="17">
        <f t="shared" si="1"/>
        <v>20</v>
      </c>
      <c r="U20" s="203">
        <f>T20*U6/100</f>
        <v>9.1999999999999993</v>
      </c>
      <c r="V20" s="203">
        <f>T20*V6/100</f>
        <v>10.8</v>
      </c>
      <c r="W20" s="49">
        <v>166752</v>
      </c>
      <c r="X20" s="17">
        <f t="shared" ref="X20" si="58">(W20-W19)*10</f>
        <v>20</v>
      </c>
      <c r="Y20" s="203">
        <f>X20*Y6/100</f>
        <v>9.1999999999999993</v>
      </c>
      <c r="Z20" s="203">
        <f>X20*Z6/100</f>
        <v>10.8</v>
      </c>
      <c r="AA20" s="49">
        <v>243589</v>
      </c>
      <c r="AB20" s="17">
        <f t="shared" si="14"/>
        <v>70</v>
      </c>
      <c r="AC20" s="203">
        <f>AB20*AC6/100</f>
        <v>32.200000000000003</v>
      </c>
      <c r="AD20" s="203">
        <f>AB20*AD6/100</f>
        <v>37.799999999999997</v>
      </c>
      <c r="AE20" s="49">
        <v>61612</v>
      </c>
      <c r="AF20" s="17">
        <f t="shared" si="2"/>
        <v>1120</v>
      </c>
      <c r="AG20" s="49">
        <v>119256</v>
      </c>
      <c r="AH20" s="17">
        <f t="shared" si="3"/>
        <v>1810</v>
      </c>
      <c r="AI20" s="49">
        <v>212619</v>
      </c>
      <c r="AJ20" s="17">
        <f t="shared" si="4"/>
        <v>3440</v>
      </c>
      <c r="AK20" s="49">
        <v>110459</v>
      </c>
      <c r="AL20" s="17">
        <f t="shared" si="5"/>
        <v>1800</v>
      </c>
      <c r="AM20" s="49">
        <v>573181</v>
      </c>
      <c r="AN20" s="17">
        <f t="shared" si="6"/>
        <v>8490</v>
      </c>
      <c r="AP20" s="203">
        <f t="shared" si="7"/>
        <v>28797.000000000004</v>
      </c>
      <c r="AQ20" s="204">
        <f t="shared" si="8"/>
        <v>22843</v>
      </c>
    </row>
    <row r="21" spans="1:43" ht="39.950000000000003" customHeight="1">
      <c r="A21" s="194">
        <v>44606</v>
      </c>
      <c r="B21" s="16"/>
      <c r="C21" s="49">
        <v>218706</v>
      </c>
      <c r="D21" s="17">
        <f t="shared" si="9"/>
        <v>3990</v>
      </c>
      <c r="E21" s="49">
        <v>360635</v>
      </c>
      <c r="F21" s="17">
        <f t="shared" si="9"/>
        <v>6750</v>
      </c>
      <c r="G21" s="49">
        <v>95749</v>
      </c>
      <c r="H21" s="17">
        <f t="shared" ref="H21" si="59">(G21-G20)*10</f>
        <v>2310</v>
      </c>
      <c r="I21" s="203">
        <f>H21*I6/100</f>
        <v>1062.5999999999999</v>
      </c>
      <c r="J21" s="203">
        <f>H21*J6/100</f>
        <v>1247.4000000000001</v>
      </c>
      <c r="K21" s="49">
        <v>321646</v>
      </c>
      <c r="L21" s="17">
        <f t="shared" ref="L21" si="60">(K21-K20)*10</f>
        <v>5060</v>
      </c>
      <c r="M21" s="49">
        <v>510110</v>
      </c>
      <c r="N21" s="17">
        <f t="shared" ref="N21" si="61">(M21-M20)*10</f>
        <v>8430</v>
      </c>
      <c r="O21" s="49">
        <v>203898</v>
      </c>
      <c r="P21" s="17">
        <f t="shared" si="0"/>
        <v>9240</v>
      </c>
      <c r="Q21" s="203">
        <f>P21*Q6/100</f>
        <v>4250.3999999999996</v>
      </c>
      <c r="R21" s="203">
        <f>P21*R6/100</f>
        <v>4989.6000000000004</v>
      </c>
      <c r="S21" s="49">
        <v>335937</v>
      </c>
      <c r="T21" s="17">
        <f t="shared" si="1"/>
        <v>20</v>
      </c>
      <c r="U21" s="203">
        <f>T21*U6/100</f>
        <v>9.1999999999999993</v>
      </c>
      <c r="V21" s="203">
        <f>T21*V6/100</f>
        <v>10.8</v>
      </c>
      <c r="W21" s="49">
        <v>166754</v>
      </c>
      <c r="X21" s="17">
        <f t="shared" ref="X21" si="62">(W21-W20)*10</f>
        <v>20</v>
      </c>
      <c r="Y21" s="203">
        <f>X21*Y6/100</f>
        <v>9.1999999999999993</v>
      </c>
      <c r="Z21" s="203">
        <f>X21*Z6/100</f>
        <v>10.8</v>
      </c>
      <c r="AA21" s="49">
        <v>243597</v>
      </c>
      <c r="AB21" s="17">
        <f t="shared" si="14"/>
        <v>80</v>
      </c>
      <c r="AC21" s="203">
        <f>AB21*AC6/100</f>
        <v>36.799999999999997</v>
      </c>
      <c r="AD21" s="203">
        <f>AB21*AD6/100</f>
        <v>43.2</v>
      </c>
      <c r="AE21" s="49">
        <v>61717</v>
      </c>
      <c r="AF21" s="17">
        <f t="shared" si="2"/>
        <v>1050</v>
      </c>
      <c r="AG21" s="49">
        <v>119443</v>
      </c>
      <c r="AH21" s="17">
        <f t="shared" si="3"/>
        <v>1870</v>
      </c>
      <c r="AI21" s="49">
        <v>212974</v>
      </c>
      <c r="AJ21" s="17">
        <f t="shared" si="4"/>
        <v>3550</v>
      </c>
      <c r="AK21" s="49">
        <v>110631</v>
      </c>
      <c r="AL21" s="17">
        <f t="shared" si="5"/>
        <v>1720</v>
      </c>
      <c r="AM21" s="49">
        <v>574066</v>
      </c>
      <c r="AN21" s="17">
        <f t="shared" si="6"/>
        <v>8850</v>
      </c>
      <c r="AP21" s="203">
        <f t="shared" si="7"/>
        <v>29598.2</v>
      </c>
      <c r="AQ21" s="204">
        <f t="shared" si="8"/>
        <v>23341.800000000003</v>
      </c>
    </row>
    <row r="22" spans="1:43" ht="39.950000000000003" customHeight="1">
      <c r="A22" s="194">
        <v>44607</v>
      </c>
      <c r="B22" s="16"/>
      <c r="C22" s="49">
        <v>219093</v>
      </c>
      <c r="D22" s="17">
        <f t="shared" si="9"/>
        <v>3870</v>
      </c>
      <c r="E22" s="49">
        <v>361376</v>
      </c>
      <c r="F22" s="17">
        <f t="shared" si="9"/>
        <v>7410</v>
      </c>
      <c r="G22" s="49">
        <v>95986</v>
      </c>
      <c r="H22" s="17">
        <f t="shared" ref="H22" si="63">(G22-G21)*10</f>
        <v>2370</v>
      </c>
      <c r="I22" s="203">
        <f>H22*I6/100</f>
        <v>1090.2</v>
      </c>
      <c r="J22" s="203">
        <f>H22*J6/100</f>
        <v>1279.8</v>
      </c>
      <c r="K22" s="49">
        <v>322157</v>
      </c>
      <c r="L22" s="17">
        <f t="shared" ref="L22" si="64">(K22-K21)*10</f>
        <v>5110</v>
      </c>
      <c r="M22" s="49">
        <v>510964</v>
      </c>
      <c r="N22" s="17">
        <f t="shared" ref="N22" si="65">(M22-M21)*10</f>
        <v>8540</v>
      </c>
      <c r="O22" s="49">
        <v>204845</v>
      </c>
      <c r="P22" s="17">
        <f t="shared" si="0"/>
        <v>9470</v>
      </c>
      <c r="Q22" s="203">
        <f>P22*Q6/100</f>
        <v>4356.2</v>
      </c>
      <c r="R22" s="203">
        <f>P22*R6/100</f>
        <v>5113.8</v>
      </c>
      <c r="S22" s="49">
        <v>335939</v>
      </c>
      <c r="T22" s="17">
        <f t="shared" si="1"/>
        <v>20</v>
      </c>
      <c r="U22" s="203">
        <f>T22*U6/100</f>
        <v>9.1999999999999993</v>
      </c>
      <c r="V22" s="203">
        <f>T22*V6/100</f>
        <v>10.8</v>
      </c>
      <c r="W22" s="49">
        <v>166756</v>
      </c>
      <c r="X22" s="17">
        <f t="shared" ref="X22" si="66">(W22-W21)*10</f>
        <v>20</v>
      </c>
      <c r="Y22" s="203">
        <f>X22*Y6/100</f>
        <v>9.1999999999999993</v>
      </c>
      <c r="Z22" s="203">
        <f>X22*Z6/100</f>
        <v>10.8</v>
      </c>
      <c r="AA22" s="49">
        <v>243605</v>
      </c>
      <c r="AB22" s="17">
        <f t="shared" si="14"/>
        <v>80</v>
      </c>
      <c r="AC22" s="203">
        <f>AB22*AC6/100</f>
        <v>36.799999999999997</v>
      </c>
      <c r="AD22" s="203">
        <f>AB22*AD6/100</f>
        <v>43.2</v>
      </c>
      <c r="AE22" s="49">
        <v>61832</v>
      </c>
      <c r="AF22" s="17">
        <f t="shared" si="2"/>
        <v>1150</v>
      </c>
      <c r="AG22" s="49">
        <v>119628</v>
      </c>
      <c r="AH22" s="17">
        <f t="shared" si="3"/>
        <v>1850</v>
      </c>
      <c r="AI22" s="49">
        <v>213337</v>
      </c>
      <c r="AJ22" s="17">
        <f t="shared" si="4"/>
        <v>3630</v>
      </c>
      <c r="AK22" s="49">
        <v>110806</v>
      </c>
      <c r="AL22" s="17">
        <f t="shared" si="5"/>
        <v>1750</v>
      </c>
      <c r="AM22" s="49">
        <v>574966</v>
      </c>
      <c r="AN22" s="17">
        <f t="shared" si="6"/>
        <v>9000</v>
      </c>
      <c r="AP22" s="203">
        <f t="shared" si="7"/>
        <v>30431.600000000002</v>
      </c>
      <c r="AQ22" s="204">
        <f t="shared" si="8"/>
        <v>23838.399999999998</v>
      </c>
    </row>
    <row r="23" spans="1:43" ht="39.950000000000003" customHeight="1">
      <c r="A23" s="194">
        <v>44608</v>
      </c>
      <c r="B23" s="16"/>
      <c r="C23" s="49">
        <v>219438</v>
      </c>
      <c r="D23" s="17">
        <f t="shared" si="9"/>
        <v>3450</v>
      </c>
      <c r="E23" s="49">
        <v>362029</v>
      </c>
      <c r="F23" s="17">
        <f t="shared" si="9"/>
        <v>6530</v>
      </c>
      <c r="G23" s="49">
        <v>96201</v>
      </c>
      <c r="H23" s="17">
        <f t="shared" ref="H23" si="67">(G23-G22)*10</f>
        <v>2150</v>
      </c>
      <c r="I23" s="203">
        <f>H23*I6/100</f>
        <v>989</v>
      </c>
      <c r="J23" s="203">
        <f>H23*J6/100</f>
        <v>1161</v>
      </c>
      <c r="K23" s="49">
        <v>322652</v>
      </c>
      <c r="L23" s="17">
        <f t="shared" ref="L23" si="68">(K23-K22)*10</f>
        <v>4950</v>
      </c>
      <c r="M23" s="49">
        <v>511784</v>
      </c>
      <c r="N23" s="17">
        <f t="shared" ref="N23" si="69">(M23-M22)*10</f>
        <v>8200</v>
      </c>
      <c r="O23" s="49">
        <v>205663</v>
      </c>
      <c r="P23" s="17">
        <f t="shared" si="0"/>
        <v>8180</v>
      </c>
      <c r="Q23" s="203">
        <f>P23*Q6/100</f>
        <v>3762.8</v>
      </c>
      <c r="R23" s="203">
        <f>P23*R6/100</f>
        <v>4417.2</v>
      </c>
      <c r="S23" s="49">
        <v>335941</v>
      </c>
      <c r="T23" s="17">
        <f t="shared" si="1"/>
        <v>20</v>
      </c>
      <c r="U23" s="203">
        <f>T23*U6/100</f>
        <v>9.1999999999999993</v>
      </c>
      <c r="V23" s="203">
        <f>T23*V6/100</f>
        <v>10.8</v>
      </c>
      <c r="W23" s="49">
        <v>166759</v>
      </c>
      <c r="X23" s="17">
        <f t="shared" ref="X23" si="70">(W23-W22)*10</f>
        <v>30</v>
      </c>
      <c r="Y23" s="203">
        <f>X23*Y6/100</f>
        <v>13.8</v>
      </c>
      <c r="Z23" s="203">
        <f>X23*Z6/100</f>
        <v>16.2</v>
      </c>
      <c r="AA23" s="49">
        <v>243613</v>
      </c>
      <c r="AB23" s="17">
        <f t="shared" si="14"/>
        <v>80</v>
      </c>
      <c r="AC23" s="203">
        <f>AB23*AC6/100</f>
        <v>36.799999999999997</v>
      </c>
      <c r="AD23" s="203">
        <f>AB23*AD6/100</f>
        <v>43.2</v>
      </c>
      <c r="AE23" s="49">
        <v>61941</v>
      </c>
      <c r="AF23" s="17">
        <f t="shared" si="2"/>
        <v>1090</v>
      </c>
      <c r="AG23" s="49">
        <v>119819</v>
      </c>
      <c r="AH23" s="17">
        <f t="shared" si="3"/>
        <v>1910</v>
      </c>
      <c r="AI23" s="49">
        <v>213697</v>
      </c>
      <c r="AJ23" s="17">
        <f t="shared" si="4"/>
        <v>3600</v>
      </c>
      <c r="AK23" s="49">
        <v>110981</v>
      </c>
      <c r="AL23" s="17">
        <f t="shared" si="5"/>
        <v>1750</v>
      </c>
      <c r="AM23" s="49">
        <v>575842</v>
      </c>
      <c r="AN23" s="17">
        <f t="shared" si="6"/>
        <v>8760</v>
      </c>
      <c r="AP23" s="203">
        <f t="shared" si="7"/>
        <v>27941.599999999999</v>
      </c>
      <c r="AQ23" s="204">
        <f t="shared" si="8"/>
        <v>22758.400000000001</v>
      </c>
    </row>
    <row r="24" spans="1:43" ht="39.950000000000003" customHeight="1">
      <c r="A24" s="194">
        <v>44609</v>
      </c>
      <c r="B24" s="16"/>
      <c r="C24" s="49">
        <v>219799</v>
      </c>
      <c r="D24" s="17">
        <f t="shared" si="9"/>
        <v>3610</v>
      </c>
      <c r="E24" s="49">
        <v>362722</v>
      </c>
      <c r="F24" s="17">
        <f t="shared" si="9"/>
        <v>6930</v>
      </c>
      <c r="G24" s="49">
        <v>96406</v>
      </c>
      <c r="H24" s="17">
        <f t="shared" ref="H24" si="71">(G24-G23)*10</f>
        <v>2050</v>
      </c>
      <c r="I24" s="203">
        <f>H24*I6/100</f>
        <v>943</v>
      </c>
      <c r="J24" s="203">
        <f>H24*J6/100</f>
        <v>1107</v>
      </c>
      <c r="K24" s="49">
        <v>323166</v>
      </c>
      <c r="L24" s="17">
        <f t="shared" ref="L24:L35" si="72">(K24-K23)*10</f>
        <v>5140</v>
      </c>
      <c r="M24" s="49">
        <v>512620</v>
      </c>
      <c r="N24" s="17">
        <f t="shared" ref="N24:N35" si="73">(M24-M23)*10</f>
        <v>8360</v>
      </c>
      <c r="O24" s="49">
        <v>206364</v>
      </c>
      <c r="P24" s="17">
        <f t="shared" si="0"/>
        <v>7010</v>
      </c>
      <c r="Q24" s="203">
        <f>P24*Q6/100</f>
        <v>3224.6</v>
      </c>
      <c r="R24" s="203">
        <f>P24*R6/100</f>
        <v>3785.4</v>
      </c>
      <c r="S24" s="49">
        <v>336105</v>
      </c>
      <c r="T24" s="17">
        <f t="shared" si="1"/>
        <v>1640</v>
      </c>
      <c r="U24" s="203">
        <f>T24*U6/100</f>
        <v>754.4</v>
      </c>
      <c r="V24" s="203">
        <f>T24*V6/100</f>
        <v>885.6</v>
      </c>
      <c r="W24" s="49">
        <v>166761</v>
      </c>
      <c r="X24" s="17">
        <f t="shared" ref="X24" si="74">(W24-W23)*10</f>
        <v>20</v>
      </c>
      <c r="Y24" s="203">
        <f>X24*Y6/100</f>
        <v>9.1999999999999993</v>
      </c>
      <c r="Z24" s="203">
        <f>X24*Z6/100</f>
        <v>10.8</v>
      </c>
      <c r="AA24" s="49">
        <v>243621</v>
      </c>
      <c r="AB24" s="17">
        <f t="shared" si="14"/>
        <v>80</v>
      </c>
      <c r="AC24" s="203">
        <f>AB24*AC6/100</f>
        <v>36.799999999999997</v>
      </c>
      <c r="AD24" s="203">
        <f>AB24*AD6/100</f>
        <v>43.2</v>
      </c>
      <c r="AE24" s="49">
        <v>62056</v>
      </c>
      <c r="AF24" s="17">
        <f t="shared" si="2"/>
        <v>1150</v>
      </c>
      <c r="AG24" s="49">
        <v>120016</v>
      </c>
      <c r="AH24" s="17">
        <f t="shared" si="3"/>
        <v>1970</v>
      </c>
      <c r="AI24" s="49">
        <v>214059</v>
      </c>
      <c r="AJ24" s="17">
        <f t="shared" si="4"/>
        <v>3620</v>
      </c>
      <c r="AK24" s="49">
        <v>111163</v>
      </c>
      <c r="AL24" s="17">
        <f t="shared" si="5"/>
        <v>1820</v>
      </c>
      <c r="AM24" s="49">
        <v>576724</v>
      </c>
      <c r="AN24" s="17">
        <f t="shared" si="6"/>
        <v>8820</v>
      </c>
      <c r="AP24" s="203">
        <f t="shared" si="7"/>
        <v>29008</v>
      </c>
      <c r="AQ24" s="204">
        <f t="shared" si="8"/>
        <v>23212</v>
      </c>
    </row>
    <row r="25" spans="1:43" ht="39.950000000000003" customHeight="1">
      <c r="A25" s="194">
        <v>44610</v>
      </c>
      <c r="B25" s="16"/>
      <c r="C25" s="49">
        <v>220142</v>
      </c>
      <c r="D25" s="17">
        <f t="shared" si="9"/>
        <v>3430</v>
      </c>
      <c r="E25" s="49">
        <v>363420</v>
      </c>
      <c r="F25" s="17">
        <f t="shared" si="9"/>
        <v>6980</v>
      </c>
      <c r="G25" s="49">
        <v>96613</v>
      </c>
      <c r="H25" s="17">
        <f t="shared" ref="H25:H35" si="75">(G25-G24)*10</f>
        <v>2070</v>
      </c>
      <c r="I25" s="203">
        <f>H25*I6/100</f>
        <v>952.2</v>
      </c>
      <c r="J25" s="203">
        <f>H25*J6/100</f>
        <v>1117.8</v>
      </c>
      <c r="K25" s="49">
        <v>323668</v>
      </c>
      <c r="L25" s="17">
        <f t="shared" si="72"/>
        <v>5020</v>
      </c>
      <c r="M25" s="49">
        <v>513368</v>
      </c>
      <c r="N25" s="17">
        <f t="shared" si="73"/>
        <v>7480</v>
      </c>
      <c r="O25" s="49">
        <v>206737</v>
      </c>
      <c r="P25" s="17">
        <f t="shared" ref="P25:P35" si="76">(O25-O24)*10</f>
        <v>3730</v>
      </c>
      <c r="Q25" s="203">
        <f>P25*Q6/100</f>
        <v>1715.8</v>
      </c>
      <c r="R25" s="203">
        <f>P25*R6/100</f>
        <v>2014.2</v>
      </c>
      <c r="S25" s="49">
        <v>336524</v>
      </c>
      <c r="T25" s="17">
        <f t="shared" ref="T25:T35" si="77">(S25-S24)*10</f>
        <v>4190</v>
      </c>
      <c r="U25" s="203">
        <f>T25*U6/100</f>
        <v>1927.4</v>
      </c>
      <c r="V25" s="203">
        <f>T25*V6/100</f>
        <v>2262.6</v>
      </c>
      <c r="W25" s="49">
        <v>166763</v>
      </c>
      <c r="X25" s="17">
        <f t="shared" ref="X25:X35" si="78">(W25-W24)*10</f>
        <v>20</v>
      </c>
      <c r="Y25" s="203">
        <f>X25*Y6/100</f>
        <v>9.1999999999999993</v>
      </c>
      <c r="Z25" s="203">
        <f>X25*Z6/100</f>
        <v>10.8</v>
      </c>
      <c r="AA25" s="49">
        <v>243628</v>
      </c>
      <c r="AB25" s="17">
        <f t="shared" si="14"/>
        <v>70</v>
      </c>
      <c r="AC25" s="203">
        <f>AB25*AC6/100</f>
        <v>32.200000000000003</v>
      </c>
      <c r="AD25" s="203">
        <f>AB25*AD6/100</f>
        <v>37.799999999999997</v>
      </c>
      <c r="AE25" s="49">
        <v>62172</v>
      </c>
      <c r="AF25" s="17">
        <f t="shared" si="2"/>
        <v>1160</v>
      </c>
      <c r="AG25" s="49">
        <v>120213</v>
      </c>
      <c r="AH25" s="17">
        <f t="shared" si="3"/>
        <v>1970</v>
      </c>
      <c r="AI25" s="49">
        <v>214416</v>
      </c>
      <c r="AJ25" s="17">
        <f t="shared" si="4"/>
        <v>3570</v>
      </c>
      <c r="AK25" s="49">
        <v>111343</v>
      </c>
      <c r="AL25" s="17">
        <f t="shared" si="5"/>
        <v>1800</v>
      </c>
      <c r="AM25" s="49">
        <v>577601</v>
      </c>
      <c r="AN25" s="17">
        <f t="shared" si="6"/>
        <v>8770</v>
      </c>
      <c r="AP25" s="203">
        <f t="shared" si="7"/>
        <v>27546.800000000003</v>
      </c>
      <c r="AQ25" s="204">
        <f t="shared" si="8"/>
        <v>22713.200000000001</v>
      </c>
    </row>
    <row r="26" spans="1:43" ht="39.950000000000003" customHeight="1">
      <c r="A26" s="194">
        <v>44611</v>
      </c>
      <c r="B26" s="16"/>
      <c r="C26" s="49">
        <v>220514</v>
      </c>
      <c r="D26" s="17">
        <f t="shared" ref="D26:D35" si="79">(C26-C25)*10</f>
        <v>3720</v>
      </c>
      <c r="E26" s="49">
        <v>364148</v>
      </c>
      <c r="F26" s="17">
        <f t="shared" ref="F26:F35" si="80">(E26-E25)*10</f>
        <v>7280</v>
      </c>
      <c r="G26" s="49">
        <v>96816</v>
      </c>
      <c r="H26" s="17">
        <f t="shared" si="75"/>
        <v>2030</v>
      </c>
      <c r="I26" s="203">
        <f>H26*I6/100</f>
        <v>933.8</v>
      </c>
      <c r="J26" s="203">
        <f>H26*J6/100</f>
        <v>1096.2</v>
      </c>
      <c r="K26" s="49">
        <v>324202</v>
      </c>
      <c r="L26" s="17">
        <f t="shared" si="72"/>
        <v>5340</v>
      </c>
      <c r="M26" s="49">
        <v>514125</v>
      </c>
      <c r="N26" s="17">
        <f t="shared" si="73"/>
        <v>7570</v>
      </c>
      <c r="O26" s="49">
        <v>207109</v>
      </c>
      <c r="P26" s="17">
        <f t="shared" si="76"/>
        <v>3720</v>
      </c>
      <c r="Q26" s="203">
        <f>P26*Q6/100</f>
        <v>1711.2</v>
      </c>
      <c r="R26" s="203">
        <f>P26*R6/100</f>
        <v>2008.8</v>
      </c>
      <c r="S26" s="49">
        <v>336870</v>
      </c>
      <c r="T26" s="17">
        <f t="shared" si="77"/>
        <v>3460</v>
      </c>
      <c r="U26" s="203">
        <f>T26*U6/100</f>
        <v>1591.6</v>
      </c>
      <c r="V26" s="203">
        <f>T26*V6/100</f>
        <v>1868.4</v>
      </c>
      <c r="W26" s="49">
        <v>166765</v>
      </c>
      <c r="X26" s="17">
        <f t="shared" si="78"/>
        <v>20</v>
      </c>
      <c r="Y26" s="203">
        <f>X26*Y6/100</f>
        <v>9.1999999999999993</v>
      </c>
      <c r="Z26" s="203">
        <f>X26*Z6/100</f>
        <v>10.8</v>
      </c>
      <c r="AA26" s="49">
        <v>243636</v>
      </c>
      <c r="AB26" s="17">
        <f t="shared" si="14"/>
        <v>80</v>
      </c>
      <c r="AC26" s="203">
        <f>AB26*AC6/100</f>
        <v>36.799999999999997</v>
      </c>
      <c r="AD26" s="203">
        <f>AB26*AD6/100</f>
        <v>43.2</v>
      </c>
      <c r="AE26" s="49">
        <v>62284</v>
      </c>
      <c r="AF26" s="17">
        <f t="shared" si="2"/>
        <v>1120</v>
      </c>
      <c r="AG26" s="49">
        <v>120404</v>
      </c>
      <c r="AH26" s="17">
        <f t="shared" si="3"/>
        <v>1910</v>
      </c>
      <c r="AI26" s="49">
        <v>214760</v>
      </c>
      <c r="AJ26" s="17">
        <f t="shared" si="4"/>
        <v>3440</v>
      </c>
      <c r="AK26" s="49">
        <v>111523</v>
      </c>
      <c r="AL26" s="17">
        <f t="shared" si="5"/>
        <v>1800</v>
      </c>
      <c r="AM26" s="49">
        <v>578475</v>
      </c>
      <c r="AN26" s="17">
        <f t="shared" si="6"/>
        <v>8740</v>
      </c>
      <c r="AP26" s="203">
        <f t="shared" si="7"/>
        <v>28192.6</v>
      </c>
      <c r="AQ26" s="204">
        <f t="shared" si="8"/>
        <v>22037.4</v>
      </c>
    </row>
    <row r="27" spans="1:43" ht="39.950000000000003" customHeight="1">
      <c r="A27" s="194">
        <v>44612</v>
      </c>
      <c r="B27" s="16"/>
      <c r="C27" s="49">
        <v>220914</v>
      </c>
      <c r="D27" s="17">
        <f t="shared" si="79"/>
        <v>4000</v>
      </c>
      <c r="E27" s="49">
        <v>364832</v>
      </c>
      <c r="F27" s="17">
        <f t="shared" si="80"/>
        <v>6840</v>
      </c>
      <c r="G27" s="49">
        <v>97015</v>
      </c>
      <c r="H27" s="17">
        <f t="shared" si="75"/>
        <v>1990</v>
      </c>
      <c r="I27" s="203">
        <f>H27*I6/100</f>
        <v>915.4</v>
      </c>
      <c r="J27" s="203">
        <f>H27*J6/100</f>
        <v>1074.5999999999999</v>
      </c>
      <c r="K27" s="49">
        <v>324792</v>
      </c>
      <c r="L27" s="17">
        <f t="shared" si="72"/>
        <v>5900</v>
      </c>
      <c r="M27" s="49">
        <v>514801</v>
      </c>
      <c r="N27" s="17">
        <f t="shared" si="73"/>
        <v>6760</v>
      </c>
      <c r="O27" s="49">
        <v>207466</v>
      </c>
      <c r="P27" s="17">
        <f t="shared" si="76"/>
        <v>3570</v>
      </c>
      <c r="Q27" s="203">
        <f>P27*Q6/100</f>
        <v>1642.2</v>
      </c>
      <c r="R27" s="203">
        <f>P27*R6/100</f>
        <v>1927.8</v>
      </c>
      <c r="S27" s="49">
        <v>337164</v>
      </c>
      <c r="T27" s="17">
        <f t="shared" si="77"/>
        <v>2940</v>
      </c>
      <c r="U27" s="203">
        <f>T27*U6/100</f>
        <v>1352.4</v>
      </c>
      <c r="V27" s="203">
        <f>T27*V6/100</f>
        <v>1587.6</v>
      </c>
      <c r="W27" s="49">
        <v>166767</v>
      </c>
      <c r="X27" s="17">
        <f t="shared" si="78"/>
        <v>20</v>
      </c>
      <c r="Y27" s="203">
        <f>X27*Y6/100</f>
        <v>9.1999999999999993</v>
      </c>
      <c r="Z27" s="203">
        <f>X27*Z6/100</f>
        <v>10.8</v>
      </c>
      <c r="AA27" s="49">
        <v>243644</v>
      </c>
      <c r="AB27" s="17">
        <f t="shared" si="14"/>
        <v>80</v>
      </c>
      <c r="AC27" s="203">
        <f>AB27*AC6/100</f>
        <v>36.799999999999997</v>
      </c>
      <c r="AD27" s="203">
        <f>AB27*AD6/100</f>
        <v>43.2</v>
      </c>
      <c r="AE27" s="49">
        <v>62391</v>
      </c>
      <c r="AF27" s="17">
        <f t="shared" si="2"/>
        <v>1070</v>
      </c>
      <c r="AG27" s="49">
        <v>120595</v>
      </c>
      <c r="AH27" s="17">
        <f t="shared" si="3"/>
        <v>1910</v>
      </c>
      <c r="AI27" s="49">
        <v>215090</v>
      </c>
      <c r="AJ27" s="17">
        <f t="shared" si="4"/>
        <v>3300</v>
      </c>
      <c r="AK27" s="49">
        <v>111702</v>
      </c>
      <c r="AL27" s="17">
        <f t="shared" si="5"/>
        <v>1790</v>
      </c>
      <c r="AM27" s="49">
        <v>579381</v>
      </c>
      <c r="AN27" s="17">
        <f t="shared" si="6"/>
        <v>9060</v>
      </c>
      <c r="AP27" s="203">
        <f t="shared" si="7"/>
        <v>27456.000000000004</v>
      </c>
      <c r="AQ27" s="204">
        <f t="shared" si="8"/>
        <v>21774</v>
      </c>
    </row>
    <row r="28" spans="1:43" ht="39.950000000000003" customHeight="1">
      <c r="A28" s="194">
        <v>44613</v>
      </c>
      <c r="B28" s="16"/>
      <c r="C28" s="49">
        <v>221700</v>
      </c>
      <c r="D28" s="17">
        <f t="shared" si="79"/>
        <v>7860</v>
      </c>
      <c r="E28" s="49">
        <v>365556</v>
      </c>
      <c r="F28" s="17">
        <f t="shared" si="80"/>
        <v>7240</v>
      </c>
      <c r="G28" s="49">
        <v>97239</v>
      </c>
      <c r="H28" s="17">
        <f t="shared" si="75"/>
        <v>2240</v>
      </c>
      <c r="I28" s="203">
        <f>H28*I6/100</f>
        <v>1030.4000000000001</v>
      </c>
      <c r="J28" s="203">
        <f>H28*J6/100</f>
        <v>1209.5999999999999</v>
      </c>
      <c r="K28" s="49">
        <v>325480</v>
      </c>
      <c r="L28" s="17">
        <f t="shared" si="72"/>
        <v>6880</v>
      </c>
      <c r="M28" s="49">
        <v>515453</v>
      </c>
      <c r="N28" s="17">
        <f t="shared" si="73"/>
        <v>6520</v>
      </c>
      <c r="O28" s="49">
        <v>207837</v>
      </c>
      <c r="P28" s="17">
        <f t="shared" si="76"/>
        <v>3710</v>
      </c>
      <c r="Q28" s="203">
        <f>P28*Q6/100</f>
        <v>1706.6</v>
      </c>
      <c r="R28" s="203">
        <f>P28*R6/100</f>
        <v>2003.4</v>
      </c>
      <c r="S28" s="49">
        <v>337442</v>
      </c>
      <c r="T28" s="17">
        <f t="shared" si="77"/>
        <v>2780</v>
      </c>
      <c r="U28" s="203">
        <f>T28*U6/100</f>
        <v>1278.8</v>
      </c>
      <c r="V28" s="203">
        <f>T28*V6/100</f>
        <v>1501.2</v>
      </c>
      <c r="W28" s="49">
        <v>166770</v>
      </c>
      <c r="X28" s="17">
        <f t="shared" si="78"/>
        <v>30</v>
      </c>
      <c r="Y28" s="203">
        <f>X28*Y6/100</f>
        <v>13.8</v>
      </c>
      <c r="Z28" s="203">
        <f>X28*Z6/100</f>
        <v>16.2</v>
      </c>
      <c r="AA28" s="49">
        <v>243652</v>
      </c>
      <c r="AB28" s="17">
        <f t="shared" si="14"/>
        <v>80</v>
      </c>
      <c r="AC28" s="203">
        <f>AB28*AC6/100</f>
        <v>36.799999999999997</v>
      </c>
      <c r="AD28" s="203">
        <f>AB28*AD6/100</f>
        <v>43.2</v>
      </c>
      <c r="AE28" s="49">
        <v>62508</v>
      </c>
      <c r="AF28" s="17">
        <f t="shared" si="2"/>
        <v>1170</v>
      </c>
      <c r="AG28" s="49">
        <v>120795</v>
      </c>
      <c r="AH28" s="17">
        <f t="shared" si="3"/>
        <v>2000</v>
      </c>
      <c r="AI28" s="49">
        <v>215435</v>
      </c>
      <c r="AJ28" s="17">
        <f t="shared" si="4"/>
        <v>3450</v>
      </c>
      <c r="AK28" s="49">
        <v>111882</v>
      </c>
      <c r="AL28" s="17">
        <f t="shared" si="5"/>
        <v>1800</v>
      </c>
      <c r="AM28" s="49">
        <v>580566</v>
      </c>
      <c r="AN28" s="17">
        <f t="shared" si="6"/>
        <v>11850</v>
      </c>
      <c r="AP28" s="203">
        <f t="shared" si="7"/>
        <v>32566.399999999998</v>
      </c>
      <c r="AQ28" s="204">
        <f t="shared" si="8"/>
        <v>25043.599999999999</v>
      </c>
    </row>
    <row r="29" spans="1:43" ht="39.950000000000003" customHeight="1">
      <c r="A29" s="194">
        <v>44614</v>
      </c>
      <c r="B29" s="16"/>
      <c r="C29" s="49">
        <v>222513</v>
      </c>
      <c r="D29" s="17">
        <f t="shared" si="79"/>
        <v>8130</v>
      </c>
      <c r="E29" s="49">
        <v>366199</v>
      </c>
      <c r="F29" s="17">
        <f t="shared" si="80"/>
        <v>6430</v>
      </c>
      <c r="G29" s="49">
        <v>97434</v>
      </c>
      <c r="H29" s="17">
        <f t="shared" si="75"/>
        <v>1950</v>
      </c>
      <c r="I29" s="203">
        <f>H29*I6/100</f>
        <v>897</v>
      </c>
      <c r="J29" s="203">
        <f>H29*J6/100</f>
        <v>1053</v>
      </c>
      <c r="K29" s="49">
        <v>326124</v>
      </c>
      <c r="L29" s="17">
        <f t="shared" si="72"/>
        <v>6440</v>
      </c>
      <c r="M29" s="49">
        <v>516097</v>
      </c>
      <c r="N29" s="17">
        <f t="shared" si="73"/>
        <v>6440</v>
      </c>
      <c r="O29" s="49">
        <v>208190</v>
      </c>
      <c r="P29" s="17">
        <f t="shared" si="76"/>
        <v>3530</v>
      </c>
      <c r="Q29" s="203">
        <f>P29*Q6/100</f>
        <v>1623.8</v>
      </c>
      <c r="R29" s="203">
        <f>P29*R6/100</f>
        <v>1906.2</v>
      </c>
      <c r="S29" s="49">
        <v>337747</v>
      </c>
      <c r="T29" s="17">
        <f t="shared" si="77"/>
        <v>3050</v>
      </c>
      <c r="U29" s="203">
        <f>T29*U6/100</f>
        <v>1403</v>
      </c>
      <c r="V29" s="203">
        <f>T29*V6/100</f>
        <v>1647</v>
      </c>
      <c r="W29" s="49">
        <v>166772</v>
      </c>
      <c r="X29" s="17">
        <f t="shared" si="78"/>
        <v>20</v>
      </c>
      <c r="Y29" s="203">
        <f>X29*Y6/100</f>
        <v>9.1999999999999993</v>
      </c>
      <c r="Z29" s="203">
        <f>X29*Z6/100</f>
        <v>10.8</v>
      </c>
      <c r="AA29" s="49">
        <v>243660</v>
      </c>
      <c r="AB29" s="17">
        <f t="shared" si="14"/>
        <v>80</v>
      </c>
      <c r="AC29" s="203">
        <f>AB29*AC6/100</f>
        <v>36.799999999999997</v>
      </c>
      <c r="AD29" s="203">
        <f>AB29*AD6/100</f>
        <v>43.2</v>
      </c>
      <c r="AE29" s="49">
        <v>62620</v>
      </c>
      <c r="AF29" s="17">
        <f t="shared" si="2"/>
        <v>1120</v>
      </c>
      <c r="AG29" s="49">
        <v>120983</v>
      </c>
      <c r="AH29" s="17">
        <f t="shared" si="3"/>
        <v>1880</v>
      </c>
      <c r="AI29" s="49">
        <v>215759</v>
      </c>
      <c r="AJ29" s="17">
        <f t="shared" si="4"/>
        <v>3240</v>
      </c>
      <c r="AK29" s="49">
        <v>112050</v>
      </c>
      <c r="AL29" s="17">
        <f t="shared" si="5"/>
        <v>1680</v>
      </c>
      <c r="AM29" s="49">
        <v>581706</v>
      </c>
      <c r="AN29" s="17">
        <f t="shared" si="6"/>
        <v>11400</v>
      </c>
      <c r="AP29" s="203">
        <f t="shared" si="7"/>
        <v>31409.8</v>
      </c>
      <c r="AQ29" s="204">
        <f t="shared" si="8"/>
        <v>23980.2</v>
      </c>
    </row>
    <row r="30" spans="1:43" ht="39.950000000000003" customHeight="1">
      <c r="A30" s="194">
        <v>44615</v>
      </c>
      <c r="B30" s="16"/>
      <c r="C30" s="49">
        <v>223386</v>
      </c>
      <c r="D30" s="17">
        <f t="shared" si="79"/>
        <v>8730</v>
      </c>
      <c r="E30" s="49">
        <v>366884</v>
      </c>
      <c r="F30" s="17">
        <f t="shared" si="80"/>
        <v>6850</v>
      </c>
      <c r="G30" s="49">
        <v>97646</v>
      </c>
      <c r="H30" s="17">
        <f t="shared" si="75"/>
        <v>2120</v>
      </c>
      <c r="I30" s="203">
        <f>H30*I6/100</f>
        <v>975.2</v>
      </c>
      <c r="J30" s="203">
        <f>H30*J6/100</f>
        <v>1144.8</v>
      </c>
      <c r="K30" s="49">
        <v>326764</v>
      </c>
      <c r="L30" s="17">
        <f t="shared" si="72"/>
        <v>6400</v>
      </c>
      <c r="M30" s="49">
        <v>516768</v>
      </c>
      <c r="N30" s="17">
        <f t="shared" si="73"/>
        <v>6710</v>
      </c>
      <c r="O30" s="49">
        <v>208579</v>
      </c>
      <c r="P30" s="17">
        <f t="shared" si="76"/>
        <v>3890</v>
      </c>
      <c r="Q30" s="203">
        <f>P30*Q6/100</f>
        <v>1789.4</v>
      </c>
      <c r="R30" s="203">
        <f>P30*R6/100</f>
        <v>2100.6</v>
      </c>
      <c r="S30" s="49">
        <v>338081</v>
      </c>
      <c r="T30" s="17">
        <f t="shared" si="77"/>
        <v>3340</v>
      </c>
      <c r="U30" s="203">
        <f>T30*U6/100</f>
        <v>1536.4</v>
      </c>
      <c r="V30" s="203">
        <f>T30*V6/100</f>
        <v>1803.6</v>
      </c>
      <c r="W30" s="49">
        <v>166774</v>
      </c>
      <c r="X30" s="17">
        <f t="shared" si="78"/>
        <v>20</v>
      </c>
      <c r="Y30" s="203">
        <f>X30*Y6/100</f>
        <v>9.1999999999999993</v>
      </c>
      <c r="Z30" s="203">
        <f>X30*Z6/100</f>
        <v>10.8</v>
      </c>
      <c r="AA30" s="49">
        <v>243668</v>
      </c>
      <c r="AB30" s="17">
        <f t="shared" si="14"/>
        <v>80</v>
      </c>
      <c r="AC30" s="203">
        <f>AB30*AC6/100</f>
        <v>36.799999999999997</v>
      </c>
      <c r="AD30" s="203">
        <f>AB30*AD6/100</f>
        <v>43.2</v>
      </c>
      <c r="AE30" s="49">
        <v>62730</v>
      </c>
      <c r="AF30" s="17">
        <f t="shared" si="2"/>
        <v>1100</v>
      </c>
      <c r="AG30" s="49">
        <v>121204</v>
      </c>
      <c r="AH30" s="17">
        <f t="shared" si="3"/>
        <v>2210</v>
      </c>
      <c r="AI30" s="49">
        <v>216128</v>
      </c>
      <c r="AJ30" s="17">
        <f t="shared" si="4"/>
        <v>3690</v>
      </c>
      <c r="AK30" s="49">
        <v>112243</v>
      </c>
      <c r="AL30" s="17">
        <f t="shared" si="5"/>
        <v>1930</v>
      </c>
      <c r="AM30" s="49">
        <v>583136</v>
      </c>
      <c r="AN30" s="17">
        <f t="shared" si="6"/>
        <v>14300</v>
      </c>
      <c r="AP30" s="203">
        <f t="shared" si="7"/>
        <v>33037</v>
      </c>
      <c r="AQ30" s="204">
        <f t="shared" si="8"/>
        <v>28333</v>
      </c>
    </row>
    <row r="31" spans="1:43" ht="39.950000000000003" customHeight="1">
      <c r="A31" s="194">
        <v>44616</v>
      </c>
      <c r="B31" s="16"/>
      <c r="C31" s="49">
        <v>224015</v>
      </c>
      <c r="D31" s="17">
        <f t="shared" si="79"/>
        <v>6290</v>
      </c>
      <c r="E31" s="49">
        <v>367719</v>
      </c>
      <c r="F31" s="17">
        <f t="shared" si="80"/>
        <v>8350</v>
      </c>
      <c r="G31" s="49">
        <v>98039</v>
      </c>
      <c r="H31" s="17">
        <f t="shared" si="75"/>
        <v>3930</v>
      </c>
      <c r="I31" s="203">
        <f>H31*I6/100</f>
        <v>1807.8</v>
      </c>
      <c r="J31" s="203">
        <f>H31*J6/100</f>
        <v>2122.1999999999998</v>
      </c>
      <c r="K31" s="49">
        <v>327355</v>
      </c>
      <c r="L31" s="17">
        <f t="shared" si="72"/>
        <v>5910</v>
      </c>
      <c r="M31" s="49">
        <v>517413</v>
      </c>
      <c r="N31" s="17">
        <f t="shared" si="73"/>
        <v>6450</v>
      </c>
      <c r="O31" s="49">
        <v>209008</v>
      </c>
      <c r="P31" s="17">
        <f t="shared" si="76"/>
        <v>4290</v>
      </c>
      <c r="Q31" s="203">
        <f>P31*Q6/100</f>
        <v>1973.4</v>
      </c>
      <c r="R31" s="203">
        <f>P31*R6/100</f>
        <v>2316.6</v>
      </c>
      <c r="S31" s="49">
        <v>338499</v>
      </c>
      <c r="T31" s="17">
        <f t="shared" si="77"/>
        <v>4180</v>
      </c>
      <c r="U31" s="203">
        <f>T31*U6/100</f>
        <v>1922.8</v>
      </c>
      <c r="V31" s="203">
        <f>T31*V6/100</f>
        <v>2257.1999999999998</v>
      </c>
      <c r="W31" s="49">
        <v>166779</v>
      </c>
      <c r="X31" s="17">
        <f t="shared" si="78"/>
        <v>50</v>
      </c>
      <c r="Y31" s="203">
        <f>X31*Y6/100</f>
        <v>23</v>
      </c>
      <c r="Z31" s="203">
        <f>X31*Z6/100</f>
        <v>27</v>
      </c>
      <c r="AA31" s="49">
        <v>243679</v>
      </c>
      <c r="AB31" s="17">
        <f t="shared" si="14"/>
        <v>110</v>
      </c>
      <c r="AC31" s="203">
        <f>AB31*AC6/100</f>
        <v>50.6</v>
      </c>
      <c r="AD31" s="203">
        <f>AB31*AD6/100</f>
        <v>59.4</v>
      </c>
      <c r="AE31" s="49">
        <v>62844</v>
      </c>
      <c r="AF31" s="17">
        <f t="shared" si="2"/>
        <v>1140</v>
      </c>
      <c r="AG31" s="49">
        <v>121403</v>
      </c>
      <c r="AH31" s="17">
        <f t="shared" si="3"/>
        <v>1990</v>
      </c>
      <c r="AI31" s="49">
        <v>216412</v>
      </c>
      <c r="AJ31" s="17">
        <f t="shared" si="4"/>
        <v>2840</v>
      </c>
      <c r="AK31" s="49">
        <v>112389</v>
      </c>
      <c r="AL31" s="17">
        <f t="shared" si="5"/>
        <v>1460</v>
      </c>
      <c r="AM31" s="49">
        <v>584315</v>
      </c>
      <c r="AN31" s="17">
        <f t="shared" si="6"/>
        <v>11790</v>
      </c>
      <c r="AP31" s="203">
        <f t="shared" si="7"/>
        <v>32777.599999999999</v>
      </c>
      <c r="AQ31" s="204">
        <f t="shared" si="8"/>
        <v>26002.399999999998</v>
      </c>
    </row>
    <row r="32" spans="1:43" ht="39.950000000000003" customHeight="1">
      <c r="A32" s="194">
        <v>44617</v>
      </c>
      <c r="B32" s="16"/>
      <c r="C32" s="198">
        <f>(C31+C33)/2</f>
        <v>224430.5</v>
      </c>
      <c r="D32" s="99">
        <f t="shared" si="79"/>
        <v>4155</v>
      </c>
      <c r="E32" s="198">
        <f>(E31+E33)/2</f>
        <v>368241</v>
      </c>
      <c r="F32" s="99">
        <f t="shared" si="80"/>
        <v>5220</v>
      </c>
      <c r="G32" s="198">
        <f>(G31+G33)/2</f>
        <v>98143.5</v>
      </c>
      <c r="H32" s="99">
        <f t="shared" si="75"/>
        <v>1045</v>
      </c>
      <c r="I32" s="203">
        <f>H32*I6/100</f>
        <v>480.7</v>
      </c>
      <c r="J32" s="203">
        <f>H32*J6/100</f>
        <v>564.29999999999995</v>
      </c>
      <c r="K32" s="198">
        <f>(K31+K33)/2</f>
        <v>327884.5</v>
      </c>
      <c r="L32" s="99">
        <f t="shared" si="72"/>
        <v>5295</v>
      </c>
      <c r="M32" s="198">
        <f>(M31+M33)/2</f>
        <v>517963.5</v>
      </c>
      <c r="N32" s="99">
        <f t="shared" si="73"/>
        <v>5505</v>
      </c>
      <c r="O32" s="198">
        <f>(O31+O33)/2</f>
        <v>209321.5</v>
      </c>
      <c r="P32" s="99">
        <f t="shared" si="76"/>
        <v>3135</v>
      </c>
      <c r="Q32" s="203">
        <f>P32*Q6/100</f>
        <v>1442.1</v>
      </c>
      <c r="R32" s="203">
        <f>P32*R6/100</f>
        <v>1692.9</v>
      </c>
      <c r="S32" s="198">
        <f>(S31+S33)/2</f>
        <v>338836.5</v>
      </c>
      <c r="T32" s="99">
        <f t="shared" si="77"/>
        <v>3375</v>
      </c>
      <c r="U32" s="203">
        <f>T32*U6/100</f>
        <v>1552.5</v>
      </c>
      <c r="V32" s="203">
        <f>T32*V6/100</f>
        <v>1822.5</v>
      </c>
      <c r="W32" s="198">
        <f>(W31+W33)/2</f>
        <v>166780</v>
      </c>
      <c r="X32" s="99">
        <f t="shared" si="78"/>
        <v>10</v>
      </c>
      <c r="Y32" s="203">
        <f>X32*Y6/100</f>
        <v>4.5999999999999996</v>
      </c>
      <c r="Z32" s="203">
        <f>X32*Z6/100</f>
        <v>5.4</v>
      </c>
      <c r="AA32" s="198">
        <f>(AA31+AA33)/2</f>
        <v>243685</v>
      </c>
      <c r="AB32" s="17">
        <f t="shared" si="14"/>
        <v>60</v>
      </c>
      <c r="AC32" s="203">
        <f>AB32*AC6/100</f>
        <v>27.6</v>
      </c>
      <c r="AD32" s="203">
        <f>AB32*AD6/100</f>
        <v>32.4</v>
      </c>
      <c r="AE32" s="198">
        <f>(AE31+AE33)/2</f>
        <v>62946.5</v>
      </c>
      <c r="AF32" s="17">
        <f t="shared" si="2"/>
        <v>1025</v>
      </c>
      <c r="AG32" s="198">
        <f>(AG31+AG33)/2</f>
        <v>121599.5</v>
      </c>
      <c r="AH32" s="17">
        <f t="shared" si="3"/>
        <v>1965</v>
      </c>
      <c r="AI32" s="198">
        <f>(AI31+AI33)/2</f>
        <v>216784</v>
      </c>
      <c r="AJ32" s="17">
        <f t="shared" si="4"/>
        <v>3720</v>
      </c>
      <c r="AK32" s="198">
        <f>(AK31+AK33)/2</f>
        <v>112577.5</v>
      </c>
      <c r="AL32" s="17">
        <f t="shared" si="5"/>
        <v>1885</v>
      </c>
      <c r="AM32" s="198">
        <f>(AM31+AM33)/2</f>
        <v>585215</v>
      </c>
      <c r="AN32" s="17">
        <f t="shared" si="6"/>
        <v>9000</v>
      </c>
      <c r="AP32" s="203">
        <f t="shared" si="7"/>
        <v>23682.499999999996</v>
      </c>
      <c r="AQ32" s="204">
        <f t="shared" si="8"/>
        <v>21712.5</v>
      </c>
    </row>
    <row r="33" spans="1:43" ht="39.950000000000003" customHeight="1">
      <c r="A33" s="194">
        <v>44618</v>
      </c>
      <c r="B33" s="16"/>
      <c r="C33" s="198">
        <v>224846</v>
      </c>
      <c r="D33" s="99">
        <f t="shared" si="79"/>
        <v>4155</v>
      </c>
      <c r="E33" s="198">
        <v>368763</v>
      </c>
      <c r="F33" s="99">
        <f t="shared" si="80"/>
        <v>5220</v>
      </c>
      <c r="G33" s="198">
        <v>98248</v>
      </c>
      <c r="H33" s="99">
        <f t="shared" si="75"/>
        <v>1045</v>
      </c>
      <c r="I33" s="203">
        <f>H33*I6/100</f>
        <v>480.7</v>
      </c>
      <c r="J33" s="203">
        <f>H33*J6/100</f>
        <v>564.29999999999995</v>
      </c>
      <c r="K33" s="198">
        <v>328414</v>
      </c>
      <c r="L33" s="99">
        <f t="shared" si="72"/>
        <v>5295</v>
      </c>
      <c r="M33" s="198">
        <v>518514</v>
      </c>
      <c r="N33" s="99">
        <f t="shared" si="73"/>
        <v>5505</v>
      </c>
      <c r="O33" s="198">
        <v>209635</v>
      </c>
      <c r="P33" s="99">
        <f t="shared" si="76"/>
        <v>3135</v>
      </c>
      <c r="Q33" s="203">
        <f>P33*Q6/100</f>
        <v>1442.1</v>
      </c>
      <c r="R33" s="203">
        <f>P33*R6/100</f>
        <v>1692.9</v>
      </c>
      <c r="S33" s="198">
        <v>339174</v>
      </c>
      <c r="T33" s="99">
        <f t="shared" si="77"/>
        <v>3375</v>
      </c>
      <c r="U33" s="203">
        <f>T33*U6/100</f>
        <v>1552.5</v>
      </c>
      <c r="V33" s="203">
        <f>T33*V6/100</f>
        <v>1822.5</v>
      </c>
      <c r="W33" s="198">
        <v>166781</v>
      </c>
      <c r="X33" s="99">
        <f t="shared" si="78"/>
        <v>10</v>
      </c>
      <c r="Y33" s="203">
        <f>X33*Y6/100</f>
        <v>4.5999999999999996</v>
      </c>
      <c r="Z33" s="203">
        <f>X33*Z6/100</f>
        <v>5.4</v>
      </c>
      <c r="AA33" s="198">
        <v>243691</v>
      </c>
      <c r="AB33" s="17">
        <f t="shared" si="14"/>
        <v>60</v>
      </c>
      <c r="AC33" s="203">
        <f>AB33*AC6/100</f>
        <v>27.6</v>
      </c>
      <c r="AD33" s="203">
        <f>AB33*AD6/100</f>
        <v>32.4</v>
      </c>
      <c r="AE33" s="198">
        <v>63049</v>
      </c>
      <c r="AF33" s="17">
        <f t="shared" si="2"/>
        <v>1025</v>
      </c>
      <c r="AG33" s="198">
        <v>121796</v>
      </c>
      <c r="AH33" s="17">
        <f t="shared" si="3"/>
        <v>1965</v>
      </c>
      <c r="AI33" s="198">
        <v>217156</v>
      </c>
      <c r="AJ33" s="17">
        <f t="shared" si="4"/>
        <v>3720</v>
      </c>
      <c r="AK33" s="198">
        <v>112766</v>
      </c>
      <c r="AL33" s="17">
        <f t="shared" si="5"/>
        <v>1885</v>
      </c>
      <c r="AM33" s="198">
        <v>586115</v>
      </c>
      <c r="AN33" s="17">
        <f t="shared" si="6"/>
        <v>9000</v>
      </c>
      <c r="AP33" s="203">
        <f t="shared" si="7"/>
        <v>23682.499999999996</v>
      </c>
      <c r="AQ33" s="204">
        <f t="shared" si="8"/>
        <v>21712.5</v>
      </c>
    </row>
    <row r="34" spans="1:43" ht="39.950000000000003" customHeight="1">
      <c r="A34" s="194">
        <v>44619</v>
      </c>
      <c r="B34" s="16"/>
      <c r="C34" s="74">
        <v>225235</v>
      </c>
      <c r="D34" s="17">
        <f t="shared" si="79"/>
        <v>3890</v>
      </c>
      <c r="E34" s="74">
        <v>369365</v>
      </c>
      <c r="F34" s="17">
        <f t="shared" si="80"/>
        <v>6020</v>
      </c>
      <c r="G34" s="74">
        <v>98470</v>
      </c>
      <c r="H34" s="17">
        <f t="shared" si="75"/>
        <v>2220</v>
      </c>
      <c r="I34" s="203">
        <f>H34*I6/100</f>
        <v>1021.2</v>
      </c>
      <c r="J34" s="203">
        <f>H34*J6/100</f>
        <v>1198.8</v>
      </c>
      <c r="K34" s="74">
        <v>328968</v>
      </c>
      <c r="L34" s="17">
        <f t="shared" si="72"/>
        <v>5540</v>
      </c>
      <c r="M34" s="74">
        <v>519183</v>
      </c>
      <c r="N34" s="17">
        <f t="shared" si="73"/>
        <v>6690</v>
      </c>
      <c r="O34" s="74">
        <v>210024</v>
      </c>
      <c r="P34" s="17">
        <f t="shared" si="76"/>
        <v>3890</v>
      </c>
      <c r="Q34" s="203">
        <f>P34*Q6/100</f>
        <v>1789.4</v>
      </c>
      <c r="R34" s="203">
        <f>P34*R6/100</f>
        <v>2100.6</v>
      </c>
      <c r="S34" s="74">
        <v>339671</v>
      </c>
      <c r="T34" s="17">
        <f t="shared" si="77"/>
        <v>4970</v>
      </c>
      <c r="U34" s="203">
        <f>T34*U6/100</f>
        <v>2286.1999999999998</v>
      </c>
      <c r="V34" s="203">
        <f>T34*V6/100</f>
        <v>2683.8</v>
      </c>
      <c r="W34" s="74">
        <v>166783</v>
      </c>
      <c r="X34" s="17">
        <f t="shared" si="78"/>
        <v>20</v>
      </c>
      <c r="Y34" s="203">
        <f>X34*Y6/100</f>
        <v>9.1999999999999993</v>
      </c>
      <c r="Z34" s="203">
        <f>X34*Z6/100</f>
        <v>10.8</v>
      </c>
      <c r="AA34" s="74">
        <v>243699</v>
      </c>
      <c r="AB34" s="17">
        <f t="shared" si="14"/>
        <v>80</v>
      </c>
      <c r="AC34" s="203">
        <f>AB34*AC6/100</f>
        <v>36.799999999999997</v>
      </c>
      <c r="AD34" s="203">
        <f>AB34*AD6/100</f>
        <v>43.2</v>
      </c>
      <c r="AE34" s="74">
        <v>63152</v>
      </c>
      <c r="AF34" s="17">
        <f t="shared" si="2"/>
        <v>1030</v>
      </c>
      <c r="AG34" s="74">
        <v>121980</v>
      </c>
      <c r="AH34" s="17">
        <f t="shared" si="3"/>
        <v>1840</v>
      </c>
      <c r="AI34" s="74">
        <v>217484</v>
      </c>
      <c r="AJ34" s="17">
        <f t="shared" si="4"/>
        <v>3280</v>
      </c>
      <c r="AK34" s="74">
        <v>112933</v>
      </c>
      <c r="AL34" s="17">
        <f t="shared" si="5"/>
        <v>1670</v>
      </c>
      <c r="AM34" s="74">
        <v>587100</v>
      </c>
      <c r="AN34" s="17">
        <f t="shared" si="6"/>
        <v>9850</v>
      </c>
      <c r="AP34" s="203">
        <f t="shared" si="7"/>
        <v>27282.800000000003</v>
      </c>
      <c r="AQ34" s="204">
        <f t="shared" si="8"/>
        <v>23707.200000000001</v>
      </c>
    </row>
    <row r="35" spans="1:43" ht="39.950000000000003" customHeight="1">
      <c r="A35" s="194">
        <v>44620</v>
      </c>
      <c r="B35" s="16"/>
      <c r="C35" s="74">
        <v>225589</v>
      </c>
      <c r="D35" s="17">
        <f t="shared" si="79"/>
        <v>3540</v>
      </c>
      <c r="E35" s="74">
        <v>369991</v>
      </c>
      <c r="F35" s="17">
        <f t="shared" si="80"/>
        <v>6260</v>
      </c>
      <c r="G35" s="74">
        <v>98701</v>
      </c>
      <c r="H35" s="17">
        <f t="shared" si="75"/>
        <v>2310</v>
      </c>
      <c r="I35" s="203">
        <f>H35*I6/100</f>
        <v>1062.5999999999999</v>
      </c>
      <c r="J35" s="203">
        <f>H35*J6/100</f>
        <v>1247.4000000000001</v>
      </c>
      <c r="K35" s="74">
        <v>329504</v>
      </c>
      <c r="L35" s="17">
        <f t="shared" si="72"/>
        <v>5360</v>
      </c>
      <c r="M35" s="74">
        <v>519863</v>
      </c>
      <c r="N35" s="17">
        <f t="shared" si="73"/>
        <v>6800</v>
      </c>
      <c r="O35" s="74">
        <v>210411</v>
      </c>
      <c r="P35" s="17">
        <f t="shared" si="76"/>
        <v>3870</v>
      </c>
      <c r="Q35" s="203">
        <f>P35*Q6/100</f>
        <v>1780.2</v>
      </c>
      <c r="R35" s="203">
        <f>P35*R6/100</f>
        <v>2089.8000000000002</v>
      </c>
      <c r="S35" s="74">
        <v>340143</v>
      </c>
      <c r="T35" s="17">
        <f t="shared" si="77"/>
        <v>4720</v>
      </c>
      <c r="U35" s="203">
        <f>T35*U6/100</f>
        <v>2171.1999999999998</v>
      </c>
      <c r="V35" s="203">
        <f>T35*V6/100</f>
        <v>2548.8000000000002</v>
      </c>
      <c r="W35" s="74">
        <v>166785</v>
      </c>
      <c r="X35" s="17">
        <f t="shared" si="78"/>
        <v>20</v>
      </c>
      <c r="Y35" s="203">
        <f>X35*Y6/100</f>
        <v>9.1999999999999993</v>
      </c>
      <c r="Z35" s="203">
        <f>X35*Z6/100</f>
        <v>10.8</v>
      </c>
      <c r="AA35" s="74">
        <v>243707</v>
      </c>
      <c r="AB35" s="17">
        <f t="shared" si="14"/>
        <v>80</v>
      </c>
      <c r="AC35" s="203">
        <f>AB35*AC6/100</f>
        <v>36.799999999999997</v>
      </c>
      <c r="AD35" s="203">
        <f>AB35*AD6/100</f>
        <v>43.2</v>
      </c>
      <c r="AE35" s="74">
        <v>63255</v>
      </c>
      <c r="AF35" s="17">
        <f t="shared" si="2"/>
        <v>1030</v>
      </c>
      <c r="AG35" s="74">
        <v>122177</v>
      </c>
      <c r="AH35" s="17">
        <f t="shared" si="3"/>
        <v>1970</v>
      </c>
      <c r="AI35" s="74">
        <v>217841</v>
      </c>
      <c r="AJ35" s="17">
        <f t="shared" si="4"/>
        <v>3570</v>
      </c>
      <c r="AK35" s="74">
        <v>113110</v>
      </c>
      <c r="AL35" s="17">
        <f t="shared" si="5"/>
        <v>1770</v>
      </c>
      <c r="AM35" s="74">
        <v>588034</v>
      </c>
      <c r="AN35" s="17">
        <f t="shared" si="6"/>
        <v>9340</v>
      </c>
      <c r="AP35" s="203">
        <f t="shared" si="7"/>
        <v>27020</v>
      </c>
      <c r="AQ35" s="204">
        <f>SUM(R35,V35,Z35,AD35,AF35,AH35,AJ35,AL35,AN35,J35)</f>
        <v>23620</v>
      </c>
    </row>
    <row r="36" spans="1:43" ht="39.950000000000003" customHeight="1">
      <c r="A36" s="194"/>
      <c r="B36" s="16"/>
      <c r="C36" s="74"/>
      <c r="D36" s="17"/>
      <c r="E36" s="74"/>
      <c r="F36" s="17"/>
      <c r="G36" s="74"/>
      <c r="H36" s="17"/>
      <c r="I36" s="203">
        <f>H36*I6/100</f>
        <v>0</v>
      </c>
      <c r="J36" s="203">
        <f>H36*J6/100</f>
        <v>0</v>
      </c>
      <c r="K36" s="74"/>
      <c r="L36" s="17"/>
      <c r="M36" s="74"/>
      <c r="N36" s="17"/>
      <c r="O36" s="74"/>
      <c r="P36" s="17"/>
      <c r="Q36" s="203">
        <f>P36*Q6/100</f>
        <v>0</v>
      </c>
      <c r="R36" s="203">
        <f>P36*R6/100</f>
        <v>0</v>
      </c>
      <c r="S36" s="74"/>
      <c r="T36" s="17"/>
      <c r="U36" s="203">
        <f>T36*U6/100</f>
        <v>0</v>
      </c>
      <c r="V36" s="203">
        <f>T36*V6/100</f>
        <v>0</v>
      </c>
      <c r="W36" s="74"/>
      <c r="X36" s="17"/>
      <c r="Y36" s="203">
        <f>X36*Y6/100</f>
        <v>0</v>
      </c>
      <c r="Z36" s="203">
        <f>X36*Z6/100</f>
        <v>0</v>
      </c>
      <c r="AA36" s="74"/>
      <c r="AB36" s="17"/>
      <c r="AC36" s="203">
        <f>AB36*AC6/100</f>
        <v>0</v>
      </c>
      <c r="AD36" s="203">
        <f>AB36*AD6/100</f>
        <v>0</v>
      </c>
      <c r="AE36" s="74"/>
      <c r="AF36" s="17"/>
      <c r="AG36" s="74"/>
      <c r="AH36" s="17"/>
      <c r="AI36" s="74"/>
      <c r="AJ36" s="17"/>
      <c r="AK36" s="74"/>
      <c r="AL36" s="17"/>
      <c r="AM36" s="74"/>
      <c r="AN36" s="17"/>
      <c r="AP36" s="99"/>
      <c r="AQ36" s="100"/>
    </row>
    <row r="37" spans="1:43" ht="39.950000000000003" customHeight="1">
      <c r="A37" s="194"/>
      <c r="B37" s="16"/>
      <c r="C37" s="74"/>
      <c r="D37" s="17"/>
      <c r="E37" s="74"/>
      <c r="F37" s="17"/>
      <c r="G37" s="74"/>
      <c r="H37" s="17"/>
      <c r="I37" s="203">
        <f>H37*I6/100</f>
        <v>0</v>
      </c>
      <c r="J37" s="203">
        <f>H37*J6/100</f>
        <v>0</v>
      </c>
      <c r="K37" s="74"/>
      <c r="L37" s="17"/>
      <c r="M37" s="74"/>
      <c r="N37" s="17"/>
      <c r="O37" s="74"/>
      <c r="P37" s="17"/>
      <c r="Q37" s="203">
        <f>P37*Q6/100</f>
        <v>0</v>
      </c>
      <c r="R37" s="203">
        <f>P37*R6/100</f>
        <v>0</v>
      </c>
      <c r="S37" s="74"/>
      <c r="T37" s="17"/>
      <c r="U37" s="203">
        <f>T37*U6/100</f>
        <v>0</v>
      </c>
      <c r="V37" s="203">
        <f>T37*V6/100</f>
        <v>0</v>
      </c>
      <c r="W37" s="74"/>
      <c r="X37" s="17"/>
      <c r="Y37" s="203">
        <f>X37*Y6/100</f>
        <v>0</v>
      </c>
      <c r="Z37" s="203">
        <f>X37*Z6/100</f>
        <v>0</v>
      </c>
      <c r="AA37" s="74"/>
      <c r="AB37" s="17"/>
      <c r="AC37" s="203">
        <f>AB37*AC6/100</f>
        <v>0</v>
      </c>
      <c r="AD37" s="203">
        <f>AB37*AD6/100</f>
        <v>0</v>
      </c>
      <c r="AE37" s="74"/>
      <c r="AF37" s="17"/>
      <c r="AG37" s="74"/>
      <c r="AH37" s="17"/>
      <c r="AI37" s="74"/>
      <c r="AJ37" s="17"/>
      <c r="AK37" s="74"/>
      <c r="AL37" s="17"/>
      <c r="AM37" s="74"/>
      <c r="AN37" s="17"/>
      <c r="AP37" s="99"/>
      <c r="AQ37" s="100"/>
    </row>
    <row r="38" spans="1:43" s="150" customFormat="1" ht="39.950000000000003" customHeight="1">
      <c r="A38" s="194"/>
      <c r="B38" s="149"/>
      <c r="C38" s="103"/>
      <c r="D38" s="17"/>
      <c r="E38" s="103"/>
      <c r="F38" s="17"/>
      <c r="G38" s="103"/>
      <c r="H38" s="17"/>
      <c r="I38" s="203">
        <f>H38*I6/100</f>
        <v>0</v>
      </c>
      <c r="J38" s="203">
        <f>H38*J6/100</f>
        <v>0</v>
      </c>
      <c r="K38" s="103"/>
      <c r="L38" s="17"/>
      <c r="M38" s="103"/>
      <c r="N38" s="17"/>
      <c r="O38" s="103"/>
      <c r="P38" s="17"/>
      <c r="Q38" s="203">
        <f>P38*Q6/100</f>
        <v>0</v>
      </c>
      <c r="R38" s="203">
        <f>P38*R6/100</f>
        <v>0</v>
      </c>
      <c r="S38" s="103"/>
      <c r="T38" s="17"/>
      <c r="U38" s="203">
        <f>T38*U6/100</f>
        <v>0</v>
      </c>
      <c r="V38" s="203">
        <f>T38*V6/100</f>
        <v>0</v>
      </c>
      <c r="W38" s="103"/>
      <c r="X38" s="17"/>
      <c r="Y38" s="203">
        <f>X38*Y6/100</f>
        <v>0</v>
      </c>
      <c r="Z38" s="203">
        <f>X38*Z6/100</f>
        <v>0</v>
      </c>
      <c r="AA38" s="103"/>
      <c r="AB38" s="17"/>
      <c r="AC38" s="203">
        <f>AB38*AC6/100</f>
        <v>0</v>
      </c>
      <c r="AD38" s="203">
        <f>AB38*AD6/100</f>
        <v>0</v>
      </c>
      <c r="AE38" s="103"/>
      <c r="AF38" s="17"/>
      <c r="AG38" s="103"/>
      <c r="AH38" s="17"/>
      <c r="AI38" s="103"/>
      <c r="AJ38" s="17"/>
      <c r="AK38" s="103"/>
      <c r="AL38" s="17"/>
      <c r="AM38" s="103"/>
      <c r="AN38" s="17"/>
      <c r="AP38" s="99"/>
      <c r="AQ38" s="100"/>
    </row>
    <row r="39" spans="1:43" s="22" customFormat="1" ht="39.950000000000003" customHeight="1">
      <c r="A39" s="21"/>
      <c r="C39" s="75"/>
      <c r="D39" s="23"/>
      <c r="F39" s="23"/>
      <c r="H39" s="23"/>
      <c r="I39" s="23"/>
      <c r="J39" s="23"/>
      <c r="L39" s="23"/>
      <c r="N39" s="23"/>
      <c r="P39" s="23"/>
      <c r="Q39" s="23"/>
      <c r="R39" s="23"/>
      <c r="T39" s="23"/>
      <c r="U39" s="23"/>
      <c r="V39" s="23"/>
      <c r="X39" s="23"/>
      <c r="Y39" s="23"/>
      <c r="Z39" s="23"/>
      <c r="AB39" s="23"/>
      <c r="AC39" s="23"/>
      <c r="AD39" s="23"/>
      <c r="AF39" s="23"/>
      <c r="AH39" s="23"/>
      <c r="AJ39" s="23"/>
      <c r="AL39" s="23"/>
      <c r="AN39" s="23"/>
      <c r="AP39" s="201">
        <f>SUM(AP8:AP38)</f>
        <v>806019</v>
      </c>
      <c r="AQ39" s="201">
        <f>SUM(AQ8:AQ38)</f>
        <v>652161.00000000012</v>
      </c>
    </row>
    <row r="40" spans="1:43" s="19" customFormat="1" ht="39.950000000000003" customHeight="1">
      <c r="A40" s="18"/>
      <c r="D40" s="20"/>
    </row>
    <row r="41" spans="1:43" s="19" customFormat="1" ht="39.950000000000003" customHeight="1">
      <c r="A41" s="18"/>
      <c r="D41" s="20"/>
    </row>
    <row r="42" spans="1:43" ht="39.950000000000003" customHeight="1">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20" activePane="bottomRight" state="frozen"/>
      <selection pane="topRight" activeCell="C1" sqref="C1"/>
      <selection pane="bottomLeft" activeCell="A5" sqref="A5"/>
      <selection pane="bottomRight" activeCell="R34" sqref="R3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12" t="s">
        <v>62</v>
      </c>
      <c r="D1" s="212"/>
      <c r="E1" s="212" t="s">
        <v>62</v>
      </c>
      <c r="F1" s="212"/>
      <c r="G1" s="212" t="s">
        <v>62</v>
      </c>
      <c r="H1" s="212"/>
      <c r="I1" s="212" t="s">
        <v>62</v>
      </c>
      <c r="J1" s="212"/>
      <c r="K1" s="225" t="s">
        <v>63</v>
      </c>
      <c r="L1" s="226"/>
      <c r="M1" s="226"/>
      <c r="N1" s="227"/>
      <c r="O1" s="212" t="s">
        <v>64</v>
      </c>
      <c r="P1" s="212"/>
    </row>
    <row r="2" spans="1:19" s="27" customFormat="1" ht="113.25" customHeight="1">
      <c r="A2" s="26"/>
      <c r="B2" s="26"/>
      <c r="C2" s="228" t="s">
        <v>99</v>
      </c>
      <c r="D2" s="229"/>
      <c r="E2" s="228" t="s">
        <v>100</v>
      </c>
      <c r="F2" s="229"/>
      <c r="G2" s="228" t="s">
        <v>101</v>
      </c>
      <c r="H2" s="229"/>
      <c r="I2" s="228" t="s">
        <v>102</v>
      </c>
      <c r="J2" s="229"/>
      <c r="K2" s="237" t="s">
        <v>103</v>
      </c>
      <c r="L2" s="238"/>
      <c r="M2" s="238"/>
      <c r="N2" s="239"/>
      <c r="O2" s="228" t="s">
        <v>104</v>
      </c>
      <c r="P2" s="229"/>
    </row>
    <row r="3" spans="1:19" s="32" customFormat="1" ht="50.1" customHeight="1">
      <c r="A3" s="41"/>
      <c r="B3" s="41"/>
      <c r="C3" s="232" t="s">
        <v>105</v>
      </c>
      <c r="D3" s="233"/>
      <c r="E3" s="230" t="s">
        <v>106</v>
      </c>
      <c r="F3" s="231"/>
      <c r="G3" s="230" t="s">
        <v>107</v>
      </c>
      <c r="H3" s="231"/>
      <c r="I3" s="230" t="s">
        <v>400</v>
      </c>
      <c r="J3" s="231"/>
      <c r="K3" s="234" t="s">
        <v>109</v>
      </c>
      <c r="L3" s="235"/>
      <c r="M3" s="235"/>
      <c r="N3" s="236"/>
      <c r="O3" s="232" t="s">
        <v>110</v>
      </c>
      <c r="P3" s="233"/>
      <c r="R3" s="210" t="s">
        <v>78</v>
      </c>
      <c r="S3" s="210"/>
    </row>
    <row r="4" spans="1:19" s="8" customFormat="1" ht="30" customHeight="1">
      <c r="A4" s="111" t="s">
        <v>93</v>
      </c>
      <c r="B4" s="51"/>
      <c r="C4" s="219"/>
      <c r="D4" s="220"/>
      <c r="E4" s="219"/>
      <c r="F4" s="220"/>
      <c r="G4" s="219"/>
      <c r="H4" s="220"/>
      <c r="I4" s="219"/>
      <c r="J4" s="220"/>
      <c r="K4" s="219"/>
      <c r="L4" s="224"/>
      <c r="M4" s="224"/>
      <c r="N4" s="220"/>
      <c r="O4" s="51"/>
      <c r="P4" s="51"/>
      <c r="R4" s="210"/>
      <c r="S4" s="210"/>
    </row>
    <row r="5" spans="1:19" s="10" customFormat="1" ht="50.1" customHeight="1">
      <c r="A5" s="111" t="s">
        <v>96</v>
      </c>
      <c r="B5" s="111"/>
      <c r="C5" s="111" t="s">
        <v>111</v>
      </c>
      <c r="D5" s="111" t="s">
        <v>112</v>
      </c>
      <c r="E5" s="111" t="s">
        <v>111</v>
      </c>
      <c r="F5" s="111" t="s">
        <v>112</v>
      </c>
      <c r="G5" s="111" t="s">
        <v>111</v>
      </c>
      <c r="H5" s="111" t="s">
        <v>112</v>
      </c>
      <c r="I5" s="111" t="s">
        <v>111</v>
      </c>
      <c r="J5" s="111" t="s">
        <v>112</v>
      </c>
      <c r="K5" s="111" t="s">
        <v>111</v>
      </c>
      <c r="L5" s="111" t="s">
        <v>112</v>
      </c>
      <c r="M5" s="111" t="s">
        <v>62</v>
      </c>
      <c r="N5" s="111" t="s">
        <v>64</v>
      </c>
      <c r="O5" s="111" t="s">
        <v>111</v>
      </c>
      <c r="P5" s="111" t="s">
        <v>112</v>
      </c>
      <c r="R5" s="111"/>
      <c r="S5" s="111"/>
    </row>
    <row r="6" spans="1:19" ht="39.950000000000003" customHeight="1">
      <c r="A6" s="194">
        <v>44592</v>
      </c>
      <c r="B6" s="85"/>
      <c r="C6" s="76">
        <v>43003</v>
      </c>
      <c r="D6" s="78"/>
      <c r="E6" s="76">
        <v>66989</v>
      </c>
      <c r="F6" s="78"/>
      <c r="G6" s="76">
        <v>8585</v>
      </c>
      <c r="H6" s="79"/>
      <c r="I6" s="76">
        <v>16474</v>
      </c>
      <c r="J6" s="78"/>
      <c r="K6" s="76">
        <v>10698</v>
      </c>
      <c r="L6" s="78"/>
      <c r="M6" s="79"/>
      <c r="N6" s="79"/>
      <c r="O6" s="76">
        <v>23031</v>
      </c>
      <c r="P6" s="78"/>
      <c r="R6" s="110"/>
      <c r="S6" s="100"/>
    </row>
    <row r="7" spans="1:19" s="2" customFormat="1" ht="39.950000000000003" customHeight="1">
      <c r="A7" s="194">
        <v>44593</v>
      </c>
      <c r="B7" s="15"/>
      <c r="C7" s="76">
        <v>43135</v>
      </c>
      <c r="D7" s="78">
        <f>(C7-C6)</f>
        <v>132</v>
      </c>
      <c r="E7" s="76">
        <v>67262</v>
      </c>
      <c r="F7" s="78">
        <f>(E7-E6)</f>
        <v>273</v>
      </c>
      <c r="G7" s="195">
        <v>8591.3830999999991</v>
      </c>
      <c r="H7" s="79">
        <f t="shared" ref="H7" si="0">(G7-G6)</f>
        <v>6.3830999999991036</v>
      </c>
      <c r="I7" s="76">
        <v>16474</v>
      </c>
      <c r="J7" s="78">
        <f>(I7-I6)</f>
        <v>0</v>
      </c>
      <c r="K7" s="76">
        <v>10855</v>
      </c>
      <c r="L7" s="78">
        <f>(K7-K6)</f>
        <v>157</v>
      </c>
      <c r="M7" s="79">
        <f>L7*55%</f>
        <v>86.350000000000009</v>
      </c>
      <c r="N7" s="79">
        <f>L7*45%</f>
        <v>70.650000000000006</v>
      </c>
      <c r="O7" s="76">
        <v>23131</v>
      </c>
      <c r="P7" s="78">
        <f>(O7-O6)</f>
        <v>100</v>
      </c>
      <c r="R7" s="110">
        <f>SUM(D7,F7,M7,J7,H7)</f>
        <v>497.73309999999913</v>
      </c>
      <c r="S7" s="100">
        <f>SUM(N7,P7)</f>
        <v>170.65</v>
      </c>
    </row>
    <row r="8" spans="1:19" ht="39.950000000000003" customHeight="1">
      <c r="A8" s="194">
        <v>44594</v>
      </c>
      <c r="B8" s="16"/>
      <c r="C8" s="76">
        <v>43217</v>
      </c>
      <c r="D8" s="78">
        <f t="shared" ref="D8:F34" si="1">(C8-C7)</f>
        <v>82</v>
      </c>
      <c r="E8" s="76">
        <v>67505</v>
      </c>
      <c r="F8" s="78">
        <f t="shared" si="1"/>
        <v>243</v>
      </c>
      <c r="G8" s="195">
        <v>8598.9861000000001</v>
      </c>
      <c r="H8" s="78">
        <f t="shared" ref="H8" si="2">(G8-G7)</f>
        <v>7.603000000000975</v>
      </c>
      <c r="I8" s="76">
        <v>16482</v>
      </c>
      <c r="J8" s="78">
        <f t="shared" ref="J8" si="3">(I8-I7)</f>
        <v>8</v>
      </c>
      <c r="K8" s="76">
        <v>10951</v>
      </c>
      <c r="L8" s="78">
        <f t="shared" ref="L8" si="4">(K8-K7)</f>
        <v>96</v>
      </c>
      <c r="M8" s="79">
        <f t="shared" ref="M8:M34" si="5">L8*55%</f>
        <v>52.800000000000004</v>
      </c>
      <c r="N8" s="79">
        <f t="shared" ref="N8:N34" si="6">L8*45%</f>
        <v>43.2</v>
      </c>
      <c r="O8" s="76">
        <v>23227</v>
      </c>
      <c r="P8" s="78">
        <f t="shared" ref="P8" si="7">(O8-O7)</f>
        <v>96</v>
      </c>
      <c r="R8" s="110">
        <f t="shared" ref="R8:R34" si="8">SUM(D8,F8,M8,J8,H8)</f>
        <v>393.40300000000099</v>
      </c>
      <c r="S8" s="100">
        <f t="shared" ref="S8:S34" si="9">SUM(N8,P8)</f>
        <v>139.19999999999999</v>
      </c>
    </row>
    <row r="9" spans="1:19" ht="39.950000000000003" customHeight="1">
      <c r="A9" s="194">
        <v>44595</v>
      </c>
      <c r="B9" s="16"/>
      <c r="C9" s="76">
        <v>43325</v>
      </c>
      <c r="D9" s="78">
        <f t="shared" si="1"/>
        <v>108</v>
      </c>
      <c r="E9" s="76">
        <v>67803</v>
      </c>
      <c r="F9" s="78">
        <f t="shared" si="1"/>
        <v>298</v>
      </c>
      <c r="G9" s="195">
        <v>8605.1679000000004</v>
      </c>
      <c r="H9" s="78">
        <f t="shared" ref="H9" si="10">(G9-G8)</f>
        <v>6.1818000000002939</v>
      </c>
      <c r="I9" s="76">
        <v>16486</v>
      </c>
      <c r="J9" s="78">
        <f t="shared" ref="J9" si="11">(I9-I8)</f>
        <v>4</v>
      </c>
      <c r="K9" s="76">
        <v>11057</v>
      </c>
      <c r="L9" s="78">
        <f t="shared" ref="L9" si="12">(K9-K8)</f>
        <v>106</v>
      </c>
      <c r="M9" s="79">
        <f t="shared" si="5"/>
        <v>58.300000000000004</v>
      </c>
      <c r="N9" s="79">
        <f t="shared" si="6"/>
        <v>47.7</v>
      </c>
      <c r="O9" s="76">
        <v>23321</v>
      </c>
      <c r="P9" s="78">
        <f t="shared" ref="P9" si="13">(O9-O8)</f>
        <v>94</v>
      </c>
      <c r="R9" s="110">
        <f t="shared" si="8"/>
        <v>474.48180000000031</v>
      </c>
      <c r="S9" s="100">
        <f t="shared" si="9"/>
        <v>141.69999999999999</v>
      </c>
    </row>
    <row r="10" spans="1:19" ht="39.950000000000003" customHeight="1">
      <c r="A10" s="194">
        <v>44596</v>
      </c>
      <c r="B10" s="16"/>
      <c r="C10" s="76">
        <v>43430</v>
      </c>
      <c r="D10" s="78">
        <f t="shared" si="1"/>
        <v>105</v>
      </c>
      <c r="E10" s="76">
        <v>68064</v>
      </c>
      <c r="F10" s="78">
        <f t="shared" si="1"/>
        <v>261</v>
      </c>
      <c r="G10" s="196">
        <v>8607.7990000000009</v>
      </c>
      <c r="H10" s="78">
        <f t="shared" ref="H10" si="14">(G10-G9)</f>
        <v>2.6311000000005151</v>
      </c>
      <c r="I10" s="76">
        <v>16486</v>
      </c>
      <c r="J10" s="78">
        <f t="shared" ref="J10" si="15">(I10-I9)</f>
        <v>0</v>
      </c>
      <c r="K10" s="76">
        <v>11193</v>
      </c>
      <c r="L10" s="78">
        <f t="shared" ref="L10" si="16">(K10-K9)</f>
        <v>136</v>
      </c>
      <c r="M10" s="79">
        <f t="shared" si="5"/>
        <v>74.800000000000011</v>
      </c>
      <c r="N10" s="79">
        <f t="shared" si="6"/>
        <v>61.2</v>
      </c>
      <c r="O10" s="76">
        <v>23426</v>
      </c>
      <c r="P10" s="78">
        <f t="shared" ref="P10" si="17">(O10-O9)</f>
        <v>105</v>
      </c>
      <c r="R10" s="110">
        <f t="shared" si="8"/>
        <v>443.43110000000053</v>
      </c>
      <c r="S10" s="100">
        <f t="shared" si="9"/>
        <v>166.2</v>
      </c>
    </row>
    <row r="11" spans="1:19" ht="39.950000000000003" customHeight="1">
      <c r="A11" s="194">
        <v>44597</v>
      </c>
      <c r="B11" s="16"/>
      <c r="C11" s="76">
        <v>43527</v>
      </c>
      <c r="D11" s="78">
        <f t="shared" si="1"/>
        <v>97</v>
      </c>
      <c r="E11" s="76">
        <v>68321</v>
      </c>
      <c r="F11" s="78">
        <f t="shared" si="1"/>
        <v>257</v>
      </c>
      <c r="G11" s="195">
        <v>8616.9339999999993</v>
      </c>
      <c r="H11" s="78">
        <f t="shared" ref="H11" si="18">(G11-G10)</f>
        <v>9.1349999999983993</v>
      </c>
      <c r="I11" s="76">
        <v>16486</v>
      </c>
      <c r="J11" s="78">
        <f t="shared" ref="J11" si="19">(I11-I10)</f>
        <v>0</v>
      </c>
      <c r="K11" s="76">
        <v>11327</v>
      </c>
      <c r="L11" s="78">
        <f t="shared" ref="L11" si="20">(K11-K10)</f>
        <v>134</v>
      </c>
      <c r="M11" s="79">
        <f t="shared" si="5"/>
        <v>73.7</v>
      </c>
      <c r="N11" s="79">
        <f t="shared" si="6"/>
        <v>60.300000000000004</v>
      </c>
      <c r="O11" s="76">
        <v>23522</v>
      </c>
      <c r="P11" s="78">
        <f t="shared" ref="P11" si="21">(O11-O10)</f>
        <v>96</v>
      </c>
      <c r="R11" s="110">
        <f t="shared" si="8"/>
        <v>436.83499999999839</v>
      </c>
      <c r="S11" s="100">
        <f t="shared" si="9"/>
        <v>156.30000000000001</v>
      </c>
    </row>
    <row r="12" spans="1:19" ht="39.950000000000003" customHeight="1">
      <c r="A12" s="194">
        <v>44598</v>
      </c>
      <c r="B12" s="16"/>
      <c r="C12" s="76">
        <v>43637</v>
      </c>
      <c r="D12" s="78">
        <f t="shared" si="1"/>
        <v>110</v>
      </c>
      <c r="E12" s="76">
        <v>68566</v>
      </c>
      <c r="F12" s="78">
        <f t="shared" si="1"/>
        <v>245</v>
      </c>
      <c r="G12" s="195">
        <v>8622.9410000000007</v>
      </c>
      <c r="H12" s="78">
        <f t="shared" ref="H12" si="22">(G12-G11)</f>
        <v>6.0070000000014261</v>
      </c>
      <c r="I12" s="76">
        <v>16504</v>
      </c>
      <c r="J12" s="78">
        <f t="shared" ref="J12" si="23">(I12-I11)</f>
        <v>18</v>
      </c>
      <c r="K12" s="76">
        <v>11447</v>
      </c>
      <c r="L12" s="78">
        <f t="shared" ref="L12" si="24">(K12-K11)</f>
        <v>120</v>
      </c>
      <c r="M12" s="79">
        <f t="shared" si="5"/>
        <v>66</v>
      </c>
      <c r="N12" s="79">
        <f t="shared" si="6"/>
        <v>54</v>
      </c>
      <c r="O12" s="76">
        <v>23633</v>
      </c>
      <c r="P12" s="78">
        <f t="shared" ref="P12" si="25">(O12-O11)</f>
        <v>111</v>
      </c>
      <c r="R12" s="110">
        <f t="shared" si="8"/>
        <v>445.00700000000143</v>
      </c>
      <c r="S12" s="100">
        <f t="shared" si="9"/>
        <v>165</v>
      </c>
    </row>
    <row r="13" spans="1:19" ht="39.950000000000003" customHeight="1">
      <c r="A13" s="194">
        <v>44599</v>
      </c>
      <c r="B13" s="16"/>
      <c r="C13" s="76">
        <v>43751</v>
      </c>
      <c r="D13" s="78">
        <f t="shared" si="1"/>
        <v>114</v>
      </c>
      <c r="E13" s="76">
        <v>68796</v>
      </c>
      <c r="F13" s="78">
        <f t="shared" si="1"/>
        <v>230</v>
      </c>
      <c r="G13" s="195">
        <v>8628.9030000000002</v>
      </c>
      <c r="H13" s="78">
        <f t="shared" ref="H13" si="26">(G13-G12)</f>
        <v>5.9619999999995343</v>
      </c>
      <c r="I13" s="76">
        <v>16511</v>
      </c>
      <c r="J13" s="78">
        <f t="shared" ref="J13" si="27">(I13-I12)</f>
        <v>7</v>
      </c>
      <c r="K13" s="76">
        <v>11560</v>
      </c>
      <c r="L13" s="78">
        <f t="shared" ref="L13" si="28">(K13-K12)</f>
        <v>113</v>
      </c>
      <c r="M13" s="79">
        <f t="shared" si="5"/>
        <v>62.150000000000006</v>
      </c>
      <c r="N13" s="79">
        <f t="shared" si="6"/>
        <v>50.85</v>
      </c>
      <c r="O13" s="76">
        <v>23722</v>
      </c>
      <c r="P13" s="78">
        <f t="shared" ref="P13" si="29">(O13-O12)</f>
        <v>89</v>
      </c>
      <c r="R13" s="110">
        <f t="shared" si="8"/>
        <v>419.11199999999951</v>
      </c>
      <c r="S13" s="100">
        <f t="shared" si="9"/>
        <v>139.85</v>
      </c>
    </row>
    <row r="14" spans="1:19" ht="39.950000000000003" customHeight="1">
      <c r="A14" s="194">
        <v>44600</v>
      </c>
      <c r="B14" s="16"/>
      <c r="C14" s="76">
        <v>43863</v>
      </c>
      <c r="D14" s="78">
        <f t="shared" si="1"/>
        <v>112</v>
      </c>
      <c r="E14" s="76">
        <v>69020</v>
      </c>
      <c r="F14" s="78">
        <f t="shared" si="1"/>
        <v>224</v>
      </c>
      <c r="G14" s="195">
        <v>8638.027</v>
      </c>
      <c r="H14" s="78">
        <f t="shared" ref="H14" si="30">(G14-G13)</f>
        <v>9.1239999999997963</v>
      </c>
      <c r="I14" s="76">
        <v>16511</v>
      </c>
      <c r="J14" s="78">
        <f t="shared" ref="J14" si="31">(I14-I13)</f>
        <v>0</v>
      </c>
      <c r="K14" s="76">
        <v>11605</v>
      </c>
      <c r="L14" s="78">
        <f t="shared" ref="L14" si="32">(K14-K13)</f>
        <v>45</v>
      </c>
      <c r="M14" s="79">
        <f t="shared" si="5"/>
        <v>24.750000000000004</v>
      </c>
      <c r="N14" s="79">
        <f t="shared" si="6"/>
        <v>20.25</v>
      </c>
      <c r="O14" s="76">
        <v>23819</v>
      </c>
      <c r="P14" s="78">
        <f t="shared" ref="P14" si="33">(O14-O13)</f>
        <v>97</v>
      </c>
      <c r="R14" s="110">
        <f t="shared" si="8"/>
        <v>369.8739999999998</v>
      </c>
      <c r="S14" s="100">
        <f t="shared" si="9"/>
        <v>117.25</v>
      </c>
    </row>
    <row r="15" spans="1:19" ht="39.950000000000003" customHeight="1">
      <c r="A15" s="194">
        <v>44601</v>
      </c>
      <c r="B15" s="16"/>
      <c r="C15" s="76">
        <v>43962</v>
      </c>
      <c r="D15" s="78">
        <f t="shared" si="1"/>
        <v>99</v>
      </c>
      <c r="E15" s="76">
        <v>69247</v>
      </c>
      <c r="F15" s="78">
        <f t="shared" si="1"/>
        <v>227</v>
      </c>
      <c r="G15" s="195">
        <v>8646.0249999999996</v>
      </c>
      <c r="H15" s="78">
        <f t="shared" ref="H15" si="34">(G15-G14)</f>
        <v>7.9979999999995925</v>
      </c>
      <c r="I15" s="76">
        <v>16511</v>
      </c>
      <c r="J15" s="78">
        <f t="shared" ref="J15" si="35">(I15-I14)</f>
        <v>0</v>
      </c>
      <c r="K15" s="76">
        <v>11810</v>
      </c>
      <c r="L15" s="78">
        <f t="shared" ref="L15" si="36">(K15-K14)</f>
        <v>205</v>
      </c>
      <c r="M15" s="79">
        <f t="shared" si="5"/>
        <v>112.75000000000001</v>
      </c>
      <c r="N15" s="79">
        <f t="shared" si="6"/>
        <v>92.25</v>
      </c>
      <c r="O15" s="76">
        <v>23914</v>
      </c>
      <c r="P15" s="78">
        <f t="shared" ref="P15" si="37">(O15-O14)</f>
        <v>95</v>
      </c>
      <c r="R15" s="110">
        <f t="shared" si="8"/>
        <v>446.74799999999959</v>
      </c>
      <c r="S15" s="100">
        <f t="shared" si="9"/>
        <v>187.25</v>
      </c>
    </row>
    <row r="16" spans="1:19" ht="39.950000000000003" customHeight="1">
      <c r="A16" s="194">
        <v>44602</v>
      </c>
      <c r="B16" s="16"/>
      <c r="C16" s="76">
        <v>44100</v>
      </c>
      <c r="D16" s="78">
        <f t="shared" si="1"/>
        <v>138</v>
      </c>
      <c r="E16" s="76">
        <v>69489</v>
      </c>
      <c r="F16" s="78">
        <f t="shared" si="1"/>
        <v>242</v>
      </c>
      <c r="G16" s="195">
        <v>8658</v>
      </c>
      <c r="H16" s="78">
        <f t="shared" ref="H16" si="38">(G16-G15)</f>
        <v>11.975000000000364</v>
      </c>
      <c r="I16" s="76">
        <v>16525</v>
      </c>
      <c r="J16" s="78">
        <f t="shared" ref="J16" si="39">(I16-I15)</f>
        <v>14</v>
      </c>
      <c r="K16" s="76">
        <v>11905</v>
      </c>
      <c r="L16" s="78">
        <f t="shared" ref="L16" si="40">(K16-K15)</f>
        <v>95</v>
      </c>
      <c r="M16" s="79">
        <f t="shared" si="5"/>
        <v>52.250000000000007</v>
      </c>
      <c r="N16" s="79">
        <f t="shared" si="6"/>
        <v>42.75</v>
      </c>
      <c r="O16" s="76">
        <v>24010</v>
      </c>
      <c r="P16" s="78">
        <f t="shared" ref="P16" si="41">(O16-O15)</f>
        <v>96</v>
      </c>
      <c r="R16" s="110">
        <f t="shared" si="8"/>
        <v>458.22500000000036</v>
      </c>
      <c r="S16" s="100">
        <f t="shared" si="9"/>
        <v>138.75</v>
      </c>
    </row>
    <row r="17" spans="1:19" ht="39.950000000000003" customHeight="1">
      <c r="A17" s="194">
        <v>44603</v>
      </c>
      <c r="B17" s="16"/>
      <c r="C17" s="76">
        <v>44203</v>
      </c>
      <c r="D17" s="78">
        <f t="shared" si="1"/>
        <v>103</v>
      </c>
      <c r="E17" s="76">
        <v>69721</v>
      </c>
      <c r="F17" s="78">
        <f t="shared" si="1"/>
        <v>232</v>
      </c>
      <c r="G17" s="195">
        <v>8676</v>
      </c>
      <c r="H17" s="78">
        <f t="shared" ref="H17" si="42">(G17-G16)</f>
        <v>18</v>
      </c>
      <c r="I17" s="76">
        <v>16532</v>
      </c>
      <c r="J17" s="78">
        <f t="shared" ref="J17" si="43">(I17-I16)</f>
        <v>7</v>
      </c>
      <c r="K17" s="76">
        <v>12009</v>
      </c>
      <c r="L17" s="78">
        <f t="shared" ref="L17" si="44">(K17-K16)</f>
        <v>104</v>
      </c>
      <c r="M17" s="79">
        <f t="shared" si="5"/>
        <v>57.2</v>
      </c>
      <c r="N17" s="79">
        <f t="shared" si="6"/>
        <v>46.800000000000004</v>
      </c>
      <c r="O17" s="76">
        <v>24105</v>
      </c>
      <c r="P17" s="78">
        <f t="shared" ref="P17" si="45">(O17-O16)</f>
        <v>95</v>
      </c>
      <c r="R17" s="110">
        <f t="shared" si="8"/>
        <v>417.2</v>
      </c>
      <c r="S17" s="100">
        <f t="shared" si="9"/>
        <v>141.80000000000001</v>
      </c>
    </row>
    <row r="18" spans="1:19" ht="39.950000000000003" customHeight="1">
      <c r="A18" s="194">
        <v>44604</v>
      </c>
      <c r="B18" s="16"/>
      <c r="C18" s="76">
        <v>44313</v>
      </c>
      <c r="D18" s="78">
        <f t="shared" si="1"/>
        <v>110</v>
      </c>
      <c r="E18" s="76">
        <v>69977</v>
      </c>
      <c r="F18" s="78">
        <f t="shared" si="1"/>
        <v>256</v>
      </c>
      <c r="G18" s="195">
        <v>8692</v>
      </c>
      <c r="H18" s="78">
        <f t="shared" ref="H18" si="46">(G18-G17)</f>
        <v>16</v>
      </c>
      <c r="I18" s="76">
        <v>16536</v>
      </c>
      <c r="J18" s="78">
        <f t="shared" ref="J18" si="47">(I18-I17)</f>
        <v>4</v>
      </c>
      <c r="K18" s="76">
        <v>12123</v>
      </c>
      <c r="L18" s="78">
        <f t="shared" ref="L18" si="48">(K18-K17)</f>
        <v>114</v>
      </c>
      <c r="M18" s="79">
        <f t="shared" si="5"/>
        <v>62.7</v>
      </c>
      <c r="N18" s="79">
        <f t="shared" si="6"/>
        <v>51.300000000000004</v>
      </c>
      <c r="O18" s="76">
        <v>24207</v>
      </c>
      <c r="P18" s="78">
        <f t="shared" ref="P18" si="49">(O18-O17)</f>
        <v>102</v>
      </c>
      <c r="R18" s="110">
        <f t="shared" si="8"/>
        <v>448.7</v>
      </c>
      <c r="S18" s="100">
        <f t="shared" si="9"/>
        <v>153.30000000000001</v>
      </c>
    </row>
    <row r="19" spans="1:19" s="82" customFormat="1" ht="39.950000000000003" customHeight="1">
      <c r="A19" s="194">
        <v>44605</v>
      </c>
      <c r="B19" s="85"/>
      <c r="C19" s="76">
        <v>44437</v>
      </c>
      <c r="D19" s="78">
        <f t="shared" si="1"/>
        <v>124</v>
      </c>
      <c r="E19" s="76">
        <v>70221</v>
      </c>
      <c r="F19" s="78">
        <f t="shared" si="1"/>
        <v>244</v>
      </c>
      <c r="G19" s="195">
        <v>8710</v>
      </c>
      <c r="H19" s="78">
        <f t="shared" ref="H19" si="50">(G19-G18)</f>
        <v>18</v>
      </c>
      <c r="I19" s="76">
        <v>16542</v>
      </c>
      <c r="J19" s="78">
        <f t="shared" ref="J19" si="51">(I19-I18)</f>
        <v>6</v>
      </c>
      <c r="K19" s="76">
        <v>12232</v>
      </c>
      <c r="L19" s="78">
        <f t="shared" ref="L19" si="52">(K19-K18)</f>
        <v>109</v>
      </c>
      <c r="M19" s="79">
        <f t="shared" si="5"/>
        <v>59.95</v>
      </c>
      <c r="N19" s="79">
        <f t="shared" si="6"/>
        <v>49.050000000000004</v>
      </c>
      <c r="O19" s="76">
        <v>24306</v>
      </c>
      <c r="P19" s="78">
        <f t="shared" ref="P19" si="53">(O19-O18)</f>
        <v>99</v>
      </c>
      <c r="R19" s="169">
        <f t="shared" si="8"/>
        <v>451.95</v>
      </c>
      <c r="S19" s="109">
        <f t="shared" si="9"/>
        <v>148.05000000000001</v>
      </c>
    </row>
    <row r="20" spans="1:19" s="82" customFormat="1" ht="39.950000000000003" customHeight="1">
      <c r="A20" s="194">
        <v>44606</v>
      </c>
      <c r="B20" s="85"/>
      <c r="C20" s="76">
        <v>44554</v>
      </c>
      <c r="D20" s="78">
        <f t="shared" si="1"/>
        <v>117</v>
      </c>
      <c r="E20" s="76">
        <v>70471</v>
      </c>
      <c r="F20" s="78">
        <f t="shared" si="1"/>
        <v>250</v>
      </c>
      <c r="G20" s="195">
        <v>8728</v>
      </c>
      <c r="H20" s="78">
        <f t="shared" ref="H20" si="54">(G20-G19)</f>
        <v>18</v>
      </c>
      <c r="I20" s="76">
        <v>16546</v>
      </c>
      <c r="J20" s="78">
        <f t="shared" ref="J20" si="55">(I20-I19)</f>
        <v>4</v>
      </c>
      <c r="K20" s="76">
        <v>12321</v>
      </c>
      <c r="L20" s="78">
        <f t="shared" ref="L20" si="56">(K20-K19)</f>
        <v>89</v>
      </c>
      <c r="M20" s="79">
        <f t="shared" si="5"/>
        <v>48.95</v>
      </c>
      <c r="N20" s="79">
        <f t="shared" si="6"/>
        <v>40.050000000000004</v>
      </c>
      <c r="O20" s="76">
        <v>24391</v>
      </c>
      <c r="P20" s="78">
        <f t="shared" ref="P20" si="57">(O20-O19)</f>
        <v>85</v>
      </c>
      <c r="R20" s="169">
        <f t="shared" si="8"/>
        <v>437.95</v>
      </c>
      <c r="S20" s="109">
        <f t="shared" si="9"/>
        <v>125.05000000000001</v>
      </c>
    </row>
    <row r="21" spans="1:19" s="82" customFormat="1" ht="39.950000000000003" customHeight="1">
      <c r="A21" s="194">
        <v>44607</v>
      </c>
      <c r="B21" s="85"/>
      <c r="C21" s="77">
        <v>44693</v>
      </c>
      <c r="D21" s="78">
        <f t="shared" si="1"/>
        <v>139</v>
      </c>
      <c r="E21" s="77">
        <v>70718</v>
      </c>
      <c r="F21" s="78">
        <f t="shared" si="1"/>
        <v>247</v>
      </c>
      <c r="G21" s="86">
        <v>8746</v>
      </c>
      <c r="H21" s="78">
        <f t="shared" ref="H21" si="58">(G21-G20)</f>
        <v>18</v>
      </c>
      <c r="I21" s="77">
        <f>(I20+I22)/2</f>
        <v>16549.5</v>
      </c>
      <c r="J21" s="78">
        <f t="shared" ref="J21" si="59">(I21-I20)</f>
        <v>3.5</v>
      </c>
      <c r="K21" s="77">
        <v>12441</v>
      </c>
      <c r="L21" s="78">
        <f t="shared" ref="L21" si="60">(K21-K20)</f>
        <v>120</v>
      </c>
      <c r="M21" s="79">
        <f t="shared" si="5"/>
        <v>66</v>
      </c>
      <c r="N21" s="79">
        <f t="shared" si="6"/>
        <v>54</v>
      </c>
      <c r="O21" s="77">
        <v>24489</v>
      </c>
      <c r="P21" s="78">
        <f t="shared" ref="P21" si="61">(O21-O20)</f>
        <v>98</v>
      </c>
      <c r="R21" s="169">
        <f t="shared" si="8"/>
        <v>473.5</v>
      </c>
      <c r="S21" s="109">
        <f t="shared" si="9"/>
        <v>152</v>
      </c>
    </row>
    <row r="22" spans="1:19" s="82" customFormat="1" ht="39.950000000000003" customHeight="1">
      <c r="A22" s="194">
        <v>44608</v>
      </c>
      <c r="B22" s="85"/>
      <c r="C22" s="77">
        <v>44829</v>
      </c>
      <c r="D22" s="78">
        <f t="shared" si="1"/>
        <v>136</v>
      </c>
      <c r="E22" s="77">
        <v>70946</v>
      </c>
      <c r="F22" s="78">
        <f t="shared" si="1"/>
        <v>228</v>
      </c>
      <c r="G22" s="86">
        <v>8756</v>
      </c>
      <c r="H22" s="78">
        <f t="shared" ref="H22" si="62">(G22-G21)</f>
        <v>10</v>
      </c>
      <c r="I22" s="77">
        <v>16553</v>
      </c>
      <c r="J22" s="78">
        <f t="shared" ref="J22" si="63">(I22-I21)</f>
        <v>3.5</v>
      </c>
      <c r="K22" s="77">
        <v>12559</v>
      </c>
      <c r="L22" s="78">
        <f t="shared" ref="L22" si="64">(K22-K21)</f>
        <v>118</v>
      </c>
      <c r="M22" s="79">
        <f t="shared" si="5"/>
        <v>64.900000000000006</v>
      </c>
      <c r="N22" s="79">
        <f t="shared" si="6"/>
        <v>53.1</v>
      </c>
      <c r="O22" s="77">
        <v>24578</v>
      </c>
      <c r="P22" s="78">
        <f t="shared" ref="P22" si="65">(O22-O21)</f>
        <v>89</v>
      </c>
      <c r="R22" s="169">
        <f t="shared" si="8"/>
        <v>442.4</v>
      </c>
      <c r="S22" s="109">
        <f t="shared" si="9"/>
        <v>142.1</v>
      </c>
    </row>
    <row r="23" spans="1:19" s="82" customFormat="1" ht="39.950000000000003" customHeight="1">
      <c r="A23" s="194">
        <v>44609</v>
      </c>
      <c r="B23" s="85"/>
      <c r="C23" s="77">
        <v>45048</v>
      </c>
      <c r="D23" s="78">
        <f t="shared" si="1"/>
        <v>219</v>
      </c>
      <c r="E23" s="77">
        <v>71157</v>
      </c>
      <c r="F23" s="78">
        <f t="shared" si="1"/>
        <v>211</v>
      </c>
      <c r="G23" s="86">
        <v>8766</v>
      </c>
      <c r="H23" s="78">
        <f t="shared" ref="H23" si="66">(G23-G22)</f>
        <v>10</v>
      </c>
      <c r="I23" s="77">
        <v>16567</v>
      </c>
      <c r="J23" s="78">
        <f t="shared" ref="J23" si="67">(I23-I22)</f>
        <v>14</v>
      </c>
      <c r="K23" s="77">
        <v>12673</v>
      </c>
      <c r="L23" s="78">
        <f t="shared" ref="L23" si="68">(K23-K22)</f>
        <v>114</v>
      </c>
      <c r="M23" s="79">
        <f t="shared" si="5"/>
        <v>62.7</v>
      </c>
      <c r="N23" s="79">
        <f t="shared" si="6"/>
        <v>51.300000000000004</v>
      </c>
      <c r="O23" s="77">
        <v>24668</v>
      </c>
      <c r="P23" s="78">
        <f t="shared" ref="P23" si="69">(O23-O22)</f>
        <v>90</v>
      </c>
      <c r="R23" s="169">
        <f t="shared" si="8"/>
        <v>516.70000000000005</v>
      </c>
      <c r="S23" s="109">
        <f t="shared" si="9"/>
        <v>141.30000000000001</v>
      </c>
    </row>
    <row r="24" spans="1:19" s="82" customFormat="1" ht="39.950000000000003" customHeight="1">
      <c r="A24" s="194">
        <v>44610</v>
      </c>
      <c r="B24" s="85"/>
      <c r="C24" s="77">
        <v>45292</v>
      </c>
      <c r="D24" s="78">
        <f t="shared" si="1"/>
        <v>244</v>
      </c>
      <c r="E24" s="77">
        <v>71372</v>
      </c>
      <c r="F24" s="78">
        <f t="shared" si="1"/>
        <v>215</v>
      </c>
      <c r="G24" s="86">
        <v>8776</v>
      </c>
      <c r="H24" s="78">
        <f t="shared" ref="H24" si="70">(G24-G23)</f>
        <v>10</v>
      </c>
      <c r="I24" s="77">
        <v>16580</v>
      </c>
      <c r="J24" s="78">
        <f t="shared" ref="J24" si="71">(I24-I23)</f>
        <v>13</v>
      </c>
      <c r="K24" s="77">
        <v>12780</v>
      </c>
      <c r="L24" s="78">
        <f t="shared" ref="L24" si="72">(K24-K23)</f>
        <v>107</v>
      </c>
      <c r="M24" s="79">
        <f t="shared" si="5"/>
        <v>58.85</v>
      </c>
      <c r="N24" s="79">
        <f t="shared" si="6"/>
        <v>48.15</v>
      </c>
      <c r="O24" s="77">
        <v>24766</v>
      </c>
      <c r="P24" s="78">
        <f t="shared" ref="P24" si="73">(O24-O23)</f>
        <v>98</v>
      </c>
      <c r="R24" s="169">
        <f t="shared" si="8"/>
        <v>540.85</v>
      </c>
      <c r="S24" s="109">
        <f t="shared" si="9"/>
        <v>146.15</v>
      </c>
    </row>
    <row r="25" spans="1:19" s="82" customFormat="1" ht="39.950000000000003" customHeight="1">
      <c r="A25" s="194">
        <v>44611</v>
      </c>
      <c r="B25" s="85"/>
      <c r="C25" s="77">
        <v>45483</v>
      </c>
      <c r="D25" s="78">
        <f t="shared" si="1"/>
        <v>191</v>
      </c>
      <c r="E25" s="77">
        <v>71588</v>
      </c>
      <c r="F25" s="78">
        <f t="shared" si="1"/>
        <v>216</v>
      </c>
      <c r="G25" s="86">
        <v>8785</v>
      </c>
      <c r="H25" s="78">
        <f t="shared" ref="H25" si="74">(G25-G24)</f>
        <v>9</v>
      </c>
      <c r="I25" s="77">
        <v>16589</v>
      </c>
      <c r="J25" s="78">
        <f t="shared" ref="J25" si="75">(I25-I24)</f>
        <v>9</v>
      </c>
      <c r="K25" s="77">
        <v>12889</v>
      </c>
      <c r="L25" s="78">
        <f t="shared" ref="L25" si="76">(K25-K24)</f>
        <v>109</v>
      </c>
      <c r="M25" s="79">
        <f t="shared" si="5"/>
        <v>59.95</v>
      </c>
      <c r="N25" s="79">
        <f t="shared" si="6"/>
        <v>49.050000000000004</v>
      </c>
      <c r="O25" s="77">
        <v>24852</v>
      </c>
      <c r="P25" s="78">
        <f t="shared" ref="P25" si="77">(O25-O24)</f>
        <v>86</v>
      </c>
      <c r="R25" s="169">
        <f t="shared" si="8"/>
        <v>484.95</v>
      </c>
      <c r="S25" s="109">
        <f t="shared" si="9"/>
        <v>135.05000000000001</v>
      </c>
    </row>
    <row r="26" spans="1:19" ht="39.950000000000003" customHeight="1">
      <c r="A26" s="194">
        <v>44612</v>
      </c>
      <c r="B26" s="85"/>
      <c r="C26" s="77">
        <v>45812</v>
      </c>
      <c r="D26" s="78">
        <f t="shared" si="1"/>
        <v>329</v>
      </c>
      <c r="E26" s="77">
        <v>71814</v>
      </c>
      <c r="F26" s="78">
        <f t="shared" si="1"/>
        <v>226</v>
      </c>
      <c r="G26" s="86">
        <v>8795</v>
      </c>
      <c r="H26" s="78">
        <f t="shared" ref="H26" si="78">(G26-G25)</f>
        <v>10</v>
      </c>
      <c r="I26" s="77">
        <v>16592</v>
      </c>
      <c r="J26" s="78">
        <f t="shared" ref="J26" si="79">(I26-I25)</f>
        <v>3</v>
      </c>
      <c r="K26" s="77">
        <v>12998</v>
      </c>
      <c r="L26" s="78">
        <f t="shared" ref="L26" si="80">(K26-K25)</f>
        <v>109</v>
      </c>
      <c r="M26" s="79">
        <f t="shared" si="5"/>
        <v>59.95</v>
      </c>
      <c r="N26" s="79">
        <f t="shared" si="6"/>
        <v>49.050000000000004</v>
      </c>
      <c r="O26" s="77">
        <v>24952</v>
      </c>
      <c r="P26" s="78">
        <f t="shared" ref="P26" si="81">(O26-O25)</f>
        <v>100</v>
      </c>
      <c r="R26" s="110">
        <f t="shared" si="8"/>
        <v>627.95000000000005</v>
      </c>
      <c r="S26" s="100">
        <f t="shared" si="9"/>
        <v>149.05000000000001</v>
      </c>
    </row>
    <row r="27" spans="1:19" ht="39.950000000000003" customHeight="1">
      <c r="A27" s="194">
        <v>44613</v>
      </c>
      <c r="B27" s="85"/>
      <c r="C27" s="77">
        <v>45989</v>
      </c>
      <c r="D27" s="78">
        <f t="shared" si="1"/>
        <v>177</v>
      </c>
      <c r="E27" s="77">
        <v>72029</v>
      </c>
      <c r="F27" s="78">
        <f t="shared" si="1"/>
        <v>215</v>
      </c>
      <c r="G27" s="86">
        <v>8802</v>
      </c>
      <c r="H27" s="78">
        <f t="shared" ref="H27" si="82">(G27-G26)</f>
        <v>7</v>
      </c>
      <c r="I27" s="77">
        <v>16592</v>
      </c>
      <c r="J27" s="78">
        <f t="shared" ref="J27" si="83">(I27-I26)</f>
        <v>0</v>
      </c>
      <c r="K27" s="77">
        <v>13091</v>
      </c>
      <c r="L27" s="78">
        <f t="shared" ref="L27" si="84">(K27-K26)</f>
        <v>93</v>
      </c>
      <c r="M27" s="79">
        <f t="shared" si="5"/>
        <v>51.150000000000006</v>
      </c>
      <c r="N27" s="79">
        <f t="shared" si="6"/>
        <v>41.85</v>
      </c>
      <c r="O27" s="77">
        <v>25036</v>
      </c>
      <c r="P27" s="78">
        <f t="shared" ref="P27" si="85">(O27-O26)</f>
        <v>84</v>
      </c>
      <c r="R27" s="110">
        <f t="shared" si="8"/>
        <v>450.15</v>
      </c>
      <c r="S27" s="100">
        <f t="shared" si="9"/>
        <v>125.85</v>
      </c>
    </row>
    <row r="28" spans="1:19" ht="39.950000000000003" customHeight="1">
      <c r="A28" s="194">
        <v>44614</v>
      </c>
      <c r="B28" s="85"/>
      <c r="C28" s="77">
        <v>46106</v>
      </c>
      <c r="D28" s="78">
        <f t="shared" si="1"/>
        <v>117</v>
      </c>
      <c r="E28" s="77">
        <v>72229</v>
      </c>
      <c r="F28" s="78">
        <f t="shared" si="1"/>
        <v>200</v>
      </c>
      <c r="G28" s="86">
        <v>8812</v>
      </c>
      <c r="H28" s="78">
        <f t="shared" ref="H28" si="86">(G28-G27)</f>
        <v>10</v>
      </c>
      <c r="I28" s="77">
        <v>16593</v>
      </c>
      <c r="J28" s="78">
        <f t="shared" ref="J28" si="87">(I28-I27)</f>
        <v>1</v>
      </c>
      <c r="K28" s="77">
        <v>13204</v>
      </c>
      <c r="L28" s="78">
        <f t="shared" ref="L28" si="88">(K28-K27)</f>
        <v>113</v>
      </c>
      <c r="M28" s="79">
        <f t="shared" si="5"/>
        <v>62.150000000000006</v>
      </c>
      <c r="N28" s="79">
        <f t="shared" si="6"/>
        <v>50.85</v>
      </c>
      <c r="O28" s="77">
        <v>25134</v>
      </c>
      <c r="P28" s="78">
        <f t="shared" ref="P28" si="89">(O28-O27)</f>
        <v>98</v>
      </c>
      <c r="R28" s="110">
        <f t="shared" si="8"/>
        <v>390.15</v>
      </c>
      <c r="S28" s="100">
        <f t="shared" si="9"/>
        <v>148.85</v>
      </c>
    </row>
    <row r="29" spans="1:19" ht="39.950000000000003" customHeight="1">
      <c r="A29" s="194">
        <v>44615</v>
      </c>
      <c r="B29" s="85"/>
      <c r="C29" s="77">
        <v>46177</v>
      </c>
      <c r="D29" s="78">
        <f t="shared" si="1"/>
        <v>71</v>
      </c>
      <c r="E29" s="77">
        <v>72395</v>
      </c>
      <c r="F29" s="78">
        <f t="shared" si="1"/>
        <v>166</v>
      </c>
      <c r="G29" s="86">
        <v>8826</v>
      </c>
      <c r="H29" s="78">
        <f t="shared" ref="H29" si="90">(G29-G28)</f>
        <v>14</v>
      </c>
      <c r="I29" s="77">
        <v>16593</v>
      </c>
      <c r="J29" s="78">
        <f t="shared" ref="J29" si="91">(I29-I28)</f>
        <v>0</v>
      </c>
      <c r="K29" s="77">
        <v>13299</v>
      </c>
      <c r="L29" s="78">
        <f t="shared" ref="L29" si="92">(K29-K28)</f>
        <v>95</v>
      </c>
      <c r="M29" s="79">
        <f t="shared" si="5"/>
        <v>52.250000000000007</v>
      </c>
      <c r="N29" s="79">
        <f t="shared" si="6"/>
        <v>42.75</v>
      </c>
      <c r="O29" s="77">
        <v>25233</v>
      </c>
      <c r="P29" s="78">
        <f t="shared" ref="P29" si="93">(O29-O28)</f>
        <v>99</v>
      </c>
      <c r="R29" s="110">
        <f t="shared" si="8"/>
        <v>303.25</v>
      </c>
      <c r="S29" s="100">
        <f t="shared" si="9"/>
        <v>141.75</v>
      </c>
    </row>
    <row r="30" spans="1:19" ht="39.950000000000003" customHeight="1">
      <c r="A30" s="194">
        <v>44616</v>
      </c>
      <c r="B30" s="85"/>
      <c r="C30" s="77">
        <v>46250</v>
      </c>
      <c r="D30" s="78">
        <f t="shared" si="1"/>
        <v>73</v>
      </c>
      <c r="E30" s="77">
        <v>72561</v>
      </c>
      <c r="F30" s="78">
        <f t="shared" si="1"/>
        <v>166</v>
      </c>
      <c r="G30" s="86">
        <v>8839</v>
      </c>
      <c r="H30" s="78">
        <f t="shared" ref="H30" si="94">(G30-G29)</f>
        <v>13</v>
      </c>
      <c r="I30" s="77">
        <v>16594</v>
      </c>
      <c r="J30" s="78">
        <f t="shared" ref="J30" si="95">(I30-I29)</f>
        <v>1</v>
      </c>
      <c r="K30" s="77">
        <v>13397</v>
      </c>
      <c r="L30" s="78">
        <f t="shared" ref="L30" si="96">(K30-K29)</f>
        <v>98</v>
      </c>
      <c r="M30" s="79">
        <f t="shared" si="5"/>
        <v>53.900000000000006</v>
      </c>
      <c r="N30" s="79">
        <f t="shared" si="6"/>
        <v>44.1</v>
      </c>
      <c r="O30" s="77">
        <v>25310</v>
      </c>
      <c r="P30" s="78">
        <f t="shared" ref="P30" si="97">(O30-O29)</f>
        <v>77</v>
      </c>
      <c r="R30" s="110">
        <f t="shared" si="8"/>
        <v>306.89999999999998</v>
      </c>
      <c r="S30" s="100">
        <f t="shared" si="9"/>
        <v>121.1</v>
      </c>
    </row>
    <row r="31" spans="1:19" ht="39.950000000000003" customHeight="1">
      <c r="A31" s="194">
        <v>44617</v>
      </c>
      <c r="B31" s="85"/>
      <c r="C31" s="77">
        <v>46318</v>
      </c>
      <c r="D31" s="78">
        <f t="shared" si="1"/>
        <v>68</v>
      </c>
      <c r="E31" s="77">
        <v>72667</v>
      </c>
      <c r="F31" s="78">
        <f t="shared" si="1"/>
        <v>106</v>
      </c>
      <c r="G31" s="86">
        <v>8842</v>
      </c>
      <c r="H31" s="78">
        <f t="shared" ref="H31" si="98">(G31-G30)</f>
        <v>3</v>
      </c>
      <c r="I31" s="77">
        <v>16623</v>
      </c>
      <c r="J31" s="78">
        <f t="shared" ref="J31" si="99">(I31-I30)</f>
        <v>29</v>
      </c>
      <c r="K31" s="77">
        <v>13475</v>
      </c>
      <c r="L31" s="78">
        <f t="shared" ref="L31" si="100">(K31-K30)</f>
        <v>78</v>
      </c>
      <c r="M31" s="79">
        <f t="shared" si="5"/>
        <v>42.900000000000006</v>
      </c>
      <c r="N31" s="79">
        <f t="shared" si="6"/>
        <v>35.1</v>
      </c>
      <c r="O31" s="77">
        <v>25399</v>
      </c>
      <c r="P31" s="78">
        <f t="shared" ref="P31" si="101">(O31-O30)</f>
        <v>89</v>
      </c>
      <c r="R31" s="110">
        <f t="shared" si="8"/>
        <v>248.9</v>
      </c>
      <c r="S31" s="100">
        <f t="shared" si="9"/>
        <v>124.1</v>
      </c>
    </row>
    <row r="32" spans="1:19" ht="39.950000000000003" customHeight="1">
      <c r="A32" s="194">
        <v>44618</v>
      </c>
      <c r="B32" s="85"/>
      <c r="C32" s="77">
        <v>46388</v>
      </c>
      <c r="D32" s="78">
        <f t="shared" si="1"/>
        <v>70</v>
      </c>
      <c r="E32" s="77">
        <v>72767</v>
      </c>
      <c r="F32" s="78">
        <f t="shared" si="1"/>
        <v>100</v>
      </c>
      <c r="G32" s="86">
        <v>8844</v>
      </c>
      <c r="H32" s="78">
        <f t="shared" ref="H32" si="102">(G32-G31)</f>
        <v>2</v>
      </c>
      <c r="I32" s="77">
        <v>16636</v>
      </c>
      <c r="J32" s="78">
        <f t="shared" ref="J32" si="103">(I32-I31)</f>
        <v>13</v>
      </c>
      <c r="K32" s="77">
        <v>13565</v>
      </c>
      <c r="L32" s="78">
        <f t="shared" ref="L32" si="104">(K32-K31)</f>
        <v>90</v>
      </c>
      <c r="M32" s="79">
        <f t="shared" si="5"/>
        <v>49.500000000000007</v>
      </c>
      <c r="N32" s="79">
        <f t="shared" si="6"/>
        <v>40.5</v>
      </c>
      <c r="O32" s="77">
        <v>25495</v>
      </c>
      <c r="P32" s="78">
        <f t="shared" ref="P32" si="105">(O32-O31)</f>
        <v>96</v>
      </c>
      <c r="R32" s="110">
        <f t="shared" si="8"/>
        <v>234.5</v>
      </c>
      <c r="S32" s="100">
        <f t="shared" si="9"/>
        <v>136.5</v>
      </c>
    </row>
    <row r="33" spans="1:19" ht="39.950000000000003" customHeight="1">
      <c r="A33" s="194">
        <v>44619</v>
      </c>
      <c r="B33" s="85"/>
      <c r="C33" s="77">
        <v>46457</v>
      </c>
      <c r="D33" s="78">
        <f t="shared" si="1"/>
        <v>69</v>
      </c>
      <c r="E33" s="77">
        <v>72896</v>
      </c>
      <c r="F33" s="78">
        <f t="shared" si="1"/>
        <v>129</v>
      </c>
      <c r="G33" s="86">
        <v>8858.8217000000004</v>
      </c>
      <c r="H33" s="78">
        <f t="shared" ref="H33" si="106">(G33-G32)</f>
        <v>14.821700000000419</v>
      </c>
      <c r="I33" s="77">
        <v>16592</v>
      </c>
      <c r="J33" s="78">
        <f t="shared" ref="J33" si="107">(I33-I32)</f>
        <v>-44</v>
      </c>
      <c r="K33" s="77">
        <v>13638</v>
      </c>
      <c r="L33" s="78">
        <f t="shared" ref="L33" si="108">(K33-K32)</f>
        <v>73</v>
      </c>
      <c r="M33" s="79">
        <f t="shared" si="5"/>
        <v>40.150000000000006</v>
      </c>
      <c r="N33" s="79">
        <f t="shared" si="6"/>
        <v>32.85</v>
      </c>
      <c r="O33" s="77">
        <v>25582</v>
      </c>
      <c r="P33" s="78">
        <f t="shared" ref="P33" si="109">(O33-O32)</f>
        <v>87</v>
      </c>
      <c r="R33" s="110">
        <f t="shared" si="8"/>
        <v>208.97170000000042</v>
      </c>
      <c r="S33" s="100">
        <f t="shared" si="9"/>
        <v>119.85</v>
      </c>
    </row>
    <row r="34" spans="1:19" ht="39.950000000000003" customHeight="1">
      <c r="A34" s="194">
        <v>44620</v>
      </c>
      <c r="B34" s="85"/>
      <c r="C34" s="77">
        <v>46522</v>
      </c>
      <c r="D34" s="78">
        <f t="shared" si="1"/>
        <v>65</v>
      </c>
      <c r="E34" s="77">
        <v>73084</v>
      </c>
      <c r="F34" s="78">
        <f t="shared" si="1"/>
        <v>188</v>
      </c>
      <c r="G34" s="86">
        <v>8867.6324999999997</v>
      </c>
      <c r="H34" s="78">
        <f t="shared" ref="H34" si="110">(G34-G33)</f>
        <v>8.8107999999992899</v>
      </c>
      <c r="I34" s="77">
        <v>16670</v>
      </c>
      <c r="J34" s="78">
        <f t="shared" ref="J34" si="111">(I34-I33)</f>
        <v>78</v>
      </c>
      <c r="K34" s="77">
        <v>13718</v>
      </c>
      <c r="L34" s="78">
        <f t="shared" ref="L34" si="112">(K34-K33)</f>
        <v>80</v>
      </c>
      <c r="M34" s="79">
        <f t="shared" si="5"/>
        <v>44</v>
      </c>
      <c r="N34" s="79">
        <f t="shared" si="6"/>
        <v>36</v>
      </c>
      <c r="O34" s="77">
        <v>25664</v>
      </c>
      <c r="P34" s="78">
        <f t="shared" ref="P34" si="113">(O34-O33)</f>
        <v>82</v>
      </c>
      <c r="R34" s="110">
        <f t="shared" si="8"/>
        <v>383.81079999999929</v>
      </c>
      <c r="S34" s="100">
        <f t="shared" si="9"/>
        <v>118</v>
      </c>
    </row>
    <row r="35" spans="1:19" ht="39.950000000000003" customHeight="1">
      <c r="A35" s="194"/>
      <c r="B35" s="85"/>
      <c r="C35" s="86"/>
      <c r="D35" s="183"/>
      <c r="E35" s="86"/>
      <c r="F35" s="78"/>
      <c r="G35" s="86"/>
      <c r="H35" s="79"/>
      <c r="I35" s="86"/>
      <c r="J35" s="78"/>
      <c r="K35" s="86"/>
      <c r="L35" s="78"/>
      <c r="M35" s="79"/>
      <c r="N35" s="79"/>
      <c r="O35" s="86"/>
      <c r="P35" s="183"/>
      <c r="R35" s="110"/>
      <c r="S35" s="100"/>
    </row>
    <row r="36" spans="1:19" ht="39.950000000000003" customHeight="1">
      <c r="A36" s="194"/>
      <c r="B36" s="85"/>
      <c r="C36" s="77"/>
      <c r="D36" s="78"/>
      <c r="E36" s="77"/>
      <c r="F36" s="78"/>
      <c r="G36" s="86"/>
      <c r="H36" s="79"/>
      <c r="I36" s="77"/>
      <c r="J36" s="78"/>
      <c r="K36" s="77"/>
      <c r="L36" s="78"/>
      <c r="M36" s="79"/>
      <c r="N36" s="79"/>
      <c r="O36" s="77"/>
      <c r="P36" s="78"/>
      <c r="R36" s="110"/>
      <c r="S36" s="100"/>
    </row>
    <row r="37" spans="1:19" ht="39.950000000000003" customHeight="1">
      <c r="A37" s="194"/>
      <c r="B37" s="16"/>
      <c r="C37" s="76"/>
      <c r="D37" s="78"/>
      <c r="E37" s="76"/>
      <c r="F37" s="78"/>
      <c r="G37" s="195"/>
      <c r="H37" s="79"/>
      <c r="I37" s="76"/>
      <c r="J37" s="78"/>
      <c r="K37" s="76"/>
      <c r="L37" s="78"/>
      <c r="M37" s="79"/>
      <c r="N37" s="79"/>
      <c r="O37" s="76"/>
      <c r="P37" s="78"/>
      <c r="R37" s="110"/>
      <c r="S37" s="100"/>
    </row>
    <row r="38" spans="1:19" s="22" customFormat="1" ht="39.950000000000003" customHeight="1">
      <c r="A38" s="21"/>
      <c r="D38" s="23">
        <f>SUM(D7:D37)</f>
        <v>3519</v>
      </c>
      <c r="F38" s="23">
        <f>SUM(F7:F37)</f>
        <v>6095</v>
      </c>
      <c r="H38" s="23">
        <f>SUM(H7:H37)</f>
        <v>282.63249999999971</v>
      </c>
      <c r="J38" s="23">
        <f>SUM(J7:J37)</f>
        <v>196</v>
      </c>
      <c r="L38" s="23">
        <f>SUM(L7:L37)</f>
        <v>3020</v>
      </c>
      <c r="M38" s="23"/>
      <c r="N38" s="23"/>
      <c r="P38" s="23">
        <f>SUM(P7:P37)</f>
        <v>2633</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0" zoomScaleNormal="50" workbookViewId="0">
      <pane xSplit="2" ySplit="7" topLeftCell="AB8" activePane="bottomRight" state="frozen"/>
      <selection pane="topRight" activeCell="C1" sqref="C1"/>
      <selection pane="bottomLeft" activeCell="A8" sqref="A8"/>
      <selection pane="bottomRight" activeCell="AO23" sqref="AO23"/>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12" t="s">
        <v>63</v>
      </c>
      <c r="D1" s="212"/>
      <c r="E1" s="212"/>
      <c r="F1" s="212"/>
      <c r="G1" s="212" t="s">
        <v>62</v>
      </c>
      <c r="H1" s="212"/>
      <c r="I1" s="212" t="s">
        <v>62</v>
      </c>
      <c r="J1" s="212"/>
      <c r="K1" s="212" t="s">
        <v>62</v>
      </c>
      <c r="L1" s="212"/>
      <c r="M1" s="212" t="s">
        <v>62</v>
      </c>
      <c r="N1" s="212"/>
      <c r="O1" s="212" t="s">
        <v>62</v>
      </c>
      <c r="P1" s="212"/>
      <c r="Q1" s="225" t="s">
        <v>62</v>
      </c>
      <c r="R1" s="226"/>
      <c r="S1" s="225" t="s">
        <v>62</v>
      </c>
      <c r="T1" s="226"/>
      <c r="U1" s="225" t="s">
        <v>62</v>
      </c>
      <c r="V1" s="226"/>
      <c r="W1" s="225" t="s">
        <v>62</v>
      </c>
      <c r="X1" s="227"/>
      <c r="Y1" s="212" t="s">
        <v>62</v>
      </c>
      <c r="Z1" s="212"/>
      <c r="AA1" s="225" t="s">
        <v>62</v>
      </c>
      <c r="AB1" s="226"/>
      <c r="AC1" s="212" t="s">
        <v>62</v>
      </c>
      <c r="AD1" s="212"/>
      <c r="AE1" s="212" t="s">
        <v>62</v>
      </c>
      <c r="AF1" s="212"/>
      <c r="AG1" s="212" t="s">
        <v>62</v>
      </c>
      <c r="AH1" s="212"/>
      <c r="AI1" s="212" t="s">
        <v>62</v>
      </c>
      <c r="AJ1" s="212"/>
      <c r="AK1" s="212" t="s">
        <v>62</v>
      </c>
      <c r="AL1" s="212"/>
      <c r="AM1" s="212" t="s">
        <v>64</v>
      </c>
      <c r="AN1" s="212"/>
      <c r="AO1" s="212" t="s">
        <v>64</v>
      </c>
      <c r="AP1" s="212"/>
      <c r="AQ1" s="212" t="s">
        <v>64</v>
      </c>
      <c r="AR1" s="212"/>
      <c r="AS1" s="212" t="s">
        <v>64</v>
      </c>
      <c r="AT1" s="212"/>
      <c r="AU1" s="212" t="s">
        <v>64</v>
      </c>
      <c r="AV1" s="212"/>
      <c r="AW1" s="212" t="s">
        <v>64</v>
      </c>
      <c r="AX1" s="212"/>
      <c r="AY1" s="212" t="s">
        <v>64</v>
      </c>
      <c r="AZ1" s="212"/>
      <c r="BA1" s="212" t="s">
        <v>64</v>
      </c>
      <c r="BB1" s="212"/>
      <c r="BC1" s="212" t="s">
        <v>64</v>
      </c>
      <c r="BD1" s="212"/>
      <c r="BE1" s="212" t="s">
        <v>64</v>
      </c>
      <c r="BF1" s="212"/>
      <c r="BH1" s="33"/>
      <c r="BI1" s="33"/>
    </row>
    <row r="2" spans="1:61" s="25" customFormat="1" ht="75.75" customHeight="1">
      <c r="A2" s="50"/>
      <c r="B2" s="50"/>
      <c r="C2" s="247" t="s">
        <v>113</v>
      </c>
      <c r="D2" s="247"/>
      <c r="E2" s="247"/>
      <c r="F2" s="247"/>
      <c r="G2" s="247" t="s">
        <v>114</v>
      </c>
      <c r="H2" s="247"/>
      <c r="I2" s="247" t="s">
        <v>115</v>
      </c>
      <c r="J2" s="247"/>
      <c r="K2" s="247" t="s">
        <v>116</v>
      </c>
      <c r="L2" s="247"/>
      <c r="M2" s="247" t="s">
        <v>117</v>
      </c>
      <c r="N2" s="247"/>
      <c r="O2" s="253" t="s">
        <v>118</v>
      </c>
      <c r="P2" s="255"/>
      <c r="Q2" s="253" t="s">
        <v>119</v>
      </c>
      <c r="R2" s="255"/>
      <c r="S2" s="253" t="s">
        <v>120</v>
      </c>
      <c r="T2" s="255"/>
      <c r="U2" s="253" t="s">
        <v>121</v>
      </c>
      <c r="V2" s="255"/>
      <c r="W2" s="253" t="s">
        <v>122</v>
      </c>
      <c r="X2" s="254"/>
      <c r="Y2" s="247" t="s">
        <v>123</v>
      </c>
      <c r="Z2" s="247"/>
      <c r="AA2" s="253" t="s">
        <v>124</v>
      </c>
      <c r="AB2" s="255"/>
      <c r="AC2" s="247" t="s">
        <v>125</v>
      </c>
      <c r="AD2" s="247"/>
      <c r="AE2" s="247" t="s">
        <v>126</v>
      </c>
      <c r="AF2" s="247"/>
      <c r="AG2" s="247" t="s">
        <v>126</v>
      </c>
      <c r="AH2" s="247"/>
      <c r="AI2" s="247" t="s">
        <v>126</v>
      </c>
      <c r="AJ2" s="247"/>
      <c r="AK2" s="247" t="s">
        <v>126</v>
      </c>
      <c r="AL2" s="247"/>
      <c r="AM2" s="247" t="s">
        <v>127</v>
      </c>
      <c r="AN2" s="247"/>
      <c r="AO2" s="247" t="s">
        <v>128</v>
      </c>
      <c r="AP2" s="247"/>
      <c r="AQ2" s="247" t="s">
        <v>129</v>
      </c>
      <c r="AR2" s="247"/>
      <c r="AS2" s="247" t="s">
        <v>129</v>
      </c>
      <c r="AT2" s="247"/>
      <c r="AU2" s="247" t="s">
        <v>130</v>
      </c>
      <c r="AV2" s="247"/>
      <c r="AW2" s="247" t="s">
        <v>131</v>
      </c>
      <c r="AX2" s="247"/>
      <c r="AY2" s="247" t="s">
        <v>132</v>
      </c>
      <c r="AZ2" s="247"/>
      <c r="BA2" s="247" t="s">
        <v>132</v>
      </c>
      <c r="BB2" s="247"/>
      <c r="BC2" s="247" t="s">
        <v>133</v>
      </c>
      <c r="BD2" s="247"/>
      <c r="BE2" s="247" t="s">
        <v>133</v>
      </c>
      <c r="BF2" s="247"/>
      <c r="BH2" s="33"/>
      <c r="BI2" s="33"/>
    </row>
    <row r="3" spans="1:61" s="10" customFormat="1" ht="87.75" customHeight="1">
      <c r="A3" s="111"/>
      <c r="B3" s="111"/>
      <c r="C3" s="240" t="s">
        <v>134</v>
      </c>
      <c r="D3" s="241"/>
      <c r="E3" s="111" t="s">
        <v>62</v>
      </c>
      <c r="F3" s="113" t="s">
        <v>64</v>
      </c>
      <c r="G3" s="244" t="s">
        <v>135</v>
      </c>
      <c r="H3" s="245"/>
      <c r="I3" s="244" t="s">
        <v>135</v>
      </c>
      <c r="J3" s="245"/>
      <c r="K3" s="244" t="s">
        <v>135</v>
      </c>
      <c r="L3" s="245"/>
      <c r="M3" s="242" t="s">
        <v>136</v>
      </c>
      <c r="N3" s="243"/>
      <c r="O3" s="244" t="s">
        <v>135</v>
      </c>
      <c r="P3" s="245"/>
      <c r="Q3" s="244" t="s">
        <v>135</v>
      </c>
      <c r="R3" s="245"/>
      <c r="S3" s="251" t="s">
        <v>135</v>
      </c>
      <c r="T3" s="252"/>
      <c r="U3" s="244" t="s">
        <v>135</v>
      </c>
      <c r="V3" s="245"/>
      <c r="W3" s="244" t="s">
        <v>135</v>
      </c>
      <c r="X3" s="245"/>
      <c r="Y3" s="246" t="s">
        <v>137</v>
      </c>
      <c r="Z3" s="245"/>
      <c r="AA3" s="244" t="s">
        <v>138</v>
      </c>
      <c r="AB3" s="245"/>
      <c r="AC3" s="246" t="s">
        <v>139</v>
      </c>
      <c r="AD3" s="248"/>
      <c r="AE3" s="246" t="s">
        <v>139</v>
      </c>
      <c r="AF3" s="248"/>
      <c r="AG3" s="246" t="s">
        <v>140</v>
      </c>
      <c r="AH3" s="245"/>
      <c r="AI3" s="244" t="s">
        <v>141</v>
      </c>
      <c r="AJ3" s="245"/>
      <c r="AK3" s="246" t="s">
        <v>142</v>
      </c>
      <c r="AL3" s="245"/>
      <c r="AM3" s="244" t="s">
        <v>143</v>
      </c>
      <c r="AN3" s="245"/>
      <c r="AO3" s="244" t="s">
        <v>143</v>
      </c>
      <c r="AP3" s="245"/>
      <c r="AQ3" s="246" t="s">
        <v>144</v>
      </c>
      <c r="AR3" s="245"/>
      <c r="AS3" s="244" t="s">
        <v>145</v>
      </c>
      <c r="AT3" s="245"/>
      <c r="AU3" s="246" t="s">
        <v>146</v>
      </c>
      <c r="AV3" s="245"/>
      <c r="AW3" s="246" t="s">
        <v>146</v>
      </c>
      <c r="AX3" s="245"/>
      <c r="AY3" s="244" t="s">
        <v>141</v>
      </c>
      <c r="AZ3" s="245"/>
      <c r="BA3" s="246" t="s">
        <v>142</v>
      </c>
      <c r="BB3" s="245"/>
      <c r="BC3" s="244" t="s">
        <v>141</v>
      </c>
      <c r="BD3" s="245"/>
      <c r="BE3" s="246" t="s">
        <v>142</v>
      </c>
      <c r="BF3" s="245"/>
      <c r="BH3" s="33"/>
      <c r="BI3" s="33"/>
    </row>
    <row r="4" spans="1:61" s="25" customFormat="1" ht="50.1" customHeight="1">
      <c r="A4" s="111"/>
      <c r="B4" s="50"/>
      <c r="C4" s="213" t="s">
        <v>147</v>
      </c>
      <c r="D4" s="215"/>
      <c r="E4" s="249" t="s">
        <v>148</v>
      </c>
      <c r="F4" s="250"/>
      <c r="G4" s="213" t="s">
        <v>149</v>
      </c>
      <c r="H4" s="215"/>
      <c r="I4" s="213" t="s">
        <v>150</v>
      </c>
      <c r="J4" s="215"/>
      <c r="K4" s="213" t="s">
        <v>151</v>
      </c>
      <c r="L4" s="215"/>
      <c r="M4" s="213">
        <v>7092801222</v>
      </c>
      <c r="N4" s="215"/>
      <c r="O4" s="213" t="s">
        <v>152</v>
      </c>
      <c r="P4" s="214"/>
      <c r="Q4" s="213" t="s">
        <v>153</v>
      </c>
      <c r="R4" s="214"/>
      <c r="S4" s="213" t="s">
        <v>154</v>
      </c>
      <c r="T4" s="214"/>
      <c r="U4" s="213" t="s">
        <v>155</v>
      </c>
      <c r="V4" s="214"/>
      <c r="W4" s="213" t="s">
        <v>156</v>
      </c>
      <c r="X4" s="215"/>
      <c r="Y4" s="213" t="s">
        <v>157</v>
      </c>
      <c r="Z4" s="215"/>
      <c r="AA4" s="213" t="s">
        <v>158</v>
      </c>
      <c r="AB4" s="214"/>
      <c r="AC4" s="213" t="s">
        <v>159</v>
      </c>
      <c r="AD4" s="215"/>
      <c r="AE4" s="213" t="s">
        <v>160</v>
      </c>
      <c r="AF4" s="215"/>
      <c r="AG4" s="213" t="s">
        <v>161</v>
      </c>
      <c r="AH4" s="215"/>
      <c r="AI4" s="213">
        <v>7105826734</v>
      </c>
      <c r="AJ4" s="215"/>
      <c r="AK4" s="213">
        <v>7105825932</v>
      </c>
      <c r="AL4" s="215"/>
      <c r="AM4" s="213" t="s">
        <v>162</v>
      </c>
      <c r="AN4" s="215"/>
      <c r="AO4" s="213" t="s">
        <v>163</v>
      </c>
      <c r="AP4" s="215"/>
      <c r="AQ4" s="213" t="s">
        <v>164</v>
      </c>
      <c r="AR4" s="215"/>
      <c r="AS4" s="213" t="s">
        <v>165</v>
      </c>
      <c r="AT4" s="215"/>
      <c r="AU4" s="213" t="s">
        <v>166</v>
      </c>
      <c r="AV4" s="215"/>
      <c r="AW4" s="213" t="s">
        <v>167</v>
      </c>
      <c r="AX4" s="215"/>
      <c r="AY4" s="213">
        <v>7111912486</v>
      </c>
      <c r="AZ4" s="215"/>
      <c r="BA4" s="213">
        <v>7111911842</v>
      </c>
      <c r="BB4" s="215"/>
      <c r="BC4" s="213">
        <v>7111913281</v>
      </c>
      <c r="BD4" s="215"/>
      <c r="BE4" s="213">
        <v>7111912723</v>
      </c>
      <c r="BF4" s="215"/>
      <c r="BH4" s="210" t="s">
        <v>78</v>
      </c>
      <c r="BI4" s="210"/>
    </row>
    <row r="5" spans="1:61" s="25" customFormat="1" ht="50.1" customHeight="1">
      <c r="A5" s="50" t="s">
        <v>168</v>
      </c>
      <c r="B5" s="50"/>
      <c r="C5" s="213" t="s">
        <v>169</v>
      </c>
      <c r="D5" s="215"/>
      <c r="E5" s="83">
        <v>0.53</v>
      </c>
      <c r="F5" s="31">
        <v>0.47</v>
      </c>
      <c r="G5" s="213" t="s">
        <v>170</v>
      </c>
      <c r="H5" s="215"/>
      <c r="I5" s="213" t="s">
        <v>171</v>
      </c>
      <c r="J5" s="215"/>
      <c r="K5" s="213" t="s">
        <v>172</v>
      </c>
      <c r="L5" s="215"/>
      <c r="M5" s="213" t="s">
        <v>173</v>
      </c>
      <c r="N5" s="215"/>
      <c r="O5" s="213" t="s">
        <v>174</v>
      </c>
      <c r="P5" s="214"/>
      <c r="Q5" s="213" t="s">
        <v>175</v>
      </c>
      <c r="R5" s="214"/>
      <c r="S5" s="213" t="s">
        <v>176</v>
      </c>
      <c r="T5" s="214"/>
      <c r="U5" s="213" t="s">
        <v>177</v>
      </c>
      <c r="V5" s="214"/>
      <c r="W5" s="213" t="s">
        <v>178</v>
      </c>
      <c r="X5" s="215"/>
      <c r="Y5" s="213" t="s">
        <v>179</v>
      </c>
      <c r="Z5" s="215"/>
      <c r="AA5" s="213" t="s">
        <v>180</v>
      </c>
      <c r="AB5" s="214"/>
      <c r="AC5" s="213" t="s">
        <v>181</v>
      </c>
      <c r="AD5" s="215"/>
      <c r="AE5" s="213" t="s">
        <v>182</v>
      </c>
      <c r="AF5" s="215"/>
      <c r="AG5" s="213" t="s">
        <v>183</v>
      </c>
      <c r="AH5" s="215"/>
      <c r="AI5" s="213" t="s">
        <v>184</v>
      </c>
      <c r="AJ5" s="215"/>
      <c r="AK5" s="213" t="s">
        <v>185</v>
      </c>
      <c r="AL5" s="215"/>
      <c r="AM5" s="213" t="s">
        <v>186</v>
      </c>
      <c r="AN5" s="215"/>
      <c r="AO5" s="213" t="s">
        <v>187</v>
      </c>
      <c r="AP5" s="215"/>
      <c r="AQ5" s="213" t="s">
        <v>188</v>
      </c>
      <c r="AR5" s="215"/>
      <c r="AS5" s="213" t="s">
        <v>189</v>
      </c>
      <c r="AT5" s="215"/>
      <c r="AU5" s="213" t="s">
        <v>190</v>
      </c>
      <c r="AV5" s="215"/>
      <c r="AW5" s="213" t="s">
        <v>191</v>
      </c>
      <c r="AX5" s="215"/>
      <c r="AY5" s="213">
        <v>744483</v>
      </c>
      <c r="AZ5" s="215"/>
      <c r="BA5" s="213">
        <v>119314</v>
      </c>
      <c r="BB5" s="215"/>
      <c r="BC5" s="213">
        <v>1053229</v>
      </c>
      <c r="BD5" s="215"/>
      <c r="BE5" s="213">
        <v>1053215</v>
      </c>
      <c r="BF5" s="215"/>
      <c r="BH5" s="210"/>
      <c r="BI5" s="210"/>
    </row>
    <row r="6" spans="1:61" s="8" customFormat="1" ht="30" customHeight="1">
      <c r="A6" s="111" t="s">
        <v>93</v>
      </c>
      <c r="B6" s="51"/>
      <c r="C6" s="219"/>
      <c r="D6" s="220"/>
      <c r="E6" s="84"/>
      <c r="F6" s="116"/>
      <c r="G6" s="111"/>
      <c r="H6" s="51"/>
      <c r="I6" s="219"/>
      <c r="J6" s="220"/>
      <c r="K6" s="219"/>
      <c r="L6" s="220"/>
      <c r="M6" s="219"/>
      <c r="N6" s="220"/>
      <c r="O6" s="219"/>
      <c r="P6" s="224"/>
      <c r="Q6" s="219"/>
      <c r="R6" s="224"/>
      <c r="S6" s="219"/>
      <c r="T6" s="224"/>
      <c r="U6" s="219"/>
      <c r="V6" s="224"/>
      <c r="W6" s="219"/>
      <c r="X6" s="220"/>
      <c r="Y6" s="219"/>
      <c r="Z6" s="220"/>
      <c r="AA6" s="219"/>
      <c r="AB6" s="224"/>
      <c r="AC6" s="219"/>
      <c r="AD6" s="220"/>
      <c r="AE6" s="219"/>
      <c r="AF6" s="220"/>
      <c r="AG6" s="219"/>
      <c r="AH6" s="220"/>
      <c r="AI6" s="219"/>
      <c r="AJ6" s="220"/>
      <c r="AK6" s="219"/>
      <c r="AL6" s="220"/>
      <c r="AM6" s="219"/>
      <c r="AN6" s="220"/>
      <c r="AO6" s="219"/>
      <c r="AP6" s="220"/>
      <c r="AQ6" s="219"/>
      <c r="AR6" s="220"/>
      <c r="AS6" s="219"/>
      <c r="AT6" s="220"/>
      <c r="AU6" s="219"/>
      <c r="AV6" s="220"/>
      <c r="AW6" s="219"/>
      <c r="AX6" s="220"/>
      <c r="AY6" s="219"/>
      <c r="AZ6" s="220"/>
      <c r="BA6" s="219"/>
      <c r="BB6" s="220"/>
      <c r="BC6" s="219"/>
      <c r="BD6" s="220"/>
      <c r="BE6" s="219"/>
      <c r="BF6" s="220"/>
      <c r="BH6" s="33"/>
      <c r="BI6" s="33"/>
    </row>
    <row r="7" spans="1:61" s="10" customFormat="1" ht="50.1" customHeight="1">
      <c r="A7" s="111" t="s">
        <v>96</v>
      </c>
      <c r="B7" s="111"/>
      <c r="C7" s="111" t="s">
        <v>111</v>
      </c>
      <c r="D7" s="111" t="s">
        <v>192</v>
      </c>
      <c r="E7" s="111" t="s">
        <v>192</v>
      </c>
      <c r="F7" s="111" t="s">
        <v>192</v>
      </c>
      <c r="G7" s="111" t="s">
        <v>111</v>
      </c>
      <c r="H7" s="111" t="s">
        <v>192</v>
      </c>
      <c r="I7" s="111" t="s">
        <v>111</v>
      </c>
      <c r="J7" s="111" t="s">
        <v>192</v>
      </c>
      <c r="K7" s="111" t="s">
        <v>111</v>
      </c>
      <c r="L7" s="111" t="s">
        <v>192</v>
      </c>
      <c r="M7" s="111" t="s">
        <v>111</v>
      </c>
      <c r="N7" s="111" t="s">
        <v>192</v>
      </c>
      <c r="O7" s="111" t="s">
        <v>111</v>
      </c>
      <c r="P7" s="111" t="s">
        <v>192</v>
      </c>
      <c r="Q7" s="111" t="s">
        <v>111</v>
      </c>
      <c r="R7" s="111" t="s">
        <v>192</v>
      </c>
      <c r="S7" s="111" t="s">
        <v>111</v>
      </c>
      <c r="T7" s="111" t="s">
        <v>192</v>
      </c>
      <c r="U7" s="111" t="s">
        <v>111</v>
      </c>
      <c r="V7" s="111" t="s">
        <v>192</v>
      </c>
      <c r="W7" s="111" t="s">
        <v>111</v>
      </c>
      <c r="X7" s="111" t="s">
        <v>192</v>
      </c>
      <c r="Y7" s="111" t="s">
        <v>111</v>
      </c>
      <c r="Z7" s="111" t="s">
        <v>192</v>
      </c>
      <c r="AA7" s="111" t="s">
        <v>111</v>
      </c>
      <c r="AB7" s="111" t="s">
        <v>192</v>
      </c>
      <c r="AC7" s="111" t="s">
        <v>111</v>
      </c>
      <c r="AD7" s="111" t="s">
        <v>192</v>
      </c>
      <c r="AE7" s="13" t="s">
        <v>111</v>
      </c>
      <c r="AF7" s="111" t="s">
        <v>192</v>
      </c>
      <c r="AG7" s="13" t="s">
        <v>111</v>
      </c>
      <c r="AH7" s="111" t="s">
        <v>192</v>
      </c>
      <c r="AI7" s="13" t="s">
        <v>111</v>
      </c>
      <c r="AJ7" s="111" t="s">
        <v>192</v>
      </c>
      <c r="AK7" s="13" t="s">
        <v>111</v>
      </c>
      <c r="AL7" s="111" t="s">
        <v>192</v>
      </c>
      <c r="AM7" s="13" t="s">
        <v>111</v>
      </c>
      <c r="AN7" s="111" t="s">
        <v>192</v>
      </c>
      <c r="AO7" s="13" t="s">
        <v>111</v>
      </c>
      <c r="AP7" s="111" t="s">
        <v>192</v>
      </c>
      <c r="AQ7" s="13" t="s">
        <v>111</v>
      </c>
      <c r="AR7" s="111" t="s">
        <v>192</v>
      </c>
      <c r="AS7" s="13" t="s">
        <v>111</v>
      </c>
      <c r="AT7" s="111" t="s">
        <v>192</v>
      </c>
      <c r="AU7" s="13" t="s">
        <v>111</v>
      </c>
      <c r="AV7" s="111" t="s">
        <v>192</v>
      </c>
      <c r="AW7" s="13" t="s">
        <v>111</v>
      </c>
      <c r="AX7" s="111" t="s">
        <v>192</v>
      </c>
      <c r="AY7" s="13" t="s">
        <v>111</v>
      </c>
      <c r="AZ7" s="111" t="s">
        <v>192</v>
      </c>
      <c r="BA7" s="13" t="s">
        <v>111</v>
      </c>
      <c r="BB7" s="111" t="s">
        <v>192</v>
      </c>
      <c r="BC7" s="13" t="s">
        <v>111</v>
      </c>
      <c r="BD7" s="111" t="s">
        <v>192</v>
      </c>
      <c r="BE7" s="13" t="s">
        <v>111</v>
      </c>
      <c r="BF7" s="111" t="s">
        <v>192</v>
      </c>
      <c r="BH7" s="111" t="s">
        <v>62</v>
      </c>
      <c r="BI7" s="111" t="s">
        <v>64</v>
      </c>
    </row>
    <row r="8" spans="1:61" s="36" customFormat="1" ht="39.950000000000003" customHeight="1">
      <c r="A8" s="194">
        <v>44592</v>
      </c>
      <c r="B8" s="35"/>
      <c r="C8" s="80">
        <v>6646334</v>
      </c>
      <c r="D8" s="107"/>
      <c r="E8" s="108"/>
      <c r="F8" s="107"/>
      <c r="G8" s="80">
        <v>292035</v>
      </c>
      <c r="H8" s="107"/>
      <c r="I8" s="80">
        <v>168367</v>
      </c>
      <c r="J8" s="38"/>
      <c r="K8" s="80">
        <v>268094</v>
      </c>
      <c r="L8" s="107"/>
      <c r="M8" s="80">
        <v>25266</v>
      </c>
      <c r="N8" s="38"/>
      <c r="O8" s="80">
        <v>313610</v>
      </c>
      <c r="P8" s="38"/>
      <c r="Q8" s="80">
        <v>470293</v>
      </c>
      <c r="R8" s="107"/>
      <c r="S8" s="80">
        <v>752084</v>
      </c>
      <c r="T8" s="107"/>
      <c r="U8" s="80">
        <v>4281</v>
      </c>
      <c r="V8" s="107"/>
      <c r="W8" s="80">
        <v>84279</v>
      </c>
      <c r="X8" s="107"/>
      <c r="Y8" s="80">
        <v>1518180</v>
      </c>
      <c r="Z8" s="107"/>
      <c r="AA8" s="80">
        <v>13885</v>
      </c>
      <c r="AB8" s="107"/>
      <c r="AC8" s="80">
        <v>485127</v>
      </c>
      <c r="AD8" s="107"/>
      <c r="AE8" s="80">
        <v>557212</v>
      </c>
      <c r="AF8" s="107"/>
      <c r="AG8" s="80">
        <v>49787</v>
      </c>
      <c r="AH8" s="107"/>
      <c r="AI8" s="80">
        <v>435006</v>
      </c>
      <c r="AJ8" s="107"/>
      <c r="AK8" s="80">
        <v>102770</v>
      </c>
      <c r="AL8" s="107"/>
      <c r="AM8" s="80">
        <v>595124</v>
      </c>
      <c r="AN8" s="107"/>
      <c r="AO8" s="80">
        <v>974237</v>
      </c>
      <c r="AP8" s="107"/>
      <c r="AQ8" s="80">
        <v>88721</v>
      </c>
      <c r="AR8" s="107"/>
      <c r="AS8" s="80">
        <v>2453</v>
      </c>
      <c r="AT8" s="107"/>
      <c r="AU8" s="80">
        <v>939</v>
      </c>
      <c r="AV8" s="107"/>
      <c r="AW8" s="80">
        <v>3110</v>
      </c>
      <c r="AX8" s="107"/>
      <c r="AY8" s="80">
        <v>335683</v>
      </c>
      <c r="AZ8" s="107"/>
      <c r="BA8" s="80">
        <v>161101</v>
      </c>
      <c r="BB8" s="107"/>
      <c r="BC8" s="80">
        <v>228448</v>
      </c>
      <c r="BD8" s="107"/>
      <c r="BE8" s="80">
        <v>5347</v>
      </c>
      <c r="BF8" s="107"/>
      <c r="BH8" s="109"/>
      <c r="BI8" s="109"/>
    </row>
    <row r="9" spans="1:61" s="29" customFormat="1" ht="39.950000000000003" customHeight="1">
      <c r="A9" s="194">
        <v>44593</v>
      </c>
      <c r="B9" s="28"/>
      <c r="C9" s="81">
        <v>6650295</v>
      </c>
      <c r="D9" s="38">
        <f>(+C9-+C8)*48</f>
        <v>190128</v>
      </c>
      <c r="E9" s="108">
        <f>D9*E5</f>
        <v>100767.84000000001</v>
      </c>
      <c r="F9" s="107">
        <f>D9*F5</f>
        <v>89360.159999999989</v>
      </c>
      <c r="G9" s="81">
        <v>292065</v>
      </c>
      <c r="H9" s="38">
        <f>(+G9-+G8)*48</f>
        <v>1440</v>
      </c>
      <c r="I9" s="81">
        <v>168529</v>
      </c>
      <c r="J9" s="38">
        <f>(+I9-+I8)*48</f>
        <v>7776</v>
      </c>
      <c r="K9" s="81">
        <v>268139</v>
      </c>
      <c r="L9" s="38">
        <f t="shared" ref="L9:L36" si="0">(+K9-+K8)*48</f>
        <v>2160</v>
      </c>
      <c r="M9" s="81">
        <v>25266</v>
      </c>
      <c r="N9" s="38">
        <f>(+M9-+M8)*48</f>
        <v>0</v>
      </c>
      <c r="O9" s="81">
        <v>313775</v>
      </c>
      <c r="P9" s="38">
        <f>(+O9-+O8)*48</f>
        <v>7920</v>
      </c>
      <c r="Q9" s="81">
        <v>470387</v>
      </c>
      <c r="R9" s="38">
        <f>(+Q9-+Q8)*48</f>
        <v>4512</v>
      </c>
      <c r="S9" s="81">
        <v>752196</v>
      </c>
      <c r="T9" s="38">
        <f>(+S9-+S8)*48</f>
        <v>5376</v>
      </c>
      <c r="U9" s="81">
        <v>4281</v>
      </c>
      <c r="V9" s="107">
        <f>(+U9-+U8)*48</f>
        <v>0</v>
      </c>
      <c r="W9" s="81">
        <v>84279</v>
      </c>
      <c r="X9" s="38">
        <f>(+W9-+W8)*48</f>
        <v>0</v>
      </c>
      <c r="Y9" s="81">
        <v>1518180</v>
      </c>
      <c r="Z9" s="38">
        <f>(+Y9-+Y8)*48</f>
        <v>0</v>
      </c>
      <c r="AA9" s="81">
        <v>13885</v>
      </c>
      <c r="AB9" s="38">
        <f>(+AA9-+AA8)*48</f>
        <v>0</v>
      </c>
      <c r="AC9" s="81">
        <v>485232</v>
      </c>
      <c r="AD9" s="38">
        <f>(+AC9-+AC8)*48</f>
        <v>5040</v>
      </c>
      <c r="AE9" s="81">
        <v>557212</v>
      </c>
      <c r="AF9" s="38">
        <f>(+AE9-+AE8)*48</f>
        <v>0</v>
      </c>
      <c r="AG9" s="81">
        <v>49787</v>
      </c>
      <c r="AH9" s="38">
        <f>(+AG9-+AG8)*48</f>
        <v>0</v>
      </c>
      <c r="AI9" s="81">
        <v>435100</v>
      </c>
      <c r="AJ9" s="38">
        <f>(+AI9-+AI8)*48</f>
        <v>4512</v>
      </c>
      <c r="AK9" s="81">
        <v>102770</v>
      </c>
      <c r="AL9" s="38">
        <f>(+AK9-+AK8)*48</f>
        <v>0</v>
      </c>
      <c r="AM9" s="81">
        <v>595169</v>
      </c>
      <c r="AN9" s="38">
        <f>(+AM9-+AM8)*48</f>
        <v>2160</v>
      </c>
      <c r="AO9" s="81">
        <v>974359</v>
      </c>
      <c r="AP9" s="38">
        <f>(+AO9-+AO8)*48</f>
        <v>5856</v>
      </c>
      <c r="AQ9" s="81">
        <v>88721</v>
      </c>
      <c r="AR9" s="38">
        <f>(+AQ9-+AQ8)*48</f>
        <v>0</v>
      </c>
      <c r="AS9" s="81">
        <v>2453</v>
      </c>
      <c r="AT9" s="38">
        <f>(+AS9-+AS8)*48</f>
        <v>0</v>
      </c>
      <c r="AU9" s="81">
        <v>939</v>
      </c>
      <c r="AV9" s="38">
        <f>(+AU9-+AU8)*48</f>
        <v>0</v>
      </c>
      <c r="AW9" s="81">
        <v>3110</v>
      </c>
      <c r="AX9" s="38">
        <f>(+AW9-+AW8)*48</f>
        <v>0</v>
      </c>
      <c r="AY9" s="81">
        <v>335809</v>
      </c>
      <c r="AZ9" s="38">
        <f>(+AY9-+AY8)*48</f>
        <v>6048</v>
      </c>
      <c r="BA9" s="81">
        <v>161101</v>
      </c>
      <c r="BB9" s="38">
        <f>(+BA9-+BA8)*48</f>
        <v>0</v>
      </c>
      <c r="BC9" s="81">
        <v>228529</v>
      </c>
      <c r="BD9" s="38">
        <f>(+BC9-+BC8)*48</f>
        <v>3888</v>
      </c>
      <c r="BE9" s="81">
        <v>5347</v>
      </c>
      <c r="BF9" s="38">
        <f>(+BE9-+BE8)*48</f>
        <v>0</v>
      </c>
      <c r="BH9" s="109">
        <f t="shared" ref="BH9:BH36" si="1">SUM(E9,J9,P9,H9,L9,R9,T9,V9,X9,N9,AB9,Z9,AD9,AF9,AH9,AL9,AJ9)</f>
        <v>139503.84000000003</v>
      </c>
      <c r="BI9" s="109">
        <f t="shared" ref="BI9:BI36" si="2">SUM(F9,AN9,AP9,AT9,AV9,AX9,AR9,AZ9,BB9,BD9,BF9)</f>
        <v>107312.15999999999</v>
      </c>
    </row>
    <row r="10" spans="1:61" s="36" customFormat="1" ht="39.950000000000003" customHeight="1">
      <c r="A10" s="194">
        <v>44594</v>
      </c>
      <c r="B10" s="35"/>
      <c r="C10" s="81">
        <v>6653911</v>
      </c>
      <c r="D10" s="38">
        <f t="shared" ref="D10" si="3">(+C10-+C9)*48</f>
        <v>173568</v>
      </c>
      <c r="E10" s="108">
        <f>D10*E5</f>
        <v>91991.040000000008</v>
      </c>
      <c r="F10" s="107">
        <f>D10*F5</f>
        <v>81576.959999999992</v>
      </c>
      <c r="G10" s="81">
        <v>292083</v>
      </c>
      <c r="H10" s="38">
        <f t="shared" ref="H10" si="4">(+G10-+G9)*48</f>
        <v>864</v>
      </c>
      <c r="I10" s="81">
        <v>168688</v>
      </c>
      <c r="J10" s="38">
        <f t="shared" ref="J10" si="5">(+I10-+I9)*48</f>
        <v>7632</v>
      </c>
      <c r="K10" s="81">
        <v>268157</v>
      </c>
      <c r="L10" s="38">
        <f t="shared" si="0"/>
        <v>864</v>
      </c>
      <c r="M10" s="81">
        <v>25266</v>
      </c>
      <c r="N10" s="38">
        <f t="shared" ref="N10" si="6">(+M10-+M9)*48</f>
        <v>0</v>
      </c>
      <c r="O10" s="81">
        <v>313941</v>
      </c>
      <c r="P10" s="38">
        <f t="shared" ref="P10" si="7">(+O10-+O9)*48</f>
        <v>7968</v>
      </c>
      <c r="Q10" s="81">
        <v>470456</v>
      </c>
      <c r="R10" s="38">
        <f t="shared" ref="R10" si="8">(+Q10-+Q9)*48</f>
        <v>3312</v>
      </c>
      <c r="S10" s="81">
        <v>752299</v>
      </c>
      <c r="T10" s="38">
        <f t="shared" ref="T10" si="9">(+S10-+S9)*48</f>
        <v>4944</v>
      </c>
      <c r="U10" s="81">
        <v>4281</v>
      </c>
      <c r="V10" s="107">
        <f t="shared" ref="V10" si="10">(+U10-+U9)*48</f>
        <v>0</v>
      </c>
      <c r="W10" s="81">
        <v>84282</v>
      </c>
      <c r="X10" s="38">
        <f t="shared" ref="X10" si="11">(+W10-+W9)*48</f>
        <v>144</v>
      </c>
      <c r="Y10" s="81">
        <v>1518180</v>
      </c>
      <c r="Z10" s="38">
        <f t="shared" ref="Z10" si="12">(+Y10-+Y9)*48</f>
        <v>0</v>
      </c>
      <c r="AA10" s="81">
        <v>13885</v>
      </c>
      <c r="AB10" s="38">
        <f t="shared" ref="AB10" si="13">(+AA10-+AA9)*48</f>
        <v>0</v>
      </c>
      <c r="AC10" s="81">
        <v>485384</v>
      </c>
      <c r="AD10" s="38">
        <f t="shared" ref="AD10:AF36" si="14">(+AC10-+AC9)*48</f>
        <v>7296</v>
      </c>
      <c r="AE10" s="81">
        <v>557218</v>
      </c>
      <c r="AF10" s="38">
        <f t="shared" si="14"/>
        <v>288</v>
      </c>
      <c r="AG10" s="81">
        <v>49787</v>
      </c>
      <c r="AH10" s="38">
        <f t="shared" ref="AH10" si="15">(+AG10-+AG9)*48</f>
        <v>0</v>
      </c>
      <c r="AI10" s="81">
        <v>435188</v>
      </c>
      <c r="AJ10" s="38">
        <f t="shared" ref="AJ10" si="16">(+AI10-+AI9)*48</f>
        <v>4224</v>
      </c>
      <c r="AK10" s="81">
        <v>102770</v>
      </c>
      <c r="AL10" s="38">
        <f t="shared" ref="AL10" si="17">(+AK10-+AK9)*48</f>
        <v>0</v>
      </c>
      <c r="AM10" s="81">
        <v>595249</v>
      </c>
      <c r="AN10" s="38">
        <f t="shared" ref="AN10" si="18">(+AM10-+AM9)*48</f>
        <v>3840</v>
      </c>
      <c r="AO10" s="81">
        <v>974554</v>
      </c>
      <c r="AP10" s="38">
        <f t="shared" ref="AP10" si="19">(+AO10-+AO9)*48</f>
        <v>9360</v>
      </c>
      <c r="AQ10" s="81">
        <v>88721</v>
      </c>
      <c r="AR10" s="38">
        <f t="shared" ref="AR10" si="20">(+AQ10-+AQ9)*48</f>
        <v>0</v>
      </c>
      <c r="AS10" s="81">
        <v>2453</v>
      </c>
      <c r="AT10" s="38">
        <f t="shared" ref="AT10" si="21">(+AS10-+AS9)*48</f>
        <v>0</v>
      </c>
      <c r="AU10" s="81">
        <v>939</v>
      </c>
      <c r="AV10" s="38">
        <f t="shared" ref="AV10" si="22">(+AU10-+AU9)*48</f>
        <v>0</v>
      </c>
      <c r="AW10" s="81">
        <v>3110</v>
      </c>
      <c r="AX10" s="38">
        <f t="shared" ref="AX10" si="23">(+AW10-+AW9)*48</f>
        <v>0</v>
      </c>
      <c r="AY10" s="81">
        <v>335922</v>
      </c>
      <c r="AZ10" s="38">
        <f t="shared" ref="AZ10" si="24">(+AY10-+AY9)*48</f>
        <v>5424</v>
      </c>
      <c r="BA10" s="81">
        <v>161101</v>
      </c>
      <c r="BB10" s="38">
        <f t="shared" ref="BB10" si="25">(+BA10-+BA9)*48</f>
        <v>0</v>
      </c>
      <c r="BC10" s="81">
        <v>228604</v>
      </c>
      <c r="BD10" s="38">
        <f t="shared" ref="BD10" si="26">(+BC10-+BC9)*48</f>
        <v>3600</v>
      </c>
      <c r="BE10" s="81">
        <v>5347</v>
      </c>
      <c r="BF10" s="38">
        <f t="shared" ref="BF10" si="27">(+BE10-+BE9)*48</f>
        <v>0</v>
      </c>
      <c r="BH10" s="109">
        <f t="shared" si="1"/>
        <v>129527.04000000001</v>
      </c>
      <c r="BI10" s="109">
        <f t="shared" si="2"/>
        <v>103800.95999999999</v>
      </c>
    </row>
    <row r="11" spans="1:61" s="36" customFormat="1" ht="39.950000000000003" customHeight="1">
      <c r="A11" s="194">
        <v>44595</v>
      </c>
      <c r="B11" s="35"/>
      <c r="C11" s="81">
        <v>6657396</v>
      </c>
      <c r="D11" s="38">
        <f t="shared" ref="D11" si="28">(+C11-+C10)*48</f>
        <v>167280</v>
      </c>
      <c r="E11" s="108">
        <f>D11*E5</f>
        <v>88658.400000000009</v>
      </c>
      <c r="F11" s="107">
        <f>D11*F5</f>
        <v>78621.599999999991</v>
      </c>
      <c r="G11" s="81">
        <v>292131</v>
      </c>
      <c r="H11" s="38">
        <f t="shared" ref="H11" si="29">(+G11-+G10)*48</f>
        <v>2304</v>
      </c>
      <c r="I11" s="81">
        <v>168850</v>
      </c>
      <c r="J11" s="38">
        <f t="shared" ref="J11" si="30">(+I11-+I10)*48</f>
        <v>7776</v>
      </c>
      <c r="K11" s="81">
        <v>268184</v>
      </c>
      <c r="L11" s="38">
        <f t="shared" si="0"/>
        <v>1296</v>
      </c>
      <c r="M11" s="81">
        <v>25266</v>
      </c>
      <c r="N11" s="38">
        <f t="shared" ref="N11" si="31">(+M11-+M10)*48</f>
        <v>0</v>
      </c>
      <c r="O11" s="81">
        <v>314099</v>
      </c>
      <c r="P11" s="38">
        <f t="shared" ref="P11" si="32">(+O11-+O10)*48</f>
        <v>7584</v>
      </c>
      <c r="Q11" s="81">
        <v>470519</v>
      </c>
      <c r="R11" s="38">
        <f t="shared" ref="R11" si="33">(+Q11-+Q10)*48</f>
        <v>3024</v>
      </c>
      <c r="S11" s="81">
        <v>752395</v>
      </c>
      <c r="T11" s="38">
        <f t="shared" ref="T11" si="34">(+S11-+S10)*48</f>
        <v>4608</v>
      </c>
      <c r="U11" s="81">
        <v>4281</v>
      </c>
      <c r="V11" s="107">
        <f t="shared" ref="V11:V12" si="35">(+U11-+U10)*48</f>
        <v>0</v>
      </c>
      <c r="W11" s="81">
        <v>84285</v>
      </c>
      <c r="X11" s="38">
        <f t="shared" ref="X11" si="36">(+W11-+W10)*48</f>
        <v>144</v>
      </c>
      <c r="Y11" s="81">
        <v>1518180</v>
      </c>
      <c r="Z11" s="38">
        <f t="shared" ref="Z11" si="37">(+Y11-+Y10)*48</f>
        <v>0</v>
      </c>
      <c r="AA11" s="81">
        <v>13885</v>
      </c>
      <c r="AB11" s="38">
        <f t="shared" ref="AB11" si="38">(+AA11-+AA10)*48</f>
        <v>0</v>
      </c>
      <c r="AC11" s="81">
        <v>485557</v>
      </c>
      <c r="AD11" s="38">
        <f t="shared" si="14"/>
        <v>8304</v>
      </c>
      <c r="AE11" s="81">
        <v>557228</v>
      </c>
      <c r="AF11" s="38">
        <f t="shared" si="14"/>
        <v>480</v>
      </c>
      <c r="AG11" s="81">
        <v>49787</v>
      </c>
      <c r="AH11" s="38">
        <f t="shared" ref="AH11" si="39">(+AG11-+AG10)*48</f>
        <v>0</v>
      </c>
      <c r="AI11" s="81">
        <v>435285</v>
      </c>
      <c r="AJ11" s="38">
        <f t="shared" ref="AJ11" si="40">(+AI11-+AI10)*48</f>
        <v>4656</v>
      </c>
      <c r="AK11" s="81">
        <v>102770</v>
      </c>
      <c r="AL11" s="38">
        <f t="shared" ref="AL11" si="41">(+AK11-+AK10)*48</f>
        <v>0</v>
      </c>
      <c r="AM11" s="81">
        <v>595371</v>
      </c>
      <c r="AN11" s="38">
        <f t="shared" ref="AN11" si="42">(+AM11-+AM10)*48</f>
        <v>5856</v>
      </c>
      <c r="AO11" s="81">
        <v>974787</v>
      </c>
      <c r="AP11" s="38">
        <f t="shared" ref="AP11" si="43">(+AO11-+AO10)*48</f>
        <v>11184</v>
      </c>
      <c r="AQ11" s="81">
        <v>88721</v>
      </c>
      <c r="AR11" s="38">
        <f t="shared" ref="AR11" si="44">(+AQ11-+AQ10)*48</f>
        <v>0</v>
      </c>
      <c r="AS11" s="81">
        <v>2453</v>
      </c>
      <c r="AT11" s="38">
        <f t="shared" ref="AT11" si="45">(+AS11-+AS10)*48</f>
        <v>0</v>
      </c>
      <c r="AU11" s="81">
        <v>939</v>
      </c>
      <c r="AV11" s="38">
        <f t="shared" ref="AV11" si="46">(+AU11-+AU10)*48</f>
        <v>0</v>
      </c>
      <c r="AW11" s="81">
        <v>3110</v>
      </c>
      <c r="AX11" s="38">
        <f t="shared" ref="AX11" si="47">(+AW11-+AW10)*48</f>
        <v>0</v>
      </c>
      <c r="AY11" s="81">
        <v>336045</v>
      </c>
      <c r="AZ11" s="38">
        <f t="shared" ref="AZ11" si="48">(+AY11-+AY10)*48</f>
        <v>5904</v>
      </c>
      <c r="BA11" s="81">
        <v>161101</v>
      </c>
      <c r="BB11" s="38">
        <f t="shared" ref="BB11" si="49">(+BA11-+BA10)*48</f>
        <v>0</v>
      </c>
      <c r="BC11" s="81">
        <v>228679</v>
      </c>
      <c r="BD11" s="38">
        <f t="shared" ref="BD11" si="50">(+BC11-+BC10)*48</f>
        <v>3600</v>
      </c>
      <c r="BE11" s="81">
        <v>5347</v>
      </c>
      <c r="BF11" s="38">
        <f t="shared" ref="BF11" si="51">(+BE11-+BE10)*48</f>
        <v>0</v>
      </c>
      <c r="BH11" s="109">
        <f t="shared" si="1"/>
        <v>128834.40000000001</v>
      </c>
      <c r="BI11" s="109">
        <f t="shared" si="2"/>
        <v>105165.59999999999</v>
      </c>
    </row>
    <row r="12" spans="1:61" s="36" customFormat="1" ht="39.950000000000003" customHeight="1">
      <c r="A12" s="194">
        <v>44596</v>
      </c>
      <c r="B12" s="35"/>
      <c r="C12" s="81">
        <v>6661297</v>
      </c>
      <c r="D12" s="38">
        <f t="shared" ref="D12" si="52">(+C12-+C11)*48</f>
        <v>187248</v>
      </c>
      <c r="E12" s="108">
        <f>D12*E5</f>
        <v>99241.44</v>
      </c>
      <c r="F12" s="107">
        <f>D12*F5</f>
        <v>88006.56</v>
      </c>
      <c r="G12" s="81">
        <v>292155</v>
      </c>
      <c r="H12" s="38">
        <f t="shared" ref="H12" si="53">(+G12-+G11)*48</f>
        <v>1152</v>
      </c>
      <c r="I12" s="81">
        <v>169009</v>
      </c>
      <c r="J12" s="38">
        <f t="shared" ref="J12" si="54">(+I12-+I11)*48</f>
        <v>7632</v>
      </c>
      <c r="K12" s="81">
        <v>268198</v>
      </c>
      <c r="L12" s="38">
        <f t="shared" si="0"/>
        <v>672</v>
      </c>
      <c r="M12" s="81">
        <v>25266</v>
      </c>
      <c r="N12" s="38">
        <f t="shared" ref="N12" si="55">(+M12-+M11)*48</f>
        <v>0</v>
      </c>
      <c r="O12" s="81">
        <v>314260</v>
      </c>
      <c r="P12" s="38">
        <f t="shared" ref="P12" si="56">(+O12-+O11)*48</f>
        <v>7728</v>
      </c>
      <c r="Q12" s="81">
        <v>470577</v>
      </c>
      <c r="R12" s="38">
        <f t="shared" ref="R12" si="57">(+Q12-+Q11)*48</f>
        <v>2784</v>
      </c>
      <c r="S12" s="81">
        <v>752493</v>
      </c>
      <c r="T12" s="38">
        <f t="shared" ref="T12" si="58">(+S12-+S11)*48</f>
        <v>4704</v>
      </c>
      <c r="U12" s="81">
        <v>4281</v>
      </c>
      <c r="V12" s="107">
        <f t="shared" si="35"/>
        <v>0</v>
      </c>
      <c r="W12" s="81">
        <v>84286</v>
      </c>
      <c r="X12" s="38">
        <f t="shared" ref="X12" si="59">(+W12-+W11)*48</f>
        <v>48</v>
      </c>
      <c r="Y12" s="81">
        <v>1518180</v>
      </c>
      <c r="Z12" s="38">
        <f t="shared" ref="Z12" si="60">(+Y12-+Y11)*48</f>
        <v>0</v>
      </c>
      <c r="AA12" s="81">
        <v>13885</v>
      </c>
      <c r="AB12" s="38">
        <f t="shared" ref="AB12" si="61">(+AA12-+AA11)*48</f>
        <v>0</v>
      </c>
      <c r="AC12" s="81">
        <v>485710</v>
      </c>
      <c r="AD12" s="38">
        <f t="shared" si="14"/>
        <v>7344</v>
      </c>
      <c r="AE12" s="81">
        <v>557235</v>
      </c>
      <c r="AF12" s="38">
        <f t="shared" si="14"/>
        <v>336</v>
      </c>
      <c r="AG12" s="81">
        <v>49787</v>
      </c>
      <c r="AH12" s="38">
        <f t="shared" ref="AH12" si="62">(+AG12-+AG11)*48</f>
        <v>0</v>
      </c>
      <c r="AI12" s="81">
        <v>435372</v>
      </c>
      <c r="AJ12" s="38">
        <f t="shared" ref="AJ12" si="63">(+AI12-+AI11)*48</f>
        <v>4176</v>
      </c>
      <c r="AK12" s="81">
        <v>102770</v>
      </c>
      <c r="AL12" s="38">
        <f t="shared" ref="AL12" si="64">(+AK12-+AK11)*48</f>
        <v>0</v>
      </c>
      <c r="AM12" s="81">
        <v>595459</v>
      </c>
      <c r="AN12" s="38">
        <f t="shared" ref="AN12" si="65">(+AM12-+AM11)*48</f>
        <v>4224</v>
      </c>
      <c r="AO12" s="81">
        <v>974980</v>
      </c>
      <c r="AP12" s="38">
        <f t="shared" ref="AP12" si="66">(+AO12-+AO11)*48</f>
        <v>9264</v>
      </c>
      <c r="AQ12" s="81">
        <v>88721</v>
      </c>
      <c r="AR12" s="38">
        <f t="shared" ref="AR12" si="67">(+AQ12-+AQ11)*48</f>
        <v>0</v>
      </c>
      <c r="AS12" s="81">
        <v>2453</v>
      </c>
      <c r="AT12" s="38">
        <f t="shared" ref="AT12" si="68">(+AS12-+AS11)*48</f>
        <v>0</v>
      </c>
      <c r="AU12" s="81">
        <v>939</v>
      </c>
      <c r="AV12" s="38">
        <f t="shared" ref="AV12" si="69">(+AU12-+AU11)*48</f>
        <v>0</v>
      </c>
      <c r="AW12" s="81">
        <v>3110</v>
      </c>
      <c r="AX12" s="38">
        <f t="shared" ref="AX12" si="70">(+AW12-+AW11)*48</f>
        <v>0</v>
      </c>
      <c r="AY12" s="81">
        <v>336167</v>
      </c>
      <c r="AZ12" s="38">
        <f t="shared" ref="AZ12" si="71">(+AY12-+AY11)*48</f>
        <v>5856</v>
      </c>
      <c r="BA12" s="81">
        <v>161101</v>
      </c>
      <c r="BB12" s="38">
        <f t="shared" ref="BB12" si="72">(+BA12-+BA11)*48</f>
        <v>0</v>
      </c>
      <c r="BC12" s="81">
        <v>228756</v>
      </c>
      <c r="BD12" s="38">
        <f t="shared" ref="BD12" si="73">(+BC12-+BC11)*48</f>
        <v>3696</v>
      </c>
      <c r="BE12" s="81">
        <v>5347</v>
      </c>
      <c r="BF12" s="38">
        <f t="shared" ref="BF12" si="74">(+BE12-+BE11)*48</f>
        <v>0</v>
      </c>
      <c r="BH12" s="109">
        <f t="shared" si="1"/>
        <v>135817.44</v>
      </c>
      <c r="BI12" s="109">
        <f t="shared" si="2"/>
        <v>111046.56</v>
      </c>
    </row>
    <row r="13" spans="1:61" s="36" customFormat="1" ht="39.950000000000003" customHeight="1">
      <c r="A13" s="194">
        <v>44597</v>
      </c>
      <c r="B13" s="35"/>
      <c r="C13" s="81">
        <v>6665053</v>
      </c>
      <c r="D13" s="38">
        <f t="shared" ref="D13" si="75">(+C13-+C12)*48</f>
        <v>180288</v>
      </c>
      <c r="E13" s="108">
        <f>D13*E5</f>
        <v>95552.639999999999</v>
      </c>
      <c r="F13" s="107">
        <f>D13*F5</f>
        <v>84735.360000000001</v>
      </c>
      <c r="G13" s="81">
        <v>292187</v>
      </c>
      <c r="H13" s="38">
        <f t="shared" ref="H13" si="76">(+G13-+G12)*48</f>
        <v>1536</v>
      </c>
      <c r="I13" s="81">
        <v>169168</v>
      </c>
      <c r="J13" s="38">
        <f t="shared" ref="J13" si="77">(+I13-+I12)*48</f>
        <v>7632</v>
      </c>
      <c r="K13" s="81">
        <v>268206</v>
      </c>
      <c r="L13" s="38">
        <f t="shared" si="0"/>
        <v>384</v>
      </c>
      <c r="M13" s="81">
        <v>25266</v>
      </c>
      <c r="N13" s="38">
        <f t="shared" ref="N13" si="78">(+M13-+M12)*48</f>
        <v>0</v>
      </c>
      <c r="O13" s="81">
        <v>314409</v>
      </c>
      <c r="P13" s="38">
        <f t="shared" ref="P13" si="79">(+O13-+O12)*48</f>
        <v>7152</v>
      </c>
      <c r="Q13" s="81">
        <v>470642</v>
      </c>
      <c r="R13" s="38">
        <f t="shared" ref="R13" si="80">(+Q13-+Q12)*48</f>
        <v>3120</v>
      </c>
      <c r="S13" s="81">
        <v>752597</v>
      </c>
      <c r="T13" s="38">
        <f t="shared" ref="T13" si="81">(+S13-+S12)*48</f>
        <v>4992</v>
      </c>
      <c r="U13" s="86">
        <v>4281</v>
      </c>
      <c r="V13" s="107">
        <f t="shared" ref="V13" si="82">(+U13-+U12)*48</f>
        <v>0</v>
      </c>
      <c r="W13" s="81">
        <v>84286</v>
      </c>
      <c r="X13" s="38">
        <f t="shared" ref="X13" si="83">(+W13-+W12)*48</f>
        <v>0</v>
      </c>
      <c r="Y13" s="81">
        <v>1518180</v>
      </c>
      <c r="Z13" s="38">
        <f t="shared" ref="Z13" si="84">(+Y13-+Y12)*48</f>
        <v>0</v>
      </c>
      <c r="AA13" s="81">
        <v>13885</v>
      </c>
      <c r="AB13" s="38">
        <f t="shared" ref="AB13" si="85">(+AA13-+AA12)*48</f>
        <v>0</v>
      </c>
      <c r="AC13" s="81">
        <v>485798</v>
      </c>
      <c r="AD13" s="38">
        <f t="shared" si="14"/>
        <v>4224</v>
      </c>
      <c r="AE13" s="81">
        <v>557235</v>
      </c>
      <c r="AF13" s="38">
        <f t="shared" si="14"/>
        <v>0</v>
      </c>
      <c r="AG13" s="81">
        <v>49787</v>
      </c>
      <c r="AH13" s="38">
        <f t="shared" ref="AH13" si="86">(+AG13-+AG12)*48</f>
        <v>0</v>
      </c>
      <c r="AI13" s="81">
        <v>435466</v>
      </c>
      <c r="AJ13" s="38">
        <f t="shared" ref="AJ13:AJ14" si="87">(+AI13-+AI12)*48</f>
        <v>4512</v>
      </c>
      <c r="AK13" s="81">
        <v>102770</v>
      </c>
      <c r="AL13" s="38">
        <f t="shared" ref="AL13" si="88">(+AK13-+AK12)*48</f>
        <v>0</v>
      </c>
      <c r="AM13" s="81">
        <v>595485</v>
      </c>
      <c r="AN13" s="38">
        <f t="shared" ref="AN13" si="89">(+AM13-+AM12)*48</f>
        <v>1248</v>
      </c>
      <c r="AO13" s="81">
        <v>975077</v>
      </c>
      <c r="AP13" s="38">
        <f t="shared" ref="AP13" si="90">(+AO13-+AO12)*48</f>
        <v>4656</v>
      </c>
      <c r="AQ13" s="81">
        <v>88721</v>
      </c>
      <c r="AR13" s="38">
        <f t="shared" ref="AR13" si="91">(+AQ13-+AQ12)*48</f>
        <v>0</v>
      </c>
      <c r="AS13" s="81">
        <v>2453</v>
      </c>
      <c r="AT13" s="38">
        <f t="shared" ref="AT13" si="92">(+AS13-+AS12)*48</f>
        <v>0</v>
      </c>
      <c r="AU13" s="81">
        <v>939</v>
      </c>
      <c r="AV13" s="38">
        <f t="shared" ref="AV13" si="93">(+AU13-+AU12)*48</f>
        <v>0</v>
      </c>
      <c r="AW13" s="81">
        <v>3110</v>
      </c>
      <c r="AX13" s="38">
        <f t="shared" ref="AX13" si="94">(+AW13-+AW12)*48</f>
        <v>0</v>
      </c>
      <c r="AY13" s="81">
        <v>336285</v>
      </c>
      <c r="AZ13" s="38">
        <f t="shared" ref="AZ13" si="95">(+AY13-+AY12)*48</f>
        <v>5664</v>
      </c>
      <c r="BA13" s="81">
        <v>161101</v>
      </c>
      <c r="BB13" s="38">
        <f t="shared" ref="BB13" si="96">(+BA13-+BA12)*48</f>
        <v>0</v>
      </c>
      <c r="BC13" s="81">
        <v>228829</v>
      </c>
      <c r="BD13" s="38">
        <f t="shared" ref="BD13" si="97">(+BC13-+BC12)*48</f>
        <v>3504</v>
      </c>
      <c r="BE13" s="81">
        <v>5347</v>
      </c>
      <c r="BF13" s="38">
        <f t="shared" ref="BF13" si="98">(+BE13-+BE12)*48</f>
        <v>0</v>
      </c>
      <c r="BH13" s="109">
        <f t="shared" si="1"/>
        <v>129104.64</v>
      </c>
      <c r="BI13" s="109">
        <f t="shared" si="2"/>
        <v>99807.360000000001</v>
      </c>
    </row>
    <row r="14" spans="1:61" s="36" customFormat="1" ht="39.950000000000003" customHeight="1">
      <c r="A14" s="194">
        <v>44598</v>
      </c>
      <c r="B14" s="35"/>
      <c r="C14" s="81">
        <v>6668740</v>
      </c>
      <c r="D14" s="38">
        <f t="shared" ref="D14" si="99">(+C14-+C13)*48</f>
        <v>176976</v>
      </c>
      <c r="E14" s="108">
        <f>D14*E5</f>
        <v>93797.28</v>
      </c>
      <c r="F14" s="107">
        <f>D14*F5</f>
        <v>83178.720000000001</v>
      </c>
      <c r="G14" s="81">
        <v>292208</v>
      </c>
      <c r="H14" s="38">
        <f t="shared" ref="H14" si="100">(+G14-+G13)*48</f>
        <v>1008</v>
      </c>
      <c r="I14" s="81">
        <v>169326</v>
      </c>
      <c r="J14" s="38">
        <f t="shared" ref="J14" si="101">(+I14-+I13)*48</f>
        <v>7584</v>
      </c>
      <c r="K14" s="81">
        <v>268214</v>
      </c>
      <c r="L14" s="38">
        <f t="shared" si="0"/>
        <v>384</v>
      </c>
      <c r="M14" s="81">
        <v>25266</v>
      </c>
      <c r="N14" s="38">
        <f t="shared" ref="N14" si="102">(+M14-+M13)*48</f>
        <v>0</v>
      </c>
      <c r="O14" s="81">
        <v>314559</v>
      </c>
      <c r="P14" s="38">
        <f t="shared" ref="P14" si="103">(+O14-+O13)*48</f>
        <v>7200</v>
      </c>
      <c r="Q14" s="81">
        <v>470713</v>
      </c>
      <c r="R14" s="38">
        <f t="shared" ref="R14" si="104">(+Q14-+Q13)*48</f>
        <v>3408</v>
      </c>
      <c r="S14" s="81">
        <v>752685</v>
      </c>
      <c r="T14" s="38">
        <f t="shared" ref="T14" si="105">(+S14-+S13)*48</f>
        <v>4224</v>
      </c>
      <c r="U14" s="86">
        <v>4281</v>
      </c>
      <c r="V14" s="107">
        <f>(+U14-+U13)*48</f>
        <v>0</v>
      </c>
      <c r="W14" s="81">
        <v>84289</v>
      </c>
      <c r="X14" s="38">
        <f t="shared" ref="X14" si="106">(+W14-+W13)*48</f>
        <v>144</v>
      </c>
      <c r="Y14" s="81">
        <v>1518180</v>
      </c>
      <c r="Z14" s="38">
        <f t="shared" ref="Z14" si="107">(+Y14-+Y13)*48</f>
        <v>0</v>
      </c>
      <c r="AA14" s="81">
        <v>13885</v>
      </c>
      <c r="AB14" s="38">
        <f t="shared" ref="AB14" si="108">(+AA14-+AA13)*48</f>
        <v>0</v>
      </c>
      <c r="AC14" s="81">
        <v>485895</v>
      </c>
      <c r="AD14" s="38">
        <f t="shared" si="14"/>
        <v>4656</v>
      </c>
      <c r="AE14" s="81">
        <v>557236</v>
      </c>
      <c r="AF14" s="38">
        <f t="shared" si="14"/>
        <v>48</v>
      </c>
      <c r="AG14" s="81">
        <v>49787</v>
      </c>
      <c r="AH14" s="38">
        <f t="shared" ref="AH14" si="109">(+AG14-+AG13)*48</f>
        <v>0</v>
      </c>
      <c r="AI14" s="81">
        <v>435559</v>
      </c>
      <c r="AJ14" s="38">
        <f t="shared" si="87"/>
        <v>4464</v>
      </c>
      <c r="AK14" s="81">
        <v>102770</v>
      </c>
      <c r="AL14" s="38">
        <f t="shared" ref="AL14" si="110">(+AK14-+AK13)*48</f>
        <v>0</v>
      </c>
      <c r="AM14" s="81">
        <v>595516</v>
      </c>
      <c r="AN14" s="38">
        <f t="shared" ref="AN14" si="111">(+AM14-+AM13)*48</f>
        <v>1488</v>
      </c>
      <c r="AO14" s="81">
        <v>975193</v>
      </c>
      <c r="AP14" s="38">
        <f t="shared" ref="AP14" si="112">(+AO14-+AO13)*48</f>
        <v>5568</v>
      </c>
      <c r="AQ14" s="81">
        <v>88721</v>
      </c>
      <c r="AR14" s="38">
        <f t="shared" ref="AR14" si="113">(+AQ14-+AQ13)*48</f>
        <v>0</v>
      </c>
      <c r="AS14" s="81">
        <v>2453</v>
      </c>
      <c r="AT14" s="38">
        <f t="shared" ref="AT14" si="114">(+AS14-+AS13)*48</f>
        <v>0</v>
      </c>
      <c r="AU14" s="81">
        <v>939</v>
      </c>
      <c r="AV14" s="38">
        <f t="shared" ref="AV14" si="115">(+AU14-+AU13)*48</f>
        <v>0</v>
      </c>
      <c r="AW14" s="81">
        <v>3110</v>
      </c>
      <c r="AX14" s="38">
        <f t="shared" ref="AX14" si="116">(+AW14-+AW13)*48</f>
        <v>0</v>
      </c>
      <c r="AY14" s="81">
        <v>336414</v>
      </c>
      <c r="AZ14" s="38">
        <f t="shared" ref="AZ14" si="117">(+AY14-+AY13)*48</f>
        <v>6192</v>
      </c>
      <c r="BA14" s="81">
        <v>161101</v>
      </c>
      <c r="BB14" s="38">
        <f t="shared" ref="BB14" si="118">(+BA14-+BA13)*48</f>
        <v>0</v>
      </c>
      <c r="BC14" s="81">
        <v>228908</v>
      </c>
      <c r="BD14" s="38">
        <f t="shared" ref="BD14" si="119">(+BC14-+BC13)*48</f>
        <v>3792</v>
      </c>
      <c r="BE14" s="81">
        <v>5347</v>
      </c>
      <c r="BF14" s="38">
        <f t="shared" ref="BF14" si="120">(+BE14-+BE13)*48</f>
        <v>0</v>
      </c>
      <c r="BH14" s="109">
        <f t="shared" si="1"/>
        <v>126917.28</v>
      </c>
      <c r="BI14" s="109">
        <f t="shared" si="2"/>
        <v>100218.72</v>
      </c>
    </row>
    <row r="15" spans="1:61" s="36" customFormat="1" ht="39.950000000000003" customHeight="1">
      <c r="A15" s="194">
        <v>44599</v>
      </c>
      <c r="B15" s="35"/>
      <c r="C15" s="81">
        <v>6672367</v>
      </c>
      <c r="D15" s="38">
        <f t="shared" ref="D15" si="121">(+C15-+C14)*48</f>
        <v>174096</v>
      </c>
      <c r="E15" s="108">
        <f>D15*E5</f>
        <v>92270.88</v>
      </c>
      <c r="F15" s="107">
        <f>D15*F5</f>
        <v>81825.119999999995</v>
      </c>
      <c r="G15" s="81">
        <v>292231</v>
      </c>
      <c r="H15" s="38">
        <f t="shared" ref="H15" si="122">(+G15-+G14)*48</f>
        <v>1104</v>
      </c>
      <c r="I15" s="81">
        <v>169484</v>
      </c>
      <c r="J15" s="38">
        <f t="shared" ref="J15" si="123">(+I15-+I14)*48</f>
        <v>7584</v>
      </c>
      <c r="K15" s="81">
        <v>268223</v>
      </c>
      <c r="L15" s="38">
        <f t="shared" si="0"/>
        <v>432</v>
      </c>
      <c r="M15" s="81">
        <v>25266</v>
      </c>
      <c r="N15" s="38">
        <f t="shared" ref="N15" si="124">(+M15-+M14)*48</f>
        <v>0</v>
      </c>
      <c r="O15" s="81">
        <v>314708</v>
      </c>
      <c r="P15" s="38">
        <f t="shared" ref="P15" si="125">(+O15-+O14)*48</f>
        <v>7152</v>
      </c>
      <c r="Q15" s="81">
        <v>470809</v>
      </c>
      <c r="R15" s="38">
        <f t="shared" ref="R15" si="126">(+Q15-+Q14)*48</f>
        <v>4608</v>
      </c>
      <c r="S15" s="81">
        <v>752772</v>
      </c>
      <c r="T15" s="38">
        <f t="shared" ref="T15" si="127">(+S15-+S14)*48</f>
        <v>4176</v>
      </c>
      <c r="U15" s="86">
        <v>4281</v>
      </c>
      <c r="V15" s="107">
        <f t="shared" ref="V15" si="128">(+U15-+U14)*48</f>
        <v>0</v>
      </c>
      <c r="W15" s="81">
        <v>84291</v>
      </c>
      <c r="X15" s="38">
        <f t="shared" ref="X15" si="129">(+W15-+W14)*48</f>
        <v>96</v>
      </c>
      <c r="Y15" s="81">
        <v>1518180</v>
      </c>
      <c r="Z15" s="38">
        <f t="shared" ref="Z15" si="130">(+Y15-+Y14)*48</f>
        <v>0</v>
      </c>
      <c r="AA15" s="81">
        <v>13885</v>
      </c>
      <c r="AB15" s="38">
        <f t="shared" ref="AB15" si="131">(+AA15-+AA14)*48</f>
        <v>0</v>
      </c>
      <c r="AC15" s="81">
        <v>486035</v>
      </c>
      <c r="AD15" s="38">
        <f t="shared" si="14"/>
        <v>6720</v>
      </c>
      <c r="AE15" s="81">
        <v>557324</v>
      </c>
      <c r="AF15" s="38">
        <f t="shared" si="14"/>
        <v>4224</v>
      </c>
      <c r="AG15" s="81">
        <v>49787</v>
      </c>
      <c r="AH15" s="38">
        <f t="shared" ref="AH15" si="132">(+AG15-+AG14)*48</f>
        <v>0</v>
      </c>
      <c r="AI15" s="81">
        <v>435649</v>
      </c>
      <c r="AJ15" s="38">
        <f t="shared" ref="AJ15" si="133">(+AI15-+AI14)*48</f>
        <v>4320</v>
      </c>
      <c r="AK15" s="81">
        <v>102770</v>
      </c>
      <c r="AL15" s="38">
        <f t="shared" ref="AL15" si="134">(+AK15-+AK14)*48</f>
        <v>0</v>
      </c>
      <c r="AM15" s="81">
        <v>595586</v>
      </c>
      <c r="AN15" s="38">
        <f t="shared" ref="AN15" si="135">(+AM15-+AM14)*48</f>
        <v>3360</v>
      </c>
      <c r="AO15" s="81">
        <v>975364</v>
      </c>
      <c r="AP15" s="38">
        <f t="shared" ref="AP15" si="136">(+AO15-+AO14)*48</f>
        <v>8208</v>
      </c>
      <c r="AQ15" s="81">
        <v>88721</v>
      </c>
      <c r="AR15" s="38">
        <f t="shared" ref="AR15" si="137">(+AQ15-+AQ14)*48</f>
        <v>0</v>
      </c>
      <c r="AS15" s="81">
        <v>2453</v>
      </c>
      <c r="AT15" s="38">
        <f t="shared" ref="AT15" si="138">(+AS15-+AS14)*48</f>
        <v>0</v>
      </c>
      <c r="AU15" s="81">
        <v>939</v>
      </c>
      <c r="AV15" s="38">
        <f t="shared" ref="AV15" si="139">(+AU15-+AU14)*48</f>
        <v>0</v>
      </c>
      <c r="AW15" s="81">
        <v>3110</v>
      </c>
      <c r="AX15" s="38">
        <f t="shared" ref="AX15" si="140">(+AW15-+AW14)*48</f>
        <v>0</v>
      </c>
      <c r="AY15" s="81">
        <v>336533</v>
      </c>
      <c r="AZ15" s="38">
        <f t="shared" ref="AZ15" si="141">(+AY15-+AY14)*48</f>
        <v>5712</v>
      </c>
      <c r="BA15" s="81">
        <v>161101</v>
      </c>
      <c r="BB15" s="38">
        <f t="shared" ref="BB15" si="142">(+BA15-+BA14)*48</f>
        <v>0</v>
      </c>
      <c r="BC15" s="81">
        <v>228984</v>
      </c>
      <c r="BD15" s="38">
        <f t="shared" ref="BD15" si="143">(+BC15-+BC14)*48</f>
        <v>3648</v>
      </c>
      <c r="BE15" s="81">
        <v>5347</v>
      </c>
      <c r="BF15" s="38">
        <f t="shared" ref="BF15" si="144">(+BE15-+BE14)*48</f>
        <v>0</v>
      </c>
      <c r="BH15" s="109">
        <f t="shared" si="1"/>
        <v>132686.88</v>
      </c>
      <c r="BI15" s="109">
        <f t="shared" si="2"/>
        <v>102753.12</v>
      </c>
    </row>
    <row r="16" spans="1:61" s="36" customFormat="1" ht="39.950000000000003" customHeight="1">
      <c r="A16" s="194">
        <v>44600</v>
      </c>
      <c r="B16" s="35"/>
      <c r="C16" s="81">
        <v>6675778</v>
      </c>
      <c r="D16" s="38">
        <f t="shared" ref="D16" si="145">(+C16-+C15)*48</f>
        <v>163728</v>
      </c>
      <c r="E16" s="108">
        <f>D16*E5</f>
        <v>86775.840000000011</v>
      </c>
      <c r="F16" s="107">
        <f>D16*F5</f>
        <v>76952.159999999989</v>
      </c>
      <c r="G16" s="81">
        <v>292258</v>
      </c>
      <c r="H16" s="38">
        <f t="shared" ref="H16" si="146">(+G16-+G15)*48</f>
        <v>1296</v>
      </c>
      <c r="I16" s="81">
        <v>169646</v>
      </c>
      <c r="J16" s="38">
        <f t="shared" ref="J16" si="147">(+I16-+I15)*48</f>
        <v>7776</v>
      </c>
      <c r="K16" s="81">
        <v>268233</v>
      </c>
      <c r="L16" s="38">
        <f t="shared" si="0"/>
        <v>480</v>
      </c>
      <c r="M16" s="81">
        <v>25266</v>
      </c>
      <c r="N16" s="38">
        <f t="shared" ref="N16" si="148">(+M16-+M15)*48</f>
        <v>0</v>
      </c>
      <c r="O16" s="81">
        <v>314848</v>
      </c>
      <c r="P16" s="38">
        <f t="shared" ref="P16" si="149">(+O16-+O15)*48</f>
        <v>6720</v>
      </c>
      <c r="Q16" s="81">
        <v>470883</v>
      </c>
      <c r="R16" s="38">
        <f t="shared" ref="R16" si="150">(+Q16-+Q15)*48</f>
        <v>3552</v>
      </c>
      <c r="S16" s="81">
        <v>752870</v>
      </c>
      <c r="T16" s="38">
        <f t="shared" ref="T16" si="151">(+S16-+S15)*48</f>
        <v>4704</v>
      </c>
      <c r="U16" s="86">
        <v>4281</v>
      </c>
      <c r="V16" s="107">
        <f t="shared" ref="V16" si="152">(+U16-+U15)*48</f>
        <v>0</v>
      </c>
      <c r="W16" s="81">
        <v>84291</v>
      </c>
      <c r="X16" s="38">
        <f t="shared" ref="X16" si="153">(+W16-+W15)*48</f>
        <v>0</v>
      </c>
      <c r="Y16" s="81">
        <v>1518180</v>
      </c>
      <c r="Z16" s="38">
        <f t="shared" ref="Z16" si="154">(+Y16-+Y15)*48</f>
        <v>0</v>
      </c>
      <c r="AA16" s="81">
        <v>13885</v>
      </c>
      <c r="AB16" s="38">
        <f t="shared" ref="AB16" si="155">(+AA16-+AA15)*48</f>
        <v>0</v>
      </c>
      <c r="AC16" s="81">
        <v>486196</v>
      </c>
      <c r="AD16" s="38">
        <f t="shared" si="14"/>
        <v>7728</v>
      </c>
      <c r="AE16" s="81">
        <v>557428</v>
      </c>
      <c r="AF16" s="38">
        <f t="shared" si="14"/>
        <v>4992</v>
      </c>
      <c r="AG16" s="81">
        <v>49787</v>
      </c>
      <c r="AH16" s="38">
        <f t="shared" ref="AH16" si="156">(+AG16-+AG15)*48</f>
        <v>0</v>
      </c>
      <c r="AI16" s="81">
        <v>435709</v>
      </c>
      <c r="AJ16" s="38">
        <f t="shared" ref="AJ16" si="157">(+AI16-+AI15)*48</f>
        <v>2880</v>
      </c>
      <c r="AK16" s="81">
        <v>102770</v>
      </c>
      <c r="AL16" s="38">
        <f t="shared" ref="AL16" si="158">(+AK16-+AK15)*48</f>
        <v>0</v>
      </c>
      <c r="AM16" s="81">
        <v>595697</v>
      </c>
      <c r="AN16" s="38">
        <f t="shared" ref="AN16" si="159">(+AM16-+AM15)*48</f>
        <v>5328</v>
      </c>
      <c r="AO16" s="81">
        <v>975588</v>
      </c>
      <c r="AP16" s="38">
        <f t="shared" ref="AP16" si="160">(+AO16-+AO15)*48</f>
        <v>10752</v>
      </c>
      <c r="AQ16" s="81">
        <v>88721</v>
      </c>
      <c r="AR16" s="38">
        <f t="shared" ref="AR16" si="161">(+AQ16-+AQ15)*48</f>
        <v>0</v>
      </c>
      <c r="AS16" s="81">
        <v>2453</v>
      </c>
      <c r="AT16" s="38">
        <f t="shared" ref="AT16" si="162">(+AS16-+AS15)*48</f>
        <v>0</v>
      </c>
      <c r="AU16" s="81">
        <v>939</v>
      </c>
      <c r="AV16" s="38">
        <f t="shared" ref="AV16" si="163">(+AU16-+AU15)*48</f>
        <v>0</v>
      </c>
      <c r="AW16" s="81">
        <v>3110</v>
      </c>
      <c r="AX16" s="38">
        <f t="shared" ref="AX16" si="164">(+AW16-+AW15)*48</f>
        <v>0</v>
      </c>
      <c r="AY16" s="81">
        <v>336663</v>
      </c>
      <c r="AZ16" s="38">
        <f t="shared" ref="AZ16" si="165">(+AY16-+AY15)*48</f>
        <v>6240</v>
      </c>
      <c r="BA16" s="81">
        <v>161101</v>
      </c>
      <c r="BB16" s="38">
        <f t="shared" ref="BB16" si="166">(+BA16-+BA15)*48</f>
        <v>0</v>
      </c>
      <c r="BC16" s="81">
        <v>229064</v>
      </c>
      <c r="BD16" s="38">
        <f t="shared" ref="BD16" si="167">(+BC16-+BC15)*48</f>
        <v>3840</v>
      </c>
      <c r="BE16" s="81">
        <v>5347</v>
      </c>
      <c r="BF16" s="38">
        <f t="shared" ref="BF16" si="168">(+BE16-+BE15)*48</f>
        <v>0</v>
      </c>
      <c r="BH16" s="109">
        <f t="shared" si="1"/>
        <v>126903.84000000001</v>
      </c>
      <c r="BI16" s="109">
        <f t="shared" si="2"/>
        <v>103112.15999999999</v>
      </c>
    </row>
    <row r="17" spans="1:61" s="36" customFormat="1" ht="39.950000000000003" customHeight="1">
      <c r="A17" s="194">
        <v>44601</v>
      </c>
      <c r="B17" s="35"/>
      <c r="C17" s="81">
        <v>6678704</v>
      </c>
      <c r="D17" s="38">
        <f t="shared" ref="D17" si="169">(+C17-+C16)*48</f>
        <v>140448</v>
      </c>
      <c r="E17" s="108">
        <f>D17*E5</f>
        <v>74437.440000000002</v>
      </c>
      <c r="F17" s="107">
        <f>D17*F5</f>
        <v>66010.559999999998</v>
      </c>
      <c r="G17" s="81">
        <v>292283</v>
      </c>
      <c r="H17" s="38">
        <f t="shared" ref="H17" si="170">(+G17-+G16)*48</f>
        <v>1200</v>
      </c>
      <c r="I17" s="81">
        <v>169799</v>
      </c>
      <c r="J17" s="38">
        <f t="shared" ref="J17" si="171">(+I17-+I16)*48</f>
        <v>7344</v>
      </c>
      <c r="K17" s="81">
        <v>268248</v>
      </c>
      <c r="L17" s="38">
        <f t="shared" si="0"/>
        <v>720</v>
      </c>
      <c r="M17" s="81">
        <v>25266</v>
      </c>
      <c r="N17" s="38">
        <f t="shared" ref="N17" si="172">(+M17-+M16)*48</f>
        <v>0</v>
      </c>
      <c r="O17" s="81">
        <v>314978</v>
      </c>
      <c r="P17" s="38">
        <f t="shared" ref="P17" si="173">(+O17-+O16)*48</f>
        <v>6240</v>
      </c>
      <c r="Q17" s="81">
        <v>470948</v>
      </c>
      <c r="R17" s="38">
        <f t="shared" ref="R17" si="174">(+Q17-+Q16)*48</f>
        <v>3120</v>
      </c>
      <c r="S17" s="81">
        <v>752967</v>
      </c>
      <c r="T17" s="38">
        <f t="shared" ref="T17" si="175">(+S17-+S16)*48</f>
        <v>4656</v>
      </c>
      <c r="U17" s="86">
        <v>4281</v>
      </c>
      <c r="V17" s="107">
        <f t="shared" ref="V17" si="176">(+U17-+U16)*48</f>
        <v>0</v>
      </c>
      <c r="W17" s="81">
        <v>84294</v>
      </c>
      <c r="X17" s="38">
        <f t="shared" ref="X17" si="177">(+W17-+W16)*48</f>
        <v>144</v>
      </c>
      <c r="Y17" s="81">
        <v>1518180</v>
      </c>
      <c r="Z17" s="38">
        <f t="shared" ref="Z17" si="178">(+Y17-+Y16)*48</f>
        <v>0</v>
      </c>
      <c r="AA17" s="81">
        <v>13885</v>
      </c>
      <c r="AB17" s="38">
        <f t="shared" ref="AB17" si="179">(+AA17-+AA16)*48</f>
        <v>0</v>
      </c>
      <c r="AC17" s="81">
        <v>486342</v>
      </c>
      <c r="AD17" s="38">
        <f t="shared" si="14"/>
        <v>7008</v>
      </c>
      <c r="AE17" s="81">
        <v>557586</v>
      </c>
      <c r="AF17" s="38">
        <f t="shared" si="14"/>
        <v>7584</v>
      </c>
      <c r="AG17" s="81">
        <v>49787</v>
      </c>
      <c r="AH17" s="38">
        <f t="shared" ref="AH17" si="180">(+AG17-+AG16)*48</f>
        <v>0</v>
      </c>
      <c r="AI17" s="81">
        <v>435848</v>
      </c>
      <c r="AJ17" s="38">
        <f t="shared" ref="AJ17" si="181">(+AI17-+AI16)*48</f>
        <v>6672</v>
      </c>
      <c r="AK17" s="81">
        <v>102770</v>
      </c>
      <c r="AL17" s="38">
        <f t="shared" ref="AL17" si="182">(+AK17-+AK16)*48</f>
        <v>0</v>
      </c>
      <c r="AM17" s="81">
        <v>595776</v>
      </c>
      <c r="AN17" s="38">
        <f t="shared" ref="AN17" si="183">(+AM17-+AM16)*48</f>
        <v>3792</v>
      </c>
      <c r="AO17" s="81">
        <v>975771</v>
      </c>
      <c r="AP17" s="38">
        <f t="shared" ref="AP17" si="184">(+AO17-+AO16)*48</f>
        <v>8784</v>
      </c>
      <c r="AQ17" s="81">
        <v>88721</v>
      </c>
      <c r="AR17" s="38">
        <f t="shared" ref="AR17" si="185">(+AQ17-+AQ16)*48</f>
        <v>0</v>
      </c>
      <c r="AS17" s="81">
        <v>2453</v>
      </c>
      <c r="AT17" s="38">
        <f t="shared" ref="AT17" si="186">(+AS17-+AS16)*48</f>
        <v>0</v>
      </c>
      <c r="AU17" s="81">
        <v>939</v>
      </c>
      <c r="AV17" s="38">
        <f t="shared" ref="AV17" si="187">(+AU17-+AU16)*48</f>
        <v>0</v>
      </c>
      <c r="AW17" s="81">
        <v>3110</v>
      </c>
      <c r="AX17" s="38">
        <f t="shared" ref="AX17" si="188">(+AW17-+AW16)*48</f>
        <v>0</v>
      </c>
      <c r="AY17" s="81">
        <v>336778</v>
      </c>
      <c r="AZ17" s="38">
        <f t="shared" ref="AZ17" si="189">(+AY17-+AY16)*48</f>
        <v>5520</v>
      </c>
      <c r="BA17" s="81">
        <v>161101</v>
      </c>
      <c r="BB17" s="38">
        <f t="shared" ref="BB17" si="190">(+BA17-+BA16)*48</f>
        <v>0</v>
      </c>
      <c r="BC17" s="81">
        <v>229144</v>
      </c>
      <c r="BD17" s="38">
        <f t="shared" ref="BD17" si="191">(+BC17-+BC16)*48</f>
        <v>3840</v>
      </c>
      <c r="BE17" s="81">
        <v>5347</v>
      </c>
      <c r="BF17" s="38">
        <f t="shared" ref="BF17" si="192">(+BE17-+BE16)*48</f>
        <v>0</v>
      </c>
      <c r="BH17" s="109">
        <f t="shared" si="1"/>
        <v>119125.44</v>
      </c>
      <c r="BI17" s="109">
        <f t="shared" si="2"/>
        <v>87946.559999999998</v>
      </c>
    </row>
    <row r="18" spans="1:61" s="36" customFormat="1" ht="39.950000000000003" customHeight="1">
      <c r="A18" s="194">
        <v>44602</v>
      </c>
      <c r="B18" s="35"/>
      <c r="C18" s="81">
        <v>6681971</v>
      </c>
      <c r="D18" s="38">
        <f t="shared" ref="D18" si="193">(+C18-+C17)*48</f>
        <v>156816</v>
      </c>
      <c r="E18" s="108">
        <f>D18*E5</f>
        <v>83112.48000000001</v>
      </c>
      <c r="F18" s="107">
        <f>D18*F5</f>
        <v>73703.51999999999</v>
      </c>
      <c r="G18" s="81">
        <v>292313</v>
      </c>
      <c r="H18" s="38">
        <f t="shared" ref="H18" si="194">(+G18-+G17)*48</f>
        <v>1440</v>
      </c>
      <c r="I18" s="81">
        <v>169950</v>
      </c>
      <c r="J18" s="38">
        <f t="shared" ref="J18" si="195">(+I18-+I17)*48</f>
        <v>7248</v>
      </c>
      <c r="K18" s="81">
        <v>268258</v>
      </c>
      <c r="L18" s="38">
        <f t="shared" si="0"/>
        <v>480</v>
      </c>
      <c r="M18" s="81">
        <v>25266</v>
      </c>
      <c r="N18" s="38">
        <f t="shared" ref="N18" si="196">(+M18-+M17)*48</f>
        <v>0</v>
      </c>
      <c r="O18" s="81">
        <v>315099</v>
      </c>
      <c r="P18" s="38">
        <f t="shared" ref="P18" si="197">(+O18-+O17)*48</f>
        <v>5808</v>
      </c>
      <c r="Q18" s="81">
        <v>471012</v>
      </c>
      <c r="R18" s="38">
        <f t="shared" ref="R18" si="198">(+Q18-+Q17)*48</f>
        <v>3072</v>
      </c>
      <c r="S18" s="81">
        <v>753065</v>
      </c>
      <c r="T18" s="38">
        <f t="shared" ref="T18" si="199">(+S18-+S17)*48</f>
        <v>4704</v>
      </c>
      <c r="U18" s="86">
        <v>4281</v>
      </c>
      <c r="V18" s="107">
        <f t="shared" ref="V18" si="200">(+U18-+U17)*48</f>
        <v>0</v>
      </c>
      <c r="W18" s="81">
        <v>84296</v>
      </c>
      <c r="X18" s="38">
        <f t="shared" ref="X18" si="201">(+W18-+W17)*48</f>
        <v>96</v>
      </c>
      <c r="Y18" s="81">
        <v>1518180</v>
      </c>
      <c r="Z18" s="38">
        <f t="shared" ref="Z18" si="202">(+Y18-+Y17)*48</f>
        <v>0</v>
      </c>
      <c r="AA18" s="81">
        <v>13885</v>
      </c>
      <c r="AB18" s="38">
        <f t="shared" ref="AB18" si="203">(+AA18-+AA17)*48</f>
        <v>0</v>
      </c>
      <c r="AC18" s="81">
        <v>486523</v>
      </c>
      <c r="AD18" s="38">
        <f t="shared" si="14"/>
        <v>8688</v>
      </c>
      <c r="AE18" s="81">
        <v>557734</v>
      </c>
      <c r="AF18" s="38">
        <f t="shared" si="14"/>
        <v>7104</v>
      </c>
      <c r="AG18" s="81">
        <v>49787</v>
      </c>
      <c r="AH18" s="38">
        <f t="shared" ref="AH18" si="204">(+AG18-+AG17)*48</f>
        <v>0</v>
      </c>
      <c r="AI18" s="81">
        <v>435960</v>
      </c>
      <c r="AJ18" s="38">
        <f t="shared" ref="AJ18" si="205">(+AI18-+AI17)*48</f>
        <v>5376</v>
      </c>
      <c r="AK18" s="81">
        <v>102770</v>
      </c>
      <c r="AL18" s="38">
        <f t="shared" ref="AL18" si="206">(+AK18-+AK17)*48</f>
        <v>0</v>
      </c>
      <c r="AM18" s="81">
        <v>595869</v>
      </c>
      <c r="AN18" s="38">
        <f t="shared" ref="AN18" si="207">(+AM18-+AM17)*48</f>
        <v>4464</v>
      </c>
      <c r="AO18" s="81">
        <v>975994</v>
      </c>
      <c r="AP18" s="38">
        <f t="shared" ref="AP18" si="208">(+AO18-+AO17)*48</f>
        <v>10704</v>
      </c>
      <c r="AQ18" s="81">
        <v>88721</v>
      </c>
      <c r="AR18" s="38">
        <f t="shared" ref="AR18" si="209">(+AQ18-+AQ17)*48</f>
        <v>0</v>
      </c>
      <c r="AS18" s="81">
        <v>2453</v>
      </c>
      <c r="AT18" s="38">
        <f t="shared" ref="AT18" si="210">(+AS18-+AS17)*48</f>
        <v>0</v>
      </c>
      <c r="AU18" s="81">
        <v>939</v>
      </c>
      <c r="AV18" s="38">
        <f t="shared" ref="AV18" si="211">(+AU18-+AU17)*48</f>
        <v>0</v>
      </c>
      <c r="AW18" s="81">
        <v>3110</v>
      </c>
      <c r="AX18" s="38">
        <f t="shared" ref="AX18" si="212">(+AW18-+AW17)*48</f>
        <v>0</v>
      </c>
      <c r="AY18" s="81">
        <v>336914</v>
      </c>
      <c r="AZ18" s="38">
        <f t="shared" ref="AZ18" si="213">(+AY18-+AY17)*48</f>
        <v>6528</v>
      </c>
      <c r="BA18" s="81">
        <v>161101</v>
      </c>
      <c r="BB18" s="38">
        <f t="shared" ref="BB18" si="214">(+BA18-+BA17)*48</f>
        <v>0</v>
      </c>
      <c r="BC18" s="81">
        <v>229220</v>
      </c>
      <c r="BD18" s="38">
        <f t="shared" ref="BD18" si="215">(+BC18-+BC17)*48</f>
        <v>3648</v>
      </c>
      <c r="BE18" s="81">
        <v>5347</v>
      </c>
      <c r="BF18" s="38">
        <f t="shared" ref="BF18" si="216">(+BE18-+BE17)*48</f>
        <v>0</v>
      </c>
      <c r="BH18" s="109">
        <f t="shared" si="1"/>
        <v>127128.48000000001</v>
      </c>
      <c r="BI18" s="109">
        <f t="shared" si="2"/>
        <v>99047.51999999999</v>
      </c>
    </row>
    <row r="19" spans="1:61" s="36" customFormat="1" ht="39.950000000000003" customHeight="1">
      <c r="A19" s="194">
        <v>44603</v>
      </c>
      <c r="B19" s="35"/>
      <c r="C19" s="81">
        <v>6684457</v>
      </c>
      <c r="D19" s="38">
        <f t="shared" ref="D19" si="217">(+C19-+C18)*48</f>
        <v>119328</v>
      </c>
      <c r="E19" s="108">
        <f>D19*E5</f>
        <v>63243.840000000004</v>
      </c>
      <c r="F19" s="107">
        <f>D19*F5</f>
        <v>56084.159999999996</v>
      </c>
      <c r="G19" s="81">
        <v>292339</v>
      </c>
      <c r="H19" s="38">
        <f t="shared" ref="H19" si="218">(+G19-+G18)*48</f>
        <v>1248</v>
      </c>
      <c r="I19" s="81">
        <v>170107</v>
      </c>
      <c r="J19" s="38">
        <f t="shared" ref="J19" si="219">(+I19-+I18)*48</f>
        <v>7536</v>
      </c>
      <c r="K19" s="81">
        <v>268265</v>
      </c>
      <c r="L19" s="38">
        <f t="shared" si="0"/>
        <v>336</v>
      </c>
      <c r="M19" s="81">
        <v>25266</v>
      </c>
      <c r="N19" s="38">
        <f t="shared" ref="N19" si="220">(+M19-+M18)*48</f>
        <v>0</v>
      </c>
      <c r="O19" s="81">
        <v>315239</v>
      </c>
      <c r="P19" s="38">
        <f t="shared" ref="P19" si="221">(+O19-+O18)*48</f>
        <v>6720</v>
      </c>
      <c r="Q19" s="81">
        <v>471094</v>
      </c>
      <c r="R19" s="38">
        <f t="shared" ref="R19" si="222">(+Q19-+Q18)*48</f>
        <v>3936</v>
      </c>
      <c r="S19" s="81">
        <v>753168</v>
      </c>
      <c r="T19" s="38">
        <f t="shared" ref="T19" si="223">(+S19-+S18)*48</f>
        <v>4944</v>
      </c>
      <c r="U19" s="86">
        <v>4281</v>
      </c>
      <c r="V19" s="107">
        <f t="shared" ref="V19" si="224">(+U19-+U18)*48</f>
        <v>0</v>
      </c>
      <c r="W19" s="81">
        <v>84299</v>
      </c>
      <c r="X19" s="38">
        <f t="shared" ref="X19" si="225">(+W19-+W18)*48</f>
        <v>144</v>
      </c>
      <c r="Y19" s="81">
        <v>1518180</v>
      </c>
      <c r="Z19" s="38">
        <f t="shared" ref="Z19" si="226">(+Y19-+Y18)*48</f>
        <v>0</v>
      </c>
      <c r="AA19" s="81">
        <v>13885</v>
      </c>
      <c r="AB19" s="38">
        <f t="shared" ref="AB19" si="227">(+AA19-+AA18)*48</f>
        <v>0</v>
      </c>
      <c r="AC19" s="81">
        <v>486640</v>
      </c>
      <c r="AD19" s="38">
        <f t="shared" si="14"/>
        <v>5616</v>
      </c>
      <c r="AE19" s="81">
        <v>557842</v>
      </c>
      <c r="AF19" s="38">
        <f t="shared" si="14"/>
        <v>5184</v>
      </c>
      <c r="AG19" s="81">
        <v>49787</v>
      </c>
      <c r="AH19" s="38">
        <f t="shared" ref="AH19" si="228">(+AG19-+AG18)*48</f>
        <v>0</v>
      </c>
      <c r="AI19" s="81">
        <v>436031</v>
      </c>
      <c r="AJ19" s="38">
        <f t="shared" ref="AJ19" si="229">(+AI19-+AI18)*48</f>
        <v>3408</v>
      </c>
      <c r="AK19" s="81">
        <v>102770</v>
      </c>
      <c r="AL19" s="38">
        <f t="shared" ref="AL19" si="230">(+AK19-+AK18)*48</f>
        <v>0</v>
      </c>
      <c r="AM19" s="81">
        <v>595946</v>
      </c>
      <c r="AN19" s="38">
        <f t="shared" ref="AN19" si="231">(+AM19-+AM18)*48</f>
        <v>3696</v>
      </c>
      <c r="AO19" s="81">
        <v>976154</v>
      </c>
      <c r="AP19" s="38">
        <f t="shared" ref="AP19" si="232">(+AO19-+AO18)*48</f>
        <v>7680</v>
      </c>
      <c r="AQ19" s="81">
        <v>88721</v>
      </c>
      <c r="AR19" s="38">
        <f t="shared" ref="AR19" si="233">(+AQ19-+AQ18)*48</f>
        <v>0</v>
      </c>
      <c r="AS19" s="81">
        <v>2453</v>
      </c>
      <c r="AT19" s="38">
        <f t="shared" ref="AT19" si="234">(+AS19-+AS18)*48</f>
        <v>0</v>
      </c>
      <c r="AU19" s="81">
        <v>939</v>
      </c>
      <c r="AV19" s="38">
        <f t="shared" ref="AV19" si="235">(+AU19-+AU18)*48</f>
        <v>0</v>
      </c>
      <c r="AW19" s="81">
        <v>3110</v>
      </c>
      <c r="AX19" s="38">
        <f t="shared" ref="AX19" si="236">(+AW19-+AW18)*48</f>
        <v>0</v>
      </c>
      <c r="AY19" s="81">
        <v>337039</v>
      </c>
      <c r="AZ19" s="38">
        <f t="shared" ref="AZ19" si="237">(+AY19-+AY18)*48</f>
        <v>6000</v>
      </c>
      <c r="BA19" s="81">
        <v>161101</v>
      </c>
      <c r="BB19" s="38">
        <f t="shared" ref="BB19" si="238">(+BA19-+BA18)*48</f>
        <v>0</v>
      </c>
      <c r="BC19" s="81">
        <v>229298</v>
      </c>
      <c r="BD19" s="38">
        <f t="shared" ref="BD19" si="239">(+BC19-+BC18)*48</f>
        <v>3744</v>
      </c>
      <c r="BE19" s="81">
        <v>5347</v>
      </c>
      <c r="BF19" s="38">
        <f t="shared" ref="BF19" si="240">(+BE19-+BE18)*48</f>
        <v>0</v>
      </c>
      <c r="BH19" s="170">
        <f t="shared" si="1"/>
        <v>102315.84</v>
      </c>
      <c r="BI19" s="170">
        <f t="shared" si="2"/>
        <v>77204.160000000003</v>
      </c>
    </row>
    <row r="20" spans="1:61" s="36" customFormat="1" ht="39.950000000000003" customHeight="1">
      <c r="A20" s="194">
        <v>44604</v>
      </c>
      <c r="B20" s="35"/>
      <c r="C20" s="81">
        <v>6686753</v>
      </c>
      <c r="D20" s="38">
        <f t="shared" ref="D20" si="241">(+C20-+C19)*48</f>
        <v>110208</v>
      </c>
      <c r="E20" s="108">
        <f>D20*E5</f>
        <v>58410.240000000005</v>
      </c>
      <c r="F20" s="107">
        <f>D20*F5</f>
        <v>51797.759999999995</v>
      </c>
      <c r="G20" s="81">
        <v>292361</v>
      </c>
      <c r="H20" s="38">
        <f t="shared" ref="H20" si="242">(+G20-+G19)*48</f>
        <v>1056</v>
      </c>
      <c r="I20" s="81">
        <v>170267</v>
      </c>
      <c r="J20" s="38">
        <f t="shared" ref="J20" si="243">(+I20-+I19)*48</f>
        <v>7680</v>
      </c>
      <c r="K20" s="81">
        <v>268273</v>
      </c>
      <c r="L20" s="38">
        <f t="shared" si="0"/>
        <v>384</v>
      </c>
      <c r="M20" s="81">
        <v>25266</v>
      </c>
      <c r="N20" s="38">
        <f t="shared" ref="N20" si="244">(+M20-+M19)*48</f>
        <v>0</v>
      </c>
      <c r="O20" s="81">
        <v>315375</v>
      </c>
      <c r="P20" s="38">
        <f t="shared" ref="P20" si="245">(+O20-+O19)*48</f>
        <v>6528</v>
      </c>
      <c r="Q20" s="81">
        <v>471161</v>
      </c>
      <c r="R20" s="38">
        <f t="shared" ref="R20" si="246">(+Q20-+Q19)*48</f>
        <v>3216</v>
      </c>
      <c r="S20" s="81">
        <v>753264</v>
      </c>
      <c r="T20" s="38">
        <f t="shared" ref="T20" si="247">(+S20-+S19)*48</f>
        <v>4608</v>
      </c>
      <c r="U20" s="86">
        <v>4281</v>
      </c>
      <c r="V20" s="107">
        <f t="shared" ref="V20" si="248">(+U20-+U19)*48</f>
        <v>0</v>
      </c>
      <c r="W20" s="81">
        <v>84301</v>
      </c>
      <c r="X20" s="38">
        <f t="shared" ref="X20" si="249">(+W20-+W19)*48</f>
        <v>96</v>
      </c>
      <c r="Y20" s="81">
        <v>1518180</v>
      </c>
      <c r="Z20" s="38">
        <f t="shared" ref="Z20" si="250">(+Y20-+Y19)*48</f>
        <v>0</v>
      </c>
      <c r="AA20" s="81">
        <v>13885</v>
      </c>
      <c r="AB20" s="38">
        <f t="shared" ref="AB20" si="251">(+AA20-+AA19)*48</f>
        <v>0</v>
      </c>
      <c r="AC20" s="81">
        <v>486801</v>
      </c>
      <c r="AD20" s="38">
        <f t="shared" si="14"/>
        <v>7728</v>
      </c>
      <c r="AE20" s="81">
        <v>557987</v>
      </c>
      <c r="AF20" s="38">
        <f t="shared" si="14"/>
        <v>6960</v>
      </c>
      <c r="AG20" s="81">
        <v>49787</v>
      </c>
      <c r="AH20" s="38">
        <f t="shared" ref="AH20" si="252">(+AG20-+AG19)*48</f>
        <v>0</v>
      </c>
      <c r="AI20" s="81">
        <v>436124</v>
      </c>
      <c r="AJ20" s="38">
        <f t="shared" ref="AJ20" si="253">(+AI20-+AI19)*48</f>
        <v>4464</v>
      </c>
      <c r="AK20" s="81">
        <v>102770</v>
      </c>
      <c r="AL20" s="38">
        <f t="shared" ref="AL20" si="254">(+AK20-+AK19)*48</f>
        <v>0</v>
      </c>
      <c r="AM20" s="81">
        <v>596064</v>
      </c>
      <c r="AN20" s="38">
        <f t="shared" ref="AN20" si="255">(+AM20-+AM19)*48</f>
        <v>5664</v>
      </c>
      <c r="AO20" s="81">
        <v>976382</v>
      </c>
      <c r="AP20" s="38">
        <f t="shared" ref="AP20" si="256">(+AO20-+AO19)*48</f>
        <v>10944</v>
      </c>
      <c r="AQ20" s="81">
        <v>88721</v>
      </c>
      <c r="AR20" s="38">
        <f t="shared" ref="AR20" si="257">(+AQ20-+AQ19)*48</f>
        <v>0</v>
      </c>
      <c r="AS20" s="81">
        <v>2453</v>
      </c>
      <c r="AT20" s="38">
        <f t="shared" ref="AT20" si="258">(+AS20-+AS19)*48</f>
        <v>0</v>
      </c>
      <c r="AU20" s="81">
        <v>939</v>
      </c>
      <c r="AV20" s="38">
        <f t="shared" ref="AV20" si="259">(+AU20-+AU19)*48</f>
        <v>0</v>
      </c>
      <c r="AW20" s="81">
        <v>3110</v>
      </c>
      <c r="AX20" s="38">
        <f t="shared" ref="AX20" si="260">(+AW20-+AW19)*48</f>
        <v>0</v>
      </c>
      <c r="AY20" s="81">
        <v>337155</v>
      </c>
      <c r="AZ20" s="38">
        <f t="shared" ref="AZ20" si="261">(+AY20-+AY19)*48</f>
        <v>5568</v>
      </c>
      <c r="BA20" s="81">
        <v>161101</v>
      </c>
      <c r="BB20" s="38">
        <f t="shared" ref="BB20" si="262">(+BA20-+BA19)*48</f>
        <v>0</v>
      </c>
      <c r="BC20" s="81">
        <v>229373</v>
      </c>
      <c r="BD20" s="38">
        <f t="shared" ref="BD20" si="263">(+BC20-+BC19)*48</f>
        <v>3600</v>
      </c>
      <c r="BE20" s="81">
        <v>5347</v>
      </c>
      <c r="BF20" s="38">
        <f t="shared" ref="BF20" si="264">(+BE20-+BE19)*48</f>
        <v>0</v>
      </c>
      <c r="BH20" s="170">
        <f t="shared" si="1"/>
        <v>101130.24000000001</v>
      </c>
      <c r="BI20" s="170">
        <f t="shared" si="2"/>
        <v>77573.759999999995</v>
      </c>
    </row>
    <row r="21" spans="1:61" s="36" customFormat="1" ht="39.950000000000003" customHeight="1">
      <c r="A21" s="194">
        <v>44605</v>
      </c>
      <c r="B21" s="35"/>
      <c r="C21" s="81">
        <v>6688907</v>
      </c>
      <c r="D21" s="38">
        <f t="shared" ref="D21" si="265">(+C21-+C20)*48</f>
        <v>103392</v>
      </c>
      <c r="E21" s="108">
        <f>D21*E5</f>
        <v>54797.760000000002</v>
      </c>
      <c r="F21" s="107">
        <f>D21*F5</f>
        <v>48594.239999999998</v>
      </c>
      <c r="G21" s="81">
        <v>292386</v>
      </c>
      <c r="H21" s="38">
        <f t="shared" ref="H21" si="266">(+G21-+G20)*48</f>
        <v>1200</v>
      </c>
      <c r="I21" s="81">
        <v>170435</v>
      </c>
      <c r="J21" s="38">
        <f t="shared" ref="J21" si="267">(+I21-+I20)*48</f>
        <v>8064</v>
      </c>
      <c r="K21" s="81">
        <v>268281</v>
      </c>
      <c r="L21" s="38">
        <f t="shared" si="0"/>
        <v>384</v>
      </c>
      <c r="M21" s="81">
        <v>25266</v>
      </c>
      <c r="N21" s="38">
        <f t="shared" ref="N21" si="268">(+M21-+M20)*48</f>
        <v>0</v>
      </c>
      <c r="O21" s="81">
        <v>315529</v>
      </c>
      <c r="P21" s="38">
        <f t="shared" ref="P21" si="269">(+O21-+O20)*48</f>
        <v>7392</v>
      </c>
      <c r="Q21" s="81">
        <v>471234</v>
      </c>
      <c r="R21" s="38">
        <f t="shared" ref="R21" si="270">(+Q21-+Q20)*48</f>
        <v>3504</v>
      </c>
      <c r="S21" s="81">
        <v>753377</v>
      </c>
      <c r="T21" s="38">
        <f t="shared" ref="T21" si="271">(+S21-+S20)*48</f>
        <v>5424</v>
      </c>
      <c r="U21" s="86">
        <v>4281</v>
      </c>
      <c r="V21" s="107">
        <f t="shared" ref="V21" si="272">(+U21-+U20)*48</f>
        <v>0</v>
      </c>
      <c r="W21" s="81">
        <v>84304</v>
      </c>
      <c r="X21" s="38">
        <f t="shared" ref="X21" si="273">(+W21-+W20)*48</f>
        <v>144</v>
      </c>
      <c r="Y21" s="81">
        <v>1518180</v>
      </c>
      <c r="Z21" s="38">
        <f t="shared" ref="Z21:Z22" si="274">(+Y21-+Y20)*48</f>
        <v>0</v>
      </c>
      <c r="AA21" s="81">
        <v>13885</v>
      </c>
      <c r="AB21" s="38">
        <f t="shared" ref="AB21" si="275">(+AA21-+AA20)*48</f>
        <v>0</v>
      </c>
      <c r="AC21" s="81">
        <v>486965</v>
      </c>
      <c r="AD21" s="38">
        <f t="shared" si="14"/>
        <v>7872</v>
      </c>
      <c r="AE21" s="81">
        <v>558124</v>
      </c>
      <c r="AF21" s="38">
        <f t="shared" si="14"/>
        <v>6576</v>
      </c>
      <c r="AG21" s="81">
        <v>49787</v>
      </c>
      <c r="AH21" s="38">
        <f t="shared" ref="AH21" si="276">(+AG21-+AG20)*48</f>
        <v>0</v>
      </c>
      <c r="AI21" s="81">
        <v>436224</v>
      </c>
      <c r="AJ21" s="38">
        <f t="shared" ref="AJ21" si="277">(+AI21-+AI20)*48</f>
        <v>4800</v>
      </c>
      <c r="AK21" s="81">
        <v>102770</v>
      </c>
      <c r="AL21" s="38">
        <f t="shared" ref="AL21" si="278">(+AK21-+AK20)*48</f>
        <v>0</v>
      </c>
      <c r="AM21" s="81">
        <v>596181</v>
      </c>
      <c r="AN21" s="38">
        <f t="shared" ref="AN21" si="279">(+AM21-+AM20)*48</f>
        <v>5616</v>
      </c>
      <c r="AO21" s="81">
        <v>976698</v>
      </c>
      <c r="AP21" s="38">
        <f t="shared" ref="AP21" si="280">(+AO21-+AO20)*48</f>
        <v>15168</v>
      </c>
      <c r="AQ21" s="81">
        <v>88721</v>
      </c>
      <c r="AR21" s="38">
        <f t="shared" ref="AR21" si="281">(+AQ21-+AQ20)*48</f>
        <v>0</v>
      </c>
      <c r="AS21" s="81">
        <v>2453</v>
      </c>
      <c r="AT21" s="38">
        <f t="shared" ref="AT21" si="282">(+AS21-+AS20)*48</f>
        <v>0</v>
      </c>
      <c r="AU21" s="81">
        <v>939</v>
      </c>
      <c r="AV21" s="38">
        <f t="shared" ref="AV21" si="283">(+AU21-+AU20)*48</f>
        <v>0</v>
      </c>
      <c r="AW21" s="81">
        <v>3110</v>
      </c>
      <c r="AX21" s="38">
        <f t="shared" ref="AX21" si="284">(+AW21-+AW20)*48</f>
        <v>0</v>
      </c>
      <c r="AY21" s="81">
        <v>337279</v>
      </c>
      <c r="AZ21" s="38">
        <f t="shared" ref="AZ21" si="285">(+AY21-+AY20)*48</f>
        <v>5952</v>
      </c>
      <c r="BA21" s="81">
        <v>161101</v>
      </c>
      <c r="BB21" s="38">
        <f t="shared" ref="BB21" si="286">(+BA21-+BA20)*48</f>
        <v>0</v>
      </c>
      <c r="BC21" s="81">
        <v>229449</v>
      </c>
      <c r="BD21" s="38">
        <f t="shared" ref="BD21" si="287">(+BC21-+BC20)*48</f>
        <v>3648</v>
      </c>
      <c r="BE21" s="81">
        <v>5347</v>
      </c>
      <c r="BF21" s="38">
        <f t="shared" ref="BF21" si="288">(+BE21-+BE20)*48</f>
        <v>0</v>
      </c>
      <c r="BH21" s="170">
        <f t="shared" si="1"/>
        <v>100157.76000000001</v>
      </c>
      <c r="BI21" s="170">
        <f t="shared" si="2"/>
        <v>78978.239999999991</v>
      </c>
    </row>
    <row r="22" spans="1:61" s="36" customFormat="1" ht="39.950000000000003" customHeight="1">
      <c r="A22" s="194">
        <v>44606</v>
      </c>
      <c r="B22" s="35"/>
      <c r="C22" s="81">
        <v>6691467</v>
      </c>
      <c r="D22" s="38">
        <f t="shared" ref="D22" si="289">(+C22-+C21)*48</f>
        <v>122880</v>
      </c>
      <c r="E22" s="108">
        <f>D22*E5</f>
        <v>65126.400000000001</v>
      </c>
      <c r="F22" s="107">
        <f>D22*F5</f>
        <v>57753.599999999999</v>
      </c>
      <c r="G22" s="81">
        <v>292409</v>
      </c>
      <c r="H22" s="38">
        <f t="shared" ref="H22" si="290">(+G22-+G21)*48</f>
        <v>1104</v>
      </c>
      <c r="I22" s="81">
        <v>170605</v>
      </c>
      <c r="J22" s="38">
        <f t="shared" ref="J22" si="291">(+I22-+I21)*48</f>
        <v>8160</v>
      </c>
      <c r="K22" s="81">
        <v>268289</v>
      </c>
      <c r="L22" s="38">
        <f t="shared" si="0"/>
        <v>384</v>
      </c>
      <c r="M22" s="81">
        <v>25266</v>
      </c>
      <c r="N22" s="38">
        <f t="shared" ref="N22" si="292">(+M22-+M21)*48</f>
        <v>0</v>
      </c>
      <c r="O22" s="81">
        <v>315686</v>
      </c>
      <c r="P22" s="38">
        <f t="shared" ref="P22" si="293">(+O22-+O21)*48</f>
        <v>7536</v>
      </c>
      <c r="Q22" s="81">
        <v>471300</v>
      </c>
      <c r="R22" s="38">
        <f t="shared" ref="R22" si="294">(+Q22-+Q21)*48</f>
        <v>3168</v>
      </c>
      <c r="S22" s="81">
        <v>753476</v>
      </c>
      <c r="T22" s="38">
        <f t="shared" ref="T22" si="295">(+S22-+S21)*48</f>
        <v>4752</v>
      </c>
      <c r="U22" s="86">
        <v>4281</v>
      </c>
      <c r="V22" s="107">
        <f t="shared" ref="V22" si="296">(+U22-+U21)*48</f>
        <v>0</v>
      </c>
      <c r="W22" s="81">
        <v>84305</v>
      </c>
      <c r="X22" s="38">
        <f t="shared" ref="X22" si="297">(+W22-+W21)*48</f>
        <v>48</v>
      </c>
      <c r="Y22" s="81">
        <v>1518180</v>
      </c>
      <c r="Z22" s="38">
        <f t="shared" si="274"/>
        <v>0</v>
      </c>
      <c r="AA22" s="81">
        <v>13885</v>
      </c>
      <c r="AB22" s="38">
        <f t="shared" ref="AB22" si="298">(+AA22-+AA21)*48</f>
        <v>0</v>
      </c>
      <c r="AC22" s="81">
        <v>487130</v>
      </c>
      <c r="AD22" s="38">
        <f t="shared" si="14"/>
        <v>7920</v>
      </c>
      <c r="AE22" s="81">
        <v>558263</v>
      </c>
      <c r="AF22" s="38">
        <f t="shared" si="14"/>
        <v>6672</v>
      </c>
      <c r="AG22" s="81">
        <v>49787</v>
      </c>
      <c r="AH22" s="38">
        <f t="shared" ref="AH22" si="299">(+AG22-+AG21)*48</f>
        <v>0</v>
      </c>
      <c r="AI22" s="81">
        <v>436317</v>
      </c>
      <c r="AJ22" s="38">
        <f t="shared" ref="AJ22" si="300">(+AI22-+AI21)*48</f>
        <v>4464</v>
      </c>
      <c r="AK22" s="81">
        <v>102770</v>
      </c>
      <c r="AL22" s="38">
        <f t="shared" ref="AL22" si="301">(+AK22-+AK21)*48</f>
        <v>0</v>
      </c>
      <c r="AM22" s="81">
        <v>596294</v>
      </c>
      <c r="AN22" s="38">
        <f t="shared" ref="AN22" si="302">(+AM22-+AM21)*48</f>
        <v>5424</v>
      </c>
      <c r="AO22" s="81">
        <v>976827</v>
      </c>
      <c r="AP22" s="38">
        <f t="shared" ref="AP22" si="303">(+AO22-+AO21)*48</f>
        <v>6192</v>
      </c>
      <c r="AQ22" s="81">
        <v>88721</v>
      </c>
      <c r="AR22" s="38">
        <f t="shared" ref="AR22" si="304">(+AQ22-+AQ21)*48</f>
        <v>0</v>
      </c>
      <c r="AS22" s="81">
        <v>2453</v>
      </c>
      <c r="AT22" s="38">
        <f t="shared" ref="AT22" si="305">(+AS22-+AS21)*48</f>
        <v>0</v>
      </c>
      <c r="AU22" s="81">
        <v>939</v>
      </c>
      <c r="AV22" s="38">
        <f t="shared" ref="AV22" si="306">(+AU22-+AU21)*48</f>
        <v>0</v>
      </c>
      <c r="AW22" s="81">
        <v>3110</v>
      </c>
      <c r="AX22" s="38">
        <f t="shared" ref="AX22:AX23" si="307">(+AW22-+AW21)*48</f>
        <v>0</v>
      </c>
      <c r="AY22" s="81">
        <v>337400</v>
      </c>
      <c r="AZ22" s="38">
        <f t="shared" ref="AZ22" si="308">(+AY22-+AY21)*48</f>
        <v>5808</v>
      </c>
      <c r="BA22" s="81">
        <v>161101</v>
      </c>
      <c r="BB22" s="38">
        <f>(+BA23-+BA21)*48</f>
        <v>0</v>
      </c>
      <c r="BC22" s="81">
        <v>229523</v>
      </c>
      <c r="BD22" s="38">
        <f t="shared" ref="BD22" si="309">(+BC22-+BC21)*48</f>
        <v>3552</v>
      </c>
      <c r="BE22" s="81">
        <v>5347</v>
      </c>
      <c r="BF22" s="38">
        <f t="shared" ref="BF22" si="310">(+BE22-+BE21)*48</f>
        <v>0</v>
      </c>
      <c r="BH22" s="170">
        <f t="shared" si="1"/>
        <v>109334.39999999999</v>
      </c>
      <c r="BI22" s="170">
        <f t="shared" si="2"/>
        <v>78729.600000000006</v>
      </c>
    </row>
    <row r="23" spans="1:61" s="36" customFormat="1" ht="39.950000000000003" customHeight="1">
      <c r="A23" s="194">
        <v>44607</v>
      </c>
      <c r="B23" s="35"/>
      <c r="C23" s="81">
        <v>6694721</v>
      </c>
      <c r="D23" s="38">
        <f t="shared" ref="D23" si="311">(+C23-+C22)*48</f>
        <v>156192</v>
      </c>
      <c r="E23" s="108">
        <f>D23*E5</f>
        <v>82781.760000000009</v>
      </c>
      <c r="F23" s="107">
        <f>D23*F5</f>
        <v>73410.239999999991</v>
      </c>
      <c r="G23" s="81">
        <v>292435</v>
      </c>
      <c r="H23" s="38">
        <f t="shared" ref="H23" si="312">(+G23-+G22)*48</f>
        <v>1248</v>
      </c>
      <c r="I23" s="81">
        <v>170775</v>
      </c>
      <c r="J23" s="38">
        <f t="shared" ref="J23" si="313">(+I23-+I22)*48</f>
        <v>8160</v>
      </c>
      <c r="K23" s="81">
        <v>268298</v>
      </c>
      <c r="L23" s="38">
        <f t="shared" si="0"/>
        <v>432</v>
      </c>
      <c r="M23" s="81">
        <v>25266</v>
      </c>
      <c r="N23" s="38">
        <f t="shared" ref="N23" si="314">(+M23-+M22)*48</f>
        <v>0</v>
      </c>
      <c r="O23" s="81">
        <v>315835</v>
      </c>
      <c r="P23" s="38">
        <f t="shared" ref="P23" si="315">(+O23-+O22)*48</f>
        <v>7152</v>
      </c>
      <c r="Q23" s="81">
        <v>471365</v>
      </c>
      <c r="R23" s="38">
        <f t="shared" ref="R23" si="316">(+Q23-+Q22)*48</f>
        <v>3120</v>
      </c>
      <c r="S23" s="81">
        <v>753575</v>
      </c>
      <c r="T23" s="38">
        <f t="shared" ref="T23" si="317">(+S23-+S22)*48</f>
        <v>4752</v>
      </c>
      <c r="U23" s="86">
        <v>4281</v>
      </c>
      <c r="V23" s="107">
        <f t="shared" ref="V23" si="318">(+U23-+U22)*48</f>
        <v>0</v>
      </c>
      <c r="W23" s="81">
        <v>84308</v>
      </c>
      <c r="X23" s="38">
        <f t="shared" ref="X23" si="319">(+W23-+W22)*48</f>
        <v>144</v>
      </c>
      <c r="Y23" s="81">
        <v>1518180</v>
      </c>
      <c r="Z23" s="38">
        <f t="shared" ref="Z23" si="320">(+Y23-+Y22)*48</f>
        <v>0</v>
      </c>
      <c r="AA23" s="81">
        <v>13885</v>
      </c>
      <c r="AB23" s="38">
        <f t="shared" ref="AB23" si="321">(+AA23-+AA22)*48</f>
        <v>0</v>
      </c>
      <c r="AC23" s="81">
        <v>487256</v>
      </c>
      <c r="AD23" s="38">
        <f t="shared" si="14"/>
        <v>6048</v>
      </c>
      <c r="AE23" s="81">
        <v>558369</v>
      </c>
      <c r="AF23" s="38">
        <f t="shared" si="14"/>
        <v>5088</v>
      </c>
      <c r="AG23" s="81">
        <v>49787</v>
      </c>
      <c r="AH23" s="38">
        <f t="shared" ref="AH23" si="322">(+AG23-+AG22)*48</f>
        <v>0</v>
      </c>
      <c r="AI23" s="81">
        <v>436423</v>
      </c>
      <c r="AJ23" s="38">
        <f t="shared" ref="AJ23" si="323">(+AI23-+AI22)*48</f>
        <v>5088</v>
      </c>
      <c r="AK23" s="81">
        <v>102770</v>
      </c>
      <c r="AL23" s="38">
        <f t="shared" ref="AL23" si="324">(+AK23-+AK22)*48</f>
        <v>0</v>
      </c>
      <c r="AM23" s="81">
        <v>596350</v>
      </c>
      <c r="AN23" s="38">
        <f t="shared" ref="AN23" si="325">(+AM23-+AM22)*48</f>
        <v>2688</v>
      </c>
      <c r="AO23" s="81">
        <v>976971</v>
      </c>
      <c r="AP23" s="38">
        <f t="shared" ref="AP23" si="326">(+AO23-+AO22)*48</f>
        <v>6912</v>
      </c>
      <c r="AQ23" s="81">
        <v>88721</v>
      </c>
      <c r="AR23" s="38">
        <f t="shared" ref="AR23" si="327">(+AQ23-+AQ22)*48</f>
        <v>0</v>
      </c>
      <c r="AS23" s="81">
        <v>2453</v>
      </c>
      <c r="AT23" s="38">
        <f t="shared" ref="AT23" si="328">(+AS23-+AS22)*48</f>
        <v>0</v>
      </c>
      <c r="AU23" s="81">
        <v>939</v>
      </c>
      <c r="AV23" s="38">
        <f t="shared" ref="AV23" si="329">(+AU23-+AU22)*48</f>
        <v>0</v>
      </c>
      <c r="AW23" s="81">
        <v>3110</v>
      </c>
      <c r="AX23" s="38">
        <f t="shared" si="307"/>
        <v>0</v>
      </c>
      <c r="AY23" s="81">
        <v>337520</v>
      </c>
      <c r="AZ23" s="38">
        <f t="shared" ref="AZ23" si="330">(+AY23-+AY22)*48</f>
        <v>5760</v>
      </c>
      <c r="BA23" s="81">
        <v>161101</v>
      </c>
      <c r="BB23" s="107">
        <f t="shared" ref="BB23:BB25" si="331">(+BA23-+BA22)*48</f>
        <v>0</v>
      </c>
      <c r="BC23" s="81">
        <v>229597</v>
      </c>
      <c r="BD23" s="38">
        <f t="shared" ref="BD23" si="332">(+BC23-+BC22)*48</f>
        <v>3552</v>
      </c>
      <c r="BE23" s="81">
        <v>5347</v>
      </c>
      <c r="BF23" s="38">
        <f t="shared" ref="BF23" si="333">(+BE23-+BE22)*48</f>
        <v>0</v>
      </c>
      <c r="BH23" s="109">
        <f t="shared" si="1"/>
        <v>124013.76000000001</v>
      </c>
      <c r="BI23" s="109">
        <f t="shared" si="2"/>
        <v>92322.239999999991</v>
      </c>
    </row>
    <row r="24" spans="1:61" s="36" customFormat="1" ht="39.950000000000003" customHeight="1">
      <c r="A24" s="194">
        <v>44608</v>
      </c>
      <c r="B24" s="35"/>
      <c r="C24" s="81">
        <v>6697870</v>
      </c>
      <c r="D24" s="107">
        <f t="shared" ref="D24" si="334">(+C24-+C23)*48</f>
        <v>151152</v>
      </c>
      <c r="E24" s="108">
        <f>D24*E5</f>
        <v>80110.559999999998</v>
      </c>
      <c r="F24" s="107">
        <f>D24*F5</f>
        <v>71041.440000000002</v>
      </c>
      <c r="G24" s="81">
        <v>292460</v>
      </c>
      <c r="H24" s="107">
        <f t="shared" ref="H24" si="335">(+G24-+G23)*48</f>
        <v>1200</v>
      </c>
      <c r="I24" s="81">
        <v>170937</v>
      </c>
      <c r="J24" s="107">
        <f t="shared" ref="J24" si="336">(+I24-+I23)*48</f>
        <v>7776</v>
      </c>
      <c r="K24" s="81">
        <v>268305</v>
      </c>
      <c r="L24" s="107">
        <f t="shared" si="0"/>
        <v>336</v>
      </c>
      <c r="M24" s="81">
        <v>25266</v>
      </c>
      <c r="N24" s="38">
        <f t="shared" ref="N24" si="337">(+M24-+M23)*48</f>
        <v>0</v>
      </c>
      <c r="O24" s="81">
        <v>315978</v>
      </c>
      <c r="P24" s="107">
        <f t="shared" ref="P24" si="338">(+O24-+O23)*48</f>
        <v>6864</v>
      </c>
      <c r="Q24" s="81">
        <v>471426</v>
      </c>
      <c r="R24" s="107">
        <f t="shared" ref="R24" si="339">(+Q24-+Q23)*48</f>
        <v>2928</v>
      </c>
      <c r="S24" s="81">
        <v>753661</v>
      </c>
      <c r="T24" s="107">
        <f t="shared" ref="T24" si="340">(+S24-+S23)*48</f>
        <v>4128</v>
      </c>
      <c r="U24" s="86">
        <v>4281</v>
      </c>
      <c r="V24" s="107">
        <f t="shared" ref="V24" si="341">(+U24-+U23)*48</f>
        <v>0</v>
      </c>
      <c r="W24" s="81">
        <v>84310</v>
      </c>
      <c r="X24" s="107">
        <f t="shared" ref="X24" si="342">(+W24-+W23)*48</f>
        <v>96</v>
      </c>
      <c r="Y24" s="81">
        <v>1518180</v>
      </c>
      <c r="Z24" s="107">
        <f t="shared" ref="Z24" si="343">(+Y24-+Y23)*48</f>
        <v>0</v>
      </c>
      <c r="AA24" s="81">
        <v>13885</v>
      </c>
      <c r="AB24" s="107">
        <f t="shared" ref="AB24" si="344">(+AA24-+AA23)*48</f>
        <v>0</v>
      </c>
      <c r="AC24" s="81">
        <v>487415</v>
      </c>
      <c r="AD24" s="107">
        <f t="shared" si="14"/>
        <v>7632</v>
      </c>
      <c r="AE24" s="81">
        <v>558531</v>
      </c>
      <c r="AF24" s="107">
        <f t="shared" si="14"/>
        <v>7776</v>
      </c>
      <c r="AG24" s="81">
        <v>49787</v>
      </c>
      <c r="AH24" s="107">
        <f t="shared" ref="AH24" si="345">(+AG24-+AG23)*48</f>
        <v>0</v>
      </c>
      <c r="AI24" s="81">
        <v>436530</v>
      </c>
      <c r="AJ24" s="107">
        <f t="shared" ref="AJ24" si="346">(+AI24-+AI23)*48</f>
        <v>5136</v>
      </c>
      <c r="AK24" s="81">
        <v>102770</v>
      </c>
      <c r="AL24" s="107">
        <f t="shared" ref="AL24" si="347">(+AK24-+AK23)*48</f>
        <v>0</v>
      </c>
      <c r="AM24" s="81">
        <v>596437</v>
      </c>
      <c r="AN24" s="107">
        <f t="shared" ref="AN24" si="348">(+AM24-+AM23)*48</f>
        <v>4176</v>
      </c>
      <c r="AO24" s="81">
        <v>977163</v>
      </c>
      <c r="AP24" s="107">
        <f t="shared" ref="AP24" si="349">(+AO24-+AO23)*48</f>
        <v>9216</v>
      </c>
      <c r="AQ24" s="81">
        <v>88721</v>
      </c>
      <c r="AR24" s="107">
        <f t="shared" ref="AR24" si="350">(+AQ24-+AQ23)*48</f>
        <v>0</v>
      </c>
      <c r="AS24" s="81">
        <v>2453</v>
      </c>
      <c r="AT24" s="107">
        <f t="shared" ref="AT24" si="351">(+AS24-+AS23)*48</f>
        <v>0</v>
      </c>
      <c r="AU24" s="81">
        <v>939</v>
      </c>
      <c r="AV24" s="107">
        <f t="shared" ref="AV24" si="352">(+AU24-+AU23)*48</f>
        <v>0</v>
      </c>
      <c r="AW24" s="81">
        <v>3110</v>
      </c>
      <c r="AX24" s="107">
        <f t="shared" ref="AX24" si="353">(+AW24-+AW23)*48</f>
        <v>0</v>
      </c>
      <c r="AY24" s="81">
        <v>337640</v>
      </c>
      <c r="AZ24" s="107">
        <f t="shared" ref="AZ24" si="354">(+AY24-+AY23)*48</f>
        <v>5760</v>
      </c>
      <c r="BA24" s="81">
        <v>161101</v>
      </c>
      <c r="BB24" s="107">
        <f t="shared" si="331"/>
        <v>0</v>
      </c>
      <c r="BC24" s="81">
        <v>229674</v>
      </c>
      <c r="BD24" s="107">
        <f t="shared" ref="BD24" si="355">(+BC24-+BC23)*48</f>
        <v>3696</v>
      </c>
      <c r="BE24" s="81">
        <v>5347</v>
      </c>
      <c r="BF24" s="107">
        <f t="shared" ref="BF24" si="356">(+BE24-+BE23)*48</f>
        <v>0</v>
      </c>
      <c r="BH24" s="109">
        <f t="shared" si="1"/>
        <v>123982.56</v>
      </c>
      <c r="BI24" s="109">
        <f t="shared" si="2"/>
        <v>93889.44</v>
      </c>
    </row>
    <row r="25" spans="1:61" s="36" customFormat="1" ht="39.950000000000003" customHeight="1">
      <c r="A25" s="194">
        <v>44609</v>
      </c>
      <c r="B25" s="35"/>
      <c r="C25" s="81">
        <v>6700625</v>
      </c>
      <c r="D25" s="107">
        <f t="shared" ref="D25" si="357">(+C25-+C24)*48</f>
        <v>132240</v>
      </c>
      <c r="E25" s="108">
        <f>D25*E5</f>
        <v>70087.199999999997</v>
      </c>
      <c r="F25" s="107">
        <f>D25*F5</f>
        <v>62152.799999999996</v>
      </c>
      <c r="G25" s="81">
        <v>292477</v>
      </c>
      <c r="H25" s="107">
        <f t="shared" ref="H25" si="358">(+G25-+G24)*48</f>
        <v>816</v>
      </c>
      <c r="I25" s="81">
        <v>171099</v>
      </c>
      <c r="J25" s="107">
        <f t="shared" ref="J25" si="359">(+I25-+I24)*48</f>
        <v>7776</v>
      </c>
      <c r="K25" s="81">
        <v>268305</v>
      </c>
      <c r="L25" s="107">
        <f t="shared" si="0"/>
        <v>0</v>
      </c>
      <c r="M25" s="81">
        <v>25266</v>
      </c>
      <c r="N25" s="38">
        <f t="shared" ref="N25" si="360">(+M25-+M24)*48</f>
        <v>0</v>
      </c>
      <c r="O25" s="81">
        <v>316115</v>
      </c>
      <c r="P25" s="107">
        <f t="shared" ref="P25" si="361">(+O25-+O24)*48</f>
        <v>6576</v>
      </c>
      <c r="Q25" s="81">
        <v>471487</v>
      </c>
      <c r="R25" s="107">
        <f t="shared" ref="R25" si="362">(+Q25-+Q24)*48</f>
        <v>2928</v>
      </c>
      <c r="S25" s="81">
        <v>753748</v>
      </c>
      <c r="T25" s="107">
        <f t="shared" ref="T25" si="363">(+S25-+S24)*48</f>
        <v>4176</v>
      </c>
      <c r="U25" s="86">
        <v>4281</v>
      </c>
      <c r="V25" s="107">
        <f t="shared" ref="V25" si="364">(+U25-+U24)*48</f>
        <v>0</v>
      </c>
      <c r="W25" s="81">
        <v>84313</v>
      </c>
      <c r="X25" s="107">
        <f t="shared" ref="X25" si="365">(+W25-+W24)*48</f>
        <v>144</v>
      </c>
      <c r="Y25" s="81">
        <v>1518180</v>
      </c>
      <c r="Z25" s="107">
        <f t="shared" ref="Z25" si="366">(+Y25-+Y24)*48</f>
        <v>0</v>
      </c>
      <c r="AA25" s="81">
        <v>13885</v>
      </c>
      <c r="AB25" s="107">
        <f t="shared" ref="AB25" si="367">(+AA25-+AA24)*48</f>
        <v>0</v>
      </c>
      <c r="AC25" s="81">
        <v>487556</v>
      </c>
      <c r="AD25" s="107">
        <f t="shared" si="14"/>
        <v>6768</v>
      </c>
      <c r="AE25" s="81">
        <v>558685</v>
      </c>
      <c r="AF25" s="107">
        <f t="shared" si="14"/>
        <v>7392</v>
      </c>
      <c r="AG25" s="81">
        <v>49787</v>
      </c>
      <c r="AH25" s="107">
        <f t="shared" ref="AH25" si="368">(+AG25-+AG24)*48</f>
        <v>0</v>
      </c>
      <c r="AI25" s="81">
        <v>436617</v>
      </c>
      <c r="AJ25" s="107">
        <f t="shared" ref="AJ25" si="369">(+AI25-+AI24)*48</f>
        <v>4176</v>
      </c>
      <c r="AK25" s="81">
        <v>102770</v>
      </c>
      <c r="AL25" s="107">
        <f t="shared" ref="AL25" si="370">(+AK25-+AK24)*48</f>
        <v>0</v>
      </c>
      <c r="AM25" s="81">
        <v>596519</v>
      </c>
      <c r="AN25" s="107">
        <f t="shared" ref="AN25" si="371">(+AM25-+AM24)*48</f>
        <v>3936</v>
      </c>
      <c r="AO25" s="81">
        <v>977347</v>
      </c>
      <c r="AP25" s="107">
        <f t="shared" ref="AP25" si="372">(+AO25-+AO24)*48</f>
        <v>8832</v>
      </c>
      <c r="AQ25" s="81">
        <v>88721</v>
      </c>
      <c r="AR25" s="107">
        <f t="shared" ref="AR25" si="373">(+AQ25-+AQ24)*48</f>
        <v>0</v>
      </c>
      <c r="AS25" s="81">
        <v>2453</v>
      </c>
      <c r="AT25" s="107">
        <f t="shared" ref="AT25" si="374">(+AS25-+AS24)*48</f>
        <v>0</v>
      </c>
      <c r="AU25" s="81">
        <v>939</v>
      </c>
      <c r="AV25" s="107">
        <f t="shared" ref="AV25" si="375">(+AU25-+AU24)*48</f>
        <v>0</v>
      </c>
      <c r="AW25" s="81">
        <v>3110</v>
      </c>
      <c r="AX25" s="107">
        <f t="shared" ref="AX25" si="376">(+AW25-+AW24)*48</f>
        <v>0</v>
      </c>
      <c r="AY25" s="81">
        <v>337761</v>
      </c>
      <c r="AZ25" s="107">
        <f t="shared" ref="AZ25" si="377">(+AY25-+AY24)*48</f>
        <v>5808</v>
      </c>
      <c r="BA25" s="81">
        <v>161101</v>
      </c>
      <c r="BB25" s="107">
        <f t="shared" si="331"/>
        <v>0</v>
      </c>
      <c r="BC25" s="81">
        <v>229749</v>
      </c>
      <c r="BD25" s="107">
        <f t="shared" ref="BD25" si="378">(+BC25-+BC24)*48</f>
        <v>3600</v>
      </c>
      <c r="BE25" s="81">
        <v>5347</v>
      </c>
      <c r="BF25" s="107">
        <f t="shared" ref="BF25" si="379">(+BE25-+BE24)*48</f>
        <v>0</v>
      </c>
      <c r="BH25" s="109">
        <f t="shared" si="1"/>
        <v>110839.2</v>
      </c>
      <c r="BI25" s="109">
        <f t="shared" si="2"/>
        <v>84328.799999999988</v>
      </c>
    </row>
    <row r="26" spans="1:61" s="36" customFormat="1" ht="39.950000000000003" customHeight="1">
      <c r="A26" s="194">
        <v>44610</v>
      </c>
      <c r="B26" s="35"/>
      <c r="C26" s="81">
        <v>6703762</v>
      </c>
      <c r="D26" s="107">
        <f t="shared" ref="D26" si="380">(+C26-+C25)*48</f>
        <v>150576</v>
      </c>
      <c r="E26" s="108">
        <f>D26*E5</f>
        <v>79805.279999999999</v>
      </c>
      <c r="F26" s="107">
        <f>D26*F5</f>
        <v>70770.720000000001</v>
      </c>
      <c r="G26" s="81">
        <v>292508</v>
      </c>
      <c r="H26" s="107">
        <f t="shared" ref="H26" si="381">(+G26-+G25)*48</f>
        <v>1488</v>
      </c>
      <c r="I26" s="81">
        <v>171250</v>
      </c>
      <c r="J26" s="107">
        <f t="shared" ref="J26" si="382">(+I26-+I25)*48</f>
        <v>7248</v>
      </c>
      <c r="K26" s="81">
        <v>268316</v>
      </c>
      <c r="L26" s="107">
        <f t="shared" si="0"/>
        <v>528</v>
      </c>
      <c r="M26" s="81">
        <v>25266</v>
      </c>
      <c r="N26" s="38">
        <f t="shared" ref="N26" si="383">(+M26-+M25)*48</f>
        <v>0</v>
      </c>
      <c r="O26" s="81">
        <v>316261</v>
      </c>
      <c r="P26" s="107">
        <f t="shared" ref="P26" si="384">(+O26-+O25)*48</f>
        <v>7008</v>
      </c>
      <c r="Q26" s="81">
        <v>471568</v>
      </c>
      <c r="R26" s="107">
        <f t="shared" ref="R26" si="385">(+Q26-+Q25)*48</f>
        <v>3888</v>
      </c>
      <c r="S26" s="81">
        <v>753835</v>
      </c>
      <c r="T26" s="107">
        <f t="shared" ref="T26" si="386">(+S26-+S25)*48</f>
        <v>4176</v>
      </c>
      <c r="U26" s="86">
        <v>4281</v>
      </c>
      <c r="V26" s="107">
        <f t="shared" ref="V26" si="387">(+U26-+U25)*48</f>
        <v>0</v>
      </c>
      <c r="W26" s="81">
        <v>84313</v>
      </c>
      <c r="X26" s="107">
        <f t="shared" ref="X26" si="388">(+W26-+W25)*48</f>
        <v>0</v>
      </c>
      <c r="Y26" s="81">
        <v>1518180</v>
      </c>
      <c r="Z26" s="107">
        <f t="shared" ref="Z26" si="389">(+Y26-+Y25)*48</f>
        <v>0</v>
      </c>
      <c r="AA26" s="81">
        <v>13885</v>
      </c>
      <c r="AB26" s="107">
        <f>(+AA26-+AA25)*48</f>
        <v>0</v>
      </c>
      <c r="AC26" s="81">
        <v>487741</v>
      </c>
      <c r="AD26" s="107">
        <f t="shared" si="14"/>
        <v>8880</v>
      </c>
      <c r="AE26" s="81">
        <v>558874</v>
      </c>
      <c r="AF26" s="107">
        <f t="shared" si="14"/>
        <v>9072</v>
      </c>
      <c r="AG26" s="81">
        <v>49787</v>
      </c>
      <c r="AH26" s="107">
        <f t="shared" ref="AH26" si="390">(+AG26-+AG25)*48</f>
        <v>0</v>
      </c>
      <c r="AI26" s="81">
        <v>436701</v>
      </c>
      <c r="AJ26" s="107">
        <f t="shared" ref="AJ26" si="391">(+AI26-+AI25)*48</f>
        <v>4032</v>
      </c>
      <c r="AK26" s="81">
        <v>102770</v>
      </c>
      <c r="AL26" s="107">
        <f t="shared" ref="AL26" si="392">(+AK26-+AK25)*48</f>
        <v>0</v>
      </c>
      <c r="AM26" s="81">
        <v>596630</v>
      </c>
      <c r="AN26" s="107">
        <f t="shared" ref="AN26" si="393">(+AM26-+AM25)*48</f>
        <v>5328</v>
      </c>
      <c r="AO26" s="81">
        <v>977566</v>
      </c>
      <c r="AP26" s="107">
        <f t="shared" ref="AP26" si="394">(+AO26-+AO25)*48</f>
        <v>10512</v>
      </c>
      <c r="AQ26" s="81">
        <v>88721</v>
      </c>
      <c r="AR26" s="107">
        <f t="shared" ref="AR26" si="395">(+AQ26-+AQ25)*48</f>
        <v>0</v>
      </c>
      <c r="AS26" s="81">
        <v>2453</v>
      </c>
      <c r="AT26" s="107">
        <f t="shared" ref="AT26" si="396">(+AS26-+AS25)*48</f>
        <v>0</v>
      </c>
      <c r="AU26" s="81">
        <v>939</v>
      </c>
      <c r="AV26" s="107">
        <f t="shared" ref="AV26" si="397">(+AU26-+AU25)*48</f>
        <v>0</v>
      </c>
      <c r="AW26" s="81">
        <v>3110</v>
      </c>
      <c r="AX26" s="107">
        <f t="shared" ref="AX26" si="398">(+AW26-+AW25)*48</f>
        <v>0</v>
      </c>
      <c r="AY26" s="81">
        <v>337888</v>
      </c>
      <c r="AZ26" s="107">
        <f>(+AY26-+AY25)*48</f>
        <v>6096</v>
      </c>
      <c r="BA26" s="81">
        <v>161101</v>
      </c>
      <c r="BB26" s="107">
        <f>(+BA26-+BA25)*48</f>
        <v>0</v>
      </c>
      <c r="BC26" s="81">
        <v>229828</v>
      </c>
      <c r="BD26" s="107">
        <f t="shared" ref="BD26" si="399">(+BC26-+BC25)*48</f>
        <v>3792</v>
      </c>
      <c r="BE26" s="81">
        <v>5347</v>
      </c>
      <c r="BF26" s="107">
        <f t="shared" ref="BF26" si="400">(+BE26-+BE25)*48</f>
        <v>0</v>
      </c>
      <c r="BH26" s="109">
        <f t="shared" si="1"/>
        <v>126125.28</v>
      </c>
      <c r="BI26" s="109">
        <f t="shared" si="2"/>
        <v>96498.72</v>
      </c>
    </row>
    <row r="27" spans="1:61" s="36" customFormat="1" ht="39.950000000000003" customHeight="1">
      <c r="A27" s="194">
        <v>44611</v>
      </c>
      <c r="B27" s="35"/>
      <c r="C27" s="81">
        <v>6706930</v>
      </c>
      <c r="D27" s="107">
        <f t="shared" ref="D27" si="401">(+C27-+C26)*48</f>
        <v>152064</v>
      </c>
      <c r="E27" s="108">
        <f>D27*E5</f>
        <v>80593.919999999998</v>
      </c>
      <c r="F27" s="107">
        <f>D27*F5</f>
        <v>71470.080000000002</v>
      </c>
      <c r="G27" s="81">
        <v>292536</v>
      </c>
      <c r="H27" s="107">
        <f t="shared" ref="H27" si="402">(+G27-+G26)*48</f>
        <v>1344</v>
      </c>
      <c r="I27" s="81">
        <v>171407</v>
      </c>
      <c r="J27" s="107">
        <f t="shared" ref="J27" si="403">(+I27-+I26)*48</f>
        <v>7536</v>
      </c>
      <c r="K27" s="81">
        <v>268323</v>
      </c>
      <c r="L27" s="107">
        <f t="shared" si="0"/>
        <v>336</v>
      </c>
      <c r="M27" s="81">
        <v>25266</v>
      </c>
      <c r="N27" s="38">
        <f t="shared" ref="N27" si="404">(+M27-+M26)*48</f>
        <v>0</v>
      </c>
      <c r="O27" s="81">
        <v>316426</v>
      </c>
      <c r="P27" s="107">
        <f t="shared" ref="P27" si="405">(+O27-+O26)*48</f>
        <v>7920</v>
      </c>
      <c r="Q27" s="81">
        <v>471648</v>
      </c>
      <c r="R27" s="107">
        <f t="shared" ref="R27" si="406">(+Q27-+Q26)*48</f>
        <v>3840</v>
      </c>
      <c r="S27" s="81">
        <v>753936</v>
      </c>
      <c r="T27" s="107">
        <f t="shared" ref="T27" si="407">(+S27-+S26)*48</f>
        <v>4848</v>
      </c>
      <c r="U27" s="86">
        <v>4281</v>
      </c>
      <c r="V27" s="107">
        <f t="shared" ref="V27" si="408">(+U27-+U26)*48</f>
        <v>0</v>
      </c>
      <c r="W27" s="81">
        <v>84313</v>
      </c>
      <c r="X27" s="107">
        <f t="shared" ref="X27" si="409">(+W27-+W26)*48</f>
        <v>0</v>
      </c>
      <c r="Y27" s="81">
        <v>1518180</v>
      </c>
      <c r="Z27" s="107">
        <f t="shared" ref="Z27" si="410">(+Y27-+Y26)*48</f>
        <v>0</v>
      </c>
      <c r="AA27" s="81">
        <v>13885</v>
      </c>
      <c r="AB27" s="107">
        <f>(+AA27-+AA26)*48</f>
        <v>0</v>
      </c>
      <c r="AC27" s="81">
        <v>487917</v>
      </c>
      <c r="AD27" s="107">
        <f t="shared" si="14"/>
        <v>8448</v>
      </c>
      <c r="AE27" s="81">
        <v>559049</v>
      </c>
      <c r="AF27" s="107">
        <f t="shared" si="14"/>
        <v>8400</v>
      </c>
      <c r="AG27" s="81">
        <v>49787</v>
      </c>
      <c r="AH27" s="107">
        <f t="shared" ref="AH27" si="411">(+AG27-+AG26)*48</f>
        <v>0</v>
      </c>
      <c r="AI27" s="81">
        <v>436798</v>
      </c>
      <c r="AJ27" s="107">
        <f t="shared" ref="AJ27" si="412">(+AI27-+AI26)*48</f>
        <v>4656</v>
      </c>
      <c r="AK27" s="81">
        <v>102770</v>
      </c>
      <c r="AL27" s="107">
        <f t="shared" ref="AL27" si="413">(+AK27-+AK26)*48</f>
        <v>0</v>
      </c>
      <c r="AM27" s="81">
        <v>596742</v>
      </c>
      <c r="AN27" s="107">
        <f t="shared" ref="AN27" si="414">(+AM27-+AM26)*48</f>
        <v>5376</v>
      </c>
      <c r="AO27" s="81">
        <v>977787</v>
      </c>
      <c r="AP27" s="107">
        <f t="shared" ref="AP27" si="415">(+AO27-+AO26)*48</f>
        <v>10608</v>
      </c>
      <c r="AQ27" s="81">
        <v>88721</v>
      </c>
      <c r="AR27" s="107">
        <f t="shared" ref="AR27" si="416">(+AQ27-+AQ26)*48</f>
        <v>0</v>
      </c>
      <c r="AS27" s="81">
        <v>2453</v>
      </c>
      <c r="AT27" s="107">
        <f t="shared" ref="AT27" si="417">(+AS27-+AS26)*48</f>
        <v>0</v>
      </c>
      <c r="AU27" s="81">
        <v>939</v>
      </c>
      <c r="AV27" s="107">
        <f t="shared" ref="AV27" si="418">(+AU27-+AU26)*48</f>
        <v>0</v>
      </c>
      <c r="AW27" s="81">
        <v>3110</v>
      </c>
      <c r="AX27" s="107">
        <f t="shared" ref="AX27" si="419">(+AW27-+AW26)*48</f>
        <v>0</v>
      </c>
      <c r="AY27" s="81">
        <v>338007</v>
      </c>
      <c r="AZ27" s="107">
        <f t="shared" ref="AZ27" si="420">(+AY27-+AY26)*48</f>
        <v>5712</v>
      </c>
      <c r="BA27" s="81">
        <v>161101</v>
      </c>
      <c r="BB27" s="107">
        <f>(+BA27-+BA26)*48</f>
        <v>0</v>
      </c>
      <c r="BC27" s="81">
        <v>229905</v>
      </c>
      <c r="BD27" s="107">
        <f t="shared" ref="BD27" si="421">(+BC27-+BC26)*48</f>
        <v>3696</v>
      </c>
      <c r="BE27" s="81">
        <v>5347</v>
      </c>
      <c r="BF27" s="107">
        <f t="shared" ref="BF27" si="422">(+BE27-+BE26)*48</f>
        <v>0</v>
      </c>
      <c r="BH27" s="109">
        <f t="shared" si="1"/>
        <v>127921.92</v>
      </c>
      <c r="BI27" s="109">
        <f t="shared" si="2"/>
        <v>96862.080000000002</v>
      </c>
    </row>
    <row r="28" spans="1:61" s="36" customFormat="1" ht="39.950000000000003" customHeight="1">
      <c r="A28" s="194">
        <v>44612</v>
      </c>
      <c r="B28" s="35"/>
      <c r="C28" s="81">
        <v>6710345</v>
      </c>
      <c r="D28" s="107">
        <f t="shared" ref="D28" si="423">(+C28-+C27)*48</f>
        <v>163920</v>
      </c>
      <c r="E28" s="108">
        <f>D28*E5</f>
        <v>86877.6</v>
      </c>
      <c r="F28" s="107">
        <f>D28*F5</f>
        <v>77042.399999999994</v>
      </c>
      <c r="G28" s="81">
        <v>292567</v>
      </c>
      <c r="H28" s="107">
        <f t="shared" ref="H28" si="424">(+G28-+G27)*48</f>
        <v>1488</v>
      </c>
      <c r="I28" s="81">
        <v>171567</v>
      </c>
      <c r="J28" s="107">
        <f t="shared" ref="J28" si="425">(+I28-+I27)*48</f>
        <v>7680</v>
      </c>
      <c r="K28" s="81">
        <v>268330</v>
      </c>
      <c r="L28" s="107">
        <f t="shared" si="0"/>
        <v>336</v>
      </c>
      <c r="M28" s="81">
        <v>25266</v>
      </c>
      <c r="N28" s="38">
        <f t="shared" ref="N28" si="426">(+M28-+M27)*48</f>
        <v>0</v>
      </c>
      <c r="O28" s="81">
        <v>316580</v>
      </c>
      <c r="P28" s="107">
        <f t="shared" ref="P28" si="427">(+O28-+O27)*48</f>
        <v>7392</v>
      </c>
      <c r="Q28" s="81">
        <v>471720</v>
      </c>
      <c r="R28" s="107">
        <f t="shared" ref="R28" si="428">(+Q28-+Q27)*48</f>
        <v>3456</v>
      </c>
      <c r="S28" s="81">
        <v>754044</v>
      </c>
      <c r="T28" s="107">
        <f t="shared" ref="T28" si="429">(+S28-+S27)*48</f>
        <v>5184</v>
      </c>
      <c r="U28" s="86">
        <v>4281</v>
      </c>
      <c r="V28" s="107">
        <f t="shared" ref="V28" si="430">(+U28-+U27)*48</f>
        <v>0</v>
      </c>
      <c r="W28" s="81">
        <v>84313</v>
      </c>
      <c r="X28" s="107">
        <f t="shared" ref="X28" si="431">(+W28-+W27)*48</f>
        <v>0</v>
      </c>
      <c r="Y28" s="81">
        <v>1518180</v>
      </c>
      <c r="Z28" s="107">
        <f t="shared" ref="Z28" si="432">(+Y28-+Y27)*48</f>
        <v>0</v>
      </c>
      <c r="AA28" s="81">
        <v>13885</v>
      </c>
      <c r="AB28" s="107">
        <f>(+AA28-+AA27)*48</f>
        <v>0</v>
      </c>
      <c r="AC28" s="81">
        <v>488088</v>
      </c>
      <c r="AD28" s="107">
        <f t="shared" si="14"/>
        <v>8208</v>
      </c>
      <c r="AE28" s="81">
        <v>559221</v>
      </c>
      <c r="AF28" s="107">
        <f t="shared" si="14"/>
        <v>8256</v>
      </c>
      <c r="AG28" s="81">
        <v>49787</v>
      </c>
      <c r="AH28" s="107">
        <f t="shared" ref="AH28" si="433">(+AG28-+AG27)*48</f>
        <v>0</v>
      </c>
      <c r="AI28" s="81">
        <v>436887</v>
      </c>
      <c r="AJ28" s="107">
        <f t="shared" ref="AJ28" si="434">(+AI28-+AI27)*48</f>
        <v>4272</v>
      </c>
      <c r="AK28" s="81">
        <v>102770</v>
      </c>
      <c r="AL28" s="107">
        <f t="shared" ref="AL28" si="435">(+AK28-+AK27)*48</f>
        <v>0</v>
      </c>
      <c r="AM28" s="81">
        <v>596881</v>
      </c>
      <c r="AN28" s="107">
        <f t="shared" ref="AN28" si="436">(+AM28-+AM27)*48</f>
        <v>6672</v>
      </c>
      <c r="AO28" s="81">
        <v>977994</v>
      </c>
      <c r="AP28" s="107">
        <f t="shared" ref="AP28" si="437">(+AO28-+AO27)*48</f>
        <v>9936</v>
      </c>
      <c r="AQ28" s="81">
        <v>88721</v>
      </c>
      <c r="AR28" s="107">
        <f t="shared" ref="AR28" si="438">(+AQ28-+AQ27)*48</f>
        <v>0</v>
      </c>
      <c r="AS28" s="81">
        <v>2453</v>
      </c>
      <c r="AT28" s="107">
        <f t="shared" ref="AT28" si="439">(+AS28-+AS27)*48</f>
        <v>0</v>
      </c>
      <c r="AU28" s="81">
        <v>939</v>
      </c>
      <c r="AV28" s="107">
        <f t="shared" ref="AV28" si="440">(+AU28-+AU27)*48</f>
        <v>0</v>
      </c>
      <c r="AW28" s="81">
        <v>3110</v>
      </c>
      <c r="AX28" s="107">
        <f t="shared" ref="AX28" si="441">(+AW28-+AW27)*48</f>
        <v>0</v>
      </c>
      <c r="AY28" s="81">
        <v>338131</v>
      </c>
      <c r="AZ28" s="107">
        <f t="shared" ref="AZ28" si="442">(+AY28-+AY27)*48</f>
        <v>5952</v>
      </c>
      <c r="BA28" s="81">
        <v>161101</v>
      </c>
      <c r="BB28" s="107">
        <f t="shared" ref="BB28" si="443">(+BA28-+BA27)*48</f>
        <v>0</v>
      </c>
      <c r="BC28" s="81">
        <v>229979</v>
      </c>
      <c r="BD28" s="107">
        <f t="shared" ref="BD28" si="444">(+BC28-+BC27)*48</f>
        <v>3552</v>
      </c>
      <c r="BE28" s="81">
        <v>5347</v>
      </c>
      <c r="BF28" s="107">
        <f t="shared" ref="BF28" si="445">(+BE28-+BE27)*48</f>
        <v>0</v>
      </c>
      <c r="BH28" s="109">
        <f t="shared" si="1"/>
        <v>133149.6</v>
      </c>
      <c r="BI28" s="109">
        <f t="shared" si="2"/>
        <v>103154.4</v>
      </c>
    </row>
    <row r="29" spans="1:61" s="36" customFormat="1" ht="39.950000000000003" customHeight="1">
      <c r="A29" s="194">
        <v>44613</v>
      </c>
      <c r="B29" s="35"/>
      <c r="C29" s="81">
        <v>6714356</v>
      </c>
      <c r="D29" s="107">
        <f t="shared" ref="D29" si="446">(+C29-+C28)*48</f>
        <v>192528</v>
      </c>
      <c r="E29" s="108">
        <f>D29*E5</f>
        <v>102039.84000000001</v>
      </c>
      <c r="F29" s="107">
        <f>D29*F5</f>
        <v>90488.159999999989</v>
      </c>
      <c r="G29" s="81">
        <v>292578</v>
      </c>
      <c r="H29" s="107">
        <f t="shared" ref="H29" si="447">(+G29-+G28)*48</f>
        <v>528</v>
      </c>
      <c r="I29" s="81">
        <v>171731</v>
      </c>
      <c r="J29" s="107">
        <f t="shared" ref="J29" si="448">(+I29-+I28)*48</f>
        <v>7872</v>
      </c>
      <c r="K29" s="81">
        <v>268333</v>
      </c>
      <c r="L29" s="107">
        <f t="shared" si="0"/>
        <v>144</v>
      </c>
      <c r="M29" s="81">
        <v>25266</v>
      </c>
      <c r="N29" s="38">
        <f t="shared" ref="N29" si="449">(+M29-+M28)*48</f>
        <v>0</v>
      </c>
      <c r="O29" s="81">
        <v>316723</v>
      </c>
      <c r="P29" s="107">
        <f t="shared" ref="P29" si="450">(+O29-+O28)*48</f>
        <v>6864</v>
      </c>
      <c r="Q29" s="81">
        <v>471778</v>
      </c>
      <c r="R29" s="107">
        <f t="shared" ref="R29" si="451">(+Q29-+Q28)*48</f>
        <v>2784</v>
      </c>
      <c r="S29" s="81">
        <v>754123</v>
      </c>
      <c r="T29" s="107">
        <f t="shared" ref="T29" si="452">(+S29-+S28)*48</f>
        <v>3792</v>
      </c>
      <c r="U29" s="86">
        <v>4281</v>
      </c>
      <c r="V29" s="107">
        <f t="shared" ref="V29" si="453">(+U29-+U28)*48</f>
        <v>0</v>
      </c>
      <c r="W29" s="81">
        <v>84313</v>
      </c>
      <c r="X29" s="107">
        <f t="shared" ref="X29" si="454">(+W29-+W28)*48</f>
        <v>0</v>
      </c>
      <c r="Y29" s="81">
        <v>1518180</v>
      </c>
      <c r="Z29" s="107">
        <f t="shared" ref="Z29" si="455">(+Y29-+Y28)*48</f>
        <v>0</v>
      </c>
      <c r="AA29" s="81">
        <v>13885</v>
      </c>
      <c r="AB29" s="107">
        <f t="shared" ref="AB29" si="456">(+AA29-+AA28)*48</f>
        <v>0</v>
      </c>
      <c r="AC29" s="81">
        <v>488244</v>
      </c>
      <c r="AD29" s="107">
        <f t="shared" si="14"/>
        <v>7488</v>
      </c>
      <c r="AE29" s="81">
        <v>559377</v>
      </c>
      <c r="AF29" s="107">
        <f t="shared" si="14"/>
        <v>7488</v>
      </c>
      <c r="AG29" s="81">
        <v>49787</v>
      </c>
      <c r="AH29" s="107">
        <f t="shared" ref="AH29" si="457">(+AG29-+AG28)*48</f>
        <v>0</v>
      </c>
      <c r="AI29" s="81">
        <v>436939</v>
      </c>
      <c r="AJ29" s="107">
        <f t="shared" ref="AJ29" si="458">(+AI29-+AI28)*48</f>
        <v>2496</v>
      </c>
      <c r="AK29" s="81">
        <v>102770</v>
      </c>
      <c r="AL29" s="107">
        <f t="shared" ref="AL29" si="459">(+AK29-+AK28)*48</f>
        <v>0</v>
      </c>
      <c r="AM29" s="81">
        <v>596958</v>
      </c>
      <c r="AN29" s="107">
        <f t="shared" ref="AN29" si="460">(+AM29-+AM28)*48</f>
        <v>3696</v>
      </c>
      <c r="AO29" s="81">
        <v>978181</v>
      </c>
      <c r="AP29" s="107">
        <f t="shared" ref="AP29" si="461">(+AO29-+AO28)*48</f>
        <v>8976</v>
      </c>
      <c r="AQ29" s="81">
        <v>88721</v>
      </c>
      <c r="AR29" s="107">
        <f t="shared" ref="AR29" si="462">(+AQ29-+AQ28)*48</f>
        <v>0</v>
      </c>
      <c r="AS29" s="81">
        <v>2453</v>
      </c>
      <c r="AT29" s="107">
        <f t="shared" ref="AT29" si="463">(+AS29-+AS28)*48</f>
        <v>0</v>
      </c>
      <c r="AU29" s="81">
        <v>939</v>
      </c>
      <c r="AV29" s="107">
        <f t="shared" ref="AV29" si="464">(+AU29-+AU28)*48</f>
        <v>0</v>
      </c>
      <c r="AW29" s="81">
        <v>3110</v>
      </c>
      <c r="AX29" s="107">
        <f t="shared" ref="AX29" si="465">(+AW29-+AW28)*48</f>
        <v>0</v>
      </c>
      <c r="AY29" s="81">
        <v>338252</v>
      </c>
      <c r="AZ29" s="107">
        <f t="shared" ref="AZ29" si="466">(+AY29-+AY28)*48</f>
        <v>5808</v>
      </c>
      <c r="BA29" s="81">
        <v>161101</v>
      </c>
      <c r="BB29" s="107">
        <f t="shared" ref="BB29" si="467">(+BA29-+BA28)*48</f>
        <v>0</v>
      </c>
      <c r="BC29" s="81">
        <v>230054</v>
      </c>
      <c r="BD29" s="107">
        <f t="shared" ref="BD29" si="468">(+BC29-+BC28)*48</f>
        <v>3600</v>
      </c>
      <c r="BE29" s="81">
        <v>5347</v>
      </c>
      <c r="BF29" s="107">
        <f t="shared" ref="BF29" si="469">(+BE29-+BE28)*48</f>
        <v>0</v>
      </c>
      <c r="BH29" s="109">
        <f t="shared" si="1"/>
        <v>141495.84000000003</v>
      </c>
      <c r="BI29" s="109">
        <f t="shared" si="2"/>
        <v>112568.15999999999</v>
      </c>
    </row>
    <row r="30" spans="1:61" s="36" customFormat="1" ht="39.950000000000003" customHeight="1">
      <c r="A30" s="194">
        <v>44614</v>
      </c>
      <c r="B30" s="35"/>
      <c r="C30" s="81">
        <v>6718374</v>
      </c>
      <c r="D30" s="107">
        <f t="shared" ref="D30" si="470">(+C30-+C29)*48</f>
        <v>192864</v>
      </c>
      <c r="E30" s="108">
        <f>D30*E5</f>
        <v>102217.92</v>
      </c>
      <c r="F30" s="107">
        <f>D30*F5</f>
        <v>90646.080000000002</v>
      </c>
      <c r="G30" s="81">
        <v>292597</v>
      </c>
      <c r="H30" s="107">
        <f t="shared" ref="H30" si="471">(+G30-+G29)*48</f>
        <v>912</v>
      </c>
      <c r="I30" s="81">
        <v>171897</v>
      </c>
      <c r="J30" s="107">
        <f t="shared" ref="J30" si="472">(+I30-+I29)*48</f>
        <v>7968</v>
      </c>
      <c r="K30" s="81">
        <v>268335</v>
      </c>
      <c r="L30" s="107">
        <f t="shared" si="0"/>
        <v>96</v>
      </c>
      <c r="M30" s="81">
        <v>25315</v>
      </c>
      <c r="N30" s="38">
        <f t="shared" ref="N30" si="473">(+M30-+M29)*48</f>
        <v>2352</v>
      </c>
      <c r="O30" s="81">
        <v>316866</v>
      </c>
      <c r="P30" s="107">
        <f t="shared" ref="P30" si="474">(+O30-+O29)*48</f>
        <v>6864</v>
      </c>
      <c r="Q30" s="81">
        <v>471786</v>
      </c>
      <c r="R30" s="107">
        <f t="shared" ref="R30" si="475">(+Q30-+Q29)*48</f>
        <v>384</v>
      </c>
      <c r="S30" s="81">
        <v>754220</v>
      </c>
      <c r="T30" s="107">
        <f t="shared" ref="T30" si="476">(+S30-+S29)*48</f>
        <v>4656</v>
      </c>
      <c r="U30" s="86">
        <v>4281</v>
      </c>
      <c r="V30" s="107">
        <f t="shared" ref="V30" si="477">(+U30-+U29)*48</f>
        <v>0</v>
      </c>
      <c r="W30" s="81">
        <v>84313</v>
      </c>
      <c r="X30" s="107">
        <f t="shared" ref="X30" si="478">(+W30-+W29)*48</f>
        <v>0</v>
      </c>
      <c r="Y30" s="81">
        <v>1518180</v>
      </c>
      <c r="Z30" s="107">
        <f t="shared" ref="Z30" si="479">(+Y30-+Y29)*48</f>
        <v>0</v>
      </c>
      <c r="AA30" s="81">
        <v>13885</v>
      </c>
      <c r="AB30" s="107">
        <f t="shared" ref="AB30" si="480">(+AA30-+AA29)*48</f>
        <v>0</v>
      </c>
      <c r="AC30" s="81">
        <v>488378</v>
      </c>
      <c r="AD30" s="107">
        <f t="shared" si="14"/>
        <v>6432</v>
      </c>
      <c r="AE30" s="81">
        <v>559538</v>
      </c>
      <c r="AF30" s="107">
        <f t="shared" si="14"/>
        <v>7728</v>
      </c>
      <c r="AG30" s="81">
        <v>49787</v>
      </c>
      <c r="AH30" s="107">
        <f t="shared" ref="AH30" si="481">(+AG30-+AG29)*48</f>
        <v>0</v>
      </c>
      <c r="AI30" s="81">
        <v>437064</v>
      </c>
      <c r="AJ30" s="107">
        <f t="shared" ref="AJ30" si="482">(+AI30-+AI29)*48</f>
        <v>6000</v>
      </c>
      <c r="AK30" s="81">
        <v>102770</v>
      </c>
      <c r="AL30" s="107">
        <f t="shared" ref="AL30" si="483">(+AK30-+AK29)*48</f>
        <v>0</v>
      </c>
      <c r="AM30" s="81">
        <v>597058</v>
      </c>
      <c r="AN30" s="107">
        <f t="shared" ref="AN30" si="484">(+AM30-+AM29)*48</f>
        <v>4800</v>
      </c>
      <c r="AO30" s="81">
        <v>978378</v>
      </c>
      <c r="AP30" s="107">
        <f t="shared" ref="AP30" si="485">(+AO30-+AO29)*48</f>
        <v>9456</v>
      </c>
      <c r="AQ30" s="81">
        <v>88721</v>
      </c>
      <c r="AR30" s="107">
        <f t="shared" ref="AR30" si="486">(+AQ30-+AQ29)*48</f>
        <v>0</v>
      </c>
      <c r="AS30" s="81">
        <v>2453</v>
      </c>
      <c r="AT30" s="107">
        <f t="shared" ref="AT30" si="487">(+AS30-+AS29)*48</f>
        <v>0</v>
      </c>
      <c r="AU30" s="81">
        <v>939</v>
      </c>
      <c r="AV30" s="107">
        <f t="shared" ref="AV30" si="488">(+AU30-+AU29)*48</f>
        <v>0</v>
      </c>
      <c r="AW30" s="81">
        <v>3110</v>
      </c>
      <c r="AX30" s="107">
        <f t="shared" ref="AX30" si="489">(+AW30-+AW29)*48</f>
        <v>0</v>
      </c>
      <c r="AY30" s="81">
        <v>338381</v>
      </c>
      <c r="AZ30" s="107">
        <f t="shared" ref="AZ30" si="490">(+AY30-+AY29)*48</f>
        <v>6192</v>
      </c>
      <c r="BA30" s="81">
        <v>161101</v>
      </c>
      <c r="BB30" s="107">
        <f t="shared" ref="BB30" si="491">(+BA30-+BA29)*48</f>
        <v>0</v>
      </c>
      <c r="BC30" s="81">
        <v>230135</v>
      </c>
      <c r="BD30" s="107">
        <f t="shared" ref="BD30" si="492">(+BC30-+BC29)*48</f>
        <v>3888</v>
      </c>
      <c r="BE30" s="81">
        <v>5347</v>
      </c>
      <c r="BF30" s="107">
        <f t="shared" ref="BF30" si="493">(+BE30-+BE29)*48</f>
        <v>0</v>
      </c>
      <c r="BH30" s="109">
        <f t="shared" si="1"/>
        <v>145609.91999999998</v>
      </c>
      <c r="BI30" s="109">
        <f t="shared" si="2"/>
        <v>114982.08</v>
      </c>
    </row>
    <row r="31" spans="1:61" s="36" customFormat="1" ht="39.950000000000003" customHeight="1">
      <c r="A31" s="194">
        <v>44615</v>
      </c>
      <c r="B31" s="35"/>
      <c r="C31" s="81">
        <v>6722494</v>
      </c>
      <c r="D31" s="107">
        <f t="shared" ref="D31" si="494">(+C31-+C30)*48</f>
        <v>197760</v>
      </c>
      <c r="E31" s="108">
        <f>D31*E5</f>
        <v>104812.8</v>
      </c>
      <c r="F31" s="107">
        <f>D31*F5</f>
        <v>92947.199999999997</v>
      </c>
      <c r="G31" s="81">
        <v>292616</v>
      </c>
      <c r="H31" s="38">
        <f t="shared" ref="H31" si="495">(+G31-+G30)*48</f>
        <v>912</v>
      </c>
      <c r="I31" s="81">
        <v>172057</v>
      </c>
      <c r="J31" s="38">
        <f t="shared" ref="J31" si="496">(+I31-+I30)*48</f>
        <v>7680</v>
      </c>
      <c r="K31" s="81">
        <v>268336</v>
      </c>
      <c r="L31" s="38">
        <f t="shared" si="0"/>
        <v>48</v>
      </c>
      <c r="M31" s="81">
        <v>25315</v>
      </c>
      <c r="N31" s="38">
        <f t="shared" ref="N31" si="497">(+M31-+M30)*48</f>
        <v>0</v>
      </c>
      <c r="O31" s="81">
        <v>317009</v>
      </c>
      <c r="P31" s="38">
        <f t="shared" ref="P31" si="498">(+O31-+O30)*48</f>
        <v>6864</v>
      </c>
      <c r="Q31" s="81">
        <v>471802</v>
      </c>
      <c r="R31" s="107">
        <f t="shared" ref="R31" si="499">(+Q31-+Q30)*48</f>
        <v>768</v>
      </c>
      <c r="S31" s="81">
        <v>754308</v>
      </c>
      <c r="T31" s="107">
        <f t="shared" ref="T31" si="500">(+S31-+S30)*48</f>
        <v>4224</v>
      </c>
      <c r="U31" s="86">
        <v>4281</v>
      </c>
      <c r="V31" s="107">
        <f t="shared" ref="V31" si="501">(+U31-+U30)*48</f>
        <v>0</v>
      </c>
      <c r="W31" s="81">
        <v>84313</v>
      </c>
      <c r="X31" s="107">
        <f t="shared" ref="X31" si="502">(+W31-+W30)*48</f>
        <v>0</v>
      </c>
      <c r="Y31" s="81">
        <v>1518181</v>
      </c>
      <c r="Z31" s="107">
        <f t="shared" ref="Z31" si="503">(+Y31-+Y30)*48</f>
        <v>48</v>
      </c>
      <c r="AA31" s="81">
        <v>13885</v>
      </c>
      <c r="AB31" s="107">
        <f t="shared" ref="AB31" si="504">(+AA31-+AA30)*48</f>
        <v>0</v>
      </c>
      <c r="AC31" s="81">
        <v>488533</v>
      </c>
      <c r="AD31" s="107">
        <f t="shared" si="14"/>
        <v>7440</v>
      </c>
      <c r="AE31" s="81">
        <v>559709</v>
      </c>
      <c r="AF31" s="107">
        <f t="shared" si="14"/>
        <v>8208</v>
      </c>
      <c r="AG31" s="81">
        <v>49787</v>
      </c>
      <c r="AH31" s="107">
        <f t="shared" ref="AH31" si="505">(+AG31-+AG30)*48</f>
        <v>0</v>
      </c>
      <c r="AI31" s="81">
        <v>437152</v>
      </c>
      <c r="AJ31" s="107">
        <f t="shared" ref="AJ31" si="506">(+AI31-+AI30)*48</f>
        <v>4224</v>
      </c>
      <c r="AK31" s="81">
        <v>102770</v>
      </c>
      <c r="AL31" s="107">
        <f t="shared" ref="AL31" si="507">(+AK31-+AK30)*48</f>
        <v>0</v>
      </c>
      <c r="AM31" s="81">
        <v>597178</v>
      </c>
      <c r="AN31" s="107">
        <f t="shared" ref="AN31" si="508">(+AM31-+AM30)*48</f>
        <v>5760</v>
      </c>
      <c r="AO31" s="81">
        <v>978596</v>
      </c>
      <c r="AP31" s="107">
        <f t="shared" ref="AP31" si="509">(+AO31-+AO30)*48</f>
        <v>10464</v>
      </c>
      <c r="AQ31" s="81">
        <v>88721</v>
      </c>
      <c r="AR31" s="107">
        <f t="shared" ref="AR31" si="510">(+AQ31-+AQ30)*48</f>
        <v>0</v>
      </c>
      <c r="AS31" s="81">
        <v>2453</v>
      </c>
      <c r="AT31" s="107">
        <f t="shared" ref="AT31" si="511">(+AS31-+AS30)*48</f>
        <v>0</v>
      </c>
      <c r="AU31" s="81">
        <v>939</v>
      </c>
      <c r="AV31" s="107">
        <f t="shared" ref="AV31" si="512">(+AU31-+AU30)*48</f>
        <v>0</v>
      </c>
      <c r="AW31" s="81">
        <v>3110</v>
      </c>
      <c r="AX31" s="107">
        <f t="shared" ref="AX31" si="513">(+AW31-+AW30)*48</f>
        <v>0</v>
      </c>
      <c r="AY31" s="81">
        <v>338509</v>
      </c>
      <c r="AZ31" s="107">
        <f t="shared" ref="AZ31" si="514">(+AY31-+AY30)*48</f>
        <v>6144</v>
      </c>
      <c r="BA31" s="81">
        <v>161101</v>
      </c>
      <c r="BB31" s="107">
        <f t="shared" ref="BB31" si="515">(+BA31-+BA30)*48</f>
        <v>0</v>
      </c>
      <c r="BC31" s="81">
        <v>230215</v>
      </c>
      <c r="BD31" s="107">
        <f t="shared" ref="BD31" si="516">(+BC31-+BC30)*48</f>
        <v>3840</v>
      </c>
      <c r="BE31" s="81">
        <v>5347</v>
      </c>
      <c r="BF31" s="107">
        <f t="shared" ref="BF31" si="517">(+BE31-+BE30)*48</f>
        <v>0</v>
      </c>
      <c r="BH31" s="109">
        <f t="shared" si="1"/>
        <v>145228.79999999999</v>
      </c>
      <c r="BI31" s="109">
        <f t="shared" si="2"/>
        <v>119155.2</v>
      </c>
    </row>
    <row r="32" spans="1:61" s="36" customFormat="1" ht="39.950000000000003" customHeight="1">
      <c r="A32" s="194">
        <v>44616</v>
      </c>
      <c r="B32" s="35"/>
      <c r="C32" s="81">
        <v>6726827</v>
      </c>
      <c r="D32" s="107">
        <f t="shared" ref="D32" si="518">(+C32-+C31)*48</f>
        <v>207984</v>
      </c>
      <c r="E32" s="108">
        <f>D32*E5</f>
        <v>110231.52</v>
      </c>
      <c r="F32" s="107">
        <f>D32*F5</f>
        <v>97752.48</v>
      </c>
      <c r="G32" s="81">
        <v>292632</v>
      </c>
      <c r="H32" s="38">
        <f t="shared" ref="H32" si="519">(+G32-+G31)*48</f>
        <v>768</v>
      </c>
      <c r="I32" s="81">
        <v>172219</v>
      </c>
      <c r="J32" s="38">
        <f t="shared" ref="J32" si="520">(+I32-+I31)*48</f>
        <v>7776</v>
      </c>
      <c r="K32" s="81">
        <v>268337</v>
      </c>
      <c r="L32" s="38">
        <f t="shared" si="0"/>
        <v>48</v>
      </c>
      <c r="M32" s="81">
        <v>25315</v>
      </c>
      <c r="N32" s="38">
        <f t="shared" ref="N32" si="521">(+M32-+M31)*48</f>
        <v>0</v>
      </c>
      <c r="O32" s="81">
        <v>317148</v>
      </c>
      <c r="P32" s="38">
        <f t="shared" ref="P32" si="522">(+O32-+O31)*48</f>
        <v>6672</v>
      </c>
      <c r="Q32" s="81">
        <v>471815</v>
      </c>
      <c r="R32" s="107">
        <f t="shared" ref="R32" si="523">(+Q32-+Q31)*48</f>
        <v>624</v>
      </c>
      <c r="S32" s="81">
        <v>754397</v>
      </c>
      <c r="T32" s="107">
        <f t="shared" ref="T32" si="524">(+S32-+S31)*48</f>
        <v>4272</v>
      </c>
      <c r="U32" s="86">
        <v>4281</v>
      </c>
      <c r="V32" s="107">
        <f t="shared" ref="V32" si="525">(+U32-+U31)*48</f>
        <v>0</v>
      </c>
      <c r="W32" s="81">
        <v>84313</v>
      </c>
      <c r="X32" s="107">
        <f t="shared" ref="X32" si="526">(+W32-+W31)*48</f>
        <v>0</v>
      </c>
      <c r="Y32" s="81">
        <v>1518181</v>
      </c>
      <c r="Z32" s="107">
        <f t="shared" ref="Z32" si="527">(+Y32-+Y31)*48</f>
        <v>0</v>
      </c>
      <c r="AA32" s="81">
        <v>13885</v>
      </c>
      <c r="AB32" s="107">
        <f t="shared" ref="AB32" si="528">(+AA32-+AA31)*48</f>
        <v>0</v>
      </c>
      <c r="AC32" s="81">
        <v>488643</v>
      </c>
      <c r="AD32" s="107">
        <f t="shared" si="14"/>
        <v>5280</v>
      </c>
      <c r="AE32" s="81">
        <v>559812</v>
      </c>
      <c r="AF32" s="107">
        <f t="shared" si="14"/>
        <v>4944</v>
      </c>
      <c r="AG32" s="81">
        <v>49787</v>
      </c>
      <c r="AH32" s="107">
        <f t="shared" ref="AH32" si="529">(+AG32-+AG31)*48</f>
        <v>0</v>
      </c>
      <c r="AI32" s="81">
        <v>437233</v>
      </c>
      <c r="AJ32" s="107">
        <f t="shared" ref="AJ32" si="530">(+AI32-+AI31)*48</f>
        <v>3888</v>
      </c>
      <c r="AK32" s="81">
        <v>102770</v>
      </c>
      <c r="AL32" s="107">
        <f t="shared" ref="AL32" si="531">(+AK32-+AK31)*48</f>
        <v>0</v>
      </c>
      <c r="AM32" s="81">
        <v>597282</v>
      </c>
      <c r="AN32" s="107">
        <f t="shared" ref="AN32" si="532">(+AM32-+AM31)*48</f>
        <v>4992</v>
      </c>
      <c r="AO32" s="81">
        <v>978716</v>
      </c>
      <c r="AP32" s="107">
        <f t="shared" ref="AP32" si="533">(+AO32-+AO31)*48</f>
        <v>5760</v>
      </c>
      <c r="AQ32" s="81">
        <v>88721</v>
      </c>
      <c r="AR32" s="107">
        <f t="shared" ref="AR32" si="534">(+AQ32-+AQ31)*48</f>
        <v>0</v>
      </c>
      <c r="AS32" s="81">
        <v>2453</v>
      </c>
      <c r="AT32" s="107">
        <f t="shared" ref="AT32" si="535">(+AS32-+AS31)*48</f>
        <v>0</v>
      </c>
      <c r="AU32" s="81">
        <v>939</v>
      </c>
      <c r="AV32" s="107">
        <f t="shared" ref="AV32" si="536">(+AU32-+AU31)*48</f>
        <v>0</v>
      </c>
      <c r="AW32" s="81">
        <v>3110</v>
      </c>
      <c r="AX32" s="107">
        <f t="shared" ref="AX32" si="537">(+AW32-+AW31)*48</f>
        <v>0</v>
      </c>
      <c r="AY32" s="81">
        <v>338632</v>
      </c>
      <c r="AZ32" s="107">
        <f t="shared" ref="AZ32" si="538">(+AY32-+AY31)*48</f>
        <v>5904</v>
      </c>
      <c r="BA32" s="81">
        <v>161101</v>
      </c>
      <c r="BB32" s="107">
        <f t="shared" ref="BB32" si="539">(+BA32-+BA31)*48</f>
        <v>0</v>
      </c>
      <c r="BC32" s="81">
        <v>230282</v>
      </c>
      <c r="BD32" s="107">
        <f t="shared" ref="BD32" si="540">(+BC32-+BC31)*48</f>
        <v>3216</v>
      </c>
      <c r="BE32" s="81">
        <v>5347</v>
      </c>
      <c r="BF32" s="107">
        <f t="shared" ref="BF32" si="541">(+BE32-+BE31)*48</f>
        <v>0</v>
      </c>
      <c r="BH32" s="109">
        <f t="shared" si="1"/>
        <v>144503.52000000002</v>
      </c>
      <c r="BI32" s="109">
        <f t="shared" si="2"/>
        <v>117624.48</v>
      </c>
    </row>
    <row r="33" spans="1:61" s="36" customFormat="1" ht="39.950000000000003" customHeight="1">
      <c r="A33" s="194">
        <v>44617</v>
      </c>
      <c r="B33" s="35"/>
      <c r="C33" s="81">
        <v>6730303</v>
      </c>
      <c r="D33" s="107">
        <f t="shared" ref="D33" si="542">(+C33-+C32)*48</f>
        <v>166848</v>
      </c>
      <c r="E33" s="108">
        <f>D33*E5</f>
        <v>88429.440000000002</v>
      </c>
      <c r="F33" s="107">
        <f>D33*F5</f>
        <v>78418.559999999998</v>
      </c>
      <c r="G33" s="81">
        <v>292643</v>
      </c>
      <c r="H33" s="107">
        <f t="shared" ref="H33" si="543">(+G33-+G32)*48</f>
        <v>528</v>
      </c>
      <c r="I33" s="81">
        <v>172539</v>
      </c>
      <c r="J33" s="38">
        <f t="shared" ref="J33" si="544">(+I33-+I32)*48</f>
        <v>15360</v>
      </c>
      <c r="K33" s="81">
        <v>268339</v>
      </c>
      <c r="L33" s="107">
        <f t="shared" si="0"/>
        <v>96</v>
      </c>
      <c r="M33" s="81">
        <v>25315</v>
      </c>
      <c r="N33" s="38">
        <f t="shared" ref="N33" si="545">(+M33-+M32)*48</f>
        <v>0</v>
      </c>
      <c r="O33" s="81">
        <v>317148</v>
      </c>
      <c r="P33" s="38">
        <f t="shared" ref="P33" si="546">(+O33-+O32)*48</f>
        <v>0</v>
      </c>
      <c r="Q33" s="81">
        <v>471839</v>
      </c>
      <c r="R33" s="107">
        <f t="shared" ref="R33" si="547">(+Q33-+Q32)*48</f>
        <v>1152</v>
      </c>
      <c r="S33" s="81">
        <v>754509</v>
      </c>
      <c r="T33" s="107">
        <f t="shared" ref="T33" si="548">(+S33-+S32)*48</f>
        <v>5376</v>
      </c>
      <c r="U33" s="86">
        <v>4281</v>
      </c>
      <c r="V33" s="107">
        <f t="shared" ref="V33" si="549">(+U33-+U32)*48</f>
        <v>0</v>
      </c>
      <c r="W33" s="81">
        <v>84313</v>
      </c>
      <c r="X33" s="107">
        <f t="shared" ref="X33" si="550">(+W33-+W32)*48</f>
        <v>0</v>
      </c>
      <c r="Y33" s="81">
        <v>1518181</v>
      </c>
      <c r="Z33" s="107">
        <f t="shared" ref="Z33" si="551">(+Y33-+Y32)*48</f>
        <v>0</v>
      </c>
      <c r="AA33" s="81">
        <v>13885</v>
      </c>
      <c r="AB33" s="107">
        <f t="shared" ref="AB33" si="552">(+AA33-+AA32)*48</f>
        <v>0</v>
      </c>
      <c r="AC33" s="81">
        <v>488845</v>
      </c>
      <c r="AD33" s="107">
        <f t="shared" si="14"/>
        <v>9696</v>
      </c>
      <c r="AE33" s="81">
        <v>559989</v>
      </c>
      <c r="AF33" s="107">
        <f t="shared" si="14"/>
        <v>8496</v>
      </c>
      <c r="AG33" s="81">
        <v>49787</v>
      </c>
      <c r="AH33" s="107">
        <f t="shared" ref="AH33" si="553">(+AG33-+AG32)*48</f>
        <v>0</v>
      </c>
      <c r="AI33" s="81">
        <v>437308</v>
      </c>
      <c r="AJ33" s="107">
        <f t="shared" ref="AJ33" si="554">(+AI33-+AI32)*48</f>
        <v>3600</v>
      </c>
      <c r="AK33" s="81">
        <v>102770</v>
      </c>
      <c r="AL33" s="107">
        <f t="shared" ref="AL33" si="555">(+AK33-+AK32)*48</f>
        <v>0</v>
      </c>
      <c r="AM33" s="81">
        <v>597303</v>
      </c>
      <c r="AN33" s="107">
        <f t="shared" ref="AN33" si="556">(+AM33-+AM32)*48</f>
        <v>1008</v>
      </c>
      <c r="AO33" s="81">
        <v>978827</v>
      </c>
      <c r="AP33" s="107">
        <f t="shared" ref="AP33" si="557">(+AO33-+AO32)*48</f>
        <v>5328</v>
      </c>
      <c r="AQ33" s="81">
        <v>88721</v>
      </c>
      <c r="AR33" s="107">
        <f t="shared" ref="AR33" si="558">(+AQ33-+AQ32)*48</f>
        <v>0</v>
      </c>
      <c r="AS33" s="81">
        <v>2453</v>
      </c>
      <c r="AT33" s="107">
        <f t="shared" ref="AT33" si="559">(+AS33-+AS32)*48</f>
        <v>0</v>
      </c>
      <c r="AU33" s="81">
        <v>939</v>
      </c>
      <c r="AV33" s="107">
        <f t="shared" ref="AV33" si="560">(+AU33-+AU32)*48</f>
        <v>0</v>
      </c>
      <c r="AW33" s="81">
        <v>3110</v>
      </c>
      <c r="AX33" s="107">
        <f t="shared" ref="AX33" si="561">(+AW33-+AW32)*48</f>
        <v>0</v>
      </c>
      <c r="AY33" s="81">
        <v>338775</v>
      </c>
      <c r="AZ33" s="107">
        <f t="shared" ref="AZ33" si="562">(+AY33-+AY32)*48</f>
        <v>6864</v>
      </c>
      <c r="BA33" s="81">
        <v>161101</v>
      </c>
      <c r="BB33" s="107">
        <f t="shared" ref="BB33" si="563">(+BA33-+BA32)*48</f>
        <v>0</v>
      </c>
      <c r="BC33" s="81">
        <v>230332</v>
      </c>
      <c r="BD33" s="107">
        <f t="shared" ref="BD33" si="564">(+BC33-+BC32)*48</f>
        <v>2400</v>
      </c>
      <c r="BE33" s="81">
        <v>5347</v>
      </c>
      <c r="BF33" s="107">
        <f t="shared" ref="BF33" si="565">(+BE33-+BE32)*48</f>
        <v>0</v>
      </c>
      <c r="BH33" s="109">
        <f t="shared" si="1"/>
        <v>132733.44</v>
      </c>
      <c r="BI33" s="109">
        <f t="shared" si="2"/>
        <v>94018.559999999998</v>
      </c>
    </row>
    <row r="34" spans="1:61" s="36" customFormat="1" ht="39.950000000000003" customHeight="1">
      <c r="A34" s="194">
        <v>44618</v>
      </c>
      <c r="B34" s="35"/>
      <c r="C34" s="86">
        <f>(C33+C35)/2</f>
        <v>6733356.5</v>
      </c>
      <c r="D34" s="107">
        <f t="shared" ref="D34" si="566">(+C34-+C33)*48</f>
        <v>146568</v>
      </c>
      <c r="E34" s="108">
        <f>D34*E5</f>
        <v>77681.040000000008</v>
      </c>
      <c r="F34" s="107">
        <f>D34*F5</f>
        <v>68886.959999999992</v>
      </c>
      <c r="G34" s="86">
        <f>(G33+G35)/2</f>
        <v>292646</v>
      </c>
      <c r="H34" s="107">
        <f t="shared" ref="H34" si="567">(+G34-+G33)*48</f>
        <v>144</v>
      </c>
      <c r="I34" s="86">
        <f>(I33+I35)/2</f>
        <v>172624</v>
      </c>
      <c r="J34" s="38">
        <f t="shared" ref="J34" si="568">(+I34-+I33)*48</f>
        <v>4080</v>
      </c>
      <c r="K34" s="86">
        <f>(K33+K35)/2</f>
        <v>268342</v>
      </c>
      <c r="L34" s="107">
        <f t="shared" si="0"/>
        <v>144</v>
      </c>
      <c r="M34" s="86">
        <f>(M33+M35)/2</f>
        <v>25315</v>
      </c>
      <c r="N34" s="38">
        <f t="shared" ref="N34" si="569">(+M34-+M33)*48</f>
        <v>0</v>
      </c>
      <c r="O34" s="86">
        <f>(O33+O35)/2</f>
        <v>317148</v>
      </c>
      <c r="P34" s="38">
        <f t="shared" ref="P34" si="570">(+O34-+O33)*48</f>
        <v>0</v>
      </c>
      <c r="Q34" s="86">
        <f>(Q33+Q35)/2</f>
        <v>471892</v>
      </c>
      <c r="R34" s="107">
        <f t="shared" ref="R34" si="571">(+Q34-+Q33)*48</f>
        <v>2544</v>
      </c>
      <c r="S34" s="86">
        <f>(S33+S35)/2</f>
        <v>754590.5</v>
      </c>
      <c r="T34" s="107">
        <f t="shared" ref="T34" si="572">(+S34-+S33)*48</f>
        <v>3912</v>
      </c>
      <c r="U34" s="86">
        <v>4281</v>
      </c>
      <c r="V34" s="107">
        <f t="shared" ref="V34" si="573">(+U34-+U33)*48</f>
        <v>0</v>
      </c>
      <c r="W34" s="86">
        <f>(W33+W35)/2</f>
        <v>84313</v>
      </c>
      <c r="X34" s="107">
        <f t="shared" ref="X34" si="574">(+W34-+W33)*48</f>
        <v>0</v>
      </c>
      <c r="Y34" s="86">
        <f>(Y33+Y35)/2</f>
        <v>1518181</v>
      </c>
      <c r="Z34" s="107">
        <f t="shared" ref="Z34" si="575">(+Y34-+Y33)*48</f>
        <v>0</v>
      </c>
      <c r="AA34" s="86">
        <f>(AA33+AA35)/2</f>
        <v>13885</v>
      </c>
      <c r="AB34" s="107">
        <f t="shared" ref="AB34" si="576">(+AA34-+AA33)*48</f>
        <v>0</v>
      </c>
      <c r="AC34" s="86">
        <f>(AC33+AC35)/2</f>
        <v>488920.5</v>
      </c>
      <c r="AD34" s="107">
        <f t="shared" si="14"/>
        <v>3624</v>
      </c>
      <c r="AE34" s="86">
        <f>(AE33+AE35)/2</f>
        <v>560033</v>
      </c>
      <c r="AF34" s="107">
        <f t="shared" si="14"/>
        <v>2112</v>
      </c>
      <c r="AG34" s="86">
        <f>(AG33+AG35)/2</f>
        <v>49787</v>
      </c>
      <c r="AH34" s="107">
        <f t="shared" ref="AH34" si="577">(+AG34-+AG33)*48</f>
        <v>0</v>
      </c>
      <c r="AI34" s="86">
        <f>(AI33+AI35)/2</f>
        <v>437393</v>
      </c>
      <c r="AJ34" s="107">
        <f t="shared" ref="AJ34" si="578">(+AI34-+AI33)*48</f>
        <v>4080</v>
      </c>
      <c r="AK34" s="86">
        <f>(AK33+AK35)/2</f>
        <v>102770</v>
      </c>
      <c r="AL34" s="107">
        <f t="shared" ref="AL34" si="579">(+AK34-+AK33)*48</f>
        <v>0</v>
      </c>
      <c r="AM34" s="86">
        <f>(AM33+AM35)/2</f>
        <v>597331</v>
      </c>
      <c r="AN34" s="107">
        <f t="shared" ref="AN34" si="580">(+AM34-+AM33)*48</f>
        <v>1344</v>
      </c>
      <c r="AO34" s="86">
        <f>(AO33+AO35)/2</f>
        <v>978964</v>
      </c>
      <c r="AP34" s="107">
        <f t="shared" ref="AP34" si="581">(+AO34-+AO33)*48</f>
        <v>6576</v>
      </c>
      <c r="AQ34" s="86">
        <f>(AQ33+AQ35)/2</f>
        <v>88721</v>
      </c>
      <c r="AR34" s="107">
        <f t="shared" ref="AR34" si="582">(+AQ34-+AQ33)*48</f>
        <v>0</v>
      </c>
      <c r="AS34" s="86">
        <f>(AS33+AS35)/2</f>
        <v>2453</v>
      </c>
      <c r="AT34" s="107">
        <f t="shared" ref="AT34" si="583">(+AS34-+AS33)*48</f>
        <v>0</v>
      </c>
      <c r="AU34" s="86">
        <f>(AU33+AU35)/2</f>
        <v>939</v>
      </c>
      <c r="AV34" s="107">
        <f t="shared" ref="AV34" si="584">(+AU34-+AU33)*48</f>
        <v>0</v>
      </c>
      <c r="AW34" s="86">
        <f>(AW33+AW35)/2</f>
        <v>3110</v>
      </c>
      <c r="AX34" s="107">
        <f t="shared" ref="AX34" si="585">(+AW34-+AW33)*48</f>
        <v>0</v>
      </c>
      <c r="AY34" s="86">
        <v>338932.5</v>
      </c>
      <c r="AZ34" s="107">
        <f t="shared" ref="AZ34" si="586">(+AY34-+AY33)*48</f>
        <v>7560</v>
      </c>
      <c r="BA34" s="86">
        <f>(BA33+BA35)/2</f>
        <v>161101</v>
      </c>
      <c r="BB34" s="107">
        <f t="shared" ref="BB34" si="587">(+BA34-+BA33)*48</f>
        <v>0</v>
      </c>
      <c r="BC34" s="86">
        <f>(BC33+BC35)/2</f>
        <v>230339.5</v>
      </c>
      <c r="BD34" s="107">
        <f t="shared" ref="BD34" si="588">(+BC34-+BC33)*48</f>
        <v>360</v>
      </c>
      <c r="BE34" s="86">
        <f>(BE33+BE35)/2</f>
        <v>5347</v>
      </c>
      <c r="BF34" s="107">
        <f t="shared" ref="BF34" si="589">(+BE34-+BE33)*48</f>
        <v>0</v>
      </c>
      <c r="BH34" s="109">
        <f t="shared" si="1"/>
        <v>98321.040000000008</v>
      </c>
      <c r="BI34" s="109">
        <f t="shared" si="2"/>
        <v>84726.959999999992</v>
      </c>
    </row>
    <row r="35" spans="1:61" s="36" customFormat="1" ht="39.950000000000003" customHeight="1">
      <c r="A35" s="194">
        <v>44619</v>
      </c>
      <c r="B35" s="35"/>
      <c r="C35" s="81">
        <v>6736410</v>
      </c>
      <c r="D35" s="107">
        <f t="shared" ref="D35" si="590">(+C35-+C34)*48</f>
        <v>146568</v>
      </c>
      <c r="E35" s="108">
        <f>D35*E5</f>
        <v>77681.040000000008</v>
      </c>
      <c r="F35" s="107">
        <f>D35*F5</f>
        <v>68886.959999999992</v>
      </c>
      <c r="G35" s="81">
        <v>292649</v>
      </c>
      <c r="H35" s="107">
        <f t="shared" ref="H35" si="591">(+G35-+G34)*48</f>
        <v>144</v>
      </c>
      <c r="I35" s="81">
        <v>172709</v>
      </c>
      <c r="J35" s="38">
        <f t="shared" ref="J35" si="592">(+I35-+I34)*48</f>
        <v>4080</v>
      </c>
      <c r="K35" s="81">
        <v>268345</v>
      </c>
      <c r="L35" s="107">
        <f t="shared" si="0"/>
        <v>144</v>
      </c>
      <c r="M35" s="81">
        <v>25315</v>
      </c>
      <c r="N35" s="38">
        <f t="shared" ref="N35" si="593">(+M35-+M34)*48</f>
        <v>0</v>
      </c>
      <c r="O35" s="81">
        <v>317148</v>
      </c>
      <c r="P35" s="38">
        <f t="shared" ref="P35" si="594">(+O35-+O34)*48</f>
        <v>0</v>
      </c>
      <c r="Q35" s="81">
        <v>471945</v>
      </c>
      <c r="R35" s="107">
        <f t="shared" ref="R35" si="595">(+Q35-+Q34)*48</f>
        <v>2544</v>
      </c>
      <c r="S35" s="81">
        <v>754672</v>
      </c>
      <c r="T35" s="107">
        <f t="shared" ref="T35" si="596">(+S35-+S34)*48</f>
        <v>3912</v>
      </c>
      <c r="U35" s="86">
        <v>4281</v>
      </c>
      <c r="V35" s="107">
        <f t="shared" ref="V35" si="597">(+U35-+U34)*48</f>
        <v>0</v>
      </c>
      <c r="W35" s="81">
        <v>84313</v>
      </c>
      <c r="X35" s="107">
        <f t="shared" ref="X35" si="598">(+W35-+W34)*48</f>
        <v>0</v>
      </c>
      <c r="Y35" s="81">
        <v>1518181</v>
      </c>
      <c r="Z35" s="107">
        <f t="shared" ref="Z35" si="599">(+Y35-+Y34)*48</f>
        <v>0</v>
      </c>
      <c r="AA35" s="81">
        <v>13885</v>
      </c>
      <c r="AB35" s="107">
        <f t="shared" ref="AB35" si="600">(+AA35-+AA34)*48</f>
        <v>0</v>
      </c>
      <c r="AC35" s="81">
        <v>488996</v>
      </c>
      <c r="AD35" s="107">
        <f t="shared" si="14"/>
        <v>3624</v>
      </c>
      <c r="AE35" s="81">
        <v>560077</v>
      </c>
      <c r="AF35" s="107">
        <f t="shared" si="14"/>
        <v>2112</v>
      </c>
      <c r="AG35" s="81">
        <v>49787</v>
      </c>
      <c r="AH35" s="107">
        <f t="shared" ref="AH35" si="601">(+AG35-+AG34)*48</f>
        <v>0</v>
      </c>
      <c r="AI35" s="81">
        <v>437478</v>
      </c>
      <c r="AJ35" s="107">
        <f t="shared" ref="AJ35" si="602">(+AI35-+AI34)*48</f>
        <v>4080</v>
      </c>
      <c r="AK35" s="81">
        <v>102770</v>
      </c>
      <c r="AL35" s="107">
        <f t="shared" ref="AL35" si="603">(+AK35-+AK34)*48</f>
        <v>0</v>
      </c>
      <c r="AM35" s="81">
        <v>597359</v>
      </c>
      <c r="AN35" s="107">
        <f t="shared" ref="AN35" si="604">(+AM35-+AM34)*48</f>
        <v>1344</v>
      </c>
      <c r="AO35" s="81">
        <v>979101</v>
      </c>
      <c r="AP35" s="107">
        <f t="shared" ref="AP35" si="605">(+AO35-+AO34)*48</f>
        <v>6576</v>
      </c>
      <c r="AQ35" s="81">
        <v>88721</v>
      </c>
      <c r="AR35" s="107">
        <f t="shared" ref="AR35" si="606">(+AQ35-+AQ34)*48</f>
        <v>0</v>
      </c>
      <c r="AS35" s="81">
        <v>2453</v>
      </c>
      <c r="AT35" s="107">
        <f t="shared" ref="AT35" si="607">(+AS35-+AS34)*48</f>
        <v>0</v>
      </c>
      <c r="AU35" s="81">
        <v>939</v>
      </c>
      <c r="AV35" s="107">
        <f t="shared" ref="AV35" si="608">(+AU35-+AU34)*48</f>
        <v>0</v>
      </c>
      <c r="AW35" s="81">
        <v>3110</v>
      </c>
      <c r="AX35" s="107">
        <f t="shared" ref="AX35" si="609">(+AW35-+AW34)*48</f>
        <v>0</v>
      </c>
      <c r="AY35" s="81">
        <v>338990</v>
      </c>
      <c r="AZ35" s="107">
        <f t="shared" ref="AZ35" si="610">(+AY35-+AY34)*48</f>
        <v>2760</v>
      </c>
      <c r="BA35" s="81">
        <v>161101</v>
      </c>
      <c r="BB35" s="107">
        <f t="shared" ref="BB35" si="611">(+BA35-+BA34)*48</f>
        <v>0</v>
      </c>
      <c r="BC35" s="81">
        <v>230347</v>
      </c>
      <c r="BD35" s="107">
        <f t="shared" ref="BD35" si="612">(+BC35-+BC34)*48</f>
        <v>360</v>
      </c>
      <c r="BE35" s="81">
        <v>5347</v>
      </c>
      <c r="BF35" s="107">
        <f t="shared" ref="BF35" si="613">(+BE35-+BE34)*48</f>
        <v>0</v>
      </c>
      <c r="BH35" s="109">
        <f t="shared" si="1"/>
        <v>98321.040000000008</v>
      </c>
      <c r="BI35" s="109">
        <f t="shared" si="2"/>
        <v>79926.959999999992</v>
      </c>
    </row>
    <row r="36" spans="1:61" s="36" customFormat="1" ht="39.950000000000003" customHeight="1">
      <c r="A36" s="194">
        <v>44620</v>
      </c>
      <c r="B36" s="35"/>
      <c r="C36" s="81">
        <v>6738906</v>
      </c>
      <c r="D36" s="107">
        <f t="shared" ref="D36" si="614">(+C36-+C35)*48</f>
        <v>119808</v>
      </c>
      <c r="E36" s="108">
        <f>D36*E5</f>
        <v>63498.240000000005</v>
      </c>
      <c r="F36" s="107">
        <f>D36*F5</f>
        <v>56309.759999999995</v>
      </c>
      <c r="G36" s="81">
        <v>292668</v>
      </c>
      <c r="H36" s="107">
        <f t="shared" ref="H36" si="615">(+G36-+G35)*48</f>
        <v>912</v>
      </c>
      <c r="I36" s="81">
        <v>172870</v>
      </c>
      <c r="J36" s="38">
        <f t="shared" ref="J36" si="616">(+I36-+I35)*48</f>
        <v>7728</v>
      </c>
      <c r="K36" s="81">
        <v>268348</v>
      </c>
      <c r="L36" s="107">
        <f t="shared" si="0"/>
        <v>144</v>
      </c>
      <c r="M36" s="81">
        <v>25315</v>
      </c>
      <c r="N36" s="38">
        <f t="shared" ref="N36" si="617">(+M36-+M35)*48</f>
        <v>0</v>
      </c>
      <c r="O36" s="81">
        <v>317317</v>
      </c>
      <c r="P36" s="38">
        <f t="shared" ref="P36" si="618">(+O36-+O35)*48</f>
        <v>8112</v>
      </c>
      <c r="Q36" s="81">
        <v>471986</v>
      </c>
      <c r="R36" s="107">
        <f t="shared" ref="R36" si="619">(+Q36-+Q35)*48</f>
        <v>1968</v>
      </c>
      <c r="S36" s="81">
        <v>754777</v>
      </c>
      <c r="T36" s="107">
        <f t="shared" ref="T36" si="620">(+S36-+S35)*48</f>
        <v>5040</v>
      </c>
      <c r="U36" s="86">
        <v>4281</v>
      </c>
      <c r="V36" s="107">
        <f t="shared" ref="V36" si="621">(+U36-+U35)*48</f>
        <v>0</v>
      </c>
      <c r="W36" s="81">
        <v>84313</v>
      </c>
      <c r="X36" s="107">
        <f t="shared" ref="X36" si="622">(+W36-+W35)*48</f>
        <v>0</v>
      </c>
      <c r="Y36" s="81">
        <v>1518181</v>
      </c>
      <c r="Z36" s="107">
        <f t="shared" ref="Z36" si="623">(+Y36-+Y35)*48</f>
        <v>0</v>
      </c>
      <c r="AA36" s="81">
        <v>13885</v>
      </c>
      <c r="AB36" s="107">
        <f t="shared" ref="AB36" si="624">(+AA36-+AA35)*48</f>
        <v>0</v>
      </c>
      <c r="AC36" s="81">
        <v>489157</v>
      </c>
      <c r="AD36" s="107">
        <f t="shared" si="14"/>
        <v>7728</v>
      </c>
      <c r="AE36" s="81">
        <v>560087</v>
      </c>
      <c r="AF36" s="107">
        <f t="shared" si="14"/>
        <v>480</v>
      </c>
      <c r="AG36" s="81">
        <v>49787</v>
      </c>
      <c r="AH36" s="107">
        <f t="shared" ref="AH36" si="625">(+AG36-+AG35)*48</f>
        <v>0</v>
      </c>
      <c r="AI36" s="81">
        <v>437559</v>
      </c>
      <c r="AJ36" s="107">
        <f t="shared" ref="AJ36" si="626">(+AI36-+AI35)*48</f>
        <v>3888</v>
      </c>
      <c r="AK36" s="81">
        <v>102770</v>
      </c>
      <c r="AL36" s="107">
        <f t="shared" ref="AL36" si="627">(+AK36-+AK35)*48</f>
        <v>0</v>
      </c>
      <c r="AM36" s="81">
        <v>597458</v>
      </c>
      <c r="AN36" s="107">
        <f t="shared" ref="AN36" si="628">(+AM36-+AM35)*48</f>
        <v>4752</v>
      </c>
      <c r="AO36" s="81">
        <v>979293</v>
      </c>
      <c r="AP36" s="107">
        <f t="shared" ref="AP36" si="629">(+AO36-+AO35)*48</f>
        <v>9216</v>
      </c>
      <c r="AQ36" s="81">
        <v>88721</v>
      </c>
      <c r="AR36" s="107">
        <f t="shared" ref="AR36" si="630">(+AQ36-+AQ35)*48</f>
        <v>0</v>
      </c>
      <c r="AS36" s="81">
        <v>2453</v>
      </c>
      <c r="AT36" s="107">
        <f t="shared" ref="AT36" si="631">(+AS36-+AS35)*48</f>
        <v>0</v>
      </c>
      <c r="AU36" s="81">
        <v>939</v>
      </c>
      <c r="AV36" s="107">
        <f t="shared" ref="AV36" si="632">(+AU36-+AU35)*48</f>
        <v>0</v>
      </c>
      <c r="AW36" s="81">
        <v>3110</v>
      </c>
      <c r="AX36" s="107">
        <f t="shared" ref="AX36" si="633">(+AW36-+AW35)*48</f>
        <v>0</v>
      </c>
      <c r="AY36" s="81">
        <v>339109</v>
      </c>
      <c r="AZ36" s="107">
        <f t="shared" ref="AZ36" si="634">(+AY36-+AY35)*48</f>
        <v>5712</v>
      </c>
      <c r="BA36" s="81">
        <v>161101</v>
      </c>
      <c r="BB36" s="107">
        <f t="shared" ref="BB36" si="635">(+BA36-+BA35)*48</f>
        <v>0</v>
      </c>
      <c r="BC36" s="81">
        <v>230361</v>
      </c>
      <c r="BD36" s="107">
        <f t="shared" ref="BD36" si="636">(+BC36-+BC35)*48</f>
        <v>672</v>
      </c>
      <c r="BE36" s="81">
        <v>5347</v>
      </c>
      <c r="BF36" s="107">
        <f t="shared" ref="BF36" si="637">(+BE36-+BE35)*48</f>
        <v>0</v>
      </c>
      <c r="BH36" s="109">
        <f t="shared" si="1"/>
        <v>99498.240000000005</v>
      </c>
      <c r="BI36" s="109">
        <f t="shared" si="2"/>
        <v>76661.759999999995</v>
      </c>
    </row>
    <row r="37" spans="1:61" s="36" customFormat="1" ht="39.950000000000003" customHeight="1">
      <c r="A37" s="194"/>
      <c r="B37" s="35"/>
      <c r="C37" s="81"/>
      <c r="D37" s="107"/>
      <c r="E37" s="108">
        <f>D37*E5</f>
        <v>0</v>
      </c>
      <c r="F37" s="107">
        <f>D37*F5</f>
        <v>0</v>
      </c>
      <c r="G37" s="81"/>
      <c r="H37" s="107"/>
      <c r="I37" s="81"/>
      <c r="J37" s="38"/>
      <c r="K37" s="81"/>
      <c r="L37" s="107"/>
      <c r="M37" s="81"/>
      <c r="N37" s="38"/>
      <c r="O37" s="81"/>
      <c r="P37" s="38"/>
      <c r="Q37" s="81"/>
      <c r="R37" s="107"/>
      <c r="S37" s="81"/>
      <c r="T37" s="107"/>
      <c r="U37" s="86"/>
      <c r="V37" s="107"/>
      <c r="W37" s="81"/>
      <c r="X37" s="107"/>
      <c r="Y37" s="81"/>
      <c r="Z37" s="107"/>
      <c r="AA37" s="81"/>
      <c r="AB37" s="107"/>
      <c r="AC37" s="81"/>
      <c r="AD37" s="107"/>
      <c r="AE37" s="81"/>
      <c r="AF37" s="107"/>
      <c r="AG37" s="81"/>
      <c r="AH37" s="107"/>
      <c r="AI37" s="81"/>
      <c r="AJ37" s="107"/>
      <c r="AK37" s="81"/>
      <c r="AL37" s="107"/>
      <c r="AM37" s="81"/>
      <c r="AN37" s="107"/>
      <c r="AO37" s="81"/>
      <c r="AP37" s="107"/>
      <c r="AQ37" s="81"/>
      <c r="AR37" s="107"/>
      <c r="AS37" s="81"/>
      <c r="AT37" s="107"/>
      <c r="AU37" s="81"/>
      <c r="AV37" s="107"/>
      <c r="AW37" s="81"/>
      <c r="AX37" s="107"/>
      <c r="AY37" s="81"/>
      <c r="AZ37" s="107"/>
      <c r="BA37" s="81"/>
      <c r="BB37" s="107"/>
      <c r="BC37" s="81"/>
      <c r="BD37" s="107"/>
      <c r="BE37" s="81"/>
      <c r="BF37" s="107"/>
      <c r="BH37" s="109"/>
      <c r="BI37" s="109"/>
    </row>
    <row r="38" spans="1:61" s="36" customFormat="1" ht="39.950000000000003" customHeight="1">
      <c r="A38" s="194"/>
      <c r="B38" s="35"/>
      <c r="C38" s="81"/>
      <c r="D38" s="107"/>
      <c r="E38" s="108">
        <f>D38*E5</f>
        <v>0</v>
      </c>
      <c r="F38" s="107">
        <f>D38*F5</f>
        <v>0</v>
      </c>
      <c r="G38" s="81"/>
      <c r="H38" s="107"/>
      <c r="I38" s="81"/>
      <c r="J38" s="38"/>
      <c r="K38" s="81"/>
      <c r="L38" s="107"/>
      <c r="M38" s="81"/>
      <c r="N38" s="38"/>
      <c r="O38" s="81"/>
      <c r="P38" s="38"/>
      <c r="Q38" s="81"/>
      <c r="R38" s="107"/>
      <c r="S38" s="81"/>
      <c r="T38" s="107"/>
      <c r="U38" s="86"/>
      <c r="V38" s="107"/>
      <c r="W38" s="81"/>
      <c r="X38" s="107"/>
      <c r="Y38" s="81"/>
      <c r="Z38" s="107"/>
      <c r="AA38" s="81"/>
      <c r="AB38" s="107"/>
      <c r="AC38" s="81"/>
      <c r="AD38" s="107"/>
      <c r="AE38" s="81"/>
      <c r="AF38" s="107"/>
      <c r="AG38" s="81"/>
      <c r="AH38" s="107"/>
      <c r="AI38" s="81"/>
      <c r="AJ38" s="107"/>
      <c r="AK38" s="81"/>
      <c r="AL38" s="107"/>
      <c r="AM38" s="81"/>
      <c r="AN38" s="107"/>
      <c r="AO38" s="81"/>
      <c r="AP38" s="107"/>
      <c r="AQ38" s="81"/>
      <c r="AR38" s="107"/>
      <c r="AS38" s="81"/>
      <c r="AT38" s="107"/>
      <c r="AU38" s="81"/>
      <c r="AV38" s="107"/>
      <c r="AW38" s="81"/>
      <c r="AX38" s="107"/>
      <c r="AY38" s="81"/>
      <c r="AZ38" s="107"/>
      <c r="BA38" s="81"/>
      <c r="BB38" s="107"/>
      <c r="BC38" s="81"/>
      <c r="BD38" s="107"/>
      <c r="BE38" s="81"/>
      <c r="BF38" s="107"/>
      <c r="BH38" s="109"/>
      <c r="BI38" s="109"/>
    </row>
    <row r="39" spans="1:61" s="36" customFormat="1" ht="39.950000000000003" customHeight="1">
      <c r="A39" s="194"/>
      <c r="B39" s="35"/>
      <c r="C39" s="81"/>
      <c r="D39" s="107"/>
      <c r="E39" s="108">
        <f>D39*E5</f>
        <v>0</v>
      </c>
      <c r="F39" s="107">
        <f>D39*F5</f>
        <v>0</v>
      </c>
      <c r="G39" s="81"/>
      <c r="H39" s="107"/>
      <c r="I39" s="81"/>
      <c r="J39" s="38"/>
      <c r="K39" s="81"/>
      <c r="L39" s="107"/>
      <c r="M39" s="81"/>
      <c r="N39" s="38"/>
      <c r="O39" s="81"/>
      <c r="P39" s="38"/>
      <c r="Q39" s="81"/>
      <c r="R39" s="107"/>
      <c r="S39" s="81"/>
      <c r="T39" s="107"/>
      <c r="U39" s="86"/>
      <c r="V39" s="107"/>
      <c r="W39" s="81"/>
      <c r="X39" s="107"/>
      <c r="Y39" s="81"/>
      <c r="Z39" s="107"/>
      <c r="AA39" s="81"/>
      <c r="AB39" s="107"/>
      <c r="AC39" s="81"/>
      <c r="AD39" s="107"/>
      <c r="AE39" s="81"/>
      <c r="AF39" s="107"/>
      <c r="AG39" s="81"/>
      <c r="AH39" s="107"/>
      <c r="AI39" s="81"/>
      <c r="AJ39" s="107"/>
      <c r="AK39" s="81"/>
      <c r="AL39" s="107"/>
      <c r="AM39" s="81"/>
      <c r="AN39" s="107"/>
      <c r="AO39" s="81"/>
      <c r="AP39" s="107"/>
      <c r="AQ39" s="81"/>
      <c r="AR39" s="107"/>
      <c r="AS39" s="81"/>
      <c r="AT39" s="107"/>
      <c r="AU39" s="81"/>
      <c r="AV39" s="107"/>
      <c r="AW39" s="81"/>
      <c r="AX39" s="107"/>
      <c r="AY39" s="81"/>
      <c r="AZ39" s="107"/>
      <c r="BA39" s="81"/>
      <c r="BB39" s="107"/>
      <c r="BC39" s="81"/>
      <c r="BD39" s="107"/>
      <c r="BE39" s="81"/>
      <c r="BF39" s="107"/>
      <c r="BH39" s="109"/>
      <c r="BI39" s="109"/>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73" t="s">
        <v>193</v>
      </c>
      <c r="C1" s="273"/>
      <c r="D1" s="273" t="s">
        <v>193</v>
      </c>
      <c r="E1" s="273"/>
      <c r="F1" s="273" t="s">
        <v>193</v>
      </c>
      <c r="G1" s="273"/>
      <c r="H1" s="273" t="s">
        <v>194</v>
      </c>
      <c r="I1" s="273"/>
      <c r="J1" s="270"/>
      <c r="K1" s="270"/>
      <c r="L1" s="273" t="s">
        <v>195</v>
      </c>
      <c r="M1" s="273"/>
      <c r="N1" s="273" t="s">
        <v>195</v>
      </c>
      <c r="O1" s="273"/>
      <c r="P1" s="273" t="s">
        <v>195</v>
      </c>
      <c r="Q1" s="273"/>
      <c r="R1" s="273" t="s">
        <v>195</v>
      </c>
      <c r="S1" s="273"/>
      <c r="T1" s="273" t="s">
        <v>196</v>
      </c>
      <c r="U1" s="273"/>
      <c r="V1" s="281" t="s">
        <v>196</v>
      </c>
      <c r="W1" s="281"/>
      <c r="X1" s="273" t="s">
        <v>196</v>
      </c>
      <c r="Y1" s="273"/>
      <c r="Z1" s="273" t="s">
        <v>196</v>
      </c>
      <c r="AA1" s="273"/>
      <c r="AB1" s="270"/>
      <c r="AC1" s="270"/>
      <c r="AD1" s="273" t="s">
        <v>196</v>
      </c>
      <c r="AE1" s="273"/>
      <c r="AF1" s="273" t="s">
        <v>196</v>
      </c>
      <c r="AG1" s="273"/>
      <c r="AH1" s="273" t="s">
        <v>197</v>
      </c>
      <c r="AI1" s="273"/>
      <c r="AJ1" s="273" t="s">
        <v>197</v>
      </c>
      <c r="AK1" s="273"/>
      <c r="AL1" s="282" t="s">
        <v>197</v>
      </c>
      <c r="AM1" s="282"/>
      <c r="AN1" s="273" t="s">
        <v>197</v>
      </c>
      <c r="AO1" s="273"/>
      <c r="AP1" s="270" t="s">
        <v>197</v>
      </c>
      <c r="AQ1" s="270"/>
      <c r="AR1" s="282" t="s">
        <v>197</v>
      </c>
      <c r="AS1" s="282"/>
      <c r="AT1" s="273" t="s">
        <v>197</v>
      </c>
      <c r="AU1" s="273"/>
      <c r="AV1" s="270"/>
      <c r="AW1" s="270"/>
      <c r="AX1" s="273" t="s">
        <v>197</v>
      </c>
      <c r="AY1" s="273"/>
      <c r="AZ1" s="273" t="s">
        <v>197</v>
      </c>
      <c r="BA1" s="273"/>
      <c r="BB1" s="273" t="s">
        <v>197</v>
      </c>
      <c r="BC1" s="273"/>
      <c r="BD1" s="273" t="s">
        <v>198</v>
      </c>
      <c r="BE1" s="273"/>
      <c r="BF1" s="273" t="s">
        <v>198</v>
      </c>
      <c r="BG1" s="273"/>
      <c r="BH1" s="273" t="s">
        <v>198</v>
      </c>
      <c r="BI1" s="273"/>
      <c r="BJ1" s="273" t="s">
        <v>198</v>
      </c>
      <c r="BK1" s="273"/>
      <c r="BL1" s="273" t="s">
        <v>198</v>
      </c>
      <c r="BM1" s="273"/>
      <c r="BN1" s="273" t="s">
        <v>198</v>
      </c>
      <c r="BO1" s="273"/>
      <c r="BP1" s="273" t="s">
        <v>198</v>
      </c>
      <c r="BQ1" s="273"/>
      <c r="BR1" s="273" t="s">
        <v>198</v>
      </c>
      <c r="BS1" s="273"/>
      <c r="BT1" s="273" t="s">
        <v>198</v>
      </c>
      <c r="BU1" s="273"/>
      <c r="BV1" s="273" t="s">
        <v>198</v>
      </c>
      <c r="BW1" s="273"/>
      <c r="BX1" s="273" t="s">
        <v>198</v>
      </c>
      <c r="BY1" s="273"/>
      <c r="BZ1" s="273" t="s">
        <v>199</v>
      </c>
      <c r="CA1" s="273"/>
      <c r="CB1" s="281" t="s">
        <v>199</v>
      </c>
      <c r="CC1" s="281"/>
      <c r="CD1" s="273" t="s">
        <v>199</v>
      </c>
      <c r="CE1" s="273"/>
      <c r="CF1" s="273" t="s">
        <v>199</v>
      </c>
      <c r="CG1" s="273"/>
      <c r="CH1" s="273" t="s">
        <v>200</v>
      </c>
      <c r="CI1" s="273"/>
      <c r="CJ1" s="273" t="s">
        <v>200</v>
      </c>
      <c r="CK1" s="273"/>
      <c r="CL1" s="273" t="s">
        <v>200</v>
      </c>
      <c r="CM1" s="273"/>
      <c r="CN1" s="273" t="s">
        <v>201</v>
      </c>
      <c r="CO1" s="273"/>
      <c r="CP1" s="273" t="s">
        <v>201</v>
      </c>
      <c r="CQ1" s="273"/>
      <c r="CR1" s="281" t="s">
        <v>201</v>
      </c>
      <c r="CS1" s="281"/>
      <c r="CT1" s="273" t="s">
        <v>201</v>
      </c>
      <c r="CU1" s="273"/>
      <c r="CV1" s="273" t="s">
        <v>201</v>
      </c>
      <c r="CW1" s="273"/>
      <c r="CX1" s="273" t="s">
        <v>201</v>
      </c>
      <c r="CY1" s="273"/>
      <c r="CZ1" s="273" t="s">
        <v>201</v>
      </c>
      <c r="DA1" s="273"/>
      <c r="DB1" s="273" t="s">
        <v>201</v>
      </c>
      <c r="DC1" s="273"/>
      <c r="DD1" s="273" t="s">
        <v>201</v>
      </c>
      <c r="DE1" s="273"/>
      <c r="DF1" s="273" t="s">
        <v>201</v>
      </c>
      <c r="DG1" s="273"/>
      <c r="DH1" s="273" t="s">
        <v>201</v>
      </c>
      <c r="DI1" s="273"/>
      <c r="DJ1" s="270" t="s">
        <v>201</v>
      </c>
      <c r="DK1" s="270"/>
      <c r="DL1" s="273" t="s">
        <v>202</v>
      </c>
      <c r="DM1" s="273"/>
      <c r="DN1" s="273" t="s">
        <v>202</v>
      </c>
      <c r="DO1" s="273"/>
      <c r="DP1" s="273" t="s">
        <v>202</v>
      </c>
      <c r="DQ1" s="273"/>
      <c r="DR1" s="273" t="s">
        <v>202</v>
      </c>
      <c r="DS1" s="273"/>
      <c r="DT1" s="273" t="s">
        <v>202</v>
      </c>
      <c r="DU1" s="273"/>
      <c r="DV1" s="273" t="s">
        <v>202</v>
      </c>
      <c r="DW1" s="273"/>
      <c r="DX1" s="273" t="s">
        <v>203</v>
      </c>
      <c r="DY1" s="273"/>
      <c r="DZ1" s="273" t="s">
        <v>203</v>
      </c>
      <c r="EA1" s="273"/>
      <c r="EB1" s="273" t="s">
        <v>203</v>
      </c>
      <c r="EC1" s="273"/>
      <c r="ED1" s="273" t="s">
        <v>203</v>
      </c>
      <c r="EE1" s="273"/>
      <c r="EF1" s="273" t="s">
        <v>203</v>
      </c>
      <c r="EG1" s="273"/>
      <c r="EH1" s="273" t="s">
        <v>203</v>
      </c>
      <c r="EI1" s="273"/>
      <c r="EJ1" s="273" t="s">
        <v>203</v>
      </c>
      <c r="EK1" s="273"/>
      <c r="EL1" s="273" t="s">
        <v>204</v>
      </c>
      <c r="EM1" s="273"/>
      <c r="EN1" s="273" t="s">
        <v>204</v>
      </c>
      <c r="EO1" s="273"/>
      <c r="EP1" s="273" t="s">
        <v>204</v>
      </c>
      <c r="EQ1" s="273"/>
      <c r="ER1" s="273" t="s">
        <v>205</v>
      </c>
      <c r="ES1" s="273"/>
      <c r="ET1" s="273" t="s">
        <v>205</v>
      </c>
      <c r="EU1" s="273"/>
      <c r="EV1" s="273" t="s">
        <v>205</v>
      </c>
      <c r="EW1" s="273"/>
      <c r="EX1" s="273" t="s">
        <v>206</v>
      </c>
      <c r="EY1" s="273"/>
      <c r="EZ1" s="273" t="s">
        <v>207</v>
      </c>
      <c r="FA1" s="273"/>
      <c r="FB1" s="273" t="s">
        <v>207</v>
      </c>
      <c r="FC1" s="273"/>
      <c r="FD1" s="273" t="s">
        <v>207</v>
      </c>
      <c r="FE1" s="273"/>
      <c r="FF1" s="273" t="s">
        <v>208</v>
      </c>
      <c r="FG1" s="273"/>
      <c r="FH1" s="273" t="s">
        <v>208</v>
      </c>
      <c r="FI1" s="273"/>
      <c r="FJ1" s="273" t="s">
        <v>208</v>
      </c>
      <c r="FK1" s="273"/>
      <c r="FL1" s="270" t="s">
        <v>208</v>
      </c>
      <c r="FM1" s="270"/>
    </row>
    <row r="2" spans="1:169" s="24" customFormat="1" ht="49.5" customHeight="1">
      <c r="B2" s="273" t="s">
        <v>209</v>
      </c>
      <c r="C2" s="273"/>
      <c r="D2" s="273" t="s">
        <v>210</v>
      </c>
      <c r="E2" s="273"/>
      <c r="F2" s="273" t="s">
        <v>209</v>
      </c>
      <c r="G2" s="273"/>
      <c r="H2" s="273" t="s">
        <v>210</v>
      </c>
      <c r="I2" s="273"/>
      <c r="J2" s="273" t="s">
        <v>210</v>
      </c>
      <c r="K2" s="273"/>
      <c r="L2" s="273" t="s">
        <v>209</v>
      </c>
      <c r="M2" s="273"/>
      <c r="N2" s="273" t="s">
        <v>209</v>
      </c>
      <c r="O2" s="273"/>
      <c r="P2" s="273" t="s">
        <v>210</v>
      </c>
      <c r="Q2" s="273"/>
      <c r="R2" s="273" t="s">
        <v>210</v>
      </c>
      <c r="S2" s="273"/>
      <c r="T2" s="273" t="s">
        <v>209</v>
      </c>
      <c r="U2" s="273"/>
      <c r="V2" s="273" t="s">
        <v>210</v>
      </c>
      <c r="W2" s="273"/>
      <c r="X2" s="273" t="s">
        <v>210</v>
      </c>
      <c r="Y2" s="273"/>
      <c r="Z2" s="273" t="s">
        <v>210</v>
      </c>
      <c r="AA2" s="273"/>
      <c r="AB2" s="270" t="s">
        <v>210</v>
      </c>
      <c r="AC2" s="270"/>
      <c r="AD2" s="273" t="s">
        <v>209</v>
      </c>
      <c r="AE2" s="273"/>
      <c r="AF2" s="273" t="s">
        <v>210</v>
      </c>
      <c r="AG2" s="273"/>
      <c r="AH2" s="273" t="s">
        <v>210</v>
      </c>
      <c r="AI2" s="273"/>
      <c r="AJ2" s="273" t="s">
        <v>210</v>
      </c>
      <c r="AK2" s="273"/>
      <c r="AL2" s="273" t="s">
        <v>210</v>
      </c>
      <c r="AM2" s="273"/>
      <c r="AN2" s="273" t="s">
        <v>210</v>
      </c>
      <c r="AO2" s="273"/>
      <c r="AP2" s="270" t="s">
        <v>210</v>
      </c>
      <c r="AQ2" s="270"/>
      <c r="AR2" s="273" t="s">
        <v>210</v>
      </c>
      <c r="AS2" s="273"/>
      <c r="AT2" s="273" t="s">
        <v>210</v>
      </c>
      <c r="AU2" s="273"/>
      <c r="AV2" s="270" t="s">
        <v>210</v>
      </c>
      <c r="AW2" s="270"/>
      <c r="AX2" s="273" t="s">
        <v>210</v>
      </c>
      <c r="AY2" s="273"/>
      <c r="AZ2" s="273" t="s">
        <v>210</v>
      </c>
      <c r="BA2" s="273"/>
      <c r="BB2" s="273" t="s">
        <v>210</v>
      </c>
      <c r="BC2" s="273"/>
      <c r="BD2" s="273" t="s">
        <v>209</v>
      </c>
      <c r="BE2" s="273"/>
      <c r="BF2" s="273" t="s">
        <v>211</v>
      </c>
      <c r="BG2" s="273"/>
      <c r="BH2" s="273" t="s">
        <v>210</v>
      </c>
      <c r="BI2" s="273"/>
      <c r="BJ2" s="273" t="s">
        <v>210</v>
      </c>
      <c r="BK2" s="273"/>
      <c r="BL2" s="273" t="s">
        <v>210</v>
      </c>
      <c r="BM2" s="273"/>
      <c r="BN2" s="273" t="s">
        <v>210</v>
      </c>
      <c r="BO2" s="273"/>
      <c r="BP2" s="273" t="s">
        <v>210</v>
      </c>
      <c r="BQ2" s="273"/>
      <c r="BR2" s="273" t="s">
        <v>210</v>
      </c>
      <c r="BS2" s="273"/>
      <c r="BT2" s="273" t="s">
        <v>210</v>
      </c>
      <c r="BU2" s="273"/>
      <c r="BV2" s="273" t="s">
        <v>210</v>
      </c>
      <c r="BW2" s="273"/>
      <c r="BX2" s="273" t="s">
        <v>210</v>
      </c>
      <c r="BY2" s="273"/>
      <c r="BZ2" s="273" t="s">
        <v>209</v>
      </c>
      <c r="CA2" s="273"/>
      <c r="CB2" s="273" t="s">
        <v>209</v>
      </c>
      <c r="CC2" s="273"/>
      <c r="CD2" s="273" t="s">
        <v>209</v>
      </c>
      <c r="CE2" s="273"/>
      <c r="CF2" s="273" t="s">
        <v>209</v>
      </c>
      <c r="CG2" s="273"/>
      <c r="CH2" s="273" t="s">
        <v>210</v>
      </c>
      <c r="CI2" s="273"/>
      <c r="CJ2" s="273" t="s">
        <v>210</v>
      </c>
      <c r="CK2" s="273"/>
      <c r="CL2" s="273" t="s">
        <v>210</v>
      </c>
      <c r="CM2" s="273"/>
      <c r="CN2" s="273" t="s">
        <v>209</v>
      </c>
      <c r="CO2" s="273"/>
      <c r="CP2" s="273" t="s">
        <v>210</v>
      </c>
      <c r="CQ2" s="273"/>
      <c r="CR2" s="273" t="s">
        <v>210</v>
      </c>
      <c r="CS2" s="273"/>
      <c r="CT2" s="273" t="s">
        <v>210</v>
      </c>
      <c r="CU2" s="273"/>
      <c r="CV2" s="273" t="s">
        <v>210</v>
      </c>
      <c r="CW2" s="273"/>
      <c r="CX2" s="273" t="s">
        <v>210</v>
      </c>
      <c r="CY2" s="273"/>
      <c r="CZ2" s="273" t="s">
        <v>210</v>
      </c>
      <c r="DA2" s="273"/>
      <c r="DB2" s="273" t="s">
        <v>209</v>
      </c>
      <c r="DC2" s="273"/>
      <c r="DD2" s="273" t="s">
        <v>210</v>
      </c>
      <c r="DE2" s="273"/>
      <c r="DF2" s="273" t="s">
        <v>210</v>
      </c>
      <c r="DG2" s="273"/>
      <c r="DH2" s="273" t="s">
        <v>210</v>
      </c>
      <c r="DI2" s="273"/>
      <c r="DJ2" s="270" t="s">
        <v>210</v>
      </c>
      <c r="DK2" s="270"/>
      <c r="DL2" s="273" t="s">
        <v>210</v>
      </c>
      <c r="DM2" s="273"/>
      <c r="DN2" s="273" t="s">
        <v>210</v>
      </c>
      <c r="DO2" s="273"/>
      <c r="DP2" s="273" t="s">
        <v>210</v>
      </c>
      <c r="DQ2" s="273"/>
      <c r="DR2" s="273" t="s">
        <v>210</v>
      </c>
      <c r="DS2" s="273"/>
      <c r="DT2" s="273" t="s">
        <v>210</v>
      </c>
      <c r="DU2" s="273"/>
      <c r="DV2" s="273" t="s">
        <v>210</v>
      </c>
      <c r="DW2" s="273"/>
      <c r="DX2" s="273" t="s">
        <v>210</v>
      </c>
      <c r="DY2" s="273"/>
      <c r="DZ2" s="273" t="s">
        <v>210</v>
      </c>
      <c r="EA2" s="273"/>
      <c r="EB2" s="273" t="s">
        <v>210</v>
      </c>
      <c r="EC2" s="273"/>
      <c r="ED2" s="273" t="s">
        <v>210</v>
      </c>
      <c r="EE2" s="273"/>
      <c r="EF2" s="273" t="s">
        <v>210</v>
      </c>
      <c r="EG2" s="273"/>
      <c r="EH2" s="273" t="s">
        <v>210</v>
      </c>
      <c r="EI2" s="273"/>
      <c r="EJ2" s="273" t="s">
        <v>210</v>
      </c>
      <c r="EK2" s="273"/>
      <c r="EL2" s="273" t="s">
        <v>210</v>
      </c>
      <c r="EM2" s="273"/>
      <c r="EN2" s="273" t="s">
        <v>210</v>
      </c>
      <c r="EO2" s="273"/>
      <c r="EP2" s="273" t="s">
        <v>210</v>
      </c>
      <c r="EQ2" s="273"/>
      <c r="ER2" s="273" t="s">
        <v>210</v>
      </c>
      <c r="ES2" s="273"/>
      <c r="ET2" s="273" t="s">
        <v>210</v>
      </c>
      <c r="EU2" s="273"/>
      <c r="EV2" s="273" t="s">
        <v>210</v>
      </c>
      <c r="EW2" s="273"/>
      <c r="EX2" s="273" t="s">
        <v>210</v>
      </c>
      <c r="EY2" s="273"/>
      <c r="EZ2" s="273" t="s">
        <v>210</v>
      </c>
      <c r="FA2" s="273"/>
      <c r="FB2" s="273" t="s">
        <v>210</v>
      </c>
      <c r="FC2" s="273"/>
      <c r="FD2" s="273" t="s">
        <v>210</v>
      </c>
      <c r="FE2" s="273"/>
      <c r="FF2" s="273" t="s">
        <v>210</v>
      </c>
      <c r="FG2" s="273"/>
      <c r="FH2" s="273" t="s">
        <v>210</v>
      </c>
      <c r="FI2" s="273"/>
      <c r="FJ2" s="273" t="s">
        <v>210</v>
      </c>
      <c r="FK2" s="273"/>
      <c r="FL2" s="270" t="s">
        <v>210</v>
      </c>
      <c r="FM2" s="270"/>
    </row>
    <row r="3" spans="1:169" s="24" customFormat="1" ht="49.5" customHeight="1">
      <c r="B3" s="221" t="s">
        <v>64</v>
      </c>
      <c r="C3" s="222"/>
      <c r="D3" s="221" t="s">
        <v>212</v>
      </c>
      <c r="E3" s="222"/>
      <c r="F3" s="221"/>
      <c r="G3" s="222"/>
      <c r="H3" s="221" t="s">
        <v>212</v>
      </c>
      <c r="I3" s="222"/>
      <c r="J3" s="221" t="s">
        <v>212</v>
      </c>
      <c r="K3" s="222"/>
      <c r="L3" s="221"/>
      <c r="M3" s="222"/>
      <c r="N3" s="221"/>
      <c r="O3" s="222"/>
      <c r="P3" s="221" t="s">
        <v>212</v>
      </c>
      <c r="Q3" s="222"/>
      <c r="R3" s="221" t="s">
        <v>212</v>
      </c>
      <c r="S3" s="222"/>
      <c r="T3" s="221"/>
      <c r="U3" s="222"/>
      <c r="V3" s="221" t="s">
        <v>213</v>
      </c>
      <c r="W3" s="222"/>
      <c r="X3" s="221" t="s">
        <v>213</v>
      </c>
      <c r="Y3" s="222"/>
      <c r="Z3" s="221" t="s">
        <v>213</v>
      </c>
      <c r="AA3" s="222"/>
      <c r="AB3" s="279" t="s">
        <v>213</v>
      </c>
      <c r="AC3" s="280"/>
      <c r="AD3" s="221"/>
      <c r="AE3" s="222"/>
      <c r="AF3" s="221" t="s">
        <v>213</v>
      </c>
      <c r="AG3" s="222"/>
      <c r="AH3" s="221" t="s">
        <v>212</v>
      </c>
      <c r="AI3" s="222"/>
      <c r="AJ3" s="221" t="s">
        <v>212</v>
      </c>
      <c r="AK3" s="222"/>
      <c r="AL3" s="221" t="s">
        <v>212</v>
      </c>
      <c r="AM3" s="222"/>
      <c r="AN3" s="221" t="s">
        <v>212</v>
      </c>
      <c r="AO3" s="222"/>
      <c r="AP3" s="279" t="s">
        <v>212</v>
      </c>
      <c r="AQ3" s="280"/>
      <c r="AR3" s="221" t="s">
        <v>212</v>
      </c>
      <c r="AS3" s="222"/>
      <c r="AT3" s="221" t="s">
        <v>212</v>
      </c>
      <c r="AU3" s="222"/>
      <c r="AV3" s="279" t="s">
        <v>212</v>
      </c>
      <c r="AW3" s="280"/>
      <c r="AX3" s="221" t="s">
        <v>212</v>
      </c>
      <c r="AY3" s="222"/>
      <c r="AZ3" s="221" t="s">
        <v>212</v>
      </c>
      <c r="BA3" s="222"/>
      <c r="BB3" s="221" t="s">
        <v>212</v>
      </c>
      <c r="BC3" s="222"/>
      <c r="BD3" s="221"/>
      <c r="BE3" s="222"/>
      <c r="BF3" s="221"/>
      <c r="BG3" s="222"/>
      <c r="BH3" s="221" t="s">
        <v>212</v>
      </c>
      <c r="BI3" s="222"/>
      <c r="BJ3" s="221" t="s">
        <v>212</v>
      </c>
      <c r="BK3" s="222"/>
      <c r="BL3" s="221" t="s">
        <v>212</v>
      </c>
      <c r="BM3" s="222"/>
      <c r="BN3" s="221" t="s">
        <v>212</v>
      </c>
      <c r="BO3" s="222"/>
      <c r="BP3" s="221" t="s">
        <v>212</v>
      </c>
      <c r="BQ3" s="222"/>
      <c r="BR3" s="221" t="s">
        <v>212</v>
      </c>
      <c r="BS3" s="222"/>
      <c r="BT3" s="221" t="s">
        <v>212</v>
      </c>
      <c r="BU3" s="222"/>
      <c r="BV3" s="221" t="s">
        <v>212</v>
      </c>
      <c r="BW3" s="222"/>
      <c r="BX3" s="221" t="s">
        <v>212</v>
      </c>
      <c r="BY3" s="222"/>
      <c r="BZ3" s="221" t="s">
        <v>63</v>
      </c>
      <c r="CA3" s="222"/>
      <c r="CB3" s="221" t="s">
        <v>63</v>
      </c>
      <c r="CC3" s="222"/>
      <c r="CD3" s="221" t="s">
        <v>63</v>
      </c>
      <c r="CE3" s="222"/>
      <c r="CF3" s="117"/>
      <c r="CG3" s="117"/>
      <c r="CH3" s="221" t="s">
        <v>64</v>
      </c>
      <c r="CI3" s="222"/>
      <c r="CJ3" s="221" t="s">
        <v>64</v>
      </c>
      <c r="CK3" s="222"/>
      <c r="CL3" s="221" t="s">
        <v>212</v>
      </c>
      <c r="CM3" s="222"/>
      <c r="CN3" s="221"/>
      <c r="CO3" s="222"/>
      <c r="CP3" s="221" t="s">
        <v>212</v>
      </c>
      <c r="CQ3" s="222"/>
      <c r="CR3" s="221" t="s">
        <v>212</v>
      </c>
      <c r="CS3" s="222"/>
      <c r="CT3" s="221" t="s">
        <v>212</v>
      </c>
      <c r="CU3" s="222"/>
      <c r="CV3" s="221" t="s">
        <v>212</v>
      </c>
      <c r="CW3" s="222"/>
      <c r="CX3" s="221" t="s">
        <v>212</v>
      </c>
      <c r="CY3" s="222"/>
      <c r="CZ3" s="221" t="s">
        <v>212</v>
      </c>
      <c r="DA3" s="222"/>
      <c r="DB3" s="221" t="s">
        <v>212</v>
      </c>
      <c r="DC3" s="222"/>
      <c r="DD3" s="221" t="s">
        <v>212</v>
      </c>
      <c r="DE3" s="222"/>
      <c r="DF3" s="221" t="s">
        <v>212</v>
      </c>
      <c r="DG3" s="222"/>
      <c r="DH3" s="221" t="s">
        <v>212</v>
      </c>
      <c r="DI3" s="222"/>
      <c r="DJ3" s="279" t="s">
        <v>212</v>
      </c>
      <c r="DK3" s="280"/>
      <c r="DL3" s="221" t="s">
        <v>62</v>
      </c>
      <c r="DM3" s="222"/>
      <c r="DN3" s="221" t="s">
        <v>62</v>
      </c>
      <c r="DO3" s="222"/>
      <c r="DP3" s="221" t="s">
        <v>62</v>
      </c>
      <c r="DQ3" s="222"/>
      <c r="DR3" s="221" t="s">
        <v>62</v>
      </c>
      <c r="DS3" s="222"/>
      <c r="DT3" s="221" t="s">
        <v>62</v>
      </c>
      <c r="DU3" s="222"/>
      <c r="DV3" s="221" t="s">
        <v>214</v>
      </c>
      <c r="DW3" s="222"/>
      <c r="DX3" s="221" t="s">
        <v>62</v>
      </c>
      <c r="DY3" s="222"/>
      <c r="DZ3" s="221" t="s">
        <v>213</v>
      </c>
      <c r="EA3" s="222"/>
      <c r="EB3" s="221" t="s">
        <v>62</v>
      </c>
      <c r="EC3" s="222"/>
      <c r="ED3" s="221" t="s">
        <v>62</v>
      </c>
      <c r="EE3" s="222"/>
      <c r="EF3" s="221" t="s">
        <v>62</v>
      </c>
      <c r="EG3" s="222"/>
      <c r="EH3" s="221" t="s">
        <v>62</v>
      </c>
      <c r="EI3" s="222"/>
      <c r="EJ3" s="221" t="s">
        <v>62</v>
      </c>
      <c r="EK3" s="222"/>
      <c r="EL3" s="221" t="s">
        <v>64</v>
      </c>
      <c r="EM3" s="222"/>
      <c r="EN3" s="221" t="s">
        <v>64</v>
      </c>
      <c r="EO3" s="222"/>
      <c r="EP3" s="221" t="s">
        <v>64</v>
      </c>
      <c r="EQ3" s="222"/>
      <c r="ER3" s="221" t="s">
        <v>64</v>
      </c>
      <c r="ES3" s="222"/>
      <c r="ET3" s="221" t="s">
        <v>64</v>
      </c>
      <c r="EU3" s="222"/>
      <c r="EV3" s="221" t="s">
        <v>64</v>
      </c>
      <c r="EW3" s="222"/>
      <c r="EX3" s="221" t="s">
        <v>64</v>
      </c>
      <c r="EY3" s="222"/>
      <c r="EZ3" s="221" t="s">
        <v>64</v>
      </c>
      <c r="FA3" s="222"/>
      <c r="FB3" s="221" t="s">
        <v>64</v>
      </c>
      <c r="FC3" s="222"/>
      <c r="FD3" s="221" t="s">
        <v>64</v>
      </c>
      <c r="FE3" s="222"/>
      <c r="FF3" s="221" t="s">
        <v>64</v>
      </c>
      <c r="FG3" s="222"/>
      <c r="FH3" s="221" t="s">
        <v>64</v>
      </c>
      <c r="FI3" s="222"/>
      <c r="FJ3" s="221" t="s">
        <v>64</v>
      </c>
      <c r="FK3" s="222"/>
      <c r="FL3" s="279" t="s">
        <v>212</v>
      </c>
      <c r="FM3" s="280"/>
    </row>
    <row r="4" spans="1:169" s="24" customFormat="1" ht="30" customHeight="1">
      <c r="B4" s="221" t="s">
        <v>215</v>
      </c>
      <c r="C4" s="222"/>
      <c r="D4" s="221" t="s">
        <v>215</v>
      </c>
      <c r="E4" s="222"/>
      <c r="F4" s="114"/>
      <c r="G4" s="115"/>
      <c r="H4" s="221" t="s">
        <v>215</v>
      </c>
      <c r="I4" s="222"/>
      <c r="J4" s="221" t="s">
        <v>216</v>
      </c>
      <c r="K4" s="222"/>
      <c r="L4" s="114"/>
      <c r="M4" s="115"/>
      <c r="N4" s="221"/>
      <c r="O4" s="222"/>
      <c r="P4" s="221" t="s">
        <v>217</v>
      </c>
      <c r="Q4" s="222"/>
      <c r="R4" s="221" t="s">
        <v>217</v>
      </c>
      <c r="S4" s="222"/>
      <c r="T4" s="114"/>
      <c r="U4" s="115"/>
      <c r="V4" s="221" t="s">
        <v>217</v>
      </c>
      <c r="W4" s="222"/>
      <c r="X4" s="221" t="s">
        <v>217</v>
      </c>
      <c r="Y4" s="222"/>
      <c r="Z4" s="221" t="s">
        <v>217</v>
      </c>
      <c r="AA4" s="222"/>
      <c r="AB4" s="279" t="s">
        <v>217</v>
      </c>
      <c r="AC4" s="280"/>
      <c r="AD4" s="114"/>
      <c r="AE4" s="115"/>
      <c r="AF4" s="221" t="s">
        <v>217</v>
      </c>
      <c r="AG4" s="222"/>
      <c r="AH4" s="221" t="s">
        <v>217</v>
      </c>
      <c r="AI4" s="222"/>
      <c r="AJ4" s="221" t="s">
        <v>215</v>
      </c>
      <c r="AK4" s="222"/>
      <c r="AL4" s="221" t="s">
        <v>215</v>
      </c>
      <c r="AM4" s="222"/>
      <c r="AN4" s="221" t="s">
        <v>215</v>
      </c>
      <c r="AO4" s="222"/>
      <c r="AP4" s="279" t="s">
        <v>216</v>
      </c>
      <c r="AQ4" s="280"/>
      <c r="AR4" s="221" t="s">
        <v>215</v>
      </c>
      <c r="AS4" s="222"/>
      <c r="AT4" s="221" t="s">
        <v>215</v>
      </c>
      <c r="AU4" s="222"/>
      <c r="AV4" s="279" t="s">
        <v>215</v>
      </c>
      <c r="AW4" s="280"/>
      <c r="AX4" s="221" t="s">
        <v>217</v>
      </c>
      <c r="AY4" s="222"/>
      <c r="AZ4" s="221" t="s">
        <v>215</v>
      </c>
      <c r="BA4" s="222"/>
      <c r="BB4" s="221" t="s">
        <v>215</v>
      </c>
      <c r="BC4" s="222"/>
      <c r="BD4" s="114"/>
      <c r="BE4" s="115"/>
      <c r="BF4" s="114"/>
      <c r="BG4" s="115"/>
      <c r="BH4" s="221" t="s">
        <v>216</v>
      </c>
      <c r="BI4" s="222"/>
      <c r="BJ4" s="221" t="s">
        <v>217</v>
      </c>
      <c r="BK4" s="222"/>
      <c r="BL4" s="221" t="s">
        <v>215</v>
      </c>
      <c r="BM4" s="222"/>
      <c r="BN4" s="221" t="s">
        <v>215</v>
      </c>
      <c r="BO4" s="222"/>
      <c r="BP4" s="221" t="s">
        <v>215</v>
      </c>
      <c r="BQ4" s="222"/>
      <c r="BR4" s="221" t="s">
        <v>215</v>
      </c>
      <c r="BS4" s="222"/>
      <c r="BT4" s="221" t="s">
        <v>215</v>
      </c>
      <c r="BU4" s="222"/>
      <c r="BV4" s="221" t="s">
        <v>215</v>
      </c>
      <c r="BW4" s="222"/>
      <c r="BX4" s="221" t="s">
        <v>215</v>
      </c>
      <c r="BY4" s="222"/>
      <c r="BZ4" s="221" t="s">
        <v>217</v>
      </c>
      <c r="CA4" s="222"/>
      <c r="CB4" s="221" t="s">
        <v>217</v>
      </c>
      <c r="CC4" s="222"/>
      <c r="CD4" s="221" t="s">
        <v>217</v>
      </c>
      <c r="CE4" s="222"/>
      <c r="CF4" s="221" t="s">
        <v>215</v>
      </c>
      <c r="CG4" s="222"/>
      <c r="CH4" s="221" t="s">
        <v>215</v>
      </c>
      <c r="CI4" s="222"/>
      <c r="CJ4" s="221" t="s">
        <v>215</v>
      </c>
      <c r="CK4" s="222"/>
      <c r="CL4" s="221" t="s">
        <v>215</v>
      </c>
      <c r="CM4" s="222"/>
      <c r="CN4" s="114"/>
      <c r="CO4" s="115"/>
      <c r="CP4" s="221" t="s">
        <v>216</v>
      </c>
      <c r="CQ4" s="222"/>
      <c r="CR4" s="221" t="s">
        <v>218</v>
      </c>
      <c r="CS4" s="222"/>
      <c r="CT4" s="221" t="s">
        <v>216</v>
      </c>
      <c r="CU4" s="222"/>
      <c r="CV4" s="221" t="s">
        <v>217</v>
      </c>
      <c r="CW4" s="222"/>
      <c r="CX4" s="221" t="s">
        <v>215</v>
      </c>
      <c r="CY4" s="222"/>
      <c r="CZ4" s="221" t="s">
        <v>215</v>
      </c>
      <c r="DA4" s="222"/>
      <c r="DB4" s="114"/>
      <c r="DC4" s="115"/>
      <c r="DD4" s="221" t="s">
        <v>216</v>
      </c>
      <c r="DE4" s="222"/>
      <c r="DF4" s="221" t="s">
        <v>217</v>
      </c>
      <c r="DG4" s="222"/>
      <c r="DH4" s="221" t="s">
        <v>217</v>
      </c>
      <c r="DI4" s="222"/>
      <c r="DJ4" s="279" t="s">
        <v>216</v>
      </c>
      <c r="DK4" s="280"/>
      <c r="DL4" s="221" t="s">
        <v>215</v>
      </c>
      <c r="DM4" s="222"/>
      <c r="DN4" s="221" t="s">
        <v>215</v>
      </c>
      <c r="DO4" s="222"/>
      <c r="DP4" s="221" t="s">
        <v>215</v>
      </c>
      <c r="DQ4" s="222"/>
      <c r="DR4" s="221" t="s">
        <v>215</v>
      </c>
      <c r="DS4" s="222"/>
      <c r="DT4" s="221" t="s">
        <v>217</v>
      </c>
      <c r="DU4" s="222"/>
      <c r="DV4" s="221" t="s">
        <v>217</v>
      </c>
      <c r="DW4" s="222"/>
      <c r="DX4" s="221" t="s">
        <v>219</v>
      </c>
      <c r="DY4" s="222"/>
      <c r="DZ4" s="221" t="s">
        <v>220</v>
      </c>
      <c r="EA4" s="222"/>
      <c r="EB4" s="221" t="s">
        <v>219</v>
      </c>
      <c r="EC4" s="222"/>
      <c r="ED4" s="221" t="s">
        <v>215</v>
      </c>
      <c r="EE4" s="222"/>
      <c r="EF4" s="221" t="s">
        <v>215</v>
      </c>
      <c r="EG4" s="222"/>
      <c r="EH4" s="221" t="s">
        <v>217</v>
      </c>
      <c r="EI4" s="222"/>
      <c r="EJ4" s="221" t="s">
        <v>217</v>
      </c>
      <c r="EK4" s="222"/>
      <c r="EL4" s="221" t="s">
        <v>215</v>
      </c>
      <c r="EM4" s="222"/>
      <c r="EN4" s="221" t="s">
        <v>215</v>
      </c>
      <c r="EO4" s="222"/>
      <c r="EP4" s="221" t="s">
        <v>215</v>
      </c>
      <c r="EQ4" s="222"/>
      <c r="ER4" s="221" t="s">
        <v>215</v>
      </c>
      <c r="ES4" s="222"/>
      <c r="ET4" s="221" t="s">
        <v>215</v>
      </c>
      <c r="EU4" s="222"/>
      <c r="EV4" s="221" t="s">
        <v>215</v>
      </c>
      <c r="EW4" s="222"/>
      <c r="EX4" s="221" t="s">
        <v>215</v>
      </c>
      <c r="EY4" s="222"/>
      <c r="EZ4" s="221" t="s">
        <v>217</v>
      </c>
      <c r="FA4" s="222"/>
      <c r="FB4" s="221" t="s">
        <v>215</v>
      </c>
      <c r="FC4" s="222"/>
      <c r="FD4" s="221" t="s">
        <v>215</v>
      </c>
      <c r="FE4" s="222"/>
      <c r="FF4" s="221" t="s">
        <v>219</v>
      </c>
      <c r="FG4" s="222"/>
      <c r="FH4" s="221" t="s">
        <v>215</v>
      </c>
      <c r="FI4" s="222"/>
      <c r="FJ4" s="221" t="s">
        <v>219</v>
      </c>
      <c r="FK4" s="222"/>
      <c r="FL4" s="279" t="s">
        <v>215</v>
      </c>
      <c r="FM4" s="280"/>
    </row>
    <row r="5" spans="1:169" s="87" customFormat="1" ht="138.75" customHeight="1">
      <c r="B5" s="276" t="s">
        <v>75</v>
      </c>
      <c r="C5" s="276"/>
      <c r="D5" s="276" t="s">
        <v>221</v>
      </c>
      <c r="E5" s="276"/>
      <c r="F5" s="276" t="s">
        <v>76</v>
      </c>
      <c r="G5" s="276"/>
      <c r="H5" s="276" t="s">
        <v>222</v>
      </c>
      <c r="I5" s="276"/>
      <c r="J5" s="276" t="s">
        <v>223</v>
      </c>
      <c r="K5" s="276"/>
      <c r="L5" s="276" t="s">
        <v>75</v>
      </c>
      <c r="M5" s="276"/>
      <c r="N5" s="276" t="s">
        <v>77</v>
      </c>
      <c r="O5" s="276"/>
      <c r="P5" s="276" t="s">
        <v>224</v>
      </c>
      <c r="Q5" s="276"/>
      <c r="R5" s="276" t="s">
        <v>224</v>
      </c>
      <c r="S5" s="276"/>
      <c r="T5" s="276" t="s">
        <v>65</v>
      </c>
      <c r="U5" s="276"/>
      <c r="V5" s="276" t="s">
        <v>225</v>
      </c>
      <c r="W5" s="276"/>
      <c r="X5" s="276" t="s">
        <v>226</v>
      </c>
      <c r="Y5" s="276"/>
      <c r="Z5" s="276" t="s">
        <v>227</v>
      </c>
      <c r="AA5" s="276"/>
      <c r="AB5" s="277" t="s">
        <v>224</v>
      </c>
      <c r="AC5" s="277"/>
      <c r="AD5" s="276" t="s">
        <v>66</v>
      </c>
      <c r="AE5" s="276"/>
      <c r="AF5" s="276" t="s">
        <v>228</v>
      </c>
      <c r="AG5" s="276"/>
      <c r="AH5" s="276" t="s">
        <v>229</v>
      </c>
      <c r="AI5" s="276"/>
      <c r="AJ5" s="276" t="s">
        <v>230</v>
      </c>
      <c r="AK5" s="276"/>
      <c r="AL5" s="276" t="s">
        <v>222</v>
      </c>
      <c r="AM5" s="276"/>
      <c r="AN5" s="276" t="s">
        <v>231</v>
      </c>
      <c r="AO5" s="276"/>
      <c r="AP5" s="277" t="s">
        <v>232</v>
      </c>
      <c r="AQ5" s="277"/>
      <c r="AR5" s="276" t="s">
        <v>233</v>
      </c>
      <c r="AS5" s="276"/>
      <c r="AT5" s="276" t="s">
        <v>234</v>
      </c>
      <c r="AU5" s="276"/>
      <c r="AV5" s="277" t="s">
        <v>235</v>
      </c>
      <c r="AW5" s="277"/>
      <c r="AX5" s="276" t="s">
        <v>224</v>
      </c>
      <c r="AY5" s="276"/>
      <c r="AZ5" s="276" t="s">
        <v>222</v>
      </c>
      <c r="BA5" s="276"/>
      <c r="BB5" s="276" t="s">
        <v>236</v>
      </c>
      <c r="BC5" s="276"/>
      <c r="BD5" s="276" t="s">
        <v>68</v>
      </c>
      <c r="BE5" s="276"/>
      <c r="BF5" s="276" t="s">
        <v>69</v>
      </c>
      <c r="BG5" s="276"/>
      <c r="BH5" s="276" t="s">
        <v>237</v>
      </c>
      <c r="BI5" s="276"/>
      <c r="BJ5" s="276" t="s">
        <v>238</v>
      </c>
      <c r="BK5" s="276"/>
      <c r="BL5" s="276" t="s">
        <v>239</v>
      </c>
      <c r="BM5" s="276"/>
      <c r="BN5" s="276" t="s">
        <v>240</v>
      </c>
      <c r="BO5" s="276"/>
      <c r="BP5" s="276" t="s">
        <v>241</v>
      </c>
      <c r="BQ5" s="276"/>
      <c r="BR5" s="276" t="s">
        <v>242</v>
      </c>
      <c r="BS5" s="276"/>
      <c r="BT5" s="276" t="s">
        <v>243</v>
      </c>
      <c r="BU5" s="276"/>
      <c r="BV5" s="276" t="s">
        <v>244</v>
      </c>
      <c r="BW5" s="276"/>
      <c r="BX5" s="276" t="s">
        <v>242</v>
      </c>
      <c r="BY5" s="276"/>
      <c r="BZ5" s="276" t="s">
        <v>71</v>
      </c>
      <c r="CA5" s="276"/>
      <c r="CB5" s="276" t="s">
        <v>72</v>
      </c>
      <c r="CC5" s="276"/>
      <c r="CD5" s="276" t="s">
        <v>73</v>
      </c>
      <c r="CE5" s="276"/>
      <c r="CF5" s="276" t="s">
        <v>74</v>
      </c>
      <c r="CG5" s="276"/>
      <c r="CH5" s="276" t="s">
        <v>245</v>
      </c>
      <c r="CI5" s="276"/>
      <c r="CJ5" s="276" t="s">
        <v>245</v>
      </c>
      <c r="CK5" s="276"/>
      <c r="CL5" s="276" t="s">
        <v>246</v>
      </c>
      <c r="CM5" s="276"/>
      <c r="CN5" s="276" t="s">
        <v>67</v>
      </c>
      <c r="CO5" s="276"/>
      <c r="CP5" s="278" t="s">
        <v>247</v>
      </c>
      <c r="CQ5" s="278"/>
      <c r="CR5" s="278" t="s">
        <v>218</v>
      </c>
      <c r="CS5" s="278"/>
      <c r="CT5" s="278" t="s">
        <v>248</v>
      </c>
      <c r="CU5" s="278"/>
      <c r="CV5" s="278" t="s">
        <v>249</v>
      </c>
      <c r="CW5" s="278"/>
      <c r="CX5" s="278" t="s">
        <v>250</v>
      </c>
      <c r="CY5" s="278"/>
      <c r="CZ5" s="278" t="s">
        <v>251</v>
      </c>
      <c r="DA5" s="278"/>
      <c r="DB5" s="276" t="s">
        <v>70</v>
      </c>
      <c r="DC5" s="276"/>
      <c r="DD5" s="276" t="s">
        <v>252</v>
      </c>
      <c r="DE5" s="276"/>
      <c r="DF5" s="276" t="s">
        <v>253</v>
      </c>
      <c r="DG5" s="276"/>
      <c r="DH5" s="276" t="s">
        <v>254</v>
      </c>
      <c r="DI5" s="276"/>
      <c r="DJ5" s="277" t="s">
        <v>252</v>
      </c>
      <c r="DK5" s="277"/>
      <c r="DL5" s="276" t="s">
        <v>255</v>
      </c>
      <c r="DM5" s="276"/>
      <c r="DN5" s="276" t="s">
        <v>255</v>
      </c>
      <c r="DO5" s="276"/>
      <c r="DP5" s="276" t="s">
        <v>256</v>
      </c>
      <c r="DQ5" s="276"/>
      <c r="DR5" s="276" t="s">
        <v>256</v>
      </c>
      <c r="DS5" s="276"/>
      <c r="DT5" s="276" t="s">
        <v>228</v>
      </c>
      <c r="DU5" s="276"/>
      <c r="DV5" s="276" t="s">
        <v>257</v>
      </c>
      <c r="DW5" s="276"/>
      <c r="DX5" s="278" t="s">
        <v>258</v>
      </c>
      <c r="DY5" s="278"/>
      <c r="DZ5" s="276" t="s">
        <v>222</v>
      </c>
      <c r="EA5" s="276"/>
      <c r="EB5" s="278" t="s">
        <v>259</v>
      </c>
      <c r="EC5" s="278"/>
      <c r="ED5" s="278" t="s">
        <v>260</v>
      </c>
      <c r="EE5" s="278"/>
      <c r="EF5" s="278" t="s">
        <v>261</v>
      </c>
      <c r="EG5" s="278"/>
      <c r="EH5" s="278" t="s">
        <v>224</v>
      </c>
      <c r="EI5" s="278"/>
      <c r="EJ5" s="278" t="s">
        <v>262</v>
      </c>
      <c r="EK5" s="278"/>
      <c r="EL5" s="276" t="s">
        <v>263</v>
      </c>
      <c r="EM5" s="276"/>
      <c r="EN5" s="276" t="s">
        <v>264</v>
      </c>
      <c r="EO5" s="276"/>
      <c r="EP5" s="276" t="s">
        <v>265</v>
      </c>
      <c r="EQ5" s="276"/>
      <c r="ER5" s="276" t="s">
        <v>266</v>
      </c>
      <c r="ES5" s="276"/>
      <c r="ET5" s="276" t="s">
        <v>264</v>
      </c>
      <c r="EU5" s="276"/>
      <c r="EV5" s="276" t="s">
        <v>265</v>
      </c>
      <c r="EW5" s="276"/>
      <c r="EX5" s="276" t="s">
        <v>267</v>
      </c>
      <c r="EY5" s="276"/>
      <c r="EZ5" s="276" t="s">
        <v>262</v>
      </c>
      <c r="FA5" s="276"/>
      <c r="FB5" s="276" t="s">
        <v>268</v>
      </c>
      <c r="FC5" s="276"/>
      <c r="FD5" s="276" t="s">
        <v>269</v>
      </c>
      <c r="FE5" s="276"/>
      <c r="FF5" s="276" t="s">
        <v>270</v>
      </c>
      <c r="FG5" s="276"/>
      <c r="FH5" s="276" t="s">
        <v>271</v>
      </c>
      <c r="FI5" s="276"/>
      <c r="FJ5" s="276" t="s">
        <v>272</v>
      </c>
      <c r="FK5" s="276"/>
      <c r="FL5" s="277" t="s">
        <v>273</v>
      </c>
      <c r="FM5" s="277"/>
    </row>
    <row r="6" spans="1:169" s="24" customFormat="1" ht="30" customHeight="1">
      <c r="B6" s="273">
        <v>5065544</v>
      </c>
      <c r="C6" s="273"/>
      <c r="D6" s="221"/>
      <c r="E6" s="222"/>
      <c r="F6" s="273">
        <v>5065541</v>
      </c>
      <c r="G6" s="273"/>
      <c r="H6" s="221"/>
      <c r="I6" s="222"/>
      <c r="J6" s="221"/>
      <c r="K6" s="222"/>
      <c r="L6" s="273">
        <v>5065542</v>
      </c>
      <c r="M6" s="273"/>
      <c r="N6" s="273">
        <v>5065540</v>
      </c>
      <c r="O6" s="273"/>
      <c r="P6" s="221"/>
      <c r="Q6" s="222"/>
      <c r="R6" s="221"/>
      <c r="S6" s="222"/>
      <c r="T6" s="273">
        <v>5065546</v>
      </c>
      <c r="U6" s="273"/>
      <c r="V6" s="221"/>
      <c r="W6" s="222"/>
      <c r="X6" s="221"/>
      <c r="Y6" s="222"/>
      <c r="Z6" s="221"/>
      <c r="AA6" s="222"/>
      <c r="AB6" s="221"/>
      <c r="AC6" s="222"/>
      <c r="AD6" s="273">
        <v>5065547</v>
      </c>
      <c r="AE6" s="273"/>
      <c r="AF6" s="221"/>
      <c r="AG6" s="222"/>
      <c r="AH6" s="274"/>
      <c r="AI6" s="275"/>
      <c r="AJ6" s="274"/>
      <c r="AK6" s="275"/>
      <c r="AL6" s="274"/>
      <c r="AM6" s="275"/>
      <c r="AN6" s="274"/>
      <c r="AO6" s="275"/>
      <c r="AP6" s="274"/>
      <c r="AQ6" s="275"/>
      <c r="AR6" s="274"/>
      <c r="AS6" s="275"/>
      <c r="AT6" s="274"/>
      <c r="AU6" s="275"/>
      <c r="AV6" s="274"/>
      <c r="AW6" s="275"/>
      <c r="AX6" s="274"/>
      <c r="AY6" s="275"/>
      <c r="AZ6" s="274"/>
      <c r="BA6" s="275"/>
      <c r="BB6" s="274"/>
      <c r="BC6" s="275"/>
      <c r="BD6" s="273">
        <v>5065548</v>
      </c>
      <c r="BE6" s="273"/>
      <c r="BF6" s="273">
        <v>5465545</v>
      </c>
      <c r="BG6" s="273"/>
      <c r="BH6" s="221"/>
      <c r="BI6" s="222"/>
      <c r="BJ6" s="221"/>
      <c r="BK6" s="222"/>
      <c r="BL6" s="221"/>
      <c r="BM6" s="222"/>
      <c r="BN6" s="221"/>
      <c r="BO6" s="222"/>
      <c r="BP6" s="221"/>
      <c r="BQ6" s="222"/>
      <c r="BR6" s="221"/>
      <c r="BS6" s="222"/>
      <c r="BT6" s="221"/>
      <c r="BU6" s="222"/>
      <c r="BV6" s="221"/>
      <c r="BW6" s="222"/>
      <c r="BX6" s="221"/>
      <c r="BY6" s="222"/>
      <c r="BZ6" s="273">
        <v>5018351</v>
      </c>
      <c r="CA6" s="273"/>
      <c r="CB6" s="273">
        <v>5018354</v>
      </c>
      <c r="CC6" s="273"/>
      <c r="CD6" s="273">
        <v>5018350</v>
      </c>
      <c r="CE6" s="273"/>
      <c r="CF6" s="273">
        <v>5065543</v>
      </c>
      <c r="CG6" s="273"/>
      <c r="CH6" s="221"/>
      <c r="CI6" s="222"/>
      <c r="CJ6" s="221"/>
      <c r="CK6" s="222"/>
      <c r="CL6" s="221"/>
      <c r="CM6" s="222"/>
      <c r="CN6" s="273">
        <v>5008272</v>
      </c>
      <c r="CO6" s="273"/>
      <c r="CP6" s="221"/>
      <c r="CQ6" s="222"/>
      <c r="CR6" s="221"/>
      <c r="CS6" s="222"/>
      <c r="CT6" s="221"/>
      <c r="CU6" s="222"/>
      <c r="CV6" s="221"/>
      <c r="CW6" s="222"/>
      <c r="CX6" s="221"/>
      <c r="CY6" s="222"/>
      <c r="CZ6" s="221"/>
      <c r="DA6" s="222"/>
      <c r="DB6" s="273">
        <v>5008273</v>
      </c>
      <c r="DC6" s="273"/>
      <c r="DD6" s="221"/>
      <c r="DE6" s="222"/>
      <c r="DF6" s="221"/>
      <c r="DG6" s="222"/>
      <c r="DH6" s="221"/>
      <c r="DI6" s="222"/>
      <c r="DJ6" s="221"/>
      <c r="DK6" s="222"/>
      <c r="DL6" s="221"/>
      <c r="DM6" s="222"/>
      <c r="DN6" s="221"/>
      <c r="DO6" s="222"/>
      <c r="DP6" s="221"/>
      <c r="DQ6" s="222"/>
      <c r="DR6" s="221"/>
      <c r="DS6" s="222"/>
      <c r="DT6" s="221"/>
      <c r="DU6" s="222"/>
      <c r="DV6" s="221"/>
      <c r="DW6" s="222"/>
      <c r="DX6" s="221"/>
      <c r="DY6" s="222"/>
      <c r="DZ6" s="221"/>
      <c r="EA6" s="222"/>
      <c r="EB6" s="221"/>
      <c r="EC6" s="222"/>
      <c r="ED6" s="221"/>
      <c r="EE6" s="222"/>
      <c r="EF6" s="221"/>
      <c r="EG6" s="222"/>
      <c r="EH6" s="221"/>
      <c r="EI6" s="222"/>
      <c r="EJ6" s="221"/>
      <c r="EK6" s="222"/>
      <c r="EL6" s="221"/>
      <c r="EM6" s="222"/>
      <c r="EN6" s="221"/>
      <c r="EO6" s="222"/>
      <c r="EP6" s="221"/>
      <c r="EQ6" s="222"/>
      <c r="ER6" s="221"/>
      <c r="ES6" s="222"/>
      <c r="ET6" s="221"/>
      <c r="EU6" s="222"/>
      <c r="EV6" s="221"/>
      <c r="EW6" s="222"/>
      <c r="EX6" s="221"/>
      <c r="EY6" s="222"/>
      <c r="EZ6" s="221"/>
      <c r="FA6" s="222"/>
      <c r="FB6" s="221"/>
      <c r="FC6" s="222"/>
      <c r="FD6" s="221"/>
      <c r="FE6" s="222"/>
      <c r="FF6" s="221"/>
      <c r="FG6" s="222"/>
      <c r="FH6" s="221"/>
      <c r="FI6" s="222"/>
      <c r="FJ6" s="221"/>
      <c r="FK6" s="222"/>
      <c r="FL6" s="221"/>
      <c r="FM6" s="222"/>
    </row>
    <row r="7" spans="1:169" s="24" customFormat="1" ht="30" customHeight="1">
      <c r="B7" s="261" t="s">
        <v>89</v>
      </c>
      <c r="C7" s="261"/>
      <c r="D7" s="261" t="s">
        <v>89</v>
      </c>
      <c r="E7" s="261"/>
      <c r="F7" s="259" t="s">
        <v>90</v>
      </c>
      <c r="G7" s="259"/>
      <c r="H7" s="260" t="s">
        <v>91</v>
      </c>
      <c r="I7" s="260"/>
      <c r="J7" s="260" t="s">
        <v>91</v>
      </c>
      <c r="K7" s="260"/>
      <c r="L7" s="260" t="s">
        <v>91</v>
      </c>
      <c r="M7" s="260"/>
      <c r="N7" s="262" t="s">
        <v>92</v>
      </c>
      <c r="O7" s="262"/>
      <c r="P7" s="262" t="s">
        <v>92</v>
      </c>
      <c r="Q7" s="262"/>
      <c r="R7" s="262" t="s">
        <v>92</v>
      </c>
      <c r="S7" s="262"/>
      <c r="T7" s="263" t="s">
        <v>79</v>
      </c>
      <c r="U7" s="263"/>
      <c r="V7" s="263" t="s">
        <v>79</v>
      </c>
      <c r="W7" s="263"/>
      <c r="X7" s="263" t="s">
        <v>79</v>
      </c>
      <c r="Y7" s="263"/>
      <c r="Z7" s="263" t="s">
        <v>79</v>
      </c>
      <c r="AA7" s="263"/>
      <c r="AB7" s="263" t="s">
        <v>79</v>
      </c>
      <c r="AC7" s="263"/>
      <c r="AD7" s="265" t="s">
        <v>80</v>
      </c>
      <c r="AE7" s="265"/>
      <c r="AF7" s="265" t="s">
        <v>80</v>
      </c>
      <c r="AG7" s="265"/>
      <c r="AH7" s="272" t="s">
        <v>82</v>
      </c>
      <c r="AI7" s="272"/>
      <c r="AJ7" s="272" t="s">
        <v>82</v>
      </c>
      <c r="AK7" s="272"/>
      <c r="AL7" s="272" t="s">
        <v>82</v>
      </c>
      <c r="AM7" s="272"/>
      <c r="AN7" s="272" t="s">
        <v>82</v>
      </c>
      <c r="AO7" s="272"/>
      <c r="AP7" s="272" t="s">
        <v>82</v>
      </c>
      <c r="AQ7" s="272"/>
      <c r="AR7" s="272" t="s">
        <v>82</v>
      </c>
      <c r="AS7" s="272"/>
      <c r="AT7" s="272" t="s">
        <v>82</v>
      </c>
      <c r="AU7" s="272"/>
      <c r="AV7" s="272" t="s">
        <v>82</v>
      </c>
      <c r="AW7" s="272"/>
      <c r="AX7" s="272" t="s">
        <v>82</v>
      </c>
      <c r="AY7" s="272"/>
      <c r="AZ7" s="272" t="s">
        <v>82</v>
      </c>
      <c r="BA7" s="272"/>
      <c r="BB7" s="272" t="s">
        <v>82</v>
      </c>
      <c r="BC7" s="272"/>
      <c r="BD7" s="272" t="s">
        <v>82</v>
      </c>
      <c r="BE7" s="272"/>
      <c r="BF7" s="267" t="s">
        <v>83</v>
      </c>
      <c r="BG7" s="267"/>
      <c r="BH7" s="267" t="s">
        <v>83</v>
      </c>
      <c r="BI7" s="267"/>
      <c r="BJ7" s="267" t="s">
        <v>83</v>
      </c>
      <c r="BK7" s="267"/>
      <c r="BL7" s="267" t="s">
        <v>83</v>
      </c>
      <c r="BM7" s="267"/>
      <c r="BN7" s="267" t="s">
        <v>83</v>
      </c>
      <c r="BO7" s="267"/>
      <c r="BP7" s="267" t="s">
        <v>83</v>
      </c>
      <c r="BQ7" s="267"/>
      <c r="BR7" s="267" t="s">
        <v>83</v>
      </c>
      <c r="BS7" s="267"/>
      <c r="BT7" s="267" t="s">
        <v>83</v>
      </c>
      <c r="BU7" s="267"/>
      <c r="BV7" s="267" t="s">
        <v>83</v>
      </c>
      <c r="BW7" s="267"/>
      <c r="BX7" s="267" t="s">
        <v>83</v>
      </c>
      <c r="BY7" s="267"/>
      <c r="BZ7" s="268" t="s">
        <v>85</v>
      </c>
      <c r="CA7" s="268"/>
      <c r="CB7" s="269" t="s">
        <v>86</v>
      </c>
      <c r="CC7" s="269"/>
      <c r="CD7" s="270" t="s">
        <v>87</v>
      </c>
      <c r="CE7" s="270"/>
      <c r="CF7" s="271" t="s">
        <v>88</v>
      </c>
      <c r="CG7" s="271"/>
      <c r="CH7" s="271" t="s">
        <v>88</v>
      </c>
      <c r="CI7" s="271"/>
      <c r="CJ7" s="271" t="s">
        <v>88</v>
      </c>
      <c r="CK7" s="271"/>
      <c r="CL7" s="271" t="s">
        <v>88</v>
      </c>
      <c r="CM7" s="271"/>
      <c r="CN7" s="266" t="s">
        <v>81</v>
      </c>
      <c r="CO7" s="266"/>
      <c r="CP7" s="266" t="s">
        <v>81</v>
      </c>
      <c r="CQ7" s="266"/>
      <c r="CR7" s="266" t="s">
        <v>81</v>
      </c>
      <c r="CS7" s="266"/>
      <c r="CT7" s="266" t="s">
        <v>81</v>
      </c>
      <c r="CU7" s="266"/>
      <c r="CV7" s="266" t="s">
        <v>81</v>
      </c>
      <c r="CW7" s="266"/>
      <c r="CX7" s="266" t="s">
        <v>81</v>
      </c>
      <c r="CY7" s="266"/>
      <c r="CZ7" s="266" t="s">
        <v>81</v>
      </c>
      <c r="DA7" s="266"/>
      <c r="DB7" s="264" t="s">
        <v>84</v>
      </c>
      <c r="DC7" s="264"/>
      <c r="DD7" s="264" t="s">
        <v>84</v>
      </c>
      <c r="DE7" s="264"/>
      <c r="DF7" s="264" t="s">
        <v>84</v>
      </c>
      <c r="DG7" s="264"/>
      <c r="DH7" s="264" t="s">
        <v>84</v>
      </c>
      <c r="DI7" s="264"/>
      <c r="DJ7" s="264" t="s">
        <v>84</v>
      </c>
      <c r="DK7" s="264"/>
      <c r="DL7" s="265" t="s">
        <v>80</v>
      </c>
      <c r="DM7" s="265"/>
      <c r="DN7" s="265" t="s">
        <v>80</v>
      </c>
      <c r="DO7" s="265"/>
      <c r="DP7" s="265" t="s">
        <v>80</v>
      </c>
      <c r="DQ7" s="265"/>
      <c r="DR7" s="265" t="s">
        <v>80</v>
      </c>
      <c r="DS7" s="265"/>
      <c r="DT7" s="265" t="s">
        <v>80</v>
      </c>
      <c r="DU7" s="265"/>
      <c r="DV7" s="265" t="s">
        <v>80</v>
      </c>
      <c r="DW7" s="265"/>
      <c r="DX7" s="263" t="s">
        <v>79</v>
      </c>
      <c r="DY7" s="263"/>
      <c r="DZ7" s="263" t="s">
        <v>79</v>
      </c>
      <c r="EA7" s="263"/>
      <c r="EB7" s="263" t="s">
        <v>79</v>
      </c>
      <c r="EC7" s="263"/>
      <c r="ED7" s="263" t="s">
        <v>79</v>
      </c>
      <c r="EE7" s="263"/>
      <c r="EF7" s="263" t="s">
        <v>79</v>
      </c>
      <c r="EG7" s="263"/>
      <c r="EH7" s="263" t="s">
        <v>79</v>
      </c>
      <c r="EI7" s="263"/>
      <c r="EJ7" s="263" t="s">
        <v>79</v>
      </c>
      <c r="EK7" s="263"/>
      <c r="EL7" s="260" t="s">
        <v>91</v>
      </c>
      <c r="EM7" s="260"/>
      <c r="EN7" s="260" t="s">
        <v>91</v>
      </c>
      <c r="EO7" s="260"/>
      <c r="EP7" s="260" t="s">
        <v>91</v>
      </c>
      <c r="EQ7" s="260"/>
      <c r="ER7" s="261" t="s">
        <v>89</v>
      </c>
      <c r="ES7" s="261"/>
      <c r="ET7" s="261" t="s">
        <v>89</v>
      </c>
      <c r="EU7" s="261"/>
      <c r="EV7" s="261" t="s">
        <v>89</v>
      </c>
      <c r="EW7" s="261"/>
      <c r="EX7" s="259" t="s">
        <v>90</v>
      </c>
      <c r="EY7" s="259"/>
      <c r="EZ7" s="262" t="s">
        <v>92</v>
      </c>
      <c r="FA7" s="262"/>
      <c r="FB7" s="262" t="s">
        <v>92</v>
      </c>
      <c r="FC7" s="262"/>
      <c r="FD7" s="262" t="s">
        <v>92</v>
      </c>
      <c r="FE7" s="262"/>
      <c r="FF7" s="259" t="s">
        <v>90</v>
      </c>
      <c r="FG7" s="259"/>
      <c r="FH7" s="259" t="s">
        <v>90</v>
      </c>
      <c r="FI7" s="259"/>
      <c r="FJ7" s="259" t="s">
        <v>90</v>
      </c>
      <c r="FK7" s="259"/>
      <c r="FL7" s="259" t="s">
        <v>90</v>
      </c>
      <c r="FM7" s="259"/>
    </row>
    <row r="8" spans="1:169" s="24" customFormat="1" ht="30" customHeight="1">
      <c r="B8" s="258"/>
      <c r="C8" s="258"/>
      <c r="D8" s="256" t="s">
        <v>274</v>
      </c>
      <c r="E8" s="257"/>
      <c r="F8" s="258"/>
      <c r="G8" s="258"/>
      <c r="H8" s="256" t="s">
        <v>275</v>
      </c>
      <c r="I8" s="257"/>
      <c r="J8" s="256" t="s">
        <v>276</v>
      </c>
      <c r="K8" s="257"/>
      <c r="L8" s="258"/>
      <c r="M8" s="258"/>
      <c r="N8" s="258"/>
      <c r="O8" s="258"/>
      <c r="P8" s="256" t="s">
        <v>277</v>
      </c>
      <c r="Q8" s="257"/>
      <c r="R8" s="256" t="s">
        <v>278</v>
      </c>
      <c r="S8" s="257"/>
      <c r="T8" s="258"/>
      <c r="U8" s="258"/>
      <c r="V8" s="256" t="s">
        <v>279</v>
      </c>
      <c r="W8" s="257"/>
      <c r="X8" s="256" t="s">
        <v>280</v>
      </c>
      <c r="Y8" s="257"/>
      <c r="Z8" s="256" t="s">
        <v>281</v>
      </c>
      <c r="AA8" s="257"/>
      <c r="AB8" s="256" t="s">
        <v>282</v>
      </c>
      <c r="AC8" s="257"/>
      <c r="AD8" s="258"/>
      <c r="AE8" s="258"/>
      <c r="AF8" s="256" t="s">
        <v>283</v>
      </c>
      <c r="AG8" s="257"/>
      <c r="AH8" s="256" t="s">
        <v>284</v>
      </c>
      <c r="AI8" s="257"/>
      <c r="AJ8" s="256" t="s">
        <v>285</v>
      </c>
      <c r="AK8" s="257"/>
      <c r="AL8" s="256" t="s">
        <v>286</v>
      </c>
      <c r="AM8" s="257"/>
      <c r="AN8" s="256" t="s">
        <v>287</v>
      </c>
      <c r="AO8" s="257"/>
      <c r="AP8" s="256" t="s">
        <v>288</v>
      </c>
      <c r="AQ8" s="257"/>
      <c r="AR8" s="256" t="s">
        <v>289</v>
      </c>
      <c r="AS8" s="257"/>
      <c r="AT8" s="256" t="s">
        <v>290</v>
      </c>
      <c r="AU8" s="257"/>
      <c r="AV8" s="256" t="s">
        <v>291</v>
      </c>
      <c r="AW8" s="257"/>
      <c r="AX8" s="256" t="s">
        <v>292</v>
      </c>
      <c r="AY8" s="257"/>
      <c r="AZ8" s="256" t="s">
        <v>293</v>
      </c>
      <c r="BA8" s="257"/>
      <c r="BB8" s="256" t="s">
        <v>294</v>
      </c>
      <c r="BC8" s="257"/>
      <c r="BD8" s="256"/>
      <c r="BE8" s="257"/>
      <c r="BF8" s="258"/>
      <c r="BG8" s="258"/>
      <c r="BH8" s="256" t="s">
        <v>295</v>
      </c>
      <c r="BI8" s="257"/>
      <c r="BJ8" s="256" t="s">
        <v>296</v>
      </c>
      <c r="BK8" s="257"/>
      <c r="BL8" s="256" t="s">
        <v>297</v>
      </c>
      <c r="BM8" s="257"/>
      <c r="BN8" s="256" t="s">
        <v>298</v>
      </c>
      <c r="BO8" s="257"/>
      <c r="BP8" s="256" t="s">
        <v>299</v>
      </c>
      <c r="BQ8" s="257"/>
      <c r="BR8" s="256" t="s">
        <v>300</v>
      </c>
      <c r="BS8" s="257"/>
      <c r="BT8" s="256" t="s">
        <v>301</v>
      </c>
      <c r="BU8" s="257"/>
      <c r="BV8" s="256" t="s">
        <v>302</v>
      </c>
      <c r="BW8" s="257"/>
      <c r="BX8" s="256" t="s">
        <v>303</v>
      </c>
      <c r="BY8" s="257"/>
      <c r="BZ8" s="258"/>
      <c r="CA8" s="258"/>
      <c r="CB8" s="258"/>
      <c r="CC8" s="258"/>
      <c r="CD8" s="258"/>
      <c r="CE8" s="258"/>
      <c r="CF8" s="258"/>
      <c r="CG8" s="258"/>
      <c r="CH8" s="256" t="s">
        <v>304</v>
      </c>
      <c r="CI8" s="257"/>
      <c r="CJ8" s="256" t="s">
        <v>305</v>
      </c>
      <c r="CK8" s="257"/>
      <c r="CL8" s="256" t="s">
        <v>306</v>
      </c>
      <c r="CM8" s="257"/>
      <c r="CN8" s="258"/>
      <c r="CO8" s="258"/>
      <c r="CP8" s="256" t="s">
        <v>307</v>
      </c>
      <c r="CQ8" s="257"/>
      <c r="CR8" s="256" t="s">
        <v>308</v>
      </c>
      <c r="CS8" s="257"/>
      <c r="CT8" s="256" t="s">
        <v>309</v>
      </c>
      <c r="CU8" s="257"/>
      <c r="CV8" s="256" t="s">
        <v>310</v>
      </c>
      <c r="CW8" s="257"/>
      <c r="CX8" s="256" t="s">
        <v>311</v>
      </c>
      <c r="CY8" s="257"/>
      <c r="CZ8" s="256" t="s">
        <v>312</v>
      </c>
      <c r="DA8" s="257"/>
      <c r="DB8" s="258"/>
      <c r="DC8" s="258"/>
      <c r="DD8" s="256" t="s">
        <v>313</v>
      </c>
      <c r="DE8" s="257"/>
      <c r="DF8" s="256" t="s">
        <v>314</v>
      </c>
      <c r="DG8" s="257"/>
      <c r="DH8" s="256" t="s">
        <v>315</v>
      </c>
      <c r="DI8" s="257"/>
      <c r="DJ8" s="256" t="s">
        <v>316</v>
      </c>
      <c r="DK8" s="257"/>
      <c r="DL8" s="256" t="s">
        <v>317</v>
      </c>
      <c r="DM8" s="257"/>
      <c r="DN8" s="256" t="s">
        <v>318</v>
      </c>
      <c r="DO8" s="257"/>
      <c r="DP8" s="256" t="s">
        <v>319</v>
      </c>
      <c r="DQ8" s="257"/>
      <c r="DR8" s="256" t="s">
        <v>320</v>
      </c>
      <c r="DS8" s="257"/>
      <c r="DT8" s="256" t="s">
        <v>321</v>
      </c>
      <c r="DU8" s="257"/>
      <c r="DV8" s="256" t="s">
        <v>322</v>
      </c>
      <c r="DW8" s="257"/>
      <c r="DX8" s="256" t="s">
        <v>323</v>
      </c>
      <c r="DY8" s="257"/>
      <c r="DZ8" s="256" t="s">
        <v>324</v>
      </c>
      <c r="EA8" s="257"/>
      <c r="EB8" s="256" t="s">
        <v>325</v>
      </c>
      <c r="EC8" s="257"/>
      <c r="ED8" s="256" t="s">
        <v>326</v>
      </c>
      <c r="EE8" s="257"/>
      <c r="EF8" s="256" t="s">
        <v>327</v>
      </c>
      <c r="EG8" s="257"/>
      <c r="EH8" s="256" t="s">
        <v>328</v>
      </c>
      <c r="EI8" s="257"/>
      <c r="EJ8" s="256" t="s">
        <v>329</v>
      </c>
      <c r="EK8" s="257"/>
      <c r="EL8" s="256" t="s">
        <v>330</v>
      </c>
      <c r="EM8" s="257"/>
      <c r="EN8" s="256" t="s">
        <v>331</v>
      </c>
      <c r="EO8" s="257"/>
      <c r="EP8" s="256" t="s">
        <v>332</v>
      </c>
      <c r="EQ8" s="257"/>
      <c r="ER8" s="256" t="s">
        <v>333</v>
      </c>
      <c r="ES8" s="257"/>
      <c r="ET8" s="256" t="s">
        <v>334</v>
      </c>
      <c r="EU8" s="257"/>
      <c r="EV8" s="256" t="s">
        <v>335</v>
      </c>
      <c r="EW8" s="257"/>
      <c r="EX8" s="256" t="s">
        <v>336</v>
      </c>
      <c r="EY8" s="257"/>
      <c r="EZ8" s="256" t="s">
        <v>337</v>
      </c>
      <c r="FA8" s="257"/>
      <c r="FB8" s="256" t="s">
        <v>338</v>
      </c>
      <c r="FC8" s="257"/>
      <c r="FD8" s="256" t="s">
        <v>339</v>
      </c>
      <c r="FE8" s="257"/>
      <c r="FF8" s="256" t="s">
        <v>340</v>
      </c>
      <c r="FG8" s="257"/>
      <c r="FH8" s="256" t="s">
        <v>341</v>
      </c>
      <c r="FI8" s="257"/>
      <c r="FJ8" s="256" t="s">
        <v>342</v>
      </c>
      <c r="FK8" s="257"/>
      <c r="FL8" s="256" t="s">
        <v>343</v>
      </c>
      <c r="FM8" s="257"/>
    </row>
    <row r="9" spans="1:169" s="87" customFormat="1" ht="50.1" customHeight="1">
      <c r="A9" s="118" t="s">
        <v>96</v>
      </c>
      <c r="B9" s="118" t="s">
        <v>97</v>
      </c>
      <c r="C9" s="118" t="s">
        <v>98</v>
      </c>
      <c r="D9" s="118" t="s">
        <v>97</v>
      </c>
      <c r="E9" s="118" t="s">
        <v>98</v>
      </c>
      <c r="F9" s="118" t="s">
        <v>97</v>
      </c>
      <c r="G9" s="118" t="s">
        <v>98</v>
      </c>
      <c r="H9" s="118" t="s">
        <v>97</v>
      </c>
      <c r="I9" s="118" t="s">
        <v>98</v>
      </c>
      <c r="J9" s="118" t="s">
        <v>97</v>
      </c>
      <c r="K9" s="118" t="s">
        <v>98</v>
      </c>
      <c r="L9" s="118" t="s">
        <v>97</v>
      </c>
      <c r="M9" s="118" t="s">
        <v>98</v>
      </c>
      <c r="N9" s="118" t="s">
        <v>97</v>
      </c>
      <c r="O9" s="118" t="s">
        <v>98</v>
      </c>
      <c r="P9" s="118" t="s">
        <v>97</v>
      </c>
      <c r="Q9" s="118" t="s">
        <v>98</v>
      </c>
      <c r="R9" s="118" t="s">
        <v>97</v>
      </c>
      <c r="S9" s="118" t="s">
        <v>98</v>
      </c>
      <c r="T9" s="118" t="s">
        <v>97</v>
      </c>
      <c r="U9" s="118" t="s">
        <v>98</v>
      </c>
      <c r="V9" s="118" t="s">
        <v>97</v>
      </c>
      <c r="W9" s="118" t="s">
        <v>98</v>
      </c>
      <c r="X9" s="118" t="s">
        <v>97</v>
      </c>
      <c r="Y9" s="118" t="s">
        <v>98</v>
      </c>
      <c r="Z9" s="118" t="s">
        <v>97</v>
      </c>
      <c r="AA9" s="118" t="s">
        <v>98</v>
      </c>
      <c r="AB9" s="118" t="s">
        <v>97</v>
      </c>
      <c r="AC9" s="118" t="s">
        <v>98</v>
      </c>
      <c r="AD9" s="118" t="s">
        <v>97</v>
      </c>
      <c r="AE9" s="118" t="s">
        <v>98</v>
      </c>
      <c r="AF9" s="118" t="s">
        <v>97</v>
      </c>
      <c r="AG9" s="118" t="s">
        <v>98</v>
      </c>
      <c r="AH9" s="118" t="s">
        <v>97</v>
      </c>
      <c r="AI9" s="118" t="s">
        <v>98</v>
      </c>
      <c r="AJ9" s="118" t="s">
        <v>97</v>
      </c>
      <c r="AK9" s="118" t="s">
        <v>98</v>
      </c>
      <c r="AL9" s="118" t="s">
        <v>97</v>
      </c>
      <c r="AM9" s="118" t="s">
        <v>98</v>
      </c>
      <c r="AN9" s="118" t="s">
        <v>97</v>
      </c>
      <c r="AO9" s="118" t="s">
        <v>98</v>
      </c>
      <c r="AP9" s="118" t="s">
        <v>97</v>
      </c>
      <c r="AQ9" s="118" t="s">
        <v>98</v>
      </c>
      <c r="AR9" s="118" t="s">
        <v>97</v>
      </c>
      <c r="AS9" s="118" t="s">
        <v>98</v>
      </c>
      <c r="AT9" s="118" t="s">
        <v>97</v>
      </c>
      <c r="AU9" s="118" t="s">
        <v>98</v>
      </c>
      <c r="AV9" s="118" t="s">
        <v>97</v>
      </c>
      <c r="AW9" s="118" t="s">
        <v>98</v>
      </c>
      <c r="AX9" s="118" t="s">
        <v>97</v>
      </c>
      <c r="AY9" s="118" t="s">
        <v>98</v>
      </c>
      <c r="AZ9" s="118" t="s">
        <v>97</v>
      </c>
      <c r="BA9" s="118" t="s">
        <v>98</v>
      </c>
      <c r="BB9" s="118" t="s">
        <v>97</v>
      </c>
      <c r="BC9" s="118" t="s">
        <v>98</v>
      </c>
      <c r="BD9" s="118" t="s">
        <v>97</v>
      </c>
      <c r="BE9" s="118" t="s">
        <v>98</v>
      </c>
      <c r="BF9" s="118" t="s">
        <v>97</v>
      </c>
      <c r="BG9" s="118" t="s">
        <v>98</v>
      </c>
      <c r="BH9" s="118" t="s">
        <v>97</v>
      </c>
      <c r="BI9" s="118" t="s">
        <v>98</v>
      </c>
      <c r="BJ9" s="118" t="s">
        <v>97</v>
      </c>
      <c r="BK9" s="118" t="s">
        <v>98</v>
      </c>
      <c r="BL9" s="118" t="s">
        <v>97</v>
      </c>
      <c r="BM9" s="118" t="s">
        <v>98</v>
      </c>
      <c r="BN9" s="118" t="s">
        <v>97</v>
      </c>
      <c r="BO9" s="118" t="s">
        <v>98</v>
      </c>
      <c r="BP9" s="118" t="s">
        <v>97</v>
      </c>
      <c r="BQ9" s="118" t="s">
        <v>98</v>
      </c>
      <c r="BR9" s="118" t="s">
        <v>97</v>
      </c>
      <c r="BS9" s="118" t="s">
        <v>98</v>
      </c>
      <c r="BT9" s="118" t="s">
        <v>97</v>
      </c>
      <c r="BU9" s="118" t="s">
        <v>98</v>
      </c>
      <c r="BV9" s="118" t="s">
        <v>97</v>
      </c>
      <c r="BW9" s="118" t="s">
        <v>98</v>
      </c>
      <c r="BX9" s="118" t="s">
        <v>97</v>
      </c>
      <c r="BY9" s="118" t="s">
        <v>98</v>
      </c>
      <c r="BZ9" s="118" t="s">
        <v>97</v>
      </c>
      <c r="CA9" s="118" t="s">
        <v>98</v>
      </c>
      <c r="CB9" s="118" t="s">
        <v>97</v>
      </c>
      <c r="CC9" s="118" t="s">
        <v>98</v>
      </c>
      <c r="CD9" s="118" t="s">
        <v>97</v>
      </c>
      <c r="CE9" s="118" t="s">
        <v>98</v>
      </c>
      <c r="CF9" s="118" t="s">
        <v>97</v>
      </c>
      <c r="CG9" s="118" t="s">
        <v>98</v>
      </c>
      <c r="CH9" s="118" t="s">
        <v>97</v>
      </c>
      <c r="CI9" s="118" t="s">
        <v>98</v>
      </c>
      <c r="CJ9" s="118" t="s">
        <v>97</v>
      </c>
      <c r="CK9" s="118" t="s">
        <v>98</v>
      </c>
      <c r="CL9" s="118" t="s">
        <v>97</v>
      </c>
      <c r="CM9" s="118" t="s">
        <v>98</v>
      </c>
      <c r="CN9" s="118" t="s">
        <v>97</v>
      </c>
      <c r="CO9" s="118" t="s">
        <v>98</v>
      </c>
      <c r="CP9" s="118" t="s">
        <v>97</v>
      </c>
      <c r="CQ9" s="118" t="s">
        <v>98</v>
      </c>
      <c r="CR9" s="118" t="s">
        <v>97</v>
      </c>
      <c r="CS9" s="118" t="s">
        <v>98</v>
      </c>
      <c r="CT9" s="118" t="s">
        <v>97</v>
      </c>
      <c r="CU9" s="118" t="s">
        <v>98</v>
      </c>
      <c r="CV9" s="118" t="s">
        <v>97</v>
      </c>
      <c r="CW9" s="118" t="s">
        <v>98</v>
      </c>
      <c r="CX9" s="118" t="s">
        <v>97</v>
      </c>
      <c r="CY9" s="118" t="s">
        <v>98</v>
      </c>
      <c r="CZ9" s="118" t="s">
        <v>97</v>
      </c>
      <c r="DA9" s="118" t="s">
        <v>98</v>
      </c>
      <c r="DB9" s="118" t="s">
        <v>97</v>
      </c>
      <c r="DC9" s="118" t="s">
        <v>98</v>
      </c>
      <c r="DD9" s="118" t="s">
        <v>97</v>
      </c>
      <c r="DE9" s="118" t="s">
        <v>98</v>
      </c>
      <c r="DF9" s="118" t="s">
        <v>97</v>
      </c>
      <c r="DG9" s="118" t="s">
        <v>98</v>
      </c>
      <c r="DH9" s="118" t="s">
        <v>97</v>
      </c>
      <c r="DI9" s="118" t="s">
        <v>98</v>
      </c>
      <c r="DJ9" s="118" t="s">
        <v>97</v>
      </c>
      <c r="DK9" s="118" t="s">
        <v>98</v>
      </c>
      <c r="DL9" s="118" t="s">
        <v>97</v>
      </c>
      <c r="DM9" s="118" t="s">
        <v>98</v>
      </c>
      <c r="DN9" s="118" t="s">
        <v>97</v>
      </c>
      <c r="DO9" s="118" t="s">
        <v>98</v>
      </c>
      <c r="DP9" s="118" t="s">
        <v>97</v>
      </c>
      <c r="DQ9" s="118" t="s">
        <v>98</v>
      </c>
      <c r="DR9" s="118" t="s">
        <v>97</v>
      </c>
      <c r="DS9" s="118" t="s">
        <v>98</v>
      </c>
      <c r="DT9" s="118" t="s">
        <v>97</v>
      </c>
      <c r="DU9" s="118" t="s">
        <v>98</v>
      </c>
      <c r="DV9" s="118" t="s">
        <v>97</v>
      </c>
      <c r="DW9" s="118" t="s">
        <v>98</v>
      </c>
      <c r="DX9" s="118" t="s">
        <v>97</v>
      </c>
      <c r="DY9" s="118" t="s">
        <v>98</v>
      </c>
      <c r="DZ9" s="118" t="s">
        <v>97</v>
      </c>
      <c r="EA9" s="118" t="s">
        <v>98</v>
      </c>
      <c r="EB9" s="118" t="s">
        <v>97</v>
      </c>
      <c r="EC9" s="118" t="s">
        <v>98</v>
      </c>
      <c r="ED9" s="118" t="s">
        <v>97</v>
      </c>
      <c r="EE9" s="118" t="s">
        <v>98</v>
      </c>
      <c r="EF9" s="118" t="s">
        <v>97</v>
      </c>
      <c r="EG9" s="118" t="s">
        <v>98</v>
      </c>
      <c r="EH9" s="118" t="s">
        <v>97</v>
      </c>
      <c r="EI9" s="118" t="s">
        <v>98</v>
      </c>
      <c r="EJ9" s="118" t="s">
        <v>97</v>
      </c>
      <c r="EK9" s="118" t="s">
        <v>98</v>
      </c>
      <c r="EL9" s="118" t="s">
        <v>97</v>
      </c>
      <c r="EM9" s="118" t="s">
        <v>98</v>
      </c>
      <c r="EN9" s="118" t="s">
        <v>97</v>
      </c>
      <c r="EO9" s="118" t="s">
        <v>98</v>
      </c>
      <c r="EP9" s="118" t="s">
        <v>97</v>
      </c>
      <c r="EQ9" s="118" t="s">
        <v>98</v>
      </c>
      <c r="ER9" s="118" t="s">
        <v>97</v>
      </c>
      <c r="ES9" s="118" t="s">
        <v>98</v>
      </c>
      <c r="ET9" s="118" t="s">
        <v>97</v>
      </c>
      <c r="EU9" s="118" t="s">
        <v>98</v>
      </c>
      <c r="EV9" s="118" t="s">
        <v>97</v>
      </c>
      <c r="EW9" s="118" t="s">
        <v>98</v>
      </c>
      <c r="EX9" s="118" t="s">
        <v>97</v>
      </c>
      <c r="EY9" s="118" t="s">
        <v>98</v>
      </c>
      <c r="EZ9" s="118" t="s">
        <v>97</v>
      </c>
      <c r="FA9" s="118" t="s">
        <v>98</v>
      </c>
      <c r="FB9" s="118" t="s">
        <v>97</v>
      </c>
      <c r="FC9" s="118" t="s">
        <v>98</v>
      </c>
      <c r="FD9" s="118" t="s">
        <v>97</v>
      </c>
      <c r="FE9" s="118" t="s">
        <v>98</v>
      </c>
      <c r="FF9" s="118" t="s">
        <v>97</v>
      </c>
      <c r="FG9" s="118" t="s">
        <v>98</v>
      </c>
      <c r="FH9" s="118" t="s">
        <v>97</v>
      </c>
      <c r="FI9" s="118" t="s">
        <v>98</v>
      </c>
      <c r="FJ9" s="118" t="s">
        <v>97</v>
      </c>
      <c r="FK9" s="118" t="s">
        <v>98</v>
      </c>
      <c r="FL9" s="118" t="s">
        <v>97</v>
      </c>
      <c r="FM9" s="118" t="s">
        <v>98</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4" t="s">
        <v>344</v>
      </c>
      <c r="D2" s="284"/>
      <c r="E2" s="284" t="s">
        <v>345</v>
      </c>
      <c r="F2" s="284"/>
      <c r="G2" s="284" t="s">
        <v>346</v>
      </c>
      <c r="H2" s="284"/>
      <c r="I2" s="284" t="s">
        <v>347</v>
      </c>
      <c r="J2" s="284"/>
      <c r="K2" s="284" t="s">
        <v>348</v>
      </c>
      <c r="L2" s="284"/>
      <c r="M2" s="284" t="s">
        <v>349</v>
      </c>
      <c r="N2" s="284"/>
      <c r="O2" s="284" t="s">
        <v>350</v>
      </c>
      <c r="P2" s="284"/>
      <c r="Q2" s="284" t="s">
        <v>351</v>
      </c>
      <c r="R2" s="284"/>
      <c r="S2" s="284" t="s">
        <v>352</v>
      </c>
      <c r="T2" s="284"/>
      <c r="V2" s="284" t="s">
        <v>353</v>
      </c>
      <c r="W2" s="284"/>
      <c r="X2" s="284" t="s">
        <v>354</v>
      </c>
      <c r="Y2" s="284"/>
      <c r="Z2" s="284" t="s">
        <v>355</v>
      </c>
      <c r="AA2" s="284"/>
      <c r="AB2" s="284" t="s">
        <v>356</v>
      </c>
      <c r="AC2" s="284"/>
      <c r="AD2" s="284" t="s">
        <v>357</v>
      </c>
      <c r="AE2" s="284"/>
      <c r="AF2" s="284" t="s">
        <v>358</v>
      </c>
      <c r="AG2" s="284"/>
      <c r="AH2" s="284" t="s">
        <v>359</v>
      </c>
      <c r="AI2" s="284"/>
      <c r="AJ2" s="284" t="s">
        <v>360</v>
      </c>
      <c r="AK2" s="284"/>
      <c r="AL2" s="284" t="s">
        <v>361</v>
      </c>
      <c r="AM2" s="284"/>
      <c r="AO2" s="284" t="s">
        <v>362</v>
      </c>
      <c r="AP2" s="284"/>
      <c r="AQ2" s="284" t="s">
        <v>363</v>
      </c>
      <c r="AR2" s="284"/>
      <c r="AS2" s="284" t="s">
        <v>364</v>
      </c>
      <c r="AT2" s="284"/>
      <c r="AU2" s="284" t="s">
        <v>365</v>
      </c>
      <c r="AV2" s="284"/>
      <c r="AW2" s="284" t="s">
        <v>366</v>
      </c>
      <c r="AX2" s="284"/>
      <c r="AY2" s="284" t="s">
        <v>367</v>
      </c>
      <c r="AZ2" s="284"/>
      <c r="BA2" s="284" t="s">
        <v>368</v>
      </c>
      <c r="BB2" s="284"/>
      <c r="BC2" s="284" t="s">
        <v>369</v>
      </c>
      <c r="BD2" s="284"/>
      <c r="BE2" s="284" t="s">
        <v>370</v>
      </c>
      <c r="BF2" s="284"/>
      <c r="BH2" s="284" t="s">
        <v>100</v>
      </c>
      <c r="BI2" s="284"/>
      <c r="BJ2" s="284" t="s">
        <v>371</v>
      </c>
      <c r="BK2" s="284"/>
      <c r="BL2" s="284" t="s">
        <v>372</v>
      </c>
      <c r="BM2" s="284"/>
      <c r="BN2" s="284" t="s">
        <v>373</v>
      </c>
      <c r="BO2" s="284"/>
      <c r="BP2" s="284" t="s">
        <v>374</v>
      </c>
      <c r="BQ2" s="284"/>
      <c r="BR2" s="284" t="s">
        <v>375</v>
      </c>
      <c r="BS2" s="284"/>
      <c r="BT2" s="284" t="s">
        <v>376</v>
      </c>
      <c r="BU2" s="284"/>
      <c r="BV2" s="284" t="s">
        <v>377</v>
      </c>
      <c r="BW2" s="284"/>
      <c r="BX2" s="284" t="s">
        <v>378</v>
      </c>
      <c r="BY2" s="284"/>
      <c r="BZ2" s="284" t="s">
        <v>379</v>
      </c>
      <c r="CA2" s="284"/>
      <c r="CB2" s="284" t="s">
        <v>380</v>
      </c>
      <c r="CC2" s="284"/>
      <c r="CD2" s="284" t="s">
        <v>381</v>
      </c>
      <c r="CE2" s="284"/>
      <c r="CF2" s="284" t="s">
        <v>382</v>
      </c>
      <c r="CG2" s="284"/>
      <c r="CH2" s="284" t="s">
        <v>383</v>
      </c>
      <c r="CI2" s="284"/>
      <c r="CJ2" s="284" t="s">
        <v>384</v>
      </c>
      <c r="CK2" s="284"/>
      <c r="CL2" s="284" t="s">
        <v>385</v>
      </c>
      <c r="CM2" s="284"/>
      <c r="CN2" s="284" t="s">
        <v>386</v>
      </c>
      <c r="CO2" s="284"/>
      <c r="CP2" s="284" t="s">
        <v>387</v>
      </c>
      <c r="CQ2" s="284"/>
      <c r="CR2" s="284" t="s">
        <v>388</v>
      </c>
      <c r="CS2" s="284"/>
    </row>
    <row r="3" spans="1:97" s="56" customFormat="1" ht="49.5" customHeight="1">
      <c r="A3" s="119"/>
      <c r="B3" s="70"/>
      <c r="C3" s="283"/>
      <c r="D3" s="283"/>
      <c r="E3" s="286" t="s">
        <v>107</v>
      </c>
      <c r="F3" s="286"/>
      <c r="G3" s="283"/>
      <c r="H3" s="283"/>
      <c r="I3" s="287" t="s">
        <v>109</v>
      </c>
      <c r="J3" s="287"/>
      <c r="K3" s="283"/>
      <c r="L3" s="283"/>
      <c r="M3" s="283"/>
      <c r="N3" s="283"/>
      <c r="O3" s="283"/>
      <c r="P3" s="283"/>
      <c r="Q3" s="285" t="s">
        <v>110</v>
      </c>
      <c r="R3" s="285"/>
      <c r="S3" s="283"/>
      <c r="T3" s="283"/>
      <c r="U3" s="55"/>
      <c r="V3" s="285" t="s">
        <v>105</v>
      </c>
      <c r="W3" s="285"/>
      <c r="X3" s="283"/>
      <c r="Y3" s="283"/>
      <c r="Z3" s="283"/>
      <c r="AA3" s="283"/>
      <c r="AB3" s="283"/>
      <c r="AC3" s="283"/>
      <c r="AD3" s="283"/>
      <c r="AE3" s="283"/>
      <c r="AF3" s="283"/>
      <c r="AG3" s="283"/>
      <c r="AH3" s="283"/>
      <c r="AI3" s="283"/>
      <c r="AJ3" s="283"/>
      <c r="AK3" s="283"/>
      <c r="AL3" s="283"/>
      <c r="AM3" s="283"/>
      <c r="AN3" s="55"/>
      <c r="AO3" s="286" t="s">
        <v>108</v>
      </c>
      <c r="AP3" s="286"/>
      <c r="AQ3" s="283"/>
      <c r="AR3" s="283"/>
      <c r="AS3" s="283"/>
      <c r="AT3" s="283"/>
      <c r="AU3" s="283"/>
      <c r="AV3" s="283"/>
      <c r="AW3" s="283"/>
      <c r="AX3" s="283"/>
      <c r="AY3" s="283"/>
      <c r="AZ3" s="283"/>
      <c r="BA3" s="283"/>
      <c r="BB3" s="283"/>
      <c r="BC3" s="283"/>
      <c r="BD3" s="283"/>
      <c r="BE3" s="283"/>
      <c r="BF3" s="283"/>
      <c r="BG3" s="55"/>
      <c r="BH3" s="286" t="s">
        <v>106</v>
      </c>
      <c r="BI3" s="286"/>
      <c r="BJ3" s="283"/>
      <c r="BK3" s="283"/>
      <c r="BL3" s="283"/>
      <c r="BM3" s="283"/>
      <c r="BN3" s="283"/>
      <c r="BO3" s="283"/>
      <c r="BP3" s="283"/>
      <c r="BQ3" s="283"/>
      <c r="BR3" s="283"/>
      <c r="BS3" s="283"/>
      <c r="BT3" s="283"/>
      <c r="BU3" s="283"/>
      <c r="BV3" s="283"/>
      <c r="BW3" s="283"/>
      <c r="BX3" s="283"/>
      <c r="BY3" s="283"/>
      <c r="BZ3" s="283"/>
      <c r="CA3" s="283"/>
      <c r="CB3" s="283"/>
      <c r="CC3" s="283"/>
      <c r="CD3" s="283"/>
      <c r="CE3" s="283"/>
      <c r="CF3" s="283"/>
      <c r="CG3" s="283"/>
      <c r="CH3" s="283"/>
      <c r="CI3" s="283"/>
      <c r="CJ3" s="283"/>
      <c r="CK3" s="283"/>
      <c r="CL3" s="283"/>
      <c r="CM3" s="283"/>
      <c r="CN3" s="283"/>
      <c r="CO3" s="283"/>
      <c r="CP3" s="283"/>
      <c r="CQ3" s="283"/>
      <c r="CR3" s="283"/>
      <c r="CS3" s="283"/>
    </row>
    <row r="4" spans="1:97" s="59" customFormat="1" ht="50.1" customHeight="1">
      <c r="A4" s="60" t="s">
        <v>96</v>
      </c>
      <c r="B4" s="72"/>
      <c r="C4" s="60" t="s">
        <v>111</v>
      </c>
      <c r="D4" s="60" t="s">
        <v>389</v>
      </c>
      <c r="E4" s="60" t="s">
        <v>111</v>
      </c>
      <c r="F4" s="60" t="s">
        <v>389</v>
      </c>
      <c r="G4" s="60" t="s">
        <v>111</v>
      </c>
      <c r="H4" s="60" t="s">
        <v>389</v>
      </c>
      <c r="I4" s="60" t="s">
        <v>111</v>
      </c>
      <c r="J4" s="60" t="s">
        <v>389</v>
      </c>
      <c r="K4" s="60" t="s">
        <v>111</v>
      </c>
      <c r="L4" s="60" t="s">
        <v>389</v>
      </c>
      <c r="M4" s="60" t="s">
        <v>111</v>
      </c>
      <c r="N4" s="60" t="s">
        <v>389</v>
      </c>
      <c r="O4" s="60" t="s">
        <v>111</v>
      </c>
      <c r="P4" s="60" t="s">
        <v>389</v>
      </c>
      <c r="Q4" s="60" t="s">
        <v>111</v>
      </c>
      <c r="R4" s="60" t="s">
        <v>389</v>
      </c>
      <c r="S4" s="60" t="s">
        <v>111</v>
      </c>
      <c r="T4" s="60" t="s">
        <v>389</v>
      </c>
      <c r="V4" s="60" t="s">
        <v>111</v>
      </c>
      <c r="W4" s="60" t="s">
        <v>389</v>
      </c>
      <c r="X4" s="60" t="s">
        <v>111</v>
      </c>
      <c r="Y4" s="60" t="s">
        <v>389</v>
      </c>
      <c r="Z4" s="60" t="s">
        <v>111</v>
      </c>
      <c r="AA4" s="60" t="s">
        <v>389</v>
      </c>
      <c r="AB4" s="60" t="s">
        <v>111</v>
      </c>
      <c r="AC4" s="60" t="s">
        <v>389</v>
      </c>
      <c r="AD4" s="60" t="s">
        <v>111</v>
      </c>
      <c r="AE4" s="60" t="s">
        <v>389</v>
      </c>
      <c r="AF4" s="60" t="s">
        <v>111</v>
      </c>
      <c r="AG4" s="60" t="s">
        <v>389</v>
      </c>
      <c r="AH4" s="60" t="s">
        <v>111</v>
      </c>
      <c r="AI4" s="60" t="s">
        <v>389</v>
      </c>
      <c r="AJ4" s="60" t="s">
        <v>111</v>
      </c>
      <c r="AK4" s="60" t="s">
        <v>389</v>
      </c>
      <c r="AL4" s="60" t="s">
        <v>111</v>
      </c>
      <c r="AM4" s="60" t="s">
        <v>389</v>
      </c>
      <c r="AO4" s="60" t="s">
        <v>111</v>
      </c>
      <c r="AP4" s="60" t="s">
        <v>389</v>
      </c>
      <c r="AQ4" s="60" t="s">
        <v>111</v>
      </c>
      <c r="AR4" s="60" t="s">
        <v>389</v>
      </c>
      <c r="AS4" s="60" t="s">
        <v>111</v>
      </c>
      <c r="AT4" s="60" t="s">
        <v>389</v>
      </c>
      <c r="AU4" s="60" t="s">
        <v>111</v>
      </c>
      <c r="AV4" s="60" t="s">
        <v>389</v>
      </c>
      <c r="AW4" s="60" t="s">
        <v>111</v>
      </c>
      <c r="AX4" s="60" t="s">
        <v>389</v>
      </c>
      <c r="AY4" s="60" t="s">
        <v>111</v>
      </c>
      <c r="AZ4" s="60" t="s">
        <v>389</v>
      </c>
      <c r="BA4" s="60" t="s">
        <v>111</v>
      </c>
      <c r="BB4" s="60" t="s">
        <v>389</v>
      </c>
      <c r="BC4" s="60" t="s">
        <v>111</v>
      </c>
      <c r="BD4" s="60" t="s">
        <v>389</v>
      </c>
      <c r="BE4" s="60" t="s">
        <v>111</v>
      </c>
      <c r="BF4" s="60" t="s">
        <v>389</v>
      </c>
      <c r="BH4" s="60" t="s">
        <v>111</v>
      </c>
      <c r="BI4" s="60" t="s">
        <v>389</v>
      </c>
      <c r="BJ4" s="60" t="s">
        <v>111</v>
      </c>
      <c r="BK4" s="60" t="s">
        <v>389</v>
      </c>
      <c r="BL4" s="60" t="s">
        <v>111</v>
      </c>
      <c r="BM4" s="60" t="s">
        <v>389</v>
      </c>
      <c r="BN4" s="60" t="s">
        <v>111</v>
      </c>
      <c r="BO4" s="60" t="s">
        <v>389</v>
      </c>
      <c r="BP4" s="60" t="s">
        <v>111</v>
      </c>
      <c r="BQ4" s="60" t="s">
        <v>389</v>
      </c>
      <c r="BR4" s="60" t="s">
        <v>111</v>
      </c>
      <c r="BS4" s="60" t="s">
        <v>389</v>
      </c>
      <c r="BT4" s="60" t="s">
        <v>111</v>
      </c>
      <c r="BU4" s="60" t="s">
        <v>389</v>
      </c>
      <c r="BV4" s="60" t="s">
        <v>111</v>
      </c>
      <c r="BW4" s="60" t="s">
        <v>389</v>
      </c>
      <c r="BX4" s="60" t="s">
        <v>111</v>
      </c>
      <c r="BY4" s="60" t="s">
        <v>389</v>
      </c>
      <c r="BZ4" s="60" t="s">
        <v>111</v>
      </c>
      <c r="CA4" s="60" t="s">
        <v>389</v>
      </c>
      <c r="CB4" s="60" t="s">
        <v>111</v>
      </c>
      <c r="CC4" s="60" t="s">
        <v>389</v>
      </c>
      <c r="CD4" s="60" t="s">
        <v>111</v>
      </c>
      <c r="CE4" s="60" t="s">
        <v>389</v>
      </c>
      <c r="CF4" s="60" t="s">
        <v>111</v>
      </c>
      <c r="CG4" s="60" t="s">
        <v>389</v>
      </c>
      <c r="CH4" s="60" t="s">
        <v>111</v>
      </c>
      <c r="CI4" s="60" t="s">
        <v>389</v>
      </c>
      <c r="CJ4" s="60" t="s">
        <v>111</v>
      </c>
      <c r="CK4" s="60" t="s">
        <v>389</v>
      </c>
      <c r="CL4" s="60" t="s">
        <v>111</v>
      </c>
      <c r="CM4" s="60" t="s">
        <v>389</v>
      </c>
      <c r="CN4" s="60" t="s">
        <v>111</v>
      </c>
      <c r="CO4" s="60" t="s">
        <v>389</v>
      </c>
      <c r="CP4" s="60" t="s">
        <v>111</v>
      </c>
      <c r="CQ4" s="60" t="s">
        <v>389</v>
      </c>
      <c r="CR4" s="60" t="s">
        <v>111</v>
      </c>
      <c r="CS4" s="60" t="s">
        <v>389</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2023-02-18T03:49:04Z</dcterms:modified>
  <cp:category/>
  <cp:contentStatus/>
</cp:coreProperties>
</file>